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https://d.docs.live.net/2451a3ef3bb1db06/Desktop/Final project/"/>
    </mc:Choice>
  </mc:AlternateContent>
  <xr:revisionPtr revIDLastSave="5" documentId="13_ncr:1_{35BE1550-54FB-402B-9256-62C2AB6E3635}" xr6:coauthVersionLast="47" xr6:coauthVersionMax="47" xr10:uidLastSave="{F09BB59A-8962-48E6-8322-7538885E2280}"/>
  <bookViews>
    <workbookView xWindow="-110" yWindow="-110" windowWidth="19420" windowHeight="10300" activeTab="2" xr2:uid="{00000000-000D-0000-FFFF-FFFF00000000}"/>
  </bookViews>
  <sheets>
    <sheet name="Brands" sheetId="14" r:id="rId1"/>
    <sheet name="Pivot Table" sheetId="7" r:id="rId2"/>
    <sheet name="Order_items" sheetId="1" r:id="rId3"/>
    <sheet name="Category_details" sheetId="4" r:id="rId4"/>
    <sheet name="Orders" sheetId="11" r:id="rId5"/>
    <sheet name="Stocks" sheetId="12" r:id="rId6"/>
    <sheet name="Stores" sheetId="13" r:id="rId7"/>
    <sheet name="Staffs" sheetId="15" r:id="rId8"/>
    <sheet name="SAMPLE" sheetId="10" r:id="rId9"/>
    <sheet name="DATASHEET" sheetId="9" r:id="rId10"/>
    <sheet name="Products" sheetId="2" r:id="rId11"/>
    <sheet name="VLOOKUP" sheetId="3" r:id="rId12"/>
  </sheets>
  <definedNames>
    <definedName name="_xlnm._FilterDatabase" localSheetId="9" hidden="1">DATASHEET!$A$1:$U$1616</definedName>
    <definedName name="_xlnm._FilterDatabase" localSheetId="2" hidden="1">Order_items!$A$1:$I$4723</definedName>
    <definedName name="_xlnm._FilterDatabase" localSheetId="8" hidden="1">SAMPLE!$J$8:$K$8</definedName>
    <definedName name="_xlnm._FilterDatabase" localSheetId="11" hidden="1">VLOOKUP!$A$1:$C$4727</definedName>
  </definedNames>
  <calcPr calcId="191029"/>
  <pivotCaches>
    <pivotCache cacheId="0" r:id="rId13"/>
  </pivotCaches>
</workbook>
</file>

<file path=xl/calcChain.xml><?xml version="1.0" encoding="utf-8"?>
<calcChain xmlns="http://schemas.openxmlformats.org/spreadsheetml/2006/main">
  <c r="C3" i="3" l="1"/>
  <c r="C4" i="3"/>
  <c r="C5" i="3"/>
  <c r="C6" i="3"/>
  <c r="C7" i="3"/>
  <c r="C8" i="3"/>
  <c r="C9" i="3"/>
  <c r="C2" i="3"/>
  <c r="B693" i="3"/>
  <c r="B694" i="3"/>
  <c r="B695" i="3"/>
  <c r="B696" i="3"/>
  <c r="B697" i="3"/>
  <c r="B698" i="3"/>
  <c r="B699" i="3"/>
  <c r="B700" i="3"/>
  <c r="B701" i="3"/>
  <c r="B702" i="3"/>
  <c r="B703" i="3"/>
  <c r="B704" i="3"/>
  <c r="B705" i="3"/>
  <c r="B706" i="3"/>
  <c r="B707" i="3"/>
  <c r="B708" i="3"/>
  <c r="B709" i="3"/>
  <c r="B710" i="3"/>
  <c r="B711" i="3"/>
  <c r="B712" i="3"/>
  <c r="B713" i="3"/>
  <c r="B714" i="3"/>
  <c r="B715" i="3"/>
  <c r="B716" i="3"/>
  <c r="B717" i="3"/>
  <c r="B718" i="3"/>
  <c r="B719" i="3"/>
  <c r="B720" i="3"/>
  <c r="B721" i="3"/>
  <c r="B722" i="3"/>
  <c r="B723" i="3"/>
  <c r="B724" i="3"/>
  <c r="B725" i="3"/>
  <c r="B726" i="3"/>
  <c r="B727" i="3"/>
  <c r="B728" i="3"/>
  <c r="B729" i="3"/>
  <c r="B730" i="3"/>
  <c r="B731" i="3"/>
  <c r="B732" i="3"/>
  <c r="B733" i="3"/>
  <c r="B734" i="3"/>
  <c r="B735" i="3"/>
  <c r="B736" i="3"/>
  <c r="B737" i="3"/>
  <c r="B738" i="3"/>
  <c r="B739" i="3"/>
  <c r="B740" i="3"/>
  <c r="B741" i="3"/>
  <c r="B742" i="3"/>
  <c r="B743" i="3"/>
  <c r="B744" i="3"/>
  <c r="B745" i="3"/>
  <c r="B746" i="3"/>
  <c r="B747" i="3"/>
  <c r="B748" i="3"/>
  <c r="B749" i="3"/>
  <c r="B750" i="3"/>
  <c r="B751" i="3"/>
  <c r="B752" i="3"/>
  <c r="B753" i="3"/>
  <c r="B754" i="3"/>
  <c r="B755" i="3"/>
  <c r="B756" i="3"/>
  <c r="B757" i="3"/>
  <c r="B758" i="3"/>
  <c r="B759" i="3"/>
  <c r="B760" i="3"/>
  <c r="B761" i="3"/>
  <c r="B762" i="3"/>
  <c r="B763" i="3"/>
  <c r="B764" i="3"/>
  <c r="B765" i="3"/>
  <c r="B766" i="3"/>
  <c r="B767" i="3"/>
  <c r="B768" i="3"/>
  <c r="B769" i="3"/>
  <c r="B770" i="3"/>
  <c r="B771" i="3"/>
  <c r="B772" i="3"/>
  <c r="B773" i="3"/>
  <c r="B774" i="3"/>
  <c r="B775" i="3"/>
  <c r="B776" i="3"/>
  <c r="B777" i="3"/>
  <c r="B778" i="3"/>
  <c r="B779" i="3"/>
  <c r="B780" i="3"/>
  <c r="B781" i="3"/>
  <c r="B782" i="3"/>
  <c r="B783" i="3"/>
  <c r="B784" i="3"/>
  <c r="B785" i="3"/>
  <c r="B786" i="3"/>
  <c r="B787" i="3"/>
  <c r="B788" i="3"/>
  <c r="B789" i="3"/>
  <c r="B790" i="3"/>
  <c r="B791" i="3"/>
  <c r="B792" i="3"/>
  <c r="B793" i="3"/>
  <c r="B794" i="3"/>
  <c r="B795" i="3"/>
  <c r="B796" i="3"/>
  <c r="B797" i="3"/>
  <c r="B798" i="3"/>
  <c r="B799" i="3"/>
  <c r="B800" i="3"/>
  <c r="B801" i="3"/>
  <c r="B802" i="3"/>
  <c r="B803" i="3"/>
  <c r="B804" i="3"/>
  <c r="B805" i="3"/>
  <c r="B806" i="3"/>
  <c r="B807" i="3"/>
  <c r="B808" i="3"/>
  <c r="B809" i="3"/>
  <c r="B810" i="3"/>
  <c r="B811" i="3"/>
  <c r="B812" i="3"/>
  <c r="B813" i="3"/>
  <c r="B814" i="3"/>
  <c r="B815" i="3"/>
  <c r="B816" i="3"/>
  <c r="B817" i="3"/>
  <c r="B818" i="3"/>
  <c r="B819" i="3"/>
  <c r="B820" i="3"/>
  <c r="B821" i="3"/>
  <c r="B822" i="3"/>
  <c r="B823" i="3"/>
  <c r="B824" i="3"/>
  <c r="B825" i="3"/>
  <c r="B826" i="3"/>
  <c r="B827" i="3"/>
  <c r="B828" i="3"/>
  <c r="B829" i="3"/>
  <c r="B830" i="3"/>
  <c r="B831" i="3"/>
  <c r="B832" i="3"/>
  <c r="B833" i="3"/>
  <c r="B834" i="3"/>
  <c r="B835" i="3"/>
  <c r="B836" i="3"/>
  <c r="B837" i="3"/>
  <c r="B838" i="3"/>
  <c r="B839" i="3"/>
  <c r="B840" i="3"/>
  <c r="B841" i="3"/>
  <c r="B842" i="3"/>
  <c r="B843" i="3"/>
  <c r="B844" i="3"/>
  <c r="B845" i="3"/>
  <c r="B846" i="3"/>
  <c r="B847" i="3"/>
  <c r="B848" i="3"/>
  <c r="B849" i="3"/>
  <c r="B850" i="3"/>
  <c r="B851" i="3"/>
  <c r="B852" i="3"/>
  <c r="B853" i="3"/>
  <c r="B854" i="3"/>
  <c r="B855" i="3"/>
  <c r="B856" i="3"/>
  <c r="B857" i="3"/>
  <c r="B858" i="3"/>
  <c r="B859" i="3"/>
  <c r="B860" i="3"/>
  <c r="B861" i="3"/>
  <c r="B862" i="3"/>
  <c r="B863" i="3"/>
  <c r="B864" i="3"/>
  <c r="B865" i="3"/>
  <c r="B866" i="3"/>
  <c r="B867" i="3"/>
  <c r="B868" i="3"/>
  <c r="B869" i="3"/>
  <c r="B870" i="3"/>
  <c r="B871" i="3"/>
  <c r="B872" i="3"/>
  <c r="B873" i="3"/>
  <c r="B874" i="3"/>
  <c r="B875" i="3"/>
  <c r="B876" i="3"/>
  <c r="B877" i="3"/>
  <c r="B878" i="3"/>
  <c r="B879" i="3"/>
  <c r="B880" i="3"/>
  <c r="B881" i="3"/>
  <c r="B882" i="3"/>
  <c r="B883" i="3"/>
  <c r="B884" i="3"/>
  <c r="B885" i="3"/>
  <c r="B886" i="3"/>
  <c r="B887" i="3"/>
  <c r="B888" i="3"/>
  <c r="B889" i="3"/>
  <c r="B890" i="3"/>
  <c r="B891" i="3"/>
  <c r="B892" i="3"/>
  <c r="B893" i="3"/>
  <c r="B894" i="3"/>
  <c r="B895" i="3"/>
  <c r="B896" i="3"/>
  <c r="B897" i="3"/>
  <c r="B898" i="3"/>
  <c r="B899" i="3"/>
  <c r="B900" i="3"/>
  <c r="B901" i="3"/>
  <c r="B902" i="3"/>
  <c r="B903" i="3"/>
  <c r="B904" i="3"/>
  <c r="B905" i="3"/>
  <c r="B906" i="3"/>
  <c r="B907" i="3"/>
  <c r="B908" i="3"/>
  <c r="B909" i="3"/>
  <c r="B910" i="3"/>
  <c r="B911" i="3"/>
  <c r="B912" i="3"/>
  <c r="B913" i="3"/>
  <c r="B914" i="3"/>
  <c r="B915" i="3"/>
  <c r="B916" i="3"/>
  <c r="B917" i="3"/>
  <c r="B918" i="3"/>
  <c r="B919" i="3"/>
  <c r="B920" i="3"/>
  <c r="B921" i="3"/>
  <c r="B922" i="3"/>
  <c r="B923" i="3"/>
  <c r="B924" i="3"/>
  <c r="B925" i="3"/>
  <c r="B926" i="3"/>
  <c r="B927" i="3"/>
  <c r="B928" i="3"/>
  <c r="B929" i="3"/>
  <c r="B930" i="3"/>
  <c r="B931" i="3"/>
  <c r="B932" i="3"/>
  <c r="B933" i="3"/>
  <c r="B934" i="3"/>
  <c r="B935" i="3"/>
  <c r="B936" i="3"/>
  <c r="B937" i="3"/>
  <c r="B938" i="3"/>
  <c r="B939" i="3"/>
  <c r="B940" i="3"/>
  <c r="B941" i="3"/>
  <c r="B942" i="3"/>
  <c r="B943" i="3"/>
  <c r="B944" i="3"/>
  <c r="B945" i="3"/>
  <c r="B946" i="3"/>
  <c r="B947" i="3"/>
  <c r="B948" i="3"/>
  <c r="B949" i="3"/>
  <c r="B950" i="3"/>
  <c r="B951" i="3"/>
  <c r="B952" i="3"/>
  <c r="B953" i="3"/>
  <c r="B954" i="3"/>
  <c r="B955" i="3"/>
  <c r="B956" i="3"/>
  <c r="B957" i="3"/>
  <c r="B958" i="3"/>
  <c r="B959" i="3"/>
  <c r="B960" i="3"/>
  <c r="B961" i="3"/>
  <c r="B962" i="3"/>
  <c r="B963" i="3"/>
  <c r="B964" i="3"/>
  <c r="B965" i="3"/>
  <c r="B966" i="3"/>
  <c r="B967" i="3"/>
  <c r="B968" i="3"/>
  <c r="B969" i="3"/>
  <c r="B970" i="3"/>
  <c r="B971" i="3"/>
  <c r="B972" i="3"/>
  <c r="B973" i="3"/>
  <c r="B974" i="3"/>
  <c r="B975" i="3"/>
  <c r="B976" i="3"/>
  <c r="B977" i="3"/>
  <c r="B978" i="3"/>
  <c r="B979" i="3"/>
  <c r="B980" i="3"/>
  <c r="B981" i="3"/>
  <c r="B982" i="3"/>
  <c r="B983" i="3"/>
  <c r="B984" i="3"/>
  <c r="B985" i="3"/>
  <c r="B986" i="3"/>
  <c r="B987" i="3"/>
  <c r="B988" i="3"/>
  <c r="B989" i="3"/>
  <c r="B990" i="3"/>
  <c r="B991" i="3"/>
  <c r="B992" i="3"/>
  <c r="B993" i="3"/>
  <c r="B994" i="3"/>
  <c r="B995" i="3"/>
  <c r="B996" i="3"/>
  <c r="B997" i="3"/>
  <c r="B998" i="3"/>
  <c r="B999" i="3"/>
  <c r="B1000" i="3"/>
  <c r="B1001" i="3"/>
  <c r="B1002" i="3"/>
  <c r="B1003" i="3"/>
  <c r="B1004" i="3"/>
  <c r="B1005" i="3"/>
  <c r="B1006" i="3"/>
  <c r="B1007" i="3"/>
  <c r="B1008" i="3"/>
  <c r="B1009" i="3"/>
  <c r="B1010" i="3"/>
  <c r="B1011" i="3"/>
  <c r="B1012" i="3"/>
  <c r="B1013" i="3"/>
  <c r="B1014" i="3"/>
  <c r="B1015" i="3"/>
  <c r="B1016" i="3"/>
  <c r="B1017" i="3"/>
  <c r="B1018" i="3"/>
  <c r="B1019" i="3"/>
  <c r="B1020" i="3"/>
  <c r="B1021" i="3"/>
  <c r="B1022" i="3"/>
  <c r="B1023" i="3"/>
  <c r="B1024" i="3"/>
  <c r="B1025" i="3"/>
  <c r="B1026" i="3"/>
  <c r="B1027" i="3"/>
  <c r="B1028" i="3"/>
  <c r="B1029" i="3"/>
  <c r="B1030" i="3"/>
  <c r="B1031" i="3"/>
  <c r="B1032" i="3"/>
  <c r="B1033" i="3"/>
  <c r="B1034" i="3"/>
  <c r="B1035" i="3"/>
  <c r="B1036" i="3"/>
  <c r="B1037" i="3"/>
  <c r="B1038" i="3"/>
  <c r="B1039" i="3"/>
  <c r="B1040" i="3"/>
  <c r="B1041" i="3"/>
  <c r="B1042" i="3"/>
  <c r="B1043" i="3"/>
  <c r="B1044" i="3"/>
  <c r="B1045" i="3"/>
  <c r="B1046" i="3"/>
  <c r="B1047" i="3"/>
  <c r="B1048" i="3"/>
  <c r="B1049" i="3"/>
  <c r="B1050" i="3"/>
  <c r="B1051" i="3"/>
  <c r="B1052" i="3"/>
  <c r="B1053" i="3"/>
  <c r="B1054" i="3"/>
  <c r="B1055" i="3"/>
  <c r="B1056" i="3"/>
  <c r="B1057" i="3"/>
  <c r="B1058" i="3"/>
  <c r="B1059" i="3"/>
  <c r="B1060" i="3"/>
  <c r="B1061" i="3"/>
  <c r="B1062" i="3"/>
  <c r="B1063" i="3"/>
  <c r="B1064" i="3"/>
  <c r="B1065" i="3"/>
  <c r="B1066" i="3"/>
  <c r="B1067" i="3"/>
  <c r="B1068" i="3"/>
  <c r="B1069" i="3"/>
  <c r="B1070" i="3"/>
  <c r="B1071" i="3"/>
  <c r="B1072" i="3"/>
  <c r="B1073" i="3"/>
  <c r="B1074" i="3"/>
  <c r="B1075" i="3"/>
  <c r="B1076" i="3"/>
  <c r="B1077" i="3"/>
  <c r="B1078" i="3"/>
  <c r="B1079" i="3"/>
  <c r="B1080" i="3"/>
  <c r="B1081" i="3"/>
  <c r="B1082" i="3"/>
  <c r="B1083" i="3"/>
  <c r="B1084" i="3"/>
  <c r="B1085" i="3"/>
  <c r="B1086" i="3"/>
  <c r="B1087" i="3"/>
  <c r="B1088" i="3"/>
  <c r="B1089" i="3"/>
  <c r="B1090" i="3"/>
  <c r="B1091" i="3"/>
  <c r="B1092" i="3"/>
  <c r="B1093" i="3"/>
  <c r="B1094" i="3"/>
  <c r="B1095" i="3"/>
  <c r="B1096" i="3"/>
  <c r="B1097" i="3"/>
  <c r="B1098" i="3"/>
  <c r="B1099" i="3"/>
  <c r="B1100" i="3"/>
  <c r="B1101" i="3"/>
  <c r="B1102" i="3"/>
  <c r="B1103" i="3"/>
  <c r="B1104" i="3"/>
  <c r="B1105" i="3"/>
  <c r="B1106" i="3"/>
  <c r="B1107" i="3"/>
  <c r="B1108" i="3"/>
  <c r="B1109" i="3"/>
  <c r="B1110" i="3"/>
  <c r="B1111" i="3"/>
  <c r="B1112" i="3"/>
  <c r="B1113" i="3"/>
  <c r="B1114" i="3"/>
  <c r="B1115" i="3"/>
  <c r="B1116" i="3"/>
  <c r="B1117" i="3"/>
  <c r="B1118" i="3"/>
  <c r="B1119" i="3"/>
  <c r="B1120" i="3"/>
  <c r="B1121" i="3"/>
  <c r="B1122" i="3"/>
  <c r="B1123" i="3"/>
  <c r="B1124" i="3"/>
  <c r="B1125" i="3"/>
  <c r="B1126" i="3"/>
  <c r="B1127" i="3"/>
  <c r="B1128" i="3"/>
  <c r="B1129" i="3"/>
  <c r="B1130" i="3"/>
  <c r="B1131" i="3"/>
  <c r="B1132" i="3"/>
  <c r="B1133" i="3"/>
  <c r="B1134" i="3"/>
  <c r="B1135" i="3"/>
  <c r="B1136" i="3"/>
  <c r="B1137" i="3"/>
  <c r="B1138" i="3"/>
  <c r="B1139" i="3"/>
  <c r="B1140" i="3"/>
  <c r="B1141" i="3"/>
  <c r="B1142" i="3"/>
  <c r="B1143" i="3"/>
  <c r="B1144" i="3"/>
  <c r="B1145" i="3"/>
  <c r="B1146" i="3"/>
  <c r="B1147" i="3"/>
  <c r="B1148" i="3"/>
  <c r="B1149" i="3"/>
  <c r="B1150" i="3"/>
  <c r="B1151" i="3"/>
  <c r="B1152" i="3"/>
  <c r="B1153" i="3"/>
  <c r="B1154" i="3"/>
  <c r="B1155" i="3"/>
  <c r="B1156" i="3"/>
  <c r="B1157" i="3"/>
  <c r="B1158" i="3"/>
  <c r="B1159" i="3"/>
  <c r="B1160" i="3"/>
  <c r="B1161" i="3"/>
  <c r="B1162" i="3"/>
  <c r="B1163" i="3"/>
  <c r="B1164" i="3"/>
  <c r="B1165" i="3"/>
  <c r="B1166" i="3"/>
  <c r="B1167" i="3"/>
  <c r="B1168" i="3"/>
  <c r="B1169" i="3"/>
  <c r="B1170" i="3"/>
  <c r="B1171" i="3"/>
  <c r="B1172" i="3"/>
  <c r="B1173" i="3"/>
  <c r="B1174" i="3"/>
  <c r="B1175" i="3"/>
  <c r="B1176" i="3"/>
  <c r="B1177" i="3"/>
  <c r="B1178" i="3"/>
  <c r="B1179" i="3"/>
  <c r="B1180" i="3"/>
  <c r="B1181" i="3"/>
  <c r="B1182" i="3"/>
  <c r="B1183" i="3"/>
  <c r="B1184" i="3"/>
  <c r="B1185" i="3"/>
  <c r="B1186" i="3"/>
  <c r="B1187" i="3"/>
  <c r="B1188" i="3"/>
  <c r="B1189" i="3"/>
  <c r="B1190" i="3"/>
  <c r="B1191" i="3"/>
  <c r="B1192" i="3"/>
  <c r="B1193" i="3"/>
  <c r="B1194" i="3"/>
  <c r="B1195" i="3"/>
  <c r="B1196" i="3"/>
  <c r="B1197" i="3"/>
  <c r="B1198" i="3"/>
  <c r="B1199" i="3"/>
  <c r="B1200" i="3"/>
  <c r="B1201" i="3"/>
  <c r="B1202" i="3"/>
  <c r="B1203" i="3"/>
  <c r="B1204" i="3"/>
  <c r="B1205" i="3"/>
  <c r="B1206" i="3"/>
  <c r="B1207" i="3"/>
  <c r="B1208" i="3"/>
  <c r="B1209" i="3"/>
  <c r="B1210" i="3"/>
  <c r="B1211" i="3"/>
  <c r="B1212" i="3"/>
  <c r="B1213" i="3"/>
  <c r="B1214" i="3"/>
  <c r="B1215" i="3"/>
  <c r="B1216" i="3"/>
  <c r="B1217" i="3"/>
  <c r="B1218" i="3"/>
  <c r="B1219" i="3"/>
  <c r="B1220" i="3"/>
  <c r="B1221" i="3"/>
  <c r="B1222" i="3"/>
  <c r="B1223" i="3"/>
  <c r="B1224" i="3"/>
  <c r="B1225" i="3"/>
  <c r="B1226" i="3"/>
  <c r="B1227" i="3"/>
  <c r="B1228" i="3"/>
  <c r="B1229" i="3"/>
  <c r="B1230" i="3"/>
  <c r="B1231" i="3"/>
  <c r="B1232" i="3"/>
  <c r="B1233" i="3"/>
  <c r="B1234" i="3"/>
  <c r="B1235" i="3"/>
  <c r="B1236" i="3"/>
  <c r="B1237" i="3"/>
  <c r="B1238" i="3"/>
  <c r="B1239" i="3"/>
  <c r="B1240" i="3"/>
  <c r="B1241" i="3"/>
  <c r="B1242" i="3"/>
  <c r="B1243" i="3"/>
  <c r="B1244" i="3"/>
  <c r="B1245" i="3"/>
  <c r="B1246" i="3"/>
  <c r="B1247" i="3"/>
  <c r="B1248" i="3"/>
  <c r="B1249" i="3"/>
  <c r="B1250" i="3"/>
  <c r="B1251" i="3"/>
  <c r="B1252" i="3"/>
  <c r="B1253" i="3"/>
  <c r="B1254" i="3"/>
  <c r="B1255" i="3"/>
  <c r="B1256" i="3"/>
  <c r="B1257" i="3"/>
  <c r="B1258" i="3"/>
  <c r="B1259" i="3"/>
  <c r="B1260" i="3"/>
  <c r="B1261" i="3"/>
  <c r="B1262" i="3"/>
  <c r="B1263" i="3"/>
  <c r="B1264" i="3"/>
  <c r="B1265" i="3"/>
  <c r="B1266" i="3"/>
  <c r="B1267" i="3"/>
  <c r="B1268" i="3"/>
  <c r="B1269" i="3"/>
  <c r="B1270" i="3"/>
  <c r="B1271" i="3"/>
  <c r="B1272" i="3"/>
  <c r="B1273" i="3"/>
  <c r="B1274" i="3"/>
  <c r="B1275" i="3"/>
  <c r="B1276" i="3"/>
  <c r="B1277" i="3"/>
  <c r="B1278" i="3"/>
  <c r="B1279" i="3"/>
  <c r="B1280" i="3"/>
  <c r="B1281" i="3"/>
  <c r="B1282" i="3"/>
  <c r="B1283" i="3"/>
  <c r="B1284" i="3"/>
  <c r="B1285" i="3"/>
  <c r="B1286" i="3"/>
  <c r="B1287" i="3"/>
  <c r="B1288" i="3"/>
  <c r="B1289" i="3"/>
  <c r="B1290" i="3"/>
  <c r="B1291" i="3"/>
  <c r="B1292" i="3"/>
  <c r="B1293" i="3"/>
  <c r="B1294" i="3"/>
  <c r="B1295" i="3"/>
  <c r="B1296" i="3"/>
  <c r="B1297" i="3"/>
  <c r="B1298" i="3"/>
  <c r="B1299" i="3"/>
  <c r="B1300" i="3"/>
  <c r="B1301" i="3"/>
  <c r="B1302" i="3"/>
  <c r="B1303" i="3"/>
  <c r="B1304" i="3"/>
  <c r="B1305" i="3"/>
  <c r="B1306" i="3"/>
  <c r="B1307" i="3"/>
  <c r="B1308" i="3"/>
  <c r="B1309" i="3"/>
  <c r="B1310" i="3"/>
  <c r="B1311" i="3"/>
  <c r="B1312" i="3"/>
  <c r="B1313" i="3"/>
  <c r="B1314" i="3"/>
  <c r="B1315" i="3"/>
  <c r="B1316" i="3"/>
  <c r="B1317" i="3"/>
  <c r="B1318" i="3"/>
  <c r="B1319" i="3"/>
  <c r="B1320" i="3"/>
  <c r="B1321" i="3"/>
  <c r="B1322" i="3"/>
  <c r="B1323" i="3"/>
  <c r="B1324" i="3"/>
  <c r="B1325" i="3"/>
  <c r="B1326" i="3"/>
  <c r="B1327" i="3"/>
  <c r="B1328" i="3"/>
  <c r="B1329" i="3"/>
  <c r="B1330" i="3"/>
  <c r="B1331" i="3"/>
  <c r="B1332" i="3"/>
  <c r="B1333" i="3"/>
  <c r="B1334" i="3"/>
  <c r="B1335" i="3"/>
  <c r="B1336" i="3"/>
  <c r="B1337" i="3"/>
  <c r="B1338" i="3"/>
  <c r="B1339" i="3"/>
  <c r="B1340" i="3"/>
  <c r="B1341" i="3"/>
  <c r="B1342" i="3"/>
  <c r="B1343" i="3"/>
  <c r="B1344" i="3"/>
  <c r="B1345" i="3"/>
  <c r="B1346" i="3"/>
  <c r="B1347" i="3"/>
  <c r="B1348" i="3"/>
  <c r="B1349" i="3"/>
  <c r="B1350" i="3"/>
  <c r="B1351" i="3"/>
  <c r="B1352" i="3"/>
  <c r="B1353" i="3"/>
  <c r="B1354" i="3"/>
  <c r="B1355" i="3"/>
  <c r="B1356" i="3"/>
  <c r="B1357" i="3"/>
  <c r="B1358" i="3"/>
  <c r="B1359" i="3"/>
  <c r="B1360" i="3"/>
  <c r="B1361" i="3"/>
  <c r="B1362" i="3"/>
  <c r="B1363" i="3"/>
  <c r="B1364" i="3"/>
  <c r="B1365" i="3"/>
  <c r="B1366" i="3"/>
  <c r="B1367" i="3"/>
  <c r="B1368" i="3"/>
  <c r="B1369" i="3"/>
  <c r="B1370" i="3"/>
  <c r="B1371" i="3"/>
  <c r="B1372" i="3"/>
  <c r="B1373" i="3"/>
  <c r="B1374" i="3"/>
  <c r="B1375" i="3"/>
  <c r="B1376" i="3"/>
  <c r="B1377" i="3"/>
  <c r="B1378" i="3"/>
  <c r="B1379" i="3"/>
  <c r="B1380" i="3"/>
  <c r="B1381" i="3"/>
  <c r="B1382" i="3"/>
  <c r="B1383" i="3"/>
  <c r="B1384" i="3"/>
  <c r="B1385" i="3"/>
  <c r="B1386" i="3"/>
  <c r="B1387" i="3"/>
  <c r="B1388" i="3"/>
  <c r="B1389" i="3"/>
  <c r="B1390" i="3"/>
  <c r="B1391" i="3"/>
  <c r="B1392" i="3"/>
  <c r="B1393" i="3"/>
  <c r="B1394" i="3"/>
  <c r="B1395" i="3"/>
  <c r="B1396" i="3"/>
  <c r="B1397" i="3"/>
  <c r="B1398" i="3"/>
  <c r="B1399" i="3"/>
  <c r="B1400" i="3"/>
  <c r="B1401" i="3"/>
  <c r="B1402" i="3"/>
  <c r="B1403" i="3"/>
  <c r="B1404" i="3"/>
  <c r="B1405" i="3"/>
  <c r="B1406" i="3"/>
  <c r="B1407" i="3"/>
  <c r="B1408" i="3"/>
  <c r="B1409" i="3"/>
  <c r="B1410" i="3"/>
  <c r="B1411" i="3"/>
  <c r="B1412" i="3"/>
  <c r="B1413" i="3"/>
  <c r="B1414" i="3"/>
  <c r="B1415" i="3"/>
  <c r="B1416" i="3"/>
  <c r="B1417" i="3"/>
  <c r="B1418" i="3"/>
  <c r="B1419" i="3"/>
  <c r="B1420" i="3"/>
  <c r="B1421" i="3"/>
  <c r="B1422" i="3"/>
  <c r="B1423" i="3"/>
  <c r="B1424" i="3"/>
  <c r="B1425" i="3"/>
  <c r="B1426" i="3"/>
  <c r="B1427" i="3"/>
  <c r="B1428" i="3"/>
  <c r="B1429" i="3"/>
  <c r="B1430" i="3"/>
  <c r="B1431" i="3"/>
  <c r="B1432" i="3"/>
  <c r="B1433" i="3"/>
  <c r="B1434" i="3"/>
  <c r="B1435" i="3"/>
  <c r="B1436" i="3"/>
  <c r="B1437" i="3"/>
  <c r="B1438" i="3"/>
  <c r="B1439" i="3"/>
  <c r="B1440" i="3"/>
  <c r="B1441" i="3"/>
  <c r="B1442" i="3"/>
  <c r="B1443" i="3"/>
  <c r="B1444" i="3"/>
  <c r="B1445" i="3"/>
  <c r="B1446" i="3"/>
  <c r="B1447" i="3"/>
  <c r="B1448" i="3"/>
  <c r="B1449" i="3"/>
  <c r="B1450" i="3"/>
  <c r="B1451" i="3"/>
  <c r="B1452" i="3"/>
  <c r="B1453" i="3"/>
  <c r="B1454" i="3"/>
  <c r="B1455" i="3"/>
  <c r="B1456" i="3"/>
  <c r="B1457" i="3"/>
  <c r="B1458" i="3"/>
  <c r="B1459" i="3"/>
  <c r="B1460" i="3"/>
  <c r="B1461" i="3"/>
  <c r="B1462" i="3"/>
  <c r="B1463" i="3"/>
  <c r="B1464" i="3"/>
  <c r="B1465" i="3"/>
  <c r="B1466" i="3"/>
  <c r="B1467" i="3"/>
  <c r="B1468" i="3"/>
  <c r="B1469" i="3"/>
  <c r="B1470" i="3"/>
  <c r="B1471" i="3"/>
  <c r="B1472" i="3"/>
  <c r="B1473" i="3"/>
  <c r="B1474" i="3"/>
  <c r="B1475" i="3"/>
  <c r="B1476" i="3"/>
  <c r="B1477" i="3"/>
  <c r="B1478" i="3"/>
  <c r="B1479" i="3"/>
  <c r="B1480" i="3"/>
  <c r="B1481" i="3"/>
  <c r="B1482" i="3"/>
  <c r="B1483" i="3"/>
  <c r="B1484" i="3"/>
  <c r="B1485" i="3"/>
  <c r="B1486" i="3"/>
  <c r="B1487" i="3"/>
  <c r="B1488" i="3"/>
  <c r="B1489" i="3"/>
  <c r="B1490" i="3"/>
  <c r="B1491" i="3"/>
  <c r="B1492" i="3"/>
  <c r="B1493" i="3"/>
  <c r="B1494" i="3"/>
  <c r="B1495" i="3"/>
  <c r="B1496" i="3"/>
  <c r="B1497" i="3"/>
  <c r="B1498" i="3"/>
  <c r="B1499" i="3"/>
  <c r="B1500" i="3"/>
  <c r="B1501" i="3"/>
  <c r="B1502" i="3"/>
  <c r="B1503" i="3"/>
  <c r="B1504" i="3"/>
  <c r="B1505" i="3"/>
  <c r="B1506" i="3"/>
  <c r="B1507" i="3"/>
  <c r="B1508" i="3"/>
  <c r="B1509" i="3"/>
  <c r="B1510" i="3"/>
  <c r="B1511" i="3"/>
  <c r="B1512" i="3"/>
  <c r="B1513" i="3"/>
  <c r="B1514" i="3"/>
  <c r="B1515" i="3"/>
  <c r="B1516" i="3"/>
  <c r="B1517" i="3"/>
  <c r="B1518" i="3"/>
  <c r="B1519" i="3"/>
  <c r="B1520" i="3"/>
  <c r="B1521" i="3"/>
  <c r="B1522" i="3"/>
  <c r="B1523" i="3"/>
  <c r="B1524" i="3"/>
  <c r="B1525" i="3"/>
  <c r="B1526" i="3"/>
  <c r="B1527" i="3"/>
  <c r="B1528" i="3"/>
  <c r="B1529" i="3"/>
  <c r="B1530" i="3"/>
  <c r="B1531" i="3"/>
  <c r="B1532" i="3"/>
  <c r="B1533" i="3"/>
  <c r="B1534" i="3"/>
  <c r="B1535" i="3"/>
  <c r="B1536" i="3"/>
  <c r="B1537" i="3"/>
  <c r="B1538" i="3"/>
  <c r="B1539" i="3"/>
  <c r="B1540" i="3"/>
  <c r="B1541" i="3"/>
  <c r="B1542" i="3"/>
  <c r="B1543" i="3"/>
  <c r="B1544" i="3"/>
  <c r="B1545" i="3"/>
  <c r="B1546" i="3"/>
  <c r="B1547" i="3"/>
  <c r="B1548" i="3"/>
  <c r="B1549" i="3"/>
  <c r="B1550" i="3"/>
  <c r="B1551" i="3"/>
  <c r="B1552" i="3"/>
  <c r="B1553" i="3"/>
  <c r="B1554" i="3"/>
  <c r="B1555" i="3"/>
  <c r="B1556" i="3"/>
  <c r="B1557" i="3"/>
  <c r="B1558" i="3"/>
  <c r="B1559" i="3"/>
  <c r="B1560" i="3"/>
  <c r="B1561" i="3"/>
  <c r="B1562" i="3"/>
  <c r="B1563" i="3"/>
  <c r="B1564" i="3"/>
  <c r="B1565" i="3"/>
  <c r="B1566" i="3"/>
  <c r="B1567" i="3"/>
  <c r="B1568" i="3"/>
  <c r="B1569" i="3"/>
  <c r="B1570" i="3"/>
  <c r="B1571" i="3"/>
  <c r="B1572" i="3"/>
  <c r="B1573" i="3"/>
  <c r="B1574" i="3"/>
  <c r="B1575" i="3"/>
  <c r="B1576" i="3"/>
  <c r="B1577" i="3"/>
  <c r="B1578" i="3"/>
  <c r="B1579" i="3"/>
  <c r="B1580" i="3"/>
  <c r="B1581" i="3"/>
  <c r="B1582" i="3"/>
  <c r="B1583" i="3"/>
  <c r="B1584" i="3"/>
  <c r="B1585" i="3"/>
  <c r="B1586" i="3"/>
  <c r="B1587" i="3"/>
  <c r="B1588" i="3"/>
  <c r="B1589" i="3"/>
  <c r="B1590" i="3"/>
  <c r="B1591" i="3"/>
  <c r="B1592" i="3"/>
  <c r="B1593" i="3"/>
  <c r="B1594" i="3"/>
  <c r="B1595" i="3"/>
  <c r="B1596" i="3"/>
  <c r="B1597" i="3"/>
  <c r="B1598" i="3"/>
  <c r="B1599" i="3"/>
  <c r="B1600" i="3"/>
  <c r="B1601" i="3"/>
  <c r="B1602" i="3"/>
  <c r="B1603" i="3"/>
  <c r="B1604" i="3"/>
  <c r="B1605" i="3"/>
  <c r="B1606" i="3"/>
  <c r="B1607" i="3"/>
  <c r="B1608" i="3"/>
  <c r="B1609" i="3"/>
  <c r="B1610" i="3"/>
  <c r="B1611" i="3"/>
  <c r="B1612" i="3"/>
  <c r="B1613" i="3"/>
  <c r="B1614" i="3"/>
  <c r="B1615" i="3"/>
  <c r="B1616" i="3"/>
  <c r="B1617" i="3"/>
  <c r="B1618" i="3"/>
  <c r="B1619" i="3"/>
  <c r="B1620" i="3"/>
  <c r="B1621" i="3"/>
  <c r="B1622" i="3"/>
  <c r="B1623" i="3"/>
  <c r="B1624" i="3"/>
  <c r="B1625" i="3"/>
  <c r="B1626" i="3"/>
  <c r="B1627" i="3"/>
  <c r="B1628" i="3"/>
  <c r="B1629" i="3"/>
  <c r="B1630" i="3"/>
  <c r="B1631" i="3"/>
  <c r="B1632" i="3"/>
  <c r="B1633" i="3"/>
  <c r="B1634" i="3"/>
  <c r="B1635" i="3"/>
  <c r="B1636" i="3"/>
  <c r="B1637" i="3"/>
  <c r="B1638" i="3"/>
  <c r="B1639" i="3"/>
  <c r="B1640" i="3"/>
  <c r="B1641" i="3"/>
  <c r="B1642" i="3"/>
  <c r="B1643" i="3"/>
  <c r="B1644" i="3"/>
  <c r="B1645" i="3"/>
  <c r="B1646" i="3"/>
  <c r="B1647" i="3"/>
  <c r="B1648" i="3"/>
  <c r="B1649" i="3"/>
  <c r="B1650" i="3"/>
  <c r="B1651" i="3"/>
  <c r="B1652" i="3"/>
  <c r="B1653" i="3"/>
  <c r="B1654" i="3"/>
  <c r="B1655" i="3"/>
  <c r="B1656" i="3"/>
  <c r="B1657" i="3"/>
  <c r="B1658" i="3"/>
  <c r="B1659" i="3"/>
  <c r="B1660" i="3"/>
  <c r="B1661" i="3"/>
  <c r="B1662" i="3"/>
  <c r="B1663" i="3"/>
  <c r="B1664" i="3"/>
  <c r="B1665" i="3"/>
  <c r="B1666" i="3"/>
  <c r="B1667" i="3"/>
  <c r="B1668" i="3"/>
  <c r="B1669" i="3"/>
  <c r="B1670" i="3"/>
  <c r="B1671" i="3"/>
  <c r="B1672" i="3"/>
  <c r="B1673" i="3"/>
  <c r="B1674" i="3"/>
  <c r="B1675" i="3"/>
  <c r="B1676" i="3"/>
  <c r="B1677" i="3"/>
  <c r="B1678" i="3"/>
  <c r="B1679" i="3"/>
  <c r="B1680" i="3"/>
  <c r="B1681" i="3"/>
  <c r="B1682" i="3"/>
  <c r="B1683" i="3"/>
  <c r="B1684" i="3"/>
  <c r="B1685" i="3"/>
  <c r="B1686" i="3"/>
  <c r="B1687" i="3"/>
  <c r="B1688" i="3"/>
  <c r="B1689" i="3"/>
  <c r="B1690" i="3"/>
  <c r="B1691" i="3"/>
  <c r="B1692" i="3"/>
  <c r="B1693" i="3"/>
  <c r="B1694" i="3"/>
  <c r="B1695" i="3"/>
  <c r="B1696" i="3"/>
  <c r="B1697" i="3"/>
  <c r="B1698" i="3"/>
  <c r="B1699" i="3"/>
  <c r="B1700" i="3"/>
  <c r="B1701" i="3"/>
  <c r="B1702" i="3"/>
  <c r="B1703" i="3"/>
  <c r="B1704" i="3"/>
  <c r="B1705" i="3"/>
  <c r="B1706" i="3"/>
  <c r="B1707" i="3"/>
  <c r="B1708" i="3"/>
  <c r="B1709" i="3"/>
  <c r="B1710" i="3"/>
  <c r="B1711" i="3"/>
  <c r="B1712" i="3"/>
  <c r="B1713" i="3"/>
  <c r="B1714" i="3"/>
  <c r="B1715" i="3"/>
  <c r="B1716" i="3"/>
  <c r="B1717" i="3"/>
  <c r="B1718" i="3"/>
  <c r="B1719" i="3"/>
  <c r="B1720" i="3"/>
  <c r="B1721" i="3"/>
  <c r="B1722" i="3"/>
  <c r="B1723" i="3"/>
  <c r="B1724" i="3"/>
  <c r="B1725" i="3"/>
  <c r="B1726" i="3"/>
  <c r="B1727" i="3"/>
  <c r="B1728" i="3"/>
  <c r="B1729" i="3"/>
  <c r="B1730" i="3"/>
  <c r="B1731" i="3"/>
  <c r="B1732" i="3"/>
  <c r="B1733" i="3"/>
  <c r="B1734" i="3"/>
  <c r="B1735" i="3"/>
  <c r="B1736" i="3"/>
  <c r="B1737" i="3"/>
  <c r="B1738" i="3"/>
  <c r="B1739" i="3"/>
  <c r="B1740" i="3"/>
  <c r="B1741" i="3"/>
  <c r="B1742" i="3"/>
  <c r="B1743" i="3"/>
  <c r="B1744" i="3"/>
  <c r="B1745" i="3"/>
  <c r="B1746" i="3"/>
  <c r="B1747" i="3"/>
  <c r="B1748" i="3"/>
  <c r="B1749" i="3"/>
  <c r="B1750" i="3"/>
  <c r="B1751" i="3"/>
  <c r="B1752" i="3"/>
  <c r="B1753" i="3"/>
  <c r="B1754" i="3"/>
  <c r="B1755" i="3"/>
  <c r="B1756" i="3"/>
  <c r="B1757" i="3"/>
  <c r="B1758" i="3"/>
  <c r="B1759" i="3"/>
  <c r="B1760" i="3"/>
  <c r="B1761" i="3"/>
  <c r="B1762" i="3"/>
  <c r="B1763" i="3"/>
  <c r="B1764" i="3"/>
  <c r="B1765" i="3"/>
  <c r="B1766" i="3"/>
  <c r="B1767" i="3"/>
  <c r="B1768" i="3"/>
  <c r="B1769" i="3"/>
  <c r="B1770" i="3"/>
  <c r="B1771" i="3"/>
  <c r="B1772" i="3"/>
  <c r="B1773" i="3"/>
  <c r="B1774" i="3"/>
  <c r="B1775" i="3"/>
  <c r="B1776" i="3"/>
  <c r="B1777" i="3"/>
  <c r="B1778" i="3"/>
  <c r="B1779" i="3"/>
  <c r="B1780" i="3"/>
  <c r="B1781" i="3"/>
  <c r="B1782" i="3"/>
  <c r="B1783" i="3"/>
  <c r="B1784" i="3"/>
  <c r="B1785" i="3"/>
  <c r="B1786" i="3"/>
  <c r="B1787" i="3"/>
  <c r="B1788" i="3"/>
  <c r="B1789" i="3"/>
  <c r="B1790" i="3"/>
  <c r="B1791" i="3"/>
  <c r="B1792" i="3"/>
  <c r="B1793" i="3"/>
  <c r="B1794" i="3"/>
  <c r="B1795" i="3"/>
  <c r="B1796" i="3"/>
  <c r="B1797" i="3"/>
  <c r="B1798" i="3"/>
  <c r="B1799" i="3"/>
  <c r="B1800" i="3"/>
  <c r="B1801" i="3"/>
  <c r="B1802" i="3"/>
  <c r="B1803" i="3"/>
  <c r="B1804" i="3"/>
  <c r="B1805" i="3"/>
  <c r="B1806" i="3"/>
  <c r="B1807" i="3"/>
  <c r="B1808" i="3"/>
  <c r="B1809" i="3"/>
  <c r="B1810" i="3"/>
  <c r="B1811" i="3"/>
  <c r="B1812" i="3"/>
  <c r="B1813" i="3"/>
  <c r="B1814" i="3"/>
  <c r="B1815" i="3"/>
  <c r="B1816" i="3"/>
  <c r="B1817" i="3"/>
  <c r="B1818" i="3"/>
  <c r="B1819" i="3"/>
  <c r="B1820" i="3"/>
  <c r="B1821" i="3"/>
  <c r="B1822" i="3"/>
  <c r="B1823" i="3"/>
  <c r="B1824" i="3"/>
  <c r="B1825" i="3"/>
  <c r="B1826" i="3"/>
  <c r="B1827" i="3"/>
  <c r="B1828" i="3"/>
  <c r="B1829" i="3"/>
  <c r="B1830" i="3"/>
  <c r="B1831" i="3"/>
  <c r="B1832" i="3"/>
  <c r="B1833" i="3"/>
  <c r="B1834" i="3"/>
  <c r="B1835" i="3"/>
  <c r="B1836" i="3"/>
  <c r="B1837" i="3"/>
  <c r="B1838" i="3"/>
  <c r="B1839" i="3"/>
  <c r="B1840" i="3"/>
  <c r="B1841" i="3"/>
  <c r="B1842" i="3"/>
  <c r="B1843" i="3"/>
  <c r="B1844" i="3"/>
  <c r="B1845" i="3"/>
  <c r="B1846" i="3"/>
  <c r="B1847" i="3"/>
  <c r="B1848" i="3"/>
  <c r="B1849" i="3"/>
  <c r="B1850" i="3"/>
  <c r="B1851" i="3"/>
  <c r="B1852" i="3"/>
  <c r="B1853" i="3"/>
  <c r="B1854" i="3"/>
  <c r="B1855" i="3"/>
  <c r="B1856" i="3"/>
  <c r="B1857" i="3"/>
  <c r="B1858" i="3"/>
  <c r="B1859" i="3"/>
  <c r="B1860" i="3"/>
  <c r="B1861" i="3"/>
  <c r="B1862" i="3"/>
  <c r="B1863" i="3"/>
  <c r="B1864" i="3"/>
  <c r="B1865" i="3"/>
  <c r="B1866" i="3"/>
  <c r="B1867" i="3"/>
  <c r="B1868" i="3"/>
  <c r="B1869" i="3"/>
  <c r="B1870" i="3"/>
  <c r="B1871" i="3"/>
  <c r="B1872" i="3"/>
  <c r="B1873" i="3"/>
  <c r="B1874" i="3"/>
  <c r="B1875" i="3"/>
  <c r="B1876" i="3"/>
  <c r="B1877" i="3"/>
  <c r="B1878" i="3"/>
  <c r="B1879" i="3"/>
  <c r="B1880" i="3"/>
  <c r="B1881" i="3"/>
  <c r="B1882" i="3"/>
  <c r="B1883" i="3"/>
  <c r="B1884" i="3"/>
  <c r="B1885" i="3"/>
  <c r="B1886" i="3"/>
  <c r="B1887" i="3"/>
  <c r="B1888" i="3"/>
  <c r="B1889" i="3"/>
  <c r="B1890" i="3"/>
  <c r="B1891" i="3"/>
  <c r="B1892" i="3"/>
  <c r="B1893" i="3"/>
  <c r="B1894" i="3"/>
  <c r="B1895" i="3"/>
  <c r="B1896" i="3"/>
  <c r="B1897" i="3"/>
  <c r="B1898" i="3"/>
  <c r="B1899" i="3"/>
  <c r="B1900" i="3"/>
  <c r="B1901" i="3"/>
  <c r="B1902" i="3"/>
  <c r="B1903" i="3"/>
  <c r="B1904" i="3"/>
  <c r="B1905" i="3"/>
  <c r="B1906" i="3"/>
  <c r="B1907" i="3"/>
  <c r="B1908" i="3"/>
  <c r="B1909" i="3"/>
  <c r="B1910" i="3"/>
  <c r="B1911" i="3"/>
  <c r="B1912" i="3"/>
  <c r="B1913" i="3"/>
  <c r="B1914" i="3"/>
  <c r="B1915" i="3"/>
  <c r="B1916" i="3"/>
  <c r="B1917" i="3"/>
  <c r="B1918" i="3"/>
  <c r="B1919" i="3"/>
  <c r="B1920" i="3"/>
  <c r="B1921" i="3"/>
  <c r="B1922" i="3"/>
  <c r="B1923" i="3"/>
  <c r="B1924" i="3"/>
  <c r="B1925" i="3"/>
  <c r="B1926" i="3"/>
  <c r="B1927" i="3"/>
  <c r="B1928" i="3"/>
  <c r="B1929" i="3"/>
  <c r="B1930" i="3"/>
  <c r="B1931" i="3"/>
  <c r="B1932" i="3"/>
  <c r="B1933" i="3"/>
  <c r="B1934" i="3"/>
  <c r="B1935" i="3"/>
  <c r="B1936" i="3"/>
  <c r="B1937" i="3"/>
  <c r="B1938" i="3"/>
  <c r="B1939" i="3"/>
  <c r="B1940" i="3"/>
  <c r="B1941" i="3"/>
  <c r="B1942" i="3"/>
  <c r="B1943" i="3"/>
  <c r="B1944" i="3"/>
  <c r="B1945" i="3"/>
  <c r="B1946" i="3"/>
  <c r="B1947" i="3"/>
  <c r="B1948" i="3"/>
  <c r="B1949" i="3"/>
  <c r="B1950" i="3"/>
  <c r="B1951" i="3"/>
  <c r="B1952" i="3"/>
  <c r="B1953" i="3"/>
  <c r="B1954" i="3"/>
  <c r="B1955" i="3"/>
  <c r="B1956" i="3"/>
  <c r="B1957" i="3"/>
  <c r="B1958" i="3"/>
  <c r="B1959" i="3"/>
  <c r="B1960" i="3"/>
  <c r="B1961" i="3"/>
  <c r="B1962" i="3"/>
  <c r="B1963" i="3"/>
  <c r="B1964" i="3"/>
  <c r="B1965" i="3"/>
  <c r="B1966" i="3"/>
  <c r="B1967" i="3"/>
  <c r="B1968" i="3"/>
  <c r="B1969" i="3"/>
  <c r="B1970" i="3"/>
  <c r="B1971" i="3"/>
  <c r="B1972" i="3"/>
  <c r="B1973" i="3"/>
  <c r="B1974" i="3"/>
  <c r="B1975" i="3"/>
  <c r="B1976" i="3"/>
  <c r="B1977" i="3"/>
  <c r="B1978" i="3"/>
  <c r="B1979" i="3"/>
  <c r="B1980" i="3"/>
  <c r="B1981" i="3"/>
  <c r="B1982" i="3"/>
  <c r="B1983" i="3"/>
  <c r="B1984" i="3"/>
  <c r="B1985" i="3"/>
  <c r="B1986" i="3"/>
  <c r="B1987" i="3"/>
  <c r="B1988" i="3"/>
  <c r="B1989" i="3"/>
  <c r="B1990" i="3"/>
  <c r="B1991" i="3"/>
  <c r="B1992" i="3"/>
  <c r="B1993" i="3"/>
  <c r="B1994" i="3"/>
  <c r="B1995" i="3"/>
  <c r="B1996" i="3"/>
  <c r="B1997" i="3"/>
  <c r="B1998" i="3"/>
  <c r="B1999" i="3"/>
  <c r="B2000" i="3"/>
  <c r="B2001" i="3"/>
  <c r="B2002" i="3"/>
  <c r="B2003" i="3"/>
  <c r="B2004" i="3"/>
  <c r="B2005" i="3"/>
  <c r="B2006" i="3"/>
  <c r="B2007" i="3"/>
  <c r="B2008" i="3"/>
  <c r="B2009" i="3"/>
  <c r="B2010" i="3"/>
  <c r="B2011" i="3"/>
  <c r="B2012" i="3"/>
  <c r="B2013" i="3"/>
  <c r="B2014" i="3"/>
  <c r="B2015" i="3"/>
  <c r="B2016" i="3"/>
  <c r="B2017" i="3"/>
  <c r="B2018" i="3"/>
  <c r="B2019" i="3"/>
  <c r="B2020" i="3"/>
  <c r="B2021" i="3"/>
  <c r="B2022" i="3"/>
  <c r="B2023" i="3"/>
  <c r="B2024" i="3"/>
  <c r="B2025" i="3"/>
  <c r="B2026" i="3"/>
  <c r="B2027" i="3"/>
  <c r="B2028" i="3"/>
  <c r="B2029" i="3"/>
  <c r="B2030" i="3"/>
  <c r="B2031" i="3"/>
  <c r="B2032" i="3"/>
  <c r="B2033" i="3"/>
  <c r="B2034" i="3"/>
  <c r="B2035" i="3"/>
  <c r="B2036" i="3"/>
  <c r="B2037" i="3"/>
  <c r="B2038" i="3"/>
  <c r="B2039" i="3"/>
  <c r="B2040" i="3"/>
  <c r="B2041" i="3"/>
  <c r="B2042" i="3"/>
  <c r="B2043" i="3"/>
  <c r="B2044" i="3"/>
  <c r="B2045" i="3"/>
  <c r="B2046" i="3"/>
  <c r="B2047" i="3"/>
  <c r="B2048" i="3"/>
  <c r="B2049" i="3"/>
  <c r="B2050" i="3"/>
  <c r="B2051" i="3"/>
  <c r="B2052" i="3"/>
  <c r="B2053" i="3"/>
  <c r="B2054" i="3"/>
  <c r="B2055" i="3"/>
  <c r="B2056" i="3"/>
  <c r="B2057" i="3"/>
  <c r="B2058" i="3"/>
  <c r="B2059" i="3"/>
  <c r="B2060" i="3"/>
  <c r="B2061" i="3"/>
  <c r="B2062" i="3"/>
  <c r="B2063" i="3"/>
  <c r="B2064" i="3"/>
  <c r="B2065" i="3"/>
  <c r="B2066" i="3"/>
  <c r="B2067" i="3"/>
  <c r="B2068" i="3"/>
  <c r="B2069" i="3"/>
  <c r="B2070" i="3"/>
  <c r="B2071" i="3"/>
  <c r="B2072" i="3"/>
  <c r="B2073" i="3"/>
  <c r="B2074" i="3"/>
  <c r="B2075" i="3"/>
  <c r="B2076" i="3"/>
  <c r="B2077" i="3"/>
  <c r="B2078" i="3"/>
  <c r="B2079" i="3"/>
  <c r="B2080" i="3"/>
  <c r="B2081" i="3"/>
  <c r="B2082" i="3"/>
  <c r="B2083" i="3"/>
  <c r="B2084" i="3"/>
  <c r="B2085" i="3"/>
  <c r="B2086" i="3"/>
  <c r="B2087" i="3"/>
  <c r="B2088" i="3"/>
  <c r="B2089" i="3"/>
  <c r="B2090" i="3"/>
  <c r="B2091" i="3"/>
  <c r="B2092" i="3"/>
  <c r="B2093" i="3"/>
  <c r="B2094" i="3"/>
  <c r="B2095" i="3"/>
  <c r="B2096" i="3"/>
  <c r="B2097" i="3"/>
  <c r="B2098" i="3"/>
  <c r="B2099" i="3"/>
  <c r="B2100" i="3"/>
  <c r="B2101" i="3"/>
  <c r="B2102" i="3"/>
  <c r="B2103" i="3"/>
  <c r="B2104" i="3"/>
  <c r="B2105" i="3"/>
  <c r="B2106" i="3"/>
  <c r="B2107" i="3"/>
  <c r="B2108" i="3"/>
  <c r="B2109" i="3"/>
  <c r="B2110" i="3"/>
  <c r="B2111" i="3"/>
  <c r="B2112" i="3"/>
  <c r="B2113" i="3"/>
  <c r="B2114" i="3"/>
  <c r="B2115" i="3"/>
  <c r="B2116" i="3"/>
  <c r="B2117" i="3"/>
  <c r="B2118" i="3"/>
  <c r="B2119" i="3"/>
  <c r="B2120" i="3"/>
  <c r="B2121" i="3"/>
  <c r="B2122" i="3"/>
  <c r="B2123" i="3"/>
  <c r="B2124" i="3"/>
  <c r="B2125" i="3"/>
  <c r="B2126" i="3"/>
  <c r="B2127" i="3"/>
  <c r="B2128" i="3"/>
  <c r="B2129" i="3"/>
  <c r="B2130" i="3"/>
  <c r="B2131" i="3"/>
  <c r="B2132" i="3"/>
  <c r="B2133" i="3"/>
  <c r="B2134" i="3"/>
  <c r="B2135" i="3"/>
  <c r="B2136" i="3"/>
  <c r="B2137" i="3"/>
  <c r="B2138" i="3"/>
  <c r="B2139" i="3"/>
  <c r="B2140" i="3"/>
  <c r="B2141" i="3"/>
  <c r="B2142" i="3"/>
  <c r="B2143" i="3"/>
  <c r="B2144" i="3"/>
  <c r="B2145" i="3"/>
  <c r="B2146" i="3"/>
  <c r="B2147" i="3"/>
  <c r="B2148" i="3"/>
  <c r="B2149" i="3"/>
  <c r="B2150" i="3"/>
  <c r="B2151" i="3"/>
  <c r="B2152" i="3"/>
  <c r="B2153" i="3"/>
  <c r="B2154" i="3"/>
  <c r="B2155" i="3"/>
  <c r="B2156" i="3"/>
  <c r="B2157" i="3"/>
  <c r="B2158" i="3"/>
  <c r="B2159" i="3"/>
  <c r="B2160" i="3"/>
  <c r="B2161" i="3"/>
  <c r="B2162" i="3"/>
  <c r="B2163" i="3"/>
  <c r="B2164" i="3"/>
  <c r="B2165" i="3"/>
  <c r="B2166" i="3"/>
  <c r="B2167" i="3"/>
  <c r="B2168" i="3"/>
  <c r="B2169" i="3"/>
  <c r="B2170" i="3"/>
  <c r="B2171" i="3"/>
  <c r="B2172" i="3"/>
  <c r="B2173" i="3"/>
  <c r="B2174" i="3"/>
  <c r="B2175" i="3"/>
  <c r="B2176" i="3"/>
  <c r="B2177" i="3"/>
  <c r="B2178" i="3"/>
  <c r="B2179" i="3"/>
  <c r="B2180" i="3"/>
  <c r="B2181" i="3"/>
  <c r="B2182" i="3"/>
  <c r="B2183" i="3"/>
  <c r="B2184" i="3"/>
  <c r="B2185" i="3"/>
  <c r="B2186" i="3"/>
  <c r="B2187" i="3"/>
  <c r="B2188" i="3"/>
  <c r="B2189" i="3"/>
  <c r="B2190" i="3"/>
  <c r="B2191" i="3"/>
  <c r="B2192" i="3"/>
  <c r="B2193" i="3"/>
  <c r="B2194" i="3"/>
  <c r="B2195" i="3"/>
  <c r="B2196" i="3"/>
  <c r="B2197" i="3"/>
  <c r="B2198" i="3"/>
  <c r="B2199" i="3"/>
  <c r="B2200" i="3"/>
  <c r="B2201" i="3"/>
  <c r="B2202" i="3"/>
  <c r="B2203" i="3"/>
  <c r="B2204" i="3"/>
  <c r="B2205" i="3"/>
  <c r="B2206" i="3"/>
  <c r="B2207" i="3"/>
  <c r="B2208" i="3"/>
  <c r="B2209" i="3"/>
  <c r="B2210" i="3"/>
  <c r="B2211" i="3"/>
  <c r="B2212" i="3"/>
  <c r="B2213" i="3"/>
  <c r="B2214" i="3"/>
  <c r="B2215" i="3"/>
  <c r="B2216" i="3"/>
  <c r="B2217" i="3"/>
  <c r="B2218" i="3"/>
  <c r="B2219" i="3"/>
  <c r="B2220" i="3"/>
  <c r="B2221" i="3"/>
  <c r="B2222" i="3"/>
  <c r="B2223" i="3"/>
  <c r="B2224" i="3"/>
  <c r="B2225" i="3"/>
  <c r="B2226" i="3"/>
  <c r="B2227" i="3"/>
  <c r="B2228" i="3"/>
  <c r="B2229" i="3"/>
  <c r="B2230" i="3"/>
  <c r="B2231" i="3"/>
  <c r="B2232" i="3"/>
  <c r="B2233" i="3"/>
  <c r="B2234" i="3"/>
  <c r="B2235" i="3"/>
  <c r="B2236" i="3"/>
  <c r="B2237" i="3"/>
  <c r="B2238" i="3"/>
  <c r="B2239" i="3"/>
  <c r="B2240" i="3"/>
  <c r="B2241" i="3"/>
  <c r="B2242" i="3"/>
  <c r="B2243" i="3"/>
  <c r="B2244" i="3"/>
  <c r="B2245" i="3"/>
  <c r="B2246" i="3"/>
  <c r="B2247" i="3"/>
  <c r="B2248" i="3"/>
  <c r="B2249" i="3"/>
  <c r="B2250" i="3"/>
  <c r="B2251" i="3"/>
  <c r="B2252" i="3"/>
  <c r="B2253" i="3"/>
  <c r="B2254" i="3"/>
  <c r="B2255" i="3"/>
  <c r="B2256" i="3"/>
  <c r="B2257" i="3"/>
  <c r="B2258" i="3"/>
  <c r="B2259" i="3"/>
  <c r="B2260" i="3"/>
  <c r="B2261" i="3"/>
  <c r="B2262" i="3"/>
  <c r="B2263" i="3"/>
  <c r="B2264" i="3"/>
  <c r="B2265" i="3"/>
  <c r="B2266" i="3"/>
  <c r="B2267" i="3"/>
  <c r="B2268" i="3"/>
  <c r="B2269" i="3"/>
  <c r="B2270" i="3"/>
  <c r="B2271" i="3"/>
  <c r="B2272" i="3"/>
  <c r="B2273" i="3"/>
  <c r="B2274" i="3"/>
  <c r="B2275" i="3"/>
  <c r="B2276" i="3"/>
  <c r="B2277" i="3"/>
  <c r="B2278" i="3"/>
  <c r="B2279" i="3"/>
  <c r="B2280" i="3"/>
  <c r="B2281" i="3"/>
  <c r="B2282" i="3"/>
  <c r="B2283" i="3"/>
  <c r="B2284" i="3"/>
  <c r="B2285" i="3"/>
  <c r="B2286" i="3"/>
  <c r="B2287" i="3"/>
  <c r="B2288" i="3"/>
  <c r="B2289" i="3"/>
  <c r="B2290" i="3"/>
  <c r="B2291" i="3"/>
  <c r="B2292" i="3"/>
  <c r="B2293" i="3"/>
  <c r="B2294" i="3"/>
  <c r="B2295" i="3"/>
  <c r="B2296" i="3"/>
  <c r="B2297" i="3"/>
  <c r="B2298" i="3"/>
  <c r="B2299" i="3"/>
  <c r="B2300" i="3"/>
  <c r="B2301" i="3"/>
  <c r="B2302" i="3"/>
  <c r="B2303" i="3"/>
  <c r="B2304" i="3"/>
  <c r="B2305" i="3"/>
  <c r="B2306" i="3"/>
  <c r="B2307" i="3"/>
  <c r="B2308" i="3"/>
  <c r="B2309" i="3"/>
  <c r="B2310" i="3"/>
  <c r="B2311" i="3"/>
  <c r="B2312" i="3"/>
  <c r="B2313" i="3"/>
  <c r="B2314" i="3"/>
  <c r="B2315" i="3"/>
  <c r="B2316" i="3"/>
  <c r="B2317" i="3"/>
  <c r="B2318" i="3"/>
  <c r="B2319" i="3"/>
  <c r="B2320" i="3"/>
  <c r="B2321" i="3"/>
  <c r="B2322" i="3"/>
  <c r="B2323" i="3"/>
  <c r="B2324" i="3"/>
  <c r="B2325" i="3"/>
  <c r="B2326" i="3"/>
  <c r="B2327" i="3"/>
  <c r="B2328" i="3"/>
  <c r="B2329" i="3"/>
  <c r="B2330" i="3"/>
  <c r="B2331" i="3"/>
  <c r="B2332" i="3"/>
  <c r="B2333" i="3"/>
  <c r="B2334" i="3"/>
  <c r="B2335" i="3"/>
  <c r="B2336" i="3"/>
  <c r="B2337" i="3"/>
  <c r="B2338" i="3"/>
  <c r="B2339" i="3"/>
  <c r="B2340" i="3"/>
  <c r="B2341" i="3"/>
  <c r="B2342" i="3"/>
  <c r="B2343" i="3"/>
  <c r="B2344" i="3"/>
  <c r="B2345" i="3"/>
  <c r="B2346" i="3"/>
  <c r="B2347" i="3"/>
  <c r="B2348" i="3"/>
  <c r="B2349" i="3"/>
  <c r="B2350" i="3"/>
  <c r="B2351" i="3"/>
  <c r="B2352" i="3"/>
  <c r="B2353" i="3"/>
  <c r="B2354" i="3"/>
  <c r="B2355" i="3"/>
  <c r="B2356" i="3"/>
  <c r="B2357" i="3"/>
  <c r="B2358" i="3"/>
  <c r="B2359" i="3"/>
  <c r="B2360" i="3"/>
  <c r="B2361" i="3"/>
  <c r="B2362" i="3"/>
  <c r="B2363" i="3"/>
  <c r="B2364" i="3"/>
  <c r="B2365" i="3"/>
  <c r="B2366" i="3"/>
  <c r="B2367" i="3"/>
  <c r="B2368" i="3"/>
  <c r="B2369" i="3"/>
  <c r="B2370" i="3"/>
  <c r="B2371" i="3"/>
  <c r="B2372" i="3"/>
  <c r="B2373" i="3"/>
  <c r="B2374" i="3"/>
  <c r="B2375" i="3"/>
  <c r="B2376" i="3"/>
  <c r="B2377" i="3"/>
  <c r="B2378" i="3"/>
  <c r="B2379" i="3"/>
  <c r="B2380" i="3"/>
  <c r="B2381" i="3"/>
  <c r="B2382" i="3"/>
  <c r="B2383" i="3"/>
  <c r="B2384" i="3"/>
  <c r="B2385" i="3"/>
  <c r="B2386" i="3"/>
  <c r="B2387" i="3"/>
  <c r="B2388" i="3"/>
  <c r="B2389" i="3"/>
  <c r="B2390" i="3"/>
  <c r="B2391" i="3"/>
  <c r="B2392" i="3"/>
  <c r="B2393" i="3"/>
  <c r="B2394" i="3"/>
  <c r="B2395" i="3"/>
  <c r="B2396" i="3"/>
  <c r="B2397" i="3"/>
  <c r="B2398" i="3"/>
  <c r="B2399" i="3"/>
  <c r="B2400" i="3"/>
  <c r="B2401" i="3"/>
  <c r="B2402" i="3"/>
  <c r="B2403" i="3"/>
  <c r="B2404" i="3"/>
  <c r="B2405" i="3"/>
  <c r="B2406" i="3"/>
  <c r="B2407" i="3"/>
  <c r="B2408" i="3"/>
  <c r="B2409" i="3"/>
  <c r="B2410" i="3"/>
  <c r="B2411" i="3"/>
  <c r="B2412" i="3"/>
  <c r="B2413" i="3"/>
  <c r="B2414" i="3"/>
  <c r="B2415" i="3"/>
  <c r="B2416" i="3"/>
  <c r="B2417" i="3"/>
  <c r="B2418" i="3"/>
  <c r="B2419" i="3"/>
  <c r="B2420" i="3"/>
  <c r="B2421" i="3"/>
  <c r="B2422" i="3"/>
  <c r="B2423" i="3"/>
  <c r="B2424" i="3"/>
  <c r="B2425" i="3"/>
  <c r="B2426" i="3"/>
  <c r="B2427" i="3"/>
  <c r="B2428" i="3"/>
  <c r="B2429" i="3"/>
  <c r="B2430" i="3"/>
  <c r="B2431" i="3"/>
  <c r="B2432" i="3"/>
  <c r="B2433" i="3"/>
  <c r="B2434" i="3"/>
  <c r="B2435" i="3"/>
  <c r="B2436" i="3"/>
  <c r="B2437" i="3"/>
  <c r="B2438" i="3"/>
  <c r="B2439" i="3"/>
  <c r="B2440" i="3"/>
  <c r="B2441" i="3"/>
  <c r="B2442" i="3"/>
  <c r="B2443" i="3"/>
  <c r="B2444" i="3"/>
  <c r="B2445" i="3"/>
  <c r="B2446" i="3"/>
  <c r="B2447" i="3"/>
  <c r="B2448" i="3"/>
  <c r="B2449" i="3"/>
  <c r="B2450" i="3"/>
  <c r="B2451" i="3"/>
  <c r="B2452" i="3"/>
  <c r="B2453" i="3"/>
  <c r="B2454" i="3"/>
  <c r="B2455" i="3"/>
  <c r="B2456" i="3"/>
  <c r="B2457" i="3"/>
  <c r="B2458" i="3"/>
  <c r="B2459" i="3"/>
  <c r="B2460" i="3"/>
  <c r="B2461" i="3"/>
  <c r="B2462" i="3"/>
  <c r="B2463" i="3"/>
  <c r="B2464" i="3"/>
  <c r="B2465" i="3"/>
  <c r="B2466" i="3"/>
  <c r="B2467" i="3"/>
  <c r="B2468" i="3"/>
  <c r="B2469" i="3"/>
  <c r="B2470" i="3"/>
  <c r="B2471" i="3"/>
  <c r="B2472" i="3"/>
  <c r="B2473" i="3"/>
  <c r="B2474" i="3"/>
  <c r="B2475" i="3"/>
  <c r="B2476" i="3"/>
  <c r="B2477" i="3"/>
  <c r="B2478" i="3"/>
  <c r="B2479" i="3"/>
  <c r="B2480" i="3"/>
  <c r="B2481" i="3"/>
  <c r="B2482" i="3"/>
  <c r="B2483" i="3"/>
  <c r="B2484" i="3"/>
  <c r="B2485" i="3"/>
  <c r="B2486" i="3"/>
  <c r="B2487" i="3"/>
  <c r="B2488" i="3"/>
  <c r="B2489" i="3"/>
  <c r="B2490" i="3"/>
  <c r="B2491" i="3"/>
  <c r="B2492" i="3"/>
  <c r="B2493" i="3"/>
  <c r="B2494" i="3"/>
  <c r="B2495" i="3"/>
  <c r="B2496" i="3"/>
  <c r="B2497" i="3"/>
  <c r="B2498" i="3"/>
  <c r="B2499" i="3"/>
  <c r="B2500" i="3"/>
  <c r="B2501" i="3"/>
  <c r="B2502" i="3"/>
  <c r="B2503" i="3"/>
  <c r="B2504" i="3"/>
  <c r="B2505" i="3"/>
  <c r="B2506" i="3"/>
  <c r="B2507" i="3"/>
  <c r="B2508" i="3"/>
  <c r="B2509" i="3"/>
  <c r="B2510" i="3"/>
  <c r="B2511" i="3"/>
  <c r="B2512" i="3"/>
  <c r="B2513" i="3"/>
  <c r="B2514" i="3"/>
  <c r="B2515" i="3"/>
  <c r="B2516" i="3"/>
  <c r="B2517" i="3"/>
  <c r="B2518" i="3"/>
  <c r="B2519" i="3"/>
  <c r="B2520" i="3"/>
  <c r="B2521" i="3"/>
  <c r="B2522" i="3"/>
  <c r="B2523" i="3"/>
  <c r="B2524" i="3"/>
  <c r="B2525" i="3"/>
  <c r="B2526" i="3"/>
  <c r="B2527" i="3"/>
  <c r="B2528" i="3"/>
  <c r="B2529" i="3"/>
  <c r="B2530" i="3"/>
  <c r="B2531" i="3"/>
  <c r="B2532" i="3"/>
  <c r="B2533" i="3"/>
  <c r="B2534" i="3"/>
  <c r="B2535" i="3"/>
  <c r="B2536" i="3"/>
  <c r="B2537" i="3"/>
  <c r="B2538" i="3"/>
  <c r="B2539" i="3"/>
  <c r="B2540" i="3"/>
  <c r="B2541" i="3"/>
  <c r="B2542" i="3"/>
  <c r="B2543" i="3"/>
  <c r="B2544" i="3"/>
  <c r="B2545" i="3"/>
  <c r="B2546" i="3"/>
  <c r="B2547" i="3"/>
  <c r="B2548" i="3"/>
  <c r="B2549" i="3"/>
  <c r="B2550" i="3"/>
  <c r="B2551" i="3"/>
  <c r="B2552" i="3"/>
  <c r="B2553" i="3"/>
  <c r="B2554" i="3"/>
  <c r="B2555" i="3"/>
  <c r="B2556" i="3"/>
  <c r="B2557" i="3"/>
  <c r="B2558" i="3"/>
  <c r="B2559" i="3"/>
  <c r="B2560" i="3"/>
  <c r="B2561" i="3"/>
  <c r="B2562" i="3"/>
  <c r="B2563" i="3"/>
  <c r="B2564" i="3"/>
  <c r="B2565" i="3"/>
  <c r="B2566" i="3"/>
  <c r="B2567" i="3"/>
  <c r="B2568" i="3"/>
  <c r="B2569" i="3"/>
  <c r="B2570" i="3"/>
  <c r="B2571" i="3"/>
  <c r="B2572" i="3"/>
  <c r="B2573" i="3"/>
  <c r="B2574" i="3"/>
  <c r="B2575" i="3"/>
  <c r="B2576" i="3"/>
  <c r="B2577" i="3"/>
  <c r="B2578" i="3"/>
  <c r="B2579" i="3"/>
  <c r="B2580" i="3"/>
  <c r="B2581" i="3"/>
  <c r="B2582" i="3"/>
  <c r="B2583" i="3"/>
  <c r="B2584" i="3"/>
  <c r="B2585" i="3"/>
  <c r="B2586" i="3"/>
  <c r="B2587" i="3"/>
  <c r="B2588" i="3"/>
  <c r="B2589" i="3"/>
  <c r="B2590" i="3"/>
  <c r="B2591" i="3"/>
  <c r="B2592" i="3"/>
  <c r="B2593" i="3"/>
  <c r="B2594" i="3"/>
  <c r="B2595" i="3"/>
  <c r="B2596" i="3"/>
  <c r="B2597" i="3"/>
  <c r="B2598" i="3"/>
  <c r="B2599" i="3"/>
  <c r="B2600" i="3"/>
  <c r="B2601" i="3"/>
  <c r="B2602" i="3"/>
  <c r="B2603" i="3"/>
  <c r="B2604" i="3"/>
  <c r="B2605" i="3"/>
  <c r="B2606" i="3"/>
  <c r="B2607" i="3"/>
  <c r="B2608" i="3"/>
  <c r="B2609" i="3"/>
  <c r="B2610" i="3"/>
  <c r="B2611" i="3"/>
  <c r="B2612" i="3"/>
  <c r="B2613" i="3"/>
  <c r="B2614" i="3"/>
  <c r="B2615" i="3"/>
  <c r="B2616" i="3"/>
  <c r="B2617" i="3"/>
  <c r="B2618" i="3"/>
  <c r="B2619" i="3"/>
  <c r="B2620" i="3"/>
  <c r="B2621" i="3"/>
  <c r="B2622" i="3"/>
  <c r="B2623" i="3"/>
  <c r="B2624" i="3"/>
  <c r="B2625" i="3"/>
  <c r="B2626" i="3"/>
  <c r="B2627" i="3"/>
  <c r="B2628" i="3"/>
  <c r="B2629" i="3"/>
  <c r="B2630" i="3"/>
  <c r="B2631" i="3"/>
  <c r="B2632" i="3"/>
  <c r="B2633" i="3"/>
  <c r="B2634" i="3"/>
  <c r="B2635" i="3"/>
  <c r="B2636" i="3"/>
  <c r="B2637" i="3"/>
  <c r="B2638" i="3"/>
  <c r="B2639" i="3"/>
  <c r="B2640" i="3"/>
  <c r="B2641" i="3"/>
  <c r="B2642" i="3"/>
  <c r="B2643" i="3"/>
  <c r="B2644" i="3"/>
  <c r="B2645" i="3"/>
  <c r="B2646" i="3"/>
  <c r="B2647" i="3"/>
  <c r="B2648" i="3"/>
  <c r="B2649" i="3"/>
  <c r="B2650" i="3"/>
  <c r="B2651" i="3"/>
  <c r="B2652" i="3"/>
  <c r="B2653" i="3"/>
  <c r="B2654" i="3"/>
  <c r="B2655" i="3"/>
  <c r="B2656" i="3"/>
  <c r="B2657" i="3"/>
  <c r="B2658" i="3"/>
  <c r="B2659" i="3"/>
  <c r="B2660" i="3"/>
  <c r="B2661" i="3"/>
  <c r="B2662" i="3"/>
  <c r="B2663" i="3"/>
  <c r="B2664" i="3"/>
  <c r="B2665" i="3"/>
  <c r="B2666" i="3"/>
  <c r="B2667" i="3"/>
  <c r="B2668" i="3"/>
  <c r="B2669" i="3"/>
  <c r="B2670" i="3"/>
  <c r="B2671" i="3"/>
  <c r="B2672" i="3"/>
  <c r="B2673" i="3"/>
  <c r="B2674" i="3"/>
  <c r="B2675" i="3"/>
  <c r="B2676" i="3"/>
  <c r="B2677" i="3"/>
  <c r="B2678" i="3"/>
  <c r="B2679" i="3"/>
  <c r="B2680" i="3"/>
  <c r="B2681" i="3"/>
  <c r="B2682" i="3"/>
  <c r="B2683" i="3"/>
  <c r="B2684" i="3"/>
  <c r="B2685" i="3"/>
  <c r="B2686" i="3"/>
  <c r="B2687" i="3"/>
  <c r="B2688" i="3"/>
  <c r="B2689" i="3"/>
  <c r="B2690" i="3"/>
  <c r="B2691" i="3"/>
  <c r="B2692" i="3"/>
  <c r="B2693" i="3"/>
  <c r="B2694" i="3"/>
  <c r="B2695" i="3"/>
  <c r="B2696" i="3"/>
  <c r="B2697" i="3"/>
  <c r="B2698" i="3"/>
  <c r="B2699" i="3"/>
  <c r="B2700" i="3"/>
  <c r="B2701" i="3"/>
  <c r="B2702" i="3"/>
  <c r="B2703" i="3"/>
  <c r="B2704" i="3"/>
  <c r="B2705" i="3"/>
  <c r="B2706" i="3"/>
  <c r="B2707" i="3"/>
  <c r="B2708" i="3"/>
  <c r="B2709" i="3"/>
  <c r="B2710" i="3"/>
  <c r="B2711" i="3"/>
  <c r="B2712" i="3"/>
  <c r="B2713" i="3"/>
  <c r="B2714" i="3"/>
  <c r="B2715" i="3"/>
  <c r="B2716" i="3"/>
  <c r="B2717" i="3"/>
  <c r="B2718" i="3"/>
  <c r="B2719" i="3"/>
  <c r="B2720" i="3"/>
  <c r="B2721" i="3"/>
  <c r="B2722" i="3"/>
  <c r="B2723" i="3"/>
  <c r="B2724" i="3"/>
  <c r="B2725" i="3"/>
  <c r="B2726" i="3"/>
  <c r="B2727" i="3"/>
  <c r="B2728" i="3"/>
  <c r="B2729" i="3"/>
  <c r="B2730" i="3"/>
  <c r="B2731" i="3"/>
  <c r="B2732" i="3"/>
  <c r="B2733" i="3"/>
  <c r="B2734" i="3"/>
  <c r="B2735" i="3"/>
  <c r="B2736" i="3"/>
  <c r="B2737" i="3"/>
  <c r="B2738" i="3"/>
  <c r="B2739" i="3"/>
  <c r="B2740" i="3"/>
  <c r="B2741" i="3"/>
  <c r="B2742" i="3"/>
  <c r="B2743" i="3"/>
  <c r="B2744" i="3"/>
  <c r="B2745" i="3"/>
  <c r="B2746" i="3"/>
  <c r="B2747" i="3"/>
  <c r="B2748" i="3"/>
  <c r="B2749" i="3"/>
  <c r="B2750" i="3"/>
  <c r="B2751" i="3"/>
  <c r="B2752" i="3"/>
  <c r="B2753" i="3"/>
  <c r="B2754" i="3"/>
  <c r="B2755" i="3"/>
  <c r="B2756" i="3"/>
  <c r="B2757" i="3"/>
  <c r="B2758" i="3"/>
  <c r="B2759" i="3"/>
  <c r="B2760" i="3"/>
  <c r="B2761" i="3"/>
  <c r="B2762" i="3"/>
  <c r="B2763" i="3"/>
  <c r="B2764" i="3"/>
  <c r="B2765" i="3"/>
  <c r="B2766" i="3"/>
  <c r="B2767" i="3"/>
  <c r="B2768" i="3"/>
  <c r="B2769" i="3"/>
  <c r="B2770" i="3"/>
  <c r="B2771" i="3"/>
  <c r="B2772" i="3"/>
  <c r="B2773" i="3"/>
  <c r="B2774" i="3"/>
  <c r="B2775" i="3"/>
  <c r="B2776" i="3"/>
  <c r="B2777" i="3"/>
  <c r="B2778" i="3"/>
  <c r="B2779" i="3"/>
  <c r="B2780" i="3"/>
  <c r="B2781" i="3"/>
  <c r="B2782" i="3"/>
  <c r="B2783" i="3"/>
  <c r="B2784" i="3"/>
  <c r="B2785" i="3"/>
  <c r="B2786" i="3"/>
  <c r="B2787" i="3"/>
  <c r="B2788" i="3"/>
  <c r="B2789" i="3"/>
  <c r="B2790" i="3"/>
  <c r="B2791" i="3"/>
  <c r="B2792" i="3"/>
  <c r="B2793" i="3"/>
  <c r="B2794" i="3"/>
  <c r="B2795" i="3"/>
  <c r="B2796" i="3"/>
  <c r="B2797" i="3"/>
  <c r="B2798" i="3"/>
  <c r="B2799" i="3"/>
  <c r="B2800" i="3"/>
  <c r="B2801" i="3"/>
  <c r="B2802" i="3"/>
  <c r="B2803" i="3"/>
  <c r="B2804" i="3"/>
  <c r="B2805" i="3"/>
  <c r="B2806" i="3"/>
  <c r="B2807" i="3"/>
  <c r="B2808" i="3"/>
  <c r="B2809" i="3"/>
  <c r="B2810" i="3"/>
  <c r="B2811" i="3"/>
  <c r="B2812" i="3"/>
  <c r="B2813" i="3"/>
  <c r="B2814" i="3"/>
  <c r="B2815" i="3"/>
  <c r="B2816" i="3"/>
  <c r="B2817" i="3"/>
  <c r="B2818" i="3"/>
  <c r="B2819" i="3"/>
  <c r="B2820" i="3"/>
  <c r="B2821" i="3"/>
  <c r="B2822" i="3"/>
  <c r="B2823" i="3"/>
  <c r="B2824" i="3"/>
  <c r="B2825" i="3"/>
  <c r="B2826" i="3"/>
  <c r="B2827" i="3"/>
  <c r="B2828" i="3"/>
  <c r="B2829" i="3"/>
  <c r="B2830" i="3"/>
  <c r="B2831" i="3"/>
  <c r="B2832" i="3"/>
  <c r="B2833" i="3"/>
  <c r="B2834" i="3"/>
  <c r="B2835" i="3"/>
  <c r="B2836" i="3"/>
  <c r="B2837" i="3"/>
  <c r="B2838" i="3"/>
  <c r="B2839" i="3"/>
  <c r="B2840" i="3"/>
  <c r="B2841" i="3"/>
  <c r="B2842" i="3"/>
  <c r="B2843" i="3"/>
  <c r="B2844" i="3"/>
  <c r="B2845" i="3"/>
  <c r="B2846" i="3"/>
  <c r="B2847" i="3"/>
  <c r="B2848" i="3"/>
  <c r="B2849" i="3"/>
  <c r="B2850" i="3"/>
  <c r="B2851" i="3"/>
  <c r="B2852" i="3"/>
  <c r="B2853" i="3"/>
  <c r="B2854" i="3"/>
  <c r="B2855" i="3"/>
  <c r="B2856" i="3"/>
  <c r="B2857" i="3"/>
  <c r="B2858" i="3"/>
  <c r="B2859" i="3"/>
  <c r="B2860" i="3"/>
  <c r="B2861" i="3"/>
  <c r="B2862" i="3"/>
  <c r="B2863" i="3"/>
  <c r="B2864" i="3"/>
  <c r="B2865" i="3"/>
  <c r="B2866" i="3"/>
  <c r="B2867" i="3"/>
  <c r="B2868" i="3"/>
  <c r="B2869" i="3"/>
  <c r="B2870" i="3"/>
  <c r="B2871" i="3"/>
  <c r="B2872" i="3"/>
  <c r="B2873" i="3"/>
  <c r="B2874" i="3"/>
  <c r="B2875" i="3"/>
  <c r="B2876" i="3"/>
  <c r="B2877" i="3"/>
  <c r="B2878" i="3"/>
  <c r="B2879" i="3"/>
  <c r="B2880" i="3"/>
  <c r="B2881" i="3"/>
  <c r="B2882" i="3"/>
  <c r="B2883" i="3"/>
  <c r="B2884" i="3"/>
  <c r="B2885" i="3"/>
  <c r="B2886" i="3"/>
  <c r="B2887" i="3"/>
  <c r="B2888" i="3"/>
  <c r="B2889" i="3"/>
  <c r="B2890" i="3"/>
  <c r="B2891" i="3"/>
  <c r="B2892" i="3"/>
  <c r="B2893" i="3"/>
  <c r="B2894" i="3"/>
  <c r="B2895" i="3"/>
  <c r="B2896" i="3"/>
  <c r="B2897" i="3"/>
  <c r="B2898" i="3"/>
  <c r="B2899" i="3"/>
  <c r="B2900" i="3"/>
  <c r="B2901" i="3"/>
  <c r="B2902" i="3"/>
  <c r="B2903" i="3"/>
  <c r="B2904" i="3"/>
  <c r="B2905" i="3"/>
  <c r="B2906" i="3"/>
  <c r="B2907" i="3"/>
  <c r="B2908" i="3"/>
  <c r="B2909" i="3"/>
  <c r="B2910" i="3"/>
  <c r="B2911" i="3"/>
  <c r="B2912" i="3"/>
  <c r="B2913" i="3"/>
  <c r="B2914" i="3"/>
  <c r="B2915" i="3"/>
  <c r="B2916" i="3"/>
  <c r="B2917" i="3"/>
  <c r="B2918" i="3"/>
  <c r="B2919" i="3"/>
  <c r="B2920" i="3"/>
  <c r="B2921" i="3"/>
  <c r="B2922" i="3"/>
  <c r="B2923" i="3"/>
  <c r="B2924" i="3"/>
  <c r="B2925" i="3"/>
  <c r="B2926" i="3"/>
  <c r="B2927" i="3"/>
  <c r="B2928" i="3"/>
  <c r="B2929" i="3"/>
  <c r="B2930" i="3"/>
  <c r="B2931" i="3"/>
  <c r="B2932" i="3"/>
  <c r="B2933" i="3"/>
  <c r="B2934" i="3"/>
  <c r="B2935" i="3"/>
  <c r="B2936" i="3"/>
  <c r="B2937" i="3"/>
  <c r="B2938" i="3"/>
  <c r="B2939" i="3"/>
  <c r="B2940" i="3"/>
  <c r="B2941" i="3"/>
  <c r="B2942" i="3"/>
  <c r="B2943" i="3"/>
  <c r="B2944" i="3"/>
  <c r="B2945" i="3"/>
  <c r="B2946" i="3"/>
  <c r="B2947" i="3"/>
  <c r="B2948" i="3"/>
  <c r="B2949" i="3"/>
  <c r="B2950" i="3"/>
  <c r="B2951" i="3"/>
  <c r="B2952" i="3"/>
  <c r="B2953" i="3"/>
  <c r="B2954" i="3"/>
  <c r="B2955" i="3"/>
  <c r="B2956" i="3"/>
  <c r="B2957" i="3"/>
  <c r="B2958" i="3"/>
  <c r="B2959" i="3"/>
  <c r="B2960" i="3"/>
  <c r="B2961" i="3"/>
  <c r="B2962" i="3"/>
  <c r="B2963" i="3"/>
  <c r="B2964" i="3"/>
  <c r="B2965" i="3"/>
  <c r="B2966" i="3"/>
  <c r="B2967" i="3"/>
  <c r="B2968" i="3"/>
  <c r="B2969" i="3"/>
  <c r="B2970" i="3"/>
  <c r="B2971" i="3"/>
  <c r="B2972" i="3"/>
  <c r="B2973" i="3"/>
  <c r="B2974" i="3"/>
  <c r="B2975" i="3"/>
  <c r="B2976" i="3"/>
  <c r="B2977" i="3"/>
  <c r="B2978" i="3"/>
  <c r="B2979" i="3"/>
  <c r="B2980" i="3"/>
  <c r="B2981" i="3"/>
  <c r="B2982" i="3"/>
  <c r="B2983" i="3"/>
  <c r="B2984" i="3"/>
  <c r="B2985" i="3"/>
  <c r="B2986" i="3"/>
  <c r="B2987" i="3"/>
  <c r="B2988" i="3"/>
  <c r="B2989" i="3"/>
  <c r="B2990" i="3"/>
  <c r="B2991" i="3"/>
  <c r="B2992" i="3"/>
  <c r="B2993" i="3"/>
  <c r="B2994" i="3"/>
  <c r="B2995" i="3"/>
  <c r="B2996" i="3"/>
  <c r="B2997" i="3"/>
  <c r="B2998" i="3"/>
  <c r="B2999" i="3"/>
  <c r="B3000" i="3"/>
  <c r="B3001" i="3"/>
  <c r="B3002" i="3"/>
  <c r="B3003" i="3"/>
  <c r="B3004" i="3"/>
  <c r="B3005" i="3"/>
  <c r="B3006" i="3"/>
  <c r="B3007" i="3"/>
  <c r="B3008" i="3"/>
  <c r="B3009" i="3"/>
  <c r="B3010" i="3"/>
  <c r="B3011" i="3"/>
  <c r="B3012" i="3"/>
  <c r="B3013" i="3"/>
  <c r="B3014" i="3"/>
  <c r="B3015" i="3"/>
  <c r="B3016" i="3"/>
  <c r="B3017" i="3"/>
  <c r="B3018" i="3"/>
  <c r="B3019" i="3"/>
  <c r="B3020" i="3"/>
  <c r="B3021" i="3"/>
  <c r="B3022" i="3"/>
  <c r="B3023" i="3"/>
  <c r="B3024" i="3"/>
  <c r="B3025" i="3"/>
  <c r="B3026" i="3"/>
  <c r="B3027" i="3"/>
  <c r="B3028" i="3"/>
  <c r="B3029" i="3"/>
  <c r="B3030" i="3"/>
  <c r="B3031" i="3"/>
  <c r="B3032" i="3"/>
  <c r="B3033" i="3"/>
  <c r="B3034" i="3"/>
  <c r="B3035" i="3"/>
  <c r="B3036" i="3"/>
  <c r="B3037" i="3"/>
  <c r="B3038" i="3"/>
  <c r="B3039" i="3"/>
  <c r="B3040" i="3"/>
  <c r="B3041" i="3"/>
  <c r="B3042" i="3"/>
  <c r="B3043" i="3"/>
  <c r="B3044" i="3"/>
  <c r="B3045" i="3"/>
  <c r="B3046" i="3"/>
  <c r="B3047" i="3"/>
  <c r="B3048" i="3"/>
  <c r="B3049" i="3"/>
  <c r="B3050" i="3"/>
  <c r="B3051" i="3"/>
  <c r="B3052" i="3"/>
  <c r="B3053" i="3"/>
  <c r="B3054" i="3"/>
  <c r="B3055" i="3"/>
  <c r="B3056" i="3"/>
  <c r="B3057" i="3"/>
  <c r="B3058" i="3"/>
  <c r="B3059" i="3"/>
  <c r="B3060" i="3"/>
  <c r="B3061" i="3"/>
  <c r="B3062" i="3"/>
  <c r="B3063" i="3"/>
  <c r="B3064" i="3"/>
  <c r="B3065" i="3"/>
  <c r="B3066" i="3"/>
  <c r="B3067" i="3"/>
  <c r="B3068" i="3"/>
  <c r="B3069" i="3"/>
  <c r="B3070" i="3"/>
  <c r="B3071" i="3"/>
  <c r="B3072" i="3"/>
  <c r="B3073" i="3"/>
  <c r="B3074" i="3"/>
  <c r="B3075" i="3"/>
  <c r="B3076" i="3"/>
  <c r="B3077" i="3"/>
  <c r="B3078" i="3"/>
  <c r="B3079" i="3"/>
  <c r="B3080" i="3"/>
  <c r="B3081" i="3"/>
  <c r="B3082" i="3"/>
  <c r="B3083" i="3"/>
  <c r="B3084" i="3"/>
  <c r="B3085" i="3"/>
  <c r="B3086" i="3"/>
  <c r="B3087" i="3"/>
  <c r="B3088" i="3"/>
  <c r="B3089" i="3"/>
  <c r="B3090" i="3"/>
  <c r="B3091" i="3"/>
  <c r="B3092" i="3"/>
  <c r="B3093" i="3"/>
  <c r="B3094" i="3"/>
  <c r="B3095" i="3"/>
  <c r="B3096" i="3"/>
  <c r="B3097" i="3"/>
  <c r="B3098" i="3"/>
  <c r="B3099" i="3"/>
  <c r="B3100" i="3"/>
  <c r="B3101" i="3"/>
  <c r="B3102" i="3"/>
  <c r="B3103" i="3"/>
  <c r="B3104" i="3"/>
  <c r="B3105" i="3"/>
  <c r="B3106" i="3"/>
  <c r="B3107" i="3"/>
  <c r="B3108" i="3"/>
  <c r="B3109" i="3"/>
  <c r="B3110" i="3"/>
  <c r="B3111" i="3"/>
  <c r="B3112" i="3"/>
  <c r="B3113" i="3"/>
  <c r="B3114" i="3"/>
  <c r="B3115" i="3"/>
  <c r="B3116" i="3"/>
  <c r="B3117" i="3"/>
  <c r="B3118" i="3"/>
  <c r="B3119" i="3"/>
  <c r="B3120" i="3"/>
  <c r="B3121" i="3"/>
  <c r="B3122" i="3"/>
  <c r="B3123" i="3"/>
  <c r="B3124" i="3"/>
  <c r="B3125" i="3"/>
  <c r="B3126" i="3"/>
  <c r="B3127" i="3"/>
  <c r="B3128" i="3"/>
  <c r="B3129" i="3"/>
  <c r="B3130" i="3"/>
  <c r="B3131" i="3"/>
  <c r="B3132" i="3"/>
  <c r="B3133" i="3"/>
  <c r="B3134" i="3"/>
  <c r="B3135" i="3"/>
  <c r="B3136" i="3"/>
  <c r="B3137" i="3"/>
  <c r="B3138" i="3"/>
  <c r="B3139" i="3"/>
  <c r="B3140" i="3"/>
  <c r="B3141" i="3"/>
  <c r="B3142" i="3"/>
  <c r="B3143" i="3"/>
  <c r="B3144" i="3"/>
  <c r="B3145" i="3"/>
  <c r="B3146" i="3"/>
  <c r="B3147" i="3"/>
  <c r="B3148" i="3"/>
  <c r="B3149" i="3"/>
  <c r="B3150" i="3"/>
  <c r="B3151" i="3"/>
  <c r="B3152" i="3"/>
  <c r="B3153" i="3"/>
  <c r="B3154" i="3"/>
  <c r="B3155" i="3"/>
  <c r="B3156" i="3"/>
  <c r="B3157" i="3"/>
  <c r="B3158" i="3"/>
  <c r="B3159" i="3"/>
  <c r="B3160" i="3"/>
  <c r="B3161" i="3"/>
  <c r="B3162" i="3"/>
  <c r="B3163" i="3"/>
  <c r="B3164" i="3"/>
  <c r="B3165" i="3"/>
  <c r="B3166" i="3"/>
  <c r="B3167" i="3"/>
  <c r="B3168" i="3"/>
  <c r="B3169" i="3"/>
  <c r="B3170" i="3"/>
  <c r="B3171" i="3"/>
  <c r="B3172" i="3"/>
  <c r="B3173" i="3"/>
  <c r="B3174" i="3"/>
  <c r="B3175" i="3"/>
  <c r="B3176" i="3"/>
  <c r="B3177" i="3"/>
  <c r="B3178" i="3"/>
  <c r="B3179" i="3"/>
  <c r="B3180" i="3"/>
  <c r="B3181" i="3"/>
  <c r="B3182" i="3"/>
  <c r="B3183" i="3"/>
  <c r="B3184" i="3"/>
  <c r="B3185" i="3"/>
  <c r="B3186" i="3"/>
  <c r="B3187" i="3"/>
  <c r="B3188" i="3"/>
  <c r="B3189" i="3"/>
  <c r="B3190" i="3"/>
  <c r="B3191" i="3"/>
  <c r="B3192" i="3"/>
  <c r="B3193" i="3"/>
  <c r="B3194" i="3"/>
  <c r="B3195" i="3"/>
  <c r="B3196" i="3"/>
  <c r="B3197" i="3"/>
  <c r="B3198" i="3"/>
  <c r="B3199" i="3"/>
  <c r="B3200" i="3"/>
  <c r="B3201" i="3"/>
  <c r="B3202" i="3"/>
  <c r="B3203" i="3"/>
  <c r="B3204" i="3"/>
  <c r="B3205" i="3"/>
  <c r="B3206" i="3"/>
  <c r="B3207" i="3"/>
  <c r="B3208" i="3"/>
  <c r="B3209" i="3"/>
  <c r="B3210" i="3"/>
  <c r="B3211" i="3"/>
  <c r="B3212" i="3"/>
  <c r="B3213" i="3"/>
  <c r="B3214" i="3"/>
  <c r="B3215" i="3"/>
  <c r="B3216" i="3"/>
  <c r="B3217" i="3"/>
  <c r="B3218" i="3"/>
  <c r="B3219" i="3"/>
  <c r="B3220" i="3"/>
  <c r="B3221" i="3"/>
  <c r="B3222" i="3"/>
  <c r="B3223" i="3"/>
  <c r="B3224" i="3"/>
  <c r="B3225" i="3"/>
  <c r="B3226" i="3"/>
  <c r="B3227" i="3"/>
  <c r="B3228" i="3"/>
  <c r="B3229" i="3"/>
  <c r="B3230" i="3"/>
  <c r="B3231" i="3"/>
  <c r="B3232" i="3"/>
  <c r="B3233" i="3"/>
  <c r="B3234" i="3"/>
  <c r="B3235" i="3"/>
  <c r="B3236" i="3"/>
  <c r="B3237" i="3"/>
  <c r="B3238" i="3"/>
  <c r="B3239" i="3"/>
  <c r="B3240" i="3"/>
  <c r="B3241" i="3"/>
  <c r="B3242" i="3"/>
  <c r="B3243" i="3"/>
  <c r="B3244" i="3"/>
  <c r="B3245" i="3"/>
  <c r="B3246" i="3"/>
  <c r="B3247" i="3"/>
  <c r="B3248" i="3"/>
  <c r="B3249" i="3"/>
  <c r="B3250" i="3"/>
  <c r="B3251" i="3"/>
  <c r="B3252" i="3"/>
  <c r="B3253" i="3"/>
  <c r="B3254" i="3"/>
  <c r="B3255" i="3"/>
  <c r="B3256" i="3"/>
  <c r="B3257" i="3"/>
  <c r="B3258" i="3"/>
  <c r="B3259" i="3"/>
  <c r="B3260" i="3"/>
  <c r="B3261" i="3"/>
  <c r="B3262" i="3"/>
  <c r="B3263" i="3"/>
  <c r="B3264" i="3"/>
  <c r="B3265" i="3"/>
  <c r="B3266" i="3"/>
  <c r="B3267" i="3"/>
  <c r="B3268" i="3"/>
  <c r="B3269" i="3"/>
  <c r="B3270" i="3"/>
  <c r="B3271" i="3"/>
  <c r="B3272" i="3"/>
  <c r="B3273" i="3"/>
  <c r="B3274" i="3"/>
  <c r="B3275" i="3"/>
  <c r="B3276" i="3"/>
  <c r="B3277" i="3"/>
  <c r="B3278" i="3"/>
  <c r="B3279" i="3"/>
  <c r="B3280" i="3"/>
  <c r="B3281" i="3"/>
  <c r="B3282" i="3"/>
  <c r="B3283" i="3"/>
  <c r="B3284" i="3"/>
  <c r="B3285" i="3"/>
  <c r="B3286" i="3"/>
  <c r="B3287" i="3"/>
  <c r="B3288" i="3"/>
  <c r="B3289" i="3"/>
  <c r="B3290" i="3"/>
  <c r="B3291" i="3"/>
  <c r="B3292" i="3"/>
  <c r="B3293" i="3"/>
  <c r="B3294" i="3"/>
  <c r="B3295" i="3"/>
  <c r="B3296" i="3"/>
  <c r="B3297" i="3"/>
  <c r="B3298" i="3"/>
  <c r="B3299" i="3"/>
  <c r="B3300" i="3"/>
  <c r="B3301" i="3"/>
  <c r="B3302" i="3"/>
  <c r="B3303" i="3"/>
  <c r="B3304" i="3"/>
  <c r="B3305" i="3"/>
  <c r="B3306" i="3"/>
  <c r="B3307" i="3"/>
  <c r="B3308" i="3"/>
  <c r="B3309" i="3"/>
  <c r="B3310" i="3"/>
  <c r="B3311" i="3"/>
  <c r="B3312" i="3"/>
  <c r="B3313" i="3"/>
  <c r="B3314" i="3"/>
  <c r="B3315" i="3"/>
  <c r="B3316" i="3"/>
  <c r="B3317" i="3"/>
  <c r="B3318" i="3"/>
  <c r="B3319" i="3"/>
  <c r="B3320" i="3"/>
  <c r="B3321" i="3"/>
  <c r="B3322" i="3"/>
  <c r="B3323" i="3"/>
  <c r="B3324" i="3"/>
  <c r="B3325" i="3"/>
  <c r="B3326" i="3"/>
  <c r="B3327" i="3"/>
  <c r="B3328" i="3"/>
  <c r="B3329" i="3"/>
  <c r="B3330" i="3"/>
  <c r="B3331" i="3"/>
  <c r="B3332" i="3"/>
  <c r="B3333" i="3"/>
  <c r="B3334" i="3"/>
  <c r="B3335" i="3"/>
  <c r="B3336" i="3"/>
  <c r="B3337" i="3"/>
  <c r="B3338" i="3"/>
  <c r="B3339" i="3"/>
  <c r="B3340" i="3"/>
  <c r="B3341" i="3"/>
  <c r="B3342" i="3"/>
  <c r="B3343" i="3"/>
  <c r="B3344" i="3"/>
  <c r="B3345" i="3"/>
  <c r="B3346" i="3"/>
  <c r="B3347" i="3"/>
  <c r="B3348" i="3"/>
  <c r="B3349" i="3"/>
  <c r="B3350" i="3"/>
  <c r="B3351" i="3"/>
  <c r="B3352" i="3"/>
  <c r="B3353" i="3"/>
  <c r="B3354" i="3"/>
  <c r="B3355" i="3"/>
  <c r="B3356" i="3"/>
  <c r="B3357" i="3"/>
  <c r="B3358" i="3"/>
  <c r="B3359" i="3"/>
  <c r="B3360" i="3"/>
  <c r="B3361" i="3"/>
  <c r="B3362" i="3"/>
  <c r="B3363" i="3"/>
  <c r="B3364" i="3"/>
  <c r="B3365" i="3"/>
  <c r="B3366" i="3"/>
  <c r="B3367" i="3"/>
  <c r="B3368" i="3"/>
  <c r="B3369" i="3"/>
  <c r="B3370" i="3"/>
  <c r="B3371" i="3"/>
  <c r="B3372" i="3"/>
  <c r="B3373" i="3"/>
  <c r="B3374" i="3"/>
  <c r="B3375" i="3"/>
  <c r="B3376" i="3"/>
  <c r="B3377" i="3"/>
  <c r="B3378" i="3"/>
  <c r="B3379" i="3"/>
  <c r="B3380" i="3"/>
  <c r="B3381" i="3"/>
  <c r="B3382" i="3"/>
  <c r="B3383" i="3"/>
  <c r="B3384" i="3"/>
  <c r="B3385" i="3"/>
  <c r="B3386" i="3"/>
  <c r="B3387" i="3"/>
  <c r="B3388" i="3"/>
  <c r="B3389" i="3"/>
  <c r="B3390" i="3"/>
  <c r="B3391" i="3"/>
  <c r="B3392" i="3"/>
  <c r="B3393" i="3"/>
  <c r="B3394" i="3"/>
  <c r="B3395" i="3"/>
  <c r="B3396" i="3"/>
  <c r="B3397" i="3"/>
  <c r="B3398" i="3"/>
  <c r="B3399" i="3"/>
  <c r="B3400" i="3"/>
  <c r="B3401" i="3"/>
  <c r="B3402" i="3"/>
  <c r="B3403" i="3"/>
  <c r="B3404" i="3"/>
  <c r="B3405" i="3"/>
  <c r="B3406" i="3"/>
  <c r="B3407" i="3"/>
  <c r="B3408" i="3"/>
  <c r="B3409" i="3"/>
  <c r="B3410" i="3"/>
  <c r="B3411" i="3"/>
  <c r="B3412" i="3"/>
  <c r="B3413" i="3"/>
  <c r="B3414" i="3"/>
  <c r="B3415" i="3"/>
  <c r="B3416" i="3"/>
  <c r="B3417" i="3"/>
  <c r="B3418" i="3"/>
  <c r="B3419" i="3"/>
  <c r="B3420" i="3"/>
  <c r="B3421" i="3"/>
  <c r="B3422" i="3"/>
  <c r="B3423" i="3"/>
  <c r="B3424" i="3"/>
  <c r="B3425" i="3"/>
  <c r="B3426" i="3"/>
  <c r="B3427" i="3"/>
  <c r="B3428" i="3"/>
  <c r="B3429" i="3"/>
  <c r="B3430" i="3"/>
  <c r="B3431" i="3"/>
  <c r="B3432" i="3"/>
  <c r="B3433" i="3"/>
  <c r="B3434" i="3"/>
  <c r="B3435" i="3"/>
  <c r="B3436" i="3"/>
  <c r="B3437" i="3"/>
  <c r="B3438" i="3"/>
  <c r="B3439" i="3"/>
  <c r="B3440" i="3"/>
  <c r="B3441" i="3"/>
  <c r="B3442" i="3"/>
  <c r="B3443" i="3"/>
  <c r="B3444" i="3"/>
  <c r="B3445" i="3"/>
  <c r="B3446" i="3"/>
  <c r="B3447" i="3"/>
  <c r="B3448" i="3"/>
  <c r="B3449" i="3"/>
  <c r="B3450" i="3"/>
  <c r="B3451" i="3"/>
  <c r="B3452" i="3"/>
  <c r="B3453" i="3"/>
  <c r="B3454" i="3"/>
  <c r="B3455" i="3"/>
  <c r="B3456" i="3"/>
  <c r="B3457" i="3"/>
  <c r="B3458" i="3"/>
  <c r="B3459" i="3"/>
  <c r="B3460" i="3"/>
  <c r="B3461" i="3"/>
  <c r="B3462" i="3"/>
  <c r="B3463" i="3"/>
  <c r="B3464" i="3"/>
  <c r="B3465" i="3"/>
  <c r="B3466" i="3"/>
  <c r="B3467" i="3"/>
  <c r="B3468" i="3"/>
  <c r="B3469" i="3"/>
  <c r="B3470" i="3"/>
  <c r="B3471" i="3"/>
  <c r="B3472" i="3"/>
  <c r="B3473" i="3"/>
  <c r="B3474" i="3"/>
  <c r="B3475" i="3"/>
  <c r="B3476" i="3"/>
  <c r="B3477" i="3"/>
  <c r="B3478" i="3"/>
  <c r="B3479" i="3"/>
  <c r="B3480" i="3"/>
  <c r="B3481" i="3"/>
  <c r="B3482" i="3"/>
  <c r="B3483" i="3"/>
  <c r="B3484" i="3"/>
  <c r="B3485" i="3"/>
  <c r="B3486" i="3"/>
  <c r="B3487" i="3"/>
  <c r="B3488" i="3"/>
  <c r="B3489" i="3"/>
  <c r="B3490" i="3"/>
  <c r="B3491" i="3"/>
  <c r="B3492" i="3"/>
  <c r="B3493" i="3"/>
  <c r="B3494" i="3"/>
  <c r="B3495" i="3"/>
  <c r="B3496" i="3"/>
  <c r="B3497" i="3"/>
  <c r="B3498" i="3"/>
  <c r="B3499" i="3"/>
  <c r="B3500" i="3"/>
  <c r="B3501" i="3"/>
  <c r="B3502" i="3"/>
  <c r="B3503" i="3"/>
  <c r="B3504" i="3"/>
  <c r="B3505" i="3"/>
  <c r="B3506" i="3"/>
  <c r="B3507" i="3"/>
  <c r="B3508" i="3"/>
  <c r="B3509" i="3"/>
  <c r="B3510" i="3"/>
  <c r="B3511" i="3"/>
  <c r="B3512" i="3"/>
  <c r="B3513" i="3"/>
  <c r="B3514" i="3"/>
  <c r="B3515" i="3"/>
  <c r="B3516" i="3"/>
  <c r="B3517" i="3"/>
  <c r="B3518" i="3"/>
  <c r="B3519" i="3"/>
  <c r="B3520" i="3"/>
  <c r="B3521" i="3"/>
  <c r="B3522" i="3"/>
  <c r="B3523" i="3"/>
  <c r="B3524" i="3"/>
  <c r="B3525" i="3"/>
  <c r="B3526" i="3"/>
  <c r="B3527" i="3"/>
  <c r="B3528" i="3"/>
  <c r="B3529" i="3"/>
  <c r="B3530" i="3"/>
  <c r="B3531" i="3"/>
  <c r="B3532" i="3"/>
  <c r="B3533" i="3"/>
  <c r="B3534" i="3"/>
  <c r="B3535" i="3"/>
  <c r="B3536" i="3"/>
  <c r="B3537" i="3"/>
  <c r="B3538" i="3"/>
  <c r="B3539" i="3"/>
  <c r="B3540" i="3"/>
  <c r="B3541" i="3"/>
  <c r="B3542" i="3"/>
  <c r="B3543" i="3"/>
  <c r="B3544" i="3"/>
  <c r="B3545" i="3"/>
  <c r="B3546" i="3"/>
  <c r="B3547" i="3"/>
  <c r="B3548" i="3"/>
  <c r="B3549" i="3"/>
  <c r="B3550" i="3"/>
  <c r="B3551" i="3"/>
  <c r="B3552" i="3"/>
  <c r="B3553" i="3"/>
  <c r="B3554" i="3"/>
  <c r="B3555" i="3"/>
  <c r="B3556" i="3"/>
  <c r="B3557" i="3"/>
  <c r="B3558" i="3"/>
  <c r="B3559" i="3"/>
  <c r="B3560" i="3"/>
  <c r="B3561" i="3"/>
  <c r="B3562" i="3"/>
  <c r="B3563" i="3"/>
  <c r="B3564" i="3"/>
  <c r="B3565" i="3"/>
  <c r="B3566" i="3"/>
  <c r="B3567" i="3"/>
  <c r="B3568" i="3"/>
  <c r="B3569" i="3"/>
  <c r="B3570" i="3"/>
  <c r="B3571" i="3"/>
  <c r="B3572" i="3"/>
  <c r="B3573" i="3"/>
  <c r="B3574" i="3"/>
  <c r="B3575" i="3"/>
  <c r="B3576" i="3"/>
  <c r="B3577" i="3"/>
  <c r="B3578" i="3"/>
  <c r="B3579" i="3"/>
  <c r="B3580" i="3"/>
  <c r="B3581" i="3"/>
  <c r="B3582" i="3"/>
  <c r="B3583" i="3"/>
  <c r="B3584" i="3"/>
  <c r="B3585" i="3"/>
  <c r="B3586" i="3"/>
  <c r="B3587" i="3"/>
  <c r="B3588" i="3"/>
  <c r="B3589" i="3"/>
  <c r="B3590" i="3"/>
  <c r="B3591" i="3"/>
  <c r="B3592" i="3"/>
  <c r="B3593" i="3"/>
  <c r="B3594" i="3"/>
  <c r="B3595" i="3"/>
  <c r="B3596" i="3"/>
  <c r="B3597" i="3"/>
  <c r="B3598" i="3"/>
  <c r="B3599" i="3"/>
  <c r="B3600" i="3"/>
  <c r="B3601" i="3"/>
  <c r="B3602" i="3"/>
  <c r="B3603" i="3"/>
  <c r="B3604" i="3"/>
  <c r="B3605" i="3"/>
  <c r="B3606" i="3"/>
  <c r="B3607" i="3"/>
  <c r="B3608" i="3"/>
  <c r="B3609" i="3"/>
  <c r="B3610" i="3"/>
  <c r="B3611" i="3"/>
  <c r="B3612" i="3"/>
  <c r="B3613" i="3"/>
  <c r="B3614" i="3"/>
  <c r="B3615" i="3"/>
  <c r="B3616" i="3"/>
  <c r="B3617" i="3"/>
  <c r="B3618" i="3"/>
  <c r="B3619" i="3"/>
  <c r="B3620" i="3"/>
  <c r="B3621" i="3"/>
  <c r="B3622" i="3"/>
  <c r="B3623" i="3"/>
  <c r="B3624" i="3"/>
  <c r="B3625" i="3"/>
  <c r="B3626" i="3"/>
  <c r="B3627" i="3"/>
  <c r="B3628" i="3"/>
  <c r="B3629" i="3"/>
  <c r="B3630" i="3"/>
  <c r="B3631" i="3"/>
  <c r="B3632" i="3"/>
  <c r="B3633" i="3"/>
  <c r="B3634" i="3"/>
  <c r="B3635" i="3"/>
  <c r="B3636" i="3"/>
  <c r="B3637" i="3"/>
  <c r="B3638" i="3"/>
  <c r="B3639" i="3"/>
  <c r="B3640" i="3"/>
  <c r="B3641" i="3"/>
  <c r="B3642" i="3"/>
  <c r="B3643" i="3"/>
  <c r="B3644" i="3"/>
  <c r="B3645" i="3"/>
  <c r="B3646" i="3"/>
  <c r="B3647" i="3"/>
  <c r="B3648" i="3"/>
  <c r="B3649" i="3"/>
  <c r="B3650" i="3"/>
  <c r="B3651" i="3"/>
  <c r="B3652" i="3"/>
  <c r="B3653" i="3"/>
  <c r="B3654" i="3"/>
  <c r="B3655" i="3"/>
  <c r="B3656" i="3"/>
  <c r="B3657" i="3"/>
  <c r="B3658" i="3"/>
  <c r="B3659" i="3"/>
  <c r="B3660" i="3"/>
  <c r="B3661" i="3"/>
  <c r="B3662" i="3"/>
  <c r="B3663" i="3"/>
  <c r="B3664" i="3"/>
  <c r="B3665" i="3"/>
  <c r="B3666" i="3"/>
  <c r="B3667" i="3"/>
  <c r="B3668" i="3"/>
  <c r="B3669" i="3"/>
  <c r="B3670" i="3"/>
  <c r="B3671" i="3"/>
  <c r="B3672" i="3"/>
  <c r="B3673" i="3"/>
  <c r="B3674" i="3"/>
  <c r="B3675" i="3"/>
  <c r="B3676" i="3"/>
  <c r="B3677" i="3"/>
  <c r="B3678" i="3"/>
  <c r="B3679" i="3"/>
  <c r="B3680" i="3"/>
  <c r="B3681" i="3"/>
  <c r="B3682" i="3"/>
  <c r="B3683" i="3"/>
  <c r="B3684" i="3"/>
  <c r="B3685" i="3"/>
  <c r="B3686" i="3"/>
  <c r="B3687" i="3"/>
  <c r="B3688" i="3"/>
  <c r="B3689" i="3"/>
  <c r="B3690" i="3"/>
  <c r="B3691" i="3"/>
  <c r="B3692" i="3"/>
  <c r="B3693" i="3"/>
  <c r="B3694" i="3"/>
  <c r="B3695" i="3"/>
  <c r="B3696" i="3"/>
  <c r="B3697" i="3"/>
  <c r="B3698" i="3"/>
  <c r="B3699" i="3"/>
  <c r="B3700" i="3"/>
  <c r="B3701" i="3"/>
  <c r="B3702" i="3"/>
  <c r="B3703" i="3"/>
  <c r="B3704" i="3"/>
  <c r="B3705" i="3"/>
  <c r="B3706" i="3"/>
  <c r="B3707" i="3"/>
  <c r="B3708" i="3"/>
  <c r="B3709" i="3"/>
  <c r="B3710" i="3"/>
  <c r="B3711" i="3"/>
  <c r="B3712" i="3"/>
  <c r="B3713" i="3"/>
  <c r="B3714" i="3"/>
  <c r="B3715" i="3"/>
  <c r="B3716" i="3"/>
  <c r="B3717" i="3"/>
  <c r="B3718" i="3"/>
  <c r="B3719" i="3"/>
  <c r="B3720" i="3"/>
  <c r="B3721" i="3"/>
  <c r="B3722" i="3"/>
  <c r="B3723" i="3"/>
  <c r="B3724" i="3"/>
  <c r="B3725" i="3"/>
  <c r="B3726" i="3"/>
  <c r="B3727" i="3"/>
  <c r="B3728" i="3"/>
  <c r="B3729" i="3"/>
  <c r="B3730" i="3"/>
  <c r="B3731" i="3"/>
  <c r="B3732" i="3"/>
  <c r="B3733" i="3"/>
  <c r="B3734" i="3"/>
  <c r="B3735" i="3"/>
  <c r="B3736" i="3"/>
  <c r="B3737" i="3"/>
  <c r="B3738" i="3"/>
  <c r="B3739" i="3"/>
  <c r="B3740" i="3"/>
  <c r="B3741" i="3"/>
  <c r="B3742" i="3"/>
  <c r="B3743" i="3"/>
  <c r="B3744" i="3"/>
  <c r="B3745" i="3"/>
  <c r="B3746" i="3"/>
  <c r="B3747" i="3"/>
  <c r="B3748" i="3"/>
  <c r="B3749" i="3"/>
  <c r="B3750" i="3"/>
  <c r="B3751" i="3"/>
  <c r="B3752" i="3"/>
  <c r="B3753" i="3"/>
  <c r="B3754" i="3"/>
  <c r="B3755" i="3"/>
  <c r="B3756" i="3"/>
  <c r="B3757" i="3"/>
  <c r="B3758" i="3"/>
  <c r="B3759" i="3"/>
  <c r="B3760" i="3"/>
  <c r="B3761" i="3"/>
  <c r="B3762" i="3"/>
  <c r="B3763" i="3"/>
  <c r="B3764" i="3"/>
  <c r="B3765" i="3"/>
  <c r="B3766" i="3"/>
  <c r="B3767" i="3"/>
  <c r="B3768" i="3"/>
  <c r="B3769" i="3"/>
  <c r="B3770" i="3"/>
  <c r="B3771" i="3"/>
  <c r="B3772" i="3"/>
  <c r="B3773" i="3"/>
  <c r="B3774" i="3"/>
  <c r="B3775" i="3"/>
  <c r="B3776" i="3"/>
  <c r="B3777" i="3"/>
  <c r="B3778" i="3"/>
  <c r="B3779" i="3"/>
  <c r="B3780" i="3"/>
  <c r="B3781" i="3"/>
  <c r="B3782" i="3"/>
  <c r="B3783" i="3"/>
  <c r="B3784" i="3"/>
  <c r="B3785" i="3"/>
  <c r="B3786" i="3"/>
  <c r="B3787" i="3"/>
  <c r="B3788" i="3"/>
  <c r="B3789" i="3"/>
  <c r="B3790" i="3"/>
  <c r="B3791" i="3"/>
  <c r="B3792" i="3"/>
  <c r="B3793" i="3"/>
  <c r="B3794" i="3"/>
  <c r="B3795" i="3"/>
  <c r="B3796" i="3"/>
  <c r="B3797" i="3"/>
  <c r="B3798" i="3"/>
  <c r="B3799" i="3"/>
  <c r="B3800" i="3"/>
  <c r="B3801" i="3"/>
  <c r="B3802" i="3"/>
  <c r="B3803" i="3"/>
  <c r="B3804" i="3"/>
  <c r="B3805" i="3"/>
  <c r="B3806" i="3"/>
  <c r="B3807" i="3"/>
  <c r="B3808" i="3"/>
  <c r="B3809" i="3"/>
  <c r="B3810" i="3"/>
  <c r="B3811" i="3"/>
  <c r="B3812" i="3"/>
  <c r="B3813" i="3"/>
  <c r="B3814" i="3"/>
  <c r="B3815" i="3"/>
  <c r="B3816" i="3"/>
  <c r="B3817" i="3"/>
  <c r="B3818" i="3"/>
  <c r="B3819" i="3"/>
  <c r="B3820" i="3"/>
  <c r="B3821" i="3"/>
  <c r="B3822" i="3"/>
  <c r="B3823" i="3"/>
  <c r="B3824" i="3"/>
  <c r="B3825" i="3"/>
  <c r="B3826" i="3"/>
  <c r="B3827" i="3"/>
  <c r="B3828" i="3"/>
  <c r="B3829" i="3"/>
  <c r="B3830" i="3"/>
  <c r="B3831" i="3"/>
  <c r="B3832" i="3"/>
  <c r="B3833" i="3"/>
  <c r="B3834" i="3"/>
  <c r="B3835" i="3"/>
  <c r="B3836" i="3"/>
  <c r="B3837" i="3"/>
  <c r="B3838" i="3"/>
  <c r="B3839" i="3"/>
  <c r="B3840" i="3"/>
  <c r="B3841" i="3"/>
  <c r="B3842" i="3"/>
  <c r="B3843" i="3"/>
  <c r="B3844" i="3"/>
  <c r="B3845" i="3"/>
  <c r="B3846" i="3"/>
  <c r="B3847" i="3"/>
  <c r="B3848" i="3"/>
  <c r="B3849" i="3"/>
  <c r="B3850" i="3"/>
  <c r="B3851" i="3"/>
  <c r="B3852" i="3"/>
  <c r="B3853" i="3"/>
  <c r="B3854" i="3"/>
  <c r="B3855" i="3"/>
  <c r="B3856" i="3"/>
  <c r="B3857" i="3"/>
  <c r="B3858" i="3"/>
  <c r="B3859" i="3"/>
  <c r="B3860" i="3"/>
  <c r="B3861" i="3"/>
  <c r="B3862" i="3"/>
  <c r="B3863" i="3"/>
  <c r="B3864" i="3"/>
  <c r="B3865" i="3"/>
  <c r="B3866" i="3"/>
  <c r="B3867" i="3"/>
  <c r="B3868" i="3"/>
  <c r="B3869" i="3"/>
  <c r="B3870" i="3"/>
  <c r="B3871" i="3"/>
  <c r="B3872" i="3"/>
  <c r="B3873" i="3"/>
  <c r="B3874" i="3"/>
  <c r="B3875" i="3"/>
  <c r="B3876" i="3"/>
  <c r="B3877" i="3"/>
  <c r="B3878" i="3"/>
  <c r="B3879" i="3"/>
  <c r="B3880" i="3"/>
  <c r="B3881" i="3"/>
  <c r="B3882" i="3"/>
  <c r="B3883" i="3"/>
  <c r="B3884" i="3"/>
  <c r="B3885" i="3"/>
  <c r="B3886" i="3"/>
  <c r="B3887" i="3"/>
  <c r="B3888" i="3"/>
  <c r="B3889" i="3"/>
  <c r="B3890" i="3"/>
  <c r="B3891" i="3"/>
  <c r="B3892" i="3"/>
  <c r="B3893" i="3"/>
  <c r="B3894" i="3"/>
  <c r="B3895" i="3"/>
  <c r="B3896" i="3"/>
  <c r="B3897" i="3"/>
  <c r="B3898" i="3"/>
  <c r="B3899" i="3"/>
  <c r="B3900" i="3"/>
  <c r="B3901" i="3"/>
  <c r="B3902" i="3"/>
  <c r="B3903" i="3"/>
  <c r="B3904" i="3"/>
  <c r="B3905" i="3"/>
  <c r="B3906" i="3"/>
  <c r="B3907" i="3"/>
  <c r="B3908" i="3"/>
  <c r="B3909" i="3"/>
  <c r="B3910" i="3"/>
  <c r="B3911" i="3"/>
  <c r="B3912" i="3"/>
  <c r="B3913" i="3"/>
  <c r="B3914" i="3"/>
  <c r="B3915" i="3"/>
  <c r="B3916" i="3"/>
  <c r="B3917" i="3"/>
  <c r="B3918" i="3"/>
  <c r="B3919" i="3"/>
  <c r="B3920" i="3"/>
  <c r="B3921" i="3"/>
  <c r="B3922" i="3"/>
  <c r="B3923" i="3"/>
  <c r="B3924" i="3"/>
  <c r="B3925" i="3"/>
  <c r="B3926" i="3"/>
  <c r="B3927" i="3"/>
  <c r="B3928" i="3"/>
  <c r="B3929" i="3"/>
  <c r="B3930" i="3"/>
  <c r="B3931" i="3"/>
  <c r="B3932" i="3"/>
  <c r="B3933" i="3"/>
  <c r="B3934" i="3"/>
  <c r="B3935" i="3"/>
  <c r="B3936" i="3"/>
  <c r="B3937" i="3"/>
  <c r="B3938" i="3"/>
  <c r="B3939" i="3"/>
  <c r="B3940" i="3"/>
  <c r="B3941" i="3"/>
  <c r="B3942" i="3"/>
  <c r="B3943" i="3"/>
  <c r="B3944" i="3"/>
  <c r="B3945" i="3"/>
  <c r="B3946" i="3"/>
  <c r="B3947" i="3"/>
  <c r="B3948" i="3"/>
  <c r="B3949" i="3"/>
  <c r="B3950" i="3"/>
  <c r="B3951" i="3"/>
  <c r="B3952" i="3"/>
  <c r="B3953" i="3"/>
  <c r="B3954" i="3"/>
  <c r="B3955" i="3"/>
  <c r="B3956" i="3"/>
  <c r="B3957" i="3"/>
  <c r="B3958" i="3"/>
  <c r="B3959" i="3"/>
  <c r="B3960" i="3"/>
  <c r="B3961" i="3"/>
  <c r="B3962" i="3"/>
  <c r="B3963" i="3"/>
  <c r="B3964" i="3"/>
  <c r="B3965" i="3"/>
  <c r="B3966" i="3"/>
  <c r="B3967" i="3"/>
  <c r="B3968" i="3"/>
  <c r="B3969" i="3"/>
  <c r="B3970" i="3"/>
  <c r="B3971" i="3"/>
  <c r="B3972" i="3"/>
  <c r="B3973" i="3"/>
  <c r="B3974" i="3"/>
  <c r="B3975" i="3"/>
  <c r="B3976" i="3"/>
  <c r="B3977" i="3"/>
  <c r="B3978" i="3"/>
  <c r="B3979" i="3"/>
  <c r="B3980" i="3"/>
  <c r="B3981" i="3"/>
  <c r="B3982" i="3"/>
  <c r="B3983" i="3"/>
  <c r="B3984" i="3"/>
  <c r="B3985" i="3"/>
  <c r="B3986" i="3"/>
  <c r="B3987" i="3"/>
  <c r="B3988" i="3"/>
  <c r="B3989" i="3"/>
  <c r="B3990" i="3"/>
  <c r="B3991" i="3"/>
  <c r="B3992" i="3"/>
  <c r="B3993" i="3"/>
  <c r="B3994" i="3"/>
  <c r="B3995" i="3"/>
  <c r="B3996" i="3"/>
  <c r="B3997" i="3"/>
  <c r="B3998" i="3"/>
  <c r="B3999" i="3"/>
  <c r="B4000" i="3"/>
  <c r="B4001" i="3"/>
  <c r="B4002" i="3"/>
  <c r="B4003" i="3"/>
  <c r="B4004" i="3"/>
  <c r="B4005" i="3"/>
  <c r="B4006" i="3"/>
  <c r="B4007" i="3"/>
  <c r="B4008" i="3"/>
  <c r="B4009" i="3"/>
  <c r="B4010" i="3"/>
  <c r="B4011" i="3"/>
  <c r="B4012" i="3"/>
  <c r="B4013" i="3"/>
  <c r="B4014" i="3"/>
  <c r="B4015" i="3"/>
  <c r="B4016" i="3"/>
  <c r="B4017" i="3"/>
  <c r="B4018" i="3"/>
  <c r="B4019" i="3"/>
  <c r="B4020" i="3"/>
  <c r="B4021" i="3"/>
  <c r="B4022" i="3"/>
  <c r="B4023" i="3"/>
  <c r="B4024" i="3"/>
  <c r="B4025" i="3"/>
  <c r="B4026" i="3"/>
  <c r="B4027" i="3"/>
  <c r="B4028" i="3"/>
  <c r="B4029" i="3"/>
  <c r="B4030" i="3"/>
  <c r="B4031" i="3"/>
  <c r="B4032" i="3"/>
  <c r="B4033" i="3"/>
  <c r="B4034" i="3"/>
  <c r="B4035" i="3"/>
  <c r="B4036" i="3"/>
  <c r="B4037" i="3"/>
  <c r="B4038" i="3"/>
  <c r="B4039" i="3"/>
  <c r="B4040" i="3"/>
  <c r="B4041" i="3"/>
  <c r="B4042" i="3"/>
  <c r="B4043" i="3"/>
  <c r="B4044" i="3"/>
  <c r="B4045" i="3"/>
  <c r="B4046" i="3"/>
  <c r="B4047" i="3"/>
  <c r="B4048" i="3"/>
  <c r="B4049" i="3"/>
  <c r="B4050" i="3"/>
  <c r="B4051" i="3"/>
  <c r="B4052" i="3"/>
  <c r="B4053" i="3"/>
  <c r="B4054" i="3"/>
  <c r="B4055" i="3"/>
  <c r="B4056" i="3"/>
  <c r="B4057" i="3"/>
  <c r="B4058" i="3"/>
  <c r="B4059" i="3"/>
  <c r="B4060" i="3"/>
  <c r="B4061" i="3"/>
  <c r="B4062" i="3"/>
  <c r="B4063" i="3"/>
  <c r="B4064" i="3"/>
  <c r="B4065" i="3"/>
  <c r="B4066" i="3"/>
  <c r="B4067" i="3"/>
  <c r="B4068" i="3"/>
  <c r="B4069" i="3"/>
  <c r="B4070" i="3"/>
  <c r="B4071" i="3"/>
  <c r="B4072" i="3"/>
  <c r="B4073" i="3"/>
  <c r="B4074" i="3"/>
  <c r="B4075" i="3"/>
  <c r="B4076" i="3"/>
  <c r="B4077" i="3"/>
  <c r="B4078" i="3"/>
  <c r="B4079" i="3"/>
  <c r="B4080" i="3"/>
  <c r="B4081" i="3"/>
  <c r="B4082" i="3"/>
  <c r="B4083" i="3"/>
  <c r="B4084" i="3"/>
  <c r="B4085" i="3"/>
  <c r="B4086" i="3"/>
  <c r="B4087" i="3"/>
  <c r="B4088" i="3"/>
  <c r="B4089" i="3"/>
  <c r="B4090" i="3"/>
  <c r="B4091" i="3"/>
  <c r="B4092" i="3"/>
  <c r="B4093" i="3"/>
  <c r="B4094" i="3"/>
  <c r="B4095" i="3"/>
  <c r="B4096" i="3"/>
  <c r="B4097" i="3"/>
  <c r="B4098" i="3"/>
  <c r="B4099" i="3"/>
  <c r="B4100" i="3"/>
  <c r="B4101" i="3"/>
  <c r="B4102" i="3"/>
  <c r="B4103" i="3"/>
  <c r="B4104" i="3"/>
  <c r="B4105" i="3"/>
  <c r="B4106" i="3"/>
  <c r="B4107" i="3"/>
  <c r="B4108" i="3"/>
  <c r="B4109" i="3"/>
  <c r="B4110" i="3"/>
  <c r="B4111" i="3"/>
  <c r="B4112" i="3"/>
  <c r="B4113" i="3"/>
  <c r="B4114" i="3"/>
  <c r="B4115" i="3"/>
  <c r="B4116" i="3"/>
  <c r="B4117" i="3"/>
  <c r="B4118" i="3"/>
  <c r="B4119" i="3"/>
  <c r="B4120" i="3"/>
  <c r="B4121" i="3"/>
  <c r="B4122" i="3"/>
  <c r="B4123" i="3"/>
  <c r="B4124" i="3"/>
  <c r="B4125" i="3"/>
  <c r="B4126" i="3"/>
  <c r="B4127" i="3"/>
  <c r="B4128" i="3"/>
  <c r="B4129" i="3"/>
  <c r="B4130" i="3"/>
  <c r="B4131" i="3"/>
  <c r="B4132" i="3"/>
  <c r="B4133" i="3"/>
  <c r="B4134" i="3"/>
  <c r="B4135" i="3"/>
  <c r="B4136" i="3"/>
  <c r="B4137" i="3"/>
  <c r="B4138" i="3"/>
  <c r="B4139" i="3"/>
  <c r="B4140" i="3"/>
  <c r="B4141" i="3"/>
  <c r="B4142" i="3"/>
  <c r="B4143" i="3"/>
  <c r="B4144" i="3"/>
  <c r="B4145" i="3"/>
  <c r="B4146" i="3"/>
  <c r="B4147" i="3"/>
  <c r="B4148" i="3"/>
  <c r="B4149" i="3"/>
  <c r="B4150" i="3"/>
  <c r="B4151" i="3"/>
  <c r="B4152" i="3"/>
  <c r="B4153" i="3"/>
  <c r="B4154" i="3"/>
  <c r="B4155" i="3"/>
  <c r="B4156" i="3"/>
  <c r="B4157" i="3"/>
  <c r="B4158" i="3"/>
  <c r="B4159" i="3"/>
  <c r="B4160" i="3"/>
  <c r="B4161" i="3"/>
  <c r="B4162" i="3"/>
  <c r="B4163" i="3"/>
  <c r="B4164" i="3"/>
  <c r="B4165" i="3"/>
  <c r="B4166" i="3"/>
  <c r="B4167" i="3"/>
  <c r="B4168" i="3"/>
  <c r="B4169" i="3"/>
  <c r="B4170" i="3"/>
  <c r="B4171" i="3"/>
  <c r="B4172" i="3"/>
  <c r="B4173" i="3"/>
  <c r="B4174" i="3"/>
  <c r="B4175" i="3"/>
  <c r="B4176" i="3"/>
  <c r="B4177" i="3"/>
  <c r="B4178" i="3"/>
  <c r="B4179" i="3"/>
  <c r="B4180" i="3"/>
  <c r="B4181" i="3"/>
  <c r="B4182" i="3"/>
  <c r="B4183" i="3"/>
  <c r="B4184" i="3"/>
  <c r="B4185" i="3"/>
  <c r="B4186" i="3"/>
  <c r="B4187" i="3"/>
  <c r="B4188" i="3"/>
  <c r="B4189" i="3"/>
  <c r="B4190" i="3"/>
  <c r="B4191" i="3"/>
  <c r="B4192" i="3"/>
  <c r="B4193" i="3"/>
  <c r="B4194" i="3"/>
  <c r="B4195" i="3"/>
  <c r="B4196" i="3"/>
  <c r="B4197" i="3"/>
  <c r="B4198" i="3"/>
  <c r="B4199" i="3"/>
  <c r="B4200" i="3"/>
  <c r="B4201" i="3"/>
  <c r="B4202" i="3"/>
  <c r="B4203" i="3"/>
  <c r="B4204" i="3"/>
  <c r="B4205" i="3"/>
  <c r="B4206" i="3"/>
  <c r="B4207" i="3"/>
  <c r="B4208" i="3"/>
  <c r="B4209" i="3"/>
  <c r="B4210" i="3"/>
  <c r="B4211" i="3"/>
  <c r="B4212" i="3"/>
  <c r="B4213" i="3"/>
  <c r="B4214" i="3"/>
  <c r="B4215" i="3"/>
  <c r="B4216" i="3"/>
  <c r="B4217" i="3"/>
  <c r="B4218" i="3"/>
  <c r="B4219" i="3"/>
  <c r="B4220" i="3"/>
  <c r="B4221" i="3"/>
  <c r="B4222" i="3"/>
  <c r="B4223" i="3"/>
  <c r="B4224" i="3"/>
  <c r="B4225" i="3"/>
  <c r="B4226" i="3"/>
  <c r="B4227" i="3"/>
  <c r="B4228" i="3"/>
  <c r="B4229" i="3"/>
  <c r="B4230" i="3"/>
  <c r="B4231" i="3"/>
  <c r="B4232" i="3"/>
  <c r="B4233" i="3"/>
  <c r="B4234" i="3"/>
  <c r="B4235" i="3"/>
  <c r="B4236" i="3"/>
  <c r="B4237" i="3"/>
  <c r="B4238" i="3"/>
  <c r="B4239" i="3"/>
  <c r="B4240" i="3"/>
  <c r="B4241" i="3"/>
  <c r="B4242" i="3"/>
  <c r="B4243" i="3"/>
  <c r="B4244" i="3"/>
  <c r="B4245" i="3"/>
  <c r="B4246" i="3"/>
  <c r="B4247" i="3"/>
  <c r="B4248" i="3"/>
  <c r="B4249" i="3"/>
  <c r="B4250" i="3"/>
  <c r="B4251" i="3"/>
  <c r="B4252" i="3"/>
  <c r="B4253" i="3"/>
  <c r="B4254" i="3"/>
  <c r="B4255" i="3"/>
  <c r="B4256" i="3"/>
  <c r="B4257" i="3"/>
  <c r="B4258" i="3"/>
  <c r="B4259" i="3"/>
  <c r="B4260" i="3"/>
  <c r="B4261" i="3"/>
  <c r="B4262" i="3"/>
  <c r="B4263" i="3"/>
  <c r="B4264" i="3"/>
  <c r="B4265" i="3"/>
  <c r="B4266" i="3"/>
  <c r="B4267" i="3"/>
  <c r="B4268" i="3"/>
  <c r="B4269" i="3"/>
  <c r="B4270" i="3"/>
  <c r="B4271" i="3"/>
  <c r="B4272" i="3"/>
  <c r="B4273" i="3"/>
  <c r="B4274" i="3"/>
  <c r="B4275" i="3"/>
  <c r="B4276" i="3"/>
  <c r="B4277" i="3"/>
  <c r="B4278" i="3"/>
  <c r="B4279" i="3"/>
  <c r="B4280" i="3"/>
  <c r="B4281" i="3"/>
  <c r="B4282" i="3"/>
  <c r="B4283" i="3"/>
  <c r="B4284" i="3"/>
  <c r="B4285" i="3"/>
  <c r="B4286" i="3"/>
  <c r="B4287" i="3"/>
  <c r="B4288" i="3"/>
  <c r="B4289" i="3"/>
  <c r="B4290" i="3"/>
  <c r="B4291" i="3"/>
  <c r="B4292" i="3"/>
  <c r="B4293" i="3"/>
  <c r="B4294" i="3"/>
  <c r="B4295" i="3"/>
  <c r="B4296" i="3"/>
  <c r="B4297" i="3"/>
  <c r="B4298" i="3"/>
  <c r="B4299" i="3"/>
  <c r="B4300" i="3"/>
  <c r="B4301" i="3"/>
  <c r="B4302" i="3"/>
  <c r="B4303" i="3"/>
  <c r="B4304" i="3"/>
  <c r="B4305" i="3"/>
  <c r="B4306" i="3"/>
  <c r="B4307" i="3"/>
  <c r="B4308" i="3"/>
  <c r="B4309" i="3"/>
  <c r="B4310" i="3"/>
  <c r="B4311" i="3"/>
  <c r="B4312" i="3"/>
  <c r="B4313" i="3"/>
  <c r="B4314" i="3"/>
  <c r="B4315" i="3"/>
  <c r="B4316" i="3"/>
  <c r="B4317" i="3"/>
  <c r="B4318" i="3"/>
  <c r="B4319" i="3"/>
  <c r="B4320" i="3"/>
  <c r="B4321" i="3"/>
  <c r="B4322" i="3"/>
  <c r="B4323" i="3"/>
  <c r="B4324" i="3"/>
  <c r="B4325" i="3"/>
  <c r="B4326" i="3"/>
  <c r="B4327" i="3"/>
  <c r="B4328" i="3"/>
  <c r="B4329" i="3"/>
  <c r="B4330" i="3"/>
  <c r="B4331" i="3"/>
  <c r="B4332" i="3"/>
  <c r="B4333" i="3"/>
  <c r="B4334" i="3"/>
  <c r="B4335" i="3"/>
  <c r="B4336" i="3"/>
  <c r="B4337" i="3"/>
  <c r="B4338" i="3"/>
  <c r="B4339" i="3"/>
  <c r="B4340" i="3"/>
  <c r="B4341" i="3"/>
  <c r="B4342" i="3"/>
  <c r="B4343" i="3"/>
  <c r="B4344" i="3"/>
  <c r="B4345" i="3"/>
  <c r="B4346" i="3"/>
  <c r="B4347" i="3"/>
  <c r="B4348" i="3"/>
  <c r="B4349" i="3"/>
  <c r="B4350" i="3"/>
  <c r="B4351" i="3"/>
  <c r="B4352" i="3"/>
  <c r="B4353" i="3"/>
  <c r="B4354" i="3"/>
  <c r="B4355" i="3"/>
  <c r="B4356" i="3"/>
  <c r="B4357" i="3"/>
  <c r="B4358" i="3"/>
  <c r="B4359" i="3"/>
  <c r="B4360" i="3"/>
  <c r="B4361" i="3"/>
  <c r="B4362" i="3"/>
  <c r="B4363" i="3"/>
  <c r="B4364" i="3"/>
  <c r="B4365" i="3"/>
  <c r="B4366" i="3"/>
  <c r="B4367" i="3"/>
  <c r="B4368" i="3"/>
  <c r="B4369" i="3"/>
  <c r="B4370" i="3"/>
  <c r="B4371" i="3"/>
  <c r="B4372" i="3"/>
  <c r="B4373" i="3"/>
  <c r="B4374" i="3"/>
  <c r="B4375" i="3"/>
  <c r="B4376" i="3"/>
  <c r="B4377" i="3"/>
  <c r="B4378" i="3"/>
  <c r="B4379" i="3"/>
  <c r="B4380" i="3"/>
  <c r="B4381" i="3"/>
  <c r="B4382" i="3"/>
  <c r="B4383" i="3"/>
  <c r="B4384" i="3"/>
  <c r="B4385" i="3"/>
  <c r="B4386" i="3"/>
  <c r="B4387" i="3"/>
  <c r="B4388" i="3"/>
  <c r="B4389" i="3"/>
  <c r="B4390" i="3"/>
  <c r="B4391" i="3"/>
  <c r="B4392" i="3"/>
  <c r="B4393" i="3"/>
  <c r="B4394" i="3"/>
  <c r="B4395" i="3"/>
  <c r="B4396" i="3"/>
  <c r="B4397" i="3"/>
  <c r="B4398" i="3"/>
  <c r="B4399" i="3"/>
  <c r="B4400" i="3"/>
  <c r="B4401" i="3"/>
  <c r="B4402" i="3"/>
  <c r="B4403" i="3"/>
  <c r="B4404" i="3"/>
  <c r="B4405" i="3"/>
  <c r="B4406" i="3"/>
  <c r="B4407" i="3"/>
  <c r="B4408" i="3"/>
  <c r="B4409" i="3"/>
  <c r="B4410" i="3"/>
  <c r="B4411" i="3"/>
  <c r="B4412" i="3"/>
  <c r="B4413" i="3"/>
  <c r="B4414" i="3"/>
  <c r="B4415" i="3"/>
  <c r="B4416" i="3"/>
  <c r="B4417" i="3"/>
  <c r="B4418" i="3"/>
  <c r="B4419" i="3"/>
  <c r="B4420" i="3"/>
  <c r="B4421" i="3"/>
  <c r="B4422" i="3"/>
  <c r="B4423" i="3"/>
  <c r="B4424" i="3"/>
  <c r="B4425" i="3"/>
  <c r="B4426" i="3"/>
  <c r="B4427" i="3"/>
  <c r="B4428" i="3"/>
  <c r="B4429" i="3"/>
  <c r="B4430" i="3"/>
  <c r="B4431" i="3"/>
  <c r="B4432" i="3"/>
  <c r="B4433" i="3"/>
  <c r="B4434" i="3"/>
  <c r="B4435" i="3"/>
  <c r="B4436" i="3"/>
  <c r="B4437" i="3"/>
  <c r="B4438" i="3"/>
  <c r="B4439" i="3"/>
  <c r="B4440" i="3"/>
  <c r="B4441" i="3"/>
  <c r="B4442" i="3"/>
  <c r="B4443" i="3"/>
  <c r="B4444" i="3"/>
  <c r="B4445" i="3"/>
  <c r="B4446" i="3"/>
  <c r="B4447" i="3"/>
  <c r="B4448" i="3"/>
  <c r="B4449" i="3"/>
  <c r="B4450" i="3"/>
  <c r="B4451" i="3"/>
  <c r="B4452" i="3"/>
  <c r="B4453" i="3"/>
  <c r="B4454" i="3"/>
  <c r="B4455" i="3"/>
  <c r="B4456" i="3"/>
  <c r="B4457" i="3"/>
  <c r="B4458" i="3"/>
  <c r="B4459" i="3"/>
  <c r="B4460" i="3"/>
  <c r="B4461" i="3"/>
  <c r="B4462" i="3"/>
  <c r="B4463" i="3"/>
  <c r="B4464" i="3"/>
  <c r="B4465" i="3"/>
  <c r="B4466" i="3"/>
  <c r="B4467" i="3"/>
  <c r="B4468" i="3"/>
  <c r="B4469" i="3"/>
  <c r="B4470" i="3"/>
  <c r="B4471" i="3"/>
  <c r="B4472" i="3"/>
  <c r="B4473" i="3"/>
  <c r="B4474" i="3"/>
  <c r="B4475" i="3"/>
  <c r="B4476" i="3"/>
  <c r="B4477" i="3"/>
  <c r="B4478" i="3"/>
  <c r="B4479" i="3"/>
  <c r="B4480" i="3"/>
  <c r="B4481" i="3"/>
  <c r="B4482" i="3"/>
  <c r="B4483" i="3"/>
  <c r="B4484" i="3"/>
  <c r="B4485" i="3"/>
  <c r="B4486" i="3"/>
  <c r="B4487" i="3"/>
  <c r="B4488" i="3"/>
  <c r="B4489" i="3"/>
  <c r="B4490" i="3"/>
  <c r="B4491" i="3"/>
  <c r="B4492" i="3"/>
  <c r="B4493" i="3"/>
  <c r="B4494" i="3"/>
  <c r="B4495" i="3"/>
  <c r="B4496" i="3"/>
  <c r="B4497" i="3"/>
  <c r="B4498" i="3"/>
  <c r="B4499" i="3"/>
  <c r="B4500" i="3"/>
  <c r="B4501" i="3"/>
  <c r="B4502" i="3"/>
  <c r="B4503" i="3"/>
  <c r="B4504" i="3"/>
  <c r="B4505" i="3"/>
  <c r="B4506" i="3"/>
  <c r="B4507" i="3"/>
  <c r="B4508" i="3"/>
  <c r="B4509" i="3"/>
  <c r="B4510" i="3"/>
  <c r="B4511" i="3"/>
  <c r="B4512" i="3"/>
  <c r="B4513" i="3"/>
  <c r="B4514" i="3"/>
  <c r="B4515" i="3"/>
  <c r="B4516" i="3"/>
  <c r="B4517" i="3"/>
  <c r="B4518" i="3"/>
  <c r="B4519" i="3"/>
  <c r="B4520" i="3"/>
  <c r="B4521" i="3"/>
  <c r="B4522" i="3"/>
  <c r="B4523" i="3"/>
  <c r="B4524" i="3"/>
  <c r="B4525" i="3"/>
  <c r="B4526" i="3"/>
  <c r="B4527" i="3"/>
  <c r="B4528" i="3"/>
  <c r="B4529" i="3"/>
  <c r="B4530" i="3"/>
  <c r="B4531" i="3"/>
  <c r="B4532" i="3"/>
  <c r="B4533" i="3"/>
  <c r="B4534" i="3"/>
  <c r="B4535" i="3"/>
  <c r="B4536" i="3"/>
  <c r="B4537" i="3"/>
  <c r="B4538" i="3"/>
  <c r="B4539" i="3"/>
  <c r="B4540" i="3"/>
  <c r="B4541" i="3"/>
  <c r="B4542" i="3"/>
  <c r="B4543" i="3"/>
  <c r="B4544" i="3"/>
  <c r="B4545" i="3"/>
  <c r="B4546" i="3"/>
  <c r="B4547" i="3"/>
  <c r="B4548" i="3"/>
  <c r="B4549" i="3"/>
  <c r="B4550" i="3"/>
  <c r="B4551" i="3"/>
  <c r="B4552" i="3"/>
  <c r="B4553" i="3"/>
  <c r="B4554" i="3"/>
  <c r="B4555" i="3"/>
  <c r="B4556" i="3"/>
  <c r="B4557" i="3"/>
  <c r="B4558" i="3"/>
  <c r="B4559" i="3"/>
  <c r="B4560" i="3"/>
  <c r="B4561" i="3"/>
  <c r="B4562" i="3"/>
  <c r="B4563" i="3"/>
  <c r="B4564" i="3"/>
  <c r="B4565" i="3"/>
  <c r="B4566" i="3"/>
  <c r="B4567" i="3"/>
  <c r="B4568" i="3"/>
  <c r="B4569" i="3"/>
  <c r="B4570" i="3"/>
  <c r="B4571" i="3"/>
  <c r="B4572" i="3"/>
  <c r="B4573" i="3"/>
  <c r="B4574" i="3"/>
  <c r="B4575" i="3"/>
  <c r="B4576" i="3"/>
  <c r="B4577" i="3"/>
  <c r="B4578" i="3"/>
  <c r="B4579" i="3"/>
  <c r="B4580" i="3"/>
  <c r="B4581" i="3"/>
  <c r="B4582" i="3"/>
  <c r="B4583" i="3"/>
  <c r="B4584" i="3"/>
  <c r="B4585" i="3"/>
  <c r="B4586" i="3"/>
  <c r="B4587" i="3"/>
  <c r="B4588" i="3"/>
  <c r="B4589" i="3"/>
  <c r="B4590" i="3"/>
  <c r="B4591" i="3"/>
  <c r="B4592" i="3"/>
  <c r="B4593" i="3"/>
  <c r="B4594" i="3"/>
  <c r="B4595" i="3"/>
  <c r="B4596" i="3"/>
  <c r="B4597" i="3"/>
  <c r="B4598" i="3"/>
  <c r="B4599" i="3"/>
  <c r="B4600" i="3"/>
  <c r="B4601" i="3"/>
  <c r="B4602" i="3"/>
  <c r="B4603" i="3"/>
  <c r="B4604" i="3"/>
  <c r="B4605" i="3"/>
  <c r="B4606" i="3"/>
  <c r="B4607" i="3"/>
  <c r="B4608" i="3"/>
  <c r="B4609" i="3"/>
  <c r="B4610" i="3"/>
  <c r="B4611" i="3"/>
  <c r="B4612" i="3"/>
  <c r="B4613" i="3"/>
  <c r="B4614" i="3"/>
  <c r="B4615" i="3"/>
  <c r="B4616" i="3"/>
  <c r="B4617" i="3"/>
  <c r="B4618" i="3"/>
  <c r="B4619" i="3"/>
  <c r="B4620" i="3"/>
  <c r="B4621" i="3"/>
  <c r="B4622" i="3"/>
  <c r="B4623" i="3"/>
  <c r="B4624" i="3"/>
  <c r="B4625" i="3"/>
  <c r="B4626" i="3"/>
  <c r="B4627" i="3"/>
  <c r="B4628" i="3"/>
  <c r="B4629" i="3"/>
  <c r="B4630" i="3"/>
  <c r="B4631" i="3"/>
  <c r="B4632" i="3"/>
  <c r="B4633" i="3"/>
  <c r="B4634" i="3"/>
  <c r="B4635" i="3"/>
  <c r="B4636" i="3"/>
  <c r="B4637" i="3"/>
  <c r="B4638" i="3"/>
  <c r="B4639" i="3"/>
  <c r="B4640" i="3"/>
  <c r="B4641" i="3"/>
  <c r="B4642" i="3"/>
  <c r="B4643" i="3"/>
  <c r="B4644" i="3"/>
  <c r="B4645" i="3"/>
  <c r="B4646" i="3"/>
  <c r="B4647" i="3"/>
  <c r="B4648" i="3"/>
  <c r="B4649" i="3"/>
  <c r="B4650" i="3"/>
  <c r="B4651" i="3"/>
  <c r="B4652" i="3"/>
  <c r="B4653" i="3"/>
  <c r="B4654" i="3"/>
  <c r="B4655" i="3"/>
  <c r="B4656" i="3"/>
  <c r="B4657" i="3"/>
  <c r="B4658" i="3"/>
  <c r="B4659" i="3"/>
  <c r="B4660" i="3"/>
  <c r="B4661" i="3"/>
  <c r="B4662" i="3"/>
  <c r="B4663" i="3"/>
  <c r="B4664" i="3"/>
  <c r="B4665" i="3"/>
  <c r="B4666" i="3"/>
  <c r="B4667" i="3"/>
  <c r="B4668" i="3"/>
  <c r="B4669" i="3"/>
  <c r="B4670" i="3"/>
  <c r="B4671" i="3"/>
  <c r="B4672" i="3"/>
  <c r="B4673" i="3"/>
  <c r="B4674" i="3"/>
  <c r="B4675" i="3"/>
  <c r="B4676" i="3"/>
  <c r="B4677" i="3"/>
  <c r="B4678" i="3"/>
  <c r="B4679" i="3"/>
  <c r="B4680" i="3"/>
  <c r="B4681" i="3"/>
  <c r="B4682" i="3"/>
  <c r="B4683" i="3"/>
  <c r="B4684" i="3"/>
  <c r="B4685" i="3"/>
  <c r="B4686" i="3"/>
  <c r="B4687" i="3"/>
  <c r="B4688" i="3"/>
  <c r="B4689" i="3"/>
  <c r="B4690" i="3"/>
  <c r="B4691" i="3"/>
  <c r="B4692" i="3"/>
  <c r="B4693" i="3"/>
  <c r="B4694" i="3"/>
  <c r="B4695" i="3"/>
  <c r="B4696" i="3"/>
  <c r="B4697" i="3"/>
  <c r="B4698" i="3"/>
  <c r="B4699" i="3"/>
  <c r="B4700" i="3"/>
  <c r="B4701" i="3"/>
  <c r="B4702" i="3"/>
  <c r="B4703" i="3"/>
  <c r="B4704" i="3"/>
  <c r="B4705" i="3"/>
  <c r="B4706" i="3"/>
  <c r="B4707" i="3"/>
  <c r="B4708" i="3"/>
  <c r="B4709" i="3"/>
  <c r="B4710" i="3"/>
  <c r="B4711" i="3"/>
  <c r="B4712" i="3"/>
  <c r="B4713" i="3"/>
  <c r="B4714" i="3"/>
  <c r="B4715" i="3"/>
  <c r="B4716" i="3"/>
  <c r="B4717" i="3"/>
  <c r="B4718" i="3"/>
  <c r="B4719" i="3"/>
  <c r="B4720" i="3"/>
  <c r="B4721" i="3"/>
  <c r="B4722" i="3"/>
  <c r="B4723" i="3"/>
  <c r="B3" i="3"/>
  <c r="B4" i="3"/>
  <c r="B5" i="3"/>
  <c r="B6" i="3"/>
  <c r="B7" i="3"/>
  <c r="B8" i="3"/>
  <c r="B9" i="3"/>
  <c r="B10" i="3"/>
  <c r="B11" i="3"/>
  <c r="B12" i="3"/>
  <c r="B13" i="3"/>
  <c r="B14" i="3"/>
  <c r="B15" i="3"/>
  <c r="B16" i="3"/>
  <c r="B17" i="3"/>
  <c r="B18" i="3"/>
  <c r="B19" i="3"/>
  <c r="B20" i="3"/>
  <c r="B21" i="3"/>
  <c r="B22" i="3"/>
  <c r="B23" i="3"/>
  <c r="B24" i="3"/>
  <c r="B25" i="3"/>
  <c r="B26" i="3"/>
  <c r="B27" i="3"/>
  <c r="B28" i="3"/>
  <c r="B29" i="3"/>
  <c r="B30" i="3"/>
  <c r="B31" i="3"/>
  <c r="B32" i="3"/>
  <c r="B33" i="3"/>
  <c r="B34" i="3"/>
  <c r="B35" i="3"/>
  <c r="B36" i="3"/>
  <c r="B37" i="3"/>
  <c r="B38" i="3"/>
  <c r="B39" i="3"/>
  <c r="B40" i="3"/>
  <c r="B41" i="3"/>
  <c r="B42" i="3"/>
  <c r="B43" i="3"/>
  <c r="B44" i="3"/>
  <c r="B45" i="3"/>
  <c r="B46" i="3"/>
  <c r="B47" i="3"/>
  <c r="B48" i="3"/>
  <c r="B49" i="3"/>
  <c r="B50" i="3"/>
  <c r="B51" i="3"/>
  <c r="B52" i="3"/>
  <c r="B53" i="3"/>
  <c r="B54" i="3"/>
  <c r="B55" i="3"/>
  <c r="B56" i="3"/>
  <c r="B57" i="3"/>
  <c r="B58" i="3"/>
  <c r="B59" i="3"/>
  <c r="B60" i="3"/>
  <c r="B61" i="3"/>
  <c r="B62" i="3"/>
  <c r="B63" i="3"/>
  <c r="B64" i="3"/>
  <c r="B65" i="3"/>
  <c r="B66" i="3"/>
  <c r="B67" i="3"/>
  <c r="B68" i="3"/>
  <c r="B69" i="3"/>
  <c r="B70" i="3"/>
  <c r="B71" i="3"/>
  <c r="B72" i="3"/>
  <c r="B73" i="3"/>
  <c r="B74" i="3"/>
  <c r="B75" i="3"/>
  <c r="B76" i="3"/>
  <c r="B77" i="3"/>
  <c r="B78" i="3"/>
  <c r="B79" i="3"/>
  <c r="B80" i="3"/>
  <c r="B81" i="3"/>
  <c r="B82" i="3"/>
  <c r="B83" i="3"/>
  <c r="B84" i="3"/>
  <c r="B85" i="3"/>
  <c r="B86" i="3"/>
  <c r="B87" i="3"/>
  <c r="B88" i="3"/>
  <c r="B89" i="3"/>
  <c r="B90" i="3"/>
  <c r="B91" i="3"/>
  <c r="B92" i="3"/>
  <c r="B93" i="3"/>
  <c r="B94" i="3"/>
  <c r="B95" i="3"/>
  <c r="B96" i="3"/>
  <c r="B97" i="3"/>
  <c r="B98" i="3"/>
  <c r="B99" i="3"/>
  <c r="B100" i="3"/>
  <c r="B101" i="3"/>
  <c r="B102" i="3"/>
  <c r="B103" i="3"/>
  <c r="B104" i="3"/>
  <c r="B105" i="3"/>
  <c r="B106" i="3"/>
  <c r="B107" i="3"/>
  <c r="B108" i="3"/>
  <c r="B109" i="3"/>
  <c r="B110" i="3"/>
  <c r="B111" i="3"/>
  <c r="B112" i="3"/>
  <c r="B113" i="3"/>
  <c r="B114" i="3"/>
  <c r="B115" i="3"/>
  <c r="B116" i="3"/>
  <c r="B117" i="3"/>
  <c r="B118" i="3"/>
  <c r="B119" i="3"/>
  <c r="B120" i="3"/>
  <c r="B121" i="3"/>
  <c r="B122" i="3"/>
  <c r="B123" i="3"/>
  <c r="B124" i="3"/>
  <c r="B125" i="3"/>
  <c r="B126" i="3"/>
  <c r="B127" i="3"/>
  <c r="B128" i="3"/>
  <c r="B129" i="3"/>
  <c r="B130" i="3"/>
  <c r="B131" i="3"/>
  <c r="B132" i="3"/>
  <c r="B133" i="3"/>
  <c r="B134" i="3"/>
  <c r="B135" i="3"/>
  <c r="B136" i="3"/>
  <c r="B137" i="3"/>
  <c r="B138" i="3"/>
  <c r="B139" i="3"/>
  <c r="B140" i="3"/>
  <c r="B141" i="3"/>
  <c r="B142" i="3"/>
  <c r="B143" i="3"/>
  <c r="B144" i="3"/>
  <c r="B145" i="3"/>
  <c r="B146" i="3"/>
  <c r="B147" i="3"/>
  <c r="B148" i="3"/>
  <c r="B149" i="3"/>
  <c r="B150" i="3"/>
  <c r="B151" i="3"/>
  <c r="B152" i="3"/>
  <c r="B153" i="3"/>
  <c r="B154" i="3"/>
  <c r="B155" i="3"/>
  <c r="B156" i="3"/>
  <c r="B157" i="3"/>
  <c r="B158" i="3"/>
  <c r="B159" i="3"/>
  <c r="B160" i="3"/>
  <c r="B161" i="3"/>
  <c r="B162" i="3"/>
  <c r="B163" i="3"/>
  <c r="B164" i="3"/>
  <c r="B165" i="3"/>
  <c r="B166" i="3"/>
  <c r="B167" i="3"/>
  <c r="B168" i="3"/>
  <c r="B169" i="3"/>
  <c r="B170" i="3"/>
  <c r="B171" i="3"/>
  <c r="B172" i="3"/>
  <c r="B173" i="3"/>
  <c r="B174" i="3"/>
  <c r="B175" i="3"/>
  <c r="B176" i="3"/>
  <c r="B177" i="3"/>
  <c r="B178" i="3"/>
  <c r="B179" i="3"/>
  <c r="B180" i="3"/>
  <c r="B181" i="3"/>
  <c r="B182" i="3"/>
  <c r="B183" i="3"/>
  <c r="B184" i="3"/>
  <c r="B185" i="3"/>
  <c r="B186" i="3"/>
  <c r="B187" i="3"/>
  <c r="B188" i="3"/>
  <c r="B189" i="3"/>
  <c r="B190" i="3"/>
  <c r="B191" i="3"/>
  <c r="B192" i="3"/>
  <c r="B193" i="3"/>
  <c r="B194" i="3"/>
  <c r="B195" i="3"/>
  <c r="B196" i="3"/>
  <c r="B197" i="3"/>
  <c r="B198" i="3"/>
  <c r="B199" i="3"/>
  <c r="B200" i="3"/>
  <c r="B201" i="3"/>
  <c r="B202" i="3"/>
  <c r="B203" i="3"/>
  <c r="B204" i="3"/>
  <c r="B205" i="3"/>
  <c r="B206" i="3"/>
  <c r="B207" i="3"/>
  <c r="B208" i="3"/>
  <c r="B209" i="3"/>
  <c r="B210" i="3"/>
  <c r="B211" i="3"/>
  <c r="B212" i="3"/>
  <c r="B213" i="3"/>
  <c r="B214" i="3"/>
  <c r="B215" i="3"/>
  <c r="B216" i="3"/>
  <c r="B217" i="3"/>
  <c r="B218" i="3"/>
  <c r="B219" i="3"/>
  <c r="B220" i="3"/>
  <c r="B221" i="3"/>
  <c r="B222" i="3"/>
  <c r="B223" i="3"/>
  <c r="B224" i="3"/>
  <c r="B225" i="3"/>
  <c r="B226" i="3"/>
  <c r="B227" i="3"/>
  <c r="B228" i="3"/>
  <c r="B229" i="3"/>
  <c r="B230" i="3"/>
  <c r="B231" i="3"/>
  <c r="B232" i="3"/>
  <c r="B233" i="3"/>
  <c r="B234" i="3"/>
  <c r="B235" i="3"/>
  <c r="B236" i="3"/>
  <c r="B237" i="3"/>
  <c r="B238" i="3"/>
  <c r="B239" i="3"/>
  <c r="B240" i="3"/>
  <c r="B241" i="3"/>
  <c r="B242" i="3"/>
  <c r="B243" i="3"/>
  <c r="B244" i="3"/>
  <c r="B245" i="3"/>
  <c r="B246" i="3"/>
  <c r="B247" i="3"/>
  <c r="B248" i="3"/>
  <c r="B249" i="3"/>
  <c r="B250" i="3"/>
  <c r="B251" i="3"/>
  <c r="B252" i="3"/>
  <c r="B253" i="3"/>
  <c r="B254" i="3"/>
  <c r="B255" i="3"/>
  <c r="B256" i="3"/>
  <c r="B257" i="3"/>
  <c r="B258" i="3"/>
  <c r="B259" i="3"/>
  <c r="B260" i="3"/>
  <c r="B261" i="3"/>
  <c r="B262" i="3"/>
  <c r="B263" i="3"/>
  <c r="B264" i="3"/>
  <c r="B265" i="3"/>
  <c r="B266" i="3"/>
  <c r="B267" i="3"/>
  <c r="B268" i="3"/>
  <c r="B269" i="3"/>
  <c r="B270" i="3"/>
  <c r="B271" i="3"/>
  <c r="B272" i="3"/>
  <c r="B273" i="3"/>
  <c r="B274" i="3"/>
  <c r="B275" i="3"/>
  <c r="B276" i="3"/>
  <c r="B277" i="3"/>
  <c r="B278" i="3"/>
  <c r="B279" i="3"/>
  <c r="B280" i="3"/>
  <c r="B281" i="3"/>
  <c r="B282" i="3"/>
  <c r="B283" i="3"/>
  <c r="B284" i="3"/>
  <c r="B285" i="3"/>
  <c r="B286" i="3"/>
  <c r="B287" i="3"/>
  <c r="B288" i="3"/>
  <c r="B289" i="3"/>
  <c r="B290" i="3"/>
  <c r="B291" i="3"/>
  <c r="B292" i="3"/>
  <c r="B293" i="3"/>
  <c r="B294" i="3"/>
  <c r="B295" i="3"/>
  <c r="B296" i="3"/>
  <c r="B297" i="3"/>
  <c r="B298" i="3"/>
  <c r="B299" i="3"/>
  <c r="B300" i="3"/>
  <c r="B301" i="3"/>
  <c r="B302" i="3"/>
  <c r="B303" i="3"/>
  <c r="B304" i="3"/>
  <c r="B305" i="3"/>
  <c r="B306" i="3"/>
  <c r="B307" i="3"/>
  <c r="B308" i="3"/>
  <c r="B309" i="3"/>
  <c r="B310" i="3"/>
  <c r="B311" i="3"/>
  <c r="B312" i="3"/>
  <c r="B313" i="3"/>
  <c r="B314" i="3"/>
  <c r="B315" i="3"/>
  <c r="B316" i="3"/>
  <c r="B317" i="3"/>
  <c r="B318" i="3"/>
  <c r="B319" i="3"/>
  <c r="B320" i="3"/>
  <c r="B321" i="3"/>
  <c r="B322" i="3"/>
  <c r="B323" i="3"/>
  <c r="B324" i="3"/>
  <c r="B325" i="3"/>
  <c r="B326" i="3"/>
  <c r="B327" i="3"/>
  <c r="B328" i="3"/>
  <c r="B329" i="3"/>
  <c r="B330" i="3"/>
  <c r="B331" i="3"/>
  <c r="B332" i="3"/>
  <c r="B333" i="3"/>
  <c r="B334" i="3"/>
  <c r="B335" i="3"/>
  <c r="B336" i="3"/>
  <c r="B337" i="3"/>
  <c r="B338" i="3"/>
  <c r="B339" i="3"/>
  <c r="B340" i="3"/>
  <c r="B341" i="3"/>
  <c r="B342" i="3"/>
  <c r="B343" i="3"/>
  <c r="B344" i="3"/>
  <c r="B345" i="3"/>
  <c r="B346" i="3"/>
  <c r="B347" i="3"/>
  <c r="B348" i="3"/>
  <c r="B349" i="3"/>
  <c r="B350" i="3"/>
  <c r="B351" i="3"/>
  <c r="B352" i="3"/>
  <c r="B353" i="3"/>
  <c r="B354" i="3"/>
  <c r="B355" i="3"/>
  <c r="B356" i="3"/>
  <c r="B357" i="3"/>
  <c r="B358" i="3"/>
  <c r="B359" i="3"/>
  <c r="B360" i="3"/>
  <c r="B361" i="3"/>
  <c r="B362" i="3"/>
  <c r="B363" i="3"/>
  <c r="B364" i="3"/>
  <c r="B365" i="3"/>
  <c r="B366" i="3"/>
  <c r="B367" i="3"/>
  <c r="B368" i="3"/>
  <c r="B369" i="3"/>
  <c r="B370" i="3"/>
  <c r="B371" i="3"/>
  <c r="B372" i="3"/>
  <c r="B373" i="3"/>
  <c r="B374" i="3"/>
  <c r="B375" i="3"/>
  <c r="B376" i="3"/>
  <c r="B377" i="3"/>
  <c r="B378" i="3"/>
  <c r="B379" i="3"/>
  <c r="B380" i="3"/>
  <c r="B381" i="3"/>
  <c r="B382" i="3"/>
  <c r="B383" i="3"/>
  <c r="B384" i="3"/>
  <c r="B385" i="3"/>
  <c r="B386" i="3"/>
  <c r="B387" i="3"/>
  <c r="B388" i="3"/>
  <c r="B389" i="3"/>
  <c r="B390" i="3"/>
  <c r="B391" i="3"/>
  <c r="B392" i="3"/>
  <c r="B393" i="3"/>
  <c r="B394" i="3"/>
  <c r="B395" i="3"/>
  <c r="B396" i="3"/>
  <c r="B397" i="3"/>
  <c r="B398" i="3"/>
  <c r="B399" i="3"/>
  <c r="B400" i="3"/>
  <c r="B401" i="3"/>
  <c r="B402" i="3"/>
  <c r="B403" i="3"/>
  <c r="B404" i="3"/>
  <c r="B405" i="3"/>
  <c r="B406" i="3"/>
  <c r="B407" i="3"/>
  <c r="B408" i="3"/>
  <c r="B409" i="3"/>
  <c r="B410" i="3"/>
  <c r="B411" i="3"/>
  <c r="B412" i="3"/>
  <c r="B413" i="3"/>
  <c r="B414" i="3"/>
  <c r="B415" i="3"/>
  <c r="B416" i="3"/>
  <c r="B417" i="3"/>
  <c r="B418" i="3"/>
  <c r="B419" i="3"/>
  <c r="B420" i="3"/>
  <c r="B421" i="3"/>
  <c r="B422" i="3"/>
  <c r="B423" i="3"/>
  <c r="B424" i="3"/>
  <c r="B425" i="3"/>
  <c r="B426" i="3"/>
  <c r="B427" i="3"/>
  <c r="B428" i="3"/>
  <c r="B429" i="3"/>
  <c r="B430" i="3"/>
  <c r="B431" i="3"/>
  <c r="B432" i="3"/>
  <c r="B433" i="3"/>
  <c r="B434" i="3"/>
  <c r="B435" i="3"/>
  <c r="B436" i="3"/>
  <c r="B437" i="3"/>
  <c r="B438" i="3"/>
  <c r="B439" i="3"/>
  <c r="B440" i="3"/>
  <c r="B441" i="3"/>
  <c r="B442" i="3"/>
  <c r="B443" i="3"/>
  <c r="B444" i="3"/>
  <c r="B445" i="3"/>
  <c r="B446" i="3"/>
  <c r="B447" i="3"/>
  <c r="B448" i="3"/>
  <c r="B449" i="3"/>
  <c r="B450" i="3"/>
  <c r="B451" i="3"/>
  <c r="B452" i="3"/>
  <c r="B453" i="3"/>
  <c r="B454" i="3"/>
  <c r="B455" i="3"/>
  <c r="B456" i="3"/>
  <c r="B457" i="3"/>
  <c r="B458" i="3"/>
  <c r="B459" i="3"/>
  <c r="B460" i="3"/>
  <c r="B461" i="3"/>
  <c r="B462" i="3"/>
  <c r="B463" i="3"/>
  <c r="B464" i="3"/>
  <c r="B465" i="3"/>
  <c r="B466" i="3"/>
  <c r="B467" i="3"/>
  <c r="B468" i="3"/>
  <c r="B469" i="3"/>
  <c r="B470" i="3"/>
  <c r="B471" i="3"/>
  <c r="B472" i="3"/>
  <c r="B473" i="3"/>
  <c r="B474" i="3"/>
  <c r="B475" i="3"/>
  <c r="B476" i="3"/>
  <c r="B477" i="3"/>
  <c r="B478" i="3"/>
  <c r="B479" i="3"/>
  <c r="B480" i="3"/>
  <c r="B481" i="3"/>
  <c r="B482" i="3"/>
  <c r="B483" i="3"/>
  <c r="B484" i="3"/>
  <c r="B485" i="3"/>
  <c r="B486" i="3"/>
  <c r="B487" i="3"/>
  <c r="B488" i="3"/>
  <c r="B489" i="3"/>
  <c r="B490" i="3"/>
  <c r="B491" i="3"/>
  <c r="B492" i="3"/>
  <c r="B493" i="3"/>
  <c r="B494" i="3"/>
  <c r="B495" i="3"/>
  <c r="B496" i="3"/>
  <c r="B497" i="3"/>
  <c r="B498" i="3"/>
  <c r="B499" i="3"/>
  <c r="B500" i="3"/>
  <c r="B501" i="3"/>
  <c r="B502" i="3"/>
  <c r="B503" i="3"/>
  <c r="B504" i="3"/>
  <c r="B505" i="3"/>
  <c r="B506" i="3"/>
  <c r="B507" i="3"/>
  <c r="B508" i="3"/>
  <c r="B509" i="3"/>
  <c r="B510" i="3"/>
  <c r="B511" i="3"/>
  <c r="B512" i="3"/>
  <c r="B513" i="3"/>
  <c r="B514" i="3"/>
  <c r="B515" i="3"/>
  <c r="B516" i="3"/>
  <c r="B517" i="3"/>
  <c r="B518" i="3"/>
  <c r="B519" i="3"/>
  <c r="B520" i="3"/>
  <c r="B521" i="3"/>
  <c r="B522" i="3"/>
  <c r="B523" i="3"/>
  <c r="B524" i="3"/>
  <c r="B525" i="3"/>
  <c r="B526" i="3"/>
  <c r="B527" i="3"/>
  <c r="B528" i="3"/>
  <c r="B529" i="3"/>
  <c r="B530" i="3"/>
  <c r="B531" i="3"/>
  <c r="B532" i="3"/>
  <c r="B533" i="3"/>
  <c r="B534" i="3"/>
  <c r="B535" i="3"/>
  <c r="B536" i="3"/>
  <c r="B537" i="3"/>
  <c r="B538" i="3"/>
  <c r="B539" i="3"/>
  <c r="B540" i="3"/>
  <c r="B541" i="3"/>
  <c r="B542" i="3"/>
  <c r="B543" i="3"/>
  <c r="B544" i="3"/>
  <c r="B545" i="3"/>
  <c r="B546" i="3"/>
  <c r="B547" i="3"/>
  <c r="B548" i="3"/>
  <c r="B549" i="3"/>
  <c r="B550" i="3"/>
  <c r="B551" i="3"/>
  <c r="B552" i="3"/>
  <c r="B553" i="3"/>
  <c r="B554" i="3"/>
  <c r="B555" i="3"/>
  <c r="B556" i="3"/>
  <c r="B557" i="3"/>
  <c r="B558" i="3"/>
  <c r="B559" i="3"/>
  <c r="B560" i="3"/>
  <c r="B561" i="3"/>
  <c r="B562" i="3"/>
  <c r="B563" i="3"/>
  <c r="B564" i="3"/>
  <c r="B565" i="3"/>
  <c r="B566" i="3"/>
  <c r="B567" i="3"/>
  <c r="B568" i="3"/>
  <c r="B569" i="3"/>
  <c r="B570" i="3"/>
  <c r="B571" i="3"/>
  <c r="B572" i="3"/>
  <c r="B573" i="3"/>
  <c r="B574" i="3"/>
  <c r="B575" i="3"/>
  <c r="B576" i="3"/>
  <c r="B577" i="3"/>
  <c r="B578" i="3"/>
  <c r="B579" i="3"/>
  <c r="B580" i="3"/>
  <c r="B581" i="3"/>
  <c r="B582" i="3"/>
  <c r="B583" i="3"/>
  <c r="B584" i="3"/>
  <c r="B585" i="3"/>
  <c r="B586" i="3"/>
  <c r="B587" i="3"/>
  <c r="B588" i="3"/>
  <c r="B589" i="3"/>
  <c r="B590" i="3"/>
  <c r="B591" i="3"/>
  <c r="B592" i="3"/>
  <c r="B593" i="3"/>
  <c r="B594" i="3"/>
  <c r="B595" i="3"/>
  <c r="B596" i="3"/>
  <c r="B597" i="3"/>
  <c r="B598" i="3"/>
  <c r="B599" i="3"/>
  <c r="B600" i="3"/>
  <c r="B601" i="3"/>
  <c r="B602" i="3"/>
  <c r="B603" i="3"/>
  <c r="B604" i="3"/>
  <c r="B605" i="3"/>
  <c r="B606" i="3"/>
  <c r="B607" i="3"/>
  <c r="B608" i="3"/>
  <c r="B609" i="3"/>
  <c r="B610" i="3"/>
  <c r="B611" i="3"/>
  <c r="B612" i="3"/>
  <c r="B613" i="3"/>
  <c r="B614" i="3"/>
  <c r="B615" i="3"/>
  <c r="B616" i="3"/>
  <c r="B617" i="3"/>
  <c r="B618" i="3"/>
  <c r="B619" i="3"/>
  <c r="B620" i="3"/>
  <c r="B621" i="3"/>
  <c r="B622" i="3"/>
  <c r="B623" i="3"/>
  <c r="B624" i="3"/>
  <c r="B625" i="3"/>
  <c r="B626" i="3"/>
  <c r="B627" i="3"/>
  <c r="B628" i="3"/>
  <c r="B629" i="3"/>
  <c r="B630" i="3"/>
  <c r="B631" i="3"/>
  <c r="B632" i="3"/>
  <c r="B633" i="3"/>
  <c r="B634" i="3"/>
  <c r="B635" i="3"/>
  <c r="B636" i="3"/>
  <c r="B637" i="3"/>
  <c r="B638" i="3"/>
  <c r="B639" i="3"/>
  <c r="B640" i="3"/>
  <c r="B641" i="3"/>
  <c r="B642" i="3"/>
  <c r="B643" i="3"/>
  <c r="B644" i="3"/>
  <c r="B645" i="3"/>
  <c r="B646" i="3"/>
  <c r="B647" i="3"/>
  <c r="B648" i="3"/>
  <c r="B649" i="3"/>
  <c r="B650" i="3"/>
  <c r="B651" i="3"/>
  <c r="B652" i="3"/>
  <c r="B653" i="3"/>
  <c r="B654" i="3"/>
  <c r="B655" i="3"/>
  <c r="B656" i="3"/>
  <c r="B657" i="3"/>
  <c r="B658" i="3"/>
  <c r="B659" i="3"/>
  <c r="B660" i="3"/>
  <c r="B661" i="3"/>
  <c r="B662" i="3"/>
  <c r="B663" i="3"/>
  <c r="B664" i="3"/>
  <c r="B665" i="3"/>
  <c r="B666" i="3"/>
  <c r="B667" i="3"/>
  <c r="B668" i="3"/>
  <c r="B669" i="3"/>
  <c r="B670" i="3"/>
  <c r="B671" i="3"/>
  <c r="B672" i="3"/>
  <c r="B673" i="3"/>
  <c r="B674" i="3"/>
  <c r="B675" i="3"/>
  <c r="B676" i="3"/>
  <c r="B677" i="3"/>
  <c r="B678" i="3"/>
  <c r="B679" i="3"/>
  <c r="B680" i="3"/>
  <c r="B681" i="3"/>
  <c r="B682" i="3"/>
  <c r="B683" i="3"/>
  <c r="B684" i="3"/>
  <c r="B685" i="3"/>
  <c r="B686" i="3"/>
  <c r="B687" i="3"/>
  <c r="B688" i="3"/>
  <c r="B689" i="3"/>
  <c r="B690" i="3"/>
  <c r="B691" i="3"/>
  <c r="B692" i="3"/>
  <c r="B2" i="3"/>
  <c r="C10" i="3"/>
  <c r="C11" i="3"/>
  <c r="C12" i="3"/>
  <c r="C13" i="3"/>
  <c r="C14" i="3"/>
  <c r="C15" i="3"/>
  <c r="C16" i="3"/>
  <c r="C17" i="3"/>
  <c r="C18" i="3"/>
  <c r="C19" i="3"/>
  <c r="C20" i="3"/>
  <c r="C21" i="3"/>
  <c r="C22" i="3"/>
  <c r="C23" i="3"/>
  <c r="C24" i="3"/>
  <c r="C25" i="3"/>
  <c r="C26" i="3"/>
  <c r="C27" i="3"/>
  <c r="C28" i="3"/>
  <c r="C29" i="3"/>
  <c r="C30" i="3"/>
  <c r="C31" i="3"/>
  <c r="C32" i="3"/>
  <c r="C33" i="3"/>
  <c r="C34" i="3"/>
  <c r="C35" i="3"/>
  <c r="C36" i="3"/>
  <c r="C37" i="3"/>
  <c r="C38" i="3"/>
  <c r="C39" i="3"/>
  <c r="C40" i="3"/>
  <c r="C41" i="3"/>
  <c r="C42" i="3"/>
  <c r="C43" i="3"/>
  <c r="C44" i="3"/>
  <c r="C45" i="3"/>
  <c r="C46" i="3"/>
  <c r="C47" i="3"/>
  <c r="C48" i="3"/>
  <c r="C49" i="3"/>
  <c r="C50" i="3"/>
  <c r="C51" i="3"/>
  <c r="C52" i="3"/>
  <c r="C53" i="3"/>
  <c r="C54" i="3"/>
  <c r="C55" i="3"/>
  <c r="C56" i="3"/>
  <c r="C57" i="3"/>
  <c r="C58" i="3"/>
  <c r="C59" i="3"/>
  <c r="C60" i="3"/>
  <c r="C61" i="3"/>
  <c r="C62" i="3"/>
  <c r="C63" i="3"/>
  <c r="C64" i="3"/>
  <c r="C65" i="3"/>
  <c r="C66" i="3"/>
  <c r="C67" i="3"/>
  <c r="C68" i="3"/>
  <c r="C69" i="3"/>
  <c r="C70" i="3"/>
  <c r="C71" i="3"/>
  <c r="C72" i="3"/>
  <c r="C73" i="3"/>
  <c r="C74" i="3"/>
  <c r="C75" i="3"/>
  <c r="C76" i="3"/>
  <c r="C77" i="3"/>
  <c r="C78" i="3"/>
  <c r="C79" i="3"/>
  <c r="C80" i="3"/>
  <c r="C81" i="3"/>
  <c r="C82" i="3"/>
  <c r="C83" i="3"/>
  <c r="C84" i="3"/>
  <c r="C85" i="3"/>
  <c r="C86" i="3"/>
  <c r="C87" i="3"/>
  <c r="C88" i="3"/>
  <c r="C89" i="3"/>
  <c r="C90" i="3"/>
  <c r="C91" i="3"/>
  <c r="C92" i="3"/>
  <c r="C93" i="3"/>
  <c r="C94" i="3"/>
  <c r="C95" i="3"/>
  <c r="C96" i="3"/>
  <c r="C97" i="3"/>
  <c r="C98" i="3"/>
  <c r="C99" i="3"/>
  <c r="C100" i="3"/>
  <c r="C101" i="3"/>
  <c r="C102" i="3"/>
  <c r="C103" i="3"/>
  <c r="C104" i="3"/>
  <c r="C105" i="3"/>
  <c r="C106" i="3"/>
  <c r="C107" i="3"/>
  <c r="C108" i="3"/>
  <c r="C109" i="3"/>
  <c r="C110" i="3"/>
  <c r="C111" i="3"/>
  <c r="C112" i="3"/>
  <c r="C113" i="3"/>
  <c r="C114" i="3"/>
  <c r="C115" i="3"/>
  <c r="C116" i="3"/>
  <c r="C117" i="3"/>
  <c r="C118" i="3"/>
  <c r="C119" i="3"/>
  <c r="C120" i="3"/>
  <c r="C121" i="3"/>
  <c r="C122" i="3"/>
  <c r="C123" i="3"/>
  <c r="C124" i="3"/>
  <c r="C125" i="3"/>
  <c r="C126" i="3"/>
  <c r="C127" i="3"/>
  <c r="C128" i="3"/>
  <c r="C129" i="3"/>
  <c r="C130" i="3"/>
  <c r="C131" i="3"/>
  <c r="C132" i="3"/>
  <c r="C133" i="3"/>
  <c r="C134" i="3"/>
  <c r="C135" i="3"/>
  <c r="C136" i="3"/>
  <c r="C137" i="3"/>
  <c r="C138" i="3"/>
  <c r="C139" i="3"/>
  <c r="C140" i="3"/>
  <c r="C141" i="3"/>
  <c r="C142" i="3"/>
  <c r="C143" i="3"/>
  <c r="C144" i="3"/>
  <c r="C145" i="3"/>
  <c r="C146" i="3"/>
  <c r="C147" i="3"/>
  <c r="C148" i="3"/>
  <c r="C149" i="3"/>
  <c r="C150" i="3"/>
  <c r="C151" i="3"/>
  <c r="C152" i="3"/>
  <c r="C153" i="3"/>
  <c r="C154" i="3"/>
  <c r="C155" i="3"/>
  <c r="C156" i="3"/>
  <c r="C157" i="3"/>
  <c r="C158" i="3"/>
  <c r="C159" i="3"/>
  <c r="C160" i="3"/>
  <c r="C161" i="3"/>
  <c r="C162" i="3"/>
  <c r="C163" i="3"/>
  <c r="C164" i="3"/>
  <c r="C165" i="3"/>
  <c r="C166" i="3"/>
  <c r="C167" i="3"/>
  <c r="C168" i="3"/>
  <c r="C169" i="3"/>
  <c r="C170" i="3"/>
  <c r="C171" i="3"/>
  <c r="C172" i="3"/>
  <c r="C173" i="3"/>
  <c r="C174" i="3"/>
  <c r="C175" i="3"/>
  <c r="C176" i="3"/>
  <c r="C177" i="3"/>
  <c r="C178" i="3"/>
  <c r="C179" i="3"/>
  <c r="C180" i="3"/>
  <c r="C181" i="3"/>
  <c r="C182" i="3"/>
  <c r="C183" i="3"/>
  <c r="C184" i="3"/>
  <c r="C185" i="3"/>
  <c r="C186" i="3"/>
  <c r="C187" i="3"/>
  <c r="C188" i="3"/>
  <c r="C189" i="3"/>
  <c r="C190" i="3"/>
  <c r="C191" i="3"/>
  <c r="C192" i="3"/>
  <c r="C193" i="3"/>
  <c r="C194" i="3"/>
  <c r="C195" i="3"/>
  <c r="C196" i="3"/>
  <c r="C197" i="3"/>
  <c r="C198" i="3"/>
  <c r="C199" i="3"/>
  <c r="C200" i="3"/>
  <c r="C201" i="3"/>
  <c r="C202" i="3"/>
  <c r="C203" i="3"/>
  <c r="C204" i="3"/>
  <c r="C205" i="3"/>
  <c r="C206" i="3"/>
  <c r="C207" i="3"/>
  <c r="C208" i="3"/>
  <c r="C209" i="3"/>
  <c r="C210" i="3"/>
  <c r="C211" i="3"/>
  <c r="C212" i="3"/>
  <c r="C213" i="3"/>
  <c r="C214" i="3"/>
  <c r="C215" i="3"/>
  <c r="C216" i="3"/>
  <c r="C217" i="3"/>
  <c r="C218" i="3"/>
  <c r="C219" i="3"/>
  <c r="C220" i="3"/>
  <c r="C221" i="3"/>
  <c r="C222" i="3"/>
  <c r="C223" i="3"/>
  <c r="C224" i="3"/>
  <c r="C225" i="3"/>
  <c r="C226" i="3"/>
  <c r="C227" i="3"/>
  <c r="C228" i="3"/>
  <c r="C229" i="3"/>
  <c r="C230" i="3"/>
  <c r="C231" i="3"/>
  <c r="C232" i="3"/>
  <c r="C233" i="3"/>
  <c r="C234" i="3"/>
  <c r="C235" i="3"/>
  <c r="C236" i="3"/>
  <c r="C237" i="3"/>
  <c r="C238" i="3"/>
  <c r="C239" i="3"/>
  <c r="C240" i="3"/>
  <c r="C241" i="3"/>
  <c r="C242" i="3"/>
  <c r="C243" i="3"/>
  <c r="C244" i="3"/>
  <c r="C245" i="3"/>
  <c r="C246" i="3"/>
  <c r="C247" i="3"/>
  <c r="C248" i="3"/>
  <c r="C249" i="3"/>
  <c r="C250" i="3"/>
  <c r="C251" i="3"/>
  <c r="C252" i="3"/>
  <c r="C253" i="3"/>
  <c r="C254" i="3"/>
  <c r="C255" i="3"/>
  <c r="C256" i="3"/>
  <c r="C257" i="3"/>
  <c r="C258" i="3"/>
  <c r="C259" i="3"/>
  <c r="C260" i="3"/>
  <c r="C261" i="3"/>
  <c r="C262" i="3"/>
  <c r="C263" i="3"/>
  <c r="C264" i="3"/>
  <c r="C265" i="3"/>
  <c r="C266" i="3"/>
  <c r="C267" i="3"/>
  <c r="C268" i="3"/>
  <c r="C269" i="3"/>
  <c r="C270" i="3"/>
  <c r="C271" i="3"/>
  <c r="C272" i="3"/>
  <c r="C273" i="3"/>
  <c r="C274" i="3"/>
  <c r="C275" i="3"/>
  <c r="C276" i="3"/>
  <c r="C277" i="3"/>
  <c r="C278" i="3"/>
  <c r="C279" i="3"/>
  <c r="C280" i="3"/>
  <c r="C281" i="3"/>
  <c r="C282" i="3"/>
  <c r="C283" i="3"/>
  <c r="C284" i="3"/>
  <c r="C285" i="3"/>
  <c r="C286" i="3"/>
  <c r="C287" i="3"/>
  <c r="C288" i="3"/>
  <c r="C289" i="3"/>
  <c r="C290" i="3"/>
  <c r="C291" i="3"/>
  <c r="C292" i="3"/>
  <c r="C293" i="3"/>
  <c r="C294" i="3"/>
  <c r="C295" i="3"/>
  <c r="C296" i="3"/>
  <c r="C297" i="3"/>
  <c r="C298" i="3"/>
  <c r="C299" i="3"/>
  <c r="C300" i="3"/>
  <c r="C301" i="3"/>
  <c r="C302" i="3"/>
  <c r="C303" i="3"/>
  <c r="C304" i="3"/>
  <c r="C305" i="3"/>
  <c r="C306" i="3"/>
  <c r="C307" i="3"/>
  <c r="C308" i="3"/>
  <c r="C309" i="3"/>
  <c r="C310" i="3"/>
  <c r="C311" i="3"/>
  <c r="C312" i="3"/>
  <c r="C313" i="3"/>
  <c r="C314" i="3"/>
  <c r="C315" i="3"/>
  <c r="C316" i="3"/>
  <c r="C317" i="3"/>
  <c r="C318" i="3"/>
  <c r="C319" i="3"/>
  <c r="C320" i="3"/>
  <c r="C321" i="3"/>
  <c r="C322" i="3"/>
  <c r="C323" i="3"/>
  <c r="C324" i="3"/>
  <c r="C325" i="3"/>
  <c r="C326" i="3"/>
  <c r="C327" i="3"/>
  <c r="C328" i="3"/>
  <c r="C329" i="3"/>
  <c r="C330" i="3"/>
  <c r="C331" i="3"/>
  <c r="C332" i="3"/>
  <c r="C333" i="3"/>
  <c r="C334" i="3"/>
  <c r="C335" i="3"/>
  <c r="C336" i="3"/>
  <c r="C337" i="3"/>
  <c r="C338" i="3"/>
  <c r="C339" i="3"/>
  <c r="C340" i="3"/>
  <c r="C341" i="3"/>
  <c r="C342" i="3"/>
  <c r="C343" i="3"/>
  <c r="C344" i="3"/>
  <c r="C345" i="3"/>
  <c r="C346" i="3"/>
  <c r="C347" i="3"/>
  <c r="C348" i="3"/>
  <c r="C349" i="3"/>
  <c r="C350" i="3"/>
  <c r="C351" i="3"/>
  <c r="C352" i="3"/>
  <c r="C353" i="3"/>
  <c r="C354" i="3"/>
  <c r="C355" i="3"/>
  <c r="C356" i="3"/>
  <c r="C357" i="3"/>
  <c r="C358" i="3"/>
  <c r="C359" i="3"/>
  <c r="C360" i="3"/>
  <c r="C361" i="3"/>
  <c r="C362" i="3"/>
  <c r="C363" i="3"/>
  <c r="C364" i="3"/>
  <c r="C365" i="3"/>
  <c r="C366" i="3"/>
  <c r="C367" i="3"/>
  <c r="C368" i="3"/>
  <c r="C369" i="3"/>
  <c r="C370" i="3"/>
  <c r="C371" i="3"/>
  <c r="C372" i="3"/>
  <c r="C373" i="3"/>
  <c r="C374" i="3"/>
  <c r="C375" i="3"/>
  <c r="C376" i="3"/>
  <c r="C377" i="3"/>
  <c r="C378" i="3"/>
  <c r="C379" i="3"/>
  <c r="C380" i="3"/>
  <c r="C381" i="3"/>
  <c r="C382" i="3"/>
  <c r="C383" i="3"/>
  <c r="C384" i="3"/>
  <c r="C385" i="3"/>
  <c r="C386" i="3"/>
  <c r="C387" i="3"/>
  <c r="C388" i="3"/>
  <c r="C389" i="3"/>
  <c r="C390" i="3"/>
  <c r="C391" i="3"/>
  <c r="C392" i="3"/>
  <c r="C393" i="3"/>
  <c r="C394" i="3"/>
  <c r="C395" i="3"/>
  <c r="C396" i="3"/>
  <c r="C397" i="3"/>
  <c r="C398" i="3"/>
  <c r="C399" i="3"/>
  <c r="C400" i="3"/>
  <c r="C401" i="3"/>
  <c r="C402" i="3"/>
  <c r="C403" i="3"/>
  <c r="C404" i="3"/>
  <c r="C405" i="3"/>
  <c r="C406" i="3"/>
  <c r="C407" i="3"/>
  <c r="C408" i="3"/>
  <c r="C409" i="3"/>
  <c r="C410" i="3"/>
  <c r="C411" i="3"/>
  <c r="C412" i="3"/>
  <c r="C413" i="3"/>
  <c r="C414" i="3"/>
  <c r="C415" i="3"/>
  <c r="C416" i="3"/>
  <c r="C417" i="3"/>
  <c r="C418" i="3"/>
  <c r="C419" i="3"/>
  <c r="C420" i="3"/>
  <c r="C421" i="3"/>
  <c r="C422" i="3"/>
  <c r="C423" i="3"/>
  <c r="C424" i="3"/>
  <c r="C425" i="3"/>
  <c r="C426" i="3"/>
  <c r="C427" i="3"/>
  <c r="C428" i="3"/>
  <c r="C429" i="3"/>
  <c r="C430" i="3"/>
  <c r="C431" i="3"/>
  <c r="C432" i="3"/>
  <c r="C433" i="3"/>
  <c r="C434" i="3"/>
  <c r="C435" i="3"/>
  <c r="C436" i="3"/>
  <c r="C437" i="3"/>
  <c r="C438" i="3"/>
  <c r="C439" i="3"/>
  <c r="C440" i="3"/>
  <c r="C441" i="3"/>
  <c r="C442" i="3"/>
  <c r="C443" i="3"/>
  <c r="C444" i="3"/>
  <c r="C445" i="3"/>
  <c r="C446" i="3"/>
  <c r="C447" i="3"/>
  <c r="C448" i="3"/>
  <c r="C449" i="3"/>
  <c r="C450" i="3"/>
  <c r="C451" i="3"/>
  <c r="C452" i="3"/>
  <c r="C453" i="3"/>
  <c r="C454" i="3"/>
  <c r="C455" i="3"/>
  <c r="C456" i="3"/>
  <c r="C457" i="3"/>
  <c r="C458" i="3"/>
  <c r="C459" i="3"/>
  <c r="C460" i="3"/>
  <c r="C461" i="3"/>
  <c r="C462" i="3"/>
  <c r="C463" i="3"/>
  <c r="C464" i="3"/>
  <c r="C465" i="3"/>
  <c r="C466" i="3"/>
  <c r="C467" i="3"/>
  <c r="C468" i="3"/>
  <c r="C469" i="3"/>
  <c r="C470" i="3"/>
  <c r="C471" i="3"/>
  <c r="C472" i="3"/>
  <c r="C473" i="3"/>
  <c r="C474" i="3"/>
  <c r="C475" i="3"/>
  <c r="C476" i="3"/>
  <c r="C477" i="3"/>
  <c r="C478" i="3"/>
  <c r="C479" i="3"/>
  <c r="C480" i="3"/>
  <c r="C481" i="3"/>
  <c r="C482" i="3"/>
  <c r="C483" i="3"/>
  <c r="C484" i="3"/>
  <c r="C485" i="3"/>
  <c r="C486" i="3"/>
  <c r="C487" i="3"/>
  <c r="C488" i="3"/>
  <c r="C489" i="3"/>
  <c r="C490" i="3"/>
  <c r="C491" i="3"/>
  <c r="C492" i="3"/>
  <c r="C493" i="3"/>
  <c r="C494" i="3"/>
  <c r="C495" i="3"/>
  <c r="C496" i="3"/>
  <c r="C497" i="3"/>
  <c r="C498" i="3"/>
  <c r="C499" i="3"/>
  <c r="C500" i="3"/>
  <c r="C501" i="3"/>
  <c r="C502" i="3"/>
  <c r="C503" i="3"/>
  <c r="C504" i="3"/>
  <c r="C505" i="3"/>
  <c r="C506" i="3"/>
  <c r="C507" i="3"/>
  <c r="C508" i="3"/>
  <c r="C509" i="3"/>
  <c r="C510" i="3"/>
  <c r="C511" i="3"/>
  <c r="C512" i="3"/>
  <c r="C513" i="3"/>
  <c r="C514" i="3"/>
  <c r="C515" i="3"/>
  <c r="C516" i="3"/>
  <c r="C517" i="3"/>
  <c r="C518" i="3"/>
  <c r="C519" i="3"/>
  <c r="C520" i="3"/>
  <c r="C521" i="3"/>
  <c r="C522" i="3"/>
  <c r="C523" i="3"/>
  <c r="C524" i="3"/>
  <c r="C525" i="3"/>
  <c r="C526" i="3"/>
  <c r="C527" i="3"/>
  <c r="C528" i="3"/>
  <c r="C529" i="3"/>
  <c r="C530" i="3"/>
  <c r="C531" i="3"/>
  <c r="C532" i="3"/>
  <c r="C533" i="3"/>
  <c r="C534" i="3"/>
  <c r="C535" i="3"/>
  <c r="C536" i="3"/>
  <c r="C537" i="3"/>
  <c r="C538" i="3"/>
  <c r="C539" i="3"/>
  <c r="C540" i="3"/>
  <c r="C541" i="3"/>
  <c r="C542" i="3"/>
  <c r="C543" i="3"/>
  <c r="C544" i="3"/>
  <c r="C545" i="3"/>
  <c r="C546" i="3"/>
  <c r="C547" i="3"/>
  <c r="C548" i="3"/>
  <c r="C549" i="3"/>
  <c r="C550" i="3"/>
  <c r="C551" i="3"/>
  <c r="C552" i="3"/>
  <c r="C553" i="3"/>
  <c r="C554" i="3"/>
  <c r="C555" i="3"/>
  <c r="C556" i="3"/>
  <c r="C557" i="3"/>
  <c r="C558" i="3"/>
  <c r="C559" i="3"/>
  <c r="C560" i="3"/>
  <c r="C561" i="3"/>
  <c r="C562" i="3"/>
  <c r="C563" i="3"/>
  <c r="C564" i="3"/>
  <c r="C565" i="3"/>
  <c r="C566" i="3"/>
  <c r="C567" i="3"/>
  <c r="C568" i="3"/>
  <c r="C569" i="3"/>
  <c r="C570" i="3"/>
  <c r="C571" i="3"/>
  <c r="C572" i="3"/>
  <c r="C573" i="3"/>
  <c r="C574" i="3"/>
  <c r="C575" i="3"/>
  <c r="C576" i="3"/>
  <c r="C577" i="3"/>
  <c r="C578" i="3"/>
  <c r="C579" i="3"/>
  <c r="C580" i="3"/>
  <c r="C581" i="3"/>
  <c r="C582" i="3"/>
  <c r="C583" i="3"/>
  <c r="C584" i="3"/>
  <c r="C585" i="3"/>
  <c r="C586" i="3"/>
  <c r="C587" i="3"/>
  <c r="C588" i="3"/>
  <c r="C589" i="3"/>
  <c r="C590" i="3"/>
  <c r="C591" i="3"/>
  <c r="C592" i="3"/>
  <c r="C593" i="3"/>
  <c r="C594" i="3"/>
  <c r="C595" i="3"/>
  <c r="C596" i="3"/>
  <c r="C597" i="3"/>
  <c r="C598" i="3"/>
  <c r="C599" i="3"/>
  <c r="C600" i="3"/>
  <c r="C601" i="3"/>
  <c r="C602" i="3"/>
  <c r="C603" i="3"/>
  <c r="C604" i="3"/>
  <c r="C605" i="3"/>
  <c r="C606" i="3"/>
  <c r="C607" i="3"/>
  <c r="C608" i="3"/>
  <c r="C609" i="3"/>
  <c r="C610" i="3"/>
  <c r="C611" i="3"/>
  <c r="C612" i="3"/>
  <c r="C613" i="3"/>
  <c r="C614" i="3"/>
  <c r="C615" i="3"/>
  <c r="C616" i="3"/>
  <c r="C617" i="3"/>
  <c r="C618" i="3"/>
  <c r="C619" i="3"/>
  <c r="C620" i="3"/>
  <c r="C621" i="3"/>
  <c r="C622" i="3"/>
  <c r="C623" i="3"/>
  <c r="C624" i="3"/>
  <c r="C625" i="3"/>
  <c r="C626" i="3"/>
  <c r="C627" i="3"/>
  <c r="C628" i="3"/>
  <c r="C629" i="3"/>
  <c r="C630" i="3"/>
  <c r="C631" i="3"/>
  <c r="C632" i="3"/>
  <c r="C633" i="3"/>
  <c r="C634" i="3"/>
  <c r="C635" i="3"/>
  <c r="C636" i="3"/>
  <c r="C637" i="3"/>
  <c r="C638" i="3"/>
  <c r="C639" i="3"/>
  <c r="C640" i="3"/>
  <c r="C641" i="3"/>
  <c r="C642" i="3"/>
  <c r="C643" i="3"/>
  <c r="C644" i="3"/>
  <c r="C645" i="3"/>
  <c r="C646" i="3"/>
  <c r="C647" i="3"/>
  <c r="C648" i="3"/>
  <c r="C649" i="3"/>
  <c r="C650" i="3"/>
  <c r="C651" i="3"/>
  <c r="C652" i="3"/>
  <c r="C653" i="3"/>
  <c r="C654" i="3"/>
  <c r="C655" i="3"/>
  <c r="C656" i="3"/>
  <c r="C657" i="3"/>
  <c r="C658" i="3"/>
  <c r="C659" i="3"/>
  <c r="C660" i="3"/>
  <c r="C661" i="3"/>
  <c r="C662" i="3"/>
  <c r="C663" i="3"/>
  <c r="C664" i="3"/>
  <c r="C665" i="3"/>
  <c r="C666" i="3"/>
  <c r="C667" i="3"/>
  <c r="C668" i="3"/>
  <c r="C669" i="3"/>
  <c r="C670" i="3"/>
  <c r="C671" i="3"/>
  <c r="C672" i="3"/>
  <c r="C673" i="3"/>
  <c r="C674" i="3"/>
  <c r="C675" i="3"/>
  <c r="C676" i="3"/>
  <c r="C677" i="3"/>
  <c r="C678" i="3"/>
  <c r="C679" i="3"/>
  <c r="C680" i="3"/>
  <c r="C681" i="3"/>
  <c r="C682" i="3"/>
  <c r="C683" i="3"/>
  <c r="C684" i="3"/>
  <c r="C685" i="3"/>
  <c r="C686" i="3"/>
  <c r="C687" i="3"/>
  <c r="C688" i="3"/>
  <c r="C689" i="3"/>
  <c r="C690" i="3"/>
  <c r="C691" i="3"/>
  <c r="C692" i="3"/>
  <c r="C693" i="3"/>
  <c r="C694" i="3"/>
  <c r="C695" i="3"/>
  <c r="C696" i="3"/>
  <c r="C697" i="3"/>
  <c r="C698" i="3"/>
  <c r="C699" i="3"/>
  <c r="C700" i="3"/>
  <c r="C701" i="3"/>
  <c r="C702" i="3"/>
  <c r="C703" i="3"/>
  <c r="C704" i="3"/>
  <c r="C705" i="3"/>
  <c r="C706" i="3"/>
  <c r="C707" i="3"/>
  <c r="C708" i="3"/>
  <c r="C709" i="3"/>
  <c r="C710" i="3"/>
  <c r="C711" i="3"/>
  <c r="C712" i="3"/>
  <c r="C713" i="3"/>
  <c r="C714" i="3"/>
  <c r="C715" i="3"/>
  <c r="C716" i="3"/>
  <c r="C717" i="3"/>
  <c r="C718" i="3"/>
  <c r="C719" i="3"/>
  <c r="C720" i="3"/>
  <c r="C721" i="3"/>
  <c r="C722" i="3"/>
  <c r="C723" i="3"/>
  <c r="C724" i="3"/>
  <c r="C725" i="3"/>
  <c r="C726" i="3"/>
  <c r="C727" i="3"/>
  <c r="C728" i="3"/>
  <c r="C729" i="3"/>
  <c r="C730" i="3"/>
  <c r="C731" i="3"/>
  <c r="C732" i="3"/>
  <c r="C733" i="3"/>
  <c r="C734" i="3"/>
  <c r="C735" i="3"/>
  <c r="C736" i="3"/>
  <c r="C737" i="3"/>
  <c r="C738" i="3"/>
  <c r="C739" i="3"/>
  <c r="C740" i="3"/>
  <c r="C741" i="3"/>
  <c r="C742" i="3"/>
  <c r="C743" i="3"/>
  <c r="C744" i="3"/>
  <c r="C745" i="3"/>
  <c r="C746" i="3"/>
  <c r="C747" i="3"/>
  <c r="C748" i="3"/>
  <c r="C749" i="3"/>
  <c r="C750" i="3"/>
  <c r="C751" i="3"/>
  <c r="C752" i="3"/>
  <c r="C753" i="3"/>
  <c r="C754" i="3"/>
  <c r="C755" i="3"/>
  <c r="C756" i="3"/>
  <c r="C757" i="3"/>
  <c r="C758" i="3"/>
  <c r="C759" i="3"/>
  <c r="C760" i="3"/>
  <c r="C761" i="3"/>
  <c r="C762" i="3"/>
  <c r="C763" i="3"/>
  <c r="C764" i="3"/>
  <c r="C765" i="3"/>
  <c r="C766" i="3"/>
  <c r="C767" i="3"/>
  <c r="C768" i="3"/>
  <c r="C769" i="3"/>
  <c r="C770" i="3"/>
  <c r="C771" i="3"/>
  <c r="C772" i="3"/>
  <c r="C773" i="3"/>
  <c r="C774" i="3"/>
  <c r="C775" i="3"/>
  <c r="C776" i="3"/>
  <c r="C777" i="3"/>
  <c r="C778" i="3"/>
  <c r="C779" i="3"/>
  <c r="C780" i="3"/>
  <c r="C781" i="3"/>
  <c r="C782" i="3"/>
  <c r="C783" i="3"/>
  <c r="C784" i="3"/>
  <c r="C785" i="3"/>
  <c r="C786" i="3"/>
  <c r="C787" i="3"/>
  <c r="C788" i="3"/>
  <c r="C789" i="3"/>
  <c r="C790" i="3"/>
  <c r="C791" i="3"/>
  <c r="C792" i="3"/>
  <c r="C793" i="3"/>
  <c r="C794" i="3"/>
  <c r="C795" i="3"/>
  <c r="C796" i="3"/>
  <c r="C797" i="3"/>
  <c r="C798" i="3"/>
  <c r="C799" i="3"/>
  <c r="C800" i="3"/>
  <c r="C801" i="3"/>
  <c r="C802" i="3"/>
  <c r="C803" i="3"/>
  <c r="C804" i="3"/>
  <c r="C805" i="3"/>
  <c r="C806" i="3"/>
  <c r="C807" i="3"/>
  <c r="C808" i="3"/>
  <c r="C809" i="3"/>
  <c r="C810" i="3"/>
  <c r="C811" i="3"/>
  <c r="C812" i="3"/>
  <c r="C813" i="3"/>
  <c r="C814" i="3"/>
  <c r="C815" i="3"/>
  <c r="C816" i="3"/>
  <c r="C817" i="3"/>
  <c r="C818" i="3"/>
  <c r="C819" i="3"/>
  <c r="C820" i="3"/>
  <c r="C821" i="3"/>
  <c r="C822" i="3"/>
  <c r="C823" i="3"/>
  <c r="C824" i="3"/>
  <c r="C825" i="3"/>
  <c r="C826" i="3"/>
  <c r="C827" i="3"/>
  <c r="C828" i="3"/>
  <c r="C829" i="3"/>
  <c r="C830" i="3"/>
  <c r="C831" i="3"/>
  <c r="C832" i="3"/>
  <c r="C833" i="3"/>
  <c r="C834" i="3"/>
  <c r="C835" i="3"/>
  <c r="C836" i="3"/>
  <c r="C837" i="3"/>
  <c r="C838" i="3"/>
  <c r="C839" i="3"/>
  <c r="C840" i="3"/>
  <c r="C841" i="3"/>
  <c r="C842" i="3"/>
  <c r="C843" i="3"/>
  <c r="C844" i="3"/>
  <c r="C845" i="3"/>
  <c r="C846" i="3"/>
  <c r="C847" i="3"/>
  <c r="C848" i="3"/>
  <c r="C849" i="3"/>
  <c r="C850" i="3"/>
  <c r="C851" i="3"/>
  <c r="C852" i="3"/>
  <c r="C853" i="3"/>
  <c r="C854" i="3"/>
  <c r="C855" i="3"/>
  <c r="C856" i="3"/>
  <c r="C857" i="3"/>
  <c r="C858" i="3"/>
  <c r="C859" i="3"/>
  <c r="C860" i="3"/>
  <c r="C861" i="3"/>
  <c r="C862" i="3"/>
  <c r="C863" i="3"/>
  <c r="C864" i="3"/>
  <c r="C865" i="3"/>
  <c r="C866" i="3"/>
  <c r="C867" i="3"/>
  <c r="C868" i="3"/>
  <c r="C869" i="3"/>
  <c r="C870" i="3"/>
  <c r="C871" i="3"/>
  <c r="C872" i="3"/>
  <c r="C873" i="3"/>
  <c r="C874" i="3"/>
  <c r="C875" i="3"/>
  <c r="C876" i="3"/>
  <c r="C877" i="3"/>
  <c r="C878" i="3"/>
  <c r="C879" i="3"/>
  <c r="C880" i="3"/>
  <c r="C881" i="3"/>
  <c r="C882" i="3"/>
  <c r="C883" i="3"/>
  <c r="C884" i="3"/>
  <c r="C885" i="3"/>
  <c r="C886" i="3"/>
  <c r="C887" i="3"/>
  <c r="C888" i="3"/>
  <c r="C889" i="3"/>
  <c r="C890" i="3"/>
  <c r="C891" i="3"/>
  <c r="C892" i="3"/>
  <c r="C893" i="3"/>
  <c r="C894" i="3"/>
  <c r="C895" i="3"/>
  <c r="C896" i="3"/>
  <c r="C897" i="3"/>
  <c r="C898" i="3"/>
  <c r="C899" i="3"/>
  <c r="C900" i="3"/>
  <c r="C901" i="3"/>
  <c r="C902" i="3"/>
  <c r="C903" i="3"/>
  <c r="C904" i="3"/>
  <c r="C905" i="3"/>
  <c r="C906" i="3"/>
  <c r="C907" i="3"/>
  <c r="C908" i="3"/>
  <c r="C909" i="3"/>
  <c r="C910" i="3"/>
  <c r="C911" i="3"/>
  <c r="C912" i="3"/>
  <c r="C913" i="3"/>
  <c r="C914" i="3"/>
  <c r="C915" i="3"/>
  <c r="C916" i="3"/>
  <c r="C917" i="3"/>
  <c r="C918" i="3"/>
  <c r="C919" i="3"/>
  <c r="C920" i="3"/>
  <c r="C921" i="3"/>
  <c r="C922" i="3"/>
  <c r="C923" i="3"/>
  <c r="C924" i="3"/>
  <c r="C925" i="3"/>
  <c r="C926" i="3"/>
  <c r="C927" i="3"/>
  <c r="C928" i="3"/>
  <c r="C929" i="3"/>
  <c r="C930" i="3"/>
  <c r="C931" i="3"/>
  <c r="C932" i="3"/>
  <c r="C933" i="3"/>
  <c r="C934" i="3"/>
  <c r="C935" i="3"/>
  <c r="C936" i="3"/>
  <c r="C937" i="3"/>
  <c r="C938" i="3"/>
  <c r="C939" i="3"/>
  <c r="C940" i="3"/>
  <c r="C941" i="3"/>
  <c r="C942" i="3"/>
  <c r="C943" i="3"/>
  <c r="C944" i="3"/>
  <c r="C945" i="3"/>
  <c r="C946" i="3"/>
  <c r="C947" i="3"/>
  <c r="C948" i="3"/>
  <c r="C949" i="3"/>
  <c r="C950" i="3"/>
  <c r="C951" i="3"/>
  <c r="C952" i="3"/>
  <c r="C953" i="3"/>
  <c r="C954" i="3"/>
  <c r="C955" i="3"/>
  <c r="C956" i="3"/>
  <c r="C957" i="3"/>
  <c r="C958" i="3"/>
  <c r="C959" i="3"/>
  <c r="C960" i="3"/>
  <c r="C961" i="3"/>
  <c r="C962" i="3"/>
  <c r="C963" i="3"/>
  <c r="C964" i="3"/>
  <c r="C965" i="3"/>
  <c r="C966" i="3"/>
  <c r="C967" i="3"/>
  <c r="C968" i="3"/>
  <c r="C969" i="3"/>
  <c r="C970" i="3"/>
  <c r="C971" i="3"/>
  <c r="C972" i="3"/>
  <c r="C973" i="3"/>
  <c r="C974" i="3"/>
  <c r="C975" i="3"/>
  <c r="C976" i="3"/>
  <c r="C977" i="3"/>
  <c r="C978" i="3"/>
  <c r="C979" i="3"/>
  <c r="C980" i="3"/>
  <c r="C981" i="3"/>
  <c r="C982" i="3"/>
  <c r="C983" i="3"/>
  <c r="C984" i="3"/>
  <c r="C985" i="3"/>
  <c r="C986" i="3"/>
  <c r="C987" i="3"/>
  <c r="C988" i="3"/>
  <c r="C989" i="3"/>
  <c r="C990" i="3"/>
  <c r="C991" i="3"/>
  <c r="C992" i="3"/>
  <c r="C993" i="3"/>
  <c r="C994" i="3"/>
  <c r="C995" i="3"/>
  <c r="C996" i="3"/>
  <c r="C997" i="3"/>
  <c r="C998" i="3"/>
  <c r="C999" i="3"/>
  <c r="C1000" i="3"/>
  <c r="C1001" i="3"/>
  <c r="C1002" i="3"/>
  <c r="C1003" i="3"/>
  <c r="C1004" i="3"/>
  <c r="C1005" i="3"/>
  <c r="C1006" i="3"/>
  <c r="C1007" i="3"/>
  <c r="C1008" i="3"/>
  <c r="C1009" i="3"/>
  <c r="C1010" i="3"/>
  <c r="C1011" i="3"/>
  <c r="C1012" i="3"/>
  <c r="C1013" i="3"/>
  <c r="C1014" i="3"/>
  <c r="C1015" i="3"/>
  <c r="C1016" i="3"/>
  <c r="C1017" i="3"/>
  <c r="C1018" i="3"/>
  <c r="C1019" i="3"/>
  <c r="C1020" i="3"/>
  <c r="C1021" i="3"/>
  <c r="C1022" i="3"/>
  <c r="C1023" i="3"/>
  <c r="C1024" i="3"/>
  <c r="C1025" i="3"/>
  <c r="C1026" i="3"/>
  <c r="C1027" i="3"/>
  <c r="C1028" i="3"/>
  <c r="C1029" i="3"/>
  <c r="C1030" i="3"/>
  <c r="C1031" i="3"/>
  <c r="C1032" i="3"/>
  <c r="C1033" i="3"/>
  <c r="C1034" i="3"/>
  <c r="C1035" i="3"/>
  <c r="C1036" i="3"/>
  <c r="C1037" i="3"/>
  <c r="C1038" i="3"/>
  <c r="C1039" i="3"/>
  <c r="C1040" i="3"/>
  <c r="C1041" i="3"/>
  <c r="C1042" i="3"/>
  <c r="C1043" i="3"/>
  <c r="C1044" i="3"/>
  <c r="C1045" i="3"/>
  <c r="C1046" i="3"/>
  <c r="C1047" i="3"/>
  <c r="C1048" i="3"/>
  <c r="C1049" i="3"/>
  <c r="C1050" i="3"/>
  <c r="C1051" i="3"/>
  <c r="C1052" i="3"/>
  <c r="C1053" i="3"/>
  <c r="C1054" i="3"/>
  <c r="C1055" i="3"/>
  <c r="C1056" i="3"/>
  <c r="C1057" i="3"/>
  <c r="C1058" i="3"/>
  <c r="C1059" i="3"/>
  <c r="C1060" i="3"/>
  <c r="C1061" i="3"/>
  <c r="C1062" i="3"/>
  <c r="C1063" i="3"/>
  <c r="C1064" i="3"/>
  <c r="C1065" i="3"/>
  <c r="C1066" i="3"/>
  <c r="C1067" i="3"/>
  <c r="C1068" i="3"/>
  <c r="C1069" i="3"/>
  <c r="C1070" i="3"/>
  <c r="C1071" i="3"/>
  <c r="C1072" i="3"/>
  <c r="C1073" i="3"/>
  <c r="C1074" i="3"/>
  <c r="C1075" i="3"/>
  <c r="C1076" i="3"/>
  <c r="C1077" i="3"/>
  <c r="C1078" i="3"/>
  <c r="C1079" i="3"/>
  <c r="C1080" i="3"/>
  <c r="C1081" i="3"/>
  <c r="C1082" i="3"/>
  <c r="C1083" i="3"/>
  <c r="C1084" i="3"/>
  <c r="C1085" i="3"/>
  <c r="C1086" i="3"/>
  <c r="C1087" i="3"/>
  <c r="C1088" i="3"/>
  <c r="C1089" i="3"/>
  <c r="C1090" i="3"/>
  <c r="C1091" i="3"/>
  <c r="C1092" i="3"/>
  <c r="C1093" i="3"/>
  <c r="C1094" i="3"/>
  <c r="C1095" i="3"/>
  <c r="C1096" i="3"/>
  <c r="C1097" i="3"/>
  <c r="C1098" i="3"/>
  <c r="C1099" i="3"/>
  <c r="C1100" i="3"/>
  <c r="C1101" i="3"/>
  <c r="C1102" i="3"/>
  <c r="C1103" i="3"/>
  <c r="C1104" i="3"/>
  <c r="C1105" i="3"/>
  <c r="C1106" i="3"/>
  <c r="C1107" i="3"/>
  <c r="C1108" i="3"/>
  <c r="C1109" i="3"/>
  <c r="C1110" i="3"/>
  <c r="C1111" i="3"/>
  <c r="C1112" i="3"/>
  <c r="C1113" i="3"/>
  <c r="C1114" i="3"/>
  <c r="C1115" i="3"/>
  <c r="C1116" i="3"/>
  <c r="C1117" i="3"/>
  <c r="C1118" i="3"/>
  <c r="C1119" i="3"/>
  <c r="C1120" i="3"/>
  <c r="C1121" i="3"/>
  <c r="C1122" i="3"/>
  <c r="C1123" i="3"/>
  <c r="C1124" i="3"/>
  <c r="C1125" i="3"/>
  <c r="C1126" i="3"/>
  <c r="C1127" i="3"/>
  <c r="C1128" i="3"/>
  <c r="C1129" i="3"/>
  <c r="C1130" i="3"/>
  <c r="C1131" i="3"/>
  <c r="C1132" i="3"/>
  <c r="C1133" i="3"/>
  <c r="C1134" i="3"/>
  <c r="C1135" i="3"/>
  <c r="C1136" i="3"/>
  <c r="C1137" i="3"/>
  <c r="C1138" i="3"/>
  <c r="C1139" i="3"/>
  <c r="C1140" i="3"/>
  <c r="C1141" i="3"/>
  <c r="C1142" i="3"/>
  <c r="C1143" i="3"/>
  <c r="C1144" i="3"/>
  <c r="C1145" i="3"/>
  <c r="C1146" i="3"/>
  <c r="C1147" i="3"/>
  <c r="C1148" i="3"/>
  <c r="C1149" i="3"/>
  <c r="C1150" i="3"/>
  <c r="C1151" i="3"/>
  <c r="C1152" i="3"/>
  <c r="C1153" i="3"/>
  <c r="C1154" i="3"/>
  <c r="C1155" i="3"/>
  <c r="C1156" i="3"/>
  <c r="C1157" i="3"/>
  <c r="C1158" i="3"/>
  <c r="C1159" i="3"/>
  <c r="C1160" i="3"/>
  <c r="C1161" i="3"/>
  <c r="C1162" i="3"/>
  <c r="C1163" i="3"/>
  <c r="C1164" i="3"/>
  <c r="C1165" i="3"/>
  <c r="C1166" i="3"/>
  <c r="C1167" i="3"/>
  <c r="C1168" i="3"/>
  <c r="C1169" i="3"/>
  <c r="C1170" i="3"/>
  <c r="C1171" i="3"/>
  <c r="C1172" i="3"/>
  <c r="C1173" i="3"/>
  <c r="C1174" i="3"/>
  <c r="C1175" i="3"/>
  <c r="C1176" i="3"/>
  <c r="C1177" i="3"/>
  <c r="C1178" i="3"/>
  <c r="C1179" i="3"/>
  <c r="C1180" i="3"/>
  <c r="C1181" i="3"/>
  <c r="C1182" i="3"/>
  <c r="C1183" i="3"/>
  <c r="C1184" i="3"/>
  <c r="C1185" i="3"/>
  <c r="C1186" i="3"/>
  <c r="C1187" i="3"/>
  <c r="C1188" i="3"/>
  <c r="C1189" i="3"/>
  <c r="C1190" i="3"/>
  <c r="C1191" i="3"/>
  <c r="C1192" i="3"/>
  <c r="C1193" i="3"/>
  <c r="C1194" i="3"/>
  <c r="C1195" i="3"/>
  <c r="C1196" i="3"/>
  <c r="C1197" i="3"/>
  <c r="C1198" i="3"/>
  <c r="C1199" i="3"/>
  <c r="C1200" i="3"/>
  <c r="C1201" i="3"/>
  <c r="C1202" i="3"/>
  <c r="C1203" i="3"/>
  <c r="C1204" i="3"/>
  <c r="C1205" i="3"/>
  <c r="C1206" i="3"/>
  <c r="C1207" i="3"/>
  <c r="C1208" i="3"/>
  <c r="C1209" i="3"/>
  <c r="C1210" i="3"/>
  <c r="C1211" i="3"/>
  <c r="C1212" i="3"/>
  <c r="C1213" i="3"/>
  <c r="C1214" i="3"/>
  <c r="C1215" i="3"/>
  <c r="C1216" i="3"/>
  <c r="C1217" i="3"/>
  <c r="C1218" i="3"/>
  <c r="C1219" i="3"/>
  <c r="C1220" i="3"/>
  <c r="C1221" i="3"/>
  <c r="C1222" i="3"/>
  <c r="C1223" i="3"/>
  <c r="C1224" i="3"/>
  <c r="C1225" i="3"/>
  <c r="C1226" i="3"/>
  <c r="C1227" i="3"/>
  <c r="C1228" i="3"/>
  <c r="C1229" i="3"/>
  <c r="C1230" i="3"/>
  <c r="C1231" i="3"/>
  <c r="C1232" i="3"/>
  <c r="C1233" i="3"/>
  <c r="C1234" i="3"/>
  <c r="C1235" i="3"/>
  <c r="C1236" i="3"/>
  <c r="C1237" i="3"/>
  <c r="C1238" i="3"/>
  <c r="C1239" i="3"/>
  <c r="C1240" i="3"/>
  <c r="C1241" i="3"/>
  <c r="C1242" i="3"/>
  <c r="C1243" i="3"/>
  <c r="C1244" i="3"/>
  <c r="C1245" i="3"/>
  <c r="C1246" i="3"/>
  <c r="C1247" i="3"/>
  <c r="C1248" i="3"/>
  <c r="C1249" i="3"/>
  <c r="C1250" i="3"/>
  <c r="C1251" i="3"/>
  <c r="C1252" i="3"/>
  <c r="C1253" i="3"/>
  <c r="C1254" i="3"/>
  <c r="C1255" i="3"/>
  <c r="C1256" i="3"/>
  <c r="C1257" i="3"/>
  <c r="C1258" i="3"/>
  <c r="C1259" i="3"/>
  <c r="C1260" i="3"/>
  <c r="C1261" i="3"/>
  <c r="C1262" i="3"/>
  <c r="C1263" i="3"/>
  <c r="C1264" i="3"/>
  <c r="C1265" i="3"/>
  <c r="C1266" i="3"/>
  <c r="C1267" i="3"/>
  <c r="C1268" i="3"/>
  <c r="C1269" i="3"/>
  <c r="C1270" i="3"/>
  <c r="C1271" i="3"/>
  <c r="C1272" i="3"/>
  <c r="C1273" i="3"/>
  <c r="C1274" i="3"/>
  <c r="C1275" i="3"/>
  <c r="C1276" i="3"/>
  <c r="C1277" i="3"/>
  <c r="C1278" i="3"/>
  <c r="C1279" i="3"/>
  <c r="C1280" i="3"/>
  <c r="C1281" i="3"/>
  <c r="C1282" i="3"/>
  <c r="C1283" i="3"/>
  <c r="C1284" i="3"/>
  <c r="C1285" i="3"/>
  <c r="C1286" i="3"/>
  <c r="C1287" i="3"/>
  <c r="C1288" i="3"/>
  <c r="C1289" i="3"/>
  <c r="C1290" i="3"/>
  <c r="C1291" i="3"/>
  <c r="C1292" i="3"/>
  <c r="C1293" i="3"/>
  <c r="C1294" i="3"/>
  <c r="C1295" i="3"/>
  <c r="C1296" i="3"/>
  <c r="C1297" i="3"/>
  <c r="C1298" i="3"/>
  <c r="C1299" i="3"/>
  <c r="C1300" i="3"/>
  <c r="C1301" i="3"/>
  <c r="C1302" i="3"/>
  <c r="C1303" i="3"/>
  <c r="C1304" i="3"/>
  <c r="C1305" i="3"/>
  <c r="C1306" i="3"/>
  <c r="C1307" i="3"/>
  <c r="C1308" i="3"/>
  <c r="C1309" i="3"/>
  <c r="C1310" i="3"/>
  <c r="C1311" i="3"/>
  <c r="C1312" i="3"/>
  <c r="C1313" i="3"/>
  <c r="C1314" i="3"/>
  <c r="C1315" i="3"/>
  <c r="C1316" i="3"/>
  <c r="C1317" i="3"/>
  <c r="C1318" i="3"/>
  <c r="C1319" i="3"/>
  <c r="C1320" i="3"/>
  <c r="C1321" i="3"/>
  <c r="C1322" i="3"/>
  <c r="C1323" i="3"/>
  <c r="C1324" i="3"/>
  <c r="C1325" i="3"/>
  <c r="C1326" i="3"/>
  <c r="C1327" i="3"/>
  <c r="C1328" i="3"/>
  <c r="C1329" i="3"/>
  <c r="C1330" i="3"/>
  <c r="C1331" i="3"/>
  <c r="C1332" i="3"/>
  <c r="C1333" i="3"/>
  <c r="C1334" i="3"/>
  <c r="C1335" i="3"/>
  <c r="C1336" i="3"/>
  <c r="C1337" i="3"/>
  <c r="C1338" i="3"/>
  <c r="C1339" i="3"/>
  <c r="C1340" i="3"/>
  <c r="C1341" i="3"/>
  <c r="C1342" i="3"/>
  <c r="C1343" i="3"/>
  <c r="C1344" i="3"/>
  <c r="C1345" i="3"/>
  <c r="C1346" i="3"/>
  <c r="C1347" i="3"/>
  <c r="C1348" i="3"/>
  <c r="C1349" i="3"/>
  <c r="C1350" i="3"/>
  <c r="C1351" i="3"/>
  <c r="C1352" i="3"/>
  <c r="C1353" i="3"/>
  <c r="C1354" i="3"/>
  <c r="C1355" i="3"/>
  <c r="C1356" i="3"/>
  <c r="C1357" i="3"/>
  <c r="C1358" i="3"/>
  <c r="C1359" i="3"/>
  <c r="C1360" i="3"/>
  <c r="C1361" i="3"/>
  <c r="C1362" i="3"/>
  <c r="C1363" i="3"/>
  <c r="C1364" i="3"/>
  <c r="C1365" i="3"/>
  <c r="C1366" i="3"/>
  <c r="C1367" i="3"/>
  <c r="C1368" i="3"/>
  <c r="C1369" i="3"/>
  <c r="C1370" i="3"/>
  <c r="C1371" i="3"/>
  <c r="C1372" i="3"/>
  <c r="C1373" i="3"/>
  <c r="C1374" i="3"/>
  <c r="C1375" i="3"/>
  <c r="C1376" i="3"/>
  <c r="C1377" i="3"/>
  <c r="C1378" i="3"/>
  <c r="C1379" i="3"/>
  <c r="C1380" i="3"/>
  <c r="C1381" i="3"/>
  <c r="C1382" i="3"/>
  <c r="C1383" i="3"/>
  <c r="C1384" i="3"/>
  <c r="C1385" i="3"/>
  <c r="C1386" i="3"/>
  <c r="C1387" i="3"/>
  <c r="C1388" i="3"/>
  <c r="C1389" i="3"/>
  <c r="C1390" i="3"/>
  <c r="C1391" i="3"/>
  <c r="C1392" i="3"/>
  <c r="C1393" i="3"/>
  <c r="C1394" i="3"/>
  <c r="C1395" i="3"/>
  <c r="C1396" i="3"/>
  <c r="C1397" i="3"/>
  <c r="C1398" i="3"/>
  <c r="C1399" i="3"/>
  <c r="C1400" i="3"/>
  <c r="C1401" i="3"/>
  <c r="C1402" i="3"/>
  <c r="C1403" i="3"/>
  <c r="C1404" i="3"/>
  <c r="C1405" i="3"/>
  <c r="C1406" i="3"/>
  <c r="C1407" i="3"/>
  <c r="C1408" i="3"/>
  <c r="C1409" i="3"/>
  <c r="C1410" i="3"/>
  <c r="C1411" i="3"/>
  <c r="C1412" i="3"/>
  <c r="C1413" i="3"/>
  <c r="C1414" i="3"/>
  <c r="C1415" i="3"/>
  <c r="C1416" i="3"/>
  <c r="C1417" i="3"/>
  <c r="C1418" i="3"/>
  <c r="C1419" i="3"/>
  <c r="C1420" i="3"/>
  <c r="C1421" i="3"/>
  <c r="C1422" i="3"/>
  <c r="C1423" i="3"/>
  <c r="C1424" i="3"/>
  <c r="C1425" i="3"/>
  <c r="C1426" i="3"/>
  <c r="C1427" i="3"/>
  <c r="C1428" i="3"/>
  <c r="C1429" i="3"/>
  <c r="C1430" i="3"/>
  <c r="C1431" i="3"/>
  <c r="C1432" i="3"/>
  <c r="C1433" i="3"/>
  <c r="C1434" i="3"/>
  <c r="C1435" i="3"/>
  <c r="C1436" i="3"/>
  <c r="C1437" i="3"/>
  <c r="C1438" i="3"/>
  <c r="C1439" i="3"/>
  <c r="C1440" i="3"/>
  <c r="C1441" i="3"/>
  <c r="C1442" i="3"/>
  <c r="C1443" i="3"/>
  <c r="C1444" i="3"/>
  <c r="C1445" i="3"/>
  <c r="C1446" i="3"/>
  <c r="C1447" i="3"/>
  <c r="C1448" i="3"/>
  <c r="C1449" i="3"/>
  <c r="C1450" i="3"/>
  <c r="C1451" i="3"/>
  <c r="C1452" i="3"/>
  <c r="C1453" i="3"/>
  <c r="C1454" i="3"/>
  <c r="C1455" i="3"/>
  <c r="C1456" i="3"/>
  <c r="C1457" i="3"/>
  <c r="C1458" i="3"/>
  <c r="C1459" i="3"/>
  <c r="C1460" i="3"/>
  <c r="C1461" i="3"/>
  <c r="C1462" i="3"/>
  <c r="C1463" i="3"/>
  <c r="C1464" i="3"/>
  <c r="C1465" i="3"/>
  <c r="C1466" i="3"/>
  <c r="C1467" i="3"/>
  <c r="C1468" i="3"/>
  <c r="C1469" i="3"/>
  <c r="C1470" i="3"/>
  <c r="C1471" i="3"/>
  <c r="C1472" i="3"/>
  <c r="C1473" i="3"/>
  <c r="C1474" i="3"/>
  <c r="C1475" i="3"/>
  <c r="C1476" i="3"/>
  <c r="C1477" i="3"/>
  <c r="C1478" i="3"/>
  <c r="C1479" i="3"/>
  <c r="C1480" i="3"/>
  <c r="C1481" i="3"/>
  <c r="C1482" i="3"/>
  <c r="C1483" i="3"/>
  <c r="C1484" i="3"/>
  <c r="C1485" i="3"/>
  <c r="C1486" i="3"/>
  <c r="C1487" i="3"/>
  <c r="C1488" i="3"/>
  <c r="C1489" i="3"/>
  <c r="C1490" i="3"/>
  <c r="C1491" i="3"/>
  <c r="C1492" i="3"/>
  <c r="C1493" i="3"/>
  <c r="C1494" i="3"/>
  <c r="C1495" i="3"/>
  <c r="C1496" i="3"/>
  <c r="C1497" i="3"/>
  <c r="C1498" i="3"/>
  <c r="C1499" i="3"/>
  <c r="C1500" i="3"/>
  <c r="C1501" i="3"/>
  <c r="C1502" i="3"/>
  <c r="C1503" i="3"/>
  <c r="C1504" i="3"/>
  <c r="C1505" i="3"/>
  <c r="C1506" i="3"/>
  <c r="C1507" i="3"/>
  <c r="C1508" i="3"/>
  <c r="C1509" i="3"/>
  <c r="C1510" i="3"/>
  <c r="C1511" i="3"/>
  <c r="C1512" i="3"/>
  <c r="C1513" i="3"/>
  <c r="C1514" i="3"/>
  <c r="C1515" i="3"/>
  <c r="C1516" i="3"/>
  <c r="C1517" i="3"/>
  <c r="C1518" i="3"/>
  <c r="C1519" i="3"/>
  <c r="C1520" i="3"/>
  <c r="C1521" i="3"/>
  <c r="C1522" i="3"/>
  <c r="C1523" i="3"/>
  <c r="C1524" i="3"/>
  <c r="C1525" i="3"/>
  <c r="C1526" i="3"/>
  <c r="C1527" i="3"/>
  <c r="C1528" i="3"/>
  <c r="C1529" i="3"/>
  <c r="C1530" i="3"/>
  <c r="C1531" i="3"/>
  <c r="C1532" i="3"/>
  <c r="C1533" i="3"/>
  <c r="C1534" i="3"/>
  <c r="C1535" i="3"/>
  <c r="C1536" i="3"/>
  <c r="C1537" i="3"/>
  <c r="C1538" i="3"/>
  <c r="C1539" i="3"/>
  <c r="C1540" i="3"/>
  <c r="C1541" i="3"/>
  <c r="C1542" i="3"/>
  <c r="C1543" i="3"/>
  <c r="C1544" i="3"/>
  <c r="C1545" i="3"/>
  <c r="C1546" i="3"/>
  <c r="C1547" i="3"/>
  <c r="C1548" i="3"/>
  <c r="C1549" i="3"/>
  <c r="C1550" i="3"/>
  <c r="C1551" i="3"/>
  <c r="C1552" i="3"/>
  <c r="C1553" i="3"/>
  <c r="C1554" i="3"/>
  <c r="C1555" i="3"/>
  <c r="C1556" i="3"/>
  <c r="C1557" i="3"/>
  <c r="C1558" i="3"/>
  <c r="C1559" i="3"/>
  <c r="C1560" i="3"/>
  <c r="C1561" i="3"/>
  <c r="C1562" i="3"/>
  <c r="C1563" i="3"/>
  <c r="C1564" i="3"/>
  <c r="C1565" i="3"/>
  <c r="C1566" i="3"/>
  <c r="C1567" i="3"/>
  <c r="C1568" i="3"/>
  <c r="C1569" i="3"/>
  <c r="C1570" i="3"/>
  <c r="C1571" i="3"/>
  <c r="C1572" i="3"/>
  <c r="C1573" i="3"/>
  <c r="C1574" i="3"/>
  <c r="C1575" i="3"/>
  <c r="C1576" i="3"/>
  <c r="C1577" i="3"/>
  <c r="C1578" i="3"/>
  <c r="C1579" i="3"/>
  <c r="C1580" i="3"/>
  <c r="C1581" i="3"/>
  <c r="C1582" i="3"/>
  <c r="C1583" i="3"/>
  <c r="C1584" i="3"/>
  <c r="C1585" i="3"/>
  <c r="C1586" i="3"/>
  <c r="C1587" i="3"/>
  <c r="C1588" i="3"/>
  <c r="C1589" i="3"/>
  <c r="C1590" i="3"/>
  <c r="C1591" i="3"/>
  <c r="C1592" i="3"/>
  <c r="C1593" i="3"/>
  <c r="C1594" i="3"/>
  <c r="C1595" i="3"/>
  <c r="C1596" i="3"/>
  <c r="C1597" i="3"/>
  <c r="C1598" i="3"/>
  <c r="C1599" i="3"/>
  <c r="C1600" i="3"/>
  <c r="C1601" i="3"/>
  <c r="C1602" i="3"/>
  <c r="C1603" i="3"/>
  <c r="C1604" i="3"/>
  <c r="C1605" i="3"/>
  <c r="C1606" i="3"/>
  <c r="C1607" i="3"/>
  <c r="C1608" i="3"/>
  <c r="C1609" i="3"/>
  <c r="C1610" i="3"/>
  <c r="C1611" i="3"/>
  <c r="C1612" i="3"/>
  <c r="C1613" i="3"/>
  <c r="C1614" i="3"/>
  <c r="C1615" i="3"/>
  <c r="C1616" i="3"/>
  <c r="C1617" i="3"/>
  <c r="C1618" i="3"/>
  <c r="C1619" i="3"/>
  <c r="C1620" i="3"/>
  <c r="C1621" i="3"/>
  <c r="C1622" i="3"/>
  <c r="C1623" i="3"/>
  <c r="C1624" i="3"/>
  <c r="C1625" i="3"/>
  <c r="C1626" i="3"/>
  <c r="C1627" i="3"/>
  <c r="C1628" i="3"/>
  <c r="C1629" i="3"/>
  <c r="C1630" i="3"/>
  <c r="C1631" i="3"/>
  <c r="C1632" i="3"/>
  <c r="C1633" i="3"/>
  <c r="C1634" i="3"/>
  <c r="C1635" i="3"/>
  <c r="C1636" i="3"/>
  <c r="C1637" i="3"/>
  <c r="C1638" i="3"/>
  <c r="C1639" i="3"/>
  <c r="C1640" i="3"/>
  <c r="C1641" i="3"/>
  <c r="C1642" i="3"/>
  <c r="C1643" i="3"/>
  <c r="C1644" i="3"/>
  <c r="C1645" i="3"/>
  <c r="C1646" i="3"/>
  <c r="C1647" i="3"/>
  <c r="C1648" i="3"/>
  <c r="C1649" i="3"/>
  <c r="C1650" i="3"/>
  <c r="C1651" i="3"/>
  <c r="C1652" i="3"/>
  <c r="C1653" i="3"/>
  <c r="C1654" i="3"/>
  <c r="C1655" i="3"/>
  <c r="C1656" i="3"/>
  <c r="C1657" i="3"/>
  <c r="C1658" i="3"/>
  <c r="C1659" i="3"/>
  <c r="C1660" i="3"/>
  <c r="C1661" i="3"/>
  <c r="C1662" i="3"/>
  <c r="C1663" i="3"/>
  <c r="C1664" i="3"/>
  <c r="C1665" i="3"/>
  <c r="C1666" i="3"/>
  <c r="C1667" i="3"/>
  <c r="C1668" i="3"/>
  <c r="C1669" i="3"/>
  <c r="C1670" i="3"/>
  <c r="C1671" i="3"/>
  <c r="C1672" i="3"/>
  <c r="C1673" i="3"/>
  <c r="C1674" i="3"/>
  <c r="C1675" i="3"/>
  <c r="C1676" i="3"/>
  <c r="C1677" i="3"/>
  <c r="C1678" i="3"/>
  <c r="C1679" i="3"/>
  <c r="C1680" i="3"/>
  <c r="C1681" i="3"/>
  <c r="C1682" i="3"/>
  <c r="C1683" i="3"/>
  <c r="C1684" i="3"/>
  <c r="C1685" i="3"/>
  <c r="C1686" i="3"/>
  <c r="C1687" i="3"/>
  <c r="C1688" i="3"/>
  <c r="C1689" i="3"/>
  <c r="C1690" i="3"/>
  <c r="C1691" i="3"/>
  <c r="C1692" i="3"/>
  <c r="C1693" i="3"/>
  <c r="C1694" i="3"/>
  <c r="C1695" i="3"/>
  <c r="C1696" i="3"/>
  <c r="C1697" i="3"/>
  <c r="C1698" i="3"/>
  <c r="C1699" i="3"/>
  <c r="C1700" i="3"/>
  <c r="C1701" i="3"/>
  <c r="C1702" i="3"/>
  <c r="C1703" i="3"/>
  <c r="C1704" i="3"/>
  <c r="C1705" i="3"/>
  <c r="C1706" i="3"/>
  <c r="C1707" i="3"/>
  <c r="C1708" i="3"/>
  <c r="C1709" i="3"/>
  <c r="C1710" i="3"/>
  <c r="C1711" i="3"/>
  <c r="C1712" i="3"/>
  <c r="C1713" i="3"/>
  <c r="C1714" i="3"/>
  <c r="C1715" i="3"/>
  <c r="C1716" i="3"/>
  <c r="C1717" i="3"/>
  <c r="C1718" i="3"/>
  <c r="C1719" i="3"/>
  <c r="C1720" i="3"/>
  <c r="C1721" i="3"/>
  <c r="C1722" i="3"/>
  <c r="C1723" i="3"/>
  <c r="C1724" i="3"/>
  <c r="C1725" i="3"/>
  <c r="C1726" i="3"/>
  <c r="C1727" i="3"/>
  <c r="C1728" i="3"/>
  <c r="C1729" i="3"/>
  <c r="C1730" i="3"/>
  <c r="C1731" i="3"/>
  <c r="C1732" i="3"/>
  <c r="C1733" i="3"/>
  <c r="C1734" i="3"/>
  <c r="C1735" i="3"/>
  <c r="C1736" i="3"/>
  <c r="C1737" i="3"/>
  <c r="C1738" i="3"/>
  <c r="C1739" i="3"/>
  <c r="C1740" i="3"/>
  <c r="C1741" i="3"/>
  <c r="C1742" i="3"/>
  <c r="C1743" i="3"/>
  <c r="C1744" i="3"/>
  <c r="C1745" i="3"/>
  <c r="C1746" i="3"/>
  <c r="C1747" i="3"/>
  <c r="C1748" i="3"/>
  <c r="C1749" i="3"/>
  <c r="C1750" i="3"/>
  <c r="C1751" i="3"/>
  <c r="C1752" i="3"/>
  <c r="C1753" i="3"/>
  <c r="C1754" i="3"/>
  <c r="C1755" i="3"/>
  <c r="C1756" i="3"/>
  <c r="C1757" i="3"/>
  <c r="C1758" i="3"/>
  <c r="C1759" i="3"/>
  <c r="C1760" i="3"/>
  <c r="C1761" i="3"/>
  <c r="C1762" i="3"/>
  <c r="C1763" i="3"/>
  <c r="C1764" i="3"/>
  <c r="C1765" i="3"/>
  <c r="C1766" i="3"/>
  <c r="C1767" i="3"/>
  <c r="C1768" i="3"/>
  <c r="C1769" i="3"/>
  <c r="C1770" i="3"/>
  <c r="C1771" i="3"/>
  <c r="C1772" i="3"/>
  <c r="C1773" i="3"/>
  <c r="C1774" i="3"/>
  <c r="C1775" i="3"/>
  <c r="C1776" i="3"/>
  <c r="C1777" i="3"/>
  <c r="C1778" i="3"/>
  <c r="C1779" i="3"/>
  <c r="C1780" i="3"/>
  <c r="C1781" i="3"/>
  <c r="C1782" i="3"/>
  <c r="C1783" i="3"/>
  <c r="C1784" i="3"/>
  <c r="C1785" i="3"/>
  <c r="C1786" i="3"/>
  <c r="C1787" i="3"/>
  <c r="C1788" i="3"/>
  <c r="C1789" i="3"/>
  <c r="C1790" i="3"/>
  <c r="C1791" i="3"/>
  <c r="C1792" i="3"/>
  <c r="C1793" i="3"/>
  <c r="C1794" i="3"/>
  <c r="C1795" i="3"/>
  <c r="C1796" i="3"/>
  <c r="C1797" i="3"/>
  <c r="C1798" i="3"/>
  <c r="C1799" i="3"/>
  <c r="C1800" i="3"/>
  <c r="C1801" i="3"/>
  <c r="C1802" i="3"/>
  <c r="C1803" i="3"/>
  <c r="C1804" i="3"/>
  <c r="C1805" i="3"/>
  <c r="C1806" i="3"/>
  <c r="C1807" i="3"/>
  <c r="C1808" i="3"/>
  <c r="C1809" i="3"/>
  <c r="C1810" i="3"/>
  <c r="C1811" i="3"/>
  <c r="C1812" i="3"/>
  <c r="C1813" i="3"/>
  <c r="C1814" i="3"/>
  <c r="C1815" i="3"/>
  <c r="C1816" i="3"/>
  <c r="C1817" i="3"/>
  <c r="C1818" i="3"/>
  <c r="C1819" i="3"/>
  <c r="C1820" i="3"/>
  <c r="C1821" i="3"/>
  <c r="C1822" i="3"/>
  <c r="C1823" i="3"/>
  <c r="C1824" i="3"/>
  <c r="C1825" i="3"/>
  <c r="C1826" i="3"/>
  <c r="C1827" i="3"/>
  <c r="C1828" i="3"/>
  <c r="C1829" i="3"/>
  <c r="C1830" i="3"/>
  <c r="C1831" i="3"/>
  <c r="C1832" i="3"/>
  <c r="C1833" i="3"/>
  <c r="C1834" i="3"/>
  <c r="C1835" i="3"/>
  <c r="C1836" i="3"/>
  <c r="C1837" i="3"/>
  <c r="C1838" i="3"/>
  <c r="C1839" i="3"/>
  <c r="C1840" i="3"/>
  <c r="C1841" i="3"/>
  <c r="C1842" i="3"/>
  <c r="C1843" i="3"/>
  <c r="C1844" i="3"/>
  <c r="C1845" i="3"/>
  <c r="C1846" i="3"/>
  <c r="C1847" i="3"/>
  <c r="C1848" i="3"/>
  <c r="C1849" i="3"/>
  <c r="C1850" i="3"/>
  <c r="C1851" i="3"/>
  <c r="C1852" i="3"/>
  <c r="C1853" i="3"/>
  <c r="C1854" i="3"/>
  <c r="C1855" i="3"/>
  <c r="C1856" i="3"/>
  <c r="C1857" i="3"/>
  <c r="C1858" i="3"/>
  <c r="C1859" i="3"/>
  <c r="C1860" i="3"/>
  <c r="C1861" i="3"/>
  <c r="C1862" i="3"/>
  <c r="C1863" i="3"/>
  <c r="C1864" i="3"/>
  <c r="C1865" i="3"/>
  <c r="C1866" i="3"/>
  <c r="C1867" i="3"/>
  <c r="C1868" i="3"/>
  <c r="C1869" i="3"/>
  <c r="C1870" i="3"/>
  <c r="C1871" i="3"/>
  <c r="C1872" i="3"/>
  <c r="C1873" i="3"/>
  <c r="C1874" i="3"/>
  <c r="C1875" i="3"/>
  <c r="C1876" i="3"/>
  <c r="C1877" i="3"/>
  <c r="C1878" i="3"/>
  <c r="C1879" i="3"/>
  <c r="C1880" i="3"/>
  <c r="C1881" i="3"/>
  <c r="C1882" i="3"/>
  <c r="C1883" i="3"/>
  <c r="C1884" i="3"/>
  <c r="C1885" i="3"/>
  <c r="C1886" i="3"/>
  <c r="C1887" i="3"/>
  <c r="C1888" i="3"/>
  <c r="C1889" i="3"/>
  <c r="C1890" i="3"/>
  <c r="C1891" i="3"/>
  <c r="C1892" i="3"/>
  <c r="C1893" i="3"/>
  <c r="C1894" i="3"/>
  <c r="C1895" i="3"/>
  <c r="C1896" i="3"/>
  <c r="C1897" i="3"/>
  <c r="C1898" i="3"/>
  <c r="C1899" i="3"/>
  <c r="C1900" i="3"/>
  <c r="C1901" i="3"/>
  <c r="C1902" i="3"/>
  <c r="C1903" i="3"/>
  <c r="C1904" i="3"/>
  <c r="C1905" i="3"/>
  <c r="C1906" i="3"/>
  <c r="C1907" i="3"/>
  <c r="C1908" i="3"/>
  <c r="C1909" i="3"/>
  <c r="C1910" i="3"/>
  <c r="C1911" i="3"/>
  <c r="C1912" i="3"/>
  <c r="C1913" i="3"/>
  <c r="C1914" i="3"/>
  <c r="C1915" i="3"/>
  <c r="C1916" i="3"/>
  <c r="C1917" i="3"/>
  <c r="C1918" i="3"/>
  <c r="C1919" i="3"/>
  <c r="C1920" i="3"/>
  <c r="C1921" i="3"/>
  <c r="C1922" i="3"/>
  <c r="C1923" i="3"/>
  <c r="C1924" i="3"/>
  <c r="C1925" i="3"/>
  <c r="C1926" i="3"/>
  <c r="C1927" i="3"/>
  <c r="C1928" i="3"/>
  <c r="C1929" i="3"/>
  <c r="C1930" i="3"/>
  <c r="C1931" i="3"/>
  <c r="C1932" i="3"/>
  <c r="C1933" i="3"/>
  <c r="C1934" i="3"/>
  <c r="C1935" i="3"/>
  <c r="C1936" i="3"/>
  <c r="C1937" i="3"/>
  <c r="C1938" i="3"/>
  <c r="C1939" i="3"/>
  <c r="C1940" i="3"/>
  <c r="C1941" i="3"/>
  <c r="C1942" i="3"/>
  <c r="C1943" i="3"/>
  <c r="C1944" i="3"/>
  <c r="C1945" i="3"/>
  <c r="C1946" i="3"/>
  <c r="C1947" i="3"/>
  <c r="C1948" i="3"/>
  <c r="C1949" i="3"/>
  <c r="C1950" i="3"/>
  <c r="C1951" i="3"/>
  <c r="C1952" i="3"/>
  <c r="C1953" i="3"/>
  <c r="C1954" i="3"/>
  <c r="C1955" i="3"/>
  <c r="C1956" i="3"/>
  <c r="C1957" i="3"/>
  <c r="C1958" i="3"/>
  <c r="C1959" i="3"/>
  <c r="C1960" i="3"/>
  <c r="C1961" i="3"/>
  <c r="C1962" i="3"/>
  <c r="C1963" i="3"/>
  <c r="C1964" i="3"/>
  <c r="C1965" i="3"/>
  <c r="C1966" i="3"/>
  <c r="C1967" i="3"/>
  <c r="C1968" i="3"/>
  <c r="C1969" i="3"/>
  <c r="C1970" i="3"/>
  <c r="C1971" i="3"/>
  <c r="C1972" i="3"/>
  <c r="C1973" i="3"/>
  <c r="C1974" i="3"/>
  <c r="C1975" i="3"/>
  <c r="C1976" i="3"/>
  <c r="C1977" i="3"/>
  <c r="C1978" i="3"/>
  <c r="C1979" i="3"/>
  <c r="C1980" i="3"/>
  <c r="C1981" i="3"/>
  <c r="C1982" i="3"/>
  <c r="C1983" i="3"/>
  <c r="C1984" i="3"/>
  <c r="C1985" i="3"/>
  <c r="C1986" i="3"/>
  <c r="C1987" i="3"/>
  <c r="C1988" i="3"/>
  <c r="C1989" i="3"/>
  <c r="C1990" i="3"/>
  <c r="C1991" i="3"/>
  <c r="C1992" i="3"/>
  <c r="C1993" i="3"/>
  <c r="C1994" i="3"/>
  <c r="C1995" i="3"/>
  <c r="C1996" i="3"/>
  <c r="C1997" i="3"/>
  <c r="C1998" i="3"/>
  <c r="C1999" i="3"/>
  <c r="C2000" i="3"/>
  <c r="C2001" i="3"/>
  <c r="C2002" i="3"/>
  <c r="C2003" i="3"/>
  <c r="C2004" i="3"/>
  <c r="C2005" i="3"/>
  <c r="C2006" i="3"/>
  <c r="C2007" i="3"/>
  <c r="C2008" i="3"/>
  <c r="C2009" i="3"/>
  <c r="C2010" i="3"/>
  <c r="C2011" i="3"/>
  <c r="C2012" i="3"/>
  <c r="C2013" i="3"/>
  <c r="C2014" i="3"/>
  <c r="C2015" i="3"/>
  <c r="C2016" i="3"/>
  <c r="C2017" i="3"/>
  <c r="C2018" i="3"/>
  <c r="C2019" i="3"/>
  <c r="C2020" i="3"/>
  <c r="C2021" i="3"/>
  <c r="C2022" i="3"/>
  <c r="C2023" i="3"/>
  <c r="C2024" i="3"/>
  <c r="C2025" i="3"/>
  <c r="C2026" i="3"/>
  <c r="C2027" i="3"/>
  <c r="C2028" i="3"/>
  <c r="C2029" i="3"/>
  <c r="C2030" i="3"/>
  <c r="C2031" i="3"/>
  <c r="C2032" i="3"/>
  <c r="C2033" i="3"/>
  <c r="C2034" i="3"/>
  <c r="C2035" i="3"/>
  <c r="C2036" i="3"/>
  <c r="C2037" i="3"/>
  <c r="C2038" i="3"/>
  <c r="C2039" i="3"/>
  <c r="C2040" i="3"/>
  <c r="C2041" i="3"/>
  <c r="C2042" i="3"/>
  <c r="C2043" i="3"/>
  <c r="C2044" i="3"/>
  <c r="C2045" i="3"/>
  <c r="C2046" i="3"/>
  <c r="C2047" i="3"/>
  <c r="C2048" i="3"/>
  <c r="C2049" i="3"/>
  <c r="C2050" i="3"/>
  <c r="C2051" i="3"/>
  <c r="C2052" i="3"/>
  <c r="C2053" i="3"/>
  <c r="C2054" i="3"/>
  <c r="C2055" i="3"/>
  <c r="C2056" i="3"/>
  <c r="C2057" i="3"/>
  <c r="C2058" i="3"/>
  <c r="C2059" i="3"/>
  <c r="C2060" i="3"/>
  <c r="C2061" i="3"/>
  <c r="C2062" i="3"/>
  <c r="C2063" i="3"/>
  <c r="C2064" i="3"/>
  <c r="C2065" i="3"/>
  <c r="C2066" i="3"/>
  <c r="C2067" i="3"/>
  <c r="C2068" i="3"/>
  <c r="C2069" i="3"/>
  <c r="C2070" i="3"/>
  <c r="C2071" i="3"/>
  <c r="C2072" i="3"/>
  <c r="C2073" i="3"/>
  <c r="C2074" i="3"/>
  <c r="C2075" i="3"/>
  <c r="C2076" i="3"/>
  <c r="C2077" i="3"/>
  <c r="C2078" i="3"/>
  <c r="C2079" i="3"/>
  <c r="C2080" i="3"/>
  <c r="C2081" i="3"/>
  <c r="C2082" i="3"/>
  <c r="C2083" i="3"/>
  <c r="C2084" i="3"/>
  <c r="C2085" i="3"/>
  <c r="C2086" i="3"/>
  <c r="C2087" i="3"/>
  <c r="C2088" i="3"/>
  <c r="C2089" i="3"/>
  <c r="C2090" i="3"/>
  <c r="C2091" i="3"/>
  <c r="C2092" i="3"/>
  <c r="C2093" i="3"/>
  <c r="C2094" i="3"/>
  <c r="C2095" i="3"/>
  <c r="C2096" i="3"/>
  <c r="C2097" i="3"/>
  <c r="C2098" i="3"/>
  <c r="C2099" i="3"/>
  <c r="C2100" i="3"/>
  <c r="C2101" i="3"/>
  <c r="C2102" i="3"/>
  <c r="C2103" i="3"/>
  <c r="C2104" i="3"/>
  <c r="C2105" i="3"/>
  <c r="C2106" i="3"/>
  <c r="C2107" i="3"/>
  <c r="C2108" i="3"/>
  <c r="C2109" i="3"/>
  <c r="C2110" i="3"/>
  <c r="C2111" i="3"/>
  <c r="C2112" i="3"/>
  <c r="C2113" i="3"/>
  <c r="C2114" i="3"/>
  <c r="C2115" i="3"/>
  <c r="C2116" i="3"/>
  <c r="C2117" i="3"/>
  <c r="C2118" i="3"/>
  <c r="C2119" i="3"/>
  <c r="C2120" i="3"/>
  <c r="C2121" i="3"/>
  <c r="C2122" i="3"/>
  <c r="C2123" i="3"/>
  <c r="C2124" i="3"/>
  <c r="C2125" i="3"/>
  <c r="C2126" i="3"/>
  <c r="C2127" i="3"/>
  <c r="C2128" i="3"/>
  <c r="C2129" i="3"/>
  <c r="C2130" i="3"/>
  <c r="C2131" i="3"/>
  <c r="C2132" i="3"/>
  <c r="C2133" i="3"/>
  <c r="C2134" i="3"/>
  <c r="C2135" i="3"/>
  <c r="C2136" i="3"/>
  <c r="C2137" i="3"/>
  <c r="C2138" i="3"/>
  <c r="C2139" i="3"/>
  <c r="C2140" i="3"/>
  <c r="C2141" i="3"/>
  <c r="C2142" i="3"/>
  <c r="C2143" i="3"/>
  <c r="C2144" i="3"/>
  <c r="C2145" i="3"/>
  <c r="C2146" i="3"/>
  <c r="C2147" i="3"/>
  <c r="C2148" i="3"/>
  <c r="C2149" i="3"/>
  <c r="C2150" i="3"/>
  <c r="C2151" i="3"/>
  <c r="C2152" i="3"/>
  <c r="C2153" i="3"/>
  <c r="C2154" i="3"/>
  <c r="C2155" i="3"/>
  <c r="C2156" i="3"/>
  <c r="C2157" i="3"/>
  <c r="C2158" i="3"/>
  <c r="C2159" i="3"/>
  <c r="C2160" i="3"/>
  <c r="C2161" i="3"/>
  <c r="C2162" i="3"/>
  <c r="C2163" i="3"/>
  <c r="C2164" i="3"/>
  <c r="C2165" i="3"/>
  <c r="C2166" i="3"/>
  <c r="C2167" i="3"/>
  <c r="C2168" i="3"/>
  <c r="C2169" i="3"/>
  <c r="C2170" i="3"/>
  <c r="C2171" i="3"/>
  <c r="C2172" i="3"/>
  <c r="C2173" i="3"/>
  <c r="C2174" i="3"/>
  <c r="C2175" i="3"/>
  <c r="C2176" i="3"/>
  <c r="C2177" i="3"/>
  <c r="C2178" i="3"/>
  <c r="C2179" i="3"/>
  <c r="C2180" i="3"/>
  <c r="C2181" i="3"/>
  <c r="C2182" i="3"/>
  <c r="C2183" i="3"/>
  <c r="C2184" i="3"/>
  <c r="C2185" i="3"/>
  <c r="C2186" i="3"/>
  <c r="C2187" i="3"/>
  <c r="C2188" i="3"/>
  <c r="C2189" i="3"/>
  <c r="C2190" i="3"/>
  <c r="C2191" i="3"/>
  <c r="C2192" i="3"/>
  <c r="C2193" i="3"/>
  <c r="C2194" i="3"/>
  <c r="C2195" i="3"/>
  <c r="C2196" i="3"/>
  <c r="C2197" i="3"/>
  <c r="C2198" i="3"/>
  <c r="C2199" i="3"/>
  <c r="C2200" i="3"/>
  <c r="C2201" i="3"/>
  <c r="C2202" i="3"/>
  <c r="C2203" i="3"/>
  <c r="C2204" i="3"/>
  <c r="C2205" i="3"/>
  <c r="C2206" i="3"/>
  <c r="C2207" i="3"/>
  <c r="C2208" i="3"/>
  <c r="C2209" i="3"/>
  <c r="C2210" i="3"/>
  <c r="C2211" i="3"/>
  <c r="C2212" i="3"/>
  <c r="C2213" i="3"/>
  <c r="C2214" i="3"/>
  <c r="C2215" i="3"/>
  <c r="C2216" i="3"/>
  <c r="C2217" i="3"/>
  <c r="C2218" i="3"/>
  <c r="C2219" i="3"/>
  <c r="C2220" i="3"/>
  <c r="C2221" i="3"/>
  <c r="C2222" i="3"/>
  <c r="C2223" i="3"/>
  <c r="C2224" i="3"/>
  <c r="C2225" i="3"/>
  <c r="C2226" i="3"/>
  <c r="C2227" i="3"/>
  <c r="C2228" i="3"/>
  <c r="C2229" i="3"/>
  <c r="C2230" i="3"/>
  <c r="C2231" i="3"/>
  <c r="C2232" i="3"/>
  <c r="C2233" i="3"/>
  <c r="C2234" i="3"/>
  <c r="C2235" i="3"/>
  <c r="C2236" i="3"/>
  <c r="C2237" i="3"/>
  <c r="C2238" i="3"/>
  <c r="C2239" i="3"/>
  <c r="C2240" i="3"/>
  <c r="C2241" i="3"/>
  <c r="C2242" i="3"/>
  <c r="C2243" i="3"/>
  <c r="C2244" i="3"/>
  <c r="C2245" i="3"/>
  <c r="C2246" i="3"/>
  <c r="C2247" i="3"/>
  <c r="C2248" i="3"/>
  <c r="C2249" i="3"/>
  <c r="C2250" i="3"/>
  <c r="C2251" i="3"/>
  <c r="C2252" i="3"/>
  <c r="C2253" i="3"/>
  <c r="C2254" i="3"/>
  <c r="C2255" i="3"/>
  <c r="C2256" i="3"/>
  <c r="C2257" i="3"/>
  <c r="C2258" i="3"/>
  <c r="C2259" i="3"/>
  <c r="C2260" i="3"/>
  <c r="C2261" i="3"/>
  <c r="C2262" i="3"/>
  <c r="C2263" i="3"/>
  <c r="C2264" i="3"/>
  <c r="C2265" i="3"/>
  <c r="C2266" i="3"/>
  <c r="C2267" i="3"/>
  <c r="C2268" i="3"/>
  <c r="C2269" i="3"/>
  <c r="C2270" i="3"/>
  <c r="C2271" i="3"/>
  <c r="C2272" i="3"/>
  <c r="C2273" i="3"/>
  <c r="C2274" i="3"/>
  <c r="C2275" i="3"/>
  <c r="C2276" i="3"/>
  <c r="C2277" i="3"/>
  <c r="C2278" i="3"/>
  <c r="C2279" i="3"/>
  <c r="C2280" i="3"/>
  <c r="C2281" i="3"/>
  <c r="C2282" i="3"/>
  <c r="C2283" i="3"/>
  <c r="C2284" i="3"/>
  <c r="C2285" i="3"/>
  <c r="C2286" i="3"/>
  <c r="C2287" i="3"/>
  <c r="C2288" i="3"/>
  <c r="C2289" i="3"/>
  <c r="C2290" i="3"/>
  <c r="C2291" i="3"/>
  <c r="C2292" i="3"/>
  <c r="C2293" i="3"/>
  <c r="C2294" i="3"/>
  <c r="C2295" i="3"/>
  <c r="C2296" i="3"/>
  <c r="C2297" i="3"/>
  <c r="C2298" i="3"/>
  <c r="C2299" i="3"/>
  <c r="C2300" i="3"/>
  <c r="C2301" i="3"/>
  <c r="C2302" i="3"/>
  <c r="C2303" i="3"/>
  <c r="C2304" i="3"/>
  <c r="C2305" i="3"/>
  <c r="C2306" i="3"/>
  <c r="C2307" i="3"/>
  <c r="C2308" i="3"/>
  <c r="C2309" i="3"/>
  <c r="C2310" i="3"/>
  <c r="C2311" i="3"/>
  <c r="C2312" i="3"/>
  <c r="C2313" i="3"/>
  <c r="C2314" i="3"/>
  <c r="C2315" i="3"/>
  <c r="C2316" i="3"/>
  <c r="C2317" i="3"/>
  <c r="C2318" i="3"/>
  <c r="C2319" i="3"/>
  <c r="C2320" i="3"/>
  <c r="C2321" i="3"/>
  <c r="C2322" i="3"/>
  <c r="C2323" i="3"/>
  <c r="C2324" i="3"/>
  <c r="C2325" i="3"/>
  <c r="C2326" i="3"/>
  <c r="C2327" i="3"/>
  <c r="C2328" i="3"/>
  <c r="C2329" i="3"/>
  <c r="C2330" i="3"/>
  <c r="C2331" i="3"/>
  <c r="C2332" i="3"/>
  <c r="C2333" i="3"/>
  <c r="C2334" i="3"/>
  <c r="C2335" i="3"/>
  <c r="C2336" i="3"/>
  <c r="C2337" i="3"/>
  <c r="C2338" i="3"/>
  <c r="C2339" i="3"/>
  <c r="C2340" i="3"/>
  <c r="C2341" i="3"/>
  <c r="C2342" i="3"/>
  <c r="C2343" i="3"/>
  <c r="C2344" i="3"/>
  <c r="C2345" i="3"/>
  <c r="C2346" i="3"/>
  <c r="C2347" i="3"/>
  <c r="C2348" i="3"/>
  <c r="C2349" i="3"/>
  <c r="C2350" i="3"/>
  <c r="C2351" i="3"/>
  <c r="C2352" i="3"/>
  <c r="C2353" i="3"/>
  <c r="C2354" i="3"/>
  <c r="C2355" i="3"/>
  <c r="C2356" i="3"/>
  <c r="C2357" i="3"/>
  <c r="C2358" i="3"/>
  <c r="C2359" i="3"/>
  <c r="C2360" i="3"/>
  <c r="C2361" i="3"/>
  <c r="C2362" i="3"/>
  <c r="C2363" i="3"/>
  <c r="C2364" i="3"/>
  <c r="C2365" i="3"/>
  <c r="C2366" i="3"/>
  <c r="C2367" i="3"/>
  <c r="C2368" i="3"/>
  <c r="C2369" i="3"/>
  <c r="C2370" i="3"/>
  <c r="C2371" i="3"/>
  <c r="C2372" i="3"/>
  <c r="C2373" i="3"/>
  <c r="C2374" i="3"/>
  <c r="C2375" i="3"/>
  <c r="C2376" i="3"/>
  <c r="C2377" i="3"/>
  <c r="C2378" i="3"/>
  <c r="C2379" i="3"/>
  <c r="C2380" i="3"/>
  <c r="C2381" i="3"/>
  <c r="C2382" i="3"/>
  <c r="C2383" i="3"/>
  <c r="C2384" i="3"/>
  <c r="C2385" i="3"/>
  <c r="C2386" i="3"/>
  <c r="C2387" i="3"/>
  <c r="C2388" i="3"/>
  <c r="C2389" i="3"/>
  <c r="C2390" i="3"/>
  <c r="C2391" i="3"/>
  <c r="C2392" i="3"/>
  <c r="C2393" i="3"/>
  <c r="C2394" i="3"/>
  <c r="C2395" i="3"/>
  <c r="C2396" i="3"/>
  <c r="C2397" i="3"/>
  <c r="C2398" i="3"/>
  <c r="C2399" i="3"/>
  <c r="C2400" i="3"/>
  <c r="C2401" i="3"/>
  <c r="C2402" i="3"/>
  <c r="C2403" i="3"/>
  <c r="C2404" i="3"/>
  <c r="C2405" i="3"/>
  <c r="C2406" i="3"/>
  <c r="C2407" i="3"/>
  <c r="C2408" i="3"/>
  <c r="C2409" i="3"/>
  <c r="C2410" i="3"/>
  <c r="C2411" i="3"/>
  <c r="C2412" i="3"/>
  <c r="C2413" i="3"/>
  <c r="C2414" i="3"/>
  <c r="C2415" i="3"/>
  <c r="C2416" i="3"/>
  <c r="C2417" i="3"/>
  <c r="C2418" i="3"/>
  <c r="C2419" i="3"/>
  <c r="C2420" i="3"/>
  <c r="C2421" i="3"/>
  <c r="C2422" i="3"/>
  <c r="C2423" i="3"/>
  <c r="C2424" i="3"/>
  <c r="C2425" i="3"/>
  <c r="C2426" i="3"/>
  <c r="C2427" i="3"/>
  <c r="C2428" i="3"/>
  <c r="C2429" i="3"/>
  <c r="C2430" i="3"/>
  <c r="C2431" i="3"/>
  <c r="C2432" i="3"/>
  <c r="C2433" i="3"/>
  <c r="C2434" i="3"/>
  <c r="C2435" i="3"/>
  <c r="C2436" i="3"/>
  <c r="C2437" i="3"/>
  <c r="C2438" i="3"/>
  <c r="C2439" i="3"/>
  <c r="C2440" i="3"/>
  <c r="C2441" i="3"/>
  <c r="C2442" i="3"/>
  <c r="C2443" i="3"/>
  <c r="C2444" i="3"/>
  <c r="C2445" i="3"/>
  <c r="C2446" i="3"/>
  <c r="C2447" i="3"/>
  <c r="C2448" i="3"/>
  <c r="C2449" i="3"/>
  <c r="C2450" i="3"/>
  <c r="C2451" i="3"/>
  <c r="C2452" i="3"/>
  <c r="C2453" i="3"/>
  <c r="C2454" i="3"/>
  <c r="C2455" i="3"/>
  <c r="C2456" i="3"/>
  <c r="C2457" i="3"/>
  <c r="C2458" i="3"/>
  <c r="C2459" i="3"/>
  <c r="C2460" i="3"/>
  <c r="C2461" i="3"/>
  <c r="C2462" i="3"/>
  <c r="C2463" i="3"/>
  <c r="C2464" i="3"/>
  <c r="C2465" i="3"/>
  <c r="C2466" i="3"/>
  <c r="C2467" i="3"/>
  <c r="C2468" i="3"/>
  <c r="C2469" i="3"/>
  <c r="C2470" i="3"/>
  <c r="C2471" i="3"/>
  <c r="C2472" i="3"/>
  <c r="C2473" i="3"/>
  <c r="C2474" i="3"/>
  <c r="C2475" i="3"/>
  <c r="C2476" i="3"/>
  <c r="C2477" i="3"/>
  <c r="C2478" i="3"/>
  <c r="C2479" i="3"/>
  <c r="C2480" i="3"/>
  <c r="C2481" i="3"/>
  <c r="C2482" i="3"/>
  <c r="C2483" i="3"/>
  <c r="C2484" i="3"/>
  <c r="C2485" i="3"/>
  <c r="C2486" i="3"/>
  <c r="C2487" i="3"/>
  <c r="C2488" i="3"/>
  <c r="C2489" i="3"/>
  <c r="C2490" i="3"/>
  <c r="C2491" i="3"/>
  <c r="C2492" i="3"/>
  <c r="C2493" i="3"/>
  <c r="C2494" i="3"/>
  <c r="C2495" i="3"/>
  <c r="C2496" i="3"/>
  <c r="C2497" i="3"/>
  <c r="C2498" i="3"/>
  <c r="C2499" i="3"/>
  <c r="C2500" i="3"/>
  <c r="C2501" i="3"/>
  <c r="C2502" i="3"/>
  <c r="C2503" i="3"/>
  <c r="C2504" i="3"/>
  <c r="C2505" i="3"/>
  <c r="C2506" i="3"/>
  <c r="C2507" i="3"/>
  <c r="C2508" i="3"/>
  <c r="C2509" i="3"/>
  <c r="C2510" i="3"/>
  <c r="C2511" i="3"/>
  <c r="C2512" i="3"/>
  <c r="C2513" i="3"/>
  <c r="C2514" i="3"/>
  <c r="C2515" i="3"/>
  <c r="C2516" i="3"/>
  <c r="C2517" i="3"/>
  <c r="C2518" i="3"/>
  <c r="C2519" i="3"/>
  <c r="C2520" i="3"/>
  <c r="C2521" i="3"/>
  <c r="C2522" i="3"/>
  <c r="C2523" i="3"/>
  <c r="C2524" i="3"/>
  <c r="C2525" i="3"/>
  <c r="C2526" i="3"/>
  <c r="C2527" i="3"/>
  <c r="C2528" i="3"/>
  <c r="C2529" i="3"/>
  <c r="C2530" i="3"/>
  <c r="C2531" i="3"/>
  <c r="C2532" i="3"/>
  <c r="C2533" i="3"/>
  <c r="C2534" i="3"/>
  <c r="C2535" i="3"/>
  <c r="C2536" i="3"/>
  <c r="C2537" i="3"/>
  <c r="C2538" i="3"/>
  <c r="C2539" i="3"/>
  <c r="C2540" i="3"/>
  <c r="C2541" i="3"/>
  <c r="C2542" i="3"/>
  <c r="C2543" i="3"/>
  <c r="C2544" i="3"/>
  <c r="C2545" i="3"/>
  <c r="C2546" i="3"/>
  <c r="C2547" i="3"/>
  <c r="C2548" i="3"/>
  <c r="C2549" i="3"/>
  <c r="C2550" i="3"/>
  <c r="C2551" i="3"/>
  <c r="C2552" i="3"/>
  <c r="C2553" i="3"/>
  <c r="C2554" i="3"/>
  <c r="C2555" i="3"/>
  <c r="C2556" i="3"/>
  <c r="C2557" i="3"/>
  <c r="C2558" i="3"/>
  <c r="C2559" i="3"/>
  <c r="C2560" i="3"/>
  <c r="C2561" i="3"/>
  <c r="C2562" i="3"/>
  <c r="C2563" i="3"/>
  <c r="C2564" i="3"/>
  <c r="C2565" i="3"/>
  <c r="C2566" i="3"/>
  <c r="C2567" i="3"/>
  <c r="C2568" i="3"/>
  <c r="C2569" i="3"/>
  <c r="C2570" i="3"/>
  <c r="C2571" i="3"/>
  <c r="C2572" i="3"/>
  <c r="C2573" i="3"/>
  <c r="C2574" i="3"/>
  <c r="C2575" i="3"/>
  <c r="C2576" i="3"/>
  <c r="C2577" i="3"/>
  <c r="C2578" i="3"/>
  <c r="C2579" i="3"/>
  <c r="C2580" i="3"/>
  <c r="C2581" i="3"/>
  <c r="C2582" i="3"/>
  <c r="C2583" i="3"/>
  <c r="C2584" i="3"/>
  <c r="C2585" i="3"/>
  <c r="C2586" i="3"/>
  <c r="C2587" i="3"/>
  <c r="C2588" i="3"/>
  <c r="C2589" i="3"/>
  <c r="C2590" i="3"/>
  <c r="C2591" i="3"/>
  <c r="C2592" i="3"/>
  <c r="C2593" i="3"/>
  <c r="C2594" i="3"/>
  <c r="C2595" i="3"/>
  <c r="C2596" i="3"/>
  <c r="C2597" i="3"/>
  <c r="C2598" i="3"/>
  <c r="C2599" i="3"/>
  <c r="C2600" i="3"/>
  <c r="C2601" i="3"/>
  <c r="C2602" i="3"/>
  <c r="C2603" i="3"/>
  <c r="C2604" i="3"/>
  <c r="C2605" i="3"/>
  <c r="C2606" i="3"/>
  <c r="C2607" i="3"/>
  <c r="C2608" i="3"/>
  <c r="C2609" i="3"/>
  <c r="C2610" i="3"/>
  <c r="C2611" i="3"/>
  <c r="C2612" i="3"/>
  <c r="C2613" i="3"/>
  <c r="C2614" i="3"/>
  <c r="C2615" i="3"/>
  <c r="C2616" i="3"/>
  <c r="C2617" i="3"/>
  <c r="C2618" i="3"/>
  <c r="C2619" i="3"/>
  <c r="C2620" i="3"/>
  <c r="C2621" i="3"/>
  <c r="C2622" i="3"/>
  <c r="C2623" i="3"/>
  <c r="C2624" i="3"/>
  <c r="C2625" i="3"/>
  <c r="C2626" i="3"/>
  <c r="C2627" i="3"/>
  <c r="C2628" i="3"/>
  <c r="C2629" i="3"/>
  <c r="C2630" i="3"/>
  <c r="C2631" i="3"/>
  <c r="C2632" i="3"/>
  <c r="C2633" i="3"/>
  <c r="C2634" i="3"/>
  <c r="C2635" i="3"/>
  <c r="C2636" i="3"/>
  <c r="C2637" i="3"/>
  <c r="C2638" i="3"/>
  <c r="C2639" i="3"/>
  <c r="C2640" i="3"/>
  <c r="C2641" i="3"/>
  <c r="C2642" i="3"/>
  <c r="C2643" i="3"/>
  <c r="C2644" i="3"/>
  <c r="C2645" i="3"/>
  <c r="C2646" i="3"/>
  <c r="C2647" i="3"/>
  <c r="C2648" i="3"/>
  <c r="C2649" i="3"/>
  <c r="C2650" i="3"/>
  <c r="C2651" i="3"/>
  <c r="C2652" i="3"/>
  <c r="C2653" i="3"/>
  <c r="C2654" i="3"/>
  <c r="C2655" i="3"/>
  <c r="C2656" i="3"/>
  <c r="C2657" i="3"/>
  <c r="C2658" i="3"/>
  <c r="C2659" i="3"/>
  <c r="C2660" i="3"/>
  <c r="C2661" i="3"/>
  <c r="C2662" i="3"/>
  <c r="C2663" i="3"/>
  <c r="C2664" i="3"/>
  <c r="C2665" i="3"/>
  <c r="C2666" i="3"/>
  <c r="C2667" i="3"/>
  <c r="C2668" i="3"/>
  <c r="C2669" i="3"/>
  <c r="C2670" i="3"/>
  <c r="C2671" i="3"/>
  <c r="C2672" i="3"/>
  <c r="C2673" i="3"/>
  <c r="C2674" i="3"/>
  <c r="C2675" i="3"/>
  <c r="C2676" i="3"/>
  <c r="C2677" i="3"/>
  <c r="C2678" i="3"/>
  <c r="C2679" i="3"/>
  <c r="C2680" i="3"/>
  <c r="C2681" i="3"/>
  <c r="C2682" i="3"/>
  <c r="C2683" i="3"/>
  <c r="C2684" i="3"/>
  <c r="C2685" i="3"/>
  <c r="C2686" i="3"/>
  <c r="C2687" i="3"/>
  <c r="C2688" i="3"/>
  <c r="C2689" i="3"/>
  <c r="C2690" i="3"/>
  <c r="C2691" i="3"/>
  <c r="C2692" i="3"/>
  <c r="C2693" i="3"/>
  <c r="C2694" i="3"/>
  <c r="C2695" i="3"/>
  <c r="C2696" i="3"/>
  <c r="C2697" i="3"/>
  <c r="C2698" i="3"/>
  <c r="C2699" i="3"/>
  <c r="C2700" i="3"/>
  <c r="C2701" i="3"/>
  <c r="C2702" i="3"/>
  <c r="C2703" i="3"/>
  <c r="C2704" i="3"/>
  <c r="C2705" i="3"/>
  <c r="C2706" i="3"/>
  <c r="C2707" i="3"/>
  <c r="C2708" i="3"/>
  <c r="C2709" i="3"/>
  <c r="C2710" i="3"/>
  <c r="C2711" i="3"/>
  <c r="C2712" i="3"/>
  <c r="C2713" i="3"/>
  <c r="C2714" i="3"/>
  <c r="C2715" i="3"/>
  <c r="C2716" i="3"/>
  <c r="C2717" i="3"/>
  <c r="C2718" i="3"/>
  <c r="C2719" i="3"/>
  <c r="C2720" i="3"/>
  <c r="C2721" i="3"/>
  <c r="C2722" i="3"/>
  <c r="C2723" i="3"/>
  <c r="C2724" i="3"/>
  <c r="C2725" i="3"/>
  <c r="C2726" i="3"/>
  <c r="C2727" i="3"/>
  <c r="C2728" i="3"/>
  <c r="C2729" i="3"/>
  <c r="C2730" i="3"/>
  <c r="C2731" i="3"/>
  <c r="C2732" i="3"/>
  <c r="C2733" i="3"/>
  <c r="C2734" i="3"/>
  <c r="C2735" i="3"/>
  <c r="C2736" i="3"/>
  <c r="C2737" i="3"/>
  <c r="C2738" i="3"/>
  <c r="C2739" i="3"/>
  <c r="C2740" i="3"/>
  <c r="C2741" i="3"/>
  <c r="C2742" i="3"/>
  <c r="C2743" i="3"/>
  <c r="C2744" i="3"/>
  <c r="C2745" i="3"/>
  <c r="C2746" i="3"/>
  <c r="C2747" i="3"/>
  <c r="C2748" i="3"/>
  <c r="C2749" i="3"/>
  <c r="C2750" i="3"/>
  <c r="C2751" i="3"/>
  <c r="C2752" i="3"/>
  <c r="C2753" i="3"/>
  <c r="C2754" i="3"/>
  <c r="C2755" i="3"/>
  <c r="C2756" i="3"/>
  <c r="C2757" i="3"/>
  <c r="C2758" i="3"/>
  <c r="C2759" i="3"/>
  <c r="C2760" i="3"/>
  <c r="C2761" i="3"/>
  <c r="C2762" i="3"/>
  <c r="C2763" i="3"/>
  <c r="C2764" i="3"/>
  <c r="C2765" i="3"/>
  <c r="C2766" i="3"/>
  <c r="C2767" i="3"/>
  <c r="C2768" i="3"/>
  <c r="C2769" i="3"/>
  <c r="C2770" i="3"/>
  <c r="C2771" i="3"/>
  <c r="C2772" i="3"/>
  <c r="C2773" i="3"/>
  <c r="C2774" i="3"/>
  <c r="C2775" i="3"/>
  <c r="C2776" i="3"/>
  <c r="C2777" i="3"/>
  <c r="C2778" i="3"/>
  <c r="C2779" i="3"/>
  <c r="C2780" i="3"/>
  <c r="C2781" i="3"/>
  <c r="C2782" i="3"/>
  <c r="C2783" i="3"/>
  <c r="C2784" i="3"/>
  <c r="C2785" i="3"/>
  <c r="C2786" i="3"/>
  <c r="C2787" i="3"/>
  <c r="C2788" i="3"/>
  <c r="C2789" i="3"/>
  <c r="C2790" i="3"/>
  <c r="C2791" i="3"/>
  <c r="C2792" i="3"/>
  <c r="C2793" i="3"/>
  <c r="C2794" i="3"/>
  <c r="C2795" i="3"/>
  <c r="C2796" i="3"/>
  <c r="C2797" i="3"/>
  <c r="C2798" i="3"/>
  <c r="C2799" i="3"/>
  <c r="C2800" i="3"/>
  <c r="C2801" i="3"/>
  <c r="C2802" i="3"/>
  <c r="C2803" i="3"/>
  <c r="C2804" i="3"/>
  <c r="C2805" i="3"/>
  <c r="C2806" i="3"/>
  <c r="C2807" i="3"/>
  <c r="C2808" i="3"/>
  <c r="C2809" i="3"/>
  <c r="C2810" i="3"/>
  <c r="C2811" i="3"/>
  <c r="C2812" i="3"/>
  <c r="C2813" i="3"/>
  <c r="C2814" i="3"/>
  <c r="C2815" i="3"/>
  <c r="C2816" i="3"/>
  <c r="C2817" i="3"/>
  <c r="C2818" i="3"/>
  <c r="C2819" i="3"/>
  <c r="C2820" i="3"/>
  <c r="C2821" i="3"/>
  <c r="C2822" i="3"/>
  <c r="C2823" i="3"/>
  <c r="C2824" i="3"/>
  <c r="C2825" i="3"/>
  <c r="C2826" i="3"/>
  <c r="C2827" i="3"/>
  <c r="C2828" i="3"/>
  <c r="C2829" i="3"/>
  <c r="C2830" i="3"/>
  <c r="C2831" i="3"/>
  <c r="C2832" i="3"/>
  <c r="C2833" i="3"/>
  <c r="C2834" i="3"/>
  <c r="C2835" i="3"/>
  <c r="C2836" i="3"/>
  <c r="C2837" i="3"/>
  <c r="C2838" i="3"/>
  <c r="C2839" i="3"/>
  <c r="C2840" i="3"/>
  <c r="C2841" i="3"/>
  <c r="C2842" i="3"/>
  <c r="C2843" i="3"/>
  <c r="C2844" i="3"/>
  <c r="C2845" i="3"/>
  <c r="C2846" i="3"/>
  <c r="C2847" i="3"/>
  <c r="C2848" i="3"/>
  <c r="C2849" i="3"/>
  <c r="C2850" i="3"/>
  <c r="C2851" i="3"/>
  <c r="C2852" i="3"/>
  <c r="C2853" i="3"/>
  <c r="C2854" i="3"/>
  <c r="C2855" i="3"/>
  <c r="C2856" i="3"/>
  <c r="C2857" i="3"/>
  <c r="C2858" i="3"/>
  <c r="C2859" i="3"/>
  <c r="C2860" i="3"/>
  <c r="C2861" i="3"/>
  <c r="C2862" i="3"/>
  <c r="C2863" i="3"/>
  <c r="C2864" i="3"/>
  <c r="C2865" i="3"/>
  <c r="C2866" i="3"/>
  <c r="C2867" i="3"/>
  <c r="C2868" i="3"/>
  <c r="C2869" i="3"/>
  <c r="C2870" i="3"/>
  <c r="C2871" i="3"/>
  <c r="C2872" i="3"/>
  <c r="C2873" i="3"/>
  <c r="C2874" i="3"/>
  <c r="C2875" i="3"/>
  <c r="C2876" i="3"/>
  <c r="C2877" i="3"/>
  <c r="C2878" i="3"/>
  <c r="C2879" i="3"/>
  <c r="C2880" i="3"/>
  <c r="C2881" i="3"/>
  <c r="C2882" i="3"/>
  <c r="C2883" i="3"/>
  <c r="C2884" i="3"/>
  <c r="C2885" i="3"/>
  <c r="C2886" i="3"/>
  <c r="C2887" i="3"/>
  <c r="C2888" i="3"/>
  <c r="C2889" i="3"/>
  <c r="C2890" i="3"/>
  <c r="C2891" i="3"/>
  <c r="C2892" i="3"/>
  <c r="C2893" i="3"/>
  <c r="C2894" i="3"/>
  <c r="C2895" i="3"/>
  <c r="C2896" i="3"/>
  <c r="C2897" i="3"/>
  <c r="C2898" i="3"/>
  <c r="C2899" i="3"/>
  <c r="C2900" i="3"/>
  <c r="C2901" i="3"/>
  <c r="C2902" i="3"/>
  <c r="C2903" i="3"/>
  <c r="C2904" i="3"/>
  <c r="C2905" i="3"/>
  <c r="C2906" i="3"/>
  <c r="C2907" i="3"/>
  <c r="C2908" i="3"/>
  <c r="C2909" i="3"/>
  <c r="C2910" i="3"/>
  <c r="C2911" i="3"/>
  <c r="C2912" i="3"/>
  <c r="C2913" i="3"/>
  <c r="C2914" i="3"/>
  <c r="C2915" i="3"/>
  <c r="C2916" i="3"/>
  <c r="C2917" i="3"/>
  <c r="C2918" i="3"/>
  <c r="C2919" i="3"/>
  <c r="C2920" i="3"/>
  <c r="C2921" i="3"/>
  <c r="C2922" i="3"/>
  <c r="C2923" i="3"/>
  <c r="C2924" i="3"/>
  <c r="C2925" i="3"/>
  <c r="C2926" i="3"/>
  <c r="C2927" i="3"/>
  <c r="C2928" i="3"/>
  <c r="C2929" i="3"/>
  <c r="C2930" i="3"/>
  <c r="C2931" i="3"/>
  <c r="C2932" i="3"/>
  <c r="C2933" i="3"/>
  <c r="C2934" i="3"/>
  <c r="C2935" i="3"/>
  <c r="C2936" i="3"/>
  <c r="C2937" i="3"/>
  <c r="C2938" i="3"/>
  <c r="C2939" i="3"/>
  <c r="C2940" i="3"/>
  <c r="C2941" i="3"/>
  <c r="C2942" i="3"/>
  <c r="C2943" i="3"/>
  <c r="C2944" i="3"/>
  <c r="C2945" i="3"/>
  <c r="C2946" i="3"/>
  <c r="C2947" i="3"/>
  <c r="C2948" i="3"/>
  <c r="C2949" i="3"/>
  <c r="C2950" i="3"/>
  <c r="C2951" i="3"/>
  <c r="C2952" i="3"/>
  <c r="C2953" i="3"/>
  <c r="C2954" i="3"/>
  <c r="C2955" i="3"/>
  <c r="C2956" i="3"/>
  <c r="C2957" i="3"/>
  <c r="C2958" i="3"/>
  <c r="C2959" i="3"/>
  <c r="C2960" i="3"/>
  <c r="C2961" i="3"/>
  <c r="C2962" i="3"/>
  <c r="C2963" i="3"/>
  <c r="C2964" i="3"/>
  <c r="C2965" i="3"/>
  <c r="C2966" i="3"/>
  <c r="C2967" i="3"/>
  <c r="C2968" i="3"/>
  <c r="C2969" i="3"/>
  <c r="C2970" i="3"/>
  <c r="C2971" i="3"/>
  <c r="C2972" i="3"/>
  <c r="C2973" i="3"/>
  <c r="C2974" i="3"/>
  <c r="C2975" i="3"/>
  <c r="C2976" i="3"/>
  <c r="C2977" i="3"/>
  <c r="C2978" i="3"/>
  <c r="C2979" i="3"/>
  <c r="C2980" i="3"/>
  <c r="C2981" i="3"/>
  <c r="C2982" i="3"/>
  <c r="C2983" i="3"/>
  <c r="C2984" i="3"/>
  <c r="C2985" i="3"/>
  <c r="C2986" i="3"/>
  <c r="C2987" i="3"/>
  <c r="C2988" i="3"/>
  <c r="C2989" i="3"/>
  <c r="C2990" i="3"/>
  <c r="C2991" i="3"/>
  <c r="C2992" i="3"/>
  <c r="C2993" i="3"/>
  <c r="C2994" i="3"/>
  <c r="C2995" i="3"/>
  <c r="C2996" i="3"/>
  <c r="C2997" i="3"/>
  <c r="C2998" i="3"/>
  <c r="C2999" i="3"/>
  <c r="C3000" i="3"/>
  <c r="C3001" i="3"/>
  <c r="C3002" i="3"/>
  <c r="C3003" i="3"/>
  <c r="C3004" i="3"/>
  <c r="C3005" i="3"/>
  <c r="C3006" i="3"/>
  <c r="C3007" i="3"/>
  <c r="C3008" i="3"/>
  <c r="C3009" i="3"/>
  <c r="C3010" i="3"/>
  <c r="C3011" i="3"/>
  <c r="C3012" i="3"/>
  <c r="C3013" i="3"/>
  <c r="C3014" i="3"/>
  <c r="C3015" i="3"/>
  <c r="C3016" i="3"/>
  <c r="C3017" i="3"/>
  <c r="C3018" i="3"/>
  <c r="C3019" i="3"/>
  <c r="C3020" i="3"/>
  <c r="C3021" i="3"/>
  <c r="C3022" i="3"/>
  <c r="C3023" i="3"/>
  <c r="C3024" i="3"/>
  <c r="C3025" i="3"/>
  <c r="C3026" i="3"/>
  <c r="C3027" i="3"/>
  <c r="C3028" i="3"/>
  <c r="C3029" i="3"/>
  <c r="C3030" i="3"/>
  <c r="C3031" i="3"/>
  <c r="C3032" i="3"/>
  <c r="C3033" i="3"/>
  <c r="C3034" i="3"/>
  <c r="C3035" i="3"/>
  <c r="C3036" i="3"/>
  <c r="C3037" i="3"/>
  <c r="C3038" i="3"/>
  <c r="C3039" i="3"/>
  <c r="C3040" i="3"/>
  <c r="C3041" i="3"/>
  <c r="C3042" i="3"/>
  <c r="C3043" i="3"/>
  <c r="C3044" i="3"/>
  <c r="C3045" i="3"/>
  <c r="C3046" i="3"/>
  <c r="C3047" i="3"/>
  <c r="C3048" i="3"/>
  <c r="C3049" i="3"/>
  <c r="C3050" i="3"/>
  <c r="C3051" i="3"/>
  <c r="C3052" i="3"/>
  <c r="C3053" i="3"/>
  <c r="C3054" i="3"/>
  <c r="C3055" i="3"/>
  <c r="C3056" i="3"/>
  <c r="C3057" i="3"/>
  <c r="C3058" i="3"/>
  <c r="C3059" i="3"/>
  <c r="C3060" i="3"/>
  <c r="C3061" i="3"/>
  <c r="C3062" i="3"/>
  <c r="C3063" i="3"/>
  <c r="C3064" i="3"/>
  <c r="C3065" i="3"/>
  <c r="C3066" i="3"/>
  <c r="C3067" i="3"/>
  <c r="C3068" i="3"/>
  <c r="C3069" i="3"/>
  <c r="C3070" i="3"/>
  <c r="C3071" i="3"/>
  <c r="C3072" i="3"/>
  <c r="C3073" i="3"/>
  <c r="C3074" i="3"/>
  <c r="C3075" i="3"/>
  <c r="C3076" i="3"/>
  <c r="C3077" i="3"/>
  <c r="C3078" i="3"/>
  <c r="C3079" i="3"/>
  <c r="C3080" i="3"/>
  <c r="C3081" i="3"/>
  <c r="C3082" i="3"/>
  <c r="C3083" i="3"/>
  <c r="C3084" i="3"/>
  <c r="C3085" i="3"/>
  <c r="C3086" i="3"/>
  <c r="C3087" i="3"/>
  <c r="C3088" i="3"/>
  <c r="C3089" i="3"/>
  <c r="C3090" i="3"/>
  <c r="C3091" i="3"/>
  <c r="C3092" i="3"/>
  <c r="C3093" i="3"/>
  <c r="C3094" i="3"/>
  <c r="C3095" i="3"/>
  <c r="C3096" i="3"/>
  <c r="C3097" i="3"/>
  <c r="C3098" i="3"/>
  <c r="C3099" i="3"/>
  <c r="C3100" i="3"/>
  <c r="C3101" i="3"/>
  <c r="C3102" i="3"/>
  <c r="C3103" i="3"/>
  <c r="C3104" i="3"/>
  <c r="C3105" i="3"/>
  <c r="C3106" i="3"/>
  <c r="C3107" i="3"/>
  <c r="C3108" i="3"/>
  <c r="C3109" i="3"/>
  <c r="C3110" i="3"/>
  <c r="C3111" i="3"/>
  <c r="C3112" i="3"/>
  <c r="C3113" i="3"/>
  <c r="C3114" i="3"/>
  <c r="C3115" i="3"/>
  <c r="C3116" i="3"/>
  <c r="C3117" i="3"/>
  <c r="C3118" i="3"/>
  <c r="C3119" i="3"/>
  <c r="C3120" i="3"/>
  <c r="C3121" i="3"/>
  <c r="C3122" i="3"/>
  <c r="C3123" i="3"/>
  <c r="C3124" i="3"/>
  <c r="C3125" i="3"/>
  <c r="C3126" i="3"/>
  <c r="C3127" i="3"/>
  <c r="C3128" i="3"/>
  <c r="C3129" i="3"/>
  <c r="C3130" i="3"/>
  <c r="C3131" i="3"/>
  <c r="C3132" i="3"/>
  <c r="C3133" i="3"/>
  <c r="C3134" i="3"/>
  <c r="C3135" i="3"/>
  <c r="C3136" i="3"/>
  <c r="C3137" i="3"/>
  <c r="C3138" i="3"/>
  <c r="C3139" i="3"/>
  <c r="C3140" i="3"/>
  <c r="C3141" i="3"/>
  <c r="C3142" i="3"/>
  <c r="C3143" i="3"/>
  <c r="C3144" i="3"/>
  <c r="C3145" i="3"/>
  <c r="C3146" i="3"/>
  <c r="C3147" i="3"/>
  <c r="C3148" i="3"/>
  <c r="C3149" i="3"/>
  <c r="C3150" i="3"/>
  <c r="C3151" i="3"/>
  <c r="C3152" i="3"/>
  <c r="C3153" i="3"/>
  <c r="C3154" i="3"/>
  <c r="C3155" i="3"/>
  <c r="C3156" i="3"/>
  <c r="C3157" i="3"/>
  <c r="C3158" i="3"/>
  <c r="C3159" i="3"/>
  <c r="C3160" i="3"/>
  <c r="C3161" i="3"/>
  <c r="C3162" i="3"/>
  <c r="C3163" i="3"/>
  <c r="C3164" i="3"/>
  <c r="C3165" i="3"/>
  <c r="C3166" i="3"/>
  <c r="C3167" i="3"/>
  <c r="C3168" i="3"/>
  <c r="C3169" i="3"/>
  <c r="C3170" i="3"/>
  <c r="C3171" i="3"/>
  <c r="C3172" i="3"/>
  <c r="C3173" i="3"/>
  <c r="C3174" i="3"/>
  <c r="C3175" i="3"/>
  <c r="C3176" i="3"/>
  <c r="C3177" i="3"/>
  <c r="C3178" i="3"/>
  <c r="C3179" i="3"/>
  <c r="C3180" i="3"/>
  <c r="C3181" i="3"/>
  <c r="C3182" i="3"/>
  <c r="C3183" i="3"/>
  <c r="C3184" i="3"/>
  <c r="C3185" i="3"/>
  <c r="C3186" i="3"/>
  <c r="C3187" i="3"/>
  <c r="C3188" i="3"/>
  <c r="C3189" i="3"/>
  <c r="C3190" i="3"/>
  <c r="C3191" i="3"/>
  <c r="C3192" i="3"/>
  <c r="C3193" i="3"/>
  <c r="C3194" i="3"/>
  <c r="C3195" i="3"/>
  <c r="C3196" i="3"/>
  <c r="C3197" i="3"/>
  <c r="C3198" i="3"/>
  <c r="C3199" i="3"/>
  <c r="C3200" i="3"/>
  <c r="C3201" i="3"/>
  <c r="C3202" i="3"/>
  <c r="C3203" i="3"/>
  <c r="C3204" i="3"/>
  <c r="C3205" i="3"/>
  <c r="C3206" i="3"/>
  <c r="C3207" i="3"/>
  <c r="C3208" i="3"/>
  <c r="C3209" i="3"/>
  <c r="C3210" i="3"/>
  <c r="C3211" i="3"/>
  <c r="C3212" i="3"/>
  <c r="C3213" i="3"/>
  <c r="C3214" i="3"/>
  <c r="C3215" i="3"/>
  <c r="C3216" i="3"/>
  <c r="C3217" i="3"/>
  <c r="C3218" i="3"/>
  <c r="C3219" i="3"/>
  <c r="C3220" i="3"/>
  <c r="C3221" i="3"/>
  <c r="C3222" i="3"/>
  <c r="C3223" i="3"/>
  <c r="C3224" i="3"/>
  <c r="C3225" i="3"/>
  <c r="C3226" i="3"/>
  <c r="C3227" i="3"/>
  <c r="C3228" i="3"/>
  <c r="C3229" i="3"/>
  <c r="C3230" i="3"/>
  <c r="C3231" i="3"/>
  <c r="C3232" i="3"/>
  <c r="C3233" i="3"/>
  <c r="C3234" i="3"/>
  <c r="C3235" i="3"/>
  <c r="C3236" i="3"/>
  <c r="C3237" i="3"/>
  <c r="C3238" i="3"/>
  <c r="C3239" i="3"/>
  <c r="C3240" i="3"/>
  <c r="C3241" i="3"/>
  <c r="C3242" i="3"/>
  <c r="C3243" i="3"/>
  <c r="C3244" i="3"/>
  <c r="C3245" i="3"/>
  <c r="C3246" i="3"/>
  <c r="C3247" i="3"/>
  <c r="C3248" i="3"/>
  <c r="C3249" i="3"/>
  <c r="C3250" i="3"/>
  <c r="C3251" i="3"/>
  <c r="C3252" i="3"/>
  <c r="C3253" i="3"/>
  <c r="C3254" i="3"/>
  <c r="C3255" i="3"/>
  <c r="C3256" i="3"/>
  <c r="C3257" i="3"/>
  <c r="C3258" i="3"/>
  <c r="C3259" i="3"/>
  <c r="C3260" i="3"/>
  <c r="C3261" i="3"/>
  <c r="C3262" i="3"/>
  <c r="C3263" i="3"/>
  <c r="C3264" i="3"/>
  <c r="C3265" i="3"/>
  <c r="C3266" i="3"/>
  <c r="C3267" i="3"/>
  <c r="C3268" i="3"/>
  <c r="C3269" i="3"/>
  <c r="C3270" i="3"/>
  <c r="C3271" i="3"/>
  <c r="C3272" i="3"/>
  <c r="C3273" i="3"/>
  <c r="C3274" i="3"/>
  <c r="C3275" i="3"/>
  <c r="C3276" i="3"/>
  <c r="C3277" i="3"/>
  <c r="C3278" i="3"/>
  <c r="C3279" i="3"/>
  <c r="C3280" i="3"/>
  <c r="C3281" i="3"/>
  <c r="C3282" i="3"/>
  <c r="C3283" i="3"/>
  <c r="C3284" i="3"/>
  <c r="C3285" i="3"/>
  <c r="C3286" i="3"/>
  <c r="C3287" i="3"/>
  <c r="C3288" i="3"/>
  <c r="C3289" i="3"/>
  <c r="C3290" i="3"/>
  <c r="C3291" i="3"/>
  <c r="C3292" i="3"/>
  <c r="C3293" i="3"/>
  <c r="C3294" i="3"/>
  <c r="C3295" i="3"/>
  <c r="C3296" i="3"/>
  <c r="C3297" i="3"/>
  <c r="C3298" i="3"/>
  <c r="C3299" i="3"/>
  <c r="C3300" i="3"/>
  <c r="C3301" i="3"/>
  <c r="C3302" i="3"/>
  <c r="C3303" i="3"/>
  <c r="C3304" i="3"/>
  <c r="C3305" i="3"/>
  <c r="C3306" i="3"/>
  <c r="C3307" i="3"/>
  <c r="C3308" i="3"/>
  <c r="C3309" i="3"/>
  <c r="C3310" i="3"/>
  <c r="C3311" i="3"/>
  <c r="C3312" i="3"/>
  <c r="C3313" i="3"/>
  <c r="C3314" i="3"/>
  <c r="C3315" i="3"/>
  <c r="C3316" i="3"/>
  <c r="C3317" i="3"/>
  <c r="C3318" i="3"/>
  <c r="C3319" i="3"/>
  <c r="C3320" i="3"/>
  <c r="C3321" i="3"/>
  <c r="C3322" i="3"/>
  <c r="C3323" i="3"/>
  <c r="C3324" i="3"/>
  <c r="C3325" i="3"/>
  <c r="C3326" i="3"/>
  <c r="C3327" i="3"/>
  <c r="C3328" i="3"/>
  <c r="C3329" i="3"/>
  <c r="C3330" i="3"/>
  <c r="C3331" i="3"/>
  <c r="C3332" i="3"/>
  <c r="C3333" i="3"/>
  <c r="C3334" i="3"/>
  <c r="C3335" i="3"/>
  <c r="C3336" i="3"/>
  <c r="C3337" i="3"/>
  <c r="C3338" i="3"/>
  <c r="C3339" i="3"/>
  <c r="C3340" i="3"/>
  <c r="C3341" i="3"/>
  <c r="C3342" i="3"/>
  <c r="C3343" i="3"/>
  <c r="C3344" i="3"/>
  <c r="C3345" i="3"/>
  <c r="C3346" i="3"/>
  <c r="C3347" i="3"/>
  <c r="C3348" i="3"/>
  <c r="C3349" i="3"/>
  <c r="C3350" i="3"/>
  <c r="C3351" i="3"/>
  <c r="C3352" i="3"/>
  <c r="C3353" i="3"/>
  <c r="C3354" i="3"/>
  <c r="C3355" i="3"/>
  <c r="C3356" i="3"/>
  <c r="C3357" i="3"/>
  <c r="C3358" i="3"/>
  <c r="C3359" i="3"/>
  <c r="C3360" i="3"/>
  <c r="C3361" i="3"/>
  <c r="C3362" i="3"/>
  <c r="C3363" i="3"/>
  <c r="C3364" i="3"/>
  <c r="C3365" i="3"/>
  <c r="C3366" i="3"/>
  <c r="C3367" i="3"/>
  <c r="C3368" i="3"/>
  <c r="C3369" i="3"/>
  <c r="C3370" i="3"/>
  <c r="C3371" i="3"/>
  <c r="C3372" i="3"/>
  <c r="C3373" i="3"/>
  <c r="C3374" i="3"/>
  <c r="C3375" i="3"/>
  <c r="C3376" i="3"/>
  <c r="C3377" i="3"/>
  <c r="C3378" i="3"/>
  <c r="C3379" i="3"/>
  <c r="C3380" i="3"/>
  <c r="C3381" i="3"/>
  <c r="C3382" i="3"/>
  <c r="C3383" i="3"/>
  <c r="C3384" i="3"/>
  <c r="C3385" i="3"/>
  <c r="C3386" i="3"/>
  <c r="C3387" i="3"/>
  <c r="C3388" i="3"/>
  <c r="C3389" i="3"/>
  <c r="C3390" i="3"/>
  <c r="C3391" i="3"/>
  <c r="C3392" i="3"/>
  <c r="C3393" i="3"/>
  <c r="C3394" i="3"/>
  <c r="C3395" i="3"/>
  <c r="C3396" i="3"/>
  <c r="C3397" i="3"/>
  <c r="C3398" i="3"/>
  <c r="C3399" i="3"/>
  <c r="C3400" i="3"/>
  <c r="C3401" i="3"/>
  <c r="C3402" i="3"/>
  <c r="C3403" i="3"/>
  <c r="C3404" i="3"/>
  <c r="C3405" i="3"/>
  <c r="C3406" i="3"/>
  <c r="C3407" i="3"/>
  <c r="C3408" i="3"/>
  <c r="C3409" i="3"/>
  <c r="C3410" i="3"/>
  <c r="C3411" i="3"/>
  <c r="C3412" i="3"/>
  <c r="C3413" i="3"/>
  <c r="C3414" i="3"/>
  <c r="C3415" i="3"/>
  <c r="C3416" i="3"/>
  <c r="C3417" i="3"/>
  <c r="C3418" i="3"/>
  <c r="C3419" i="3"/>
  <c r="C3420" i="3"/>
  <c r="C3421" i="3"/>
  <c r="C3422" i="3"/>
  <c r="C3423" i="3"/>
  <c r="C3424" i="3"/>
  <c r="C3425" i="3"/>
  <c r="C3426" i="3"/>
  <c r="C3427" i="3"/>
  <c r="C3428" i="3"/>
  <c r="C3429" i="3"/>
  <c r="C3430" i="3"/>
  <c r="C3431" i="3"/>
  <c r="C3432" i="3"/>
  <c r="C3433" i="3"/>
  <c r="C3434" i="3"/>
  <c r="C3435" i="3"/>
  <c r="C3436" i="3"/>
  <c r="C3437" i="3"/>
  <c r="C3438" i="3"/>
  <c r="C3439" i="3"/>
  <c r="C3440" i="3"/>
  <c r="C3441" i="3"/>
  <c r="C3442" i="3"/>
  <c r="C3443" i="3"/>
  <c r="C3444" i="3"/>
  <c r="C3445" i="3"/>
  <c r="C3446" i="3"/>
  <c r="C3447" i="3"/>
  <c r="C3448" i="3"/>
  <c r="C3449" i="3"/>
  <c r="C3450" i="3"/>
  <c r="C3451" i="3"/>
  <c r="C3452" i="3"/>
  <c r="C3453" i="3"/>
  <c r="C3454" i="3"/>
  <c r="C3455" i="3"/>
  <c r="C3456" i="3"/>
  <c r="C3457" i="3"/>
  <c r="C3458" i="3"/>
  <c r="C3459" i="3"/>
  <c r="C3460" i="3"/>
  <c r="C3461" i="3"/>
  <c r="C3462" i="3"/>
  <c r="C3463" i="3"/>
  <c r="C3464" i="3"/>
  <c r="C3465" i="3"/>
  <c r="C3466" i="3"/>
  <c r="C3467" i="3"/>
  <c r="C3468" i="3"/>
  <c r="C3469" i="3"/>
  <c r="C3470" i="3"/>
  <c r="C3471" i="3"/>
  <c r="C3472" i="3"/>
  <c r="C3473" i="3"/>
  <c r="C3474" i="3"/>
  <c r="C3475" i="3"/>
  <c r="C3476" i="3"/>
  <c r="C3477" i="3"/>
  <c r="C3478" i="3"/>
  <c r="C3479" i="3"/>
  <c r="C3480" i="3"/>
  <c r="C3481" i="3"/>
  <c r="C3482" i="3"/>
  <c r="C3483" i="3"/>
  <c r="C3484" i="3"/>
  <c r="C3485" i="3"/>
  <c r="C3486" i="3"/>
  <c r="C3487" i="3"/>
  <c r="C3488" i="3"/>
  <c r="C3489" i="3"/>
  <c r="C3490" i="3"/>
  <c r="C3491" i="3"/>
  <c r="C3492" i="3"/>
  <c r="C3493" i="3"/>
  <c r="C3494" i="3"/>
  <c r="C3495" i="3"/>
  <c r="C3496" i="3"/>
  <c r="C3497" i="3"/>
  <c r="C3498" i="3"/>
  <c r="C3499" i="3"/>
  <c r="C3500" i="3"/>
  <c r="C3501" i="3"/>
  <c r="C3502" i="3"/>
  <c r="C3503" i="3"/>
  <c r="C3504" i="3"/>
  <c r="C3505" i="3"/>
  <c r="C3506" i="3"/>
  <c r="C3507" i="3"/>
  <c r="C3508" i="3"/>
  <c r="C3509" i="3"/>
  <c r="C3510" i="3"/>
  <c r="C3511" i="3"/>
  <c r="C3512" i="3"/>
  <c r="C3513" i="3"/>
  <c r="C3514" i="3"/>
  <c r="C3515" i="3"/>
  <c r="C3516" i="3"/>
  <c r="C3517" i="3"/>
  <c r="C3518" i="3"/>
  <c r="C3519" i="3"/>
  <c r="C3520" i="3"/>
  <c r="C3521" i="3"/>
  <c r="C3522" i="3"/>
  <c r="C3523" i="3"/>
  <c r="C3524" i="3"/>
  <c r="C3525" i="3"/>
  <c r="C3526" i="3"/>
  <c r="C3527" i="3"/>
  <c r="C3528" i="3"/>
  <c r="C3529" i="3"/>
  <c r="C3530" i="3"/>
  <c r="C3531" i="3"/>
  <c r="C3532" i="3"/>
  <c r="C3533" i="3"/>
  <c r="C3534" i="3"/>
  <c r="C3535" i="3"/>
  <c r="C3536" i="3"/>
  <c r="C3537" i="3"/>
  <c r="C3538" i="3"/>
  <c r="C3539" i="3"/>
  <c r="C3540" i="3"/>
  <c r="C3541" i="3"/>
  <c r="C3542" i="3"/>
  <c r="C3543" i="3"/>
  <c r="C3544" i="3"/>
  <c r="C3545" i="3"/>
  <c r="C3546" i="3"/>
  <c r="C3547" i="3"/>
  <c r="C3548" i="3"/>
  <c r="C3549" i="3"/>
  <c r="C3550" i="3"/>
  <c r="C3551" i="3"/>
  <c r="C3552" i="3"/>
  <c r="C3553" i="3"/>
  <c r="C3554" i="3"/>
  <c r="C3555" i="3"/>
  <c r="C3556" i="3"/>
  <c r="C3557" i="3"/>
  <c r="C3558" i="3"/>
  <c r="C3559" i="3"/>
  <c r="C3560" i="3"/>
  <c r="C3561" i="3"/>
  <c r="C3562" i="3"/>
  <c r="C3563" i="3"/>
  <c r="C3564" i="3"/>
  <c r="C3565" i="3"/>
  <c r="C3566" i="3"/>
  <c r="C3567" i="3"/>
  <c r="C3568" i="3"/>
  <c r="C3569" i="3"/>
  <c r="C3570" i="3"/>
  <c r="C3571" i="3"/>
  <c r="C3572" i="3"/>
  <c r="C3573" i="3"/>
  <c r="C3574" i="3"/>
  <c r="C3575" i="3"/>
  <c r="C3576" i="3"/>
  <c r="C3577" i="3"/>
  <c r="C3578" i="3"/>
  <c r="C3579" i="3"/>
  <c r="C3580" i="3"/>
  <c r="C3581" i="3"/>
  <c r="C3582" i="3"/>
  <c r="C3583" i="3"/>
  <c r="C3584" i="3"/>
  <c r="C3585" i="3"/>
  <c r="C3586" i="3"/>
  <c r="C3587" i="3"/>
  <c r="C3588" i="3"/>
  <c r="C3589" i="3"/>
  <c r="C3590" i="3"/>
  <c r="C3591" i="3"/>
  <c r="C3592" i="3"/>
  <c r="C3593" i="3"/>
  <c r="C3594" i="3"/>
  <c r="C3595" i="3"/>
  <c r="C3596" i="3"/>
  <c r="C3597" i="3"/>
  <c r="C3598" i="3"/>
  <c r="C3599" i="3"/>
  <c r="C3600" i="3"/>
  <c r="C3601" i="3"/>
  <c r="C3602" i="3"/>
  <c r="C3603" i="3"/>
  <c r="C3604" i="3"/>
  <c r="C3605" i="3"/>
  <c r="C3606" i="3"/>
  <c r="C3607" i="3"/>
  <c r="C3608" i="3"/>
  <c r="C3609" i="3"/>
  <c r="C3610" i="3"/>
  <c r="C3611" i="3"/>
  <c r="C3612" i="3"/>
  <c r="C3613" i="3"/>
  <c r="C3614" i="3"/>
  <c r="C3615" i="3"/>
  <c r="C3616" i="3"/>
  <c r="C3617" i="3"/>
  <c r="C3618" i="3"/>
  <c r="C3619" i="3"/>
  <c r="C3620" i="3"/>
  <c r="C3621" i="3"/>
  <c r="C3622" i="3"/>
  <c r="C3623" i="3"/>
  <c r="C3624" i="3"/>
  <c r="C3625" i="3"/>
  <c r="C3626" i="3"/>
  <c r="C3627" i="3"/>
  <c r="C3628" i="3"/>
  <c r="C3629" i="3"/>
  <c r="C3630" i="3"/>
  <c r="C3631" i="3"/>
  <c r="C3632" i="3"/>
  <c r="C3633" i="3"/>
  <c r="C3634" i="3"/>
  <c r="C3635" i="3"/>
  <c r="C3636" i="3"/>
  <c r="C3637" i="3"/>
  <c r="C3638" i="3"/>
  <c r="C3639" i="3"/>
  <c r="C3640" i="3"/>
  <c r="C3641" i="3"/>
  <c r="C3642" i="3"/>
  <c r="C3643" i="3"/>
  <c r="C3644" i="3"/>
  <c r="C3645" i="3"/>
  <c r="C3646" i="3"/>
  <c r="C3647" i="3"/>
  <c r="C3648" i="3"/>
  <c r="C3649" i="3"/>
  <c r="C3650" i="3"/>
  <c r="C3651" i="3"/>
  <c r="C3652" i="3"/>
  <c r="C3653" i="3"/>
  <c r="C3654" i="3"/>
  <c r="C3655" i="3"/>
  <c r="C3656" i="3"/>
  <c r="C3657" i="3"/>
  <c r="C3658" i="3"/>
  <c r="C3659" i="3"/>
  <c r="C3660" i="3"/>
  <c r="C3661" i="3"/>
  <c r="C3662" i="3"/>
  <c r="C3663" i="3"/>
  <c r="C3664" i="3"/>
  <c r="C3665" i="3"/>
  <c r="C3666" i="3"/>
  <c r="C3667" i="3"/>
  <c r="C3668" i="3"/>
  <c r="C3669" i="3"/>
  <c r="C3670" i="3"/>
  <c r="C3671" i="3"/>
  <c r="C3672" i="3"/>
  <c r="C3673" i="3"/>
  <c r="C3674" i="3"/>
  <c r="C3675" i="3"/>
  <c r="C3676" i="3"/>
  <c r="C3677" i="3"/>
  <c r="C3678" i="3"/>
  <c r="C3679" i="3"/>
  <c r="C3680" i="3"/>
  <c r="C3681" i="3"/>
  <c r="C3682" i="3"/>
  <c r="C3683" i="3"/>
  <c r="C3684" i="3"/>
  <c r="C3685" i="3"/>
  <c r="C3686" i="3"/>
  <c r="C3687" i="3"/>
  <c r="C3688" i="3"/>
  <c r="C3689" i="3"/>
  <c r="C3690" i="3"/>
  <c r="C3691" i="3"/>
  <c r="C3692" i="3"/>
  <c r="C3693" i="3"/>
  <c r="C3694" i="3"/>
  <c r="C3695" i="3"/>
  <c r="C3696" i="3"/>
  <c r="C3697" i="3"/>
  <c r="C3698" i="3"/>
  <c r="C3699" i="3"/>
  <c r="C3700" i="3"/>
  <c r="C3701" i="3"/>
  <c r="C3702" i="3"/>
  <c r="C3703" i="3"/>
  <c r="C3704" i="3"/>
  <c r="C3705" i="3"/>
  <c r="C3706" i="3"/>
  <c r="C3707" i="3"/>
  <c r="C3708" i="3"/>
  <c r="C3709" i="3"/>
  <c r="C3710" i="3"/>
  <c r="C3711" i="3"/>
  <c r="C3712" i="3"/>
  <c r="C3713" i="3"/>
  <c r="C3714" i="3"/>
  <c r="C3715" i="3"/>
  <c r="C3716" i="3"/>
  <c r="C3717" i="3"/>
  <c r="C3718" i="3"/>
  <c r="C3719" i="3"/>
  <c r="C3720" i="3"/>
  <c r="C3721" i="3"/>
  <c r="C3722" i="3"/>
  <c r="C3723" i="3"/>
  <c r="C3724" i="3"/>
  <c r="C3725" i="3"/>
  <c r="C3726" i="3"/>
  <c r="C3727" i="3"/>
  <c r="C3728" i="3"/>
  <c r="C3729" i="3"/>
  <c r="C3730" i="3"/>
  <c r="C3731" i="3"/>
  <c r="C3732" i="3"/>
  <c r="C3733" i="3"/>
  <c r="C3734" i="3"/>
  <c r="C3735" i="3"/>
  <c r="C3736" i="3"/>
  <c r="C3737" i="3"/>
  <c r="C3738" i="3"/>
  <c r="C3739" i="3"/>
  <c r="C3740" i="3"/>
  <c r="C3741" i="3"/>
  <c r="C3742" i="3"/>
  <c r="C3743" i="3"/>
  <c r="C3744" i="3"/>
  <c r="C3745" i="3"/>
  <c r="C3746" i="3"/>
  <c r="C3747" i="3"/>
  <c r="C3748" i="3"/>
  <c r="C3749" i="3"/>
  <c r="C3750" i="3"/>
  <c r="C3751" i="3"/>
  <c r="C3752" i="3"/>
  <c r="C3753" i="3"/>
  <c r="C3754" i="3"/>
  <c r="C3755" i="3"/>
  <c r="C3756" i="3"/>
  <c r="C3757" i="3"/>
  <c r="C3758" i="3"/>
  <c r="C3759" i="3"/>
  <c r="C3760" i="3"/>
  <c r="C3761" i="3"/>
  <c r="C3762" i="3"/>
  <c r="C3763" i="3"/>
  <c r="C3764" i="3"/>
  <c r="C3765" i="3"/>
  <c r="C3766" i="3"/>
  <c r="C3767" i="3"/>
  <c r="C3768" i="3"/>
  <c r="C3769" i="3"/>
  <c r="C3770" i="3"/>
  <c r="C3771" i="3"/>
  <c r="C3772" i="3"/>
  <c r="C3773" i="3"/>
  <c r="C3774" i="3"/>
  <c r="C3775" i="3"/>
  <c r="C3776" i="3"/>
  <c r="C3777" i="3"/>
  <c r="C3778" i="3"/>
  <c r="C3779" i="3"/>
  <c r="C3780" i="3"/>
  <c r="C3781" i="3"/>
  <c r="C3782" i="3"/>
  <c r="C3783" i="3"/>
  <c r="C3784" i="3"/>
  <c r="C3785" i="3"/>
  <c r="C3786" i="3"/>
  <c r="C3787" i="3"/>
  <c r="C3788" i="3"/>
  <c r="C3789" i="3"/>
  <c r="C3790" i="3"/>
  <c r="C3791" i="3"/>
  <c r="C3792" i="3"/>
  <c r="C3793" i="3"/>
  <c r="C3794" i="3"/>
  <c r="C3795" i="3"/>
  <c r="C3796" i="3"/>
  <c r="C3797" i="3"/>
  <c r="C3798" i="3"/>
  <c r="C3799" i="3"/>
  <c r="C3800" i="3"/>
  <c r="C3801" i="3"/>
  <c r="C3802" i="3"/>
  <c r="C3803" i="3"/>
  <c r="C3804" i="3"/>
  <c r="C3805" i="3"/>
  <c r="C3806" i="3"/>
  <c r="C3807" i="3"/>
  <c r="C3808" i="3"/>
  <c r="C3809" i="3"/>
  <c r="C3810" i="3"/>
  <c r="C3811" i="3"/>
  <c r="C3812" i="3"/>
  <c r="C3813" i="3"/>
  <c r="C3814" i="3"/>
  <c r="C3815" i="3"/>
  <c r="C3816" i="3"/>
  <c r="C3817" i="3"/>
  <c r="C3818" i="3"/>
  <c r="C3819" i="3"/>
  <c r="C3820" i="3"/>
  <c r="C3821" i="3"/>
  <c r="C3822" i="3"/>
  <c r="C3823" i="3"/>
  <c r="C3824" i="3"/>
  <c r="C3825" i="3"/>
  <c r="C3826" i="3"/>
  <c r="C3827" i="3"/>
  <c r="C3828" i="3"/>
  <c r="C3829" i="3"/>
  <c r="C3830" i="3"/>
  <c r="C3831" i="3"/>
  <c r="C3832" i="3"/>
  <c r="C3833" i="3"/>
  <c r="C3834" i="3"/>
  <c r="C3835" i="3"/>
  <c r="C3836" i="3"/>
  <c r="C3837" i="3"/>
  <c r="C3838" i="3"/>
  <c r="C3839" i="3"/>
  <c r="C3840" i="3"/>
  <c r="C3841" i="3"/>
  <c r="C3842" i="3"/>
  <c r="C3843" i="3"/>
  <c r="C3844" i="3"/>
  <c r="C3845" i="3"/>
  <c r="C3846" i="3"/>
  <c r="C3847" i="3"/>
  <c r="C3848" i="3"/>
  <c r="C3849" i="3"/>
  <c r="C3850" i="3"/>
  <c r="C3851" i="3"/>
  <c r="C3852" i="3"/>
  <c r="C3853" i="3"/>
  <c r="C3854" i="3"/>
  <c r="C3855" i="3"/>
  <c r="C3856" i="3"/>
  <c r="C3857" i="3"/>
  <c r="C3858" i="3"/>
  <c r="C3859" i="3"/>
  <c r="C3860" i="3"/>
  <c r="C3861" i="3"/>
  <c r="C3862" i="3"/>
  <c r="C3863" i="3"/>
  <c r="C3864" i="3"/>
  <c r="C3865" i="3"/>
  <c r="C3866" i="3"/>
  <c r="C3867" i="3"/>
  <c r="C3868" i="3"/>
  <c r="C3869" i="3"/>
  <c r="C3870" i="3"/>
  <c r="C3871" i="3"/>
  <c r="C3872" i="3"/>
  <c r="C3873" i="3"/>
  <c r="C3874" i="3"/>
  <c r="C3875" i="3"/>
  <c r="C3876" i="3"/>
  <c r="C3877" i="3"/>
  <c r="C3878" i="3"/>
  <c r="C3879" i="3"/>
  <c r="C3880" i="3"/>
  <c r="C3881" i="3"/>
  <c r="C3882" i="3"/>
  <c r="C3883" i="3"/>
  <c r="C3884" i="3"/>
  <c r="C3885" i="3"/>
  <c r="C3886" i="3"/>
  <c r="C3887" i="3"/>
  <c r="C3888" i="3"/>
  <c r="C3889" i="3"/>
  <c r="C3890" i="3"/>
  <c r="C3891" i="3"/>
  <c r="C3892" i="3"/>
  <c r="C3893" i="3"/>
  <c r="C3894" i="3"/>
  <c r="C3895" i="3"/>
  <c r="C3896" i="3"/>
  <c r="C3897" i="3"/>
  <c r="C3898" i="3"/>
  <c r="C3899" i="3"/>
  <c r="C3900" i="3"/>
  <c r="C3901" i="3"/>
  <c r="C3902" i="3"/>
  <c r="C3903" i="3"/>
  <c r="C3904" i="3"/>
  <c r="C3905" i="3"/>
  <c r="C3906" i="3"/>
  <c r="C3907" i="3"/>
  <c r="C3908" i="3"/>
  <c r="C3909" i="3"/>
  <c r="C3910" i="3"/>
  <c r="C3911" i="3"/>
  <c r="C3912" i="3"/>
  <c r="C3913" i="3"/>
  <c r="C3914" i="3"/>
  <c r="C3915" i="3"/>
  <c r="C3916" i="3"/>
  <c r="C3917" i="3"/>
  <c r="C3918" i="3"/>
  <c r="C3919" i="3"/>
  <c r="C3920" i="3"/>
  <c r="C3921" i="3"/>
  <c r="C3922" i="3"/>
  <c r="C3923" i="3"/>
  <c r="C3924" i="3"/>
  <c r="C3925" i="3"/>
  <c r="C3926" i="3"/>
  <c r="C3927" i="3"/>
  <c r="C3928" i="3"/>
  <c r="C3929" i="3"/>
  <c r="C3930" i="3"/>
  <c r="C3931" i="3"/>
  <c r="C3932" i="3"/>
  <c r="C3933" i="3"/>
  <c r="C3934" i="3"/>
  <c r="C3935" i="3"/>
  <c r="C3936" i="3"/>
  <c r="C3937" i="3"/>
  <c r="C3938" i="3"/>
  <c r="C3939" i="3"/>
  <c r="C3940" i="3"/>
  <c r="C3941" i="3"/>
  <c r="C3942" i="3"/>
  <c r="C3943" i="3"/>
  <c r="C3944" i="3"/>
  <c r="C3945" i="3"/>
  <c r="C3946" i="3"/>
  <c r="C3947" i="3"/>
  <c r="C3948" i="3"/>
  <c r="C3949" i="3"/>
  <c r="C3950" i="3"/>
  <c r="C3951" i="3"/>
  <c r="C3952" i="3"/>
  <c r="C3953" i="3"/>
  <c r="C3954" i="3"/>
  <c r="C3955" i="3"/>
  <c r="C3956" i="3"/>
  <c r="C3957" i="3"/>
  <c r="C3958" i="3"/>
  <c r="C3959" i="3"/>
  <c r="C3960" i="3"/>
  <c r="C3961" i="3"/>
  <c r="C3962" i="3"/>
  <c r="C3963" i="3"/>
  <c r="C3964" i="3"/>
  <c r="C3965" i="3"/>
  <c r="C3966" i="3"/>
  <c r="C3967" i="3"/>
  <c r="C3968" i="3"/>
  <c r="C3969" i="3"/>
  <c r="C3970" i="3"/>
  <c r="C3971" i="3"/>
  <c r="C3972" i="3"/>
  <c r="C3973" i="3"/>
  <c r="C3974" i="3"/>
  <c r="C3975" i="3"/>
  <c r="C3976" i="3"/>
  <c r="C3977" i="3"/>
  <c r="C3978" i="3"/>
  <c r="C3979" i="3"/>
  <c r="C3980" i="3"/>
  <c r="C3981" i="3"/>
  <c r="C3982" i="3"/>
  <c r="C3983" i="3"/>
  <c r="C3984" i="3"/>
  <c r="C3985" i="3"/>
  <c r="C3986" i="3"/>
  <c r="C3987" i="3"/>
  <c r="C3988" i="3"/>
  <c r="C3989" i="3"/>
  <c r="C3990" i="3"/>
  <c r="C3991" i="3"/>
  <c r="C3992" i="3"/>
  <c r="C3993" i="3"/>
  <c r="C3994" i="3"/>
  <c r="C3995" i="3"/>
  <c r="C3996" i="3"/>
  <c r="C3997" i="3"/>
  <c r="C3998" i="3"/>
  <c r="C3999" i="3"/>
  <c r="C4000" i="3"/>
  <c r="C4001" i="3"/>
  <c r="C4002" i="3"/>
  <c r="C4003" i="3"/>
  <c r="C4004" i="3"/>
  <c r="C4005" i="3"/>
  <c r="C4006" i="3"/>
  <c r="C4007" i="3"/>
  <c r="C4008" i="3"/>
  <c r="C4009" i="3"/>
  <c r="C4010" i="3"/>
  <c r="C4011" i="3"/>
  <c r="C4012" i="3"/>
  <c r="C4013" i="3"/>
  <c r="C4014" i="3"/>
  <c r="C4015" i="3"/>
  <c r="C4016" i="3"/>
  <c r="C4017" i="3"/>
  <c r="C4018" i="3"/>
  <c r="C4019" i="3"/>
  <c r="C4020" i="3"/>
  <c r="C4021" i="3"/>
  <c r="C4022" i="3"/>
  <c r="C4023" i="3"/>
  <c r="C4024" i="3"/>
  <c r="C4025" i="3"/>
  <c r="C4026" i="3"/>
  <c r="C4027" i="3"/>
  <c r="C4028" i="3"/>
  <c r="C4029" i="3"/>
  <c r="C4030" i="3"/>
  <c r="C4031" i="3"/>
  <c r="C4032" i="3"/>
  <c r="C4033" i="3"/>
  <c r="C4034" i="3"/>
  <c r="C4035" i="3"/>
  <c r="C4036" i="3"/>
  <c r="C4037" i="3"/>
  <c r="C4038" i="3"/>
  <c r="C4039" i="3"/>
  <c r="C4040" i="3"/>
  <c r="C4041" i="3"/>
  <c r="C4042" i="3"/>
  <c r="C4043" i="3"/>
  <c r="C4044" i="3"/>
  <c r="C4045" i="3"/>
  <c r="C4046" i="3"/>
  <c r="C4047" i="3"/>
  <c r="C4048" i="3"/>
  <c r="C4049" i="3"/>
  <c r="C4050" i="3"/>
  <c r="C4051" i="3"/>
  <c r="C4052" i="3"/>
  <c r="C4053" i="3"/>
  <c r="C4054" i="3"/>
  <c r="C4055" i="3"/>
  <c r="C4056" i="3"/>
  <c r="C4057" i="3"/>
  <c r="C4058" i="3"/>
  <c r="C4059" i="3"/>
  <c r="C4060" i="3"/>
  <c r="C4061" i="3"/>
  <c r="C4062" i="3"/>
  <c r="C4063" i="3"/>
  <c r="C4064" i="3"/>
  <c r="C4065" i="3"/>
  <c r="C4066" i="3"/>
  <c r="C4067" i="3"/>
  <c r="C4068" i="3"/>
  <c r="C4069" i="3"/>
  <c r="C4070" i="3"/>
  <c r="C4071" i="3"/>
  <c r="C4072" i="3"/>
  <c r="C4073" i="3"/>
  <c r="C4074" i="3"/>
  <c r="C4075" i="3"/>
  <c r="C4076" i="3"/>
  <c r="C4077" i="3"/>
  <c r="C4078" i="3"/>
  <c r="C4079" i="3"/>
  <c r="C4080" i="3"/>
  <c r="C4081" i="3"/>
  <c r="C4082" i="3"/>
  <c r="C4083" i="3"/>
  <c r="C4084" i="3"/>
  <c r="C4085" i="3"/>
  <c r="C4086" i="3"/>
  <c r="C4087" i="3"/>
  <c r="C4088" i="3"/>
  <c r="C4089" i="3"/>
  <c r="C4090" i="3"/>
  <c r="C4091" i="3"/>
  <c r="C4092" i="3"/>
  <c r="C4093" i="3"/>
  <c r="C4094" i="3"/>
  <c r="C4095" i="3"/>
  <c r="C4096" i="3"/>
  <c r="C4097" i="3"/>
  <c r="C4098" i="3"/>
  <c r="C4099" i="3"/>
  <c r="C4100" i="3"/>
  <c r="C4101" i="3"/>
  <c r="C4102" i="3"/>
  <c r="C4103" i="3"/>
  <c r="C4104" i="3"/>
  <c r="C4105" i="3"/>
  <c r="C4106" i="3"/>
  <c r="C4107" i="3"/>
  <c r="C4108" i="3"/>
  <c r="C4109" i="3"/>
  <c r="C4110" i="3"/>
  <c r="C4111" i="3"/>
  <c r="C4112" i="3"/>
  <c r="C4113" i="3"/>
  <c r="C4114" i="3"/>
  <c r="C4115" i="3"/>
  <c r="C4116" i="3"/>
  <c r="C4117" i="3"/>
  <c r="C4118" i="3"/>
  <c r="C4119" i="3"/>
  <c r="C4120" i="3"/>
  <c r="C4121" i="3"/>
  <c r="C4122" i="3"/>
  <c r="C4123" i="3"/>
  <c r="C4124" i="3"/>
  <c r="C4125" i="3"/>
  <c r="C4126" i="3"/>
  <c r="C4127" i="3"/>
  <c r="C4128" i="3"/>
  <c r="C4129" i="3"/>
  <c r="C4130" i="3"/>
  <c r="C4131" i="3"/>
  <c r="C4132" i="3"/>
  <c r="C4133" i="3"/>
  <c r="C4134" i="3"/>
  <c r="C4135" i="3"/>
  <c r="C4136" i="3"/>
  <c r="C4137" i="3"/>
  <c r="C4138" i="3"/>
  <c r="C4139" i="3"/>
  <c r="C4140" i="3"/>
  <c r="C4141" i="3"/>
  <c r="C4142" i="3"/>
  <c r="C4143" i="3"/>
  <c r="C4144" i="3"/>
  <c r="C4145" i="3"/>
  <c r="C4146" i="3"/>
  <c r="C4147" i="3"/>
  <c r="C4148" i="3"/>
  <c r="C4149" i="3"/>
  <c r="C4150" i="3"/>
  <c r="C4151" i="3"/>
  <c r="C4152" i="3"/>
  <c r="C4153" i="3"/>
  <c r="C4154" i="3"/>
  <c r="C4155" i="3"/>
  <c r="C4156" i="3"/>
  <c r="C4157" i="3"/>
  <c r="C4158" i="3"/>
  <c r="C4159" i="3"/>
  <c r="C4160" i="3"/>
  <c r="C4161" i="3"/>
  <c r="C4162" i="3"/>
  <c r="C4163" i="3"/>
  <c r="C4164" i="3"/>
  <c r="C4165" i="3"/>
  <c r="C4166" i="3"/>
  <c r="C4167" i="3"/>
  <c r="C4168" i="3"/>
  <c r="C4169" i="3"/>
  <c r="C4170" i="3"/>
  <c r="C4171" i="3"/>
  <c r="C4172" i="3"/>
  <c r="C4173" i="3"/>
  <c r="C4174" i="3"/>
  <c r="C4175" i="3"/>
  <c r="C4176" i="3"/>
  <c r="C4177" i="3"/>
  <c r="C4178" i="3"/>
  <c r="C4179" i="3"/>
  <c r="C4180" i="3"/>
  <c r="C4181" i="3"/>
  <c r="C4182" i="3"/>
  <c r="C4183" i="3"/>
  <c r="C4184" i="3"/>
  <c r="C4185" i="3"/>
  <c r="C4186" i="3"/>
  <c r="C4187" i="3"/>
  <c r="C4188" i="3"/>
  <c r="C4189" i="3"/>
  <c r="C4190" i="3"/>
  <c r="C4191" i="3"/>
  <c r="C4192" i="3"/>
  <c r="C4193" i="3"/>
  <c r="C4194" i="3"/>
  <c r="C4195" i="3"/>
  <c r="C4196" i="3"/>
  <c r="C4197" i="3"/>
  <c r="C4198" i="3"/>
  <c r="C4199" i="3"/>
  <c r="C4200" i="3"/>
  <c r="C4201" i="3"/>
  <c r="C4202" i="3"/>
  <c r="C4203" i="3"/>
  <c r="C4204" i="3"/>
  <c r="C4205" i="3"/>
  <c r="C4206" i="3"/>
  <c r="C4207" i="3"/>
  <c r="C4208" i="3"/>
  <c r="C4209" i="3"/>
  <c r="C4210" i="3"/>
  <c r="C4211" i="3"/>
  <c r="C4212" i="3"/>
  <c r="C4213" i="3"/>
  <c r="C4214" i="3"/>
  <c r="C4215" i="3"/>
  <c r="C4216" i="3"/>
  <c r="C4217" i="3"/>
  <c r="C4218" i="3"/>
  <c r="C4219" i="3"/>
  <c r="C4220" i="3"/>
  <c r="C4221" i="3"/>
  <c r="C4222" i="3"/>
  <c r="C4223" i="3"/>
  <c r="C4224" i="3"/>
  <c r="C4225" i="3"/>
  <c r="C4226" i="3"/>
  <c r="C4227" i="3"/>
  <c r="C4228" i="3"/>
  <c r="C4229" i="3"/>
  <c r="C4230" i="3"/>
  <c r="C4231" i="3"/>
  <c r="C4232" i="3"/>
  <c r="C4233" i="3"/>
  <c r="C4234" i="3"/>
  <c r="C4235" i="3"/>
  <c r="C4236" i="3"/>
  <c r="C4237" i="3"/>
  <c r="C4238" i="3"/>
  <c r="C4239" i="3"/>
  <c r="C4240" i="3"/>
  <c r="C4241" i="3"/>
  <c r="C4242" i="3"/>
  <c r="C4243" i="3"/>
  <c r="C4244" i="3"/>
  <c r="C4245" i="3"/>
  <c r="C4246" i="3"/>
  <c r="C4247" i="3"/>
  <c r="C4248" i="3"/>
  <c r="C4249" i="3"/>
  <c r="C4250" i="3"/>
  <c r="C4251" i="3"/>
  <c r="C4252" i="3"/>
  <c r="C4253" i="3"/>
  <c r="C4254" i="3"/>
  <c r="C4255" i="3"/>
  <c r="C4256" i="3"/>
  <c r="C4257" i="3"/>
  <c r="C4258" i="3"/>
  <c r="C4259" i="3"/>
  <c r="C4260" i="3"/>
  <c r="C4261" i="3"/>
  <c r="C4262" i="3"/>
  <c r="C4263" i="3"/>
  <c r="C4264" i="3"/>
  <c r="C4265" i="3"/>
  <c r="C4266" i="3"/>
  <c r="C4267" i="3"/>
  <c r="C4268" i="3"/>
  <c r="C4269" i="3"/>
  <c r="C4270" i="3"/>
  <c r="C4271" i="3"/>
  <c r="C4272" i="3"/>
  <c r="C4273" i="3"/>
  <c r="C4274" i="3"/>
  <c r="C4275" i="3"/>
  <c r="C4276" i="3"/>
  <c r="C4277" i="3"/>
  <c r="C4278" i="3"/>
  <c r="C4279" i="3"/>
  <c r="C4280" i="3"/>
  <c r="C4281" i="3"/>
  <c r="C4282" i="3"/>
  <c r="C4283" i="3"/>
  <c r="C4284" i="3"/>
  <c r="C4285" i="3"/>
  <c r="C4286" i="3"/>
  <c r="C4287" i="3"/>
  <c r="C4288" i="3"/>
  <c r="C4289" i="3"/>
  <c r="C4290" i="3"/>
  <c r="C4291" i="3"/>
  <c r="C4292" i="3"/>
  <c r="C4293" i="3"/>
  <c r="C4294" i="3"/>
  <c r="C4295" i="3"/>
  <c r="C4296" i="3"/>
  <c r="C4297" i="3"/>
  <c r="C4298" i="3"/>
  <c r="C4299" i="3"/>
  <c r="C4300" i="3"/>
  <c r="C4301" i="3"/>
  <c r="C4302" i="3"/>
  <c r="C4303" i="3"/>
  <c r="C4304" i="3"/>
  <c r="C4305" i="3"/>
  <c r="C4306" i="3"/>
  <c r="C4307" i="3"/>
  <c r="C4308" i="3"/>
  <c r="C4309" i="3"/>
  <c r="C4310" i="3"/>
  <c r="C4311" i="3"/>
  <c r="C4312" i="3"/>
  <c r="C4313" i="3"/>
  <c r="C4314" i="3"/>
  <c r="C4315" i="3"/>
  <c r="C4316" i="3"/>
  <c r="C4317" i="3"/>
  <c r="C4318" i="3"/>
  <c r="C4319" i="3"/>
  <c r="C4320" i="3"/>
  <c r="C4321" i="3"/>
  <c r="C4322" i="3"/>
  <c r="C4323" i="3"/>
  <c r="C4324" i="3"/>
  <c r="C4325" i="3"/>
  <c r="C4326" i="3"/>
  <c r="C4327" i="3"/>
  <c r="C4328" i="3"/>
  <c r="C4329" i="3"/>
  <c r="C4330" i="3"/>
  <c r="C4331" i="3"/>
  <c r="C4332" i="3"/>
  <c r="C4333" i="3"/>
  <c r="C4334" i="3"/>
  <c r="C4335" i="3"/>
  <c r="C4336" i="3"/>
  <c r="C4337" i="3"/>
  <c r="C4338" i="3"/>
  <c r="C4339" i="3"/>
  <c r="C4340" i="3"/>
  <c r="C4341" i="3"/>
  <c r="C4342" i="3"/>
  <c r="C4343" i="3"/>
  <c r="C4344" i="3"/>
  <c r="C4345" i="3"/>
  <c r="C4346" i="3"/>
  <c r="C4347" i="3"/>
  <c r="C4348" i="3"/>
  <c r="C4349" i="3"/>
  <c r="C4350" i="3"/>
  <c r="C4351" i="3"/>
  <c r="C4352" i="3"/>
  <c r="C4353" i="3"/>
  <c r="C4354" i="3"/>
  <c r="C4355" i="3"/>
  <c r="C4356" i="3"/>
  <c r="C4357" i="3"/>
  <c r="C4358" i="3"/>
  <c r="C4359" i="3"/>
  <c r="C4360" i="3"/>
  <c r="C4361" i="3"/>
  <c r="C4362" i="3"/>
  <c r="C4363" i="3"/>
  <c r="C4364" i="3"/>
  <c r="C4365" i="3"/>
  <c r="C4366" i="3"/>
  <c r="C4367" i="3"/>
  <c r="C4368" i="3"/>
  <c r="C4369" i="3"/>
  <c r="C4370" i="3"/>
  <c r="C4371" i="3"/>
  <c r="C4372" i="3"/>
  <c r="C4373" i="3"/>
  <c r="C4374" i="3"/>
  <c r="C4375" i="3"/>
  <c r="C4376" i="3"/>
  <c r="C4377" i="3"/>
  <c r="C4378" i="3"/>
  <c r="C4379" i="3"/>
  <c r="C4380" i="3"/>
  <c r="C4381" i="3"/>
  <c r="C4382" i="3"/>
  <c r="C4383" i="3"/>
  <c r="C4384" i="3"/>
  <c r="C4385" i="3"/>
  <c r="C4386" i="3"/>
  <c r="C4387" i="3"/>
  <c r="C4388" i="3"/>
  <c r="C4389" i="3"/>
  <c r="C4390" i="3"/>
  <c r="C4391" i="3"/>
  <c r="C4392" i="3"/>
  <c r="C4393" i="3"/>
  <c r="C4394" i="3"/>
  <c r="C4395" i="3"/>
  <c r="C4396" i="3"/>
  <c r="C4397" i="3"/>
  <c r="C4398" i="3"/>
  <c r="C4399" i="3"/>
  <c r="C4400" i="3"/>
  <c r="C4401" i="3"/>
  <c r="C4402" i="3"/>
  <c r="C4403" i="3"/>
  <c r="C4404" i="3"/>
  <c r="C4405" i="3"/>
  <c r="C4406" i="3"/>
  <c r="C4407" i="3"/>
  <c r="C4408" i="3"/>
  <c r="C4409" i="3"/>
  <c r="C4410" i="3"/>
  <c r="C4411" i="3"/>
  <c r="C4412" i="3"/>
  <c r="C4413" i="3"/>
  <c r="C4414" i="3"/>
  <c r="C4415" i="3"/>
  <c r="C4416" i="3"/>
  <c r="C4417" i="3"/>
  <c r="C4418" i="3"/>
  <c r="C4419" i="3"/>
  <c r="C4420" i="3"/>
  <c r="C4421" i="3"/>
  <c r="C4422" i="3"/>
  <c r="C4423" i="3"/>
  <c r="C4424" i="3"/>
  <c r="C4425" i="3"/>
  <c r="C4426" i="3"/>
  <c r="C4427" i="3"/>
  <c r="C4428" i="3"/>
  <c r="C4429" i="3"/>
  <c r="C4430" i="3"/>
  <c r="C4431" i="3"/>
  <c r="C4432" i="3"/>
  <c r="C4433" i="3"/>
  <c r="C4434" i="3"/>
  <c r="C4435" i="3"/>
  <c r="C4436" i="3"/>
  <c r="C4437" i="3"/>
  <c r="C4438" i="3"/>
  <c r="C4439" i="3"/>
  <c r="C4440" i="3"/>
  <c r="C4441" i="3"/>
  <c r="C4442" i="3"/>
  <c r="C4443" i="3"/>
  <c r="C4444" i="3"/>
  <c r="C4445" i="3"/>
  <c r="C4446" i="3"/>
  <c r="C4447" i="3"/>
  <c r="C4448" i="3"/>
  <c r="C4449" i="3"/>
  <c r="C4450" i="3"/>
  <c r="C4451" i="3"/>
  <c r="C4452" i="3"/>
  <c r="C4453" i="3"/>
  <c r="C4454" i="3"/>
  <c r="C4455" i="3"/>
  <c r="C4456" i="3"/>
  <c r="C4457" i="3"/>
  <c r="C4458" i="3"/>
  <c r="C4459" i="3"/>
  <c r="C4460" i="3"/>
  <c r="C4461" i="3"/>
  <c r="C4462" i="3"/>
  <c r="C4463" i="3"/>
  <c r="C4464" i="3"/>
  <c r="C4465" i="3"/>
  <c r="C4466" i="3"/>
  <c r="C4467" i="3"/>
  <c r="C4468" i="3"/>
  <c r="C4469" i="3"/>
  <c r="C4470" i="3"/>
  <c r="C4471" i="3"/>
  <c r="C4472" i="3"/>
  <c r="C4473" i="3"/>
  <c r="C4474" i="3"/>
  <c r="C4475" i="3"/>
  <c r="C4476" i="3"/>
  <c r="C4477" i="3"/>
  <c r="C4478" i="3"/>
  <c r="C4479" i="3"/>
  <c r="C4480" i="3"/>
  <c r="C4481" i="3"/>
  <c r="C4482" i="3"/>
  <c r="C4483" i="3"/>
  <c r="C4484" i="3"/>
  <c r="C4485" i="3"/>
  <c r="C4486" i="3"/>
  <c r="C4487" i="3"/>
  <c r="C4488" i="3"/>
  <c r="C4489" i="3"/>
  <c r="C4490" i="3"/>
  <c r="C4491" i="3"/>
  <c r="C4492" i="3"/>
  <c r="C4493" i="3"/>
  <c r="C4494" i="3"/>
  <c r="C4495" i="3"/>
  <c r="C4496" i="3"/>
  <c r="C4497" i="3"/>
  <c r="C4498" i="3"/>
  <c r="C4499" i="3"/>
  <c r="C4500" i="3"/>
  <c r="C4501" i="3"/>
  <c r="C4502" i="3"/>
  <c r="C4503" i="3"/>
  <c r="C4504" i="3"/>
  <c r="C4505" i="3"/>
  <c r="C4506" i="3"/>
  <c r="C4507" i="3"/>
  <c r="C4508" i="3"/>
  <c r="C4509" i="3"/>
  <c r="C4510" i="3"/>
  <c r="C4511" i="3"/>
  <c r="C4512" i="3"/>
  <c r="C4513" i="3"/>
  <c r="C4514" i="3"/>
  <c r="C4515" i="3"/>
  <c r="C4516" i="3"/>
  <c r="C4517" i="3"/>
  <c r="C4518" i="3"/>
  <c r="C4519" i="3"/>
  <c r="C4520" i="3"/>
  <c r="C4521" i="3"/>
  <c r="C4522" i="3"/>
  <c r="C4523" i="3"/>
  <c r="C4524" i="3"/>
  <c r="C4525" i="3"/>
  <c r="C4526" i="3"/>
  <c r="C4527" i="3"/>
  <c r="C4528" i="3"/>
  <c r="C4529" i="3"/>
  <c r="C4530" i="3"/>
  <c r="C4531" i="3"/>
  <c r="C4532" i="3"/>
  <c r="C4533" i="3"/>
  <c r="C4534" i="3"/>
  <c r="C4535" i="3"/>
  <c r="C4536" i="3"/>
  <c r="C4537" i="3"/>
  <c r="C4538" i="3"/>
  <c r="C4539" i="3"/>
  <c r="C4540" i="3"/>
  <c r="C4541" i="3"/>
  <c r="C4542" i="3"/>
  <c r="C4543" i="3"/>
  <c r="C4544" i="3"/>
  <c r="C4545" i="3"/>
  <c r="C4546" i="3"/>
  <c r="C4547" i="3"/>
  <c r="C4548" i="3"/>
  <c r="C4549" i="3"/>
  <c r="C4550" i="3"/>
  <c r="C4551" i="3"/>
  <c r="C4552" i="3"/>
  <c r="C4553" i="3"/>
  <c r="C4554" i="3"/>
  <c r="C4555" i="3"/>
  <c r="C4556" i="3"/>
  <c r="C4557" i="3"/>
  <c r="C4558" i="3"/>
  <c r="C4559" i="3"/>
  <c r="C4560" i="3"/>
  <c r="C4561" i="3"/>
  <c r="C4562" i="3"/>
  <c r="C4563" i="3"/>
  <c r="C4564" i="3"/>
  <c r="C4565" i="3"/>
  <c r="C4566" i="3"/>
  <c r="C4567" i="3"/>
  <c r="C4568" i="3"/>
  <c r="C4569" i="3"/>
  <c r="C4570" i="3"/>
  <c r="C4571" i="3"/>
  <c r="C4572" i="3"/>
  <c r="C4573" i="3"/>
  <c r="C4574" i="3"/>
  <c r="C4575" i="3"/>
  <c r="C4576" i="3"/>
  <c r="C4577" i="3"/>
  <c r="C4578" i="3"/>
  <c r="C4579" i="3"/>
  <c r="C4580" i="3"/>
  <c r="C4581" i="3"/>
  <c r="C4582" i="3"/>
  <c r="C4583" i="3"/>
  <c r="C4584" i="3"/>
  <c r="C4585" i="3"/>
  <c r="C4586" i="3"/>
  <c r="C4587" i="3"/>
  <c r="C4588" i="3"/>
  <c r="C4589" i="3"/>
  <c r="C4590" i="3"/>
  <c r="C4591" i="3"/>
  <c r="C4592" i="3"/>
  <c r="C4593" i="3"/>
  <c r="C4594" i="3"/>
  <c r="C4595" i="3"/>
  <c r="C4596" i="3"/>
  <c r="C4597" i="3"/>
  <c r="C4598" i="3"/>
  <c r="C4599" i="3"/>
  <c r="C4600" i="3"/>
  <c r="C4601" i="3"/>
  <c r="C4602" i="3"/>
  <c r="C4603" i="3"/>
  <c r="C4604" i="3"/>
  <c r="C4605" i="3"/>
  <c r="C4606" i="3"/>
  <c r="C4607" i="3"/>
  <c r="C4608" i="3"/>
  <c r="C4609" i="3"/>
  <c r="C4610" i="3"/>
  <c r="C4611" i="3"/>
  <c r="C4612" i="3"/>
  <c r="C4613" i="3"/>
  <c r="C4614" i="3"/>
  <c r="C4615" i="3"/>
  <c r="C4616" i="3"/>
  <c r="C4617" i="3"/>
  <c r="C4618" i="3"/>
  <c r="C4619" i="3"/>
  <c r="C4620" i="3"/>
  <c r="C4621" i="3"/>
  <c r="C4622" i="3"/>
  <c r="C4623" i="3"/>
  <c r="C4624" i="3"/>
  <c r="C4625" i="3"/>
  <c r="C4626" i="3"/>
  <c r="C4627" i="3"/>
  <c r="C4628" i="3"/>
  <c r="C4629" i="3"/>
  <c r="C4630" i="3"/>
  <c r="C4631" i="3"/>
  <c r="C4632" i="3"/>
  <c r="C4633" i="3"/>
  <c r="C4634" i="3"/>
  <c r="C4635" i="3"/>
  <c r="C4636" i="3"/>
  <c r="C4637" i="3"/>
  <c r="C4638" i="3"/>
  <c r="C4639" i="3"/>
  <c r="C4640" i="3"/>
  <c r="C4641" i="3"/>
  <c r="C4642" i="3"/>
  <c r="C4643" i="3"/>
  <c r="C4644" i="3"/>
  <c r="C4645" i="3"/>
  <c r="C4646" i="3"/>
  <c r="C4647" i="3"/>
  <c r="C4648" i="3"/>
  <c r="C4649" i="3"/>
  <c r="C4650" i="3"/>
  <c r="C4651" i="3"/>
  <c r="C4652" i="3"/>
  <c r="C4653" i="3"/>
  <c r="C4654" i="3"/>
  <c r="C4655" i="3"/>
  <c r="C4656" i="3"/>
  <c r="C4657" i="3"/>
  <c r="C4658" i="3"/>
  <c r="C4659" i="3"/>
  <c r="C4660" i="3"/>
  <c r="C4661" i="3"/>
  <c r="C4662" i="3"/>
  <c r="C4663" i="3"/>
  <c r="C4664" i="3"/>
  <c r="C4665" i="3"/>
  <c r="C4666" i="3"/>
  <c r="C4667" i="3"/>
  <c r="C4668" i="3"/>
  <c r="C4669" i="3"/>
  <c r="C4670" i="3"/>
  <c r="C4671" i="3"/>
  <c r="C4672" i="3"/>
  <c r="C4673" i="3"/>
  <c r="C4674" i="3"/>
  <c r="C4675" i="3"/>
  <c r="C4676" i="3"/>
  <c r="C4677" i="3"/>
  <c r="C4678" i="3"/>
  <c r="C4679" i="3"/>
  <c r="C4680" i="3"/>
  <c r="C4681" i="3"/>
  <c r="C4682" i="3"/>
  <c r="C4683" i="3"/>
  <c r="C4684" i="3"/>
  <c r="C4685" i="3"/>
  <c r="C4686" i="3"/>
  <c r="C4687" i="3"/>
  <c r="C4688" i="3"/>
  <c r="C4689" i="3"/>
  <c r="C4690" i="3"/>
  <c r="C4691" i="3"/>
  <c r="C4692" i="3"/>
  <c r="C4693" i="3"/>
  <c r="C4694" i="3"/>
  <c r="C4695" i="3"/>
  <c r="C4696" i="3"/>
  <c r="C4697" i="3"/>
  <c r="C4698" i="3"/>
  <c r="C4699" i="3"/>
  <c r="C4700" i="3"/>
  <c r="C4701" i="3"/>
  <c r="C4702" i="3"/>
  <c r="C4703" i="3"/>
  <c r="C4704" i="3"/>
  <c r="C4705" i="3"/>
  <c r="C4706" i="3"/>
  <c r="C4707" i="3"/>
  <c r="C4708" i="3"/>
  <c r="C4709" i="3"/>
  <c r="C4710" i="3"/>
  <c r="C4711" i="3"/>
  <c r="C4712" i="3"/>
  <c r="C4713" i="3"/>
  <c r="C4714" i="3"/>
  <c r="C4715" i="3"/>
  <c r="C4716" i="3"/>
  <c r="C4717" i="3"/>
  <c r="C4718" i="3"/>
  <c r="C4719" i="3"/>
  <c r="C4720" i="3"/>
  <c r="C4721" i="3"/>
  <c r="C4722" i="3"/>
  <c r="C4723" i="3"/>
  <c r="C4724" i="3"/>
  <c r="C4725" i="3"/>
  <c r="C4726" i="3"/>
  <c r="C4727" i="3"/>
  <c r="G233" i="10"/>
  <c r="K233" i="10"/>
</calcChain>
</file>

<file path=xl/sharedStrings.xml><?xml version="1.0" encoding="utf-8"?>
<sst xmlns="http://schemas.openxmlformats.org/spreadsheetml/2006/main" count="24918" uniqueCount="6089">
  <si>
    <t>product_id</t>
  </si>
  <si>
    <t>list_price</t>
  </si>
  <si>
    <t>product_name</t>
  </si>
  <si>
    <t>brand_id</t>
  </si>
  <si>
    <t>category_id</t>
  </si>
  <si>
    <t>model_year</t>
  </si>
  <si>
    <t>Trek 820 - 2016</t>
  </si>
  <si>
    <t>Ritchey Timberwolf Frameset - 2016</t>
  </si>
  <si>
    <t>Surly Wednesday Frameset - 2016</t>
  </si>
  <si>
    <t>Trek Fuel EX 8 29 - 2016</t>
  </si>
  <si>
    <t>Heller Shagamaw Frame - 2016</t>
  </si>
  <si>
    <t>Surly Ice Cream Truck Frameset - 2016</t>
  </si>
  <si>
    <t>Trek Slash 8 27.5 - 2016</t>
  </si>
  <si>
    <t>Trek Remedy 29 Carbon Frameset - 2016</t>
  </si>
  <si>
    <t>Trek Conduit+ - 2016</t>
  </si>
  <si>
    <t>Surly Straggler - 2016</t>
  </si>
  <si>
    <t>Surly Straggler 650b - 2016</t>
  </si>
  <si>
    <t>Electra Townie Original 21D - 2016</t>
  </si>
  <si>
    <t>Electra Cruiser 1 (24-Inch) - 2016</t>
  </si>
  <si>
    <t>Electra Girl's Hawaii 1 (16-inch) - 2015/2016</t>
  </si>
  <si>
    <t>Electra Moto 1 - 2016</t>
  </si>
  <si>
    <t>Electra Townie Original 7D EQ - 2016</t>
  </si>
  <si>
    <t>Pure Cycles Vine 8-Speed - 2016</t>
  </si>
  <si>
    <t>Pure Cycles Western 3-Speed - Women's - 2015/2016</t>
  </si>
  <si>
    <t>Pure Cycles William 3-Speed - 2016</t>
  </si>
  <si>
    <t>Electra Townie Original 7D EQ - Women's - 2016</t>
  </si>
  <si>
    <t>Electra Girl's Hawaii 1 (20-inch) - 2015/2016</t>
  </si>
  <si>
    <t>Electra Townie Original 7D - 2015/2016</t>
  </si>
  <si>
    <t>Surly Big Dummy Frameset - 2017</t>
  </si>
  <si>
    <t>Surly Karate Monkey 27.5+ Frameset - 2017</t>
  </si>
  <si>
    <t>Trek X-Caliber 8 - 2017</t>
  </si>
  <si>
    <t>Surly Ice Cream Truck Frameset - 2017</t>
  </si>
  <si>
    <t>Surly Wednesday - 2017</t>
  </si>
  <si>
    <t>Trek Farley Alloy Frameset - 2017</t>
  </si>
  <si>
    <t>Surly Wednesday Frameset - 2017</t>
  </si>
  <si>
    <t>Trek Session DH 27.5 Carbon Frameset - 2017</t>
  </si>
  <si>
    <t>Sun Bicycles Spider 3i - 2017</t>
  </si>
  <si>
    <t>Surly Troll Frameset - 2017</t>
  </si>
  <si>
    <t>Haro Flightline One ST - 2017</t>
  </si>
  <si>
    <t>Haro Flightline Two 26 Plus - 2017</t>
  </si>
  <si>
    <t>Trek Stache 5 - 2017</t>
  </si>
  <si>
    <t>Trek Fuel EX 9.8 29 - 2017</t>
  </si>
  <si>
    <t>Haro Shift R3 - 2017</t>
  </si>
  <si>
    <t>Trek Fuel EX 5 27.5 Plus - 2017</t>
  </si>
  <si>
    <t>Trek Fuel EX 9.8 27.5 Plus - 2017</t>
  </si>
  <si>
    <t>Haro SR 1.1 - 2017</t>
  </si>
  <si>
    <t>Haro SR 1.2 - 2017</t>
  </si>
  <si>
    <t>Haro SR 1.3 - 2017</t>
  </si>
  <si>
    <t>Trek Remedy 9.8 - 2017</t>
  </si>
  <si>
    <t>Trek Emonda S 4 - 2017</t>
  </si>
  <si>
    <t>Trek Domane SL 6 - 2017</t>
  </si>
  <si>
    <t>Trek Silque SLR 7 Women's - 2017</t>
  </si>
  <si>
    <t>Trek Silque SLR 8 Women's - 2017</t>
  </si>
  <si>
    <t>Surly Steamroller - 2017</t>
  </si>
  <si>
    <t>Surly Ogre Frameset - 2017</t>
  </si>
  <si>
    <t>Trek Domane SL Disc Frameset - 2017</t>
  </si>
  <si>
    <t>Trek Domane S 6 - 2017</t>
  </si>
  <si>
    <t>Trek Domane SLR 6 Disc - 2017</t>
  </si>
  <si>
    <t>Trek Emonda S 5 - 2017</t>
  </si>
  <si>
    <t>Trek Madone 9.2 - 2017</t>
  </si>
  <si>
    <t>Trek Domane S 5 Disc - 2017</t>
  </si>
  <si>
    <t>Sun Bicycles ElectroLite - 2017</t>
  </si>
  <si>
    <t>Trek Powerfly 8 FS Plus - 2017</t>
  </si>
  <si>
    <t>Trek Boone 7 - 2017</t>
  </si>
  <si>
    <t>Trek Boone Race Shop Limited - 2017</t>
  </si>
  <si>
    <t>Electra Townie Original 7D - 2017</t>
  </si>
  <si>
    <t>Sun Bicycles Lil Bolt Type-R - 2017</t>
  </si>
  <si>
    <t>Sun Bicycles Revolutions 24 - 2017</t>
  </si>
  <si>
    <t>Sun Bicycles Revolutions 24 - Girl's - 2017</t>
  </si>
  <si>
    <t>Sun Bicycles Cruz 3 - 2017</t>
  </si>
  <si>
    <t>Sun Bicycles Cruz 7 - 2017</t>
  </si>
  <si>
    <t>Electra Amsterdam Original 3i - 2015/2017</t>
  </si>
  <si>
    <t>Sun Bicycles Atlas X-Type - 2017</t>
  </si>
  <si>
    <t>Sun Bicycles Biscayne Tandem 7 - 2017</t>
  </si>
  <si>
    <t>Sun Bicycles Brickell Tandem 7 - 2017</t>
  </si>
  <si>
    <t>Electra Cruiser Lux 1 - 2017</t>
  </si>
  <si>
    <t>Electra Cruiser Lux Fat Tire 1 Ladies - 2017</t>
  </si>
  <si>
    <t>Electra Girl's Hawaii 1 16" - 2017</t>
  </si>
  <si>
    <t>Electra Glam Punk 3i Ladies' - 2017</t>
  </si>
  <si>
    <t>Sun Bicycles Biscayne Tandem CB - 2017</t>
  </si>
  <si>
    <t>Sun Bicycles Boardwalk (24-inch Wheels) - 2017</t>
  </si>
  <si>
    <t>Sun Bicycles Brickell Tandem CB - 2017</t>
  </si>
  <si>
    <t>Electra Amsterdam Fashion 7i Ladies' - 2017</t>
  </si>
  <si>
    <t>Electra Amsterdam Original 3i Ladies' - 2017</t>
  </si>
  <si>
    <t>Trek Boy's Kickster - 2015/2017</t>
  </si>
  <si>
    <t>Sun Bicycles Lil Kitt'n - 2017</t>
  </si>
  <si>
    <t>Haro Downtown 16 - 2017</t>
  </si>
  <si>
    <t>Trek Girl's Kickster - 2017</t>
  </si>
  <si>
    <t>Trek Precaliber 12 Boys - 2017</t>
  </si>
  <si>
    <t>Trek Precaliber 12 Girls - 2017</t>
  </si>
  <si>
    <t>Trek Precaliber 16 Boys - 2017</t>
  </si>
  <si>
    <t>Trek Precaliber 16 Girls - 2017</t>
  </si>
  <si>
    <t>Trek Precaliber 24 (21-Speed) - Girls - 2017</t>
  </si>
  <si>
    <t>Haro Shredder 20 - 2017</t>
  </si>
  <si>
    <t>Haro Shredder 20 Girls - 2017</t>
  </si>
  <si>
    <t>Haro Shredder Pro 20 - 2017</t>
  </si>
  <si>
    <t>Electra Moto 3i (20-inch) - Boy's - 2017</t>
  </si>
  <si>
    <t>Electra Savannah 3i (20-inch) - Girl's - 2017</t>
  </si>
  <si>
    <t>Electra Straight 8 3i (20-inch) - Boy's - 2017</t>
  </si>
  <si>
    <t>Electra Sugar Skulls 1 (20-inch) - Girl's - 2017</t>
  </si>
  <si>
    <t>Electra Townie 3i EQ (20-inch) - Boys' - 2017</t>
  </si>
  <si>
    <t>Electra Townie 7D (20-inch) - Boys' - 2017</t>
  </si>
  <si>
    <t>Sun Bicycles Streamway 3 - 2017</t>
  </si>
  <si>
    <t>Sun Bicycles Streamway - 2017</t>
  </si>
  <si>
    <t>Sun Bicycles Streamway 7 - 2017</t>
  </si>
  <si>
    <t>Sun Bicycles Cruz 3 - Women's - 2017</t>
  </si>
  <si>
    <t>Sun Bicycles Cruz 7 - Women's - 2017</t>
  </si>
  <si>
    <t>Sun Bicycles Drifter 7 - 2017</t>
  </si>
  <si>
    <t>Sun Bicycles Drifter 7 - Women's - 2017</t>
  </si>
  <si>
    <t>Trek 820 - 2018</t>
  </si>
  <si>
    <t>Trek Marlin 5 - 2018</t>
  </si>
  <si>
    <t>Trek Marlin 6 - 2018</t>
  </si>
  <si>
    <t>Trek Fuel EX 8 29 - 2018</t>
  </si>
  <si>
    <t>Trek Marlin 7 - 2017/2018</t>
  </si>
  <si>
    <t>Trek Ticket S Frame - 2018</t>
  </si>
  <si>
    <t>Trek X-Caliber 8 - 2018</t>
  </si>
  <si>
    <t>Trek Kids' Neko - 2018</t>
  </si>
  <si>
    <t>Trek Fuel EX 7 29 - 2018</t>
  </si>
  <si>
    <t>Surly Krampus Frameset - 2018</t>
  </si>
  <si>
    <t>Surly Troll Frameset - 2018</t>
  </si>
  <si>
    <t>Trek Farley Carbon Frameset - 2018</t>
  </si>
  <si>
    <t>Surly Krampus - 2018</t>
  </si>
  <si>
    <t>Trek Kids' Dual Sport - 2018</t>
  </si>
  <si>
    <t>Surly Big Fat Dummy Frameset - 2018</t>
  </si>
  <si>
    <t>Surly Pack Rat Frameset - 2018</t>
  </si>
  <si>
    <t>Surly ECR 27.5 - 2018</t>
  </si>
  <si>
    <t>Trek X-Caliber 7 - 2018</t>
  </si>
  <si>
    <t>Trek Stache Carbon Frameset - 2018</t>
  </si>
  <si>
    <t>Heller Bloodhound Trail - 2018</t>
  </si>
  <si>
    <t>Trek Procal AL Frameset - 2018</t>
  </si>
  <si>
    <t>Trek Procaliber Frameset - 2018</t>
  </si>
  <si>
    <t>Trek Remedy 27.5 C Frameset - 2018</t>
  </si>
  <si>
    <t>Trek X-Caliber Frameset - 2018</t>
  </si>
  <si>
    <t>Trek Procaliber 6 - 2018</t>
  </si>
  <si>
    <t>Heller Shagamaw GX1 - 2018</t>
  </si>
  <si>
    <t>Trek Fuel EX 5 Plus - 2018</t>
  </si>
  <si>
    <t>Trek Remedy 7 27.5 - 2018</t>
  </si>
  <si>
    <t>Trek Remedy 9.8 27.5 - 2018</t>
  </si>
  <si>
    <t>Trek Stache 5 - 2018</t>
  </si>
  <si>
    <t>Trek Fuel EX 8 29 XT - 2018</t>
  </si>
  <si>
    <t>Trek Domane ALR 3 - 2018</t>
  </si>
  <si>
    <t>Trek Domane ALR 4 Disc - 2018</t>
  </si>
  <si>
    <t>Trek Domane ALR 5 Disc - 2018</t>
  </si>
  <si>
    <t>Trek Domane SLR 6 - 2018</t>
  </si>
  <si>
    <t>Trek Domane ALR 5 Gravel - 2018</t>
  </si>
  <si>
    <t>Trek Domane SL 8 Disc - 2018</t>
  </si>
  <si>
    <t>Trek Domane SLR 8 Disc - 2018</t>
  </si>
  <si>
    <t>Trek Emonda SL 7 - 2018</t>
  </si>
  <si>
    <t>Trek Domane ALR 4 Disc Women's - 2018</t>
  </si>
  <si>
    <t>Trek Domane SL 5 Disc Women's - 2018</t>
  </si>
  <si>
    <t>Trek Domane SL 7 Women's - 2018</t>
  </si>
  <si>
    <t>Trek Domane SLR 6 Disc Women's - 2018</t>
  </si>
  <si>
    <t>Trek Domane SLR 9 Disc - 2018</t>
  </si>
  <si>
    <t>Trek Domane SL Frameset - 2018</t>
  </si>
  <si>
    <t>Trek Domane SL Frameset Women's - 2018</t>
  </si>
  <si>
    <t>Trek CrossRip 1 - 2018</t>
  </si>
  <si>
    <t>Trek Emonda ALR 6 - 2018</t>
  </si>
  <si>
    <t>Trek Emonda SLR 6 - 2018</t>
  </si>
  <si>
    <t>Surly ECR - 2018</t>
  </si>
  <si>
    <t>Trek Emonda SL 6 Disc - 2018</t>
  </si>
  <si>
    <t>Surly Pack Rat - 2018</t>
  </si>
  <si>
    <t>Surly Straggler 650b - 2018</t>
  </si>
  <si>
    <t>Trek 1120 - 2018</t>
  </si>
  <si>
    <t>Trek Domane AL 2 Women's - 2018</t>
  </si>
  <si>
    <t>Surly ECR Frameset - 2018</t>
  </si>
  <si>
    <t>Surly Straggler - 2018</t>
  </si>
  <si>
    <t>Trek Emonda SLR 8 - 2018</t>
  </si>
  <si>
    <t>Trek CrossRip 2 - 2018</t>
  </si>
  <si>
    <t>Trek Domane SL 6 - 2018</t>
  </si>
  <si>
    <t>Trek Domane ALR Disc Frameset - 2018</t>
  </si>
  <si>
    <t>Trek Domane ALR Frameset - 2018</t>
  </si>
  <si>
    <t>Trek Domane SLR Disc Frameset - 2018</t>
  </si>
  <si>
    <t>Trek Domane SLR Frameset - 2018</t>
  </si>
  <si>
    <t>Trek Madone 9 Frameset - 2018</t>
  </si>
  <si>
    <t>Trek Domane SLR 6 Disc - 2018</t>
  </si>
  <si>
    <t>Trek Domane AL 2 - 2018</t>
  </si>
  <si>
    <t>Trek Domane AL 3 - 2018</t>
  </si>
  <si>
    <t>Trek Domane AL 3 Women's - 2018</t>
  </si>
  <si>
    <t>Trek Domane SL 5 - 2018</t>
  </si>
  <si>
    <t>Trek Domane SL 5 Disc - 2018</t>
  </si>
  <si>
    <t>Trek Domane SL 5 Women's - 2018</t>
  </si>
  <si>
    <t>Trek Domane SL 6 Disc - 2018</t>
  </si>
  <si>
    <t>Trek Conduit+ - 2018</t>
  </si>
  <si>
    <t>Trek CrossRip+ - 2018</t>
  </si>
  <si>
    <t>Trek Neko+ - 2018</t>
  </si>
  <si>
    <t>Trek XM700+ Lowstep - 2018</t>
  </si>
  <si>
    <t>Trek Lift+ Lowstep - 2018</t>
  </si>
  <si>
    <t>Trek Dual Sport+ - 2018</t>
  </si>
  <si>
    <t>Electra Loft Go! 8i - 2018</t>
  </si>
  <si>
    <t>Electra Townie Go! 8i - 2017/2018</t>
  </si>
  <si>
    <t>Trek Lift+ - 2018</t>
  </si>
  <si>
    <t>Trek XM700+ - 2018</t>
  </si>
  <si>
    <t>Electra Townie Go! 8i Ladies' - 2018</t>
  </si>
  <si>
    <t>Trek Verve+ - 2018</t>
  </si>
  <si>
    <t>Trek Verve+ Lowstep - 2018</t>
  </si>
  <si>
    <t>Electra Townie Commute Go! - 2018</t>
  </si>
  <si>
    <t>Electra Townie Commute Go! Ladies' - 2018</t>
  </si>
  <si>
    <t>Trek Powerfly 5 - 2018</t>
  </si>
  <si>
    <t>Trek Powerfly 5 FS - 2018</t>
  </si>
  <si>
    <t>Trek Powerfly 5 Women's - 2018</t>
  </si>
  <si>
    <t>Trek Powerfly 7 FS - 2018</t>
  </si>
  <si>
    <t>Trek Super Commuter+ 7 - 2018</t>
  </si>
  <si>
    <t>Trek Super Commuter+ 8S - 2018</t>
  </si>
  <si>
    <t>Trek Boone 5 Disc - 2018</t>
  </si>
  <si>
    <t>Trek Boone 7 Disc - 2018</t>
  </si>
  <si>
    <t>Trek Crockett 5 Disc - 2018</t>
  </si>
  <si>
    <t>Trek Crockett 7 Disc - 2018</t>
  </si>
  <si>
    <t>Electra Townie Original 21D - 2018</t>
  </si>
  <si>
    <t>Electra Cruiser 1 - 2016/2017/2018</t>
  </si>
  <si>
    <t>Electra Tiger Shark 3i - 2018</t>
  </si>
  <si>
    <t>Electra Queen of Hearts 3i - 2018</t>
  </si>
  <si>
    <t>Electra Super Moto 8i - 2018</t>
  </si>
  <si>
    <t>Electra Straight 8 3i - 2018</t>
  </si>
  <si>
    <t>Electra Cruiser 7D - 2016/2017/2018</t>
  </si>
  <si>
    <t>Electra Moto 3i - 2018</t>
  </si>
  <si>
    <t>Electra Cruiser 1 Ladies' - 2018</t>
  </si>
  <si>
    <t>Electra Cruiser 7D Ladies' - 2016/2018</t>
  </si>
  <si>
    <t>Electra Cruiser 1 Tall - 2016/2018</t>
  </si>
  <si>
    <t>Electra Cruiser Lux 3i - 2018</t>
  </si>
  <si>
    <t>Electra Cruiser Lux 7D - 2018</t>
  </si>
  <si>
    <t>Electra Delivery 3i - 2016/2017/2018</t>
  </si>
  <si>
    <t>Electra Townie Original 21D EQ - 2017/2018</t>
  </si>
  <si>
    <t>Electra Cruiser 7D (24-Inch) Ladies' - 2016/2018</t>
  </si>
  <si>
    <t>Electra Cruiser 7D Tall - 2016/2018</t>
  </si>
  <si>
    <t>Electra Cruiser Lux 1 - 2016/2018</t>
  </si>
  <si>
    <t>Electra Cruiser Lux 1 Ladies' - 2018</t>
  </si>
  <si>
    <t>Electra Cruiser Lux 3i Ladies' - 2018</t>
  </si>
  <si>
    <t>Electra Cruiser Lux 7D Ladies' - 2018</t>
  </si>
  <si>
    <t>Electra Cruiser Lux Fat Tire 7D - 2018</t>
  </si>
  <si>
    <t>Electra Daydreamer 3i Ladies' - 2018</t>
  </si>
  <si>
    <t>Electra Koa 3i Ladies' - 2018</t>
  </si>
  <si>
    <t>Electra Morningstar 3i Ladies' - 2018</t>
  </si>
  <si>
    <t>Electra Relic 3i - 2018</t>
  </si>
  <si>
    <t>Electra Townie Balloon 8D EQ - 2016/2017/2018</t>
  </si>
  <si>
    <t>Electra Townie Balloon 8D EQ Ladies' - 2016/2017/2018</t>
  </si>
  <si>
    <t>Electra Townie Commute 27D Ladies - 2018</t>
  </si>
  <si>
    <t>Electra Townie Commute 8D - 2018</t>
  </si>
  <si>
    <t>Electra Townie Commute 8D Ladies' - 2018</t>
  </si>
  <si>
    <t>Electra Townie Original 21D EQ Ladies' - 2018</t>
  </si>
  <si>
    <t>Electra Townie Original 21D Ladies' - 2018</t>
  </si>
  <si>
    <t>Electra Townie Original 3i EQ - 2017/2018</t>
  </si>
  <si>
    <t>Electra Townie Original 3i EQ Ladies' - 2018</t>
  </si>
  <si>
    <t>Electra Townie Original 7D EQ - 2018</t>
  </si>
  <si>
    <t>Electra Townie Original 7D EQ Ladies' - 2017/2018</t>
  </si>
  <si>
    <t>Electra White Water 3i - 2018</t>
  </si>
  <si>
    <t>Electra Townie Balloon 3i EQ - 2017/2018</t>
  </si>
  <si>
    <t>Electra Townie Balloon 7i EQ Ladies' - 2017/2018</t>
  </si>
  <si>
    <t>Electra Townie Commute 27D - 2018</t>
  </si>
  <si>
    <t>Electra Amsterdam Fashion 3i Ladies' - 2017/2018</t>
  </si>
  <si>
    <t>Electra Amsterdam Royal 8i - 2017/2018</t>
  </si>
  <si>
    <t>Electra Amsterdam Royal 8i Ladies - 2018</t>
  </si>
  <si>
    <t>Electra Townie Balloon 3i EQ Ladies' - 2018</t>
  </si>
  <si>
    <t>Electra Townie Balloon 7i EQ - 2018</t>
  </si>
  <si>
    <t>Trek MT 201 - 2018</t>
  </si>
  <si>
    <t>Strider Classic 12 Balance Bike - 2018</t>
  </si>
  <si>
    <t>Strider Sport 16 - 2018</t>
  </si>
  <si>
    <t>Strider Strider 20 Sport - 2018</t>
  </si>
  <si>
    <t>Trek Superfly 20 - 2018</t>
  </si>
  <si>
    <t>Trek Precaliber 12 Girl's - 2018</t>
  </si>
  <si>
    <t>Trek Kickster - 2018</t>
  </si>
  <si>
    <t>Trek Precaliber 12 Boy's - 2018</t>
  </si>
  <si>
    <t>Trek Precaliber 16 Boy's - 2018</t>
  </si>
  <si>
    <t>Trek Precaliber 16 Girl's - 2018</t>
  </si>
  <si>
    <t>Trek Precaliber 20 6-speed Boy's - 2018</t>
  </si>
  <si>
    <t>Trek Precaliber 20 6-speed Girl's - 2018</t>
  </si>
  <si>
    <t>Trek Precaliber 20 Boy's - 2018</t>
  </si>
  <si>
    <t>Trek Precaliber 20 Girl's - 2018</t>
  </si>
  <si>
    <t>Trek Precaliber 24 (7-Speed) - Boys - 2018</t>
  </si>
  <si>
    <t>Trek Precaliber 24 21-speed Boy's - 2018</t>
  </si>
  <si>
    <t>Trek Precaliber 24 21-speed Girl's - 2018</t>
  </si>
  <si>
    <t>Trek Precaliber 24 7-speed Girl's - 2018</t>
  </si>
  <si>
    <t>Trek Superfly 24 - 2017/2018</t>
  </si>
  <si>
    <t>Electra Cyclosaurus 1 (16-inch) - Boy's - 2018</t>
  </si>
  <si>
    <t>Electra Heartchya 1 (20-inch) - Girl's - 2018</t>
  </si>
  <si>
    <t>Electra Savannah 1 (20-inch) - Girl's - 2018</t>
  </si>
  <si>
    <t>Electra Soft Serve 1 (16-inch) - Girl's - 2018</t>
  </si>
  <si>
    <t>Electra Starship 1 16" - 2018</t>
  </si>
  <si>
    <t>Electra Straight 8 1 (16-inch) - Boy's - 2018</t>
  </si>
  <si>
    <t>Electra Straight 8 1 (20-inch) - Boy's - 2018</t>
  </si>
  <si>
    <t>Electra Superbolt 1 20" - 2018</t>
  </si>
  <si>
    <t>Electra Superbolt 3i 20" - 2018</t>
  </si>
  <si>
    <t>Electra Sweet Ride 1 (20-inch) - Girl's - 2018</t>
  </si>
  <si>
    <t>Electra Sweet Ride 3i (20-inch) - Girls' - 2018</t>
  </si>
  <si>
    <t>Electra Tiger Shark 1 (20-inch) - Boys' - 2018</t>
  </si>
  <si>
    <t>Electra Tiger Shark 3i (20-inch) - Boys' - 2018</t>
  </si>
  <si>
    <t>Electra Treasure 1 20" - 2018</t>
  </si>
  <si>
    <t>Electra Treasure 3i 20" - 2018</t>
  </si>
  <si>
    <t>Electra Under-The-Sea 1 16" - 2018</t>
  </si>
  <si>
    <t>Electra Water Lily 1 (16-inch) - Girl's - 2018</t>
  </si>
  <si>
    <t>Electra Townie Original 1 - 2018</t>
  </si>
  <si>
    <t>Electra Townie Original 1 Ladies' - 2018</t>
  </si>
  <si>
    <t>Trek Checkpoint ALR 4 Women's - 2019</t>
  </si>
  <si>
    <t>Trek Checkpoint ALR 5 - 2019</t>
  </si>
  <si>
    <t>Trek Checkpoint ALR 5 Women's - 2019</t>
  </si>
  <si>
    <t>Trek Checkpoint SL 5 Women's - 2019</t>
  </si>
  <si>
    <t>Trek Checkpoint SL 6 - 2019</t>
  </si>
  <si>
    <t>Trek Checkpoint ALR Frameset - 2019</t>
  </si>
  <si>
    <t>Category_name</t>
  </si>
  <si>
    <t>category_name</t>
  </si>
  <si>
    <t>Children Bicycles</t>
  </si>
  <si>
    <t>Comfort Bicycles</t>
  </si>
  <si>
    <t>Cruisers Bicycles</t>
  </si>
  <si>
    <t>Cyclocross Bicycles</t>
  </si>
  <si>
    <t>Electric Bikes</t>
  </si>
  <si>
    <t>Mountain Bikes</t>
  </si>
  <si>
    <t>Road Bikes</t>
  </si>
  <si>
    <t>Row Labels</t>
  </si>
  <si>
    <t>Grand Total</t>
  </si>
  <si>
    <t>Product_Name</t>
  </si>
  <si>
    <t>Category Name</t>
  </si>
  <si>
    <t xml:space="preserve">Sum of Total price </t>
  </si>
  <si>
    <t xml:space="preserve"> </t>
  </si>
  <si>
    <t>Order_Id</t>
  </si>
  <si>
    <t>Item_Id</t>
  </si>
  <si>
    <t>Product_Id</t>
  </si>
  <si>
    <t>Quantity</t>
  </si>
  <si>
    <t>List_Price</t>
  </si>
  <si>
    <t>Discount</t>
  </si>
  <si>
    <t xml:space="preserve">Total Price </t>
  </si>
  <si>
    <t>customer_id</t>
  </si>
  <si>
    <t>store_id</t>
  </si>
  <si>
    <t>staff_id</t>
  </si>
  <si>
    <t>first_name</t>
  </si>
  <si>
    <t>last_name</t>
  </si>
  <si>
    <t>Johnathan</t>
  </si>
  <si>
    <t>Velazquez</t>
  </si>
  <si>
    <t>Jaqueline</t>
  </si>
  <si>
    <t>Cummings</t>
  </si>
  <si>
    <t>Joshua</t>
  </si>
  <si>
    <t>Robertson</t>
  </si>
  <si>
    <t>Nova</t>
  </si>
  <si>
    <t>Hess</t>
  </si>
  <si>
    <t>Arla</t>
  </si>
  <si>
    <t>Ellis</t>
  </si>
  <si>
    <t>Sharyn</t>
  </si>
  <si>
    <t>Hopkins</t>
  </si>
  <si>
    <t>Laureen</t>
  </si>
  <si>
    <t>Paul</t>
  </si>
  <si>
    <t>Leslie</t>
  </si>
  <si>
    <t>Higgins</t>
  </si>
  <si>
    <t>Neil</t>
  </si>
  <si>
    <t>Mccall</t>
  </si>
  <si>
    <t>Alane</t>
  </si>
  <si>
    <t>Munoz</t>
  </si>
  <si>
    <t>Tarra</t>
  </si>
  <si>
    <t>Guerrero</t>
  </si>
  <si>
    <t>Marvin</t>
  </si>
  <si>
    <t>Mullins</t>
  </si>
  <si>
    <t>Patience</t>
  </si>
  <si>
    <t>Clayton</t>
  </si>
  <si>
    <t>Maribel</t>
  </si>
  <si>
    <t>William</t>
  </si>
  <si>
    <t>Ellsworth</t>
  </si>
  <si>
    <t>Michael</t>
  </si>
  <si>
    <t>Lea</t>
  </si>
  <si>
    <t>Key</t>
  </si>
  <si>
    <t>Sindy</t>
  </si>
  <si>
    <t>Anderson</t>
  </si>
  <si>
    <t>Lanita</t>
  </si>
  <si>
    <t>Burton</t>
  </si>
  <si>
    <t>Norine</t>
  </si>
  <si>
    <t>Huffman</t>
  </si>
  <si>
    <t>Randee</t>
  </si>
  <si>
    <t>Pitts</t>
  </si>
  <si>
    <t>Neoma</t>
  </si>
  <si>
    <t>Daugherty</t>
  </si>
  <si>
    <t>Tangela</t>
  </si>
  <si>
    <t>Hurley</t>
  </si>
  <si>
    <t>Drucilla</t>
  </si>
  <si>
    <t>Gilliam</t>
  </si>
  <si>
    <t>Ashton</t>
  </si>
  <si>
    <t>Lott</t>
  </si>
  <si>
    <t>Sam</t>
  </si>
  <si>
    <t>Lester</t>
  </si>
  <si>
    <t>Jackeline</t>
  </si>
  <si>
    <t>Colon</t>
  </si>
  <si>
    <t>Pamala</t>
  </si>
  <si>
    <t>Henry</t>
  </si>
  <si>
    <t>Eleni</t>
  </si>
  <si>
    <t>Gordon</t>
  </si>
  <si>
    <t>Barry</t>
  </si>
  <si>
    <t>Yvone</t>
  </si>
  <si>
    <t>Edgar</t>
  </si>
  <si>
    <t>Quinn</t>
  </si>
  <si>
    <t>Kimbery</t>
  </si>
  <si>
    <t>Nieves</t>
  </si>
  <si>
    <t>Verona</t>
  </si>
  <si>
    <t>Sarai</t>
  </si>
  <si>
    <t>Mckee</t>
  </si>
  <si>
    <t>Neville</t>
  </si>
  <si>
    <t>Mcclain</t>
  </si>
  <si>
    <t>Shantel</t>
  </si>
  <si>
    <t>Gregory</t>
  </si>
  <si>
    <t>Tomika</t>
  </si>
  <si>
    <t>Larson</t>
  </si>
  <si>
    <t>Lashandra</t>
  </si>
  <si>
    <t>Turner</t>
  </si>
  <si>
    <t>Travis</t>
  </si>
  <si>
    <t>Whitley</t>
  </si>
  <si>
    <t>Darren</t>
  </si>
  <si>
    <t>Witt</t>
  </si>
  <si>
    <t>Ingeborg</t>
  </si>
  <si>
    <t>Ellison</t>
  </si>
  <si>
    <t>Corene</t>
  </si>
  <si>
    <t>Swanson</t>
  </si>
  <si>
    <t>Elana</t>
  </si>
  <si>
    <t>Miles</t>
  </si>
  <si>
    <t>Olympia</t>
  </si>
  <si>
    <t>Figueroa</t>
  </si>
  <si>
    <t>Carissa</t>
  </si>
  <si>
    <t>Cross</t>
  </si>
  <si>
    <t>Eldridge</t>
  </si>
  <si>
    <t>Greer</t>
  </si>
  <si>
    <t>Berg</t>
  </si>
  <si>
    <t>Josephine</t>
  </si>
  <si>
    <t>Dale</t>
  </si>
  <si>
    <t>Taisha</t>
  </si>
  <si>
    <t>Vang</t>
  </si>
  <si>
    <t>Silas</t>
  </si>
  <si>
    <t>Tate</t>
  </si>
  <si>
    <t>Jamaal</t>
  </si>
  <si>
    <t>Baker</t>
  </si>
  <si>
    <t>Twana</t>
  </si>
  <si>
    <t>Arnold</t>
  </si>
  <si>
    <t>Margit</t>
  </si>
  <si>
    <t>Osborn</t>
  </si>
  <si>
    <t>Inge</t>
  </si>
  <si>
    <t>Olsen</t>
  </si>
  <si>
    <t>Chanel</t>
  </si>
  <si>
    <t>May</t>
  </si>
  <si>
    <t>Nathaniel</t>
  </si>
  <si>
    <t>Davidson</t>
  </si>
  <si>
    <t>Dalia</t>
  </si>
  <si>
    <t>Carson</t>
  </si>
  <si>
    <t>Tiana</t>
  </si>
  <si>
    <t>Henderson</t>
  </si>
  <si>
    <t>Rodney</t>
  </si>
  <si>
    <t>Odom</t>
  </si>
  <si>
    <t>Joesph</t>
  </si>
  <si>
    <t>Delacruz</t>
  </si>
  <si>
    <t>Mark</t>
  </si>
  <si>
    <t>Garrett</t>
  </si>
  <si>
    <t>Denis</t>
  </si>
  <si>
    <t>Logan</t>
  </si>
  <si>
    <t>Dann</t>
  </si>
  <si>
    <t>Huff</t>
  </si>
  <si>
    <t>Corine</t>
  </si>
  <si>
    <t>Stuart</t>
  </si>
  <si>
    <t>Serafina</t>
  </si>
  <si>
    <t>Clemons</t>
  </si>
  <si>
    <t>Susannah</t>
  </si>
  <si>
    <t>Fields</t>
  </si>
  <si>
    <t>Lazaro</t>
  </si>
  <si>
    <t>Moran</t>
  </si>
  <si>
    <t>Kristen</t>
  </si>
  <si>
    <t>Alvarez</t>
  </si>
  <si>
    <t>Ophelia</t>
  </si>
  <si>
    <t>Decker</t>
  </si>
  <si>
    <t>Cleotilde</t>
  </si>
  <si>
    <t>Booth</t>
  </si>
  <si>
    <t>Cathey</t>
  </si>
  <si>
    <t>Lamb</t>
  </si>
  <si>
    <t>Cesar</t>
  </si>
  <si>
    <t>Wilkins</t>
  </si>
  <si>
    <t>Gabriel</t>
  </si>
  <si>
    <t>Wagner</t>
  </si>
  <si>
    <t>Mariela</t>
  </si>
  <si>
    <t>Euna</t>
  </si>
  <si>
    <t>Lopez</t>
  </si>
  <si>
    <t>Genoveva</t>
  </si>
  <si>
    <t>Baldwin</t>
  </si>
  <si>
    <t>Rochelle</t>
  </si>
  <si>
    <t>Ward</t>
  </si>
  <si>
    <t>Trinidad</t>
  </si>
  <si>
    <t>Chapman</t>
  </si>
  <si>
    <t>Ellena</t>
  </si>
  <si>
    <t>Clements</t>
  </si>
  <si>
    <t>Jeannie</t>
  </si>
  <si>
    <t>Wilcox</t>
  </si>
  <si>
    <t>Max</t>
  </si>
  <si>
    <t>Charles</t>
  </si>
  <si>
    <t>Bronwyn</t>
  </si>
  <si>
    <t>Vargas</t>
  </si>
  <si>
    <t>Gertrude</t>
  </si>
  <si>
    <t>Terry</t>
  </si>
  <si>
    <t>Christia</t>
  </si>
  <si>
    <t>Aaron</t>
  </si>
  <si>
    <t>Knapp</t>
  </si>
  <si>
    <t>Lavette</t>
  </si>
  <si>
    <t>Wright</t>
  </si>
  <si>
    <t>Rosa</t>
  </si>
  <si>
    <t>Kinney</t>
  </si>
  <si>
    <t>Rodolfo</t>
  </si>
  <si>
    <t>Buck</t>
  </si>
  <si>
    <t>Calandra</t>
  </si>
  <si>
    <t>Stanton</t>
  </si>
  <si>
    <t>Romaine</t>
  </si>
  <si>
    <t>Haley</t>
  </si>
  <si>
    <t>Catrice</t>
  </si>
  <si>
    <t>Hicks</t>
  </si>
  <si>
    <t>Kimberli</t>
  </si>
  <si>
    <t>Cline</t>
  </si>
  <si>
    <t>Cindie</t>
  </si>
  <si>
    <t>Franklin</t>
  </si>
  <si>
    <t>Thurman</t>
  </si>
  <si>
    <t>Casey</t>
  </si>
  <si>
    <t>Gill</t>
  </si>
  <si>
    <t>Keitha</t>
  </si>
  <si>
    <t>Black</t>
  </si>
  <si>
    <t>Alpha</t>
  </si>
  <si>
    <t>King</t>
  </si>
  <si>
    <t>Leticia</t>
  </si>
  <si>
    <t>Snyder</t>
  </si>
  <si>
    <t>Rikki</t>
  </si>
  <si>
    <t>Morrow</t>
  </si>
  <si>
    <t>Luke</t>
  </si>
  <si>
    <t>Kramer</t>
  </si>
  <si>
    <t>Katheleen</t>
  </si>
  <si>
    <t>Marks</t>
  </si>
  <si>
    <t>Trisha</t>
  </si>
  <si>
    <t>Johnson</t>
  </si>
  <si>
    <t>Brigida</t>
  </si>
  <si>
    <t>Latasha</t>
  </si>
  <si>
    <t>Hays</t>
  </si>
  <si>
    <t>Vikki</t>
  </si>
  <si>
    <t>Erickson</t>
  </si>
  <si>
    <t>Valery</t>
  </si>
  <si>
    <t>Saunders</t>
  </si>
  <si>
    <t>Kiara</t>
  </si>
  <si>
    <t>Deleon</t>
  </si>
  <si>
    <t>Robby</t>
  </si>
  <si>
    <t>Sykes</t>
  </si>
  <si>
    <t>Ben</t>
  </si>
  <si>
    <t>Stone</t>
  </si>
  <si>
    <t>Launa</t>
  </si>
  <si>
    <t>Hull</t>
  </si>
  <si>
    <t>Zulema</t>
  </si>
  <si>
    <t>Browning</t>
  </si>
  <si>
    <t>Micki</t>
  </si>
  <si>
    <t>Rutledge</t>
  </si>
  <si>
    <t>Theresia</t>
  </si>
  <si>
    <t>Barron</t>
  </si>
  <si>
    <t>Benton</t>
  </si>
  <si>
    <t>Starr</t>
  </si>
  <si>
    <t>Schneider</t>
  </si>
  <si>
    <t>Burma</t>
  </si>
  <si>
    <t>Summers</t>
  </si>
  <si>
    <t>Gwenn</t>
  </si>
  <si>
    <t>Melton</t>
  </si>
  <si>
    <t>Danille</t>
  </si>
  <si>
    <t>Mcfarland</t>
  </si>
  <si>
    <t>Bryce</t>
  </si>
  <si>
    <t>Monroe</t>
  </si>
  <si>
    <t>Sharie</t>
  </si>
  <si>
    <t>Wilder</t>
  </si>
  <si>
    <t>Wallace</t>
  </si>
  <si>
    <t>Lane</t>
  </si>
  <si>
    <t>Lecia</t>
  </si>
  <si>
    <t>Hancock</t>
  </si>
  <si>
    <t>Elouise</t>
  </si>
  <si>
    <t>Fry</t>
  </si>
  <si>
    <t>Laverne</t>
  </si>
  <si>
    <t>Craft</t>
  </si>
  <si>
    <t>Shenna</t>
  </si>
  <si>
    <t>Espinoza</t>
  </si>
  <si>
    <t>Chelsey</t>
  </si>
  <si>
    <t>Boyd</t>
  </si>
  <si>
    <t>Lissa</t>
  </si>
  <si>
    <t>Armand</t>
  </si>
  <si>
    <t>Whitehead</t>
  </si>
  <si>
    <t>Marcelino</t>
  </si>
  <si>
    <t>Mcbride</t>
  </si>
  <si>
    <t>Hortencia</t>
  </si>
  <si>
    <t>Graham</t>
  </si>
  <si>
    <t>Monika</t>
  </si>
  <si>
    <t>Jerome</t>
  </si>
  <si>
    <t>Bolton</t>
  </si>
  <si>
    <t>Tuan</t>
  </si>
  <si>
    <t>Wolfe</t>
  </si>
  <si>
    <t>Alexandria</t>
  </si>
  <si>
    <t>Zamora</t>
  </si>
  <si>
    <t>Gena</t>
  </si>
  <si>
    <t>Owens</t>
  </si>
  <si>
    <t>Jina</t>
  </si>
  <si>
    <t>Cooper</t>
  </si>
  <si>
    <t>Katharine</t>
  </si>
  <si>
    <t>Herrera</t>
  </si>
  <si>
    <t>Ezra</t>
  </si>
  <si>
    <t>Silva</t>
  </si>
  <si>
    <t>Devin</t>
  </si>
  <si>
    <t>Erlene</t>
  </si>
  <si>
    <t>Cook</t>
  </si>
  <si>
    <t>Regine</t>
  </si>
  <si>
    <t>Gonzales</t>
  </si>
  <si>
    <t>Merlin</t>
  </si>
  <si>
    <t>Foreman</t>
  </si>
  <si>
    <t>Hubert</t>
  </si>
  <si>
    <t>Reilly</t>
  </si>
  <si>
    <t>Lavonne</t>
  </si>
  <si>
    <t>Keturah</t>
  </si>
  <si>
    <t>Massey</t>
  </si>
  <si>
    <t>Diana</t>
  </si>
  <si>
    <t>Guerra</t>
  </si>
  <si>
    <t>Senaida</t>
  </si>
  <si>
    <t>Thompson</t>
  </si>
  <si>
    <t>Han</t>
  </si>
  <si>
    <t>Reena</t>
  </si>
  <si>
    <t>Katina</t>
  </si>
  <si>
    <t>Mcintosh</t>
  </si>
  <si>
    <t>Parker</t>
  </si>
  <si>
    <t>Prince</t>
  </si>
  <si>
    <t>Edda</t>
  </si>
  <si>
    <t>Young</t>
  </si>
  <si>
    <t>Dione</t>
  </si>
  <si>
    <t>Pratt</t>
  </si>
  <si>
    <t>Loni</t>
  </si>
  <si>
    <t>Duncan</t>
  </si>
  <si>
    <t>Sheri</t>
  </si>
  <si>
    <t>Cole</t>
  </si>
  <si>
    <t>Mozelle</t>
  </si>
  <si>
    <t>Carter</t>
  </si>
  <si>
    <t>Dacia</t>
  </si>
  <si>
    <t>Araceli</t>
  </si>
  <si>
    <t>Golden</t>
  </si>
  <si>
    <t>Harris</t>
  </si>
  <si>
    <t>Pittman</t>
  </si>
  <si>
    <t>Kasie</t>
  </si>
  <si>
    <t>Rodriquez</t>
  </si>
  <si>
    <t>Williemae</t>
  </si>
  <si>
    <t>Holloway</t>
  </si>
  <si>
    <t>Magdalena</t>
  </si>
  <si>
    <t>Sherman</t>
  </si>
  <si>
    <t>Leonore</t>
  </si>
  <si>
    <t>Dorsey</t>
  </si>
  <si>
    <t>Adriene</t>
  </si>
  <si>
    <t>Rivera</t>
  </si>
  <si>
    <t>Abbey</t>
  </si>
  <si>
    <t>Pugh</t>
  </si>
  <si>
    <t>Rico</t>
  </si>
  <si>
    <t>Salas</t>
  </si>
  <si>
    <t>Kandace</t>
  </si>
  <si>
    <t>Ayers</t>
  </si>
  <si>
    <t>Carie</t>
  </si>
  <si>
    <t>Kidd</t>
  </si>
  <si>
    <t>Aubrey</t>
  </si>
  <si>
    <t>Durham</t>
  </si>
  <si>
    <t>Elvera</t>
  </si>
  <si>
    <t>Peck</t>
  </si>
  <si>
    <t>Cindi</t>
  </si>
  <si>
    <t>Destiny</t>
  </si>
  <si>
    <t>Goodman</t>
  </si>
  <si>
    <t>Steve</t>
  </si>
  <si>
    <t>Bender</t>
  </si>
  <si>
    <t>Melba</t>
  </si>
  <si>
    <t>Wilkinson</t>
  </si>
  <si>
    <t>Lucy</t>
  </si>
  <si>
    <t>Woods</t>
  </si>
  <si>
    <t>Graig</t>
  </si>
  <si>
    <t>Roth</t>
  </si>
  <si>
    <t>Shery</t>
  </si>
  <si>
    <t>Acosta</t>
  </si>
  <si>
    <t>Kristel</t>
  </si>
  <si>
    <t>Bullock</t>
  </si>
  <si>
    <t>Latosha</t>
  </si>
  <si>
    <t>Dalton</t>
  </si>
  <si>
    <t>Phylis</t>
  </si>
  <si>
    <t>Adkins</t>
  </si>
  <si>
    <t>Adelle</t>
  </si>
  <si>
    <t>Larsen</t>
  </si>
  <si>
    <t>Brianna</t>
  </si>
  <si>
    <t>Moss</t>
  </si>
  <si>
    <t>Wall</t>
  </si>
  <si>
    <t>Waldo</t>
  </si>
  <si>
    <t>Hart</t>
  </si>
  <si>
    <t>Jeniffer</t>
  </si>
  <si>
    <t>Ratliff</t>
  </si>
  <si>
    <t>Lorrie</t>
  </si>
  <si>
    <t>Pollard</t>
  </si>
  <si>
    <t>Allie</t>
  </si>
  <si>
    <t>Conley</t>
  </si>
  <si>
    <t>Violet</t>
  </si>
  <si>
    <t>Valenzuela</t>
  </si>
  <si>
    <t>Ruthanne</t>
  </si>
  <si>
    <t>Hoover</t>
  </si>
  <si>
    <t>Viva</t>
  </si>
  <si>
    <t>Dawson</t>
  </si>
  <si>
    <t>Trena</t>
  </si>
  <si>
    <t>Rogers</t>
  </si>
  <si>
    <t>Carroll</t>
  </si>
  <si>
    <t>Kelly</t>
  </si>
  <si>
    <t>Kasha</t>
  </si>
  <si>
    <t>Sullivan</t>
  </si>
  <si>
    <t>Tammie</t>
  </si>
  <si>
    <t>Cherry</t>
  </si>
  <si>
    <t>Erlinda</t>
  </si>
  <si>
    <t>Nielsen</t>
  </si>
  <si>
    <t>Allison</t>
  </si>
  <si>
    <t>Nolan</t>
  </si>
  <si>
    <t>Marisa</t>
  </si>
  <si>
    <t>Chambers</t>
  </si>
  <si>
    <t>Lanelle</t>
  </si>
  <si>
    <t>Brenda</t>
  </si>
  <si>
    <t>Joi</t>
  </si>
  <si>
    <t>Reeves</t>
  </si>
  <si>
    <t>Henrietta</t>
  </si>
  <si>
    <t>Danilo</t>
  </si>
  <si>
    <t>Holmes</t>
  </si>
  <si>
    <t>Myrtie</t>
  </si>
  <si>
    <t>James</t>
  </si>
  <si>
    <t>Tania</t>
  </si>
  <si>
    <t>Marget</t>
  </si>
  <si>
    <t>Hodge</t>
  </si>
  <si>
    <t>Leanna</t>
  </si>
  <si>
    <t>Manning</t>
  </si>
  <si>
    <t>Clarita</t>
  </si>
  <si>
    <t>Curry</t>
  </si>
  <si>
    <t>Lynn</t>
  </si>
  <si>
    <t>Mcmahon</t>
  </si>
  <si>
    <t>Penney</t>
  </si>
  <si>
    <t>Hall</t>
  </si>
  <si>
    <t>Lanora</t>
  </si>
  <si>
    <t>Robbins</t>
  </si>
  <si>
    <t>Lilliam</t>
  </si>
  <si>
    <t>Kaci</t>
  </si>
  <si>
    <t>Gallegos</t>
  </si>
  <si>
    <t>Kelsey</t>
  </si>
  <si>
    <t>Noble</t>
  </si>
  <si>
    <t>Angelina</t>
  </si>
  <si>
    <t>Lloyd</t>
  </si>
  <si>
    <t>Sebrina</t>
  </si>
  <si>
    <t>Vernetta</t>
  </si>
  <si>
    <t>Banks</t>
  </si>
  <si>
    <t>Inez</t>
  </si>
  <si>
    <t>Snider</t>
  </si>
  <si>
    <t>Glover</t>
  </si>
  <si>
    <t>Donovan</t>
  </si>
  <si>
    <t>Cantrell</t>
  </si>
  <si>
    <t>Gertrud</t>
  </si>
  <si>
    <t>Rhodes</t>
  </si>
  <si>
    <t>Veronique</t>
  </si>
  <si>
    <t>Fulton</t>
  </si>
  <si>
    <t>Carola</t>
  </si>
  <si>
    <t>Fransisca</t>
  </si>
  <si>
    <t>Nicholson</t>
  </si>
  <si>
    <t>Tony</t>
  </si>
  <si>
    <t>Kirstie</t>
  </si>
  <si>
    <t>Vazquez</t>
  </si>
  <si>
    <t>Jamika</t>
  </si>
  <si>
    <t>Blanchard</t>
  </si>
  <si>
    <t>Evelina</t>
  </si>
  <si>
    <t>Ryan</t>
  </si>
  <si>
    <t>Rosamaria</t>
  </si>
  <si>
    <t>Meyer</t>
  </si>
  <si>
    <t>Latashia</t>
  </si>
  <si>
    <t>Melita</t>
  </si>
  <si>
    <t>Dominguez</t>
  </si>
  <si>
    <t>Merrie</t>
  </si>
  <si>
    <t>Fowler</t>
  </si>
  <si>
    <t>Eli</t>
  </si>
  <si>
    <t>Contreras</t>
  </si>
  <si>
    <t>Stephaine</t>
  </si>
  <si>
    <t>Riddle</t>
  </si>
  <si>
    <t>Carman</t>
  </si>
  <si>
    <t>Hardy</t>
  </si>
  <si>
    <t>Annett</t>
  </si>
  <si>
    <t>Rush</t>
  </si>
  <si>
    <t>Lashawn</t>
  </si>
  <si>
    <t>Ortiz</t>
  </si>
  <si>
    <t>Kanesha</t>
  </si>
  <si>
    <t>Vega</t>
  </si>
  <si>
    <t>Divina</t>
  </si>
  <si>
    <t>Madden</t>
  </si>
  <si>
    <t>Almeta</t>
  </si>
  <si>
    <t>Benjamin</t>
  </si>
  <si>
    <t>Barrett</t>
  </si>
  <si>
    <t>Sanders</t>
  </si>
  <si>
    <t>Venus</t>
  </si>
  <si>
    <t>Hewitt</t>
  </si>
  <si>
    <t>Scarlet</t>
  </si>
  <si>
    <t>Yates</t>
  </si>
  <si>
    <t>Caren</t>
  </si>
  <si>
    <t>Stephens</t>
  </si>
  <si>
    <t>Joann</t>
  </si>
  <si>
    <t>Barber</t>
  </si>
  <si>
    <t>Kimberley</t>
  </si>
  <si>
    <t>Reynolds</t>
  </si>
  <si>
    <t>Miquel</t>
  </si>
  <si>
    <t>Neal</t>
  </si>
  <si>
    <t>Weldon</t>
  </si>
  <si>
    <t>Arlena</t>
  </si>
  <si>
    <t>Buckner</t>
  </si>
  <si>
    <t>Becker</t>
  </si>
  <si>
    <t>Earline</t>
  </si>
  <si>
    <t>Faustino</t>
  </si>
  <si>
    <t>Rodgers</t>
  </si>
  <si>
    <t>Theo</t>
  </si>
  <si>
    <t>Reese</t>
  </si>
  <si>
    <t>Joeann</t>
  </si>
  <si>
    <t>Garrison</t>
  </si>
  <si>
    <t>Cecil</t>
  </si>
  <si>
    <t>Hopper</t>
  </si>
  <si>
    <t>Ginette</t>
  </si>
  <si>
    <t>Edwards</t>
  </si>
  <si>
    <t>Yvette</t>
  </si>
  <si>
    <t>Pasquale</t>
  </si>
  <si>
    <t>Hogan</t>
  </si>
  <si>
    <t>Matilda</t>
  </si>
  <si>
    <t>Ai</t>
  </si>
  <si>
    <t>Forbes</t>
  </si>
  <si>
    <t>Charolette</t>
  </si>
  <si>
    <t>Rice</t>
  </si>
  <si>
    <t>Arnita</t>
  </si>
  <si>
    <t>Thomas</t>
  </si>
  <si>
    <t>Lurline</t>
  </si>
  <si>
    <t>Rivers</t>
  </si>
  <si>
    <t>Randolph</t>
  </si>
  <si>
    <t>Chase</t>
  </si>
  <si>
    <t>Terrell</t>
  </si>
  <si>
    <t>Mathis</t>
  </si>
  <si>
    <t>Ethelyn</t>
  </si>
  <si>
    <t>Ray</t>
  </si>
  <si>
    <t>Christoper</t>
  </si>
  <si>
    <t>Tona</t>
  </si>
  <si>
    <t>Velasquez</t>
  </si>
  <si>
    <t>Octavia</t>
  </si>
  <si>
    <t>Case</t>
  </si>
  <si>
    <t>Rozanne</t>
  </si>
  <si>
    <t>Reyes</t>
  </si>
  <si>
    <t>Magali</t>
  </si>
  <si>
    <t>Dixon</t>
  </si>
  <si>
    <t>Thad</t>
  </si>
  <si>
    <t>Castro</t>
  </si>
  <si>
    <t>Raven</t>
  </si>
  <si>
    <t>Curtis</t>
  </si>
  <si>
    <t>Rosalba</t>
  </si>
  <si>
    <t>Tomeka</t>
  </si>
  <si>
    <t>Cris</t>
  </si>
  <si>
    <t>Dunn</t>
  </si>
  <si>
    <t>Regina</t>
  </si>
  <si>
    <t>Burns</t>
  </si>
  <si>
    <t>Olevia</t>
  </si>
  <si>
    <t>Inger</t>
  </si>
  <si>
    <t>Jennings</t>
  </si>
  <si>
    <t>Justin</t>
  </si>
  <si>
    <t>Newton</t>
  </si>
  <si>
    <t>Stanley</t>
  </si>
  <si>
    <t>Delbert</t>
  </si>
  <si>
    <t>Ouida</t>
  </si>
  <si>
    <t>Phyllis</t>
  </si>
  <si>
    <t>Hill</t>
  </si>
  <si>
    <t>Marni</t>
  </si>
  <si>
    <t>Kennedy</t>
  </si>
  <si>
    <t>Van</t>
  </si>
  <si>
    <t>Peters</t>
  </si>
  <si>
    <t>Rubye</t>
  </si>
  <si>
    <t>Lavona</t>
  </si>
  <si>
    <t>Austin</t>
  </si>
  <si>
    <t>Benny</t>
  </si>
  <si>
    <t>Gabriela</t>
  </si>
  <si>
    <t>Warren</t>
  </si>
  <si>
    <t>Justina</t>
  </si>
  <si>
    <t>Jenkins</t>
  </si>
  <si>
    <t>Janna</t>
  </si>
  <si>
    <t>Hayden</t>
  </si>
  <si>
    <t>Rayna</t>
  </si>
  <si>
    <t>Perry</t>
  </si>
  <si>
    <t>Emmaline</t>
  </si>
  <si>
    <t>Huber</t>
  </si>
  <si>
    <t>Carlena</t>
  </si>
  <si>
    <t>Salinas</t>
  </si>
  <si>
    <t>Bernita</t>
  </si>
  <si>
    <t>Mcdaniel</t>
  </si>
  <si>
    <t>Hardin</t>
  </si>
  <si>
    <t>Camille</t>
  </si>
  <si>
    <t>Harvey</t>
  </si>
  <si>
    <t>Charleen</t>
  </si>
  <si>
    <t>Hurst</t>
  </si>
  <si>
    <t>Gould</t>
  </si>
  <si>
    <t>Charlyn</t>
  </si>
  <si>
    <t>Gilma</t>
  </si>
  <si>
    <t>Dejesus</t>
  </si>
  <si>
    <t>Deloris</t>
  </si>
  <si>
    <t>Shayla</t>
  </si>
  <si>
    <t>Jame</t>
  </si>
  <si>
    <t>Riggs</t>
  </si>
  <si>
    <t>Dagny</t>
  </si>
  <si>
    <t>Owen</t>
  </si>
  <si>
    <t>Janie</t>
  </si>
  <si>
    <t>Rufina</t>
  </si>
  <si>
    <t>Chandler</t>
  </si>
  <si>
    <t>Shawnda</t>
  </si>
  <si>
    <t>Mariam</t>
  </si>
  <si>
    <t>Miranda</t>
  </si>
  <si>
    <t>Mallie</t>
  </si>
  <si>
    <t>Danyell</t>
  </si>
  <si>
    <t>Dickerson</t>
  </si>
  <si>
    <t>Johns</t>
  </si>
  <si>
    <t>Arcelia</t>
  </si>
  <si>
    <t>Vinson</t>
  </si>
  <si>
    <t>Irwin</t>
  </si>
  <si>
    <t>Heide</t>
  </si>
  <si>
    <t>Reed</t>
  </si>
  <si>
    <t>Garland</t>
  </si>
  <si>
    <t>Weaver</t>
  </si>
  <si>
    <t>Ernestina</t>
  </si>
  <si>
    <t>Skinner</t>
  </si>
  <si>
    <t>Bernetta</t>
  </si>
  <si>
    <t>Tiesha</t>
  </si>
  <si>
    <t>Daniel</t>
  </si>
  <si>
    <t>Angele</t>
  </si>
  <si>
    <t>Schroeder</t>
  </si>
  <si>
    <t>Josh</t>
  </si>
  <si>
    <t>Shaw</t>
  </si>
  <si>
    <t>Yang</t>
  </si>
  <si>
    <t>Antonetta</t>
  </si>
  <si>
    <t>Rocha</t>
  </si>
  <si>
    <t>Major</t>
  </si>
  <si>
    <t>Merrill</t>
  </si>
  <si>
    <t>Hollis</t>
  </si>
  <si>
    <t>Rasmussen</t>
  </si>
  <si>
    <t>Phebe</t>
  </si>
  <si>
    <t>Soto</t>
  </si>
  <si>
    <t>Saran</t>
  </si>
  <si>
    <t>Moses</t>
  </si>
  <si>
    <t>Rollins</t>
  </si>
  <si>
    <t>Omega</t>
  </si>
  <si>
    <t>Shirely</t>
  </si>
  <si>
    <t>Anisha</t>
  </si>
  <si>
    <t>Lang</t>
  </si>
  <si>
    <t>Karren</t>
  </si>
  <si>
    <t>Merritt</t>
  </si>
  <si>
    <t>Iva</t>
  </si>
  <si>
    <t>Salazar</t>
  </si>
  <si>
    <t>Shauna</t>
  </si>
  <si>
    <t>Lynne</t>
  </si>
  <si>
    <t>Jerald</t>
  </si>
  <si>
    <t>Blackwell</t>
  </si>
  <si>
    <t>Daina</t>
  </si>
  <si>
    <t>Sampson</t>
  </si>
  <si>
    <t>Albert</t>
  </si>
  <si>
    <t>Cinda</t>
  </si>
  <si>
    <t>Emmitt</t>
  </si>
  <si>
    <t>Sanchez</t>
  </si>
  <si>
    <t>Phylicia</t>
  </si>
  <si>
    <t>Stout</t>
  </si>
  <si>
    <t>Jenine</t>
  </si>
  <si>
    <t>Crane</t>
  </si>
  <si>
    <t>Gross</t>
  </si>
  <si>
    <t>Sheila</t>
  </si>
  <si>
    <t>Garry</t>
  </si>
  <si>
    <t>Larissa</t>
  </si>
  <si>
    <t>Dorthea</t>
  </si>
  <si>
    <t>Walker</t>
  </si>
  <si>
    <t>Clorinda</t>
  </si>
  <si>
    <t>Demarcus</t>
  </si>
  <si>
    <t>Hedwig</t>
  </si>
  <si>
    <t>Brain</t>
  </si>
  <si>
    <t>Mariette</t>
  </si>
  <si>
    <t>Trevino</t>
  </si>
  <si>
    <t>Christel</t>
  </si>
  <si>
    <t>Cardenas</t>
  </si>
  <si>
    <t>Arielle</t>
  </si>
  <si>
    <t>Levine</t>
  </si>
  <si>
    <t>Afton</t>
  </si>
  <si>
    <t>Juarez</t>
  </si>
  <si>
    <t>Amina</t>
  </si>
  <si>
    <t>Garth</t>
  </si>
  <si>
    <t>Raymonde</t>
  </si>
  <si>
    <t>Garcia</t>
  </si>
  <si>
    <t>Ashlie</t>
  </si>
  <si>
    <t>Parrish</t>
  </si>
  <si>
    <t>Majorie</t>
  </si>
  <si>
    <t>Wyatt</t>
  </si>
  <si>
    <t>Dante</t>
  </si>
  <si>
    <t>Grimes</t>
  </si>
  <si>
    <t>Christiane</t>
  </si>
  <si>
    <t>Bradford</t>
  </si>
  <si>
    <t>Byrd</t>
  </si>
  <si>
    <t>Alec</t>
  </si>
  <si>
    <t>Hassan</t>
  </si>
  <si>
    <t>Nash</t>
  </si>
  <si>
    <t>Wade</t>
  </si>
  <si>
    <t>Vanessa</t>
  </si>
  <si>
    <t>West</t>
  </si>
  <si>
    <t>Clelia</t>
  </si>
  <si>
    <t>Workman</t>
  </si>
  <si>
    <t>Aleta</t>
  </si>
  <si>
    <t>Mack</t>
  </si>
  <si>
    <t>Conception</t>
  </si>
  <si>
    <t>Slater</t>
  </si>
  <si>
    <t>Odette</t>
  </si>
  <si>
    <t>Christiana</t>
  </si>
  <si>
    <t>Jennette</t>
  </si>
  <si>
    <t>Wooten</t>
  </si>
  <si>
    <t>Mirella</t>
  </si>
  <si>
    <t>Duffy</t>
  </si>
  <si>
    <t>Saturnina</t>
  </si>
  <si>
    <t>Garner</t>
  </si>
  <si>
    <t>Elinore</t>
  </si>
  <si>
    <t>Aguilar</t>
  </si>
  <si>
    <t>Carley</t>
  </si>
  <si>
    <t>Alysha</t>
  </si>
  <si>
    <t>Powers</t>
  </si>
  <si>
    <t>Tammera</t>
  </si>
  <si>
    <t>Fischer</t>
  </si>
  <si>
    <t>Hans</t>
  </si>
  <si>
    <t>Price</t>
  </si>
  <si>
    <t>Timothy</t>
  </si>
  <si>
    <t>Byers</t>
  </si>
  <si>
    <t>Son</t>
  </si>
  <si>
    <t>Warner</t>
  </si>
  <si>
    <t>Chasidy</t>
  </si>
  <si>
    <t>Tran</t>
  </si>
  <si>
    <t>Lee</t>
  </si>
  <si>
    <t>Roman</t>
  </si>
  <si>
    <t>Alline</t>
  </si>
  <si>
    <t>Beasley</t>
  </si>
  <si>
    <t>Sylvie</t>
  </si>
  <si>
    <t>Wilkerson</t>
  </si>
  <si>
    <t>Corina</t>
  </si>
  <si>
    <t>Lynch</t>
  </si>
  <si>
    <t>Salena</t>
  </si>
  <si>
    <t>Day</t>
  </si>
  <si>
    <t>Laverna</t>
  </si>
  <si>
    <t>Hernandez</t>
  </si>
  <si>
    <t>Genevieve</t>
  </si>
  <si>
    <t>Eliz</t>
  </si>
  <si>
    <t>Keri</t>
  </si>
  <si>
    <t>Bridges</t>
  </si>
  <si>
    <t>Shemeka</t>
  </si>
  <si>
    <t>Lyons</t>
  </si>
  <si>
    <t>Fuller</t>
  </si>
  <si>
    <t>Herminia</t>
  </si>
  <si>
    <t>Ferne</t>
  </si>
  <si>
    <t>Kline</t>
  </si>
  <si>
    <t>Carmina</t>
  </si>
  <si>
    <t>Emerson</t>
  </si>
  <si>
    <t>Kristofer</t>
  </si>
  <si>
    <t>Craig</t>
  </si>
  <si>
    <t>Vernia</t>
  </si>
  <si>
    <t>Bonita</t>
  </si>
  <si>
    <t>Marshall</t>
  </si>
  <si>
    <t>Johana</t>
  </si>
  <si>
    <t>Jacobson</t>
  </si>
  <si>
    <t>Angie</t>
  </si>
  <si>
    <t>Titus</t>
  </si>
  <si>
    <t>Petronila</t>
  </si>
  <si>
    <t>Norris</t>
  </si>
  <si>
    <t>Le</t>
  </si>
  <si>
    <t>Suellen</t>
  </si>
  <si>
    <t>Mercado</t>
  </si>
  <si>
    <t>Dewayne</t>
  </si>
  <si>
    <t>Herring</t>
  </si>
  <si>
    <t>Tommie</t>
  </si>
  <si>
    <t>Tessie</t>
  </si>
  <si>
    <t>Farmer</t>
  </si>
  <si>
    <t>Tonja</t>
  </si>
  <si>
    <t>Douglass</t>
  </si>
  <si>
    <t>Little</t>
  </si>
  <si>
    <t>Bee</t>
  </si>
  <si>
    <t>Laraine</t>
  </si>
  <si>
    <t>Deja</t>
  </si>
  <si>
    <t>Chaney</t>
  </si>
  <si>
    <t>Carlie</t>
  </si>
  <si>
    <t>Karla</t>
  </si>
  <si>
    <t>Kirk</t>
  </si>
  <si>
    <t>Jerri</t>
  </si>
  <si>
    <t>Guthrie</t>
  </si>
  <si>
    <t>Rochell</t>
  </si>
  <si>
    <t>Yun</t>
  </si>
  <si>
    <t>Nelson</t>
  </si>
  <si>
    <t>Adam</t>
  </si>
  <si>
    <t>Thornton</t>
  </si>
  <si>
    <t>Javier</t>
  </si>
  <si>
    <t>Nichols</t>
  </si>
  <si>
    <t>Meredith</t>
  </si>
  <si>
    <t>Bryan</t>
  </si>
  <si>
    <t>Hilda</t>
  </si>
  <si>
    <t>Morton</t>
  </si>
  <si>
    <t>Etsuko</t>
  </si>
  <si>
    <t>Pandora</t>
  </si>
  <si>
    <t>Estes</t>
  </si>
  <si>
    <t>Noel</t>
  </si>
  <si>
    <t>Bart</t>
  </si>
  <si>
    <t>Vallie</t>
  </si>
  <si>
    <t>Nichelle</t>
  </si>
  <si>
    <t>Howell</t>
  </si>
  <si>
    <t>Justa</t>
  </si>
  <si>
    <t>Laurence</t>
  </si>
  <si>
    <t>Christian</t>
  </si>
  <si>
    <t>Charlsie</t>
  </si>
  <si>
    <t>Shanna</t>
  </si>
  <si>
    <t>Bonner</t>
  </si>
  <si>
    <t>Vanda</t>
  </si>
  <si>
    <t>Hildegarde</t>
  </si>
  <si>
    <t>Christensen</t>
  </si>
  <si>
    <t>Alanna</t>
  </si>
  <si>
    <t>Kami</t>
  </si>
  <si>
    <t>Rios</t>
  </si>
  <si>
    <t>Andy</t>
  </si>
  <si>
    <t>Mila</t>
  </si>
  <si>
    <t>Good</t>
  </si>
  <si>
    <t>Ladawn</t>
  </si>
  <si>
    <t>Downs</t>
  </si>
  <si>
    <t>Brittney</t>
  </si>
  <si>
    <t>Rojas</t>
  </si>
  <si>
    <t>Lezlie</t>
  </si>
  <si>
    <t>Brent</t>
  </si>
  <si>
    <t>Calderon</t>
  </si>
  <si>
    <t>Georgeann</t>
  </si>
  <si>
    <t>Waller</t>
  </si>
  <si>
    <t>Cheryll</t>
  </si>
  <si>
    <t>Ernest</t>
  </si>
  <si>
    <t>Marry</t>
  </si>
  <si>
    <t>Adelaida</t>
  </si>
  <si>
    <t>Chere</t>
  </si>
  <si>
    <t>Mcfadden</t>
  </si>
  <si>
    <t>Derrick</t>
  </si>
  <si>
    <t>Mccarty</t>
  </si>
  <si>
    <t>Jeanett</t>
  </si>
  <si>
    <t>Herman</t>
  </si>
  <si>
    <t>Elmo</t>
  </si>
  <si>
    <t>Rory</t>
  </si>
  <si>
    <t>Manie</t>
  </si>
  <si>
    <t>Basilia</t>
  </si>
  <si>
    <t>Josie</t>
  </si>
  <si>
    <t>Schultz</t>
  </si>
  <si>
    <t>Jayme</t>
  </si>
  <si>
    <t>Ivette</t>
  </si>
  <si>
    <t>Darcel</t>
  </si>
  <si>
    <t>Harmon</t>
  </si>
  <si>
    <t>Jayson</t>
  </si>
  <si>
    <t>Whitney</t>
  </si>
  <si>
    <t>Cash</t>
  </si>
  <si>
    <t>Cobb</t>
  </si>
  <si>
    <t>Iola</t>
  </si>
  <si>
    <t>Birdie</t>
  </si>
  <si>
    <t>Vinnie</t>
  </si>
  <si>
    <t>Chan</t>
  </si>
  <si>
    <t>George</t>
  </si>
  <si>
    <t>Pickett</t>
  </si>
  <si>
    <t>Evelin</t>
  </si>
  <si>
    <t>Carisa</t>
  </si>
  <si>
    <t>Carpenter</t>
  </si>
  <si>
    <t>Onita</t>
  </si>
  <si>
    <t>Macdonald</t>
  </si>
  <si>
    <t>Ji</t>
  </si>
  <si>
    <t>Burt</t>
  </si>
  <si>
    <t>Graciela</t>
  </si>
  <si>
    <t>Rosalie</t>
  </si>
  <si>
    <t>Coffey</t>
  </si>
  <si>
    <t>Tanesha</t>
  </si>
  <si>
    <t>Sawyer</t>
  </si>
  <si>
    <t>Kecia</t>
  </si>
  <si>
    <t>Ayanna</t>
  </si>
  <si>
    <t>Kandis</t>
  </si>
  <si>
    <t>Mills</t>
  </si>
  <si>
    <t>Rodrick</t>
  </si>
  <si>
    <t>Shelton</t>
  </si>
  <si>
    <t>Julee</t>
  </si>
  <si>
    <t>Woodard</t>
  </si>
  <si>
    <t>Barton</t>
  </si>
  <si>
    <t>Cox</t>
  </si>
  <si>
    <t>Shaunda</t>
  </si>
  <si>
    <t>Barnett</t>
  </si>
  <si>
    <t>Yvonne</t>
  </si>
  <si>
    <t>Bean</t>
  </si>
  <si>
    <t>Mercedez</t>
  </si>
  <si>
    <t>Brooks</t>
  </si>
  <si>
    <t>Osborne</t>
  </si>
  <si>
    <t>Lory</t>
  </si>
  <si>
    <t>Enoch</t>
  </si>
  <si>
    <t>Rosario</t>
  </si>
  <si>
    <t>Donaldson</t>
  </si>
  <si>
    <t>Jeromy</t>
  </si>
  <si>
    <t>Elliott</t>
  </si>
  <si>
    <t>Ulysses</t>
  </si>
  <si>
    <t>Gaines</t>
  </si>
  <si>
    <t>Klara</t>
  </si>
  <si>
    <t>Mosley</t>
  </si>
  <si>
    <t>Jacquline</t>
  </si>
  <si>
    <t>Page</t>
  </si>
  <si>
    <t>Guillermo</t>
  </si>
  <si>
    <t>Marcel</t>
  </si>
  <si>
    <t>Lindsay</t>
  </si>
  <si>
    <t>Shila</t>
  </si>
  <si>
    <t>White</t>
  </si>
  <si>
    <t>Margene</t>
  </si>
  <si>
    <t>Eaton</t>
  </si>
  <si>
    <t>Juliane</t>
  </si>
  <si>
    <t>Dillard</t>
  </si>
  <si>
    <t>Fran</t>
  </si>
  <si>
    <t>Ronald</t>
  </si>
  <si>
    <t>Parsons</t>
  </si>
  <si>
    <t>Augustus</t>
  </si>
  <si>
    <t>Schmidt</t>
  </si>
  <si>
    <t>Lois</t>
  </si>
  <si>
    <t>Steele</t>
  </si>
  <si>
    <t>Rebbecca</t>
  </si>
  <si>
    <t>Lucas</t>
  </si>
  <si>
    <t>Johnston</t>
  </si>
  <si>
    <t>Tonda</t>
  </si>
  <si>
    <t>Webb</t>
  </si>
  <si>
    <t>Irving</t>
  </si>
  <si>
    <t>Gayle</t>
  </si>
  <si>
    <t>Mandi</t>
  </si>
  <si>
    <t>Gibbs</t>
  </si>
  <si>
    <t>Yolando</t>
  </si>
  <si>
    <t>Merlene</t>
  </si>
  <si>
    <t>Zelda</t>
  </si>
  <si>
    <t>Ashleigh</t>
  </si>
  <si>
    <t>Finch</t>
  </si>
  <si>
    <t>Farrah</t>
  </si>
  <si>
    <t>Orr</t>
  </si>
  <si>
    <t>Roseanne</t>
  </si>
  <si>
    <t>Maynard</t>
  </si>
  <si>
    <t>Cira</t>
  </si>
  <si>
    <t>Agatha</t>
  </si>
  <si>
    <t>Daniels</t>
  </si>
  <si>
    <t>Delana</t>
  </si>
  <si>
    <t>Scott</t>
  </si>
  <si>
    <t>Jewel</t>
  </si>
  <si>
    <t>Sparks</t>
  </si>
  <si>
    <t>Justice</t>
  </si>
  <si>
    <t>Melani</t>
  </si>
  <si>
    <t>Jarvis</t>
  </si>
  <si>
    <t>Alica</t>
  </si>
  <si>
    <t>Hunter</t>
  </si>
  <si>
    <t>Bao</t>
  </si>
  <si>
    <t>Loise</t>
  </si>
  <si>
    <t>Shepard</t>
  </si>
  <si>
    <t>Bobbi</t>
  </si>
  <si>
    <t>Bobbie</t>
  </si>
  <si>
    <t>Foster</t>
  </si>
  <si>
    <t>Alissa</t>
  </si>
  <si>
    <t>Beatris</t>
  </si>
  <si>
    <t>Joyner</t>
  </si>
  <si>
    <t>Alexis</t>
  </si>
  <si>
    <t>Liliana</t>
  </si>
  <si>
    <t>Kerr</t>
  </si>
  <si>
    <t>Katharina</t>
  </si>
  <si>
    <t>Bates</t>
  </si>
  <si>
    <t>Buford</t>
  </si>
  <si>
    <t>Bethany</t>
  </si>
  <si>
    <t>Thanh</t>
  </si>
  <si>
    <t>Marjorie</t>
  </si>
  <si>
    <t>Davis</t>
  </si>
  <si>
    <t>Long</t>
  </si>
  <si>
    <t>Rodger</t>
  </si>
  <si>
    <t>Aisha</t>
  </si>
  <si>
    <t>Richard</t>
  </si>
  <si>
    <t>Jennie</t>
  </si>
  <si>
    <t>Middleton</t>
  </si>
  <si>
    <t>Tayna</t>
  </si>
  <si>
    <t>Lenita</t>
  </si>
  <si>
    <t>Terese</t>
  </si>
  <si>
    <t>Briggs</t>
  </si>
  <si>
    <t>Loreen</t>
  </si>
  <si>
    <t>Tyler</t>
  </si>
  <si>
    <t>Johna</t>
  </si>
  <si>
    <t>Leone</t>
  </si>
  <si>
    <t>Burke</t>
  </si>
  <si>
    <t>Houston</t>
  </si>
  <si>
    <t>Vasquez</t>
  </si>
  <si>
    <t>Ballard</t>
  </si>
  <si>
    <t>Yahaira</t>
  </si>
  <si>
    <t>Omer</t>
  </si>
  <si>
    <t>Estrada</t>
  </si>
  <si>
    <t>Vonda</t>
  </si>
  <si>
    <t>Berger</t>
  </si>
  <si>
    <t>Pearlie</t>
  </si>
  <si>
    <t>Cochran</t>
  </si>
  <si>
    <t>Horn</t>
  </si>
  <si>
    <t>Deandrea</t>
  </si>
  <si>
    <t>Alden</t>
  </si>
  <si>
    <t>Atkinson</t>
  </si>
  <si>
    <t>America</t>
  </si>
  <si>
    <t>Grace</t>
  </si>
  <si>
    <t>Marisol</t>
  </si>
  <si>
    <t>Nicki</t>
  </si>
  <si>
    <t>Casimira</t>
  </si>
  <si>
    <t>Brenton</t>
  </si>
  <si>
    <t>Whitaker</t>
  </si>
  <si>
    <t>Jong</t>
  </si>
  <si>
    <t>Tisha</t>
  </si>
  <si>
    <t>Petty</t>
  </si>
  <si>
    <t>Sherie</t>
  </si>
  <si>
    <t>Ayala</t>
  </si>
  <si>
    <t>Aileen</t>
  </si>
  <si>
    <t>Marquez</t>
  </si>
  <si>
    <t>Shasta</t>
  </si>
  <si>
    <t>Combs</t>
  </si>
  <si>
    <t>Ronna</t>
  </si>
  <si>
    <t>Butler</t>
  </si>
  <si>
    <t>Debra</t>
  </si>
  <si>
    <t>Burks</t>
  </si>
  <si>
    <t>Sharika</t>
  </si>
  <si>
    <t>Amparo</t>
  </si>
  <si>
    <t>Tina</t>
  </si>
  <si>
    <t>Bush</t>
  </si>
  <si>
    <t>Vernon</t>
  </si>
  <si>
    <t>Knowles</t>
  </si>
  <si>
    <t>Floretta</t>
  </si>
  <si>
    <t>Leila</t>
  </si>
  <si>
    <t>Barr</t>
  </si>
  <si>
    <t>Georgetta</t>
  </si>
  <si>
    <t>Martin</t>
  </si>
  <si>
    <t>Ardelia</t>
  </si>
  <si>
    <t>Cooley</t>
  </si>
  <si>
    <t>Stefani</t>
  </si>
  <si>
    <t>Gamble</t>
  </si>
  <si>
    <t>Jovita</t>
  </si>
  <si>
    <t>Bishop</t>
  </si>
  <si>
    <t>Leeanne</t>
  </si>
  <si>
    <t>Taylor</t>
  </si>
  <si>
    <t>Charlene</t>
  </si>
  <si>
    <t>Eun</t>
  </si>
  <si>
    <t>Tricia</t>
  </si>
  <si>
    <t>Wood</t>
  </si>
  <si>
    <t>Hampton</t>
  </si>
  <si>
    <t>Palmer</t>
  </si>
  <si>
    <t>Collen</t>
  </si>
  <si>
    <t>Hayes</t>
  </si>
  <si>
    <t>Anton</t>
  </si>
  <si>
    <t>Nevada</t>
  </si>
  <si>
    <t>Hood</t>
  </si>
  <si>
    <t>Myron</t>
  </si>
  <si>
    <t>Ghislaine</t>
  </si>
  <si>
    <t>Compton</t>
  </si>
  <si>
    <t>Carmela</t>
  </si>
  <si>
    <t>Wes</t>
  </si>
  <si>
    <t>Tora</t>
  </si>
  <si>
    <t>Dunlap</t>
  </si>
  <si>
    <t>Hughes</t>
  </si>
  <si>
    <t>Margaretta</t>
  </si>
  <si>
    <t>Loyce</t>
  </si>
  <si>
    <t>Conway</t>
  </si>
  <si>
    <t>Lean</t>
  </si>
  <si>
    <t>Stark</t>
  </si>
  <si>
    <t>Margert</t>
  </si>
  <si>
    <t>Stevens</t>
  </si>
  <si>
    <t>Shantae</t>
  </si>
  <si>
    <t>Hammond</t>
  </si>
  <si>
    <t>Santos</t>
  </si>
  <si>
    <t>Valencia</t>
  </si>
  <si>
    <t>Andreas</t>
  </si>
  <si>
    <t>Mia</t>
  </si>
  <si>
    <t>Delgado</t>
  </si>
  <si>
    <t>Hee</t>
  </si>
  <si>
    <t>Verda</t>
  </si>
  <si>
    <t>Gilbert</t>
  </si>
  <si>
    <t>Felicidad</t>
  </si>
  <si>
    <t>Alejandrina</t>
  </si>
  <si>
    <t>Hodges</t>
  </si>
  <si>
    <t>Lizette</t>
  </si>
  <si>
    <t>Lonna</t>
  </si>
  <si>
    <t>Franks</t>
  </si>
  <si>
    <t>Sunshine</t>
  </si>
  <si>
    <t>Consuela</t>
  </si>
  <si>
    <t>Collier</t>
  </si>
  <si>
    <t>Annis</t>
  </si>
  <si>
    <t>Jaimee</t>
  </si>
  <si>
    <t>Jenny</t>
  </si>
  <si>
    <t>Bell</t>
  </si>
  <si>
    <t>Ara</t>
  </si>
  <si>
    <t>Hue</t>
  </si>
  <si>
    <t>Toya</t>
  </si>
  <si>
    <t>Milagros</t>
  </si>
  <si>
    <t>Weber</t>
  </si>
  <si>
    <t>Barbra</t>
  </si>
  <si>
    <t>Gilberto</t>
  </si>
  <si>
    <t>Hudson</t>
  </si>
  <si>
    <t>Venessa</t>
  </si>
  <si>
    <t>Frost</t>
  </si>
  <si>
    <t>Mable</t>
  </si>
  <si>
    <t>Tonisha</t>
  </si>
  <si>
    <t>Sheryl</t>
  </si>
  <si>
    <t>Ashlee</t>
  </si>
  <si>
    <t>Pena</t>
  </si>
  <si>
    <t>Leigh</t>
  </si>
  <si>
    <t>Caleb</t>
  </si>
  <si>
    <t>England</t>
  </si>
  <si>
    <t>Herta</t>
  </si>
  <si>
    <t>Reatha</t>
  </si>
  <si>
    <t>Perez</t>
  </si>
  <si>
    <t>Syreeta</t>
  </si>
  <si>
    <t>Hendricks</t>
  </si>
  <si>
    <t>Lavonda</t>
  </si>
  <si>
    <t>Stephenson</t>
  </si>
  <si>
    <t>Kim</t>
  </si>
  <si>
    <t>Carolyne</t>
  </si>
  <si>
    <t>Virgina</t>
  </si>
  <si>
    <t>Elvia</t>
  </si>
  <si>
    <t>Delmar</t>
  </si>
  <si>
    <t>Wise</t>
  </si>
  <si>
    <t>Doreatha</t>
  </si>
  <si>
    <t>Ford</t>
  </si>
  <si>
    <t>Boyce</t>
  </si>
  <si>
    <t>Elnora</t>
  </si>
  <si>
    <t>Simpson</t>
  </si>
  <si>
    <t>Ivonne</t>
  </si>
  <si>
    <t>Zina</t>
  </si>
  <si>
    <t>Delila</t>
  </si>
  <si>
    <t>Hamilton</t>
  </si>
  <si>
    <t>Lidia</t>
  </si>
  <si>
    <t>Ashley</t>
  </si>
  <si>
    <t>Toshia</t>
  </si>
  <si>
    <t>Laci</t>
  </si>
  <si>
    <t>Quyen</t>
  </si>
  <si>
    <t>Alesia</t>
  </si>
  <si>
    <t>Horne</t>
  </si>
  <si>
    <t>Selene</t>
  </si>
  <si>
    <t>Jesica</t>
  </si>
  <si>
    <t>Willian</t>
  </si>
  <si>
    <t>Dennis</t>
  </si>
  <si>
    <t>Macias</t>
  </si>
  <si>
    <t>Todd</t>
  </si>
  <si>
    <t>Lise</t>
  </si>
  <si>
    <t>Hebert</t>
  </si>
  <si>
    <t>Damien</t>
  </si>
  <si>
    <t>Sarah</t>
  </si>
  <si>
    <t>Kirkland</t>
  </si>
  <si>
    <t>Chauncey</t>
  </si>
  <si>
    <t>Alejandro</t>
  </si>
  <si>
    <t>Norman</t>
  </si>
  <si>
    <t>Jasmin</t>
  </si>
  <si>
    <t>Ciera</t>
  </si>
  <si>
    <t>Koch</t>
  </si>
  <si>
    <t>Daryl</t>
  </si>
  <si>
    <t>Spence</t>
  </si>
  <si>
    <t>Stephanie</t>
  </si>
  <si>
    <t>Dorothea</t>
  </si>
  <si>
    <t>Zoraida</t>
  </si>
  <si>
    <t>Patton</t>
  </si>
  <si>
    <t>Dottie</t>
  </si>
  <si>
    <t>Roberts</t>
  </si>
  <si>
    <t>Ileana</t>
  </si>
  <si>
    <t>Holt</t>
  </si>
  <si>
    <t>Roy</t>
  </si>
  <si>
    <t>Ashanti</t>
  </si>
  <si>
    <t>Parks</t>
  </si>
  <si>
    <t>Shara</t>
  </si>
  <si>
    <t>Pope</t>
  </si>
  <si>
    <t>Carmelina</t>
  </si>
  <si>
    <t>Sellers</t>
  </si>
  <si>
    <t>Danny</t>
  </si>
  <si>
    <t>Marquerite</t>
  </si>
  <si>
    <t>Michel</t>
  </si>
  <si>
    <t>Blankenship</t>
  </si>
  <si>
    <t>Phillis</t>
  </si>
  <si>
    <t>Elma</t>
  </si>
  <si>
    <t>Molina</t>
  </si>
  <si>
    <t>Tereasa</t>
  </si>
  <si>
    <t>Bird</t>
  </si>
  <si>
    <t>Zelma</t>
  </si>
  <si>
    <t>Ashely</t>
  </si>
  <si>
    <t>Collin</t>
  </si>
  <si>
    <t>Webster</t>
  </si>
  <si>
    <t>Donnetta</t>
  </si>
  <si>
    <t>Henson</t>
  </si>
  <si>
    <t>Angelika</t>
  </si>
  <si>
    <t>Kathyrn</t>
  </si>
  <si>
    <t>Lore</t>
  </si>
  <si>
    <t>Dwain</t>
  </si>
  <si>
    <t>Carlson</t>
  </si>
  <si>
    <t>Jennell</t>
  </si>
  <si>
    <t>Solis</t>
  </si>
  <si>
    <t>Maple</t>
  </si>
  <si>
    <t>Griffin</t>
  </si>
  <si>
    <t>Bettyann</t>
  </si>
  <si>
    <t>Moira</t>
  </si>
  <si>
    <t>Elenore</t>
  </si>
  <si>
    <t>Maximina</t>
  </si>
  <si>
    <t>Hutchinson</t>
  </si>
  <si>
    <t>Lanie</t>
  </si>
  <si>
    <t>Jeni</t>
  </si>
  <si>
    <t>Booker</t>
  </si>
  <si>
    <t>Caroll</t>
  </si>
  <si>
    <t>Kendra</t>
  </si>
  <si>
    <t>Harrington</t>
  </si>
  <si>
    <t>Thalia</t>
  </si>
  <si>
    <t>Holly</t>
  </si>
  <si>
    <t>Shonta</t>
  </si>
  <si>
    <t>Mercer</t>
  </si>
  <si>
    <t>Lena</t>
  </si>
  <si>
    <t>Vernita</t>
  </si>
  <si>
    <t>Ball</t>
  </si>
  <si>
    <t>Yan</t>
  </si>
  <si>
    <t>Mcgowan</t>
  </si>
  <si>
    <t>Maryalice</t>
  </si>
  <si>
    <t>Flossie</t>
  </si>
  <si>
    <t>Holder</t>
  </si>
  <si>
    <t>Freddie</t>
  </si>
  <si>
    <t>Hilary</t>
  </si>
  <si>
    <t>Savage</t>
  </si>
  <si>
    <t>Nita</t>
  </si>
  <si>
    <t>Guy</t>
  </si>
  <si>
    <t>Ann</t>
  </si>
  <si>
    <t>Heath</t>
  </si>
  <si>
    <t>Kimberely</t>
  </si>
  <si>
    <t>Bowen</t>
  </si>
  <si>
    <t>Sommer</t>
  </si>
  <si>
    <t>Joe</t>
  </si>
  <si>
    <t>Kattie</t>
  </si>
  <si>
    <t>Stevenson</t>
  </si>
  <si>
    <t>Susann</t>
  </si>
  <si>
    <t>Bass</t>
  </si>
  <si>
    <t>Khalilah</t>
  </si>
  <si>
    <t>Shiloh</t>
  </si>
  <si>
    <t>Wm</t>
  </si>
  <si>
    <t>Giselle</t>
  </si>
  <si>
    <t>Robles</t>
  </si>
  <si>
    <t>Alysia</t>
  </si>
  <si>
    <t>Tuyet</t>
  </si>
  <si>
    <t>Ramiro</t>
  </si>
  <si>
    <t>Bettie</t>
  </si>
  <si>
    <t>Pierce</t>
  </si>
  <si>
    <t>Maxwell</t>
  </si>
  <si>
    <t>Angella</t>
  </si>
  <si>
    <t>Dorthey</t>
  </si>
  <si>
    <t>Jackson</t>
  </si>
  <si>
    <t>Janella</t>
  </si>
  <si>
    <t>Bright</t>
  </si>
  <si>
    <t>Kenton</t>
  </si>
  <si>
    <t>Yevette</t>
  </si>
  <si>
    <t>Jonna</t>
  </si>
  <si>
    <t>Brown</t>
  </si>
  <si>
    <t>Yu</t>
  </si>
  <si>
    <t>Mcdonald</t>
  </si>
  <si>
    <t>Shu</t>
  </si>
  <si>
    <t>Mays</t>
  </si>
  <si>
    <t>Lolita</t>
  </si>
  <si>
    <t>Blanca</t>
  </si>
  <si>
    <t>Hooper</t>
  </si>
  <si>
    <t>Joni</t>
  </si>
  <si>
    <t>Carita</t>
  </si>
  <si>
    <t>Trudy</t>
  </si>
  <si>
    <t>Jama</t>
  </si>
  <si>
    <t>Kandi</t>
  </si>
  <si>
    <t>Mcneil</t>
  </si>
  <si>
    <t>Donette</t>
  </si>
  <si>
    <t>Mccarthy</t>
  </si>
  <si>
    <t>Magda</t>
  </si>
  <si>
    <t>Collene</t>
  </si>
  <si>
    <t>Knox</t>
  </si>
  <si>
    <t>Nestor</t>
  </si>
  <si>
    <t>Haynes</t>
  </si>
  <si>
    <t>Latricia</t>
  </si>
  <si>
    <t>Lindsey</t>
  </si>
  <si>
    <t>Julius</t>
  </si>
  <si>
    <t>Gertha</t>
  </si>
  <si>
    <t>Mejia</t>
  </si>
  <si>
    <t>Florencio</t>
  </si>
  <si>
    <t>Davenport</t>
  </si>
  <si>
    <t>Preston</t>
  </si>
  <si>
    <t>Alston</t>
  </si>
  <si>
    <t>Jenise</t>
  </si>
  <si>
    <t>Candelaria</t>
  </si>
  <si>
    <t>Ana</t>
  </si>
  <si>
    <t>Conchita</t>
  </si>
  <si>
    <t>Boone</t>
  </si>
  <si>
    <t>Chi</t>
  </si>
  <si>
    <t>Goff</t>
  </si>
  <si>
    <t>Yanira</t>
  </si>
  <si>
    <t>Bradshaw</t>
  </si>
  <si>
    <t>Armando</t>
  </si>
  <si>
    <t>Letitia</t>
  </si>
  <si>
    <t>Franco</t>
  </si>
  <si>
    <t>Vince</t>
  </si>
  <si>
    <t>Winfred</t>
  </si>
  <si>
    <t>Lenore</t>
  </si>
  <si>
    <t>Valdez</t>
  </si>
  <si>
    <t>Geraldine</t>
  </si>
  <si>
    <t>Larraine</t>
  </si>
  <si>
    <t>Patrina</t>
  </si>
  <si>
    <t>Tanner</t>
  </si>
  <si>
    <t>Nanette</t>
  </si>
  <si>
    <t>Shanti</t>
  </si>
  <si>
    <t>Claris</t>
  </si>
  <si>
    <t>Santiago</t>
  </si>
  <si>
    <t>Clementine</t>
  </si>
  <si>
    <t>Mooney</t>
  </si>
  <si>
    <t>Mcpherson</t>
  </si>
  <si>
    <t>Agustina</t>
  </si>
  <si>
    <t>Lawrence</t>
  </si>
  <si>
    <t>Clementina</t>
  </si>
  <si>
    <t>Sargent</t>
  </si>
  <si>
    <t>Gwendolyn</t>
  </si>
  <si>
    <t>Miller</t>
  </si>
  <si>
    <t>Giovanna</t>
  </si>
  <si>
    <t>Jefferson</t>
  </si>
  <si>
    <t>Pamelia</t>
  </si>
  <si>
    <t>Newman</t>
  </si>
  <si>
    <t>Bennett</t>
  </si>
  <si>
    <t>Armstrong</t>
  </si>
  <si>
    <t>Brittni</t>
  </si>
  <si>
    <t>Green</t>
  </si>
  <si>
    <t>Dionne</t>
  </si>
  <si>
    <t>Ira</t>
  </si>
  <si>
    <t>Moore</t>
  </si>
  <si>
    <t>Luciano</t>
  </si>
  <si>
    <t>Marsh</t>
  </si>
  <si>
    <t>Karl</t>
  </si>
  <si>
    <t>Kerrie</t>
  </si>
  <si>
    <t>Rosanne</t>
  </si>
  <si>
    <t>Marina</t>
  </si>
  <si>
    <t>Hinton</t>
  </si>
  <si>
    <t>Sherita</t>
  </si>
  <si>
    <t>Siobhan</t>
  </si>
  <si>
    <t>Eliseo</t>
  </si>
  <si>
    <t>Knight</t>
  </si>
  <si>
    <t>Novella</t>
  </si>
  <si>
    <t>Ross</t>
  </si>
  <si>
    <t>Hipolito</t>
  </si>
  <si>
    <t>Padilla</t>
  </si>
  <si>
    <t>Dung</t>
  </si>
  <si>
    <t>Season</t>
  </si>
  <si>
    <t>Macie</t>
  </si>
  <si>
    <t>Loraine</t>
  </si>
  <si>
    <t>Larae</t>
  </si>
  <si>
    <t>Carney</t>
  </si>
  <si>
    <t>Marilyn</t>
  </si>
  <si>
    <t>Frank</t>
  </si>
  <si>
    <t>Rudolf</t>
  </si>
  <si>
    <t>Angelique</t>
  </si>
  <si>
    <t>Sanora</t>
  </si>
  <si>
    <t>Gabriella</t>
  </si>
  <si>
    <t>Jones</t>
  </si>
  <si>
    <t>Gilberte</t>
  </si>
  <si>
    <t>Duke</t>
  </si>
  <si>
    <t>Kermit</t>
  </si>
  <si>
    <t>Hyde</t>
  </si>
  <si>
    <t>Arminda</t>
  </si>
  <si>
    <t>Sandee</t>
  </si>
  <si>
    <t>Alvarado</t>
  </si>
  <si>
    <t>Kam</t>
  </si>
  <si>
    <t>Valentin</t>
  </si>
  <si>
    <t>Mclaughlin</t>
  </si>
  <si>
    <t>Lashawna</t>
  </si>
  <si>
    <t>Richardson</t>
  </si>
  <si>
    <t>Charlesetta</t>
  </si>
  <si>
    <t>Jesus</t>
  </si>
  <si>
    <t>Burch</t>
  </si>
  <si>
    <t>Nathanael</t>
  </si>
  <si>
    <t>Bradley</t>
  </si>
  <si>
    <t>Elease</t>
  </si>
  <si>
    <t>Marcell</t>
  </si>
  <si>
    <t>Lurlene</t>
  </si>
  <si>
    <t>Louanne</t>
  </si>
  <si>
    <t>Domingo</t>
  </si>
  <si>
    <t>Felica</t>
  </si>
  <si>
    <t>Giles</t>
  </si>
  <si>
    <t>Virgen</t>
  </si>
  <si>
    <t>Marcy</t>
  </si>
  <si>
    <t>Rodriguez</t>
  </si>
  <si>
    <t>Nelle</t>
  </si>
  <si>
    <t>Beck</t>
  </si>
  <si>
    <t>Dane</t>
  </si>
  <si>
    <t>Debbra</t>
  </si>
  <si>
    <t>Mercy</t>
  </si>
  <si>
    <t>Coleman</t>
  </si>
  <si>
    <t>Edythe</t>
  </si>
  <si>
    <t>Sheree</t>
  </si>
  <si>
    <t>Humphrey</t>
  </si>
  <si>
    <t>Delma</t>
  </si>
  <si>
    <t>Bailey</t>
  </si>
  <si>
    <t>Chantell</t>
  </si>
  <si>
    <t>Edmund</t>
  </si>
  <si>
    <t>Miriam</t>
  </si>
  <si>
    <t>Aimee</t>
  </si>
  <si>
    <t>Laure</t>
  </si>
  <si>
    <t>Sally</t>
  </si>
  <si>
    <t>Obdulia</t>
  </si>
  <si>
    <t>Inga</t>
  </si>
  <si>
    <t>Elanor</t>
  </si>
  <si>
    <t>Patrick</t>
  </si>
  <si>
    <t>Bridgette</t>
  </si>
  <si>
    <t>Josef</t>
  </si>
  <si>
    <t>Renita</t>
  </si>
  <si>
    <t>Samual</t>
  </si>
  <si>
    <t>Mi</t>
  </si>
  <si>
    <t>Gray</t>
  </si>
  <si>
    <t>Loan</t>
  </si>
  <si>
    <t>Deane</t>
  </si>
  <si>
    <t>Sears</t>
  </si>
  <si>
    <t>Lorraine</t>
  </si>
  <si>
    <t>Eliana</t>
  </si>
  <si>
    <t>Janine</t>
  </si>
  <si>
    <t>Luz</t>
  </si>
  <si>
    <t>House</t>
  </si>
  <si>
    <t>Sharla</t>
  </si>
  <si>
    <t>Flynn</t>
  </si>
  <si>
    <t>Cassondra</t>
  </si>
  <si>
    <t>Pruitt</t>
  </si>
  <si>
    <t>Cannon</t>
  </si>
  <si>
    <t>Zella</t>
  </si>
  <si>
    <t>Fernandez</t>
  </si>
  <si>
    <t>Doris</t>
  </si>
  <si>
    <t>Kaufman</t>
  </si>
  <si>
    <t>Judith</t>
  </si>
  <si>
    <t>Finley</t>
  </si>
  <si>
    <t>Luciana</t>
  </si>
  <si>
    <t>Mcgee</t>
  </si>
  <si>
    <t>Chloe</t>
  </si>
  <si>
    <t>Patel</t>
  </si>
  <si>
    <t>Rutha</t>
  </si>
  <si>
    <t>Tajuana</t>
  </si>
  <si>
    <t>Ehtel</t>
  </si>
  <si>
    <t>Romana</t>
  </si>
  <si>
    <t>Barnes</t>
  </si>
  <si>
    <t>Jayne</t>
  </si>
  <si>
    <t>Conrad</t>
  </si>
  <si>
    <t>Mueller</t>
  </si>
  <si>
    <t>Mariana</t>
  </si>
  <si>
    <t>Strong</t>
  </si>
  <si>
    <t>Stephen</t>
  </si>
  <si>
    <t>Ruiz</t>
  </si>
  <si>
    <t>Abram</t>
  </si>
  <si>
    <t>Copeland</t>
  </si>
  <si>
    <t>Tressa</t>
  </si>
  <si>
    <t>Weiss</t>
  </si>
  <si>
    <t>Douglas</t>
  </si>
  <si>
    <t>Richards</t>
  </si>
  <si>
    <t>Alita</t>
  </si>
  <si>
    <t>Corrina</t>
  </si>
  <si>
    <t>Mellisa</t>
  </si>
  <si>
    <t>Farley</t>
  </si>
  <si>
    <t>Melanie</t>
  </si>
  <si>
    <t>Walton</t>
  </si>
  <si>
    <t>Hugh</t>
  </si>
  <si>
    <t>Genny</t>
  </si>
  <si>
    <t>Hensley</t>
  </si>
  <si>
    <t>Bentley</t>
  </si>
  <si>
    <t>Daphine</t>
  </si>
  <si>
    <t>Willis</t>
  </si>
  <si>
    <t>Jone</t>
  </si>
  <si>
    <t>Bernard</t>
  </si>
  <si>
    <t>Loreta</t>
  </si>
  <si>
    <t>Mayer</t>
  </si>
  <si>
    <t>Myesha</t>
  </si>
  <si>
    <t>Burgess</t>
  </si>
  <si>
    <t>Skye</t>
  </si>
  <si>
    <t>Rosalva</t>
  </si>
  <si>
    <t>Nicholas</t>
  </si>
  <si>
    <t>Tamela</t>
  </si>
  <si>
    <t>Harrell</t>
  </si>
  <si>
    <t>Arvilla</t>
  </si>
  <si>
    <t>Annabelle</t>
  </si>
  <si>
    <t>Camila</t>
  </si>
  <si>
    <t>Shona</t>
  </si>
  <si>
    <t>Mcmillan</t>
  </si>
  <si>
    <t>Rita</t>
  </si>
  <si>
    <t>Lizzie</t>
  </si>
  <si>
    <t>Marissa</t>
  </si>
  <si>
    <t>Zona</t>
  </si>
  <si>
    <t>Cameron</t>
  </si>
  <si>
    <t>Leif</t>
  </si>
  <si>
    <t>Short</t>
  </si>
  <si>
    <t>Ebony</t>
  </si>
  <si>
    <t>Cotton</t>
  </si>
  <si>
    <t>Moody</t>
  </si>
  <si>
    <t>Cecelia</t>
  </si>
  <si>
    <t>Corinna</t>
  </si>
  <si>
    <t>Adams</t>
  </si>
  <si>
    <t>Londa</t>
  </si>
  <si>
    <t>Claudio</t>
  </si>
  <si>
    <t>Julienne</t>
  </si>
  <si>
    <t>Lavinia</t>
  </si>
  <si>
    <t>Myrl</t>
  </si>
  <si>
    <t>Gay</t>
  </si>
  <si>
    <t>Alfredo</t>
  </si>
  <si>
    <t>Dodson</t>
  </si>
  <si>
    <t>Raphael</t>
  </si>
  <si>
    <t>Romeo</t>
  </si>
  <si>
    <t>Cecilia</t>
  </si>
  <si>
    <t>Camacho</t>
  </si>
  <si>
    <t>Dollie</t>
  </si>
  <si>
    <t>Cervantes</t>
  </si>
  <si>
    <t>Vito</t>
  </si>
  <si>
    <t>Victor</t>
  </si>
  <si>
    <t>Effie</t>
  </si>
  <si>
    <t>Vernell</t>
  </si>
  <si>
    <t>Jeanie</t>
  </si>
  <si>
    <t>Honey</t>
  </si>
  <si>
    <t>Hermila</t>
  </si>
  <si>
    <t>Mckay</t>
  </si>
  <si>
    <t>Vicki</t>
  </si>
  <si>
    <t>Wiggins</t>
  </si>
  <si>
    <t>Harold</t>
  </si>
  <si>
    <t>Krystin</t>
  </si>
  <si>
    <t>Basil</t>
  </si>
  <si>
    <t>Beryl</t>
  </si>
  <si>
    <t>Catherine</t>
  </si>
  <si>
    <t>Darcie</t>
  </si>
  <si>
    <t>Morgan</t>
  </si>
  <si>
    <t>Cyndi</t>
  </si>
  <si>
    <t>Dyer</t>
  </si>
  <si>
    <t>Lewis</t>
  </si>
  <si>
    <t>Penni</t>
  </si>
  <si>
    <t>Best</t>
  </si>
  <si>
    <t>Marlo</t>
  </si>
  <si>
    <t>Ulrike</t>
  </si>
  <si>
    <t>Myung</t>
  </si>
  <si>
    <t>Olimpia</t>
  </si>
  <si>
    <t>Lina</t>
  </si>
  <si>
    <t>Meadows</t>
  </si>
  <si>
    <t>Arie</t>
  </si>
  <si>
    <t>Patsy</t>
  </si>
  <si>
    <t>Russo</t>
  </si>
  <si>
    <t>Eric</t>
  </si>
  <si>
    <t>Babara</t>
  </si>
  <si>
    <t>Ochoa</t>
  </si>
  <si>
    <t>Oliva</t>
  </si>
  <si>
    <t>India</t>
  </si>
  <si>
    <t>Jasper</t>
  </si>
  <si>
    <t>Nettie</t>
  </si>
  <si>
    <t>Edra</t>
  </si>
  <si>
    <t>Fitzgerald</t>
  </si>
  <si>
    <t>Herlinda</t>
  </si>
  <si>
    <t>Tisa</t>
  </si>
  <si>
    <t>Vashti</t>
  </si>
  <si>
    <t>Kellye</t>
  </si>
  <si>
    <t>Campbell</t>
  </si>
  <si>
    <t>Tama</t>
  </si>
  <si>
    <t>Rona</t>
  </si>
  <si>
    <t>Cherelle</t>
  </si>
  <si>
    <t>Cheree</t>
  </si>
  <si>
    <t>Hale</t>
  </si>
  <si>
    <t>Dannette</t>
  </si>
  <si>
    <t>Crystle</t>
  </si>
  <si>
    <t>Shea</t>
  </si>
  <si>
    <t>Emmett</t>
  </si>
  <si>
    <t>Soledad</t>
  </si>
  <si>
    <t>Elaina</t>
  </si>
  <si>
    <t>Mica</t>
  </si>
  <si>
    <t>Cassie</t>
  </si>
  <si>
    <t>Carina</t>
  </si>
  <si>
    <t>Marlen</t>
  </si>
  <si>
    <t>Heather</t>
  </si>
  <si>
    <t>Tomasa</t>
  </si>
  <si>
    <t>Acevedo</t>
  </si>
  <si>
    <t>Georgina</t>
  </si>
  <si>
    <t>Sherril</t>
  </si>
  <si>
    <t>Ilda</t>
  </si>
  <si>
    <t>Roberson</t>
  </si>
  <si>
    <t>Dorine</t>
  </si>
  <si>
    <t>Felice</t>
  </si>
  <si>
    <t>Guzman</t>
  </si>
  <si>
    <t>Jutta</t>
  </si>
  <si>
    <t>Everett</t>
  </si>
  <si>
    <t>Romelia</t>
  </si>
  <si>
    <t>Myers</t>
  </si>
  <si>
    <t>Florrie</t>
  </si>
  <si>
    <t>Damian</t>
  </si>
  <si>
    <t>Cleopatra</t>
  </si>
  <si>
    <t>Berna</t>
  </si>
  <si>
    <t>Serina</t>
  </si>
  <si>
    <t>Ricki</t>
  </si>
  <si>
    <t>Lyndsey</t>
  </si>
  <si>
    <t>Jenniffer</t>
  </si>
  <si>
    <t>Marylyn</t>
  </si>
  <si>
    <t>Shawnna</t>
  </si>
  <si>
    <t>Luis</t>
  </si>
  <si>
    <t>Crysta</t>
  </si>
  <si>
    <t>Velez</t>
  </si>
  <si>
    <t>Regenia</t>
  </si>
  <si>
    <t>Vaughan</t>
  </si>
  <si>
    <t>Raul</t>
  </si>
  <si>
    <t>Melendez</t>
  </si>
  <si>
    <t>Barbera</t>
  </si>
  <si>
    <t>Courtney</t>
  </si>
  <si>
    <t>Emelda</t>
  </si>
  <si>
    <t>Delaine</t>
  </si>
  <si>
    <t>Nikita</t>
  </si>
  <si>
    <t>Deshawn</t>
  </si>
  <si>
    <t>Mendoza</t>
  </si>
  <si>
    <t>Sharell</t>
  </si>
  <si>
    <t>Dexter</t>
  </si>
  <si>
    <t>Chantay</t>
  </si>
  <si>
    <t>Martha</t>
  </si>
  <si>
    <t>Cori</t>
  </si>
  <si>
    <t>Schwartz</t>
  </si>
  <si>
    <t>Romero</t>
  </si>
  <si>
    <t>Renna</t>
  </si>
  <si>
    <t>Williams</t>
  </si>
  <si>
    <t>Hope</t>
  </si>
  <si>
    <t>Lucio</t>
  </si>
  <si>
    <t>Bowman</t>
  </si>
  <si>
    <t>Efren</t>
  </si>
  <si>
    <t>Whitfield</t>
  </si>
  <si>
    <t>Mikel</t>
  </si>
  <si>
    <t>Phuong</t>
  </si>
  <si>
    <t>Wolf</t>
  </si>
  <si>
    <t>Shiela</t>
  </si>
  <si>
    <t>Renato</t>
  </si>
  <si>
    <t>Wynona</t>
  </si>
  <si>
    <t>Jeffry</t>
  </si>
  <si>
    <t>Church</t>
  </si>
  <si>
    <t>Bea</t>
  </si>
  <si>
    <t>Kane</t>
  </si>
  <si>
    <t>Trista</t>
  </si>
  <si>
    <t>Lambert</t>
  </si>
  <si>
    <t>Mina</t>
  </si>
  <si>
    <t>Carrillo</t>
  </si>
  <si>
    <t>Glady</t>
  </si>
  <si>
    <t>Wells</t>
  </si>
  <si>
    <t>Trinity</t>
  </si>
  <si>
    <t>Margret</t>
  </si>
  <si>
    <t>Deangelo</t>
  </si>
  <si>
    <t>Lashunda</t>
  </si>
  <si>
    <t>Aide</t>
  </si>
  <si>
    <t>Kaylee</t>
  </si>
  <si>
    <t>English</t>
  </si>
  <si>
    <t>Inocencia</t>
  </si>
  <si>
    <t>Alyse</t>
  </si>
  <si>
    <t>Penny</t>
  </si>
  <si>
    <t>Tu</t>
  </si>
  <si>
    <t>Ramirez</t>
  </si>
  <si>
    <t>Somer</t>
  </si>
  <si>
    <t>Jordan</t>
  </si>
  <si>
    <t>Adena</t>
  </si>
  <si>
    <t>Blake</t>
  </si>
  <si>
    <t>Oralia</t>
  </si>
  <si>
    <t>Gustavo</t>
  </si>
  <si>
    <t>Janae</t>
  </si>
  <si>
    <t>Doyle</t>
  </si>
  <si>
    <t>Parthenia</t>
  </si>
  <si>
    <t>Holman</t>
  </si>
  <si>
    <t>Benito</t>
  </si>
  <si>
    <t>Hendrix</t>
  </si>
  <si>
    <t>Pinkie</t>
  </si>
  <si>
    <t>Krissy</t>
  </si>
  <si>
    <t>Pearl</t>
  </si>
  <si>
    <t>Fox</t>
  </si>
  <si>
    <t>Sherilyn</t>
  </si>
  <si>
    <t>Katelin</t>
  </si>
  <si>
    <t>Wendie</t>
  </si>
  <si>
    <t>Margorie</t>
  </si>
  <si>
    <t>Wynn</t>
  </si>
  <si>
    <t>Kate</t>
  </si>
  <si>
    <t>Rozella</t>
  </si>
  <si>
    <t>Ivelisse</t>
  </si>
  <si>
    <t>Nixon</t>
  </si>
  <si>
    <t>Cristobal</t>
  </si>
  <si>
    <t>Marjory</t>
  </si>
  <si>
    <t>Leonard</t>
  </si>
  <si>
    <t>Tammy</t>
  </si>
  <si>
    <t>Sherise</t>
  </si>
  <si>
    <t>Hilde</t>
  </si>
  <si>
    <t>Willow</t>
  </si>
  <si>
    <t>Gardner</t>
  </si>
  <si>
    <t>Sonja</t>
  </si>
  <si>
    <t>Walls</t>
  </si>
  <si>
    <t>Jenna</t>
  </si>
  <si>
    <t>Lamar</t>
  </si>
  <si>
    <t>Eloisa</t>
  </si>
  <si>
    <t>Tucker</t>
  </si>
  <si>
    <t>Malisa</t>
  </si>
  <si>
    <t>Mitchell</t>
  </si>
  <si>
    <t>Clark</t>
  </si>
  <si>
    <t>Trang</t>
  </si>
  <si>
    <t>Shaffer</t>
  </si>
  <si>
    <t>Tad</t>
  </si>
  <si>
    <t>Julia</t>
  </si>
  <si>
    <t>Rodrigo</t>
  </si>
  <si>
    <t>Lucilla</t>
  </si>
  <si>
    <t>Joy</t>
  </si>
  <si>
    <t>Underwood</t>
  </si>
  <si>
    <t>Brianne</t>
  </si>
  <si>
    <t>Kathie</t>
  </si>
  <si>
    <t>Freeman</t>
  </si>
  <si>
    <t>Coleen</t>
  </si>
  <si>
    <t>Navarro</t>
  </si>
  <si>
    <t>Ocie</t>
  </si>
  <si>
    <t>Lillia</t>
  </si>
  <si>
    <t>Gillespie</t>
  </si>
  <si>
    <t>Tilda</t>
  </si>
  <si>
    <t>Virgil</t>
  </si>
  <si>
    <t>Jule</t>
  </si>
  <si>
    <t>Edris</t>
  </si>
  <si>
    <t>Haney</t>
  </si>
  <si>
    <t>Shay</t>
  </si>
  <si>
    <t>Neida</t>
  </si>
  <si>
    <t>Dori</t>
  </si>
  <si>
    <t>Gussie</t>
  </si>
  <si>
    <t>Harding</t>
  </si>
  <si>
    <t>Monty</t>
  </si>
  <si>
    <t>Caroline</t>
  </si>
  <si>
    <t>Tobie</t>
  </si>
  <si>
    <t>Agnes</t>
  </si>
  <si>
    <t>Sims</t>
  </si>
  <si>
    <t>Reid</t>
  </si>
  <si>
    <t>Desiree</t>
  </si>
  <si>
    <t>Branch</t>
  </si>
  <si>
    <t>Hye</t>
  </si>
  <si>
    <t>Tempie</t>
  </si>
  <si>
    <t>Wai</t>
  </si>
  <si>
    <t>Mary</t>
  </si>
  <si>
    <t>Singleton</t>
  </si>
  <si>
    <t>Arline</t>
  </si>
  <si>
    <t>Lawson</t>
  </si>
  <si>
    <t>Karole</t>
  </si>
  <si>
    <t>Valeri</t>
  </si>
  <si>
    <t>Janelle</t>
  </si>
  <si>
    <t>Maldonado</t>
  </si>
  <si>
    <t>Woodward</t>
  </si>
  <si>
    <t>Ken</t>
  </si>
  <si>
    <t>Adrien</t>
  </si>
  <si>
    <t>Bong</t>
  </si>
  <si>
    <t>Molly</t>
  </si>
  <si>
    <t>Langley</t>
  </si>
  <si>
    <t>Vance</t>
  </si>
  <si>
    <t>Crosby</t>
  </si>
  <si>
    <t>Shanelle</t>
  </si>
  <si>
    <t>Candis</t>
  </si>
  <si>
    <t>Antony</t>
  </si>
  <si>
    <t>Tam</t>
  </si>
  <si>
    <t>Fisher</t>
  </si>
  <si>
    <t>Piedad</t>
  </si>
  <si>
    <t>Risa</t>
  </si>
  <si>
    <t>Gallagher</t>
  </si>
  <si>
    <t>Anya</t>
  </si>
  <si>
    <t>Cami</t>
  </si>
  <si>
    <t>Williamson</t>
  </si>
  <si>
    <t>Qiana</t>
  </si>
  <si>
    <t>Lekisha</t>
  </si>
  <si>
    <t>Andria</t>
  </si>
  <si>
    <t>Lizzette</t>
  </si>
  <si>
    <t>Stein</t>
  </si>
  <si>
    <t>Celestine</t>
  </si>
  <si>
    <t>Kent</t>
  </si>
  <si>
    <t>Nathalie</t>
  </si>
  <si>
    <t>Letisha</t>
  </si>
  <si>
    <t>Verdell</t>
  </si>
  <si>
    <t>Philip</t>
  </si>
  <si>
    <t>Calhoun</t>
  </si>
  <si>
    <t>Bernardina</t>
  </si>
  <si>
    <t>Minnie</t>
  </si>
  <si>
    <t>Narcisa</t>
  </si>
  <si>
    <t>Jenell</t>
  </si>
  <si>
    <t>Catarina</t>
  </si>
  <si>
    <t>Mendez</t>
  </si>
  <si>
    <t>Kiana</t>
  </si>
  <si>
    <t>Bettye</t>
  </si>
  <si>
    <t>Lynda</t>
  </si>
  <si>
    <t>Myrtle</t>
  </si>
  <si>
    <t>Stacie</t>
  </si>
  <si>
    <t>Oliver</t>
  </si>
  <si>
    <t>Priscilla</t>
  </si>
  <si>
    <t>Natosha</t>
  </si>
  <si>
    <t>Rowland</t>
  </si>
  <si>
    <t>Kaley</t>
  </si>
  <si>
    <t>Nakisha</t>
  </si>
  <si>
    <t>Clay</t>
  </si>
  <si>
    <t>Maira</t>
  </si>
  <si>
    <t>Mechelle</t>
  </si>
  <si>
    <t>Rolanda</t>
  </si>
  <si>
    <t>Jacalyn</t>
  </si>
  <si>
    <t>Ami</t>
  </si>
  <si>
    <t>Junita</t>
  </si>
  <si>
    <t>Brewer</t>
  </si>
  <si>
    <t>Daisy</t>
  </si>
  <si>
    <t>Lucile</t>
  </si>
  <si>
    <t>Marcene</t>
  </si>
  <si>
    <t>Charmain</t>
  </si>
  <si>
    <t>Ollie</t>
  </si>
  <si>
    <t>Zimmerman</t>
  </si>
  <si>
    <t>Treasa</t>
  </si>
  <si>
    <t>Kallie</t>
  </si>
  <si>
    <t>Jewell</t>
  </si>
  <si>
    <t>Jeffrey</t>
  </si>
  <si>
    <t>Izola</t>
  </si>
  <si>
    <t>Hobbs</t>
  </si>
  <si>
    <t>Terra</t>
  </si>
  <si>
    <t>Eleanor</t>
  </si>
  <si>
    <t>Verna</t>
  </si>
  <si>
    <t>Kaila</t>
  </si>
  <si>
    <t>Walters</t>
  </si>
  <si>
    <t>Clare</t>
  </si>
  <si>
    <t>Nenita</t>
  </si>
  <si>
    <t>Rudolph</t>
  </si>
  <si>
    <t>Alina</t>
  </si>
  <si>
    <t>Mcleod</t>
  </si>
  <si>
    <t>Genevie</t>
  </si>
  <si>
    <t>Sung</t>
  </si>
  <si>
    <t>Grisel</t>
  </si>
  <si>
    <t>Letty</t>
  </si>
  <si>
    <t>Danielle</t>
  </si>
  <si>
    <t>Bond</t>
  </si>
  <si>
    <t>Ling</t>
  </si>
  <si>
    <t>Robena</t>
  </si>
  <si>
    <t>Aron</t>
  </si>
  <si>
    <t>Teofila</t>
  </si>
  <si>
    <t>Terrance</t>
  </si>
  <si>
    <t>Rubin</t>
  </si>
  <si>
    <t>Jeannette</t>
  </si>
  <si>
    <t>Corrinne</t>
  </si>
  <si>
    <t>Lakenya</t>
  </si>
  <si>
    <t>Laurette</t>
  </si>
  <si>
    <t>Shanice</t>
  </si>
  <si>
    <t>Spears</t>
  </si>
  <si>
    <t>Leola</t>
  </si>
  <si>
    <t>Willetta</t>
  </si>
  <si>
    <t>Murphy</t>
  </si>
  <si>
    <t>Melia</t>
  </si>
  <si>
    <t>Brady</t>
  </si>
  <si>
    <t>Jenee</t>
  </si>
  <si>
    <t>Shae</t>
  </si>
  <si>
    <t>Hickman</t>
  </si>
  <si>
    <t>Garret</t>
  </si>
  <si>
    <t>Elvina</t>
  </si>
  <si>
    <t>Gates</t>
  </si>
  <si>
    <t>Veronika</t>
  </si>
  <si>
    <t>Jane</t>
  </si>
  <si>
    <t>Merideth</t>
  </si>
  <si>
    <t>Melodie</t>
  </si>
  <si>
    <t>Earl</t>
  </si>
  <si>
    <t>Jeanice</t>
  </si>
  <si>
    <t>Sweeney</t>
  </si>
  <si>
    <t>Ilona</t>
  </si>
  <si>
    <t>Cassidy</t>
  </si>
  <si>
    <t>Caridad</t>
  </si>
  <si>
    <t>Nicolas</t>
  </si>
  <si>
    <t>Charise</t>
  </si>
  <si>
    <t>Edith</t>
  </si>
  <si>
    <t>Shanita</t>
  </si>
  <si>
    <t>Wiley</t>
  </si>
  <si>
    <t>Porter</t>
  </si>
  <si>
    <t>Sylvester</t>
  </si>
  <si>
    <t>Georgeanna</t>
  </si>
  <si>
    <t>Abby</t>
  </si>
  <si>
    <t>Kylee</t>
  </si>
  <si>
    <t>Dickson</t>
  </si>
  <si>
    <t>Jessika</t>
  </si>
  <si>
    <t>Bray</t>
  </si>
  <si>
    <t>Carline</t>
  </si>
  <si>
    <t>Janetta</t>
  </si>
  <si>
    <t>Aguirre</t>
  </si>
  <si>
    <t>Queenie</t>
  </si>
  <si>
    <t>Mellie</t>
  </si>
  <si>
    <t>Puckett</t>
  </si>
  <si>
    <t>Cher</t>
  </si>
  <si>
    <t>Ayana</t>
  </si>
  <si>
    <t>Keith</t>
  </si>
  <si>
    <t>Rod</t>
  </si>
  <si>
    <t>Hatfield</t>
  </si>
  <si>
    <t>Cicely</t>
  </si>
  <si>
    <t>Erma</t>
  </si>
  <si>
    <t>Minerva</t>
  </si>
  <si>
    <t>Augustina</t>
  </si>
  <si>
    <t>Delfina</t>
  </si>
  <si>
    <t>Jana</t>
  </si>
  <si>
    <t>Ruth</t>
  </si>
  <si>
    <t>Horton</t>
  </si>
  <si>
    <t>Hae</t>
  </si>
  <si>
    <t>Raeann</t>
  </si>
  <si>
    <t>Waters</t>
  </si>
  <si>
    <t>Vivian</t>
  </si>
  <si>
    <t>Deanne</t>
  </si>
  <si>
    <t>Alishia</t>
  </si>
  <si>
    <t>Sarita</t>
  </si>
  <si>
    <t>Muriel</t>
  </si>
  <si>
    <t>Brigid</t>
  </si>
  <si>
    <t>Sharp</t>
  </si>
  <si>
    <t>Bess</t>
  </si>
  <si>
    <t>Kara</t>
  </si>
  <si>
    <t>Nicola</t>
  </si>
  <si>
    <t>Malinda</t>
  </si>
  <si>
    <t>Baxter</t>
  </si>
  <si>
    <t>Christopher</t>
  </si>
  <si>
    <t>Katia</t>
  </si>
  <si>
    <t>Santa</t>
  </si>
  <si>
    <t>Maurice</t>
  </si>
  <si>
    <t>Norton</t>
  </si>
  <si>
    <t>Berneice</t>
  </si>
  <si>
    <t>Takako</t>
  </si>
  <si>
    <t>Mullen</t>
  </si>
  <si>
    <t>Shena</t>
  </si>
  <si>
    <t>Deirdre</t>
  </si>
  <si>
    <t>Morrison</t>
  </si>
  <si>
    <t>Ja</t>
  </si>
  <si>
    <t>Spring</t>
  </si>
  <si>
    <t>Tena</t>
  </si>
  <si>
    <t>Cruz</t>
  </si>
  <si>
    <t>Rey</t>
  </si>
  <si>
    <t>Aida</t>
  </si>
  <si>
    <t>Alma</t>
  </si>
  <si>
    <t>Latonya</t>
  </si>
  <si>
    <t>Kiesha</t>
  </si>
  <si>
    <t>Jimmy</t>
  </si>
  <si>
    <t>Russell</t>
  </si>
  <si>
    <t>Marguerite</t>
  </si>
  <si>
    <t>Nubia</t>
  </si>
  <si>
    <t>Joel</t>
  </si>
  <si>
    <t>Mathilda</t>
  </si>
  <si>
    <t>Pennington</t>
  </si>
  <si>
    <t>Renay</t>
  </si>
  <si>
    <t>Atkins</t>
  </si>
  <si>
    <t>Joaquin</t>
  </si>
  <si>
    <t>Hawkins</t>
  </si>
  <si>
    <t>Elmira</t>
  </si>
  <si>
    <t>Levy</t>
  </si>
  <si>
    <t>Lynwood</t>
  </si>
  <si>
    <t>Jacobs</t>
  </si>
  <si>
    <t>Tenisha</t>
  </si>
  <si>
    <t>Kenyetta</t>
  </si>
  <si>
    <t>Mason</t>
  </si>
  <si>
    <t>Erik</t>
  </si>
  <si>
    <t>Leblanc</t>
  </si>
  <si>
    <t>Zora</t>
  </si>
  <si>
    <t>Lara</t>
  </si>
  <si>
    <t>Desire</t>
  </si>
  <si>
    <t>Stefany</t>
  </si>
  <si>
    <t>Potter</t>
  </si>
  <si>
    <t>Louis</t>
  </si>
  <si>
    <t>Powell</t>
  </si>
  <si>
    <t>Linnie</t>
  </si>
  <si>
    <t>Earlean</t>
  </si>
  <si>
    <t>Cassandra</t>
  </si>
  <si>
    <t>Bella</t>
  </si>
  <si>
    <t>Kellie</t>
  </si>
  <si>
    <t>Katherin</t>
  </si>
  <si>
    <t>Monica</t>
  </si>
  <si>
    <t>Diane</t>
  </si>
  <si>
    <t>Tiny</t>
  </si>
  <si>
    <t>French</t>
  </si>
  <si>
    <t>Carolann</t>
  </si>
  <si>
    <t>Cinthia</t>
  </si>
  <si>
    <t>Poole</t>
  </si>
  <si>
    <t>Rayford</t>
  </si>
  <si>
    <t>Simon</t>
  </si>
  <si>
    <t>Bev</t>
  </si>
  <si>
    <t>Chang</t>
  </si>
  <si>
    <t>Lavern</t>
  </si>
  <si>
    <t>Erna</t>
  </si>
  <si>
    <t>Sloan</t>
  </si>
  <si>
    <t>Jonell</t>
  </si>
  <si>
    <t>Rivas</t>
  </si>
  <si>
    <t>Ester</t>
  </si>
  <si>
    <t>Lavina</t>
  </si>
  <si>
    <t>Emory</t>
  </si>
  <si>
    <t>Latoya</t>
  </si>
  <si>
    <t>Addie</t>
  </si>
  <si>
    <t>Hahn</t>
  </si>
  <si>
    <t>Patria</t>
  </si>
  <si>
    <t>Harper</t>
  </si>
  <si>
    <t>Tara</t>
  </si>
  <si>
    <t>Mazie</t>
  </si>
  <si>
    <t>Gayla</t>
  </si>
  <si>
    <t>Britteny</t>
  </si>
  <si>
    <t>Frederica</t>
  </si>
  <si>
    <t>Laurel</t>
  </si>
  <si>
    <t>Zenia</t>
  </si>
  <si>
    <t>Bruce</t>
  </si>
  <si>
    <t>Homer</t>
  </si>
  <si>
    <t>Dortha</t>
  </si>
  <si>
    <t>Jerlene</t>
  </si>
  <si>
    <t>Julianne</t>
  </si>
  <si>
    <t>Shannon</t>
  </si>
  <si>
    <t>Orval</t>
  </si>
  <si>
    <t>Reita</t>
  </si>
  <si>
    <t>Sandy</t>
  </si>
  <si>
    <t>Sheba</t>
  </si>
  <si>
    <t>Sophia</t>
  </si>
  <si>
    <t>Kristy</t>
  </si>
  <si>
    <t>Watkins</t>
  </si>
  <si>
    <t>Mireille</t>
  </si>
  <si>
    <t>Leland</t>
  </si>
  <si>
    <t>Mcdowell</t>
  </si>
  <si>
    <t>Fairy</t>
  </si>
  <si>
    <t>Robinson</t>
  </si>
  <si>
    <t>Greta</t>
  </si>
  <si>
    <t>Shanda</t>
  </si>
  <si>
    <t>Ping</t>
  </si>
  <si>
    <t>Desmond</t>
  </si>
  <si>
    <t>Rose</t>
  </si>
  <si>
    <t>Wanita</t>
  </si>
  <si>
    <t>Louise</t>
  </si>
  <si>
    <t>Flowers</t>
  </si>
  <si>
    <t>Stan</t>
  </si>
  <si>
    <t>Cayla</t>
  </si>
  <si>
    <t>Fannie</t>
  </si>
  <si>
    <t>Katherina</t>
  </si>
  <si>
    <t>Tameka</t>
  </si>
  <si>
    <t>Alisia</t>
  </si>
  <si>
    <t>Wilda</t>
  </si>
  <si>
    <t>Petersen</t>
  </si>
  <si>
    <t>Emanuel</t>
  </si>
  <si>
    <t>Yuk</t>
  </si>
  <si>
    <t>Guillermina</t>
  </si>
  <si>
    <t>Karey</t>
  </si>
  <si>
    <t>O'Neill</t>
  </si>
  <si>
    <t>O'Neal</t>
  </si>
  <si>
    <t>O'Donnell</t>
  </si>
  <si>
    <t>O'Neil</t>
  </si>
  <si>
    <t>O'Connor</t>
  </si>
  <si>
    <t>email</t>
  </si>
  <si>
    <t>street</t>
  </si>
  <si>
    <t>city</t>
  </si>
  <si>
    <t>state</t>
  </si>
  <si>
    <t>zip_code</t>
  </si>
  <si>
    <t>Phone_No</t>
  </si>
  <si>
    <t>johnathan.velazquez@hotmail.com</t>
  </si>
  <si>
    <t xml:space="preserve">9680 E. Somerset Street </t>
  </si>
  <si>
    <t>Pleasanton</t>
  </si>
  <si>
    <t>CA</t>
  </si>
  <si>
    <t>jaqueline.cummings@hotmail.com</t>
  </si>
  <si>
    <t xml:space="preserve">478 Wrangler St. </t>
  </si>
  <si>
    <t>Huntington Station</t>
  </si>
  <si>
    <t>NY</t>
  </si>
  <si>
    <t>joshua.robertson@gmail.com</t>
  </si>
  <si>
    <t xml:space="preserve">81 Campfire Court </t>
  </si>
  <si>
    <t>Patchogue</t>
  </si>
  <si>
    <t>nova.hess@msn.com</t>
  </si>
  <si>
    <t xml:space="preserve">773 South Lafayette St. </t>
  </si>
  <si>
    <t>Duarte</t>
  </si>
  <si>
    <t>arla.ellis@yahoo.com</t>
  </si>
  <si>
    <t xml:space="preserve">127 Crescent Ave. </t>
  </si>
  <si>
    <t>Utica</t>
  </si>
  <si>
    <t>sharyn.hopkins@hotmail.com</t>
  </si>
  <si>
    <t xml:space="preserve">4 South Temple Ave. </t>
  </si>
  <si>
    <t>Baldwinsville</t>
  </si>
  <si>
    <t>laureen.paul@yahoo.com</t>
  </si>
  <si>
    <t xml:space="preserve">617 Squaw Creek Rd. </t>
  </si>
  <si>
    <t>Bellmore</t>
  </si>
  <si>
    <t>leslie.higgins@hotmail.com</t>
  </si>
  <si>
    <t xml:space="preserve">805 Logan Ave. </t>
  </si>
  <si>
    <t>Saratoga Springs</t>
  </si>
  <si>
    <t>neil.mccall@gmail.com</t>
  </si>
  <si>
    <t xml:space="preserve">7476 Oakland Dr. </t>
  </si>
  <si>
    <t>San Carlos</t>
  </si>
  <si>
    <t>(914) 706-7576</t>
  </si>
  <si>
    <t>alane.munoz@gmail.com</t>
  </si>
  <si>
    <t xml:space="preserve">8 Strawberry Dr. </t>
  </si>
  <si>
    <t>Yonkers</t>
  </si>
  <si>
    <t>tarra.guerrero@aol.com</t>
  </si>
  <si>
    <t xml:space="preserve">10 Baker St. </t>
  </si>
  <si>
    <t>Auburn</t>
  </si>
  <si>
    <t>(619) 635-2027</t>
  </si>
  <si>
    <t>marvin.mullins@aol.com</t>
  </si>
  <si>
    <t xml:space="preserve">7489 Redwood Drive </t>
  </si>
  <si>
    <t>San Diego</t>
  </si>
  <si>
    <t>patience.clayton@hotmail.com</t>
  </si>
  <si>
    <t xml:space="preserve">68 Chestnut Dr. </t>
  </si>
  <si>
    <t>Niagara Falls</t>
  </si>
  <si>
    <t>maribel.william@aol.com</t>
  </si>
  <si>
    <t xml:space="preserve">65 Magnolia Ave. </t>
  </si>
  <si>
    <t>Torrance</t>
  </si>
  <si>
    <t>ellsworth.michael@yahoo.com</t>
  </si>
  <si>
    <t xml:space="preserve">9982 White St. </t>
  </si>
  <si>
    <t>Carmel</t>
  </si>
  <si>
    <t>lea.key@yahoo.com</t>
  </si>
  <si>
    <t xml:space="preserve">7 Ocean St. </t>
  </si>
  <si>
    <t>Banning</t>
  </si>
  <si>
    <t>sindy.anderson@gmail.com</t>
  </si>
  <si>
    <t xml:space="preserve">543 Halifax Ave. </t>
  </si>
  <si>
    <t>Pomona</t>
  </si>
  <si>
    <t>lanita.burton@msn.com</t>
  </si>
  <si>
    <t xml:space="preserve">8980 Aspen Avenue </t>
  </si>
  <si>
    <t>Coachella</t>
  </si>
  <si>
    <t>norine.huffman@aol.com</t>
  </si>
  <si>
    <t xml:space="preserve">363 Dunbar Drive </t>
  </si>
  <si>
    <t>Encino</t>
  </si>
  <si>
    <t>randee.pitts@msn.com</t>
  </si>
  <si>
    <t xml:space="preserve">7371B Essex Street </t>
  </si>
  <si>
    <t>Canyon Country</t>
  </si>
  <si>
    <t>neoma.daugherty@gmail.com</t>
  </si>
  <si>
    <t xml:space="preserve">80 Spring Street </t>
  </si>
  <si>
    <t>Mount Vernon</t>
  </si>
  <si>
    <t>tangela.hurley@msn.com</t>
  </si>
  <si>
    <t xml:space="preserve">49 North Cross St. </t>
  </si>
  <si>
    <t>drucilla.gilliam@hotmail.com</t>
  </si>
  <si>
    <t xml:space="preserve">8257 E. Westminster Ave. </t>
  </si>
  <si>
    <t>Santa Clara</t>
  </si>
  <si>
    <t>ashton.lott@hotmail.com</t>
  </si>
  <si>
    <t xml:space="preserve">609 Windfall Lane </t>
  </si>
  <si>
    <t>Floral Park</t>
  </si>
  <si>
    <t>sam.lester@gmail.com</t>
  </si>
  <si>
    <t xml:space="preserve">563 South Beacon Lane </t>
  </si>
  <si>
    <t>jackeline.colon@msn.com</t>
  </si>
  <si>
    <t xml:space="preserve">9916 Cedarwood Drive </t>
  </si>
  <si>
    <t>Wappingers Falls</t>
  </si>
  <si>
    <t>pamala.henry@aol.com</t>
  </si>
  <si>
    <t xml:space="preserve">197 Bridgeton Ave. </t>
  </si>
  <si>
    <t>Bronx</t>
  </si>
  <si>
    <t>eleni.gordon@hotmail.com</t>
  </si>
  <si>
    <t xml:space="preserve">583 W. San Carlos Street </t>
  </si>
  <si>
    <t>Richmond Hill</t>
  </si>
  <si>
    <t>laureen.barry@yahoo.com</t>
  </si>
  <si>
    <t xml:space="preserve">909 Ridge St. </t>
  </si>
  <si>
    <t>Orchard Park</t>
  </si>
  <si>
    <t>yvone.guerrero@aol.com</t>
  </si>
  <si>
    <t xml:space="preserve">8548 Jackson Ave. </t>
  </si>
  <si>
    <t>Merrick</t>
  </si>
  <si>
    <t>edgar.quinn@aol.com</t>
  </si>
  <si>
    <t xml:space="preserve">556 Dogwood Ave. </t>
  </si>
  <si>
    <t>Harlingen</t>
  </si>
  <si>
    <t>TX</t>
  </si>
  <si>
    <t>kimbery.nieves@msn.com</t>
  </si>
  <si>
    <t xml:space="preserve">768 Roehampton St. </t>
  </si>
  <si>
    <t>verona.o'neill@hotmail.com</t>
  </si>
  <si>
    <t xml:space="preserve">8279 W. Sussex St. </t>
  </si>
  <si>
    <t>Selden</t>
  </si>
  <si>
    <t>(716) 912-8110</t>
  </si>
  <si>
    <t>sarai.mckee@msn.com</t>
  </si>
  <si>
    <t xml:space="preserve">641 Glenwood Avenue </t>
  </si>
  <si>
    <t>Buffalo</t>
  </si>
  <si>
    <t>neville.mcclain@yahoo.com</t>
  </si>
  <si>
    <t xml:space="preserve">781 Buttonwood Ave. </t>
  </si>
  <si>
    <t>West Hempstead</t>
  </si>
  <si>
    <t>shantel.gregory@yahoo.com</t>
  </si>
  <si>
    <t xml:space="preserve">7722 Second Lane </t>
  </si>
  <si>
    <t>West Islip</t>
  </si>
  <si>
    <t>tomika.larson@yahoo.com</t>
  </si>
  <si>
    <t xml:space="preserve">254 Canal St. </t>
  </si>
  <si>
    <t>Woodside</t>
  </si>
  <si>
    <t>(562) 327-9469</t>
  </si>
  <si>
    <t>lashandra.turner@hotmail.com</t>
  </si>
  <si>
    <t xml:space="preserve">11 Marlborough Rd. </t>
  </si>
  <si>
    <t>Long Beach</t>
  </si>
  <si>
    <t>travis.whitley@aol.com</t>
  </si>
  <si>
    <t xml:space="preserve">60 Euclid Ave. </t>
  </si>
  <si>
    <t>Saint Albans</t>
  </si>
  <si>
    <t>darren.witt@aol.com</t>
  </si>
  <si>
    <t xml:space="preserve">916 Hillcrest Ave. </t>
  </si>
  <si>
    <t>ingeborg.ellison@yahoo.com</t>
  </si>
  <si>
    <t xml:space="preserve">360 Trusel St. </t>
  </si>
  <si>
    <t>Ithaca</t>
  </si>
  <si>
    <t>corene.swanson@aol.com</t>
  </si>
  <si>
    <t xml:space="preserve">597 Lakeshore Lane </t>
  </si>
  <si>
    <t>Rego Park</t>
  </si>
  <si>
    <t>elana.miles@yahoo.com</t>
  </si>
  <si>
    <t xml:space="preserve">7077 Euclid Ave. </t>
  </si>
  <si>
    <t>Liverpool</t>
  </si>
  <si>
    <t>olympia.figueroa@hotmail.com</t>
  </si>
  <si>
    <t xml:space="preserve">587 Surrey St. </t>
  </si>
  <si>
    <t>Hopewell Junction</t>
  </si>
  <si>
    <t>carissa.cross@yahoo.com</t>
  </si>
  <si>
    <t xml:space="preserve">9335 West Main Dr. </t>
  </si>
  <si>
    <t>eldridge.greer@aol.com</t>
  </si>
  <si>
    <t xml:space="preserve">131 E. Madison St. </t>
  </si>
  <si>
    <t>Central Islip</t>
  </si>
  <si>
    <t>joshua.berg@hotmail.com</t>
  </si>
  <si>
    <t xml:space="preserve">16 East St. </t>
  </si>
  <si>
    <t>Ossining</t>
  </si>
  <si>
    <t>josephine.dale@aol.com</t>
  </si>
  <si>
    <t xml:space="preserve">8214 West Drive </t>
  </si>
  <si>
    <t>taisha.vang@yahoo.com</t>
  </si>
  <si>
    <t xml:space="preserve">660 East Foster Lane </t>
  </si>
  <si>
    <t>Shirley</t>
  </si>
  <si>
    <t>(361) 219-2149</t>
  </si>
  <si>
    <t>silas.tate@yahoo.com</t>
  </si>
  <si>
    <t xml:space="preserve">9754 53rd Court </t>
  </si>
  <si>
    <t>Corpus Christi</t>
  </si>
  <si>
    <t>jamaal.baker@hotmail.com</t>
  </si>
  <si>
    <t xml:space="preserve">186 Big Rock Cove Ave. </t>
  </si>
  <si>
    <t>Elmhurst</t>
  </si>
  <si>
    <t>(657) 988-1904</t>
  </si>
  <si>
    <t>twana.arnold@msn.com</t>
  </si>
  <si>
    <t xml:space="preserve">47 North Fairground Lane </t>
  </si>
  <si>
    <t>Anaheim</t>
  </si>
  <si>
    <t>margit.osborn@yahoo.com</t>
  </si>
  <si>
    <t xml:space="preserve">909 Gulf Drive </t>
  </si>
  <si>
    <t>Plainview</t>
  </si>
  <si>
    <t>(562) 719-5041</t>
  </si>
  <si>
    <t>inge.olsen@msn.com</t>
  </si>
  <si>
    <t xml:space="preserve">295 Iroquois Rd. </t>
  </si>
  <si>
    <t>chanel.may@msn.com</t>
  </si>
  <si>
    <t xml:space="preserve">806 Saxton Court </t>
  </si>
  <si>
    <t>Garden City</t>
  </si>
  <si>
    <t>nathaniel.davidson@hotmail.com</t>
  </si>
  <si>
    <t xml:space="preserve">7476 Henry Smith Street </t>
  </si>
  <si>
    <t>Rome</t>
  </si>
  <si>
    <t>(507) 186-2004</t>
  </si>
  <si>
    <t>dalia.carson@aol.com</t>
  </si>
  <si>
    <t xml:space="preserve">7175 Galvin St. </t>
  </si>
  <si>
    <t>Rochester</t>
  </si>
  <si>
    <t>tiana.henderson@aol.com</t>
  </si>
  <si>
    <t xml:space="preserve">62 Orange St. </t>
  </si>
  <si>
    <t>Franklin Square</t>
  </si>
  <si>
    <t>rodney.odom@yahoo.com</t>
  </si>
  <si>
    <t xml:space="preserve">7782 North Deerfield Lane </t>
  </si>
  <si>
    <t>joesph.delacruz@aol.com</t>
  </si>
  <si>
    <t xml:space="preserve">184 Cypress Street </t>
  </si>
  <si>
    <t>Atwater</t>
  </si>
  <si>
    <t>mark.garrett@msn.com</t>
  </si>
  <si>
    <t xml:space="preserve">285 Rosewood Dr. </t>
  </si>
  <si>
    <t>denis.logan@msn.com</t>
  </si>
  <si>
    <t xml:space="preserve">121 Rockcrest Street </t>
  </si>
  <si>
    <t>Ridgecrest</t>
  </si>
  <si>
    <t>dann.huff@gmail.com</t>
  </si>
  <si>
    <t xml:space="preserve">475 S. Rockville St. </t>
  </si>
  <si>
    <t>corine.stuart@msn.com</t>
  </si>
  <si>
    <t xml:space="preserve">5 Penn Street </t>
  </si>
  <si>
    <t>Clifton Park</t>
  </si>
  <si>
    <t>serafina.clemons@gmail.com</t>
  </si>
  <si>
    <t xml:space="preserve">851 Brown Ave. </t>
  </si>
  <si>
    <t>susannah.fields@hotmail.com</t>
  </si>
  <si>
    <t xml:space="preserve">17 Railroad Street </t>
  </si>
  <si>
    <t>Far Rockaway</t>
  </si>
  <si>
    <t>lazaro.moran@gmail.com</t>
  </si>
  <si>
    <t xml:space="preserve">83 E. Buttonwood Street </t>
  </si>
  <si>
    <t>Sugar Land</t>
  </si>
  <si>
    <t>kristen.alvarez@aol.com</t>
  </si>
  <si>
    <t xml:space="preserve">9778 North River St. </t>
  </si>
  <si>
    <t>ophelia.decker@yahoo.com</t>
  </si>
  <si>
    <t xml:space="preserve">69 Rockwell Court </t>
  </si>
  <si>
    <t>New Windsor</t>
  </si>
  <si>
    <t>cleotilde.booth@gmail.com</t>
  </si>
  <si>
    <t xml:space="preserve">17 Corona St. </t>
  </si>
  <si>
    <t>cathey.lamb@msn.com</t>
  </si>
  <si>
    <t xml:space="preserve">9621 Ryan Drive </t>
  </si>
  <si>
    <t>Bayside</t>
  </si>
  <si>
    <t>(619) 685-5786</t>
  </si>
  <si>
    <t>cesar.wilkins@hotmail.com</t>
  </si>
  <si>
    <t xml:space="preserve">7 Inverness St. </t>
  </si>
  <si>
    <t>gabriel.wagner@msn.com</t>
  </si>
  <si>
    <t xml:space="preserve">7921 Manhattan Ave. </t>
  </si>
  <si>
    <t>Ballston Spa</t>
  </si>
  <si>
    <t>mariela.huffman@gmail.com</t>
  </si>
  <si>
    <t xml:space="preserve">531 Fieldstone Road </t>
  </si>
  <si>
    <t>euna.lopez@gmail.com</t>
  </si>
  <si>
    <t xml:space="preserve">7979 South Mountainview Ave. </t>
  </si>
  <si>
    <t>genoveva.baldwin@msn.com</t>
  </si>
  <si>
    <t xml:space="preserve">8550 Spruce Drive </t>
  </si>
  <si>
    <t>Port Washington</t>
  </si>
  <si>
    <t>rochelle.ward@yahoo.com</t>
  </si>
  <si>
    <t xml:space="preserve">7855 La Sierra Street </t>
  </si>
  <si>
    <t>Glendora</t>
  </si>
  <si>
    <t>trinidad.chapman@aol.com</t>
  </si>
  <si>
    <t xml:space="preserve">7371 Glen Eagles Street </t>
  </si>
  <si>
    <t>Ronkonkoma</t>
  </si>
  <si>
    <t>ellena.clements@aol.com</t>
  </si>
  <si>
    <t xml:space="preserve">7918 Mulberry Street </t>
  </si>
  <si>
    <t>Santa Monica</t>
  </si>
  <si>
    <t>jeannie.wilcox@yahoo.com</t>
  </si>
  <si>
    <t xml:space="preserve">7744 Miles Dr. </t>
  </si>
  <si>
    <t>max.charles@gmail.com</t>
  </si>
  <si>
    <t xml:space="preserve">695 St Paul Street </t>
  </si>
  <si>
    <t>Glen Cove</t>
  </si>
  <si>
    <t>bronwyn.vargas@msn.com</t>
  </si>
  <si>
    <t xml:space="preserve">35 James Street </t>
  </si>
  <si>
    <t>gertrude.terry@hotmail.com</t>
  </si>
  <si>
    <t xml:space="preserve">34 Airport Dr. </t>
  </si>
  <si>
    <t>Upland</t>
  </si>
  <si>
    <t>christia.wilkins@msn.com</t>
  </si>
  <si>
    <t xml:space="preserve">7062 Willow Court </t>
  </si>
  <si>
    <t>(914) 402-4335</t>
  </si>
  <si>
    <t>aaron.knapp@yahoo.com</t>
  </si>
  <si>
    <t xml:space="preserve">807 Grandrose Ave. </t>
  </si>
  <si>
    <t>lavette.wright@msn.com</t>
  </si>
  <si>
    <t xml:space="preserve">6 Windsor Street </t>
  </si>
  <si>
    <t>rosa.kinney@yahoo.com</t>
  </si>
  <si>
    <t xml:space="preserve">330 Highland Drive </t>
  </si>
  <si>
    <t>Brooklyn</t>
  </si>
  <si>
    <t>rodolfo.buck@gmail.com</t>
  </si>
  <si>
    <t xml:space="preserve">8359 Brewery Street </t>
  </si>
  <si>
    <t>calandra.stanton@aol.com</t>
  </si>
  <si>
    <t xml:space="preserve">36 Livingston Dr. </t>
  </si>
  <si>
    <t>Lake Jackson</t>
  </si>
  <si>
    <t>romaine.haley@aol.com</t>
  </si>
  <si>
    <t xml:space="preserve">737 Edgefield Drive </t>
  </si>
  <si>
    <t>catrice.hicks@yahoo.com</t>
  </si>
  <si>
    <t xml:space="preserve">403 Inverness Street </t>
  </si>
  <si>
    <t>San Pablo</t>
  </si>
  <si>
    <t>kimberli.cline@yahoo.com</t>
  </si>
  <si>
    <t xml:space="preserve">7115 Stonybrook Court </t>
  </si>
  <si>
    <t>Centereach</t>
  </si>
  <si>
    <t>cindie.franklin@yahoo.com</t>
  </si>
  <si>
    <t xml:space="preserve">7249 Franklin St. </t>
  </si>
  <si>
    <t>Lawndale</t>
  </si>
  <si>
    <t>thurman.ellis@gmail.com</t>
  </si>
  <si>
    <t xml:space="preserve">20 Augusta Road </t>
  </si>
  <si>
    <t>casey.gill@gmail.com</t>
  </si>
  <si>
    <t xml:space="preserve">636 Prospect Avenue </t>
  </si>
  <si>
    <t>keitha.black@yahoo.com</t>
  </si>
  <si>
    <t xml:space="preserve">7670 Hilldale Ave. </t>
  </si>
  <si>
    <t>Lindenhurst</t>
  </si>
  <si>
    <t>alpha.king@hotmail.com</t>
  </si>
  <si>
    <t xml:space="preserve">14 Henry Smith St. </t>
  </si>
  <si>
    <t>Rockville Centre</t>
  </si>
  <si>
    <t>leticia.snyder@yahoo.com</t>
  </si>
  <si>
    <t xml:space="preserve">173 Lyme Dr. </t>
  </si>
  <si>
    <t>Pittsford</t>
  </si>
  <si>
    <t>(682) 936-1482</t>
  </si>
  <si>
    <t>rikki.morrow@hotmail.com</t>
  </si>
  <si>
    <t xml:space="preserve">7096 Plumb Branch Road </t>
  </si>
  <si>
    <t>Fort Worth</t>
  </si>
  <si>
    <t>luke.kramer@hotmail.com</t>
  </si>
  <si>
    <t xml:space="preserve">7955 Delaware Drive </t>
  </si>
  <si>
    <t>Bethpage</t>
  </si>
  <si>
    <t>katheleen.marks@yahoo.com</t>
  </si>
  <si>
    <t xml:space="preserve">69 North Tower St. </t>
  </si>
  <si>
    <t>Longview</t>
  </si>
  <si>
    <t>(717) 126-8787</t>
  </si>
  <si>
    <t>trisha.johnson@msn.com</t>
  </si>
  <si>
    <t xml:space="preserve">59 Wild Horse St. </t>
  </si>
  <si>
    <t>Lancaster</t>
  </si>
  <si>
    <t>brigida.larson@hotmail.com</t>
  </si>
  <si>
    <t xml:space="preserve">8789 Sycamore Lane </t>
  </si>
  <si>
    <t>(716) 986-3359</t>
  </si>
  <si>
    <t>latasha.hays@hotmail.com</t>
  </si>
  <si>
    <t xml:space="preserve">7014 Manor Station Rd. </t>
  </si>
  <si>
    <t>vikki.erickson@yahoo.com</t>
  </si>
  <si>
    <t xml:space="preserve">24 Jones Street </t>
  </si>
  <si>
    <t>Kingston</t>
  </si>
  <si>
    <t>valery.saunders@msn.com</t>
  </si>
  <si>
    <t xml:space="preserve">42 Marlborough St. </t>
  </si>
  <si>
    <t>Victoria</t>
  </si>
  <si>
    <t>(657) 378-8011</t>
  </si>
  <si>
    <t>kiara.deleon@gmail.com</t>
  </si>
  <si>
    <t xml:space="preserve">164 Addison Drive </t>
  </si>
  <si>
    <t>(516) 583-7761</t>
  </si>
  <si>
    <t>robby.sykes@hotmail.com</t>
  </si>
  <si>
    <t xml:space="preserve">486 Rock Maple Street </t>
  </si>
  <si>
    <t>Hempstead</t>
  </si>
  <si>
    <t>ben.stone@gmail.com</t>
  </si>
  <si>
    <t xml:space="preserve">8855 University St. </t>
  </si>
  <si>
    <t>launa.hull@yahoo.com</t>
  </si>
  <si>
    <t xml:space="preserve">936 Grove Street </t>
  </si>
  <si>
    <t>Helotes</t>
  </si>
  <si>
    <t>zulema.browning@gmail.com</t>
  </si>
  <si>
    <t xml:space="preserve">12 NW. Lafayette St. </t>
  </si>
  <si>
    <t>Amsterdam</t>
  </si>
  <si>
    <t>micki.rutledge@aol.com</t>
  </si>
  <si>
    <t xml:space="preserve">9868 Marvon Street </t>
  </si>
  <si>
    <t>theresia.barron@aol.com</t>
  </si>
  <si>
    <t xml:space="preserve">951 Wild Rose Street </t>
  </si>
  <si>
    <t>Forest Hills</t>
  </si>
  <si>
    <t>mark.benton@aol.com</t>
  </si>
  <si>
    <t xml:space="preserve">83 Eagle St. </t>
  </si>
  <si>
    <t>East Elmhurst</t>
  </si>
  <si>
    <t>starr.schneider@aol.com</t>
  </si>
  <si>
    <t xml:space="preserve">77 Mulberry Street </t>
  </si>
  <si>
    <t>burma.summers@yahoo.com</t>
  </si>
  <si>
    <t xml:space="preserve">890 East Elmwood Street </t>
  </si>
  <si>
    <t>Freeport</t>
  </si>
  <si>
    <t>gwenn.melton@yahoo.com</t>
  </si>
  <si>
    <t xml:space="preserve">9545 Wakehurst Drive </t>
  </si>
  <si>
    <t>danille.mcfarland@msn.com</t>
  </si>
  <si>
    <t xml:space="preserve">14 Tailwater St. </t>
  </si>
  <si>
    <t>Rocklin</t>
  </si>
  <si>
    <t>bryce.monroe@aol.com</t>
  </si>
  <si>
    <t xml:space="preserve">52 Cooper Lane </t>
  </si>
  <si>
    <t>(212) 211-7621</t>
  </si>
  <si>
    <t>sharie.alvarez@msn.com</t>
  </si>
  <si>
    <t xml:space="preserve">987 West Leatherwood Dr. </t>
  </si>
  <si>
    <t>New York</t>
  </si>
  <si>
    <t>tomika.wilder@aol.com</t>
  </si>
  <si>
    <t xml:space="preserve">142 South Ocean St. </t>
  </si>
  <si>
    <t>New Hyde Park</t>
  </si>
  <si>
    <t>wallace.lane@aol.com</t>
  </si>
  <si>
    <t xml:space="preserve">901 Liberty St. </t>
  </si>
  <si>
    <t>South Richmond Hill</t>
  </si>
  <si>
    <t>lecia.hancock@hotmail.com</t>
  </si>
  <si>
    <t xml:space="preserve">9167 Pineknoll St. </t>
  </si>
  <si>
    <t>Schenectady</t>
  </si>
  <si>
    <t>elouise.fry@aol.com</t>
  </si>
  <si>
    <t xml:space="preserve">49 Bohemia Street </t>
  </si>
  <si>
    <t>laverne.craft@aol.com</t>
  </si>
  <si>
    <t xml:space="preserve">829 N. Pierce Street </t>
  </si>
  <si>
    <t>shenna.espinoza@gmail.com</t>
  </si>
  <si>
    <t xml:space="preserve">202 North George Street </t>
  </si>
  <si>
    <t>Queensbury</t>
  </si>
  <si>
    <t>chelsey.boyd@yahoo.com</t>
  </si>
  <si>
    <t xml:space="preserve">9569 Birchpond Ave. </t>
  </si>
  <si>
    <t>Euless</t>
  </si>
  <si>
    <t>lissa.vargas@yahoo.com</t>
  </si>
  <si>
    <t xml:space="preserve">517 Victoria Ave. </t>
  </si>
  <si>
    <t>Oswego</t>
  </si>
  <si>
    <t>armand.whitehead@hotmail.com</t>
  </si>
  <si>
    <t xml:space="preserve">639 Harvey St. </t>
  </si>
  <si>
    <t>marcelino.mcbride@hotmail.com</t>
  </si>
  <si>
    <t xml:space="preserve">29 Oxford Ave. </t>
  </si>
  <si>
    <t>hortencia.graham@aol.com</t>
  </si>
  <si>
    <t xml:space="preserve">7764 Greenrose Street </t>
  </si>
  <si>
    <t>monika.berg@gmail.com</t>
  </si>
  <si>
    <t xml:space="preserve">369 Vernon Dr. </t>
  </si>
  <si>
    <t>jerome.bolton@msn.com</t>
  </si>
  <si>
    <t xml:space="preserve">9921 Argyle Street </t>
  </si>
  <si>
    <t>tuan.wolfe@aol.com</t>
  </si>
  <si>
    <t xml:space="preserve">7641 Oak Meadow Dr. </t>
  </si>
  <si>
    <t>West Babylon</t>
  </si>
  <si>
    <t>alexandria.zamora@yahoo.com</t>
  </si>
  <si>
    <t xml:space="preserve">95 Cherry Circle </t>
  </si>
  <si>
    <t>gena.owens@gmail.com</t>
  </si>
  <si>
    <t xml:space="preserve">43 Buckingham St. </t>
  </si>
  <si>
    <t>Desoto</t>
  </si>
  <si>
    <t>jina.cooper@aol.com</t>
  </si>
  <si>
    <t xml:space="preserve">8947 W. Lexington Rd. </t>
  </si>
  <si>
    <t>Howard Beach</t>
  </si>
  <si>
    <t>katharine.herrera@hotmail.com</t>
  </si>
  <si>
    <t xml:space="preserve">395 SE. Branch St. </t>
  </si>
  <si>
    <t>ezra.silva@msn.com</t>
  </si>
  <si>
    <t xml:space="preserve">8629 Catherine Rd. </t>
  </si>
  <si>
    <t>(631) 254-8497</t>
  </si>
  <si>
    <t>devin.velazquez@aol.com</t>
  </si>
  <si>
    <t xml:space="preserve">61 Redwood St. </t>
  </si>
  <si>
    <t>Brentwood</t>
  </si>
  <si>
    <t>erlene.cook@gmail.com</t>
  </si>
  <si>
    <t xml:space="preserve">89 Blue Spring Street </t>
  </si>
  <si>
    <t>(805) 763-4045</t>
  </si>
  <si>
    <t>regine.gonzales@gmail.com</t>
  </si>
  <si>
    <t xml:space="preserve">798 Court Drive </t>
  </si>
  <si>
    <t>Oxnard</t>
  </si>
  <si>
    <t>(516) 150-1321</t>
  </si>
  <si>
    <t>merlin.foreman@msn.com</t>
  </si>
  <si>
    <t xml:space="preserve">8198 North Rockaway St. </t>
  </si>
  <si>
    <t>hubert.reilly@hotmail.com</t>
  </si>
  <si>
    <t xml:space="preserve">9004 N. Lake Rd. </t>
  </si>
  <si>
    <t>Amityville</t>
  </si>
  <si>
    <t>lavonne.anderson@aol.com</t>
  </si>
  <si>
    <t xml:space="preserve">9420 Wintergreen Court </t>
  </si>
  <si>
    <t>keturah.massey@msn.com</t>
  </si>
  <si>
    <t xml:space="preserve">189 Arnold Drive </t>
  </si>
  <si>
    <t>diana.guerra@hotmail.com</t>
  </si>
  <si>
    <t xml:space="preserve">45 Chapel Ave. </t>
  </si>
  <si>
    <t>senaida.thompson@msn.com</t>
  </si>
  <si>
    <t xml:space="preserve">578 Golf Drive </t>
  </si>
  <si>
    <t>han.schneider@gmail.com</t>
  </si>
  <si>
    <t xml:space="preserve">40 Holly Street </t>
  </si>
  <si>
    <t>reena.higgins@gmail.com</t>
  </si>
  <si>
    <t xml:space="preserve">900 South Columbia Street </t>
  </si>
  <si>
    <t>(661) 464-1523</t>
  </si>
  <si>
    <t>katina.mcintosh@yahoo.com</t>
  </si>
  <si>
    <t xml:space="preserve">263 Swanson Dr. </t>
  </si>
  <si>
    <t>Bakersfield</t>
  </si>
  <si>
    <t>parker.prince@hotmail.com</t>
  </si>
  <si>
    <t xml:space="preserve">21 Sulphur Springs Drive </t>
  </si>
  <si>
    <t>Port Jefferson Station</t>
  </si>
  <si>
    <t>edda.young@gmail.com</t>
  </si>
  <si>
    <t xml:space="preserve">50 S. Airport Street </t>
  </si>
  <si>
    <t>North Tonawanda</t>
  </si>
  <si>
    <t>dione.pratt@msn.com</t>
  </si>
  <si>
    <t xml:space="preserve">864 Winding Way St. </t>
  </si>
  <si>
    <t>loni.duncan@gmail.com</t>
  </si>
  <si>
    <t xml:space="preserve">80 Saxton Lane </t>
  </si>
  <si>
    <t>Rosedale</t>
  </si>
  <si>
    <t>(408) 658-2285</t>
  </si>
  <si>
    <t>sheri.cole@aol.com</t>
  </si>
  <si>
    <t xml:space="preserve">479 Chapel Court </t>
  </si>
  <si>
    <t>San Jose</t>
  </si>
  <si>
    <t>(281) 489-9656</t>
  </si>
  <si>
    <t>mozelle.carter@aol.com</t>
  </si>
  <si>
    <t xml:space="preserve">895 Chestnut Ave. </t>
  </si>
  <si>
    <t>dacia.william@msn.com</t>
  </si>
  <si>
    <t xml:space="preserve">62 Cypress Drive </t>
  </si>
  <si>
    <t>araceli.golden@msn.com</t>
  </si>
  <si>
    <t xml:space="preserve">12 Ridgeview Ave. </t>
  </si>
  <si>
    <t>Fullerton</t>
  </si>
  <si>
    <t>harris.pittman@yahoo.com</t>
  </si>
  <si>
    <t xml:space="preserve">404 Cherry Hill Road </t>
  </si>
  <si>
    <t>Jamaica</t>
  </si>
  <si>
    <t>kasie.rodriquez@aol.com</t>
  </si>
  <si>
    <t xml:space="preserve">7 North Beech St. </t>
  </si>
  <si>
    <t>(510) 246-8375</t>
  </si>
  <si>
    <t>williemae.holloway@msn.com</t>
  </si>
  <si>
    <t xml:space="preserve">69 Cypress St. </t>
  </si>
  <si>
    <t>Oakland</t>
  </si>
  <si>
    <t>magdalena.sherman@gmail.com</t>
  </si>
  <si>
    <t xml:space="preserve">176 Sunbeam St. </t>
  </si>
  <si>
    <t>leonore.dorsey@yahoo.com</t>
  </si>
  <si>
    <t xml:space="preserve">8213 South Branch Avenue </t>
  </si>
  <si>
    <t>Jackson Heights</t>
  </si>
  <si>
    <t>adriene.rivera@hotmail.com</t>
  </si>
  <si>
    <t xml:space="preserve">973 Yukon Avenue </t>
  </si>
  <si>
    <t>abbey.pugh@gmail.com</t>
  </si>
  <si>
    <t xml:space="preserve">26 Market Drive </t>
  </si>
  <si>
    <t>rico.salas@msn.com</t>
  </si>
  <si>
    <t xml:space="preserve">8041 Walt Whitman St. </t>
  </si>
  <si>
    <t>kandace.ayers@gmail.com</t>
  </si>
  <si>
    <t xml:space="preserve">9005 Lookout Lane </t>
  </si>
  <si>
    <t>carie.kidd@yahoo.com</t>
  </si>
  <si>
    <t xml:space="preserve">6 East Clinton Street </t>
  </si>
  <si>
    <t>aubrey.durham@aol.com</t>
  </si>
  <si>
    <t xml:space="preserve">14 Foster Ave. </t>
  </si>
  <si>
    <t>elvera.peck@yahoo.com</t>
  </si>
  <si>
    <t xml:space="preserve">759 Lakewood Street </t>
  </si>
  <si>
    <t>cindi.ellis@yahoo.com</t>
  </si>
  <si>
    <t xml:space="preserve">6 Cypress Lane </t>
  </si>
  <si>
    <t>destiny.goodman@msn.com</t>
  </si>
  <si>
    <t xml:space="preserve">29 Smoky Hollow St. </t>
  </si>
  <si>
    <t>Westbury</t>
  </si>
  <si>
    <t>steve.bender@gmail.com</t>
  </si>
  <si>
    <t xml:space="preserve">908 N. Pennington Dr. </t>
  </si>
  <si>
    <t>Scarsdale</t>
  </si>
  <si>
    <t>melba.wilkinson@gmail.com</t>
  </si>
  <si>
    <t xml:space="preserve">255 Harvard Dr. </t>
  </si>
  <si>
    <t>lucy.woods@gmail.com</t>
  </si>
  <si>
    <t xml:space="preserve">8437 West Rockaway St. </t>
  </si>
  <si>
    <t>Palos Verdes Peninsula</t>
  </si>
  <si>
    <t>graig.roth@aol.com</t>
  </si>
  <si>
    <t xml:space="preserve">7516 Wrangler Street </t>
  </si>
  <si>
    <t>shery.acosta@yahoo.com</t>
  </si>
  <si>
    <t xml:space="preserve">17 Canal Ave. </t>
  </si>
  <si>
    <t>kristel.bullock@yahoo.com</t>
  </si>
  <si>
    <t xml:space="preserve">7292 Armstrong Drive </t>
  </si>
  <si>
    <t>Smithtown</t>
  </si>
  <si>
    <t>(661) 529-4501</t>
  </si>
  <si>
    <t>latosha.dalton@yahoo.com</t>
  </si>
  <si>
    <t xml:space="preserve">59 E. Wintergreen Ave. </t>
  </si>
  <si>
    <t>(212) 325-9145</t>
  </si>
  <si>
    <t>phylis.adkins@msn.com</t>
  </si>
  <si>
    <t xml:space="preserve">7781 James Ave. </t>
  </si>
  <si>
    <t>adelle.larsen@gmail.com</t>
  </si>
  <si>
    <t xml:space="preserve">683 West Kirkland Dr. </t>
  </si>
  <si>
    <t>East Northport</t>
  </si>
  <si>
    <t>(516) 156-8031</t>
  </si>
  <si>
    <t>brianna.moss@msn.com</t>
  </si>
  <si>
    <t xml:space="preserve">4 Longfellow St. </t>
  </si>
  <si>
    <t>corene.wall@msn.com</t>
  </si>
  <si>
    <t xml:space="preserve">9601 Ocean Rd. </t>
  </si>
  <si>
    <t>waldo.hart@yahoo.com</t>
  </si>
  <si>
    <t xml:space="preserve">9782 Pineknoll Lane </t>
  </si>
  <si>
    <t>jeniffer.ratliff@gmail.com</t>
  </si>
  <si>
    <t xml:space="preserve">510 Rocky River Court </t>
  </si>
  <si>
    <t>lorrie.pollard@yahoo.com</t>
  </si>
  <si>
    <t xml:space="preserve">7834 Shore Ave. </t>
  </si>
  <si>
    <t>allie.conley@msn.com</t>
  </si>
  <si>
    <t xml:space="preserve">96 High Point Road </t>
  </si>
  <si>
    <t>violet.valenzuela@msn.com</t>
  </si>
  <si>
    <t xml:space="preserve">8668 Piper Street </t>
  </si>
  <si>
    <t>Plattsburgh</t>
  </si>
  <si>
    <t>ruthanne.hoover@aol.com</t>
  </si>
  <si>
    <t xml:space="preserve">835 Paris Hill Road </t>
  </si>
  <si>
    <t>viva.dawson@yahoo.com</t>
  </si>
  <si>
    <t xml:space="preserve">446 Princess Ave. </t>
  </si>
  <si>
    <t>trena.rogers@aol.com</t>
  </si>
  <si>
    <t xml:space="preserve">502 Sherwood St. </t>
  </si>
  <si>
    <t>carroll.kelly@yahoo.com</t>
  </si>
  <si>
    <t xml:space="preserve">346 Grant Circle </t>
  </si>
  <si>
    <t>kasha.sullivan@hotmail.com</t>
  </si>
  <si>
    <t xml:space="preserve">48 Foster Rd. </t>
  </si>
  <si>
    <t>tammie.cherry@hotmail.com</t>
  </si>
  <si>
    <t xml:space="preserve">791 Wakehurst Dr. </t>
  </si>
  <si>
    <t>Massapequa</t>
  </si>
  <si>
    <t>erlinda.nielsen@aol.com</t>
  </si>
  <si>
    <t xml:space="preserve">728 Oxford Lane </t>
  </si>
  <si>
    <t>Maspeth</t>
  </si>
  <si>
    <t>(845) 276-5729</t>
  </si>
  <si>
    <t>allison.nolan@gmail.com</t>
  </si>
  <si>
    <t xml:space="preserve">7421 Victoria St. </t>
  </si>
  <si>
    <t>New City</t>
  </si>
  <si>
    <t>marisa.chambers@msn.com</t>
  </si>
  <si>
    <t xml:space="preserve">15 E. Rock Creek Ave. </t>
  </si>
  <si>
    <t>lanelle.guerra@yahoo.com</t>
  </si>
  <si>
    <t xml:space="preserve">989 Wrangler St. </t>
  </si>
  <si>
    <t>brenda.tate@msn.com</t>
  </si>
  <si>
    <t xml:space="preserve">36 Hilltop Street </t>
  </si>
  <si>
    <t>San Angelo</t>
  </si>
  <si>
    <t>(619) 952-9613</t>
  </si>
  <si>
    <t>joi.reeves@msn.com</t>
  </si>
  <si>
    <t xml:space="preserve">9101 Williams Court </t>
  </si>
  <si>
    <t>(682) 143-2224</t>
  </si>
  <si>
    <t>henrietta.wagner@hotmail.com</t>
  </si>
  <si>
    <t xml:space="preserve">54 Brickyard St. </t>
  </si>
  <si>
    <t>danilo.holmes@gmail.com</t>
  </si>
  <si>
    <t xml:space="preserve">657 Manor Station Dr. </t>
  </si>
  <si>
    <t>Hicksville</t>
  </si>
  <si>
    <t>myrtie.james@yahoo.com</t>
  </si>
  <si>
    <t xml:space="preserve">566 North Livingston Ave. </t>
  </si>
  <si>
    <t>tania.swanson@yahoo.com</t>
  </si>
  <si>
    <t xml:space="preserve">8646 Glen Eagles Ave. </t>
  </si>
  <si>
    <t>marget.hodge@msn.com</t>
  </si>
  <si>
    <t xml:space="preserve">7199 Selby Lane </t>
  </si>
  <si>
    <t>Woodhaven</t>
  </si>
  <si>
    <t>leanna.manning@yahoo.com</t>
  </si>
  <si>
    <t xml:space="preserve">39 E. Stillwater Ave. </t>
  </si>
  <si>
    <t>clarita.curry@hotmail.com</t>
  </si>
  <si>
    <t xml:space="preserve">661 Tanglewood Street </t>
  </si>
  <si>
    <t>lynn.mcmahon@msn.com</t>
  </si>
  <si>
    <t xml:space="preserve">9 Surrey St. </t>
  </si>
  <si>
    <t>penney.hall@msn.com</t>
  </si>
  <si>
    <t xml:space="preserve">8306 Jockey Hollow Street </t>
  </si>
  <si>
    <t>lanora.robbins@hotmail.com</t>
  </si>
  <si>
    <t xml:space="preserve">31 W. Maiden Lane </t>
  </si>
  <si>
    <t>lilliam.nolan@msn.com</t>
  </si>
  <si>
    <t xml:space="preserve">8976 Berkshire Court </t>
  </si>
  <si>
    <t>Copperas Cove</t>
  </si>
  <si>
    <t>kaci.gallegos@gmail.com</t>
  </si>
  <si>
    <t xml:space="preserve">8573 Halifax St. </t>
  </si>
  <si>
    <t>kelsey.noble@hotmail.com</t>
  </si>
  <si>
    <t xml:space="preserve">36 Pearl Court </t>
  </si>
  <si>
    <t>angelina.lloyd@yahoo.com</t>
  </si>
  <si>
    <t xml:space="preserve">9593 North Sherman Dr. </t>
  </si>
  <si>
    <t>Apple Valley</t>
  </si>
  <si>
    <t>sebrina.hart@yahoo.com</t>
  </si>
  <si>
    <t xml:space="preserve">7679 Pacific St. </t>
  </si>
  <si>
    <t>Coram</t>
  </si>
  <si>
    <t>vernetta.banks@aol.com</t>
  </si>
  <si>
    <t xml:space="preserve">7633 Albany St. </t>
  </si>
  <si>
    <t>inez.snider@gmail.com</t>
  </si>
  <si>
    <t xml:space="preserve">837 Catherine Lane </t>
  </si>
  <si>
    <t>noble.glover@gmail.com</t>
  </si>
  <si>
    <t xml:space="preserve">728 W. Rocky River Street </t>
  </si>
  <si>
    <t>(510) 624-3824</t>
  </si>
  <si>
    <t>donovan.cantrell@msn.com</t>
  </si>
  <si>
    <t xml:space="preserve">601 Winchester Dr. </t>
  </si>
  <si>
    <t>gertrud.rhodes@aol.com</t>
  </si>
  <si>
    <t xml:space="preserve">9961 Meadowbrook Street </t>
  </si>
  <si>
    <t>veronique.fulton@yahoo.com</t>
  </si>
  <si>
    <t xml:space="preserve">81 Hilldale Ave. </t>
  </si>
  <si>
    <t>carola.rodriquez@hotmail.com</t>
  </si>
  <si>
    <t xml:space="preserve">9433 Heritage Lane </t>
  </si>
  <si>
    <t>fransisca.nicholson@aol.com</t>
  </si>
  <si>
    <t xml:space="preserve">945 Schoolhouse Street </t>
  </si>
  <si>
    <t>(657) 260-6783</t>
  </si>
  <si>
    <t>tony.hicks@gmail.com</t>
  </si>
  <si>
    <t xml:space="preserve">226 Carriage Street </t>
  </si>
  <si>
    <t>kirstie.vazquez@gmail.com</t>
  </si>
  <si>
    <t xml:space="preserve">8006 Rockland Ave. </t>
  </si>
  <si>
    <t>jamika.blanchard@gmail.com</t>
  </si>
  <si>
    <t xml:space="preserve">420 Cambridge Street </t>
  </si>
  <si>
    <t>Fresh Meadows</t>
  </si>
  <si>
    <t>evelina.manning@aol.com</t>
  </si>
  <si>
    <t xml:space="preserve">7515 Spring St. </t>
  </si>
  <si>
    <t>ryan.carter@yahoo.com</t>
  </si>
  <si>
    <t xml:space="preserve">8684 Studebaker Road </t>
  </si>
  <si>
    <t>Nanuet</t>
  </si>
  <si>
    <t>rosamaria.meyer@yahoo.com</t>
  </si>
  <si>
    <t xml:space="preserve">446 Elizabeth St. </t>
  </si>
  <si>
    <t>latashia.travis@yahoo.com</t>
  </si>
  <si>
    <t xml:space="preserve">7877 King Rd. </t>
  </si>
  <si>
    <t>melita.dominguez@msn.com</t>
  </si>
  <si>
    <t xml:space="preserve">9903 Santa Clara Lane </t>
  </si>
  <si>
    <t>merrie.fowler@aol.com</t>
  </si>
  <si>
    <t xml:space="preserve">532 Leatherwood Ave. </t>
  </si>
  <si>
    <t>eli.contreras@hotmail.com</t>
  </si>
  <si>
    <t xml:space="preserve">35 Highland Ave. </t>
  </si>
  <si>
    <t>stephaine.riddle@hotmail.com</t>
  </si>
  <si>
    <t xml:space="preserve">199 Vermont Court </t>
  </si>
  <si>
    <t>carman.hardy@yahoo.com</t>
  </si>
  <si>
    <t xml:space="preserve">800 Whitemarsh St. </t>
  </si>
  <si>
    <t>Jamestown</t>
  </si>
  <si>
    <t>annett.rush@hotmail.com</t>
  </si>
  <si>
    <t xml:space="preserve">758 Fordham Lane </t>
  </si>
  <si>
    <t>lashawn.ortiz@msn.com</t>
  </si>
  <si>
    <t xml:space="preserve">27 Washington Rd. </t>
  </si>
  <si>
    <t>kanesha.vega@gmail.com</t>
  </si>
  <si>
    <t xml:space="preserve">771 E. Oxford Drive </t>
  </si>
  <si>
    <t>(562) 264-3998</t>
  </si>
  <si>
    <t>divina.madden@gmail.com</t>
  </si>
  <si>
    <t xml:space="preserve">7314 Armstrong St. </t>
  </si>
  <si>
    <t>almeta.benjamin@aol.com</t>
  </si>
  <si>
    <t xml:space="preserve">8456 Oakwood St. </t>
  </si>
  <si>
    <t>Sunnyside</t>
  </si>
  <si>
    <t>barrett.sanders@aol.com</t>
  </si>
  <si>
    <t xml:space="preserve">32 Hawthorne St. </t>
  </si>
  <si>
    <t>venus.hewitt@msn.com</t>
  </si>
  <si>
    <t xml:space="preserve">9835 Old Cemetery Lane </t>
  </si>
  <si>
    <t>Farmingdale</t>
  </si>
  <si>
    <t>scarlet.yates@hotmail.com</t>
  </si>
  <si>
    <t xml:space="preserve">687 Shirley St. </t>
  </si>
  <si>
    <t>caren.stephens@msn.com</t>
  </si>
  <si>
    <t xml:space="preserve">914 Brook St. </t>
  </si>
  <si>
    <t>joann.barber@gmail.com</t>
  </si>
  <si>
    <t xml:space="preserve">8945 Courtland Street </t>
  </si>
  <si>
    <t>kimberley.reynolds@aol.com</t>
  </si>
  <si>
    <t xml:space="preserve">8475 Homewood Street </t>
  </si>
  <si>
    <t>miquel.neal@hotmail.com</t>
  </si>
  <si>
    <t xml:space="preserve">9564 Deerfield Lane </t>
  </si>
  <si>
    <t>Staten Island</t>
  </si>
  <si>
    <t>weldon.michael@hotmail.com</t>
  </si>
  <si>
    <t xml:space="preserve">9952 Nut Swamp St. </t>
  </si>
  <si>
    <t>Huntington</t>
  </si>
  <si>
    <t>arlena.buckner@hotmail.com</t>
  </si>
  <si>
    <t xml:space="preserve">629 Locust Ave. </t>
  </si>
  <si>
    <t>lorrie.becker@yahoo.com</t>
  </si>
  <si>
    <t xml:space="preserve">19 North Court </t>
  </si>
  <si>
    <t>earline.gordon@gmail.com</t>
  </si>
  <si>
    <t xml:space="preserve">81 Railroad Drive </t>
  </si>
  <si>
    <t>faustino.delacruz@msn.com</t>
  </si>
  <si>
    <t xml:space="preserve">88 West Greenview Street </t>
  </si>
  <si>
    <t>ophelia.rodgers@gmail.com</t>
  </si>
  <si>
    <t xml:space="preserve">133 Joy Ridge Drive </t>
  </si>
  <si>
    <t>(562) 215-2907</t>
  </si>
  <si>
    <t>theo.reese@gmail.com</t>
  </si>
  <si>
    <t xml:space="preserve">8755 W. Wild Horse St. </t>
  </si>
  <si>
    <t>joeann.garrison@yahoo.com</t>
  </si>
  <si>
    <t xml:space="preserve">1 Harrison St. </t>
  </si>
  <si>
    <t>Ontario</t>
  </si>
  <si>
    <t>cecil.hopper@yahoo.com</t>
  </si>
  <si>
    <t xml:space="preserve">471 Glenlake Ave. </t>
  </si>
  <si>
    <t>ginette.edwards@hotmail.com</t>
  </si>
  <si>
    <t xml:space="preserve">9262 NW. Center Ave. </t>
  </si>
  <si>
    <t>yvette.rogers@aol.com</t>
  </si>
  <si>
    <t xml:space="preserve">3 SE. Oklahoma Drive </t>
  </si>
  <si>
    <t>pasquale.hogan@aol.com</t>
  </si>
  <si>
    <t xml:space="preserve">403 Bank St. </t>
  </si>
  <si>
    <t>Vista</t>
  </si>
  <si>
    <t>matilda.larson@hotmail.com</t>
  </si>
  <si>
    <t xml:space="preserve">336 Saxon Court </t>
  </si>
  <si>
    <t>ai.forbes@yahoo.com</t>
  </si>
  <si>
    <t xml:space="preserve">254 Central St. </t>
  </si>
  <si>
    <t>(916) 381-6003</t>
  </si>
  <si>
    <t>charolette.rice@msn.com</t>
  </si>
  <si>
    <t xml:space="preserve">107 River Dr. </t>
  </si>
  <si>
    <t>Sacramento</t>
  </si>
  <si>
    <t>arnita.thomas@gmail.com</t>
  </si>
  <si>
    <t xml:space="preserve">154 2nd St. </t>
  </si>
  <si>
    <t>lurline.rivers@msn.com</t>
  </si>
  <si>
    <t xml:space="preserve">69 Pine Street </t>
  </si>
  <si>
    <t>randolph.chase@yahoo.com</t>
  </si>
  <si>
    <t xml:space="preserve">828 Bridle Ave. </t>
  </si>
  <si>
    <t>San Lorenzo</t>
  </si>
  <si>
    <t>shery.randolph@hotmail.com</t>
  </si>
  <si>
    <t xml:space="preserve">602 Laurel Street </t>
  </si>
  <si>
    <t>terrell.mathis@aol.com</t>
  </si>
  <si>
    <t xml:space="preserve">9320 Center Ave. </t>
  </si>
  <si>
    <t>ethelyn.ray@yahoo.com</t>
  </si>
  <si>
    <t xml:space="preserve">80 South Sutor Lane </t>
  </si>
  <si>
    <t>christoper.mccall@msn.com</t>
  </si>
  <si>
    <t xml:space="preserve">72 Summit St. </t>
  </si>
  <si>
    <t>Bay Shore</t>
  </si>
  <si>
    <t>ezra.fowler@hotmail.com</t>
  </si>
  <si>
    <t xml:space="preserve">16 Pearl St. </t>
  </si>
  <si>
    <t>tona.velasquez@msn.com</t>
  </si>
  <si>
    <t xml:space="preserve">9166 Trout St. </t>
  </si>
  <si>
    <t>Whitestone</t>
  </si>
  <si>
    <t>(212) 171-1335</t>
  </si>
  <si>
    <t>octavia.case@aol.com</t>
  </si>
  <si>
    <t xml:space="preserve">40 Charles Road </t>
  </si>
  <si>
    <t>rozanne.reyes@aol.com</t>
  </si>
  <si>
    <t xml:space="preserve">11 W. Surrey Drive </t>
  </si>
  <si>
    <t>(248) 279-5331</t>
  </si>
  <si>
    <t>magali.dixon@msn.com</t>
  </si>
  <si>
    <t xml:space="preserve">815 Del Monte Court </t>
  </si>
  <si>
    <t>Troy</t>
  </si>
  <si>
    <t>(631) 943-1407</t>
  </si>
  <si>
    <t>thad.castro@msn.com</t>
  </si>
  <si>
    <t xml:space="preserve">71 Surrey Ave. </t>
  </si>
  <si>
    <t>raven.curtis@aol.com</t>
  </si>
  <si>
    <t xml:space="preserve">18 Summit Lane </t>
  </si>
  <si>
    <t>rosalba.o'neal@yahoo.com</t>
  </si>
  <si>
    <t xml:space="preserve">7517 Pennsylvania St. </t>
  </si>
  <si>
    <t>tomeka.higgins@msn.com</t>
  </si>
  <si>
    <t xml:space="preserve">591 W. Corona St. </t>
  </si>
  <si>
    <t>Poughkeepsie</t>
  </si>
  <si>
    <t>cris.dunn@yahoo.com</t>
  </si>
  <si>
    <t xml:space="preserve">1 Pawnee Street </t>
  </si>
  <si>
    <t>regina.burns@aol.com</t>
  </si>
  <si>
    <t xml:space="preserve">713 Buckingham St. </t>
  </si>
  <si>
    <t>olevia.pitts@gmail.com</t>
  </si>
  <si>
    <t xml:space="preserve">39 Fieldstone Drive </t>
  </si>
  <si>
    <t>Redondo Beach</t>
  </si>
  <si>
    <t>inger.jennings@yahoo.com</t>
  </si>
  <si>
    <t xml:space="preserve">38 NW. Shore Lane </t>
  </si>
  <si>
    <t>justin.newton@hotmail.com</t>
  </si>
  <si>
    <t xml:space="preserve">93 Shore Rd. </t>
  </si>
  <si>
    <t>latasha.stanley@gmail.com</t>
  </si>
  <si>
    <t xml:space="preserve">8068 Fordham Drive </t>
  </si>
  <si>
    <t>delbert.wilkins@aol.com</t>
  </si>
  <si>
    <t xml:space="preserve">420 Greenview St. </t>
  </si>
  <si>
    <t>ouida.gregory@aol.com</t>
  </si>
  <si>
    <t xml:space="preserve">7984 8th Street </t>
  </si>
  <si>
    <t>phyllis.hill@yahoo.com</t>
  </si>
  <si>
    <t xml:space="preserve">576 Devon Ave. </t>
  </si>
  <si>
    <t>Syosset</t>
  </si>
  <si>
    <t>(717) 670-6268</t>
  </si>
  <si>
    <t>marni.bolton@msn.com</t>
  </si>
  <si>
    <t xml:space="preserve">7469 Plymouth Ave. </t>
  </si>
  <si>
    <t>alane.kennedy@yahoo.com</t>
  </si>
  <si>
    <t xml:space="preserve">34 Green Lake Street </t>
  </si>
  <si>
    <t>Spring Valley</t>
  </si>
  <si>
    <t>(281) 658-7772</t>
  </si>
  <si>
    <t>van.peters@yahoo.com</t>
  </si>
  <si>
    <t xml:space="preserve">45 Fifth Dr. </t>
  </si>
  <si>
    <t>(248) 764-3359</t>
  </si>
  <si>
    <t>rubye.mccall@hotmail.com</t>
  </si>
  <si>
    <t xml:space="preserve">71 Sherwood Dr. </t>
  </si>
  <si>
    <t>lavona.austin@yahoo.com</t>
  </si>
  <si>
    <t xml:space="preserve">926 South Euclid St. </t>
  </si>
  <si>
    <t>benny.bender@aol.com</t>
  </si>
  <si>
    <t xml:space="preserve">520 W. Hamilton St. </t>
  </si>
  <si>
    <t>Elmont</t>
  </si>
  <si>
    <t>(562) 986-2247</t>
  </si>
  <si>
    <t>gabriela.warren@aol.com</t>
  </si>
  <si>
    <t xml:space="preserve">9947 Brewery Ave. </t>
  </si>
  <si>
    <t>justina.jenkins@msn.com</t>
  </si>
  <si>
    <t xml:space="preserve">345 SE. Green Lane </t>
  </si>
  <si>
    <t>janna.hayden@msn.com</t>
  </si>
  <si>
    <t xml:space="preserve">32 Hilldale Street </t>
  </si>
  <si>
    <t>rayna.perry@hotmail.com</t>
  </si>
  <si>
    <t xml:space="preserve">7238 Oakland St. </t>
  </si>
  <si>
    <t>Ozone Park</t>
  </si>
  <si>
    <t>emmaline.huber@gmail.com</t>
  </si>
  <si>
    <t xml:space="preserve">7975 Harrison Rd. </t>
  </si>
  <si>
    <t>carlena.salinas@gmail.com</t>
  </si>
  <si>
    <t xml:space="preserve">1 Wagon Street </t>
  </si>
  <si>
    <t>bernita.mcdaniel@hotmail.com</t>
  </si>
  <si>
    <t xml:space="preserve">2 Peg Shop Ave. </t>
  </si>
  <si>
    <t>chelsey.hardin@hotmail.com</t>
  </si>
  <si>
    <t xml:space="preserve">13 Brickyard Street </t>
  </si>
  <si>
    <t>Deer Park</t>
  </si>
  <si>
    <t>camille.harvey@hotmail.com</t>
  </si>
  <si>
    <t xml:space="preserve">859 Beaver Ridge Ave. </t>
  </si>
  <si>
    <t>charleen.hurst@yahoo.com</t>
  </si>
  <si>
    <t xml:space="preserve">87 Country Avenue </t>
  </si>
  <si>
    <t>christoper.gould@aol.com</t>
  </si>
  <si>
    <t xml:space="preserve">8718 South Constitution St. </t>
  </si>
  <si>
    <t>charlyn.cantrell@yahoo.com</t>
  </si>
  <si>
    <t xml:space="preserve">8756 Euclid St. </t>
  </si>
  <si>
    <t>gilma.dejesus@yahoo.com</t>
  </si>
  <si>
    <t xml:space="preserve">777 Thompson Ave. </t>
  </si>
  <si>
    <t>deloris.larson@aol.com</t>
  </si>
  <si>
    <t xml:space="preserve">242 Branch Street </t>
  </si>
  <si>
    <t>shayla.hart@msn.com</t>
  </si>
  <si>
    <t xml:space="preserve">9092 Aspen St. </t>
  </si>
  <si>
    <t>jame.riggs@hotmail.com</t>
  </si>
  <si>
    <t xml:space="preserve">9237 Hudson Drive </t>
  </si>
  <si>
    <t>dagny.owen@hotmail.com</t>
  </si>
  <si>
    <t xml:space="preserve">8028 Thompson Drive </t>
  </si>
  <si>
    <t>janie.herrera@gmail.com</t>
  </si>
  <si>
    <t xml:space="preserve">652 Westport Street </t>
  </si>
  <si>
    <t>rufina.chandler@aol.com</t>
  </si>
  <si>
    <t xml:space="preserve">7985 Alderwood Street </t>
  </si>
  <si>
    <t>shawnda.glover@gmail.com</t>
  </si>
  <si>
    <t xml:space="preserve">138 Belmont Ave. </t>
  </si>
  <si>
    <t>mariam.miranda@aol.com</t>
  </si>
  <si>
    <t xml:space="preserve">18 East Washington Avenue </t>
  </si>
  <si>
    <t>mallie.osborn@gmail.com</t>
  </si>
  <si>
    <t xml:space="preserve">9022 Bridgeton St. </t>
  </si>
  <si>
    <t>Newburgh</t>
  </si>
  <si>
    <t>danyell.dickerson@msn.com</t>
  </si>
  <si>
    <t xml:space="preserve">8306 Fieldstone Dr. </t>
  </si>
  <si>
    <t>carola.johns@msn.com</t>
  </si>
  <si>
    <t xml:space="preserve">7077 Fordham Rd. </t>
  </si>
  <si>
    <t>Santa Cruz</t>
  </si>
  <si>
    <t>arcelia.vinson@gmail.com</t>
  </si>
  <si>
    <t xml:space="preserve">40 Dogwood St. </t>
  </si>
  <si>
    <t>lea.irwin@gmail.com</t>
  </si>
  <si>
    <t xml:space="preserve">845 Adams Lane </t>
  </si>
  <si>
    <t>heide.reed@yahoo.com</t>
  </si>
  <si>
    <t xml:space="preserve">9174 Coffee Drive </t>
  </si>
  <si>
    <t>garland.weaver@gmail.com</t>
  </si>
  <si>
    <t xml:space="preserve">7161 Goldfield Court </t>
  </si>
  <si>
    <t>ernestina.skinner@hotmail.com</t>
  </si>
  <si>
    <t xml:space="preserve">52 Spring Drive </t>
  </si>
  <si>
    <t>bernetta.summers@aol.com</t>
  </si>
  <si>
    <t xml:space="preserve">1 Young Ave. </t>
  </si>
  <si>
    <t>tiesha.daniel@yahoo.com</t>
  </si>
  <si>
    <t xml:space="preserve">6 West Bohemia Lane </t>
  </si>
  <si>
    <t>(845) 804-6312</t>
  </si>
  <si>
    <t>angele.schroeder@yahoo.com</t>
  </si>
  <si>
    <t xml:space="preserve">33 S. Shadow Brook Street </t>
  </si>
  <si>
    <t>josh.shaw@gmail.com</t>
  </si>
  <si>
    <t xml:space="preserve">212 North Leeton Ridge Street </t>
  </si>
  <si>
    <t>gabriel.pitts@gmail.com</t>
  </si>
  <si>
    <t xml:space="preserve">8462 Marshall Drive </t>
  </si>
  <si>
    <t>yang.roth@aol.com</t>
  </si>
  <si>
    <t xml:space="preserve">234 E. Shub Farm Ave. </t>
  </si>
  <si>
    <t>antonetta.rocha@yahoo.com</t>
  </si>
  <si>
    <t xml:space="preserve">9858 Newcastle St. </t>
  </si>
  <si>
    <t>Port Chester</t>
  </si>
  <si>
    <t>major.merrill@aol.com</t>
  </si>
  <si>
    <t xml:space="preserve">78 Thatcher Court </t>
  </si>
  <si>
    <t>Astoria</t>
  </si>
  <si>
    <t>hollis.rasmussen@yahoo.com</t>
  </si>
  <si>
    <t xml:space="preserve">8949 S. Gates Road </t>
  </si>
  <si>
    <t>phebe.soto@hotmail.com</t>
  </si>
  <si>
    <t xml:space="preserve">9239 Leatherwood Rd. </t>
  </si>
  <si>
    <t>South Ozone Park</t>
  </si>
  <si>
    <t>saran.moses@yahoo.com</t>
  </si>
  <si>
    <t xml:space="preserve">94 Hall Dr. </t>
  </si>
  <si>
    <t>adriene.rollins@msn.com</t>
  </si>
  <si>
    <t xml:space="preserve">55 Cambridge Street </t>
  </si>
  <si>
    <t>omega.huff@aol.com</t>
  </si>
  <si>
    <t xml:space="preserve">63 Devon St. </t>
  </si>
  <si>
    <t>shirely.cantrell@aol.com</t>
  </si>
  <si>
    <t xml:space="preserve">6 Kent Street </t>
  </si>
  <si>
    <t>anisha.lang@aol.com</t>
  </si>
  <si>
    <t xml:space="preserve">265 Peachtree St. </t>
  </si>
  <si>
    <t>(559) 628-2239</t>
  </si>
  <si>
    <t>karren.lamb@aol.com</t>
  </si>
  <si>
    <t xml:space="preserve">35 N. Chapel St. </t>
  </si>
  <si>
    <t>Fresno</t>
  </si>
  <si>
    <t>reyes.merritt@yahoo.com</t>
  </si>
  <si>
    <t xml:space="preserve">48 Lexington Rd. </t>
  </si>
  <si>
    <t>iva.wilcox@aol.com</t>
  </si>
  <si>
    <t xml:space="preserve">452 South Mayflower Drive </t>
  </si>
  <si>
    <t>romaine.salazar@yahoo.com</t>
  </si>
  <si>
    <t xml:space="preserve">7700 Wentworth Rd. </t>
  </si>
  <si>
    <t>Monsey</t>
  </si>
  <si>
    <t>shauna.edwards@msn.com</t>
  </si>
  <si>
    <t xml:space="preserve">8 Dogwood Ave. </t>
  </si>
  <si>
    <t>Yorktown Heights</t>
  </si>
  <si>
    <t>(915) 789-6666</t>
  </si>
  <si>
    <t>lynne.anderson@msn.com</t>
  </si>
  <si>
    <t xml:space="preserve">325 Inverness St. </t>
  </si>
  <si>
    <t>El Paso</t>
  </si>
  <si>
    <t>jerald.blackwell@hotmail.com</t>
  </si>
  <si>
    <t xml:space="preserve">8364 South Wakehurst Ave. </t>
  </si>
  <si>
    <t>daina.sampson@msn.com</t>
  </si>
  <si>
    <t xml:space="preserve">556 Wellington St. </t>
  </si>
  <si>
    <t>jamaal.albert@gmail.com</t>
  </si>
  <si>
    <t xml:space="preserve">853 Stonybrook Street </t>
  </si>
  <si>
    <t>cinda.rocha@hotmail.com</t>
  </si>
  <si>
    <t xml:space="preserve">926 North Oklahoma Dr. </t>
  </si>
  <si>
    <t>Los Banos</t>
  </si>
  <si>
    <t>(212) 945-8823</t>
  </si>
  <si>
    <t>emmitt.sanchez@hotmail.com</t>
  </si>
  <si>
    <t xml:space="preserve">461 Squaw Creek Road </t>
  </si>
  <si>
    <t>phylicia.stout@aol.com</t>
  </si>
  <si>
    <t xml:space="preserve">8842 Littleton Lane </t>
  </si>
  <si>
    <t>Canandaigua</t>
  </si>
  <si>
    <t>(682) 183-6555</t>
  </si>
  <si>
    <t>jenine.crane@msn.com</t>
  </si>
  <si>
    <t xml:space="preserve">7381 Alderwood Drive </t>
  </si>
  <si>
    <t>sebrina.gross@yahoo.com</t>
  </si>
  <si>
    <t xml:space="preserve">993 Glendale Drive </t>
  </si>
  <si>
    <t>sheila.goodman@msn.com</t>
  </si>
  <si>
    <t xml:space="preserve">9586 Chestnut St. </t>
  </si>
  <si>
    <t>Uniondale</t>
  </si>
  <si>
    <t>garry.espinoza@hotmail.com</t>
  </si>
  <si>
    <t xml:space="preserve">7858 Rockaway Court </t>
  </si>
  <si>
    <t>Forney</t>
  </si>
  <si>
    <t>larissa.hays@aol.com</t>
  </si>
  <si>
    <t xml:space="preserve">66 2nd Drive </t>
  </si>
  <si>
    <t>dorthea.walker@aol.com</t>
  </si>
  <si>
    <t xml:space="preserve">11 Third St. </t>
  </si>
  <si>
    <t>clorinda.donovan@msn.com</t>
  </si>
  <si>
    <t xml:space="preserve">9690 E. Morris Ave. </t>
  </si>
  <si>
    <t>demarcus.reese@gmail.com</t>
  </si>
  <si>
    <t xml:space="preserve">8087 Armstrong Dr. </t>
  </si>
  <si>
    <t>hedwig.paul@msn.com</t>
  </si>
  <si>
    <t xml:space="preserve">422 Manor Ave. </t>
  </si>
  <si>
    <t>brain.skinner@hotmail.com</t>
  </si>
  <si>
    <t xml:space="preserve">8676 Ketch Harbour Ave. </t>
  </si>
  <si>
    <t>mariette.trevino@aol.com</t>
  </si>
  <si>
    <t xml:space="preserve">4 Border Court </t>
  </si>
  <si>
    <t>(562) 342-8083</t>
  </si>
  <si>
    <t>christel.cardenas@aol.com</t>
  </si>
  <si>
    <t xml:space="preserve">428 S. Swanson Drive </t>
  </si>
  <si>
    <t>arielle.levine@yahoo.com</t>
  </si>
  <si>
    <t xml:space="preserve">7100 High Ridge St. </t>
  </si>
  <si>
    <t>afton.juarez@gmail.com</t>
  </si>
  <si>
    <t xml:space="preserve">8330 Riverview Drive </t>
  </si>
  <si>
    <t>amina.salazar@aol.com</t>
  </si>
  <si>
    <t xml:space="preserve">944 Wellington Street </t>
  </si>
  <si>
    <t>garth.huff@yahoo.com</t>
  </si>
  <si>
    <t xml:space="preserve">794 East University St. </t>
  </si>
  <si>
    <t>raymonde.garcia@aol.com</t>
  </si>
  <si>
    <t xml:space="preserve">55 NE. North St. </t>
  </si>
  <si>
    <t>ashlie.parrish@hotmail.com</t>
  </si>
  <si>
    <t xml:space="preserve">48 Mill Drive </t>
  </si>
  <si>
    <t>boyd.irwin@hotmail.com</t>
  </si>
  <si>
    <t xml:space="preserve">221 Whitemarsh St. </t>
  </si>
  <si>
    <t>Hamburg</t>
  </si>
  <si>
    <t>majorie.wyatt@yahoo.com</t>
  </si>
  <si>
    <t xml:space="preserve">8507 Miller St. </t>
  </si>
  <si>
    <t>dante.grimes@yahoo.com</t>
  </si>
  <si>
    <t xml:space="preserve">23 Shore St. </t>
  </si>
  <si>
    <t>christiane.bradford@gmail.com</t>
  </si>
  <si>
    <t xml:space="preserve">9043 Woodland Ave. </t>
  </si>
  <si>
    <t>kristel.byrd@hotmail.com</t>
  </si>
  <si>
    <t xml:space="preserve">9967 Piper Street </t>
  </si>
  <si>
    <t>thad.gilliam@hotmail.com</t>
  </si>
  <si>
    <t xml:space="preserve">8844 Gonzales Court </t>
  </si>
  <si>
    <t>Levittown</t>
  </si>
  <si>
    <t>alec.peck@hotmail.com</t>
  </si>
  <si>
    <t xml:space="preserve">4 W. Belmont St. </t>
  </si>
  <si>
    <t>hassan.nash@yahoo.com</t>
  </si>
  <si>
    <t xml:space="preserve">8105 University Lane </t>
  </si>
  <si>
    <t>han.wade@hotmail.com</t>
  </si>
  <si>
    <t xml:space="preserve">587 Sulphur Springs St. </t>
  </si>
  <si>
    <t>vanessa.west@gmail.com</t>
  </si>
  <si>
    <t xml:space="preserve">34 Prairie Lane </t>
  </si>
  <si>
    <t>New Rochelle</t>
  </si>
  <si>
    <t>clelia.workman@yahoo.com</t>
  </si>
  <si>
    <t xml:space="preserve">620 North Somerset St. </t>
  </si>
  <si>
    <t>aleta.mack@yahoo.com</t>
  </si>
  <si>
    <t xml:space="preserve">8869 W. Edgemont Lane </t>
  </si>
  <si>
    <t>conception.slater@gmail.com</t>
  </si>
  <si>
    <t xml:space="preserve">5 Sunset Street </t>
  </si>
  <si>
    <t>odette.moses@gmail.com</t>
  </si>
  <si>
    <t xml:space="preserve">899 Overlook Lane </t>
  </si>
  <si>
    <t>christiana.gross@yahoo.com</t>
  </si>
  <si>
    <t xml:space="preserve">645 North Richardson Road </t>
  </si>
  <si>
    <t>jennette.wooten@msn.com</t>
  </si>
  <si>
    <t xml:space="preserve">8221 Bow Ridge Lane </t>
  </si>
  <si>
    <t>Rowlett</t>
  </si>
  <si>
    <t>mirella.duffy@yahoo.com</t>
  </si>
  <si>
    <t xml:space="preserve">43 University Ave. </t>
  </si>
  <si>
    <t>saturnina.garner@gmail.com</t>
  </si>
  <si>
    <t xml:space="preserve">8538 Fairground St. </t>
  </si>
  <si>
    <t>(915) 437-6113</t>
  </si>
  <si>
    <t>shirely.stanley@gmail.com</t>
  </si>
  <si>
    <t xml:space="preserve">73 White Avenue </t>
  </si>
  <si>
    <t>elinore.aguilar@msn.com</t>
  </si>
  <si>
    <t xml:space="preserve">9766 Rockcrest Ave. </t>
  </si>
  <si>
    <t>carley.reynolds@gmail.com</t>
  </si>
  <si>
    <t xml:space="preserve">2 Snake Hill Drive </t>
  </si>
  <si>
    <t>South El Monte</t>
  </si>
  <si>
    <t>alysha.powers@msn.com</t>
  </si>
  <si>
    <t xml:space="preserve">39 West Marshall Ave. </t>
  </si>
  <si>
    <t>(510) 534-8845</t>
  </si>
  <si>
    <t>tammera.fischer@hotmail.com</t>
  </si>
  <si>
    <t xml:space="preserve">405 Olive St. </t>
  </si>
  <si>
    <t>hans.price@hotmail.com</t>
  </si>
  <si>
    <t xml:space="preserve">51 Glendale Road </t>
  </si>
  <si>
    <t>timothy.byers@msn.com</t>
  </si>
  <si>
    <t xml:space="preserve">8645 Devonshire Lane </t>
  </si>
  <si>
    <t>son.warner@hotmail.com</t>
  </si>
  <si>
    <t xml:space="preserve">20 W. Rosewood Ave. </t>
  </si>
  <si>
    <t>chasidy.tran@msn.com</t>
  </si>
  <si>
    <t xml:space="preserve">9286 Anderson Street </t>
  </si>
  <si>
    <t>(631) 913-6967</t>
  </si>
  <si>
    <t>lee.roman@gmail.com</t>
  </si>
  <si>
    <t xml:space="preserve">4 Canal Ave. </t>
  </si>
  <si>
    <t>alline.beasley@yahoo.com</t>
  </si>
  <si>
    <t xml:space="preserve">8704 NE. Olive Ave. </t>
  </si>
  <si>
    <t>sylvie.wilkerson@yahoo.com</t>
  </si>
  <si>
    <t xml:space="preserve">750 Central Ave. </t>
  </si>
  <si>
    <t>corina.lynch@msn.com</t>
  </si>
  <si>
    <t xml:space="preserve">44 Sunbeam Dr. </t>
  </si>
  <si>
    <t>salena.day@msn.com</t>
  </si>
  <si>
    <t xml:space="preserve">8067 Park Court </t>
  </si>
  <si>
    <t>laverna.hernandez@hotmail.com</t>
  </si>
  <si>
    <t xml:space="preserve">34 South Longfellow St. </t>
  </si>
  <si>
    <t>genevieve.juarez@gmail.com</t>
  </si>
  <si>
    <t xml:space="preserve">93 Goldfield Drive </t>
  </si>
  <si>
    <t>eliz.lynch@hotmail.com</t>
  </si>
  <si>
    <t xml:space="preserve">717 West Deerfield Ave. </t>
  </si>
  <si>
    <t>keri.bridges@gmail.com</t>
  </si>
  <si>
    <t xml:space="preserve">8504 Brickell Ave. </t>
  </si>
  <si>
    <t>shemeka.lyons@msn.com</t>
  </si>
  <si>
    <t xml:space="preserve">97 South Jockey Hollow St. </t>
  </si>
  <si>
    <t>(516) 363-2253</t>
  </si>
  <si>
    <t>luke.fuller@hotmail.com</t>
  </si>
  <si>
    <t xml:space="preserve">576 Cleveland Lane </t>
  </si>
  <si>
    <t>herminia.reyes@gmail.com</t>
  </si>
  <si>
    <t xml:space="preserve">782 Stonybrook Street </t>
  </si>
  <si>
    <t>ferne.kline@hotmail.com</t>
  </si>
  <si>
    <t xml:space="preserve">303 Shady St. </t>
  </si>
  <si>
    <t>carmina.emerson@hotmail.com</t>
  </si>
  <si>
    <t xml:space="preserve">7137 Monroe Road </t>
  </si>
  <si>
    <t>kristofer.craig@yahoo.com</t>
  </si>
  <si>
    <t xml:space="preserve">6 Delaware Lane </t>
  </si>
  <si>
    <t>(248) 206-3697</t>
  </si>
  <si>
    <t>vernia.madden@aol.com</t>
  </si>
  <si>
    <t xml:space="preserve">5 Iroquois Street </t>
  </si>
  <si>
    <t>bonita.marshall@msn.com</t>
  </si>
  <si>
    <t xml:space="preserve">48 Bald Hill Drive </t>
  </si>
  <si>
    <t>Endicott</t>
  </si>
  <si>
    <t>(507) 407-9384</t>
  </si>
  <si>
    <t>johana.jacobson@gmail.com</t>
  </si>
  <si>
    <t xml:space="preserve">29 San Juan St. </t>
  </si>
  <si>
    <t>angie.powers@aol.com</t>
  </si>
  <si>
    <t xml:space="preserve">6 Rockland Dr. </t>
  </si>
  <si>
    <t>titus.bullock@gmail.com</t>
  </si>
  <si>
    <t xml:space="preserve">29 Oxford Avenue </t>
  </si>
  <si>
    <t>petronila.norris@aol.com</t>
  </si>
  <si>
    <t xml:space="preserve">72 South Marshall Lane </t>
  </si>
  <si>
    <t>le.deleon@msn.com</t>
  </si>
  <si>
    <t xml:space="preserve">58 Clark Court </t>
  </si>
  <si>
    <t>suellen.mercado@yahoo.com</t>
  </si>
  <si>
    <t xml:space="preserve">3 Taylor Drive </t>
  </si>
  <si>
    <t>dewayne.herring@aol.com</t>
  </si>
  <si>
    <t xml:space="preserve">9015 Willow Lane </t>
  </si>
  <si>
    <t>(916) 802-2952</t>
  </si>
  <si>
    <t>tommie.melton@gmail.com</t>
  </si>
  <si>
    <t xml:space="preserve">8 West Old York St. </t>
  </si>
  <si>
    <t>tessie.farmer@msn.com</t>
  </si>
  <si>
    <t xml:space="preserve">870 Cottage Ave. </t>
  </si>
  <si>
    <t>tonja.henderson@aol.com</t>
  </si>
  <si>
    <t xml:space="preserve">82 Alton St. </t>
  </si>
  <si>
    <t>douglass.little@hotmail.com</t>
  </si>
  <si>
    <t xml:space="preserve">294 Harvey Drive </t>
  </si>
  <si>
    <t>bee.baker@aol.com</t>
  </si>
  <si>
    <t xml:space="preserve">307 E. Magnolia St. </t>
  </si>
  <si>
    <t>laraine.robbins@yahoo.com</t>
  </si>
  <si>
    <t xml:space="preserve">8214 E. Pin Oak Lane </t>
  </si>
  <si>
    <t>deja.chaney@hotmail.com</t>
  </si>
  <si>
    <t xml:space="preserve">52 Woodside Ave. </t>
  </si>
  <si>
    <t>(914) 517-8036</t>
  </si>
  <si>
    <t>carlie.terrell@yahoo.com</t>
  </si>
  <si>
    <t xml:space="preserve">7437 Snake Hill Road </t>
  </si>
  <si>
    <t>karla.kirk@yahoo.com</t>
  </si>
  <si>
    <t xml:space="preserve">9718 Harvard Rd. </t>
  </si>
  <si>
    <t>jerri.guthrie@msn.com</t>
  </si>
  <si>
    <t xml:space="preserve">95 Sugar Dr. </t>
  </si>
  <si>
    <t>rochell.cantrell@yahoo.com</t>
  </si>
  <si>
    <t xml:space="preserve">437 Water Dr. </t>
  </si>
  <si>
    <t>yun.nelson@hotmail.com</t>
  </si>
  <si>
    <t xml:space="preserve">529 Durham Street </t>
  </si>
  <si>
    <t>adam.thornton@hotmail.com</t>
  </si>
  <si>
    <t xml:space="preserve">755 East Henry Lane </t>
  </si>
  <si>
    <t>javier.nichols@msn.com</t>
  </si>
  <si>
    <t xml:space="preserve">8944 Marconi St. </t>
  </si>
  <si>
    <t>meredith.bryan@hotmail.com</t>
  </si>
  <si>
    <t xml:space="preserve">8935 E. Oxford St. </t>
  </si>
  <si>
    <t>hilda.harvey@gmail.com</t>
  </si>
  <si>
    <t xml:space="preserve">9808 W. Cleveland Ave. </t>
  </si>
  <si>
    <t>(661) 386-4884</t>
  </si>
  <si>
    <t>morton.barron@msn.com</t>
  </si>
  <si>
    <t xml:space="preserve">542 Circle Rd. </t>
  </si>
  <si>
    <t>etsuko.garrison@yahoo.com</t>
  </si>
  <si>
    <t xml:space="preserve">1 Arrowhead Street </t>
  </si>
  <si>
    <t>pandora.estes@aol.com</t>
  </si>
  <si>
    <t xml:space="preserve">228 Shadow Brook Drive </t>
  </si>
  <si>
    <t>olevia.noel@yahoo.com</t>
  </si>
  <si>
    <t xml:space="preserve">39 N. Rosewood Dr. </t>
  </si>
  <si>
    <t>bart.hess@aol.com</t>
  </si>
  <si>
    <t xml:space="preserve">799 N. Maiden Street </t>
  </si>
  <si>
    <t>vallie.dixon@yahoo.com</t>
  </si>
  <si>
    <t xml:space="preserve">85 E. Ann Drive </t>
  </si>
  <si>
    <t>nichelle.howell@aol.com</t>
  </si>
  <si>
    <t xml:space="preserve">7670 Forest St. </t>
  </si>
  <si>
    <t>justa.thompson@aol.com</t>
  </si>
  <si>
    <t xml:space="preserve">43 Manor Ave. </t>
  </si>
  <si>
    <t>Corona</t>
  </si>
  <si>
    <t>laurence.christian@gmail.com</t>
  </si>
  <si>
    <t xml:space="preserve">2 Maple St. </t>
  </si>
  <si>
    <t>charlsie.carson@hotmail.com</t>
  </si>
  <si>
    <t xml:space="preserve">3 South Grant Avenue </t>
  </si>
  <si>
    <t>trinidad.mcclain@msn.com</t>
  </si>
  <si>
    <t xml:space="preserve">98 Tunnel Drive </t>
  </si>
  <si>
    <t>shanna.bonner@msn.com</t>
  </si>
  <si>
    <t xml:space="preserve">386 Lafayette Road </t>
  </si>
  <si>
    <t>vanda.holmes@aol.com</t>
  </si>
  <si>
    <t xml:space="preserve">9835 Wild Rose Drive </t>
  </si>
  <si>
    <t>hildegarde.christensen@hotmail.com</t>
  </si>
  <si>
    <t xml:space="preserve">488 East Mill Pond Ave. </t>
  </si>
  <si>
    <t>alanna.barry@yahoo.com</t>
  </si>
  <si>
    <t xml:space="preserve">33 Laurel Avenue </t>
  </si>
  <si>
    <t>kami.rios@yahoo.com</t>
  </si>
  <si>
    <t xml:space="preserve">8400 8th Dr. </t>
  </si>
  <si>
    <t>andy.o'neill@msn.com</t>
  </si>
  <si>
    <t xml:space="preserve">9544 Mulberry Drive </t>
  </si>
  <si>
    <t>mila.good@yahoo.com</t>
  </si>
  <si>
    <t xml:space="preserve">812 East Longbranch Ave. </t>
  </si>
  <si>
    <t>(281) 165-2090</t>
  </si>
  <si>
    <t>ladawn.downs@yahoo.com</t>
  </si>
  <si>
    <t xml:space="preserve">7452 S. Airport Court </t>
  </si>
  <si>
    <t>brittney.rojas@aol.com</t>
  </si>
  <si>
    <t xml:space="preserve">2 E. Overlook Ave. </t>
  </si>
  <si>
    <t>lezlie.thompson@yahoo.com</t>
  </si>
  <si>
    <t xml:space="preserve">73 Vernon St. </t>
  </si>
  <si>
    <t>(361) 981-8725</t>
  </si>
  <si>
    <t>brent.calderon@aol.com</t>
  </si>
  <si>
    <t xml:space="preserve">3 Thomas St. </t>
  </si>
  <si>
    <t>georgeann.waller@yahoo.com</t>
  </si>
  <si>
    <t xml:space="preserve">9797 Bald Hill Ave. </t>
  </si>
  <si>
    <t>cheryll.snyder@yahoo.com</t>
  </si>
  <si>
    <t xml:space="preserve">77 E. Liberty St. </t>
  </si>
  <si>
    <t>ernest.rollins@yahoo.com</t>
  </si>
  <si>
    <t xml:space="preserve">4 West Ridge Dr. </t>
  </si>
  <si>
    <t>Oakland Gardens</t>
  </si>
  <si>
    <t>marry.benjamin@yahoo.com</t>
  </si>
  <si>
    <t xml:space="preserve">33 Amerige Street </t>
  </si>
  <si>
    <t>adelaida.hancock@aol.com</t>
  </si>
  <si>
    <t xml:space="preserve">669 S. Gartner Street </t>
  </si>
  <si>
    <t>chere.mcfadden@yahoo.com</t>
  </si>
  <si>
    <t xml:space="preserve">695 San Pablo Drive </t>
  </si>
  <si>
    <t>derrick.marks@yahoo.com</t>
  </si>
  <si>
    <t xml:space="preserve">7247 East Prairie Lane </t>
  </si>
  <si>
    <t>(619) 377-8586</t>
  </si>
  <si>
    <t>alane.mccarty@hotmail.com</t>
  </si>
  <si>
    <t xml:space="preserve">8254 Hilldale Street </t>
  </si>
  <si>
    <t>jeanett.herman@hotmail.com</t>
  </si>
  <si>
    <t xml:space="preserve">839 East Arch Street </t>
  </si>
  <si>
    <t>(562) 841-9339</t>
  </si>
  <si>
    <t>elmo.arnold@aol.com</t>
  </si>
  <si>
    <t xml:space="preserve">7616 Lyme Rd. </t>
  </si>
  <si>
    <t>rory.cooper@gmail.com</t>
  </si>
  <si>
    <t xml:space="preserve">459 West Street </t>
  </si>
  <si>
    <t>manie.sanchez@hotmail.com</t>
  </si>
  <si>
    <t xml:space="preserve">471 Illinois Ave. </t>
  </si>
  <si>
    <t>(631) 592-9548</t>
  </si>
  <si>
    <t>basilia.thornton@hotmail.com</t>
  </si>
  <si>
    <t xml:space="preserve">9033 Pine Dr. </t>
  </si>
  <si>
    <t>josie.schultz@hotmail.com</t>
  </si>
  <si>
    <t xml:space="preserve">225 Mammoth Street </t>
  </si>
  <si>
    <t>jayme.zamora@gmail.com</t>
  </si>
  <si>
    <t xml:space="preserve">2 Ridge Lane </t>
  </si>
  <si>
    <t>Springfield Gardens</t>
  </si>
  <si>
    <t>ivette.warren@gmail.com</t>
  </si>
  <si>
    <t xml:space="preserve">8408 Thomas Street </t>
  </si>
  <si>
    <t>darcel.harmon@msn.com</t>
  </si>
  <si>
    <t xml:space="preserve">966 Hickory Street </t>
  </si>
  <si>
    <t>jayson.rutledge@yahoo.com</t>
  </si>
  <si>
    <t xml:space="preserve">8672 Coffee St. </t>
  </si>
  <si>
    <t>whitney.cash@gmail.com</t>
  </si>
  <si>
    <t xml:space="preserve">8 Surrey Street </t>
  </si>
  <si>
    <t>diana.cobb@hotmail.com</t>
  </si>
  <si>
    <t xml:space="preserve">558 Vale St. </t>
  </si>
  <si>
    <t>iola.rasmussen@yahoo.com</t>
  </si>
  <si>
    <t xml:space="preserve">283 N. Manor Station Dr. </t>
  </si>
  <si>
    <t>(248) 725-2174</t>
  </si>
  <si>
    <t>birdie.kramer@hotmail.com</t>
  </si>
  <si>
    <t xml:space="preserve">311 Newcastle Dr. </t>
  </si>
  <si>
    <t>vinnie.chan@aol.com</t>
  </si>
  <si>
    <t xml:space="preserve">8750 Surrey St. </t>
  </si>
  <si>
    <t>george.pickett@msn.com</t>
  </si>
  <si>
    <t xml:space="preserve">691 Rocky River St. </t>
  </si>
  <si>
    <t>evelin.vargas@msn.com</t>
  </si>
  <si>
    <t xml:space="preserve">7049 Pin Oak Ave. </t>
  </si>
  <si>
    <t>carisa.carpenter@hotmail.com</t>
  </si>
  <si>
    <t xml:space="preserve">551 Belmont Lane </t>
  </si>
  <si>
    <t>onita.macdonald@yahoo.com</t>
  </si>
  <si>
    <t xml:space="preserve">94 Wood St. </t>
  </si>
  <si>
    <t>ji.burt@hotmail.com</t>
  </si>
  <si>
    <t xml:space="preserve">40 S. Roberts Street </t>
  </si>
  <si>
    <t>(805) 656-6987</t>
  </si>
  <si>
    <t>graciela.barber@hotmail.com</t>
  </si>
  <si>
    <t xml:space="preserve">1 E. Young St. </t>
  </si>
  <si>
    <t>rosalie.coffey@gmail.com</t>
  </si>
  <si>
    <t xml:space="preserve">789 Amerige Dr. </t>
  </si>
  <si>
    <t>tanesha.sawyer@aol.com</t>
  </si>
  <si>
    <t xml:space="preserve">9B Kingston Lane </t>
  </si>
  <si>
    <t>kecia.olsen@msn.com</t>
  </si>
  <si>
    <t xml:space="preserve">8389 Central St. </t>
  </si>
  <si>
    <t>ayanna.rhodes@msn.com</t>
  </si>
  <si>
    <t xml:space="preserve">7425 Pheasant St. </t>
  </si>
  <si>
    <t>kandis.mills@hotmail.com</t>
  </si>
  <si>
    <t xml:space="preserve">64 Beechwood Drive </t>
  </si>
  <si>
    <t>divina.reeves@hotmail.com</t>
  </si>
  <si>
    <t xml:space="preserve">767 Bradford Dr. </t>
  </si>
  <si>
    <t>rodrick.shelton@hotmail.com</t>
  </si>
  <si>
    <t xml:space="preserve">7157 Addison Street </t>
  </si>
  <si>
    <t>julee.woodard@yahoo.com</t>
  </si>
  <si>
    <t xml:space="preserve">869 Summerhouse Dr. </t>
  </si>
  <si>
    <t>barton.cox@yahoo.com</t>
  </si>
  <si>
    <t xml:space="preserve">8220 Creekside Street </t>
  </si>
  <si>
    <t>shaunda.barnett@gmail.com</t>
  </si>
  <si>
    <t xml:space="preserve">9366 San Carlos Lane </t>
  </si>
  <si>
    <t>yvonne.bean@yahoo.com</t>
  </si>
  <si>
    <t xml:space="preserve">20 W. Marsh Ave. </t>
  </si>
  <si>
    <t>mercedez.brooks@hotmail.com</t>
  </si>
  <si>
    <t xml:space="preserve">7483 Ann St. </t>
  </si>
  <si>
    <t>erlinda.osborne@yahoo.com</t>
  </si>
  <si>
    <t xml:space="preserve">148 Elm St. </t>
  </si>
  <si>
    <t>lory.berg@aol.com</t>
  </si>
  <si>
    <t xml:space="preserve">64 Vine Drive </t>
  </si>
  <si>
    <t>(559) 329-7615</t>
  </si>
  <si>
    <t>enoch.rosario@hotmail.com</t>
  </si>
  <si>
    <t xml:space="preserve">186 Arlington St. </t>
  </si>
  <si>
    <t>octavia.donaldson@hotmail.com</t>
  </si>
  <si>
    <t xml:space="preserve">8095 Wayne Ave. </t>
  </si>
  <si>
    <t>jeromy.elliott@gmail.com</t>
  </si>
  <si>
    <t xml:space="preserve">7112 Laurel Street </t>
  </si>
  <si>
    <t>ulysses.gaines@aol.com</t>
  </si>
  <si>
    <t xml:space="preserve">22 Gregory Lane </t>
  </si>
  <si>
    <t>klara.mosley@gmail.com</t>
  </si>
  <si>
    <t xml:space="preserve">518 Devon Court </t>
  </si>
  <si>
    <t>jacquline.duncan@yahoo.com</t>
  </si>
  <si>
    <t xml:space="preserve">15 Brown St. </t>
  </si>
  <si>
    <t>lory.page@hotmail.com</t>
  </si>
  <si>
    <t xml:space="preserve">58 Summerhouse Street </t>
  </si>
  <si>
    <t>(212) 652-7198</t>
  </si>
  <si>
    <t>guillermo.hart@hotmail.com</t>
  </si>
  <si>
    <t xml:space="preserve">81 Indian Summer Drive </t>
  </si>
  <si>
    <t>marcel.lindsay@hotmail.com</t>
  </si>
  <si>
    <t xml:space="preserve">249 Peninsula St. </t>
  </si>
  <si>
    <t>shila.white@msn.com</t>
  </si>
  <si>
    <t xml:space="preserve">94 Lakeshore Street </t>
  </si>
  <si>
    <t>margene.eaton@yahoo.com</t>
  </si>
  <si>
    <t xml:space="preserve">43 Sugar Street </t>
  </si>
  <si>
    <t>Wantagh</t>
  </si>
  <si>
    <t>juliane.dillard@aol.com</t>
  </si>
  <si>
    <t xml:space="preserve">63 Birchwood Court </t>
  </si>
  <si>
    <t>fran.yang@hotmail.com</t>
  </si>
  <si>
    <t xml:space="preserve">440 Pearl St. </t>
  </si>
  <si>
    <t>ronald.parsons@msn.com</t>
  </si>
  <si>
    <t xml:space="preserve">268 Pin Oak Rd. </t>
  </si>
  <si>
    <t>augustus.schmidt@msn.com</t>
  </si>
  <si>
    <t xml:space="preserve">624 Jones Dr. </t>
  </si>
  <si>
    <t>lois.steele@yahoo.com</t>
  </si>
  <si>
    <t xml:space="preserve">7501 South Marlborough Street </t>
  </si>
  <si>
    <t>rebbecca.espinoza@hotmail.com</t>
  </si>
  <si>
    <t xml:space="preserve">8266 Valley Farms Road </t>
  </si>
  <si>
    <t>lucas.estes@yahoo.com</t>
  </si>
  <si>
    <t xml:space="preserve">99 Old Church St. </t>
  </si>
  <si>
    <t>omega.johnston@gmail.com</t>
  </si>
  <si>
    <t xml:space="preserve">9935 Tarkiln Hill St. </t>
  </si>
  <si>
    <t>tonda.webb@yahoo.com</t>
  </si>
  <si>
    <t xml:space="preserve">53 SW. Edgemont Rd. </t>
  </si>
  <si>
    <t>irving.pitts@msn.com</t>
  </si>
  <si>
    <t xml:space="preserve">346 College Court </t>
  </si>
  <si>
    <t>gayle.wilkinson@yahoo.com</t>
  </si>
  <si>
    <t xml:space="preserve">4 Riverside Ave. </t>
  </si>
  <si>
    <t>mandi.gibbs@gmail.com</t>
  </si>
  <si>
    <t xml:space="preserve">80 Sycamore Drive </t>
  </si>
  <si>
    <t>yolando.wade@hotmail.com</t>
  </si>
  <si>
    <t xml:space="preserve">310 Wilson Ave. </t>
  </si>
  <si>
    <t>merlene.vinson@gmail.com</t>
  </si>
  <si>
    <t xml:space="preserve">431 Vine Dr. </t>
  </si>
  <si>
    <t>(717) 428-4018</t>
  </si>
  <si>
    <t>zelda.pratt@gmail.com</t>
  </si>
  <si>
    <t xml:space="preserve">74 Trusel Drive </t>
  </si>
  <si>
    <t>ashleigh.finch@yahoo.com</t>
  </si>
  <si>
    <t xml:space="preserve">82 Hudson Court </t>
  </si>
  <si>
    <t>farrah.orr@msn.com</t>
  </si>
  <si>
    <t xml:space="preserve">8711 W. Ashley St. </t>
  </si>
  <si>
    <t>roseanne.maynard@yahoo.com</t>
  </si>
  <si>
    <t xml:space="preserve">219 Old Paris Hill Dr. </t>
  </si>
  <si>
    <t>(510) 788-4456</t>
  </si>
  <si>
    <t>cira.downs@gmail.com</t>
  </si>
  <si>
    <t xml:space="preserve">672 Sussex Ave. </t>
  </si>
  <si>
    <t>agatha.daniels@yahoo.com</t>
  </si>
  <si>
    <t xml:space="preserve">125 Canal St. </t>
  </si>
  <si>
    <t>delana.scott@yahoo.com</t>
  </si>
  <si>
    <t xml:space="preserve">7372 Ridgeview St. </t>
  </si>
  <si>
    <t>jewel.sparks@aol.com</t>
  </si>
  <si>
    <t xml:space="preserve">12 Vine Road </t>
  </si>
  <si>
    <t>lorrie.justice@gmail.com</t>
  </si>
  <si>
    <t xml:space="preserve">8396 Brook Drive </t>
  </si>
  <si>
    <t>(510) 565-8496</t>
  </si>
  <si>
    <t>zulema.clemons@aol.com</t>
  </si>
  <si>
    <t xml:space="preserve">75 W. Howard St. </t>
  </si>
  <si>
    <t>melani.jarvis@hotmail.com</t>
  </si>
  <si>
    <t xml:space="preserve">8 Tunnel St. </t>
  </si>
  <si>
    <t>alica.hunter@hotmail.com</t>
  </si>
  <si>
    <t xml:space="preserve">8 San Juan Drive </t>
  </si>
  <si>
    <t>chere.hardin@yahoo.com</t>
  </si>
  <si>
    <t xml:space="preserve">763 Fulton Road </t>
  </si>
  <si>
    <t>bao.wade@gmail.com</t>
  </si>
  <si>
    <t xml:space="preserve">7587 Church St. </t>
  </si>
  <si>
    <t>loise.walker@aol.com</t>
  </si>
  <si>
    <t xml:space="preserve">201 Glen Eagles St. </t>
  </si>
  <si>
    <t>aleta.shepard@aol.com</t>
  </si>
  <si>
    <t xml:space="preserve">684 Howard St. </t>
  </si>
  <si>
    <t>bobbi.banks@yahoo.com</t>
  </si>
  <si>
    <t xml:space="preserve">396 Wagon Rd. </t>
  </si>
  <si>
    <t>bobbie.foster@yahoo.com</t>
  </si>
  <si>
    <t xml:space="preserve">988 Pineknoll Ave. </t>
  </si>
  <si>
    <t>alissa.craft@hotmail.com</t>
  </si>
  <si>
    <t xml:space="preserve">249 Maple Street </t>
  </si>
  <si>
    <t>beatris.joyner@gmail.com</t>
  </si>
  <si>
    <t xml:space="preserve">7463 Gonzales Rd. </t>
  </si>
  <si>
    <t>(845) 707-6088</t>
  </si>
  <si>
    <t>alexis.mack@aol.com</t>
  </si>
  <si>
    <t xml:space="preserve">7767 Sutor Ave. </t>
  </si>
  <si>
    <t>liliana.kerr@yahoo.com</t>
  </si>
  <si>
    <t xml:space="preserve">3 Cherry Drive </t>
  </si>
  <si>
    <t>katharina.bates@gmail.com</t>
  </si>
  <si>
    <t xml:space="preserve">54 South Greenview Drive </t>
  </si>
  <si>
    <t>(248) 604-7346</t>
  </si>
  <si>
    <t>buford.bridges@msn.com</t>
  </si>
  <si>
    <t xml:space="preserve">239 Oak Valley Court </t>
  </si>
  <si>
    <t>bethany.herring@yahoo.com</t>
  </si>
  <si>
    <t xml:space="preserve">7563 High Point Street </t>
  </si>
  <si>
    <t>lezlie.lamb@gmail.com</t>
  </si>
  <si>
    <t xml:space="preserve">401 Brandywine Street </t>
  </si>
  <si>
    <t>(916) 679-3547</t>
  </si>
  <si>
    <t>christel.barber@hotmail.com</t>
  </si>
  <si>
    <t xml:space="preserve">320 Briarwood Lane </t>
  </si>
  <si>
    <t>thanh.figueroa@yahoo.com</t>
  </si>
  <si>
    <t xml:space="preserve">6 Roberts Drive </t>
  </si>
  <si>
    <t>marjorie.logan@msn.com</t>
  </si>
  <si>
    <t xml:space="preserve">95 Grandrose St. </t>
  </si>
  <si>
    <t>(717) 653-1755</t>
  </si>
  <si>
    <t>davis.long@msn.com</t>
  </si>
  <si>
    <t xml:space="preserve">929 Elmwood Dr. </t>
  </si>
  <si>
    <t>rodger.rojas@yahoo.com</t>
  </si>
  <si>
    <t xml:space="preserve">8442 Cooper Ave. </t>
  </si>
  <si>
    <t>aisha.woods@gmail.com</t>
  </si>
  <si>
    <t xml:space="preserve">9292 Bear Hill Ave. </t>
  </si>
  <si>
    <t>nathaniel.richard@gmail.com</t>
  </si>
  <si>
    <t xml:space="preserve">3 Nicolls Lane </t>
  </si>
  <si>
    <t>jennie.middleton@gmail.com</t>
  </si>
  <si>
    <t xml:space="preserve">95 High Noon Dr. </t>
  </si>
  <si>
    <t>(661) 858-1224</t>
  </si>
  <si>
    <t>tayna.wade@hotmail.com</t>
  </si>
  <si>
    <t xml:space="preserve">65 Smith Store Dr. </t>
  </si>
  <si>
    <t>lenita.bonner@aol.com</t>
  </si>
  <si>
    <t xml:space="preserve">7286 Swanson Drive </t>
  </si>
  <si>
    <t>terese.briggs@msn.com</t>
  </si>
  <si>
    <t xml:space="preserve">16 N. Oak Valley St. </t>
  </si>
  <si>
    <t>loreen.byers@yahoo.com</t>
  </si>
  <si>
    <t xml:space="preserve">83 S. Rockledge Circle </t>
  </si>
  <si>
    <t>(212) 152-6381</t>
  </si>
  <si>
    <t>genoveva.tyler@gmail.com</t>
  </si>
  <si>
    <t xml:space="preserve">8121 Windfall Ave. </t>
  </si>
  <si>
    <t>johna.powers@hotmail.com</t>
  </si>
  <si>
    <t xml:space="preserve">379 Central Ave. </t>
  </si>
  <si>
    <t>leone.emerson@msn.com</t>
  </si>
  <si>
    <t xml:space="preserve">460 Smith Store Ave. </t>
  </si>
  <si>
    <t>deloris.burke@hotmail.com</t>
  </si>
  <si>
    <t xml:space="preserve">895 Edgemont Drive </t>
  </si>
  <si>
    <t>houston.vasquez@msn.com</t>
  </si>
  <si>
    <t xml:space="preserve">845 Aspen Street </t>
  </si>
  <si>
    <t>earline.ballard@hotmail.com</t>
  </si>
  <si>
    <t xml:space="preserve">939 Lyme Road </t>
  </si>
  <si>
    <t>yahaira.robertson@yahoo.com</t>
  </si>
  <si>
    <t xml:space="preserve">142 Roehampton Dr. </t>
  </si>
  <si>
    <t>omer.estrada@gmail.com</t>
  </si>
  <si>
    <t xml:space="preserve">9 Honey Creek Street </t>
  </si>
  <si>
    <t>vonda.berger@yahoo.com</t>
  </si>
  <si>
    <t xml:space="preserve">615 S. Proctor Ave. </t>
  </si>
  <si>
    <t>pearlie.cochran@msn.com</t>
  </si>
  <si>
    <t xml:space="preserve">23 Homewood Rd. </t>
  </si>
  <si>
    <t>edgar.horn@aol.com</t>
  </si>
  <si>
    <t xml:space="preserve">7270 W. Cherry Hill Lane </t>
  </si>
  <si>
    <t>deandrea.cox@msn.com</t>
  </si>
  <si>
    <t xml:space="preserve">617 Sycamore Street </t>
  </si>
  <si>
    <t>alden.atkinson@gmail.com</t>
  </si>
  <si>
    <t xml:space="preserve">46 Valley St. </t>
  </si>
  <si>
    <t>america.swanson@msn.com</t>
  </si>
  <si>
    <t xml:space="preserve">83 South Arlington Lane </t>
  </si>
  <si>
    <t>grace.madden@gmail.com</t>
  </si>
  <si>
    <t xml:space="preserve">606 East Rocky River St. </t>
  </si>
  <si>
    <t>marisol.goodman@gmail.com</t>
  </si>
  <si>
    <t xml:space="preserve">864 East Cherry St. </t>
  </si>
  <si>
    <t>nicki.fry@hotmail.com</t>
  </si>
  <si>
    <t xml:space="preserve">950 Snake Hill Lane </t>
  </si>
  <si>
    <t>casimira.chapman@yahoo.com</t>
  </si>
  <si>
    <t xml:space="preserve">67 Snake Hill St. </t>
  </si>
  <si>
    <t>brenton.whitaker@gmail.com</t>
  </si>
  <si>
    <t xml:space="preserve">25 Elmwood Rd. </t>
  </si>
  <si>
    <t>jong.guthrie@hotmail.com</t>
  </si>
  <si>
    <t xml:space="preserve">889 Leatherwood Drive </t>
  </si>
  <si>
    <t>(210) 851-3122</t>
  </si>
  <si>
    <t>tisha.petty@msn.com</t>
  </si>
  <si>
    <t xml:space="preserve">9083 Lake View Ave. </t>
  </si>
  <si>
    <t>San Antonio</t>
  </si>
  <si>
    <t>sherie.ayala@msn.com</t>
  </si>
  <si>
    <t xml:space="preserve">5 Beech Ave. </t>
  </si>
  <si>
    <t>aileen.marquez@msn.com</t>
  </si>
  <si>
    <t xml:space="preserve">8899 Newbridge Street </t>
  </si>
  <si>
    <t>shasta.combs@yahoo.com</t>
  </si>
  <si>
    <t xml:space="preserve">726 James Dr. </t>
  </si>
  <si>
    <t>ronna.butler@gmail.com</t>
  </si>
  <si>
    <t xml:space="preserve">9438 Plymouth Court </t>
  </si>
  <si>
    <t>debra.burks@yahoo.com</t>
  </si>
  <si>
    <t xml:space="preserve">9273 Thorne Ave. </t>
  </si>
  <si>
    <t>(562) 452-6136</t>
  </si>
  <si>
    <t>sharika.colon@gmail.com</t>
  </si>
  <si>
    <t xml:space="preserve">509 Henry Smith St. </t>
  </si>
  <si>
    <t>amparo.burks@aol.com</t>
  </si>
  <si>
    <t xml:space="preserve">7781 Augusta St. </t>
  </si>
  <si>
    <t>tina.bush@aol.com</t>
  </si>
  <si>
    <t xml:space="preserve">8038 Bellevue Street </t>
  </si>
  <si>
    <t>vernon.knowles@yahoo.com</t>
  </si>
  <si>
    <t xml:space="preserve">5 Olive Lane </t>
  </si>
  <si>
    <t>floretta.higgins@hotmail.com</t>
  </si>
  <si>
    <t xml:space="preserve">870 Lilac Dr. </t>
  </si>
  <si>
    <t>leila.barr@yahoo.com</t>
  </si>
  <si>
    <t xml:space="preserve">120 Fremont Rd. </t>
  </si>
  <si>
    <t>georgetta.hardin@aol.com</t>
  </si>
  <si>
    <t xml:space="preserve">474 Chapel Dr. </t>
  </si>
  <si>
    <t>anderson.martin@hotmail.com</t>
  </si>
  <si>
    <t xml:space="preserve">9051 Hillside Dr. </t>
  </si>
  <si>
    <t>ardelia.cooley@aol.com</t>
  </si>
  <si>
    <t xml:space="preserve">59 Henry Smith St. </t>
  </si>
  <si>
    <t>(845) 724-2996</t>
  </si>
  <si>
    <t>stefani.gamble@aol.com</t>
  </si>
  <si>
    <t xml:space="preserve">9119 W. Victoria St. </t>
  </si>
  <si>
    <t>jovita.bishop@aol.com</t>
  </si>
  <si>
    <t xml:space="preserve">8123 Wild Horse St. </t>
  </si>
  <si>
    <t>leeanne.cross@yahoo.com</t>
  </si>
  <si>
    <t xml:space="preserve">424 Newcastle Road </t>
  </si>
  <si>
    <t>taylor.cole@gmail.com</t>
  </si>
  <si>
    <t xml:space="preserve">9408 Holly Lane </t>
  </si>
  <si>
    <t>charlene.norris@msn.com</t>
  </si>
  <si>
    <t xml:space="preserve">972 South Sierra Drive </t>
  </si>
  <si>
    <t>(619) 378-2432</t>
  </si>
  <si>
    <t>eun.harris@gmail.com</t>
  </si>
  <si>
    <t xml:space="preserve">623 Jones St. </t>
  </si>
  <si>
    <t>tricia.daniels@gmail.com</t>
  </si>
  <si>
    <t xml:space="preserve">8628 Crescent Court </t>
  </si>
  <si>
    <t>ivette.estes@gmail.com</t>
  </si>
  <si>
    <t xml:space="preserve">88 N. Canterbury Ave. </t>
  </si>
  <si>
    <t>le.wood@yahoo.com</t>
  </si>
  <si>
    <t xml:space="preserve">90 Primrose Dr. </t>
  </si>
  <si>
    <t>tanesha.hampton@hotmail.com</t>
  </si>
  <si>
    <t xml:space="preserve">19 Belmont Ave. </t>
  </si>
  <si>
    <t>terese.palmer@hotmail.com</t>
  </si>
  <si>
    <t xml:space="preserve">8 Sugar Drive </t>
  </si>
  <si>
    <t>collen.hayes@yahoo.com</t>
  </si>
  <si>
    <t xml:space="preserve">117 Eagle St. </t>
  </si>
  <si>
    <t>(716) 472-3707</t>
  </si>
  <si>
    <t>anton.barton@msn.com</t>
  </si>
  <si>
    <t xml:space="preserve">7284 East Indian Spring Rd. </t>
  </si>
  <si>
    <t>nevada.hood@aol.com</t>
  </si>
  <si>
    <t xml:space="preserve">515 Bank Rd. </t>
  </si>
  <si>
    <t>myron.johns@msn.com</t>
  </si>
  <si>
    <t xml:space="preserve">5 N. Woodsman Rd. </t>
  </si>
  <si>
    <t>ghislaine.compton@aol.com</t>
  </si>
  <si>
    <t xml:space="preserve">8930 Princess St. </t>
  </si>
  <si>
    <t>carmela.hays@aol.com</t>
  </si>
  <si>
    <t xml:space="preserve">149 Pennington Ave. </t>
  </si>
  <si>
    <t>(248) 247-5074</t>
  </si>
  <si>
    <t>wes.stanton@msn.com</t>
  </si>
  <si>
    <t xml:space="preserve">8662 Tunnel Street </t>
  </si>
  <si>
    <t>tora.dunlap@hotmail.com</t>
  </si>
  <si>
    <t xml:space="preserve">9903 North Halifax Ave. </t>
  </si>
  <si>
    <t>kandace.hughes@hotmail.com</t>
  </si>
  <si>
    <t xml:space="preserve">482 Ryan Ave. </t>
  </si>
  <si>
    <t>margaretta.clayton@yahoo.com</t>
  </si>
  <si>
    <t xml:space="preserve">524 San Pablo Ave. </t>
  </si>
  <si>
    <t>loyce.conway@aol.com</t>
  </si>
  <si>
    <t xml:space="preserve">729 State Lane </t>
  </si>
  <si>
    <t>lean.stark@msn.com</t>
  </si>
  <si>
    <t xml:space="preserve">215 Old Pumpkin Hill St. </t>
  </si>
  <si>
    <t>margert.stevens@aol.com</t>
  </si>
  <si>
    <t xml:space="preserve">502 North Poplar St. </t>
  </si>
  <si>
    <t>shantae.hammond@hotmail.com</t>
  </si>
  <si>
    <t xml:space="preserve">526 Harvard Drive </t>
  </si>
  <si>
    <t>santos.valencia@yahoo.com</t>
  </si>
  <si>
    <t xml:space="preserve">7479 Carpenter Street </t>
  </si>
  <si>
    <t>andreas.herman@msn.com</t>
  </si>
  <si>
    <t xml:space="preserve">456 Rock Creek Street </t>
  </si>
  <si>
    <t>mia.delgado@yahoo.com</t>
  </si>
  <si>
    <t xml:space="preserve">850 Wakehurst Drive </t>
  </si>
  <si>
    <t>hee.greer@hotmail.com</t>
  </si>
  <si>
    <t xml:space="preserve">41 North Garfield Ave. </t>
  </si>
  <si>
    <t>verda.gilbert@gmail.com</t>
  </si>
  <si>
    <t xml:space="preserve">54 Hillcrest Drive </t>
  </si>
  <si>
    <t>felicidad.golden@yahoo.com</t>
  </si>
  <si>
    <t xml:space="preserve">9712 Coffee Ave. </t>
  </si>
  <si>
    <t>Lockport</t>
  </si>
  <si>
    <t>alejandrina.hodges@msn.com</t>
  </si>
  <si>
    <t xml:space="preserve">7598 Shadow Brook St. </t>
  </si>
  <si>
    <t>adam.henderson@hotmail.com</t>
  </si>
  <si>
    <t xml:space="preserve">167 James St. </t>
  </si>
  <si>
    <t>lizette.ellison@hotmail.com</t>
  </si>
  <si>
    <t xml:space="preserve">865 Sunbeam Street </t>
  </si>
  <si>
    <t>lonna.franks@yahoo.com</t>
  </si>
  <si>
    <t xml:space="preserve">667 Brickyard Street </t>
  </si>
  <si>
    <t>sunshine.rosario@aol.com</t>
  </si>
  <si>
    <t xml:space="preserve">1 Chestnut Lane </t>
  </si>
  <si>
    <t>consuela.collier@msn.com</t>
  </si>
  <si>
    <t xml:space="preserve">338 S. Holly Avenue </t>
  </si>
  <si>
    <t>(424) 352-6275</t>
  </si>
  <si>
    <t>annis.sanchez@aol.com</t>
  </si>
  <si>
    <t xml:space="preserve">4 Edgewater Road </t>
  </si>
  <si>
    <t>Los Angeles</t>
  </si>
  <si>
    <t>jaimee.day@aol.com</t>
  </si>
  <si>
    <t xml:space="preserve">7534 Whitemarsh Ave. </t>
  </si>
  <si>
    <t>jenny.bell@hotmail.com</t>
  </si>
  <si>
    <t xml:space="preserve">38 Crescent St. </t>
  </si>
  <si>
    <t>ara.vazquez@msn.com</t>
  </si>
  <si>
    <t xml:space="preserve">343 2nd Court </t>
  </si>
  <si>
    <t>hue.dalton@hotmail.com</t>
  </si>
  <si>
    <t xml:space="preserve">7940 Oakwood Street </t>
  </si>
  <si>
    <t>(562) 218-6405</t>
  </si>
  <si>
    <t>toya.pratt@yahoo.com</t>
  </si>
  <si>
    <t xml:space="preserve">485 San Pablo Drive </t>
  </si>
  <si>
    <t>milagros.weber@hotmail.com</t>
  </si>
  <si>
    <t xml:space="preserve">7591 Glendale Ave. </t>
  </si>
  <si>
    <t>barbra.dickerson@gmail.com</t>
  </si>
  <si>
    <t xml:space="preserve">8424 E. Rockcrest Dr. </t>
  </si>
  <si>
    <t>gilberto.sanders@hotmail.com</t>
  </si>
  <si>
    <t xml:space="preserve">186 Roehampton Ave. </t>
  </si>
  <si>
    <t>(510) 788-7298</t>
  </si>
  <si>
    <t>kanesha.hudson@gmail.com</t>
  </si>
  <si>
    <t xml:space="preserve">8293 Gartner Drive </t>
  </si>
  <si>
    <t>venessa.frost@msn.com</t>
  </si>
  <si>
    <t xml:space="preserve">621 West School Rd. </t>
  </si>
  <si>
    <t>mable.pratt@gmail.com</t>
  </si>
  <si>
    <t xml:space="preserve">254 SW. Temple Street </t>
  </si>
  <si>
    <t>tonisha.fowler@msn.com</t>
  </si>
  <si>
    <t xml:space="preserve">9270 Valley View Lane </t>
  </si>
  <si>
    <t>sheryl.chase@gmail.com</t>
  </si>
  <si>
    <t xml:space="preserve">388 Cedar Avenue </t>
  </si>
  <si>
    <t>ashlee.pena@aol.com</t>
  </si>
  <si>
    <t xml:space="preserve">966 Highland St. </t>
  </si>
  <si>
    <t>leigh.burke@hotmail.com</t>
  </si>
  <si>
    <t xml:space="preserve">7651 Creek St. </t>
  </si>
  <si>
    <t>caleb.england@gmail.com</t>
  </si>
  <si>
    <t xml:space="preserve">649 Marvon St. </t>
  </si>
  <si>
    <t>herta.rollins@msn.com</t>
  </si>
  <si>
    <t xml:space="preserve">287 1st Drive </t>
  </si>
  <si>
    <t>Mountain View</t>
  </si>
  <si>
    <t>reatha.perez@aol.com</t>
  </si>
  <si>
    <t xml:space="preserve">9917 1st St. </t>
  </si>
  <si>
    <t>Holbrook</t>
  </si>
  <si>
    <t>syreeta.hendricks@msn.com</t>
  </si>
  <si>
    <t xml:space="preserve">193 Spruce Road </t>
  </si>
  <si>
    <t>Mahopac</t>
  </si>
  <si>
    <t>lavonda.stephenson@gmail.com</t>
  </si>
  <si>
    <t xml:space="preserve">37 Birchwood Dr. </t>
  </si>
  <si>
    <t>klara.kim@gmail.com</t>
  </si>
  <si>
    <t xml:space="preserve">9660 Sherman Lane </t>
  </si>
  <si>
    <t>christia.carson@gmail.com</t>
  </si>
  <si>
    <t xml:space="preserve">220 Orchard Street </t>
  </si>
  <si>
    <t>carolyne.conley@gmail.com</t>
  </si>
  <si>
    <t xml:space="preserve">431 Lees Creek Drive </t>
  </si>
  <si>
    <t>virgina.berg@yahoo.com</t>
  </si>
  <si>
    <t xml:space="preserve">804 South Purple Finch Drive </t>
  </si>
  <si>
    <t>Valley Stream</t>
  </si>
  <si>
    <t>elvia.cardenas@hotmail.com</t>
  </si>
  <si>
    <t xml:space="preserve">8 Paris Hill St. </t>
  </si>
  <si>
    <t>delmar.wise@yahoo.com</t>
  </si>
  <si>
    <t xml:space="preserve">8355 Kingston Avenue </t>
  </si>
  <si>
    <t>doreatha.ford@yahoo.com</t>
  </si>
  <si>
    <t xml:space="preserve">9413 Ryan Ave. </t>
  </si>
  <si>
    <t>boyce.burks@gmail.com</t>
  </si>
  <si>
    <t xml:space="preserve">879 Harvey Dr. </t>
  </si>
  <si>
    <t>petronila.gallegos@gmail.com</t>
  </si>
  <si>
    <t xml:space="preserve">8053 Aspen St. </t>
  </si>
  <si>
    <t>elnora.simpson@yahoo.com</t>
  </si>
  <si>
    <t xml:space="preserve">7157 Shore Ave. </t>
  </si>
  <si>
    <t>(915) 181-1950</t>
  </si>
  <si>
    <t>ivonne.yang@gmail.com</t>
  </si>
  <si>
    <t xml:space="preserve">7359 North Lake View St. </t>
  </si>
  <si>
    <t>zina.bonner@hotmail.com</t>
  </si>
  <si>
    <t xml:space="preserve">9312 8th Street </t>
  </si>
  <si>
    <t>delila.hamilton@yahoo.com</t>
  </si>
  <si>
    <t xml:space="preserve">7451 East James Ave. </t>
  </si>
  <si>
    <t>lidia.ashley@hotmail.com</t>
  </si>
  <si>
    <t xml:space="preserve">8436 Meadow St. </t>
  </si>
  <si>
    <t>toshia.cardenas@gmail.com</t>
  </si>
  <si>
    <t xml:space="preserve">878 Bayberry Street </t>
  </si>
  <si>
    <t>laci.castro@hotmail.com</t>
  </si>
  <si>
    <t xml:space="preserve">130 Birchpond Street </t>
  </si>
  <si>
    <t>quyen.houston@gmail.com</t>
  </si>
  <si>
    <t xml:space="preserve">7758 Homewood Dr. </t>
  </si>
  <si>
    <t>ayanna.cherry@yahoo.com</t>
  </si>
  <si>
    <t xml:space="preserve">8829 Galvin Rd. </t>
  </si>
  <si>
    <t>alesia.horne@aol.com</t>
  </si>
  <si>
    <t xml:space="preserve">9229 Amherst Lane </t>
  </si>
  <si>
    <t>selene.austin@msn.com</t>
  </si>
  <si>
    <t xml:space="preserve">9042 Linda Circle </t>
  </si>
  <si>
    <t>jesica.fields@yahoo.com</t>
  </si>
  <si>
    <t xml:space="preserve">318 Country Dr. </t>
  </si>
  <si>
    <t>Commack</t>
  </si>
  <si>
    <t>willian.hardin@msn.com</t>
  </si>
  <si>
    <t xml:space="preserve">836 West Street </t>
  </si>
  <si>
    <t>collen.dennis@gmail.com</t>
  </si>
  <si>
    <t xml:space="preserve">284 E. Mill Street </t>
  </si>
  <si>
    <t>carson.macias@gmail.com</t>
  </si>
  <si>
    <t xml:space="preserve">7 Pennington St. </t>
  </si>
  <si>
    <t>kasha.todd@yahoo.com</t>
  </si>
  <si>
    <t xml:space="preserve">910 Vine Street </t>
  </si>
  <si>
    <t>lise.hebert@gmail.com</t>
  </si>
  <si>
    <t xml:space="preserve">140 East Broad Lane </t>
  </si>
  <si>
    <t>damien.dorsey@yahoo.com</t>
  </si>
  <si>
    <t xml:space="preserve">161 Old York Street </t>
  </si>
  <si>
    <t>sarah.kirkland@aol.com</t>
  </si>
  <si>
    <t xml:space="preserve">42 N. Glendale Avenue </t>
  </si>
  <si>
    <t>chauncey.donaldson@aol.com</t>
  </si>
  <si>
    <t xml:space="preserve">7412 Golf Ave. </t>
  </si>
  <si>
    <t>alejandro.norman@yahoo.com</t>
  </si>
  <si>
    <t xml:space="preserve">8918 Marsh Lane </t>
  </si>
  <si>
    <t>jasmin.young@gmail.com</t>
  </si>
  <si>
    <t xml:space="preserve">337 Beach Street </t>
  </si>
  <si>
    <t>ciera.koch@gmail.com</t>
  </si>
  <si>
    <t xml:space="preserve">881 Lawrence Drive </t>
  </si>
  <si>
    <t>daryl.spence@aol.com</t>
  </si>
  <si>
    <t xml:space="preserve">988 Pearl Lane </t>
  </si>
  <si>
    <t>stephanie.browning@yahoo.com</t>
  </si>
  <si>
    <t xml:space="preserve">9156 Lantern St. </t>
  </si>
  <si>
    <t>dorothea.miranda@aol.com</t>
  </si>
  <si>
    <t xml:space="preserve">7882 Parker St. </t>
  </si>
  <si>
    <t>zoraida.patton@aol.com</t>
  </si>
  <si>
    <t xml:space="preserve">95 Grand Dr. </t>
  </si>
  <si>
    <t>dottie.roberts@aol.com</t>
  </si>
  <si>
    <t xml:space="preserve">8252 Theatre St. </t>
  </si>
  <si>
    <t>ileana.holt@msn.com</t>
  </si>
  <si>
    <t xml:space="preserve">817 Adams St. </t>
  </si>
  <si>
    <t>roy.chan@hotmail.com</t>
  </si>
  <si>
    <t xml:space="preserve">7578 Middle River St. </t>
  </si>
  <si>
    <t>ashanti.parks@hotmail.com</t>
  </si>
  <si>
    <t xml:space="preserve">846 N. Helen St. </t>
  </si>
  <si>
    <t>shara.pope@msn.com</t>
  </si>
  <si>
    <t xml:space="preserve">194 Amherst Dr. </t>
  </si>
  <si>
    <t>carmelina.sellers@hotmail.com</t>
  </si>
  <si>
    <t xml:space="preserve">12 Race St. </t>
  </si>
  <si>
    <t>danny.kim@msn.com</t>
  </si>
  <si>
    <t xml:space="preserve">74 Essex Drive </t>
  </si>
  <si>
    <t>dale.rasmussen@aol.com</t>
  </si>
  <si>
    <t xml:space="preserve">8590 Adams Street </t>
  </si>
  <si>
    <t>marquerite.dawson@gmail.com</t>
  </si>
  <si>
    <t xml:space="preserve">37 Hamilton Court </t>
  </si>
  <si>
    <t>michel.blankenship@msn.com</t>
  </si>
  <si>
    <t xml:space="preserve">382 West Hill Dr. </t>
  </si>
  <si>
    <t>phillis.fowler@aol.com</t>
  </si>
  <si>
    <t xml:space="preserve">8976 N. Hall Street </t>
  </si>
  <si>
    <t>elma.molina@msn.com</t>
  </si>
  <si>
    <t xml:space="preserve">8565 Devon Ave. </t>
  </si>
  <si>
    <t>tereasa.bird@aol.com</t>
  </si>
  <si>
    <t xml:space="preserve">7526 Vine Drive </t>
  </si>
  <si>
    <t>zelma.browning@aol.com</t>
  </si>
  <si>
    <t xml:space="preserve">296 Second Street </t>
  </si>
  <si>
    <t>ashely.holmes@aol.com</t>
  </si>
  <si>
    <t xml:space="preserve">45 High Ridge Ave. </t>
  </si>
  <si>
    <t>collin.webster@aol.com</t>
  </si>
  <si>
    <t xml:space="preserve">475 Cottage Rd. </t>
  </si>
  <si>
    <t>donnetta.henson@hotmail.com</t>
  </si>
  <si>
    <t xml:space="preserve">2 Tallwood Drive </t>
  </si>
  <si>
    <t>angelika.perry@msn.com</t>
  </si>
  <si>
    <t xml:space="preserve">7684 South Branch Drive </t>
  </si>
  <si>
    <t>kathyrn.bush@gmail.com</t>
  </si>
  <si>
    <t xml:space="preserve">90 Devon St. </t>
  </si>
  <si>
    <t>(716) 382-5169</t>
  </si>
  <si>
    <t>lore.sykes@aol.com</t>
  </si>
  <si>
    <t xml:space="preserve">7050 Beach Drive </t>
  </si>
  <si>
    <t>dwain.carlson@gmail.com</t>
  </si>
  <si>
    <t xml:space="preserve">951 North Trusel Ave. </t>
  </si>
  <si>
    <t>(507) 421-7354</t>
  </si>
  <si>
    <t>jennell.solis@hotmail.com</t>
  </si>
  <si>
    <t xml:space="preserve">194 2nd Rd. </t>
  </si>
  <si>
    <t>maple.griffin@gmail.com</t>
  </si>
  <si>
    <t xml:space="preserve">20 Glendale Drive </t>
  </si>
  <si>
    <t>hubert.stone@hotmail.com</t>
  </si>
  <si>
    <t xml:space="preserve">203 Penn St. </t>
  </si>
  <si>
    <t>(717) 746-6658</t>
  </si>
  <si>
    <t>bettyann.acosta@gmail.com</t>
  </si>
  <si>
    <t xml:space="preserve">7949 Chapel St. </t>
  </si>
  <si>
    <t>moira.lester@msn.com</t>
  </si>
  <si>
    <t xml:space="preserve">496 Greystone Court </t>
  </si>
  <si>
    <t>elenore.william@msn.com</t>
  </si>
  <si>
    <t xml:space="preserve">23 Rockland St. </t>
  </si>
  <si>
    <t>Mcallen</t>
  </si>
  <si>
    <t>bernetta.marquez@hotmail.com</t>
  </si>
  <si>
    <t xml:space="preserve">626 E. Dunbar Street </t>
  </si>
  <si>
    <t>pamala.fowler@gmail.com</t>
  </si>
  <si>
    <t xml:space="preserve">399 Leatherwood St. </t>
  </si>
  <si>
    <t>(361) 164-3098</t>
  </si>
  <si>
    <t>maximina.hutchinson@hotmail.com</t>
  </si>
  <si>
    <t xml:space="preserve">53 Stillwater Avenue </t>
  </si>
  <si>
    <t>klara.stanley@aol.com</t>
  </si>
  <si>
    <t xml:space="preserve">603 Mechanic St. </t>
  </si>
  <si>
    <t>lanie.dunn@gmail.com</t>
  </si>
  <si>
    <t xml:space="preserve">7583 Pilgrim Ave. </t>
  </si>
  <si>
    <t>jeni.booker@gmail.com</t>
  </si>
  <si>
    <t xml:space="preserve">546 Railroad Dr. </t>
  </si>
  <si>
    <t>caroll.hays@yahoo.com</t>
  </si>
  <si>
    <t xml:space="preserve">9381 Wrangler St. </t>
  </si>
  <si>
    <t>Fairport</t>
  </si>
  <si>
    <t>kendra.harrington@yahoo.com</t>
  </si>
  <si>
    <t xml:space="preserve">768 Cooper Street </t>
  </si>
  <si>
    <t>thalia.dillard@yahoo.com</t>
  </si>
  <si>
    <t xml:space="preserve">987 NE. Gates Street </t>
  </si>
  <si>
    <t>holly.nieves@aol.com</t>
  </si>
  <si>
    <t xml:space="preserve">60 Cleveland St. </t>
  </si>
  <si>
    <t>shonta.mercer@aol.com</t>
  </si>
  <si>
    <t xml:space="preserve">319 NE. La Sierra Avenue </t>
  </si>
  <si>
    <t>lena.mills@yahoo.com</t>
  </si>
  <si>
    <t xml:space="preserve">42 Homestead St. </t>
  </si>
  <si>
    <t>charleen.joyner@aol.com</t>
  </si>
  <si>
    <t xml:space="preserve">735 N. John Dr. </t>
  </si>
  <si>
    <t>vernita.ball@gmail.com</t>
  </si>
  <si>
    <t xml:space="preserve">126 Arnold Dr. </t>
  </si>
  <si>
    <t>yan.mcgowan@msn.com</t>
  </si>
  <si>
    <t xml:space="preserve">8960 Newport Ave. </t>
  </si>
  <si>
    <t>maryalice.henry@msn.com</t>
  </si>
  <si>
    <t xml:space="preserve">85 Prince Street </t>
  </si>
  <si>
    <t>flossie.holder@msn.com</t>
  </si>
  <si>
    <t xml:space="preserve">8459 W. Newport Court </t>
  </si>
  <si>
    <t>Massapequa Park</t>
  </si>
  <si>
    <t>freddie.mathis@hotmail.com</t>
  </si>
  <si>
    <t xml:space="preserve">31 Shady St. </t>
  </si>
  <si>
    <t>(805) 753-6881</t>
  </si>
  <si>
    <t>hilary.savage@yahoo.com</t>
  </si>
  <si>
    <t xml:space="preserve">696 Howard Court </t>
  </si>
  <si>
    <t>scarlet.reed@hotmail.com</t>
  </si>
  <si>
    <t xml:space="preserve">151 S. Myers Court </t>
  </si>
  <si>
    <t>nita.guy@hotmail.com</t>
  </si>
  <si>
    <t xml:space="preserve">75 Academy Street </t>
  </si>
  <si>
    <t>ann.heath@msn.com</t>
  </si>
  <si>
    <t xml:space="preserve">413 East St. </t>
  </si>
  <si>
    <t>(248) 199-2582</t>
  </si>
  <si>
    <t>kimberely.bowen@hotmail.com</t>
  </si>
  <si>
    <t xml:space="preserve">88 Belmont Street </t>
  </si>
  <si>
    <t>sommer.hopkins@gmail.com</t>
  </si>
  <si>
    <t xml:space="preserve">827 Laurel Ave. </t>
  </si>
  <si>
    <t>Tonawanda</t>
  </si>
  <si>
    <t>joe.melton@gmail.com</t>
  </si>
  <si>
    <t xml:space="preserve">8998 Hartford Street </t>
  </si>
  <si>
    <t>kattie.stevenson@aol.com</t>
  </si>
  <si>
    <t xml:space="preserve">52 Carson Street </t>
  </si>
  <si>
    <t>susann.bass@msn.com</t>
  </si>
  <si>
    <t xml:space="preserve">21 Old Rock Maple Ave. </t>
  </si>
  <si>
    <t>khalilah.robertson@aol.com</t>
  </si>
  <si>
    <t xml:space="preserve">22 Longbranch Rd. </t>
  </si>
  <si>
    <t>shiloh.bates@msn.com</t>
  </si>
  <si>
    <t xml:space="preserve">15 Wellington Dr. </t>
  </si>
  <si>
    <t>wm.pope@msn.com</t>
  </si>
  <si>
    <t xml:space="preserve">212 Marsh Court </t>
  </si>
  <si>
    <t>giselle.robles@hotmail.com</t>
  </si>
  <si>
    <t xml:space="preserve">9747 N. El Dorado Dr. </t>
  </si>
  <si>
    <t>(805) 493-7311</t>
  </si>
  <si>
    <t>alysia.nicholson@hotmail.com</t>
  </si>
  <si>
    <t xml:space="preserve">868 Trusel St. </t>
  </si>
  <si>
    <t>tuyet.rosa@aol.com</t>
  </si>
  <si>
    <t xml:space="preserve">9038 Golden Star Street </t>
  </si>
  <si>
    <t>ramiro.byers@gmail.com</t>
  </si>
  <si>
    <t xml:space="preserve">16 Pleasant St. </t>
  </si>
  <si>
    <t>bettie.pierce@gmail.com</t>
  </si>
  <si>
    <t xml:space="preserve">787 North Vernon Lane </t>
  </si>
  <si>
    <t>manie.maxwell@gmail.com</t>
  </si>
  <si>
    <t xml:space="preserve">85 Brickell Ave. </t>
  </si>
  <si>
    <t>angella.bridges@yahoo.com</t>
  </si>
  <si>
    <t xml:space="preserve">8708 Sycamore St. </t>
  </si>
  <si>
    <t>(281) 926-8010</t>
  </si>
  <si>
    <t>dorthey.jackson@msn.com</t>
  </si>
  <si>
    <t xml:space="preserve">9768 Brookside St. </t>
  </si>
  <si>
    <t>jennette.baker@gmail.com</t>
  </si>
  <si>
    <t xml:space="preserve">798 Marvon St. </t>
  </si>
  <si>
    <t>(507) 616-2958</t>
  </si>
  <si>
    <t>janella.bright@aol.com</t>
  </si>
  <si>
    <t xml:space="preserve">7317 Tower Dr. </t>
  </si>
  <si>
    <t>kenton.hughes@gmail.com</t>
  </si>
  <si>
    <t xml:space="preserve">632 Sleepy Hollow Drive </t>
  </si>
  <si>
    <t>yevette.elliott@aol.com</t>
  </si>
  <si>
    <t xml:space="preserve">182 Euclid Street </t>
  </si>
  <si>
    <t>jonna.brown@aol.com</t>
  </si>
  <si>
    <t xml:space="preserve">1 Spring Drive </t>
  </si>
  <si>
    <t>yu.mcdonald@aol.com</t>
  </si>
  <si>
    <t xml:space="preserve">784 Pheasant Rd. </t>
  </si>
  <si>
    <t>shu.mays@gmail.com</t>
  </si>
  <si>
    <t xml:space="preserve">996 St Margarets Lane </t>
  </si>
  <si>
    <t>(281) 363-3309</t>
  </si>
  <si>
    <t>lolita.mosley@hotmail.com</t>
  </si>
  <si>
    <t xml:space="preserve">376 S. High Ridge St. </t>
  </si>
  <si>
    <t>blanca.hooper@msn.com</t>
  </si>
  <si>
    <t xml:space="preserve">340 Bald Hill St. </t>
  </si>
  <si>
    <t>joni.lee@gmail.com</t>
  </si>
  <si>
    <t xml:space="preserve">8573 Proctor Street </t>
  </si>
  <si>
    <t>carita.salinas@yahoo.com</t>
  </si>
  <si>
    <t xml:space="preserve">90 Griffin Street </t>
  </si>
  <si>
    <t>trudy.riddle@aol.com</t>
  </si>
  <si>
    <t xml:space="preserve">8943 Johnson Street </t>
  </si>
  <si>
    <t>jama.rodriquez@msn.com</t>
  </si>
  <si>
    <t xml:space="preserve">681 Smith Dr. </t>
  </si>
  <si>
    <t>kandi.mcneil@msn.com</t>
  </si>
  <si>
    <t xml:space="preserve">402 Border Street </t>
  </si>
  <si>
    <t>donette.mccarthy@yahoo.com</t>
  </si>
  <si>
    <t xml:space="preserve">500 NW. Maiden Dr. </t>
  </si>
  <si>
    <t>magda.eaton@aol.com</t>
  </si>
  <si>
    <t xml:space="preserve">860 Middle River Street </t>
  </si>
  <si>
    <t>(361) 760-1523</t>
  </si>
  <si>
    <t>collene.knox@msn.com</t>
  </si>
  <si>
    <t xml:space="preserve">7 North Branch Lane </t>
  </si>
  <si>
    <t>(281) 969-4579</t>
  </si>
  <si>
    <t>nestor.haynes@msn.com</t>
  </si>
  <si>
    <t xml:space="preserve">27 Nut Swamp Street </t>
  </si>
  <si>
    <t>latricia.lindsey@hotmail.com</t>
  </si>
  <si>
    <t xml:space="preserve">288 Campfire Dr. </t>
  </si>
  <si>
    <t>nichelle.rosario@hotmail.com</t>
  </si>
  <si>
    <t xml:space="preserve">709 Dunbar Ave. </t>
  </si>
  <si>
    <t>julius.holt@aol.com</t>
  </si>
  <si>
    <t xml:space="preserve">386 Lower River Street </t>
  </si>
  <si>
    <t>East Meadow</t>
  </si>
  <si>
    <t>gertha.mejia@yahoo.com</t>
  </si>
  <si>
    <t xml:space="preserve">518 Orchard St. </t>
  </si>
  <si>
    <t>Flushing</t>
  </si>
  <si>
    <t>florencio.davenport@yahoo.com</t>
  </si>
  <si>
    <t xml:space="preserve">8759 Brookside Ave. </t>
  </si>
  <si>
    <t>shonta.preston@msn.com</t>
  </si>
  <si>
    <t xml:space="preserve">74 Division St. </t>
  </si>
  <si>
    <t>chere.alston@gmail.com</t>
  </si>
  <si>
    <t xml:space="preserve">16 Lower River Street </t>
  </si>
  <si>
    <t>jenise.preston@yahoo.com</t>
  </si>
  <si>
    <t xml:space="preserve">9 Littleton Drive </t>
  </si>
  <si>
    <t>candelaria.coffey@aol.com</t>
  </si>
  <si>
    <t xml:space="preserve">45 Newport Lane </t>
  </si>
  <si>
    <t>(657) 323-8684</t>
  </si>
  <si>
    <t>ana.palmer@yahoo.com</t>
  </si>
  <si>
    <t xml:space="preserve">7 Buckingham St. </t>
  </si>
  <si>
    <t>paul.lester@gmail.com</t>
  </si>
  <si>
    <t xml:space="preserve">275 Clay St. </t>
  </si>
  <si>
    <t>conchita.boone@gmail.com</t>
  </si>
  <si>
    <t xml:space="preserve">814 Birchpond Lane </t>
  </si>
  <si>
    <t>chi.goff@aol.com</t>
  </si>
  <si>
    <t xml:space="preserve">3 W. Glen Ridge Avenue </t>
  </si>
  <si>
    <t>yanira.bradshaw@gmail.com</t>
  </si>
  <si>
    <t xml:space="preserve">7484 Ann Court </t>
  </si>
  <si>
    <t>armando.black@gmail.com</t>
  </si>
  <si>
    <t xml:space="preserve">8611 N. Poor House St. </t>
  </si>
  <si>
    <t>letitia.franco@aol.com</t>
  </si>
  <si>
    <t xml:space="preserve">607 Lakeview Drive </t>
  </si>
  <si>
    <t>vince.schneider@hotmail.com</t>
  </si>
  <si>
    <t xml:space="preserve">473 Corona Ave. </t>
  </si>
  <si>
    <t>winfred.harris@msn.com</t>
  </si>
  <si>
    <t xml:space="preserve">734 Glen Eagles St. </t>
  </si>
  <si>
    <t>lenore.valdez@msn.com</t>
  </si>
  <si>
    <t xml:space="preserve">829 Birchpond Street </t>
  </si>
  <si>
    <t>justina.jenkins@yahoo.com</t>
  </si>
  <si>
    <t xml:space="preserve">8236 Creek St. </t>
  </si>
  <si>
    <t>geraldine.o'donnell@hotmail.com</t>
  </si>
  <si>
    <t xml:space="preserve">8241 Lookout Rd. </t>
  </si>
  <si>
    <t>larraine.horn@msn.com</t>
  </si>
  <si>
    <t xml:space="preserve">368 South Summerhouse Dr. </t>
  </si>
  <si>
    <t>patrina.tanner@gmail.com</t>
  </si>
  <si>
    <t xml:space="preserve">7136 Selby Road </t>
  </si>
  <si>
    <t>georgeann.rojas@msn.com</t>
  </si>
  <si>
    <t xml:space="preserve">691 Devon Ave. </t>
  </si>
  <si>
    <t>(716) 601-7704</t>
  </si>
  <si>
    <t>evelina.byrd@msn.com</t>
  </si>
  <si>
    <t xml:space="preserve">628 S. Church St. </t>
  </si>
  <si>
    <t>nanette.roman@yahoo.com</t>
  </si>
  <si>
    <t xml:space="preserve">8254 North Riverview Street </t>
  </si>
  <si>
    <t>shanti.johnston@gmail.com</t>
  </si>
  <si>
    <t xml:space="preserve">722 Alderwood Drive </t>
  </si>
  <si>
    <t>annett.garrett@yahoo.com</t>
  </si>
  <si>
    <t xml:space="preserve">19 Euclid Lane </t>
  </si>
  <si>
    <t>claris.santiago@msn.com</t>
  </si>
  <si>
    <t xml:space="preserve">763 Mountainview Dr. </t>
  </si>
  <si>
    <t>clementine.mooney@yahoo.com</t>
  </si>
  <si>
    <t xml:space="preserve">678 Charles Court </t>
  </si>
  <si>
    <t>carola.mcpherson@hotmail.com</t>
  </si>
  <si>
    <t xml:space="preserve">578 Shirley Dr. </t>
  </si>
  <si>
    <t>agustina.lawrence@yahoo.com</t>
  </si>
  <si>
    <t xml:space="preserve">9347 Delaware Ave. </t>
  </si>
  <si>
    <t>clementina.sargent@hotmail.com</t>
  </si>
  <si>
    <t xml:space="preserve">9853 Catherine Road </t>
  </si>
  <si>
    <t>gwendolyn.miller@msn.com</t>
  </si>
  <si>
    <t xml:space="preserve">90 Fordham Ave. </t>
  </si>
  <si>
    <t>giovanna.jefferson@gmail.com</t>
  </si>
  <si>
    <t xml:space="preserve">9394 Riverside St. </t>
  </si>
  <si>
    <t>pamelia.newman@gmail.com</t>
  </si>
  <si>
    <t xml:space="preserve">476 Chestnut Ave. </t>
  </si>
  <si>
    <t>bennett.armstrong@aol.com</t>
  </si>
  <si>
    <t xml:space="preserve">688 Walnut Street </t>
  </si>
  <si>
    <t>brittni.green@msn.com</t>
  </si>
  <si>
    <t xml:space="preserve">842 El Dorado Lane </t>
  </si>
  <si>
    <t>dionne.norris@yahoo.com</t>
  </si>
  <si>
    <t xml:space="preserve">9993 Greenview Circle </t>
  </si>
  <si>
    <t>ira.moore@gmail.com</t>
  </si>
  <si>
    <t xml:space="preserve">1 Pineknoll Court </t>
  </si>
  <si>
    <t>luciano.marsh@aol.com</t>
  </si>
  <si>
    <t xml:space="preserve">7685 South Willow Drive </t>
  </si>
  <si>
    <t>shiloh.reeves@msn.com</t>
  </si>
  <si>
    <t xml:space="preserve">818 Kirkland Lane </t>
  </si>
  <si>
    <t>karl.stephens@gmail.com</t>
  </si>
  <si>
    <t xml:space="preserve">208 Thatcher Rd. </t>
  </si>
  <si>
    <t>kerrie.o'neill@gmail.com</t>
  </si>
  <si>
    <t xml:space="preserve">69 Wellington Ave. </t>
  </si>
  <si>
    <t>rosanne.george@yahoo.com</t>
  </si>
  <si>
    <t xml:space="preserve">38 Pleasant St. </t>
  </si>
  <si>
    <t>marina.hinton@yahoo.com</t>
  </si>
  <si>
    <t xml:space="preserve">7440 North Oxford St. </t>
  </si>
  <si>
    <t>sherita.cherry@gmail.com</t>
  </si>
  <si>
    <t xml:space="preserve">9636 Old Cedarwood Street </t>
  </si>
  <si>
    <t>siobhan.lang@gmail.com</t>
  </si>
  <si>
    <t xml:space="preserve">3 Monroe Lane </t>
  </si>
  <si>
    <t>eliseo.knight@msn.com</t>
  </si>
  <si>
    <t xml:space="preserve">693 Holly Street </t>
  </si>
  <si>
    <t>novella.ross@gmail.com</t>
  </si>
  <si>
    <t xml:space="preserve">9418 Acacia Drive </t>
  </si>
  <si>
    <t>collene.roman@aol.com</t>
  </si>
  <si>
    <t xml:space="preserve">30 North Argyle Dr. </t>
  </si>
  <si>
    <t>hipolito.padilla@hotmail.com</t>
  </si>
  <si>
    <t xml:space="preserve">311 E. Rose Avenue </t>
  </si>
  <si>
    <t>dung.king@aol.com</t>
  </si>
  <si>
    <t xml:space="preserve">523 Prairie St. </t>
  </si>
  <si>
    <t>season.harvey@yahoo.com</t>
  </si>
  <si>
    <t xml:space="preserve">388 Arnold Court </t>
  </si>
  <si>
    <t>macie.ayers@msn.com</t>
  </si>
  <si>
    <t xml:space="preserve">8730 Longfellow St. </t>
  </si>
  <si>
    <t>loraine.sykes@yahoo.com</t>
  </si>
  <si>
    <t xml:space="preserve">9239 Windsor Ave. </t>
  </si>
  <si>
    <t>larae.carney@msn.com</t>
  </si>
  <si>
    <t xml:space="preserve">9322 Glen Ridge Dr. </t>
  </si>
  <si>
    <t>marilyn.frank@aol.com</t>
  </si>
  <si>
    <t xml:space="preserve">8878 Branch Street </t>
  </si>
  <si>
    <t>rudolf.moran@gmail.com</t>
  </si>
  <si>
    <t xml:space="preserve">5 Birchwood Rd. </t>
  </si>
  <si>
    <t>angelique.merrill@gmail.com</t>
  </si>
  <si>
    <t xml:space="preserve">8490 West High Noon Ave. </t>
  </si>
  <si>
    <t>(424) 464-7290</t>
  </si>
  <si>
    <t>sanora.webster@msn.com</t>
  </si>
  <si>
    <t xml:space="preserve">74 Beach St. </t>
  </si>
  <si>
    <t>gabriella.jones@hotmail.com</t>
  </si>
  <si>
    <t xml:space="preserve">9100 Gates Ave. </t>
  </si>
  <si>
    <t>(915) 903-7860</t>
  </si>
  <si>
    <t>gilberte.duke@gmail.com</t>
  </si>
  <si>
    <t xml:space="preserve">12 Birchwood Dr. </t>
  </si>
  <si>
    <t>carissa.foreman@msn.com</t>
  </si>
  <si>
    <t xml:space="preserve">69C N. Ridge Rd. </t>
  </si>
  <si>
    <t>kermit.hyde@hotmail.com</t>
  </si>
  <si>
    <t xml:space="preserve">87 SE. Carson St. </t>
  </si>
  <si>
    <t>arminda.weber@yahoo.com</t>
  </si>
  <si>
    <t xml:space="preserve">6 Hill Field St. </t>
  </si>
  <si>
    <t>sandee.alvarado@aol.com</t>
  </si>
  <si>
    <t xml:space="preserve">69 Bowman Street </t>
  </si>
  <si>
    <t>Depew</t>
  </si>
  <si>
    <t>kam.wilder@hotmail.com</t>
  </si>
  <si>
    <t xml:space="preserve">500 West Clay Ave. </t>
  </si>
  <si>
    <t>valentin.mclaughlin@hotmail.com</t>
  </si>
  <si>
    <t xml:space="preserve">56 Squaw Creek Street </t>
  </si>
  <si>
    <t>lashawna.richardson@hotmail.com</t>
  </si>
  <si>
    <t xml:space="preserve">9920 Purple Finch St. </t>
  </si>
  <si>
    <t>charlesetta.soto@yahoo.com</t>
  </si>
  <si>
    <t xml:space="preserve">25 South Colonial Drive </t>
  </si>
  <si>
    <t>jesus.burch@hotmail.com</t>
  </si>
  <si>
    <t xml:space="preserve">7024 Squaw Creek Street </t>
  </si>
  <si>
    <t>nathanael.bradley@aol.com</t>
  </si>
  <si>
    <t xml:space="preserve">58 Third St. </t>
  </si>
  <si>
    <t>elease.dejesus@gmail.com</t>
  </si>
  <si>
    <t xml:space="preserve">7800 Magnolia Street </t>
  </si>
  <si>
    <t>marcell.barrett@gmail.com</t>
  </si>
  <si>
    <t xml:space="preserve">266 Elm Drive </t>
  </si>
  <si>
    <t>(914) 367-7691</t>
  </si>
  <si>
    <t>lurlene.finch@msn.com</t>
  </si>
  <si>
    <t xml:space="preserve">849 Magnolia St. </t>
  </si>
  <si>
    <t>louanne.martin@hotmail.com</t>
  </si>
  <si>
    <t xml:space="preserve">1 Campfire Ave. </t>
  </si>
  <si>
    <t>Yuba City</t>
  </si>
  <si>
    <t>(408) 761-9212</t>
  </si>
  <si>
    <t>domingo.casey@msn.com</t>
  </si>
  <si>
    <t xml:space="preserve">8665 Cypress Street </t>
  </si>
  <si>
    <t>felica.munoz@aol.com</t>
  </si>
  <si>
    <t xml:space="preserve">24 West Rockwell Dr. </t>
  </si>
  <si>
    <t>miranda.kennedy@gmail.com</t>
  </si>
  <si>
    <t xml:space="preserve">726 East High St. </t>
  </si>
  <si>
    <t>kandace.giles@msn.com</t>
  </si>
  <si>
    <t xml:space="preserve">30 NE. Walt Whitman Drive </t>
  </si>
  <si>
    <t>virgen.clemons@gmail.com</t>
  </si>
  <si>
    <t xml:space="preserve">354 Cactus Drive </t>
  </si>
  <si>
    <t>marcy.rodriguez@gmail.com</t>
  </si>
  <si>
    <t xml:space="preserve">97 Trusel Drive </t>
  </si>
  <si>
    <t>trena.hudson@hotmail.com</t>
  </si>
  <si>
    <t xml:space="preserve">135 Grand Ave. </t>
  </si>
  <si>
    <t>nelle.beck@aol.com</t>
  </si>
  <si>
    <t xml:space="preserve">8998 Wakehurst Drive </t>
  </si>
  <si>
    <t>dane.mcdaniel@hotmail.com</t>
  </si>
  <si>
    <t xml:space="preserve">891 Court Ave. </t>
  </si>
  <si>
    <t>debbra.jacobson@yahoo.com</t>
  </si>
  <si>
    <t xml:space="preserve">8316 West Bedford Ave. </t>
  </si>
  <si>
    <t>moses.pope@yahoo.com</t>
  </si>
  <si>
    <t xml:space="preserve">654 Theatre Street </t>
  </si>
  <si>
    <t>ross.pugh@msn.com</t>
  </si>
  <si>
    <t xml:space="preserve">8598 Saxon St. </t>
  </si>
  <si>
    <t>mercy.brown@msn.com</t>
  </si>
  <si>
    <t xml:space="preserve">8207 Central Street </t>
  </si>
  <si>
    <t>(915) 607-6336</t>
  </si>
  <si>
    <t>coleman.boyd@yahoo.com</t>
  </si>
  <si>
    <t xml:space="preserve">9740 Bay Meadows Drive </t>
  </si>
  <si>
    <t>edythe.valencia@yahoo.com</t>
  </si>
  <si>
    <t xml:space="preserve">9346 Wall St. </t>
  </si>
  <si>
    <t>sheree.pena@yahoo.com</t>
  </si>
  <si>
    <t xml:space="preserve">822 Virginia Court </t>
  </si>
  <si>
    <t>erlinda.humphrey@hotmail.com</t>
  </si>
  <si>
    <t xml:space="preserve">532 South Victoria St. </t>
  </si>
  <si>
    <t>(657) 454-8493</t>
  </si>
  <si>
    <t>delma.bailey@gmail.com</t>
  </si>
  <si>
    <t xml:space="preserve">9883 West King Lane </t>
  </si>
  <si>
    <t>(716) 941-6072</t>
  </si>
  <si>
    <t>chantell.bridges@yahoo.com</t>
  </si>
  <si>
    <t xml:space="preserve">8478 N. Wrangler Dr. </t>
  </si>
  <si>
    <t>garry.juarez@hotmail.com</t>
  </si>
  <si>
    <t xml:space="preserve">670 Nut Swamp Drive </t>
  </si>
  <si>
    <t>edmund.gaines@gmail.com</t>
  </si>
  <si>
    <t xml:space="preserve">8643 Gartner St. </t>
  </si>
  <si>
    <t>miriam.baker@hotmail.com</t>
  </si>
  <si>
    <t xml:space="preserve">90 Studebaker St. </t>
  </si>
  <si>
    <t>aimee.merritt@yahoo.com</t>
  </si>
  <si>
    <t xml:space="preserve">537 East Meadowbrook St. </t>
  </si>
  <si>
    <t>laure.pena@yahoo.com</t>
  </si>
  <si>
    <t xml:space="preserve">9849 West Elmwood St. </t>
  </si>
  <si>
    <t>sally.kinney@msn.com</t>
  </si>
  <si>
    <t xml:space="preserve">7565 High Dr. </t>
  </si>
  <si>
    <t>obdulia.barber@gmail.com</t>
  </si>
  <si>
    <t xml:space="preserve">878 Lexington Rd. </t>
  </si>
  <si>
    <t>inga.koch@msn.com</t>
  </si>
  <si>
    <t xml:space="preserve">8445 South New Court </t>
  </si>
  <si>
    <t>elanor.patrick@aol.com</t>
  </si>
  <si>
    <t xml:space="preserve">51 Howard Ave. </t>
  </si>
  <si>
    <t>bridgette.guerra@hotmail.com</t>
  </si>
  <si>
    <t xml:space="preserve">9982 Manor Drive </t>
  </si>
  <si>
    <t>josef.greer@gmail.com</t>
  </si>
  <si>
    <t xml:space="preserve">92 Summer Court </t>
  </si>
  <si>
    <t>renita.henry@msn.com</t>
  </si>
  <si>
    <t xml:space="preserve">474 Woodland Ave. </t>
  </si>
  <si>
    <t>(631) 151-4988</t>
  </si>
  <si>
    <t>samual.warner@gmail.com</t>
  </si>
  <si>
    <t xml:space="preserve">8735 Thatcher Dr. </t>
  </si>
  <si>
    <t>(229) 813-2130</t>
  </si>
  <si>
    <t>mi.gray@aol.com</t>
  </si>
  <si>
    <t xml:space="preserve">27 Roehampton Dr. </t>
  </si>
  <si>
    <t>Albany</t>
  </si>
  <si>
    <t>loan.graham@yahoo.com</t>
  </si>
  <si>
    <t xml:space="preserve">57 Glen Eagles St. </t>
  </si>
  <si>
    <t>deane.sears@hotmail.com</t>
  </si>
  <si>
    <t xml:space="preserve">3 Bradford Court </t>
  </si>
  <si>
    <t>lorraine.marks@msn.com</t>
  </si>
  <si>
    <t xml:space="preserve">160 North Pearl Street </t>
  </si>
  <si>
    <t>eliana.reese@hotmail.com</t>
  </si>
  <si>
    <t xml:space="preserve">7079 NE. Cross Drive </t>
  </si>
  <si>
    <t>janine.manning@gmail.com</t>
  </si>
  <si>
    <t xml:space="preserve">9118B Campfire St. </t>
  </si>
  <si>
    <t>(559) 114-2580</t>
  </si>
  <si>
    <t>luz.house@gmail.com</t>
  </si>
  <si>
    <t xml:space="preserve">491 Railroad Street </t>
  </si>
  <si>
    <t>kerrie.morton@hotmail.com</t>
  </si>
  <si>
    <t xml:space="preserve">8772 State St. </t>
  </si>
  <si>
    <t>(805) 478-7724</t>
  </si>
  <si>
    <t>sharla.flynn@hotmail.com</t>
  </si>
  <si>
    <t xml:space="preserve">7 Brown Drive </t>
  </si>
  <si>
    <t>cassondra.pruitt@aol.com</t>
  </si>
  <si>
    <t xml:space="preserve">4 Alderwood Circle </t>
  </si>
  <si>
    <t>graig.cannon@gmail.com</t>
  </si>
  <si>
    <t xml:space="preserve">36 Oklahoma Ave. </t>
  </si>
  <si>
    <t>rudolf.gilliam@aol.com</t>
  </si>
  <si>
    <t xml:space="preserve">17 Marlborough Circle </t>
  </si>
  <si>
    <t>zella.fernandez@yahoo.com</t>
  </si>
  <si>
    <t xml:space="preserve">8 Marshall Dr. </t>
  </si>
  <si>
    <t>doris.kaufman@gmail.com</t>
  </si>
  <si>
    <t xml:space="preserve">69 Fairground Dr. </t>
  </si>
  <si>
    <t>judith.finley@hotmail.com</t>
  </si>
  <si>
    <t xml:space="preserve">474 West Bank Road </t>
  </si>
  <si>
    <t>luciana.mcgee@msn.com</t>
  </si>
  <si>
    <t xml:space="preserve">8002 Cross St. </t>
  </si>
  <si>
    <t>chloe.patel@yahoo.com</t>
  </si>
  <si>
    <t xml:space="preserve">407 Homewood Street </t>
  </si>
  <si>
    <t>rutha.howell@gmail.com</t>
  </si>
  <si>
    <t xml:space="preserve">9247 Jones Street </t>
  </si>
  <si>
    <t>tajuana.riddle@hotmail.com</t>
  </si>
  <si>
    <t xml:space="preserve">24 St Margarets Ave. </t>
  </si>
  <si>
    <t>novella.patel@gmail.com</t>
  </si>
  <si>
    <t xml:space="preserve">500 Livingston Street </t>
  </si>
  <si>
    <t>ehtel.cobb@hotmail.com</t>
  </si>
  <si>
    <t xml:space="preserve">741 Rockville Drive </t>
  </si>
  <si>
    <t>romana.barnes@yahoo.com</t>
  </si>
  <si>
    <t xml:space="preserve">9776 Shipley Rd. </t>
  </si>
  <si>
    <t>agatha.melton@yahoo.com</t>
  </si>
  <si>
    <t xml:space="preserve">89 East Illinois Street </t>
  </si>
  <si>
    <t>jayne.kirkland@hotmail.com</t>
  </si>
  <si>
    <t xml:space="preserve">7800 Second Lane </t>
  </si>
  <si>
    <t>conrad.mueller@yahoo.com</t>
  </si>
  <si>
    <t xml:space="preserve">3 Myrtle St. </t>
  </si>
  <si>
    <t>mariana.strong@msn.com</t>
  </si>
  <si>
    <t xml:space="preserve">972 Dunbar Dr. </t>
  </si>
  <si>
    <t>(408) 807-6157</t>
  </si>
  <si>
    <t>lee.dunn@aol.com</t>
  </si>
  <si>
    <t xml:space="preserve">8626 Grand Ave. </t>
  </si>
  <si>
    <t>(657) 288-3778</t>
  </si>
  <si>
    <t>stephen.vega@msn.com</t>
  </si>
  <si>
    <t xml:space="preserve">5 Briarwood St. </t>
  </si>
  <si>
    <t>myron.ruiz@gmail.com</t>
  </si>
  <si>
    <t xml:space="preserve">45 Shadow Brook Lane </t>
  </si>
  <si>
    <t>abram.copeland@gmail.com</t>
  </si>
  <si>
    <t xml:space="preserve">9782 Indian Spring Lane </t>
  </si>
  <si>
    <t>tressa.weiss@msn.com</t>
  </si>
  <si>
    <t xml:space="preserve">52 Wild Rose Avenue </t>
  </si>
  <si>
    <t>douglas.richards@hotmail.com</t>
  </si>
  <si>
    <t xml:space="preserve">221 Arcadia Lane </t>
  </si>
  <si>
    <t>alita.salinas@hotmail.com</t>
  </si>
  <si>
    <t xml:space="preserve">8550 Bear Hill Ave. </t>
  </si>
  <si>
    <t>(248) 370-1364</t>
  </si>
  <si>
    <t>corrina.sawyer@yahoo.com</t>
  </si>
  <si>
    <t xml:space="preserve">95 Briarwood Lane </t>
  </si>
  <si>
    <t>mellisa.farley@yahoo.com</t>
  </si>
  <si>
    <t xml:space="preserve">21 West Princess St. </t>
  </si>
  <si>
    <t>melanie.hayes@msn.com</t>
  </si>
  <si>
    <t xml:space="preserve">5 N. Hall Dr. </t>
  </si>
  <si>
    <t>walton.dejesus@yahoo.com</t>
  </si>
  <si>
    <t xml:space="preserve">15 Washington Rd. </t>
  </si>
  <si>
    <t>hugh.craft@msn.com</t>
  </si>
  <si>
    <t xml:space="preserve">8716 Homewood Court </t>
  </si>
  <si>
    <t>chasidy.webster@msn.com</t>
  </si>
  <si>
    <t xml:space="preserve">8296 S. Lookout Lane </t>
  </si>
  <si>
    <t>genny.hensley@yahoo.com</t>
  </si>
  <si>
    <t xml:space="preserve">8849 Marconi Ave. </t>
  </si>
  <si>
    <t>carter.bentley@yahoo.com</t>
  </si>
  <si>
    <t xml:space="preserve">145 North Bridle Ave. </t>
  </si>
  <si>
    <t>daphine.willis@msn.com</t>
  </si>
  <si>
    <t xml:space="preserve">152 Shady St. </t>
  </si>
  <si>
    <t>(657) 536-5165</t>
  </si>
  <si>
    <t>jone.bernard@hotmail.com</t>
  </si>
  <si>
    <t xml:space="preserve">99 Longbranch Court </t>
  </si>
  <si>
    <t>loreta.johnston@yahoo.com</t>
  </si>
  <si>
    <t xml:space="preserve">39 Lafayette Dr. </t>
  </si>
  <si>
    <t>andreas.mayer@hotmail.com</t>
  </si>
  <si>
    <t xml:space="preserve">8577 Galvin Circle </t>
  </si>
  <si>
    <t>myesha.burgess@gmail.com</t>
  </si>
  <si>
    <t xml:space="preserve">306 Trenton Rd. </t>
  </si>
  <si>
    <t>skye.pope@yahoo.com</t>
  </si>
  <si>
    <t xml:space="preserve">121 S. Bay Meadows Ave. </t>
  </si>
  <si>
    <t>rosalva.hamilton@aol.com</t>
  </si>
  <si>
    <t xml:space="preserve">9883 Cedar Dr. </t>
  </si>
  <si>
    <t>nicholas.vazquez@hotmail.com</t>
  </si>
  <si>
    <t xml:space="preserve">9 Roosevelt Street </t>
  </si>
  <si>
    <t>tamela.harrell@aol.com</t>
  </si>
  <si>
    <t xml:space="preserve">7316 Cypress Rd. </t>
  </si>
  <si>
    <t>arvilla.weiss@msn.com</t>
  </si>
  <si>
    <t xml:space="preserve">477 Blue Spring St. </t>
  </si>
  <si>
    <t>nicki.larson@yahoo.com</t>
  </si>
  <si>
    <t xml:space="preserve">8317 West Leatherwood Dr. </t>
  </si>
  <si>
    <t>ashleigh.frank@gmail.com</t>
  </si>
  <si>
    <t xml:space="preserve">9008 Plymouth Street </t>
  </si>
  <si>
    <t>phebe.turner@aol.com</t>
  </si>
  <si>
    <t xml:space="preserve">4 West York Street </t>
  </si>
  <si>
    <t>annabelle.hebert@aol.com</t>
  </si>
  <si>
    <t xml:space="preserve">9745 Nicolls Lane </t>
  </si>
  <si>
    <t>(210) 436-8676</t>
  </si>
  <si>
    <t>camila.carroll@yahoo.com</t>
  </si>
  <si>
    <t xml:space="preserve">72 Shub Farm Avenue </t>
  </si>
  <si>
    <t>shona.mcmillan@msn.com</t>
  </si>
  <si>
    <t xml:space="preserve">57 West Maple Dr. </t>
  </si>
  <si>
    <t>rita.bailey@hotmail.com</t>
  </si>
  <si>
    <t xml:space="preserve">69 Glenwood Street </t>
  </si>
  <si>
    <t>genoveva.lloyd@aol.com</t>
  </si>
  <si>
    <t xml:space="preserve">706 Devonshire St. </t>
  </si>
  <si>
    <t>lizzie.joyner@msn.com</t>
  </si>
  <si>
    <t xml:space="preserve">8541 Roberts St. </t>
  </si>
  <si>
    <t>marissa.summers@msn.com</t>
  </si>
  <si>
    <t xml:space="preserve">81 Carpenter St. </t>
  </si>
  <si>
    <t>zona.cameron@aol.com</t>
  </si>
  <si>
    <t xml:space="preserve">42 Bridle Court </t>
  </si>
  <si>
    <t>augustus.steele@aol.com</t>
  </si>
  <si>
    <t xml:space="preserve">7474 N. Orchard St. </t>
  </si>
  <si>
    <t>jeni.farley@aol.com</t>
  </si>
  <si>
    <t xml:space="preserve">4 Mill Lane </t>
  </si>
  <si>
    <t>leif.short@gmail.com</t>
  </si>
  <si>
    <t xml:space="preserve">962 Carpenter Ave. </t>
  </si>
  <si>
    <t>ebony.cotton@yahoo.com</t>
  </si>
  <si>
    <t xml:space="preserve">8979 Miller St. </t>
  </si>
  <si>
    <t>(248) 234-5902</t>
  </si>
  <si>
    <t>mila.moody@gmail.com</t>
  </si>
  <si>
    <t xml:space="preserve">675 Williams St. </t>
  </si>
  <si>
    <t>cecelia.gill@aol.com</t>
  </si>
  <si>
    <t xml:space="preserve">372 Silver Spear Dr. </t>
  </si>
  <si>
    <t>corinna.adams@msn.com</t>
  </si>
  <si>
    <t xml:space="preserve">38 Trenton Court </t>
  </si>
  <si>
    <t>(361) 206-5550</t>
  </si>
  <si>
    <t>londa.gould@aol.com</t>
  </si>
  <si>
    <t xml:space="preserve">9169 Beech Lane </t>
  </si>
  <si>
    <t>claudio.wise@hotmail.com</t>
  </si>
  <si>
    <t xml:space="preserve">810 Oxford Ave. </t>
  </si>
  <si>
    <t>cindi.larson@msn.com</t>
  </si>
  <si>
    <t xml:space="preserve">896 Golden Star Rd. </t>
  </si>
  <si>
    <t>(682) 841-4643</t>
  </si>
  <si>
    <t>julienne.moody@hotmail.com</t>
  </si>
  <si>
    <t xml:space="preserve">35 South Oxford Rd. </t>
  </si>
  <si>
    <t>lavinia.cotton@yahoo.com</t>
  </si>
  <si>
    <t xml:space="preserve">7485 Bridle Street </t>
  </si>
  <si>
    <t>myrl.gay@hotmail.com</t>
  </si>
  <si>
    <t xml:space="preserve">8708 Taylor Lane </t>
  </si>
  <si>
    <t>alfredo.dodson@hotmail.com</t>
  </si>
  <si>
    <t xml:space="preserve">8960 Glenholme Dr. </t>
  </si>
  <si>
    <t>raphael.o'neil@aol.com</t>
  </si>
  <si>
    <t xml:space="preserve">762 East Lantern Dr. </t>
  </si>
  <si>
    <t>romeo.steele@msn.com</t>
  </si>
  <si>
    <t xml:space="preserve">162 Crescent Lane </t>
  </si>
  <si>
    <t>bettie.glover@gmail.com</t>
  </si>
  <si>
    <t xml:space="preserve">9083 Addison Dr. </t>
  </si>
  <si>
    <t>cecilia.camacho@yahoo.com</t>
  </si>
  <si>
    <t xml:space="preserve">682 Mountainview Rd. </t>
  </si>
  <si>
    <t>(682) 362-7457</t>
  </si>
  <si>
    <t>dollie.cervantes@aol.com</t>
  </si>
  <si>
    <t xml:space="preserve">8828 Applegate Drive </t>
  </si>
  <si>
    <t>vito.pickett@hotmail.com</t>
  </si>
  <si>
    <t xml:space="preserve">93 High Point Street </t>
  </si>
  <si>
    <t>victor.pittman@aol.com</t>
  </si>
  <si>
    <t xml:space="preserve">9294 Devon Dr. </t>
  </si>
  <si>
    <t>(631) 477-1277</t>
  </si>
  <si>
    <t>effie.jenkins@msn.com</t>
  </si>
  <si>
    <t xml:space="preserve">75 South Glen Eagles Court </t>
  </si>
  <si>
    <t>vernell.goff@msn.com</t>
  </si>
  <si>
    <t xml:space="preserve">77 Cobblestone St. </t>
  </si>
  <si>
    <t>jeanie.kirkland@aol.com</t>
  </si>
  <si>
    <t xml:space="preserve">7643 Old Theatre St. </t>
  </si>
  <si>
    <t>honey.camacho@gmail.com</t>
  </si>
  <si>
    <t xml:space="preserve">934 2nd St. </t>
  </si>
  <si>
    <t>(914) 818-7312</t>
  </si>
  <si>
    <t>deandrea.vega@gmail.com</t>
  </si>
  <si>
    <t xml:space="preserve">613 Mill Pond St. </t>
  </si>
  <si>
    <t>lolita.o'neill@aol.com</t>
  </si>
  <si>
    <t xml:space="preserve">36 Prairie Dr. </t>
  </si>
  <si>
    <t>hermila.mckay@yahoo.com</t>
  </si>
  <si>
    <t xml:space="preserve">23 Garfield Dr. </t>
  </si>
  <si>
    <t>vicki.wiggins@hotmail.com</t>
  </si>
  <si>
    <t xml:space="preserve">71 Broad Ave. </t>
  </si>
  <si>
    <t>harold.o'connor@gmail.com</t>
  </si>
  <si>
    <t xml:space="preserve">9530 Summerhouse Street </t>
  </si>
  <si>
    <t>krystin.marshall@hotmail.com</t>
  </si>
  <si>
    <t xml:space="preserve">10 Old Proctor Lane </t>
  </si>
  <si>
    <t>basil.ballard@yahoo.com</t>
  </si>
  <si>
    <t xml:space="preserve">7477 Belmont Ave. </t>
  </si>
  <si>
    <t>(916) 422-6956</t>
  </si>
  <si>
    <t>beryl.bennett@aol.com</t>
  </si>
  <si>
    <t xml:space="preserve">9563 Edgemont St. </t>
  </si>
  <si>
    <t>catherine.miles@msn.com</t>
  </si>
  <si>
    <t xml:space="preserve">7189 Elm Dr. </t>
  </si>
  <si>
    <t>(442) 618-7068</t>
  </si>
  <si>
    <t>darcie.morgan@aol.com</t>
  </si>
  <si>
    <t xml:space="preserve">476 East Adams Ave. </t>
  </si>
  <si>
    <t>Oceanside</t>
  </si>
  <si>
    <t>cyndi.dyer@msn.com</t>
  </si>
  <si>
    <t xml:space="preserve">313 West Argyle Ave. </t>
  </si>
  <si>
    <t>(631) 871-2512</t>
  </si>
  <si>
    <t>lewis.garner@gmail.com</t>
  </si>
  <si>
    <t xml:space="preserve">9550 East Greenrose St. </t>
  </si>
  <si>
    <t>tonda.armstrong@aol.com</t>
  </si>
  <si>
    <t xml:space="preserve">19 Forest Rd. </t>
  </si>
  <si>
    <t>(657) 611-2991</t>
  </si>
  <si>
    <t>penni.best@msn.com</t>
  </si>
  <si>
    <t xml:space="preserve">875 Second Drive </t>
  </si>
  <si>
    <t>marlo.jefferson@gmail.com</t>
  </si>
  <si>
    <t xml:space="preserve">39 Trenton Rd. </t>
  </si>
  <si>
    <t>ulrike.chan@aol.com</t>
  </si>
  <si>
    <t xml:space="preserve">7949 Lancaster St. </t>
  </si>
  <si>
    <t>myung.hooper@gmail.com</t>
  </si>
  <si>
    <t xml:space="preserve">951 Mill Road </t>
  </si>
  <si>
    <t>olimpia.mays@aol.com</t>
  </si>
  <si>
    <t xml:space="preserve">42 Nichols Lane </t>
  </si>
  <si>
    <t>lina.meadows@aol.com</t>
  </si>
  <si>
    <t xml:space="preserve">7020 Ashley Rd. </t>
  </si>
  <si>
    <t>arie.hunter@msn.com</t>
  </si>
  <si>
    <t xml:space="preserve">66 Old State Rd. </t>
  </si>
  <si>
    <t>patsy.russo@gmail.com</t>
  </si>
  <si>
    <t xml:space="preserve">8438 Fairway Avenue </t>
  </si>
  <si>
    <t>travis.goodman@yahoo.com</t>
  </si>
  <si>
    <t xml:space="preserve">65 Rockcrest Dr. </t>
  </si>
  <si>
    <t>eric.hardin@gmail.com</t>
  </si>
  <si>
    <t xml:space="preserve">39 S. Parker Drive </t>
  </si>
  <si>
    <t>babara.ochoa@aol.com</t>
  </si>
  <si>
    <t xml:space="preserve">872 Smith Store St. </t>
  </si>
  <si>
    <t>oliva.blackwell@hotmail.com</t>
  </si>
  <si>
    <t xml:space="preserve">54 Ramblewood St. </t>
  </si>
  <si>
    <t>india.barron@msn.com</t>
  </si>
  <si>
    <t xml:space="preserve">834 W. Pleasant Rd. </t>
  </si>
  <si>
    <t>jasper.castro@aol.com</t>
  </si>
  <si>
    <t xml:space="preserve">977 SE. Railroad Road </t>
  </si>
  <si>
    <t>nettie.mcdaniel@hotmail.com</t>
  </si>
  <si>
    <t xml:space="preserve">7004 E. Wakehurst St. </t>
  </si>
  <si>
    <t>barry.buckner@gmail.com</t>
  </si>
  <si>
    <t xml:space="preserve">8779 High Noon Rd. </t>
  </si>
  <si>
    <t>edra.fitzgerald@msn.com</t>
  </si>
  <si>
    <t xml:space="preserve">8892 Birchwood St. </t>
  </si>
  <si>
    <t>herlinda.stone@msn.com</t>
  </si>
  <si>
    <t xml:space="preserve">725 Gulf St. </t>
  </si>
  <si>
    <t>tisa.whitney@yahoo.com</t>
  </si>
  <si>
    <t xml:space="preserve">549 Newbridge Dr. </t>
  </si>
  <si>
    <t>vashti.rosario@yahoo.com</t>
  </si>
  <si>
    <t xml:space="preserve">623 Johnson Circle </t>
  </si>
  <si>
    <t>kellye.campbell@gmail.com</t>
  </si>
  <si>
    <t xml:space="preserve">75 Marsh St. </t>
  </si>
  <si>
    <t>tama.berg@hotmail.com</t>
  </si>
  <si>
    <t xml:space="preserve">3 Cardinal Avenue </t>
  </si>
  <si>
    <t>(408) 611-3553</t>
  </si>
  <si>
    <t>rona.rojas@gmail.com</t>
  </si>
  <si>
    <t xml:space="preserve">815 Riverview St. </t>
  </si>
  <si>
    <t>cherelle.key@msn.com</t>
  </si>
  <si>
    <t xml:space="preserve">7739 Snake Hill Lane </t>
  </si>
  <si>
    <t>cheree.hale@yahoo.com</t>
  </si>
  <si>
    <t xml:space="preserve">95 Lyme Avenue </t>
  </si>
  <si>
    <t>dannette.guerrero@gmail.com</t>
  </si>
  <si>
    <t xml:space="preserve">68 Carriage Street </t>
  </si>
  <si>
    <t>crystle.gilliam@yahoo.com</t>
  </si>
  <si>
    <t xml:space="preserve">86 Edgewater Road </t>
  </si>
  <si>
    <t>shea.howell@msn.com</t>
  </si>
  <si>
    <t xml:space="preserve">67 Arch Rd. </t>
  </si>
  <si>
    <t>emmett.casey@yahoo.com</t>
  </si>
  <si>
    <t xml:space="preserve">893 Logan St. </t>
  </si>
  <si>
    <t>soledad.moses@yahoo.com</t>
  </si>
  <si>
    <t xml:space="preserve">85 Hickory Ave. </t>
  </si>
  <si>
    <t>elaina.key@msn.com</t>
  </si>
  <si>
    <t xml:space="preserve">1 Main St. </t>
  </si>
  <si>
    <t>mica.barry@yahoo.com</t>
  </si>
  <si>
    <t xml:space="preserve">3 SE. Sugar St. </t>
  </si>
  <si>
    <t>cassie.cline@gmail.com</t>
  </si>
  <si>
    <t xml:space="preserve">947 Lafayette Drive </t>
  </si>
  <si>
    <t>carina.lynch@gmail.com</t>
  </si>
  <si>
    <t xml:space="preserve">64 Jennings Road </t>
  </si>
  <si>
    <t>marlen.dawson@msn.com</t>
  </si>
  <si>
    <t xml:space="preserve">67 Oak Valley Street </t>
  </si>
  <si>
    <t>heather.perry@gmail.com</t>
  </si>
  <si>
    <t xml:space="preserve">982 Durham Street </t>
  </si>
  <si>
    <t>mellisa.griffin@msn.com</t>
  </si>
  <si>
    <t xml:space="preserve">49 Alton Circle </t>
  </si>
  <si>
    <t>tomasa.carson@aol.com</t>
  </si>
  <si>
    <t xml:space="preserve">10 Clark Avenue </t>
  </si>
  <si>
    <t>jamika.acevedo@yahoo.com</t>
  </si>
  <si>
    <t xml:space="preserve">8027 NW. Poplar St. </t>
  </si>
  <si>
    <t>georgina.gonzales@yahoo.com</t>
  </si>
  <si>
    <t xml:space="preserve">307 Chapel St. </t>
  </si>
  <si>
    <t>ciera.webb@yahoo.com</t>
  </si>
  <si>
    <t xml:space="preserve">958 Anderson Ave. </t>
  </si>
  <si>
    <t>morton.lee@yahoo.com</t>
  </si>
  <si>
    <t xml:space="preserve">313 Ridge St. </t>
  </si>
  <si>
    <t>sherril.alvarado@hotmail.com</t>
  </si>
  <si>
    <t xml:space="preserve">9434 Cypress Court </t>
  </si>
  <si>
    <t>ilda.roberson@aol.com</t>
  </si>
  <si>
    <t xml:space="preserve">8853 Lake St. </t>
  </si>
  <si>
    <t>dorine.roberson@msn.com</t>
  </si>
  <si>
    <t xml:space="preserve">396 Meadowbrook Lane </t>
  </si>
  <si>
    <t>felice.guzman@hotmail.com</t>
  </si>
  <si>
    <t xml:space="preserve">7 Creekside Lane </t>
  </si>
  <si>
    <t>jutta.everett@gmail.com</t>
  </si>
  <si>
    <t xml:space="preserve">27 Taylor Ave. </t>
  </si>
  <si>
    <t>romelia.myers@msn.com</t>
  </si>
  <si>
    <t xml:space="preserve">8630 Brook St. </t>
  </si>
  <si>
    <t>florrie.little@yahoo.com</t>
  </si>
  <si>
    <t xml:space="preserve">8330 Marsh St. </t>
  </si>
  <si>
    <t>damian.dawson@hotmail.com</t>
  </si>
  <si>
    <t xml:space="preserve">528 St Margarets Street </t>
  </si>
  <si>
    <t>cleopatra.tate@aol.com</t>
  </si>
  <si>
    <t xml:space="preserve">97 N. Glenwood St. </t>
  </si>
  <si>
    <t>berna.moore@hotmail.com</t>
  </si>
  <si>
    <t xml:space="preserve">7230 Lafayette Drive </t>
  </si>
  <si>
    <t>serina.hensley@yahoo.com</t>
  </si>
  <si>
    <t xml:space="preserve">53 Proctor Drive </t>
  </si>
  <si>
    <t>ricki.bullock@hotmail.com</t>
  </si>
  <si>
    <t xml:space="preserve">79 Pennington Rd. </t>
  </si>
  <si>
    <t>lyndsey.bean@hotmail.com</t>
  </si>
  <si>
    <t xml:space="preserve">769 West Road </t>
  </si>
  <si>
    <t>jenniffer.bullock@msn.com</t>
  </si>
  <si>
    <t xml:space="preserve">38 Oxford Avenue </t>
  </si>
  <si>
    <t>marylyn.browning@msn.com</t>
  </si>
  <si>
    <t xml:space="preserve">915 Lakeshore Street </t>
  </si>
  <si>
    <t>shawnna.frank@hotmail.com</t>
  </si>
  <si>
    <t xml:space="preserve">17 NW. Cottage Lane </t>
  </si>
  <si>
    <t>luis.tyler@gmail.com</t>
  </si>
  <si>
    <t xml:space="preserve">9568 Campfire Circle </t>
  </si>
  <si>
    <t>Amarillo</t>
  </si>
  <si>
    <t>(281) 529-3469</t>
  </si>
  <si>
    <t>crysta.velez@yahoo.com</t>
  </si>
  <si>
    <t xml:space="preserve">64 South Front Street </t>
  </si>
  <si>
    <t>regenia.vaughan@gmail.com</t>
  </si>
  <si>
    <t xml:space="preserve">44 Stonybrook Street </t>
  </si>
  <si>
    <t>raul.melendez@hotmail.com</t>
  </si>
  <si>
    <t xml:space="preserve">9772 Manhattan St. </t>
  </si>
  <si>
    <t>barbera.riggs@aol.com</t>
  </si>
  <si>
    <t xml:space="preserve">12 Gartner Drive </t>
  </si>
  <si>
    <t>courtney.wyatt@gmail.com</t>
  </si>
  <si>
    <t xml:space="preserve">369 Arrowhead St. </t>
  </si>
  <si>
    <t>lise.alvarado@gmail.com</t>
  </si>
  <si>
    <t xml:space="preserve">9816 Newcastle Dr. </t>
  </si>
  <si>
    <t>emelda.dickerson@aol.com</t>
  </si>
  <si>
    <t xml:space="preserve">7457 6th St. </t>
  </si>
  <si>
    <t>delaine.estes@yahoo.com</t>
  </si>
  <si>
    <t xml:space="preserve">8916 Hartford Rd. </t>
  </si>
  <si>
    <t>nikita.roy@aol.com</t>
  </si>
  <si>
    <t xml:space="preserve">9703 N. Snake Hill St. </t>
  </si>
  <si>
    <t>deshawn.mendoza@yahoo.com</t>
  </si>
  <si>
    <t xml:space="preserve">8790 Cobblestone Street </t>
  </si>
  <si>
    <t>sharell.ross@msn.com</t>
  </si>
  <si>
    <t xml:space="preserve">7830 Devonshire Ave. </t>
  </si>
  <si>
    <t>tangela.quinn@aol.com</t>
  </si>
  <si>
    <t xml:space="preserve">4 S. Purple Finch Road </t>
  </si>
  <si>
    <t>dexter.roberts@gmail.com</t>
  </si>
  <si>
    <t xml:space="preserve">84 Thatcher Court </t>
  </si>
  <si>
    <t>chantay.maynard@gmail.com</t>
  </si>
  <si>
    <t xml:space="preserve">7483 1st Ave. </t>
  </si>
  <si>
    <t>martha.burgess@msn.com</t>
  </si>
  <si>
    <t xml:space="preserve">9631 St Margarets Lane </t>
  </si>
  <si>
    <t>cori.schwartz@msn.com</t>
  </si>
  <si>
    <t xml:space="preserve">43 Lancaster Lane </t>
  </si>
  <si>
    <t>jerri.henry@msn.com</t>
  </si>
  <si>
    <t xml:space="preserve">141 N. Purple Finch Avenue </t>
  </si>
  <si>
    <t>consuela.romero@hotmail.com</t>
  </si>
  <si>
    <t xml:space="preserve">54 Elm Court </t>
  </si>
  <si>
    <t>renna.williams@hotmail.com</t>
  </si>
  <si>
    <t xml:space="preserve">7398 SW. Glen Ridge Road </t>
  </si>
  <si>
    <t>hope.cotton@aol.com</t>
  </si>
  <si>
    <t xml:space="preserve">9092 Blue Spring Dr. </t>
  </si>
  <si>
    <t>lucio.sherman@gmail.com</t>
  </si>
  <si>
    <t xml:space="preserve">842 Corona Ave. </t>
  </si>
  <si>
    <t>(915) 996-5952</t>
  </si>
  <si>
    <t>kermit.bowman@gmail.com</t>
  </si>
  <si>
    <t xml:space="preserve">3 Airport Street </t>
  </si>
  <si>
    <t>efren.whitfield@gmail.com</t>
  </si>
  <si>
    <t xml:space="preserve">139 Union Rd. </t>
  </si>
  <si>
    <t>mikel.wilkerson@msn.com</t>
  </si>
  <si>
    <t xml:space="preserve">9233 Clinton St. </t>
  </si>
  <si>
    <t>phuong.wolf@yahoo.com</t>
  </si>
  <si>
    <t xml:space="preserve">7765 N. Annadale Dr. </t>
  </si>
  <si>
    <t>shiela.calderon@msn.com</t>
  </si>
  <si>
    <t xml:space="preserve">844 Albany St. </t>
  </si>
  <si>
    <t>renato.morton@msn.com</t>
  </si>
  <si>
    <t xml:space="preserve">8526 Sherwood Street </t>
  </si>
  <si>
    <t>wynona.douglas@msn.com</t>
  </si>
  <si>
    <t xml:space="preserve">6 Country Ave. </t>
  </si>
  <si>
    <t>jeffry.church@msn.com</t>
  </si>
  <si>
    <t xml:space="preserve">426 Grandrose Ave. </t>
  </si>
  <si>
    <t>whitley.cannon@msn.com</t>
  </si>
  <si>
    <t xml:space="preserve">614 High Point Lane </t>
  </si>
  <si>
    <t>lloyd.miranda@hotmail.com</t>
  </si>
  <si>
    <t xml:space="preserve">9098 Jennings St. </t>
  </si>
  <si>
    <t>bea.kane@aol.com</t>
  </si>
  <si>
    <t xml:space="preserve">398 Green Lake Ave. </t>
  </si>
  <si>
    <t>trista.lambert@gmail.com</t>
  </si>
  <si>
    <t xml:space="preserve">79 River Street </t>
  </si>
  <si>
    <t>mina.carrillo@aol.com</t>
  </si>
  <si>
    <t xml:space="preserve">8659 Trenton Lane </t>
  </si>
  <si>
    <t>glady.wells@gmail.com</t>
  </si>
  <si>
    <t xml:space="preserve">627 Ramblewood Ave. </t>
  </si>
  <si>
    <t>genny.fields@msn.com</t>
  </si>
  <si>
    <t xml:space="preserve">9145 San Juan Dr. </t>
  </si>
  <si>
    <t>trinity.riddle@aol.com</t>
  </si>
  <si>
    <t xml:space="preserve">23 Oakland Lane </t>
  </si>
  <si>
    <t>margret.barnett@gmail.com</t>
  </si>
  <si>
    <t xml:space="preserve">7509 Depot Rd. </t>
  </si>
  <si>
    <t>deangelo.cooley@aol.com</t>
  </si>
  <si>
    <t xml:space="preserve">3 NE. Edgewood Rd. </t>
  </si>
  <si>
    <t>lashunda.cole@hotmail.com</t>
  </si>
  <si>
    <t xml:space="preserve">783 Baker St. </t>
  </si>
  <si>
    <t>aide.franco@msn.com</t>
  </si>
  <si>
    <t xml:space="preserve">8017 Lake Forest St. </t>
  </si>
  <si>
    <t>kaylee.english@msn.com</t>
  </si>
  <si>
    <t xml:space="preserve">8786 Fulton Rd. </t>
  </si>
  <si>
    <t>inocencia.key@hotmail.com</t>
  </si>
  <si>
    <t xml:space="preserve">36 Wild Rose Ave. </t>
  </si>
  <si>
    <t>delana.wagner@aol.com</t>
  </si>
  <si>
    <t xml:space="preserve">8499 Mill Pond Road </t>
  </si>
  <si>
    <t>alyse.jacobson@yahoo.com</t>
  </si>
  <si>
    <t xml:space="preserve">10 West Devon Lane </t>
  </si>
  <si>
    <t>aleta.stone@aol.com</t>
  </si>
  <si>
    <t xml:space="preserve">8 Elm Dr. </t>
  </si>
  <si>
    <t>randee.lester@gmail.com</t>
  </si>
  <si>
    <t xml:space="preserve">81 Bear Hill Street </t>
  </si>
  <si>
    <t>penny.acevedo@yahoo.com</t>
  </si>
  <si>
    <t xml:space="preserve">318 Mulberry Drive </t>
  </si>
  <si>
    <t>tu.ramirez@hotmail.com</t>
  </si>
  <si>
    <t xml:space="preserve">24 W. Courtland Street </t>
  </si>
  <si>
    <t>somer.jordan@msn.com</t>
  </si>
  <si>
    <t xml:space="preserve">7046 Helen Avenue </t>
  </si>
  <si>
    <t>adena.blake@hotmail.com</t>
  </si>
  <si>
    <t xml:space="preserve">684 Westport Drive </t>
  </si>
  <si>
    <t>oralia.farley@hotmail.com</t>
  </si>
  <si>
    <t xml:space="preserve">747B E. Coffee Street </t>
  </si>
  <si>
    <t>gustavo.gamble@msn.com</t>
  </si>
  <si>
    <t xml:space="preserve">8054 W. Meadowbrook Street </t>
  </si>
  <si>
    <t>janae.doyle@gmail.com</t>
  </si>
  <si>
    <t xml:space="preserve">760 Rose Ave. </t>
  </si>
  <si>
    <t>parthenia.holman@gmail.com</t>
  </si>
  <si>
    <t xml:space="preserve">17 Orange Court </t>
  </si>
  <si>
    <t>benito.hendrix@gmail.com</t>
  </si>
  <si>
    <t xml:space="preserve">676 S. Bowman Lane </t>
  </si>
  <si>
    <t>pinkie.kirkland@yahoo.com</t>
  </si>
  <si>
    <t xml:space="preserve">18 Myers St. </t>
  </si>
  <si>
    <t>krissy.ochoa@msn.com</t>
  </si>
  <si>
    <t xml:space="preserve">80 Queen Ave. </t>
  </si>
  <si>
    <t>yang.giles@gmail.com</t>
  </si>
  <si>
    <t xml:space="preserve">25 Bridle Lane </t>
  </si>
  <si>
    <t>pearl.fox@yahoo.com</t>
  </si>
  <si>
    <t xml:space="preserve">9415 Honey Creek Dr. </t>
  </si>
  <si>
    <t>sherilyn.wilcox@gmail.com</t>
  </si>
  <si>
    <t xml:space="preserve">905 North Buckingham Lane </t>
  </si>
  <si>
    <t>alissa.hood@gmail.com</t>
  </si>
  <si>
    <t xml:space="preserve">8032 Maple Drive </t>
  </si>
  <si>
    <t>katelin.kennedy@gmail.com</t>
  </si>
  <si>
    <t xml:space="preserve">286 Myrtle Lane </t>
  </si>
  <si>
    <t>(805) 389-2549</t>
  </si>
  <si>
    <t>wendie.nash@hotmail.com</t>
  </si>
  <si>
    <t xml:space="preserve">9 South Road </t>
  </si>
  <si>
    <t>margorie.wynn@gmail.com</t>
  </si>
  <si>
    <t xml:space="preserve">707 Schoolhouse St. </t>
  </si>
  <si>
    <t>buford.gilbert@yahoo.com</t>
  </si>
  <si>
    <t xml:space="preserve">9 East Ketch Harbour Street </t>
  </si>
  <si>
    <t>diana.reyes@msn.com</t>
  </si>
  <si>
    <t xml:space="preserve">7415 Annadale St. </t>
  </si>
  <si>
    <t>kate.barber@hotmail.com</t>
  </si>
  <si>
    <t xml:space="preserve">46 W. Oak Valley Ave. </t>
  </si>
  <si>
    <t>rozella.fitzgerald@yahoo.com</t>
  </si>
  <si>
    <t xml:space="preserve">7795 Myers Ave. </t>
  </si>
  <si>
    <t>(281) 941-4933</t>
  </si>
  <si>
    <t>ivelisse.nixon@aol.com</t>
  </si>
  <si>
    <t xml:space="preserve">782 Boston Ave. </t>
  </si>
  <si>
    <t>cristobal.hutchinson@gmail.com</t>
  </si>
  <si>
    <t xml:space="preserve">58 Washington Avenue </t>
  </si>
  <si>
    <t>marjory.leonard@msn.com</t>
  </si>
  <si>
    <t xml:space="preserve">800 Greystone Lane </t>
  </si>
  <si>
    <t>tammy.austin@yahoo.com</t>
  </si>
  <si>
    <t xml:space="preserve">182 Stillwater Ave. </t>
  </si>
  <si>
    <t>sherise.mercer@gmail.com</t>
  </si>
  <si>
    <t xml:space="preserve">9401 Catherine Dr. </t>
  </si>
  <si>
    <t>hilde.nieves@gmail.com</t>
  </si>
  <si>
    <t xml:space="preserve">9437 Fordham Lane </t>
  </si>
  <si>
    <t>willow.gardner@gmail.com</t>
  </si>
  <si>
    <t xml:space="preserve">57 S. Lakewood Dr. </t>
  </si>
  <si>
    <t>sonja.walls@aol.com</t>
  </si>
  <si>
    <t xml:space="preserve">30 Marshall Dr. </t>
  </si>
  <si>
    <t>jenna.saunders@aol.com</t>
  </si>
  <si>
    <t xml:space="preserve">4 Young St. </t>
  </si>
  <si>
    <t>lamar.greer@gmail.com</t>
  </si>
  <si>
    <t xml:space="preserve">7909 Golden Star Ave. </t>
  </si>
  <si>
    <t>eloisa.tucker@hotmail.com</t>
  </si>
  <si>
    <t xml:space="preserve">7268 Leatherwood Ave. </t>
  </si>
  <si>
    <t>dorine.thornton@gmail.com</t>
  </si>
  <si>
    <t xml:space="preserve">8730 N. Atlantic Street </t>
  </si>
  <si>
    <t>malisa.mitchell@msn.com</t>
  </si>
  <si>
    <t xml:space="preserve">87 Ridgewood Court </t>
  </si>
  <si>
    <t>kim.clark@msn.com</t>
  </si>
  <si>
    <t xml:space="preserve">19 Liberty St. </t>
  </si>
  <si>
    <t>majorie.glover@msn.com</t>
  </si>
  <si>
    <t xml:space="preserve">4 Garden Ave. </t>
  </si>
  <si>
    <t>trang.hardin@yahoo.com</t>
  </si>
  <si>
    <t xml:space="preserve">9255 Myers Drive </t>
  </si>
  <si>
    <t>(507) 557-2191</t>
  </si>
  <si>
    <t>devin.shaffer@gmail.com</t>
  </si>
  <si>
    <t xml:space="preserve">382 Third Ave. </t>
  </si>
  <si>
    <t>tad.gardner@hotmail.com</t>
  </si>
  <si>
    <t xml:space="preserve">9745 E. Wilson St. </t>
  </si>
  <si>
    <t>julia.joyner@msn.com</t>
  </si>
  <si>
    <t xml:space="preserve">2 Valley View Dr. </t>
  </si>
  <si>
    <t>rodrigo.durham@aol.com</t>
  </si>
  <si>
    <t xml:space="preserve">82 Old Church Road </t>
  </si>
  <si>
    <t>lucilla.williams@hotmail.com</t>
  </si>
  <si>
    <t xml:space="preserve">42 Cedar Street </t>
  </si>
  <si>
    <t>joy.underwood@gmail.com</t>
  </si>
  <si>
    <t xml:space="preserve">7297 Armstrong Dr. </t>
  </si>
  <si>
    <t>brianne.hays@gmail.com</t>
  </si>
  <si>
    <t xml:space="preserve">88 Tailwater Ave. </t>
  </si>
  <si>
    <t>kathie.freeman@msn.com</t>
  </si>
  <si>
    <t xml:space="preserve">667 Temple Dr. </t>
  </si>
  <si>
    <t>coleen.navarro@aol.com</t>
  </si>
  <si>
    <t xml:space="preserve">990 Broad Rd. </t>
  </si>
  <si>
    <t>ocie.slater@msn.com</t>
  </si>
  <si>
    <t xml:space="preserve">7799 W. Bohemia Dr. </t>
  </si>
  <si>
    <t>lillia.gillespie@hotmail.com</t>
  </si>
  <si>
    <t xml:space="preserve">382 Cardinal Dr. </t>
  </si>
  <si>
    <t>(248) 767-4165</t>
  </si>
  <si>
    <t>tilda.melton@msn.com</t>
  </si>
  <si>
    <t xml:space="preserve">237 Elmwood Drive </t>
  </si>
  <si>
    <t>virgil.frost@gmail.com</t>
  </si>
  <si>
    <t xml:space="preserve">9798 Beacon St. </t>
  </si>
  <si>
    <t>jule.davenport@aol.com</t>
  </si>
  <si>
    <t xml:space="preserve">19 River St. </t>
  </si>
  <si>
    <t>tonja.bean@aol.com</t>
  </si>
  <si>
    <t xml:space="preserve">9 Middle River St. </t>
  </si>
  <si>
    <t>edris.barrett@hotmail.com</t>
  </si>
  <si>
    <t xml:space="preserve">36 Pulaski Drive </t>
  </si>
  <si>
    <t>alejandro.haney@msn.com</t>
  </si>
  <si>
    <t xml:space="preserve">3 Griffin Street </t>
  </si>
  <si>
    <t>shay.stephenson@aol.com</t>
  </si>
  <si>
    <t xml:space="preserve">9569 4th Lane </t>
  </si>
  <si>
    <t>(442) 778-1121</t>
  </si>
  <si>
    <t>neida.king@aol.com</t>
  </si>
  <si>
    <t xml:space="preserve">137 Bohemia St. </t>
  </si>
  <si>
    <t>dori.alvarez@msn.com</t>
  </si>
  <si>
    <t xml:space="preserve">8208 Brandywine St. </t>
  </si>
  <si>
    <t>gussie.harding@gmail.com</t>
  </si>
  <si>
    <t xml:space="preserve">41 Edgefield Avenue </t>
  </si>
  <si>
    <t>(516) 460-5396</t>
  </si>
  <si>
    <t>monty.frost@aol.com</t>
  </si>
  <si>
    <t xml:space="preserve">76 Foxrun Dr. </t>
  </si>
  <si>
    <t>caroline.jenkins@msn.com</t>
  </si>
  <si>
    <t xml:space="preserve">86 River Lane </t>
  </si>
  <si>
    <t>tobie.little@gmail.com</t>
  </si>
  <si>
    <t xml:space="preserve">10 Silver Spear Dr. </t>
  </si>
  <si>
    <t>(716) 780-9901</t>
  </si>
  <si>
    <t>agnes.sims@aol.com</t>
  </si>
  <si>
    <t xml:space="preserve">170 Queen Lane </t>
  </si>
  <si>
    <t>(361) 394-2024</t>
  </si>
  <si>
    <t>keturah.reid@yahoo.com</t>
  </si>
  <si>
    <t xml:space="preserve">747 SE. Beech Ave. </t>
  </si>
  <si>
    <t>desiree.branch@msn.com</t>
  </si>
  <si>
    <t xml:space="preserve">67 Bayport Drive </t>
  </si>
  <si>
    <t>hye.mercer@gmail.com</t>
  </si>
  <si>
    <t xml:space="preserve">9681 Redwood St. </t>
  </si>
  <si>
    <t>tempie.jacobson@hotmail.com</t>
  </si>
  <si>
    <t xml:space="preserve">136 Old Fairview St. </t>
  </si>
  <si>
    <t>wai.soto@msn.com</t>
  </si>
  <si>
    <t xml:space="preserve">30 Arch Drive </t>
  </si>
  <si>
    <t>mary.singleton@hotmail.com</t>
  </si>
  <si>
    <t xml:space="preserve">474 Amerige Ave. </t>
  </si>
  <si>
    <t>(516) 792-3395</t>
  </si>
  <si>
    <t>arline.lawson@gmail.com</t>
  </si>
  <si>
    <t xml:space="preserve">48 Whitemarsh Lane </t>
  </si>
  <si>
    <t>karole.alvarez@gmail.com</t>
  </si>
  <si>
    <t xml:space="preserve">69 Woodland St. </t>
  </si>
  <si>
    <t>valeri.marshall@hotmail.com</t>
  </si>
  <si>
    <t xml:space="preserve">494 East Brewery Dr. </t>
  </si>
  <si>
    <t>janelle.maldonado@gmail.com</t>
  </si>
  <si>
    <t xml:space="preserve">34 Mammoth Street </t>
  </si>
  <si>
    <t>ira.erickson@aol.com</t>
  </si>
  <si>
    <t xml:space="preserve">6 Lake Forest St. </t>
  </si>
  <si>
    <t>brittney.woodward@aol.com</t>
  </si>
  <si>
    <t xml:space="preserve">960 River St. </t>
  </si>
  <si>
    <t>ken.charles@msn.com</t>
  </si>
  <si>
    <t xml:space="preserve">9124 W. Piper Lane </t>
  </si>
  <si>
    <t>(229) 891-2087</t>
  </si>
  <si>
    <t>douglass.blankenship@hotmail.com</t>
  </si>
  <si>
    <t xml:space="preserve">409 W. Rock Maple Lane </t>
  </si>
  <si>
    <t>adrien.hunter@yahoo.com</t>
  </si>
  <si>
    <t xml:space="preserve">720 Thompson Lane </t>
  </si>
  <si>
    <t>bong.hebert@gmail.com</t>
  </si>
  <si>
    <t xml:space="preserve">545 Brook St. </t>
  </si>
  <si>
    <t>molly.langley@aol.com</t>
  </si>
  <si>
    <t xml:space="preserve">63 Bridgeton Street </t>
  </si>
  <si>
    <t>(717) 218-5607</t>
  </si>
  <si>
    <t>vance.taylor@msn.com</t>
  </si>
  <si>
    <t xml:space="preserve">8279 Military Dr. </t>
  </si>
  <si>
    <t>barton.crosby@msn.com</t>
  </si>
  <si>
    <t xml:space="preserve">896 Edgewater St. </t>
  </si>
  <si>
    <t>shanelle.anderson@yahoo.com</t>
  </si>
  <si>
    <t xml:space="preserve">646 Surrey Street </t>
  </si>
  <si>
    <t>eliz.whitney@msn.com</t>
  </si>
  <si>
    <t xml:space="preserve">523 Crescent Court </t>
  </si>
  <si>
    <t>cesar.jackson@gmail.com</t>
  </si>
  <si>
    <t xml:space="preserve">8068 N. Griffin Ave. </t>
  </si>
  <si>
    <t>candis.harding@gmail.com</t>
  </si>
  <si>
    <t xml:space="preserve">33 NW. Cambridge Ave. </t>
  </si>
  <si>
    <t>antony.atkinson@msn.com</t>
  </si>
  <si>
    <t xml:space="preserve">680 East Birchwood Lane </t>
  </si>
  <si>
    <t>(507) 351-9375</t>
  </si>
  <si>
    <t>tam.fisher@aol.com</t>
  </si>
  <si>
    <t xml:space="preserve">8000 Woodsman Lane </t>
  </si>
  <si>
    <t>piedad.irwin@hotmail.com</t>
  </si>
  <si>
    <t xml:space="preserve">581 Garden St. </t>
  </si>
  <si>
    <t>risa.gallagher@yahoo.com</t>
  </si>
  <si>
    <t xml:space="preserve">8281 Edgefield Drive </t>
  </si>
  <si>
    <t>anya.contreras@msn.com</t>
  </si>
  <si>
    <t xml:space="preserve">38 Old Fairground St. </t>
  </si>
  <si>
    <t>cami.williamson@hotmail.com</t>
  </si>
  <si>
    <t xml:space="preserve">9511A Windsor Drive </t>
  </si>
  <si>
    <t>qiana.jackson@gmail.com</t>
  </si>
  <si>
    <t xml:space="preserve">56 Galvin Street </t>
  </si>
  <si>
    <t>lekisha.pope@msn.com</t>
  </si>
  <si>
    <t xml:space="preserve">390 Livingston Avenue </t>
  </si>
  <si>
    <t>andria.rivers@aol.com</t>
  </si>
  <si>
    <t xml:space="preserve">183 Ohio Ave. </t>
  </si>
  <si>
    <t>lizzette.stein@yahoo.com</t>
  </si>
  <si>
    <t xml:space="preserve">19 Green Hill Lane </t>
  </si>
  <si>
    <t>elenore.hensley@hotmail.com</t>
  </si>
  <si>
    <t xml:space="preserve">7037 Aspen St. </t>
  </si>
  <si>
    <t>willis.randolph@yahoo.com</t>
  </si>
  <si>
    <t xml:space="preserve">332 Constitution St. </t>
  </si>
  <si>
    <t>(717) 890-4260</t>
  </si>
  <si>
    <t>celestine.kent@aol.com</t>
  </si>
  <si>
    <t xml:space="preserve">697 Fordham Street </t>
  </si>
  <si>
    <t>nathalie.knowles@aol.com</t>
  </si>
  <si>
    <t xml:space="preserve">4 Cactus Street </t>
  </si>
  <si>
    <t>letisha.may@yahoo.com</t>
  </si>
  <si>
    <t xml:space="preserve">9965 Princeton Lane </t>
  </si>
  <si>
    <t>verdell.joyner@aol.com</t>
  </si>
  <si>
    <t xml:space="preserve">9191 Sierra St. </t>
  </si>
  <si>
    <t>(510) 533-4262</t>
  </si>
  <si>
    <t>philip.bryan@hotmail.com</t>
  </si>
  <si>
    <t xml:space="preserve">914 Devonshire Court </t>
  </si>
  <si>
    <t>gilbert.calhoun@msn.com</t>
  </si>
  <si>
    <t xml:space="preserve">7339 Summer Drive </t>
  </si>
  <si>
    <t>bernardina.cooper@msn.com</t>
  </si>
  <si>
    <t xml:space="preserve">223 Glen Creek Ave. </t>
  </si>
  <si>
    <t>minnie.compton@gmail.com</t>
  </si>
  <si>
    <t xml:space="preserve">185 Hudson Street </t>
  </si>
  <si>
    <t>narcisa.knapp@aol.com</t>
  </si>
  <si>
    <t xml:space="preserve">435 Dogwood Dr. </t>
  </si>
  <si>
    <t>(631) 544-4772</t>
  </si>
  <si>
    <t>jenell.crosby@hotmail.com</t>
  </si>
  <si>
    <t xml:space="preserve">507 Fulton Street </t>
  </si>
  <si>
    <t>catarina.mendez@hotmail.com</t>
  </si>
  <si>
    <t xml:space="preserve">444 Hanover Court </t>
  </si>
  <si>
    <t>yvone.yates@gmail.com</t>
  </si>
  <si>
    <t xml:space="preserve">9269 Blue Spring Ave. </t>
  </si>
  <si>
    <t>kiana.rivera@gmail.com</t>
  </si>
  <si>
    <t xml:space="preserve">9 Sheffield Dr. </t>
  </si>
  <si>
    <t>sharie.whitaker@hotmail.com</t>
  </si>
  <si>
    <t xml:space="preserve">7 Bayport Lane </t>
  </si>
  <si>
    <t>bettye.espinoza@yahoo.com</t>
  </si>
  <si>
    <t xml:space="preserve">76 Rockwell Street </t>
  </si>
  <si>
    <t>arvilla.osborn@gmail.com</t>
  </si>
  <si>
    <t xml:space="preserve">60 Acacia Lane </t>
  </si>
  <si>
    <t>lynda.newman@msn.com</t>
  </si>
  <si>
    <t xml:space="preserve">44 SW. Thomas Ave. </t>
  </si>
  <si>
    <t>myrtle.gardner@aol.com</t>
  </si>
  <si>
    <t xml:space="preserve">303 Creekside Street </t>
  </si>
  <si>
    <t>(510) 194-5117</t>
  </si>
  <si>
    <t>stacie.sims@hotmail.com</t>
  </si>
  <si>
    <t xml:space="preserve">47 Orange Ave. </t>
  </si>
  <si>
    <t>efren.oliver@gmail.com</t>
  </si>
  <si>
    <t xml:space="preserve">9343 1st Rd. </t>
  </si>
  <si>
    <t>(229) 322-2269</t>
  </si>
  <si>
    <t>priscilla.wilkins@aol.com</t>
  </si>
  <si>
    <t xml:space="preserve">653 Pawnee Rd. </t>
  </si>
  <si>
    <t>natosha.rowland@aol.com</t>
  </si>
  <si>
    <t xml:space="preserve">51 Elmwood St. </t>
  </si>
  <si>
    <t>kaley.blanchard@msn.com</t>
  </si>
  <si>
    <t xml:space="preserve">74 Evergreen Court </t>
  </si>
  <si>
    <t>heather.chaney@yahoo.com</t>
  </si>
  <si>
    <t xml:space="preserve">4 Morris Dr. </t>
  </si>
  <si>
    <t>nakisha.clay@gmail.com</t>
  </si>
  <si>
    <t xml:space="preserve">8996 Beechwood Ave. </t>
  </si>
  <si>
    <t>maira.long@msn.com</t>
  </si>
  <si>
    <t xml:space="preserve">7587 Bear Hill Street </t>
  </si>
  <si>
    <t>mechelle.chan@gmail.com</t>
  </si>
  <si>
    <t xml:space="preserve">458 Overlook Street </t>
  </si>
  <si>
    <t>rolanda.larsen@yahoo.com</t>
  </si>
  <si>
    <t xml:space="preserve">5 West University Court </t>
  </si>
  <si>
    <t>jacalyn.barnett@gmail.com</t>
  </si>
  <si>
    <t xml:space="preserve">7537 Swanson Street </t>
  </si>
  <si>
    <t>ami.mcmahon@aol.com</t>
  </si>
  <si>
    <t xml:space="preserve">566 Hilldale Drive </t>
  </si>
  <si>
    <t>junita.reese@gmail.com</t>
  </si>
  <si>
    <t xml:space="preserve">8773 North Walt Whitman Court </t>
  </si>
  <si>
    <t>sharyn.brewer@aol.com</t>
  </si>
  <si>
    <t xml:space="preserve">70 Columbia Ave. </t>
  </si>
  <si>
    <t>daisy.ward@msn.com</t>
  </si>
  <si>
    <t xml:space="preserve">45 Silver Spear Ave. </t>
  </si>
  <si>
    <t>lucile.manning@yahoo.com</t>
  </si>
  <si>
    <t xml:space="preserve">511 Livingston Lane </t>
  </si>
  <si>
    <t>tajuana.rollins@msn.com</t>
  </si>
  <si>
    <t xml:space="preserve">724 N. Glen Creek Street </t>
  </si>
  <si>
    <t>(914) 361-6045</t>
  </si>
  <si>
    <t>marcene.curtis@msn.com</t>
  </si>
  <si>
    <t xml:space="preserve">7699 Illinois Lane </t>
  </si>
  <si>
    <t>charmain.webster@hotmail.com</t>
  </si>
  <si>
    <t xml:space="preserve">36 East Stonybrook Rd. </t>
  </si>
  <si>
    <t>(657) 648-2863</t>
  </si>
  <si>
    <t>ollie.zimmerman@yahoo.com</t>
  </si>
  <si>
    <t xml:space="preserve">69 Wood Rd. </t>
  </si>
  <si>
    <t>onita.johns@msn.com</t>
  </si>
  <si>
    <t xml:space="preserve">32 Glen Creek Lane </t>
  </si>
  <si>
    <t>treasa.dickerson@hotmail.com</t>
  </si>
  <si>
    <t xml:space="preserve">70 W. Creekside Road </t>
  </si>
  <si>
    <t>yan.trevino@gmail.com</t>
  </si>
  <si>
    <t xml:space="preserve">796 Jefferson Rd. </t>
  </si>
  <si>
    <t>everett.vega@yahoo.com</t>
  </si>
  <si>
    <t xml:space="preserve">7859 James Ave. </t>
  </si>
  <si>
    <t>(507) 997-4112</t>
  </si>
  <si>
    <t>kallie.best@aol.com</t>
  </si>
  <si>
    <t xml:space="preserve">9842 Fairview St. </t>
  </si>
  <si>
    <t>jewell.reyes@hotmail.com</t>
  </si>
  <si>
    <t xml:space="preserve">8711 Glen Creek Drive </t>
  </si>
  <si>
    <t>jeffrey.hill@gmail.com</t>
  </si>
  <si>
    <t xml:space="preserve">2 Shub Farm St. </t>
  </si>
  <si>
    <t>izola.hobbs@gmail.com</t>
  </si>
  <si>
    <t xml:space="preserve">685 Beacon Dr. </t>
  </si>
  <si>
    <t>terra.pickett@aol.com</t>
  </si>
  <si>
    <t xml:space="preserve">7822 Depot Avenue </t>
  </si>
  <si>
    <t>eleanor.mendez@yahoo.com</t>
  </si>
  <si>
    <t xml:space="preserve">4 West St. </t>
  </si>
  <si>
    <t>eliana.silva@gmail.com</t>
  </si>
  <si>
    <t xml:space="preserve">7119 Summer Rd. </t>
  </si>
  <si>
    <t>(507) 115-1633</t>
  </si>
  <si>
    <t>verna.solis@yahoo.com</t>
  </si>
  <si>
    <t xml:space="preserve">7 Lincoln Lane </t>
  </si>
  <si>
    <t>kaila.walters@msn.com</t>
  </si>
  <si>
    <t xml:space="preserve">57 Gates Drive </t>
  </si>
  <si>
    <t>clare.neal@msn.com</t>
  </si>
  <si>
    <t xml:space="preserve">8922 Shady Ave. </t>
  </si>
  <si>
    <t>nenita.mooney@hotmail.com</t>
  </si>
  <si>
    <t xml:space="preserve">10 W. Bishop Street </t>
  </si>
  <si>
    <t>rudolph.velez@yahoo.com</t>
  </si>
  <si>
    <t xml:space="preserve">9397 Pleasant Drive </t>
  </si>
  <si>
    <t>nanette.harris@hotmail.com</t>
  </si>
  <si>
    <t xml:space="preserve">26 Pin Oak Lane </t>
  </si>
  <si>
    <t>alina.mcleod@msn.com</t>
  </si>
  <si>
    <t xml:space="preserve">20 Winchester Street </t>
  </si>
  <si>
    <t>genevie.miles@aol.com</t>
  </si>
  <si>
    <t xml:space="preserve">45 West Sulphur Springs Ave. </t>
  </si>
  <si>
    <t>sung.chambers@gmail.com</t>
  </si>
  <si>
    <t xml:space="preserve">369 N. Virginia Street </t>
  </si>
  <si>
    <t>grisel.maynard@msn.com</t>
  </si>
  <si>
    <t xml:space="preserve">353 North Arch St. </t>
  </si>
  <si>
    <t>(408) 955-8238</t>
  </si>
  <si>
    <t>jeromy.burch@msn.com</t>
  </si>
  <si>
    <t xml:space="preserve">889 Mulberry Street </t>
  </si>
  <si>
    <t>letty.cobb@msn.com</t>
  </si>
  <si>
    <t xml:space="preserve">8652 Wellington Street </t>
  </si>
  <si>
    <t>danielle.bond@msn.com</t>
  </si>
  <si>
    <t xml:space="preserve">8589 Shub Farm Street </t>
  </si>
  <si>
    <t>carter.booth@msn.com</t>
  </si>
  <si>
    <t xml:space="preserve">82 Beech Drive </t>
  </si>
  <si>
    <t>ling.newman@msn.com</t>
  </si>
  <si>
    <t xml:space="preserve">832 Spring Road </t>
  </si>
  <si>
    <t>(361) 598-4414</t>
  </si>
  <si>
    <t>robena.hill@hotmail.com</t>
  </si>
  <si>
    <t xml:space="preserve">263 Cross St. </t>
  </si>
  <si>
    <t>(717) 634-4113</t>
  </si>
  <si>
    <t>tommie.cooley@yahoo.com</t>
  </si>
  <si>
    <t xml:space="preserve">92 Hickory St. </t>
  </si>
  <si>
    <t>(442) 497-3353</t>
  </si>
  <si>
    <t>aron.wiggins@aol.com</t>
  </si>
  <si>
    <t xml:space="preserve">6 Bradford St. </t>
  </si>
  <si>
    <t>teofila.fischer@aol.com</t>
  </si>
  <si>
    <t xml:space="preserve">1 West Brickyard St. </t>
  </si>
  <si>
    <t>terrance.lynn@yahoo.com</t>
  </si>
  <si>
    <t xml:space="preserve">91 East Buckingham Drive </t>
  </si>
  <si>
    <t>(716) 950-9835</t>
  </si>
  <si>
    <t>rubin.decker@gmail.com</t>
  </si>
  <si>
    <t xml:space="preserve">9875 Shady Ave. </t>
  </si>
  <si>
    <t>jeannette.skinner@yahoo.com</t>
  </si>
  <si>
    <t xml:space="preserve">8886 High Point Drive </t>
  </si>
  <si>
    <t>justina.long@aol.com</t>
  </si>
  <si>
    <t xml:space="preserve">39 Littleton Ave. </t>
  </si>
  <si>
    <t>corrinne.garrison@yahoo.com</t>
  </si>
  <si>
    <t xml:space="preserve">81 East Glenwood Ave. </t>
  </si>
  <si>
    <t>lakenya.oliver@yahoo.com</t>
  </si>
  <si>
    <t xml:space="preserve">82 Bayport Court </t>
  </si>
  <si>
    <t>laurette.hebert@msn.com</t>
  </si>
  <si>
    <t xml:space="preserve">18 South Constitution Court </t>
  </si>
  <si>
    <t>shanice.spears@msn.com</t>
  </si>
  <si>
    <t xml:space="preserve">5 Piper Ave. </t>
  </si>
  <si>
    <t>leola.gould@gmail.com</t>
  </si>
  <si>
    <t xml:space="preserve">8 Kirkland St. </t>
  </si>
  <si>
    <t>willetta.murphy@msn.com</t>
  </si>
  <si>
    <t xml:space="preserve">436 Devonshire Street </t>
  </si>
  <si>
    <t>angele.castro@yahoo.com</t>
  </si>
  <si>
    <t xml:space="preserve">15 Acacia Drive </t>
  </si>
  <si>
    <t>melia.brady@gmail.com</t>
  </si>
  <si>
    <t xml:space="preserve">907 Shirley Rd. </t>
  </si>
  <si>
    <t>(916) 219-1774</t>
  </si>
  <si>
    <t>jenee.rasmussen@hotmail.com</t>
  </si>
  <si>
    <t xml:space="preserve">19 George Lane </t>
  </si>
  <si>
    <t>shae.hickman@hotmail.com</t>
  </si>
  <si>
    <t xml:space="preserve">740 Pin Oak Street </t>
  </si>
  <si>
    <t>(361) 687-9477</t>
  </si>
  <si>
    <t>garret.clay@yahoo.com</t>
  </si>
  <si>
    <t xml:space="preserve">9516 College Drive </t>
  </si>
  <si>
    <t>elvina.gates@hotmail.com</t>
  </si>
  <si>
    <t xml:space="preserve">112 Smith St. </t>
  </si>
  <si>
    <t>veronika.rollins@yahoo.com</t>
  </si>
  <si>
    <t xml:space="preserve">94 Arnold Ave. </t>
  </si>
  <si>
    <t>jane.henderson@hotmail.com</t>
  </si>
  <si>
    <t xml:space="preserve">46 Carson Drive </t>
  </si>
  <si>
    <t>merideth.preston@yahoo.com</t>
  </si>
  <si>
    <t xml:space="preserve">794 Rockaway St. </t>
  </si>
  <si>
    <t>melodie.melton@yahoo.com</t>
  </si>
  <si>
    <t xml:space="preserve">12 S. 8th Road </t>
  </si>
  <si>
    <t>(716) 294-7174</t>
  </si>
  <si>
    <t>lamar.bush@msn.com</t>
  </si>
  <si>
    <t xml:space="preserve">76 Lilac Drive </t>
  </si>
  <si>
    <t>earl.stanley@gmail.com</t>
  </si>
  <si>
    <t xml:space="preserve">569 Lake Lane </t>
  </si>
  <si>
    <t>jeanice.frost@hotmail.com</t>
  </si>
  <si>
    <t xml:space="preserve">76 Devon Lane </t>
  </si>
  <si>
    <t>elmo.sweeney@yahoo.com</t>
  </si>
  <si>
    <t xml:space="preserve">43 Arch Ave. </t>
  </si>
  <si>
    <t>ilona.spears@gmail.com</t>
  </si>
  <si>
    <t xml:space="preserve">984 Canterbury Lane </t>
  </si>
  <si>
    <t>cassidy.clark@hotmail.com</t>
  </si>
  <si>
    <t xml:space="preserve">9879 Old Kingston Road </t>
  </si>
  <si>
    <t>caridad.compton@aol.com</t>
  </si>
  <si>
    <t xml:space="preserve">9575 SW. Kingston Court </t>
  </si>
  <si>
    <t>nicolas.carlson@yahoo.com</t>
  </si>
  <si>
    <t xml:space="preserve">7899 Spruce Street </t>
  </si>
  <si>
    <t>(559) 888-2229</t>
  </si>
  <si>
    <t>charise.burt@aol.com</t>
  </si>
  <si>
    <t xml:space="preserve">582 Creek St. </t>
  </si>
  <si>
    <t>edith.davenport@gmail.com</t>
  </si>
  <si>
    <t xml:space="preserve">685 Alton Road </t>
  </si>
  <si>
    <t>shanita.wiley@yahoo.com</t>
  </si>
  <si>
    <t xml:space="preserve">121 Bridge Lane </t>
  </si>
  <si>
    <t>porter.bass@hotmail.com</t>
  </si>
  <si>
    <t xml:space="preserve">370 North Alderwood Dr. </t>
  </si>
  <si>
    <t>sylvester.chan@hotmail.com</t>
  </si>
  <si>
    <t xml:space="preserve">659 Arcadia Street </t>
  </si>
  <si>
    <t>(805) 885-8830</t>
  </si>
  <si>
    <t>georgeanna.webster@msn.com</t>
  </si>
  <si>
    <t xml:space="preserve">40 Creekside Circle </t>
  </si>
  <si>
    <t>abby.gamble@aol.com</t>
  </si>
  <si>
    <t xml:space="preserve">60 Myers Dr. </t>
  </si>
  <si>
    <t>kylee.dickson@gmail.com</t>
  </si>
  <si>
    <t xml:space="preserve">7908 Sherwood Street </t>
  </si>
  <si>
    <t>jessika.bray@yahoo.com</t>
  </si>
  <si>
    <t xml:space="preserve">37 East Greystone St. </t>
  </si>
  <si>
    <t>(559) 810-6070</t>
  </si>
  <si>
    <t>carline.collier@msn.com</t>
  </si>
  <si>
    <t xml:space="preserve">28 Trenton Lane </t>
  </si>
  <si>
    <t>(717) 670-2634</t>
  </si>
  <si>
    <t>janetta.aguirre@aol.com</t>
  </si>
  <si>
    <t xml:space="preserve">214 Second Court </t>
  </si>
  <si>
    <t>queenie.vance@gmail.com</t>
  </si>
  <si>
    <t xml:space="preserve">172 Arcadia Ave. </t>
  </si>
  <si>
    <t>mellie.puckett@yahoo.com</t>
  </si>
  <si>
    <t xml:space="preserve">64 Van Dyke St. </t>
  </si>
  <si>
    <t>sheila.travis@yahoo.com</t>
  </si>
  <si>
    <t xml:space="preserve">9285 Front St. </t>
  </si>
  <si>
    <t>jenine.dawson@msn.com</t>
  </si>
  <si>
    <t xml:space="preserve">17 Park Street </t>
  </si>
  <si>
    <t>cher.alston@msn.com</t>
  </si>
  <si>
    <t xml:space="preserve">38 Wild Horse Road </t>
  </si>
  <si>
    <t>(805) 230-2101</t>
  </si>
  <si>
    <t>ayana.keith@hotmail.com</t>
  </si>
  <si>
    <t xml:space="preserve">182 Thorne Road </t>
  </si>
  <si>
    <t>rod.hatfield@hotmail.com</t>
  </si>
  <si>
    <t xml:space="preserve">7090 Bridge Dr. </t>
  </si>
  <si>
    <t>cicely.deleon@yahoo.com</t>
  </si>
  <si>
    <t xml:space="preserve">751 Newbridge Ave. </t>
  </si>
  <si>
    <t>erma.salinas@gmail.com</t>
  </si>
  <si>
    <t xml:space="preserve">347 Sheffield St. </t>
  </si>
  <si>
    <t>(281) 271-6390</t>
  </si>
  <si>
    <t>minerva.decker@yahoo.com</t>
  </si>
  <si>
    <t xml:space="preserve">794 Greenrose Street </t>
  </si>
  <si>
    <t>augustina.joyner@aol.com</t>
  </si>
  <si>
    <t xml:space="preserve">7931 Honey Creek Court </t>
  </si>
  <si>
    <t>delfina.gilliam@hotmail.com</t>
  </si>
  <si>
    <t xml:space="preserve">9463 Bayberry Rd. </t>
  </si>
  <si>
    <t>(408) 624-8137</t>
  </si>
  <si>
    <t>jana.thomas@yahoo.com</t>
  </si>
  <si>
    <t xml:space="preserve">283 E. Spring Dr. </t>
  </si>
  <si>
    <t>ruth.horton@gmail.com</t>
  </si>
  <si>
    <t xml:space="preserve">488 Mulberry Ave. </t>
  </si>
  <si>
    <t>hae.ramirez@hotmail.com</t>
  </si>
  <si>
    <t xml:space="preserve">9367 Lake Street </t>
  </si>
  <si>
    <t>(424) 151-6481</t>
  </si>
  <si>
    <t>mellisa.kim@aol.com</t>
  </si>
  <si>
    <t xml:space="preserve">17 Lyme Dr. </t>
  </si>
  <si>
    <t>(657) 256-2008</t>
  </si>
  <si>
    <t>raeann.duncan@aol.com</t>
  </si>
  <si>
    <t xml:space="preserve">126 Edgewood St. </t>
  </si>
  <si>
    <t>todd.waters@yahoo.com</t>
  </si>
  <si>
    <t xml:space="preserve">92 Cedar Swamp Street </t>
  </si>
  <si>
    <t>vivian.deleon@msn.com</t>
  </si>
  <si>
    <t xml:space="preserve">9925 Hamilton Street </t>
  </si>
  <si>
    <t>deanne.parsons@aol.com</t>
  </si>
  <si>
    <t xml:space="preserve">76 Amherst Drive </t>
  </si>
  <si>
    <t>alishia.elliott@aol.com</t>
  </si>
  <si>
    <t xml:space="preserve">8905 Courtland Ave. </t>
  </si>
  <si>
    <t>ashanti.hammond@msn.com</t>
  </si>
  <si>
    <t xml:space="preserve">9202 W. Lyme Ave. </t>
  </si>
  <si>
    <t>sarita.parks@msn.com</t>
  </si>
  <si>
    <t xml:space="preserve">7809 Second Lane </t>
  </si>
  <si>
    <t>muriel.juarez@gmail.com</t>
  </si>
  <si>
    <t xml:space="preserve">8073 Cemetery Drive </t>
  </si>
  <si>
    <t>brigid.sharp@hotmail.com</t>
  </si>
  <si>
    <t xml:space="preserve">495 Sleepy Hollow Court </t>
  </si>
  <si>
    <t>bess.mcbride@yahoo.com</t>
  </si>
  <si>
    <t xml:space="preserve">9832 Winchester St. </t>
  </si>
  <si>
    <t>kara.higgins@aol.com</t>
  </si>
  <si>
    <t xml:space="preserve">758 Jennings Street </t>
  </si>
  <si>
    <t>(212) 578-2912</t>
  </si>
  <si>
    <t>shenna.benton@msn.com</t>
  </si>
  <si>
    <t xml:space="preserve">57 Shadow Brook Road </t>
  </si>
  <si>
    <t>nicola.knight@aol.com</t>
  </si>
  <si>
    <t xml:space="preserve">25 SE. Miles Lane </t>
  </si>
  <si>
    <t>malinda.baxter@yahoo.com</t>
  </si>
  <si>
    <t xml:space="preserve">7698 Briarwood Ave. </t>
  </si>
  <si>
    <t>christopher.richardson@gmail.com</t>
  </si>
  <si>
    <t xml:space="preserve">7846 Windfall Dr. </t>
  </si>
  <si>
    <t>katia.henry@msn.com</t>
  </si>
  <si>
    <t xml:space="preserve">69 E. Columbia Ave. </t>
  </si>
  <si>
    <t>santa.larson@gmail.com</t>
  </si>
  <si>
    <t xml:space="preserve">5 Bellevue Dr. </t>
  </si>
  <si>
    <t>yevette.todd@aol.com</t>
  </si>
  <si>
    <t xml:space="preserve">119 Lakewood Rd. </t>
  </si>
  <si>
    <t>maurice.norton@hotmail.com</t>
  </si>
  <si>
    <t xml:space="preserve">32 Mayflower Dr. </t>
  </si>
  <si>
    <t>berneice.pollard@hotmail.com</t>
  </si>
  <si>
    <t xml:space="preserve">607 Bohemia Street </t>
  </si>
  <si>
    <t>takako.casey@aol.com</t>
  </si>
  <si>
    <t xml:space="preserve">7548 Court Lane </t>
  </si>
  <si>
    <t>regine.odom@msn.com</t>
  </si>
  <si>
    <t xml:space="preserve">684 N. Mayfield Ave. </t>
  </si>
  <si>
    <t>gilberto.parsons@gmail.com</t>
  </si>
  <si>
    <t xml:space="preserve">8115 North Edgewater Drive </t>
  </si>
  <si>
    <t>Middle Village</t>
  </si>
  <si>
    <t>loni.mullen@msn.com</t>
  </si>
  <si>
    <t xml:space="preserve">55 Thompson Avenue </t>
  </si>
  <si>
    <t>shena.carter@yahoo.com</t>
  </si>
  <si>
    <t xml:space="preserve">72 University Road </t>
  </si>
  <si>
    <t>deirdre.ryan@yahoo.com</t>
  </si>
  <si>
    <t xml:space="preserve">83 Jefferson Lane </t>
  </si>
  <si>
    <t>jamaal.morrison@msn.com</t>
  </si>
  <si>
    <t xml:space="preserve">796 SE. Nut Swamp St. </t>
  </si>
  <si>
    <t>ja.dillard@yahoo.com</t>
  </si>
  <si>
    <t xml:space="preserve">25 Orchard St. </t>
  </si>
  <si>
    <t>spring.hayes@hotmail.com</t>
  </si>
  <si>
    <t xml:space="preserve">8591 Wentworth St. </t>
  </si>
  <si>
    <t>tena.cruz@yahoo.com</t>
  </si>
  <si>
    <t xml:space="preserve">1 South St. </t>
  </si>
  <si>
    <t>rey.lindsay@gmail.com</t>
  </si>
  <si>
    <t xml:space="preserve">16 Philmont St. </t>
  </si>
  <si>
    <t>aida.koch@gmail.com</t>
  </si>
  <si>
    <t xml:space="preserve">9778 3rd Drive </t>
  </si>
  <si>
    <t>alma.peck@aol.com</t>
  </si>
  <si>
    <t xml:space="preserve">298 South Bay Meadows Drive </t>
  </si>
  <si>
    <t>latonya.dixon@hotmail.com</t>
  </si>
  <si>
    <t xml:space="preserve">9399 Evergreen Street </t>
  </si>
  <si>
    <t>karren.stevenson@aol.com</t>
  </si>
  <si>
    <t xml:space="preserve">155 Old York St. </t>
  </si>
  <si>
    <t>cameron.carroll@yahoo.com</t>
  </si>
  <si>
    <t xml:space="preserve">9133 South Halifax Ave. </t>
  </si>
  <si>
    <t>kiesha.bond@aol.com</t>
  </si>
  <si>
    <t xml:space="preserve">29 Marvon St. </t>
  </si>
  <si>
    <t>jimmy.russell@hotmail.com</t>
  </si>
  <si>
    <t xml:space="preserve">33 Iroquois Ave. </t>
  </si>
  <si>
    <t>marguerite.berger@aol.com</t>
  </si>
  <si>
    <t xml:space="preserve">875 Arch Lane </t>
  </si>
  <si>
    <t>nubia.anderson@aol.com</t>
  </si>
  <si>
    <t xml:space="preserve">584 NW. Hilldale Drive </t>
  </si>
  <si>
    <t>(619) 210-6032</t>
  </si>
  <si>
    <t>joel.wynn@aol.com</t>
  </si>
  <si>
    <t xml:space="preserve">7 North Oak Ave. </t>
  </si>
  <si>
    <t>(845) 407-9524</t>
  </si>
  <si>
    <t>mathilda.pennington@gmail.com</t>
  </si>
  <si>
    <t xml:space="preserve">14 S. Argyle Ave. </t>
  </si>
  <si>
    <t>renay.atkins@aol.com</t>
  </si>
  <si>
    <t xml:space="preserve">7146 Leeton Ridge Ave. </t>
  </si>
  <si>
    <t>(657) 557-1746</t>
  </si>
  <si>
    <t>joaquin.hawkins@aol.com</t>
  </si>
  <si>
    <t xml:space="preserve">3 Oklahoma Lane </t>
  </si>
  <si>
    <t>elmira.levy@gmail.com</t>
  </si>
  <si>
    <t xml:space="preserve">6 Columbia Dr. </t>
  </si>
  <si>
    <t>lynwood.jackson@aol.com</t>
  </si>
  <si>
    <t xml:space="preserve">9449 Linda Street </t>
  </si>
  <si>
    <t>dung.reid@msn.com</t>
  </si>
  <si>
    <t xml:space="preserve">468 West Washington Ave. </t>
  </si>
  <si>
    <t>jeniffer.slater@aol.com</t>
  </si>
  <si>
    <t xml:space="preserve">30 Old Orange Lane </t>
  </si>
  <si>
    <t>celestine.jacobs@gmail.com</t>
  </si>
  <si>
    <t xml:space="preserve">87 Hanover Rd. </t>
  </si>
  <si>
    <t>tenisha.lyons@aol.com</t>
  </si>
  <si>
    <t xml:space="preserve">78 E. Rock Creek Street </t>
  </si>
  <si>
    <t>hortencia.o'neil@hotmail.com</t>
  </si>
  <si>
    <t xml:space="preserve">1 Gulf Rd. </t>
  </si>
  <si>
    <t>kenyetta.mason@msn.com</t>
  </si>
  <si>
    <t xml:space="preserve">98 Poplar Ave. </t>
  </si>
  <si>
    <t>tena.huber@gmail.com</t>
  </si>
  <si>
    <t xml:space="preserve">185 East Littleton St. </t>
  </si>
  <si>
    <t>erik.leblanc@aol.com</t>
  </si>
  <si>
    <t xml:space="preserve">7 East Nut Swamp Street </t>
  </si>
  <si>
    <t>(916) 192-3196</t>
  </si>
  <si>
    <t>zora.ford@gmail.com</t>
  </si>
  <si>
    <t xml:space="preserve">7416 La Sierra Dr. </t>
  </si>
  <si>
    <t>lara.guy@aol.com</t>
  </si>
  <si>
    <t xml:space="preserve">9809 E. Walnut Drive </t>
  </si>
  <si>
    <t>james.robles@aol.com</t>
  </si>
  <si>
    <t xml:space="preserve">9 Chapel Lane </t>
  </si>
  <si>
    <t>(661) 800-8091</t>
  </si>
  <si>
    <t>desire.mcgowan@msn.com</t>
  </si>
  <si>
    <t xml:space="preserve">942 North Ohio Road </t>
  </si>
  <si>
    <t>stefany.potter@gmail.com</t>
  </si>
  <si>
    <t xml:space="preserve">256 South Academy St. </t>
  </si>
  <si>
    <t>louis.powell@aol.com</t>
  </si>
  <si>
    <t xml:space="preserve">368 Sugar Rd. </t>
  </si>
  <si>
    <t>linnie.branch@gmail.com</t>
  </si>
  <si>
    <t xml:space="preserve">314 South Columbia Ave. </t>
  </si>
  <si>
    <t>earlean.pena@yahoo.com</t>
  </si>
  <si>
    <t xml:space="preserve">7698 Fulton St. </t>
  </si>
  <si>
    <t>cassandra.nichols@yahoo.com</t>
  </si>
  <si>
    <t xml:space="preserve">4 Glenwood Circle </t>
  </si>
  <si>
    <t>bella.perez@msn.com</t>
  </si>
  <si>
    <t xml:space="preserve">43 Green Lake Street </t>
  </si>
  <si>
    <t>kellie.franco@yahoo.com</t>
  </si>
  <si>
    <t xml:space="preserve">444 South Walnut Rd. </t>
  </si>
  <si>
    <t>parthenia.figueroa@msn.com</t>
  </si>
  <si>
    <t xml:space="preserve">550 Theatre Dr. </t>
  </si>
  <si>
    <t>katherin.clark@yahoo.com</t>
  </si>
  <si>
    <t xml:space="preserve">996 Iroquois Street </t>
  </si>
  <si>
    <t>ruthanne.franco@yahoo.com</t>
  </si>
  <si>
    <t xml:space="preserve">61 Applegate St. </t>
  </si>
  <si>
    <t>(408) 704-8863</t>
  </si>
  <si>
    <t>monica.sears@aol.com</t>
  </si>
  <si>
    <t xml:space="preserve">57 Glenholme St. </t>
  </si>
  <si>
    <t>diane.jones@gmail.com</t>
  </si>
  <si>
    <t xml:space="preserve">859 Prince St. </t>
  </si>
  <si>
    <t>tiny.french@hotmail.com</t>
  </si>
  <si>
    <t xml:space="preserve">7163 Hall St. </t>
  </si>
  <si>
    <t>carolann.russell@hotmail.com</t>
  </si>
  <si>
    <t xml:space="preserve">9308 Selby Ave. </t>
  </si>
  <si>
    <t>cinthia.poole@aol.com</t>
  </si>
  <si>
    <t xml:space="preserve">7 Central Ave. </t>
  </si>
  <si>
    <t>rayford.simon@msn.com</t>
  </si>
  <si>
    <t xml:space="preserve">998 Whitemarsh Road </t>
  </si>
  <si>
    <t>bev.chang@yahoo.com</t>
  </si>
  <si>
    <t xml:space="preserve">104 Rockville St. </t>
  </si>
  <si>
    <t>lavern.orr@hotmail.com</t>
  </si>
  <si>
    <t xml:space="preserve">913 N. Young Street </t>
  </si>
  <si>
    <t>erna.sloan@aol.com</t>
  </si>
  <si>
    <t xml:space="preserve">9449 Fifth Avenue </t>
  </si>
  <si>
    <t>sheree.blanchard@gmail.com</t>
  </si>
  <si>
    <t xml:space="preserve">41 Glenwood Ave. </t>
  </si>
  <si>
    <t>jonell.rivas@msn.com</t>
  </si>
  <si>
    <t xml:space="preserve">8415 East High Point St. </t>
  </si>
  <si>
    <t>selene.vega@gmail.com</t>
  </si>
  <si>
    <t xml:space="preserve">11 Sierra St. </t>
  </si>
  <si>
    <t>ester.acevedo@gmail.com</t>
  </si>
  <si>
    <t xml:space="preserve">671 Miles Court </t>
  </si>
  <si>
    <t>lavina.dejesus@msn.com</t>
  </si>
  <si>
    <t xml:space="preserve">59 E. Valley Avenue </t>
  </si>
  <si>
    <t>(507) 606-2192</t>
  </si>
  <si>
    <t>emory.o'connor@gmail.com</t>
  </si>
  <si>
    <t xml:space="preserve">34 Foxrun Street </t>
  </si>
  <si>
    <t>latoya.johns@hotmail.com</t>
  </si>
  <si>
    <t xml:space="preserve">7914 W. Woodsman St. </t>
  </si>
  <si>
    <t>addie.hahn@hotmail.com</t>
  </si>
  <si>
    <t xml:space="preserve">8165 Baker Ave. </t>
  </si>
  <si>
    <t>patria.harper@msn.com</t>
  </si>
  <si>
    <t xml:space="preserve">90 Arlington St. </t>
  </si>
  <si>
    <t>tara.maynard@hotmail.com</t>
  </si>
  <si>
    <t xml:space="preserve">9375 Fordham Street </t>
  </si>
  <si>
    <t>mazie.fernandez@hotmail.com</t>
  </si>
  <si>
    <t xml:space="preserve">583 Harvard Ave. </t>
  </si>
  <si>
    <t>gayla.sims@gmail.com</t>
  </si>
  <si>
    <t xml:space="preserve">98 Hall Street </t>
  </si>
  <si>
    <t>britteny.schroeder@aol.com</t>
  </si>
  <si>
    <t xml:space="preserve">855 Bohemia Dr. </t>
  </si>
  <si>
    <t>frederica.rojas@yahoo.com</t>
  </si>
  <si>
    <t xml:space="preserve">7835 West Jockey Hollow Rd. </t>
  </si>
  <si>
    <t>laurel.schultz@hotmail.com</t>
  </si>
  <si>
    <t xml:space="preserve">812 E. 1st Lane </t>
  </si>
  <si>
    <t>zenia.bruce@aol.com</t>
  </si>
  <si>
    <t xml:space="preserve">349 James Road </t>
  </si>
  <si>
    <t>homer.powers@msn.com</t>
  </si>
  <si>
    <t xml:space="preserve">8207 East El Dorado Ave. </t>
  </si>
  <si>
    <t>(442) 919-8256</t>
  </si>
  <si>
    <t>dortha.jarvis@yahoo.com</t>
  </si>
  <si>
    <t xml:space="preserve">76 Prince Drive </t>
  </si>
  <si>
    <t>jerlene.rios@yahoo.com</t>
  </si>
  <si>
    <t xml:space="preserve">32 Griffin St. </t>
  </si>
  <si>
    <t>julianne.shannon@hotmail.com</t>
  </si>
  <si>
    <t xml:space="preserve">28 Applegate Street </t>
  </si>
  <si>
    <t>orval.hunter@aol.com</t>
  </si>
  <si>
    <t xml:space="preserve">35 Wagon Drive </t>
  </si>
  <si>
    <t>emmett.hahn@hotmail.com</t>
  </si>
  <si>
    <t xml:space="preserve">7727 6th St. </t>
  </si>
  <si>
    <t>(562) 924-3079</t>
  </si>
  <si>
    <t>damian.mills@yahoo.com</t>
  </si>
  <si>
    <t xml:space="preserve">7747 Elm Dr. </t>
  </si>
  <si>
    <t>barry.albert@gmail.com</t>
  </si>
  <si>
    <t xml:space="preserve">13 Grand St. </t>
  </si>
  <si>
    <t>reita.dickson@hotmail.com</t>
  </si>
  <si>
    <t xml:space="preserve">7506 Mechanic Dr. </t>
  </si>
  <si>
    <t>sandy.mills@gmail.com</t>
  </si>
  <si>
    <t xml:space="preserve">333 Olive Ave. </t>
  </si>
  <si>
    <t>lurlene.cotton@yahoo.com</t>
  </si>
  <si>
    <t xml:space="preserve">8218 George St. </t>
  </si>
  <si>
    <t>(631) 315-4020</t>
  </si>
  <si>
    <t>whitney.estes@gmail.com</t>
  </si>
  <si>
    <t xml:space="preserve">454 Bear Hill Street </t>
  </si>
  <si>
    <t>sheba.knapp@aol.com</t>
  </si>
  <si>
    <t xml:space="preserve">86 Gates Street </t>
  </si>
  <si>
    <t>sophia.mcmillan@msn.com</t>
  </si>
  <si>
    <t xml:space="preserve">8541 S. Pleasant Street </t>
  </si>
  <si>
    <t>kristy.watkins@gmail.com</t>
  </si>
  <si>
    <t xml:space="preserve">977 South Brook Ave. </t>
  </si>
  <si>
    <t>(805) 961-9909</t>
  </si>
  <si>
    <t>mireille.puckett@hotmail.com</t>
  </si>
  <si>
    <t xml:space="preserve">378 Purple Finch Drive </t>
  </si>
  <si>
    <t>leland.mcdowell@gmail.com</t>
  </si>
  <si>
    <t xml:space="preserve">8034 E. Washington Lane </t>
  </si>
  <si>
    <t>fairy.robinson@msn.com</t>
  </si>
  <si>
    <t xml:space="preserve">8837 Joy Ridge St. </t>
  </si>
  <si>
    <t>greta.page@hotmail.com</t>
  </si>
  <si>
    <t xml:space="preserve">8316 Augusta Drive </t>
  </si>
  <si>
    <t>hue.may@aol.com</t>
  </si>
  <si>
    <t xml:space="preserve">19 S. Lawrence Dr. </t>
  </si>
  <si>
    <t>shanda.stevenson@yahoo.com</t>
  </si>
  <si>
    <t xml:space="preserve">9547 N. Courtland St. </t>
  </si>
  <si>
    <t>ping.quinn@gmail.com</t>
  </si>
  <si>
    <t xml:space="preserve">9051 Hanover Dr. </t>
  </si>
  <si>
    <t>desmond.rose@hotmail.com</t>
  </si>
  <si>
    <t xml:space="preserve">9956 Lexington Rd. </t>
  </si>
  <si>
    <t>wanita.davenport@aol.com</t>
  </si>
  <si>
    <t xml:space="preserve">525 Dogwood Ave. </t>
  </si>
  <si>
    <t>louise.flowers@yahoo.com</t>
  </si>
  <si>
    <t xml:space="preserve">28 N. Gregory Court </t>
  </si>
  <si>
    <t>dorothea.chang@gmail.com</t>
  </si>
  <si>
    <t xml:space="preserve">75 Oak Ave. </t>
  </si>
  <si>
    <t>stan.saunders@yahoo.com</t>
  </si>
  <si>
    <t xml:space="preserve">407 Essex Dr. </t>
  </si>
  <si>
    <t>cayla.johnson@msn.com</t>
  </si>
  <si>
    <t xml:space="preserve">7091 Rockaway Avenue </t>
  </si>
  <si>
    <t>(805) 774-5696</t>
  </si>
  <si>
    <t>fannie.jenkins@msn.com</t>
  </si>
  <si>
    <t xml:space="preserve">7858 E. Pawnee Dr. </t>
  </si>
  <si>
    <t>katherina.odom@yahoo.com</t>
  </si>
  <si>
    <t xml:space="preserve">897 N. Oak Drive </t>
  </si>
  <si>
    <t>tameka.fisher@aol.com</t>
  </si>
  <si>
    <t xml:space="preserve">769C Honey Creek St. </t>
  </si>
  <si>
    <t>alisia.albert@gmail.com</t>
  </si>
  <si>
    <t xml:space="preserve">9490 Coffee St. </t>
  </si>
  <si>
    <t>wilda.petersen@aol.com</t>
  </si>
  <si>
    <t xml:space="preserve">899 Helen St. </t>
  </si>
  <si>
    <t>emanuel.mckee@yahoo.com</t>
  </si>
  <si>
    <t xml:space="preserve">9411 Lake Dr. </t>
  </si>
  <si>
    <t>thalia.horne@yahoo.com</t>
  </si>
  <si>
    <t xml:space="preserve">9312 Harvard Street </t>
  </si>
  <si>
    <t>hayden.cross@gmail.com</t>
  </si>
  <si>
    <t xml:space="preserve">90 Pumpkin Hill St. </t>
  </si>
  <si>
    <t>marshall.johnson@yahoo.com</t>
  </si>
  <si>
    <t xml:space="preserve">44 Greenview St. </t>
  </si>
  <si>
    <t>yuk.vega@yahoo.com</t>
  </si>
  <si>
    <t xml:space="preserve">413 Wood St. </t>
  </si>
  <si>
    <t>guillermina.noble@msn.com</t>
  </si>
  <si>
    <t xml:space="preserve">6 Del Monte Lane </t>
  </si>
  <si>
    <t>karey.steele@gmail.com</t>
  </si>
  <si>
    <t xml:space="preserve">8879 Kent Lane </t>
  </si>
  <si>
    <t>cyndi.bush@gmail.com</t>
  </si>
  <si>
    <t xml:space="preserve">18 Smoky Hollow Drive </t>
  </si>
  <si>
    <t>Sum of Order_Id</t>
  </si>
  <si>
    <t>Sum of customer_id</t>
  </si>
  <si>
    <t xml:space="preserve">Sum of Total Price </t>
  </si>
  <si>
    <t>Total</t>
  </si>
  <si>
    <t>Region</t>
  </si>
  <si>
    <t>Count of Category Name</t>
  </si>
  <si>
    <t>N/A</t>
  </si>
  <si>
    <t xml:space="preserve">Max of Total Price </t>
  </si>
  <si>
    <t xml:space="preserve">Min of Total Price </t>
  </si>
  <si>
    <t>Product with very high price</t>
  </si>
  <si>
    <t>Product with very Low price</t>
  </si>
  <si>
    <t>Lowest Price</t>
  </si>
  <si>
    <t>Highest Price</t>
  </si>
  <si>
    <t>o</t>
  </si>
  <si>
    <t>Category Id</t>
  </si>
  <si>
    <t>order_id</t>
  </si>
  <si>
    <t>order_status</t>
  </si>
  <si>
    <t>order_date</t>
  </si>
  <si>
    <t>required_date</t>
  </si>
  <si>
    <t>shipped_date</t>
  </si>
  <si>
    <t>shipping_status</t>
  </si>
  <si>
    <t>Delivered</t>
  </si>
  <si>
    <t>01-14-16</t>
  </si>
  <si>
    <t>01-15-16</t>
  </si>
  <si>
    <t>01-16-16</t>
  </si>
  <si>
    <t>01-18-16</t>
  </si>
  <si>
    <t>01-19-16</t>
  </si>
  <si>
    <t>01-20-16</t>
  </si>
  <si>
    <t>01-21-16</t>
  </si>
  <si>
    <t>01-22-16</t>
  </si>
  <si>
    <t>01-23-16</t>
  </si>
  <si>
    <t>01-25-16</t>
  </si>
  <si>
    <t>01-27-16</t>
  </si>
  <si>
    <t>01-28-16</t>
  </si>
  <si>
    <t>01-29-16</t>
  </si>
  <si>
    <t>01-30-16</t>
  </si>
  <si>
    <t>01-31-16</t>
  </si>
  <si>
    <t>NULL</t>
  </si>
  <si>
    <t>Shipped</t>
  </si>
  <si>
    <t>02-13-16</t>
  </si>
  <si>
    <t>02-14-16</t>
  </si>
  <si>
    <t>02-16-16</t>
  </si>
  <si>
    <t>02-17-16</t>
  </si>
  <si>
    <t>02-18-16</t>
  </si>
  <si>
    <t>02-19-16</t>
  </si>
  <si>
    <t>02-20-16</t>
  </si>
  <si>
    <t>02-21-16</t>
  </si>
  <si>
    <t>02-23-16</t>
  </si>
  <si>
    <t>02-25-16</t>
  </si>
  <si>
    <t>02-26-16</t>
  </si>
  <si>
    <t>02-27-16</t>
  </si>
  <si>
    <t>02-28-16</t>
  </si>
  <si>
    <t>02-29-16</t>
  </si>
  <si>
    <t>03-14-16</t>
  </si>
  <si>
    <t>03-15-16</t>
  </si>
  <si>
    <t>03-16-16</t>
  </si>
  <si>
    <t>03-17-16</t>
  </si>
  <si>
    <t>03-18-16</t>
  </si>
  <si>
    <t>03-19-16</t>
  </si>
  <si>
    <t>03-20-16</t>
  </si>
  <si>
    <t>03-21-16</t>
  </si>
  <si>
    <t>03-23-16</t>
  </si>
  <si>
    <t>03-25-16</t>
  </si>
  <si>
    <t>03-26-16</t>
  </si>
  <si>
    <t>03-27-16</t>
  </si>
  <si>
    <t>03-28-16</t>
  </si>
  <si>
    <t>03-29-16</t>
  </si>
  <si>
    <t>03-30-16</t>
  </si>
  <si>
    <t>03-31-16</t>
  </si>
  <si>
    <t>04-13-16</t>
  </si>
  <si>
    <t>04-15-16</t>
  </si>
  <si>
    <t>04-16-16</t>
  </si>
  <si>
    <t>04-17-16</t>
  </si>
  <si>
    <t>04-18-16</t>
  </si>
  <si>
    <t>04-19-16</t>
  </si>
  <si>
    <t>04-20-16</t>
  </si>
  <si>
    <t>04-21-16</t>
  </si>
  <si>
    <t>04-22-16</t>
  </si>
  <si>
    <t>04-23-16</t>
  </si>
  <si>
    <t>04-27-16</t>
  </si>
  <si>
    <t>04-28-16</t>
  </si>
  <si>
    <t>04-30-16</t>
  </si>
  <si>
    <t>05-13-16</t>
  </si>
  <si>
    <t>05-15-16</t>
  </si>
  <si>
    <t>05-17-16</t>
  </si>
  <si>
    <t>05-19-16</t>
  </si>
  <si>
    <t>05-20-16</t>
  </si>
  <si>
    <t>05-21-16</t>
  </si>
  <si>
    <t>05-22-16</t>
  </si>
  <si>
    <t>05-24-16</t>
  </si>
  <si>
    <t>05-25-16</t>
  </si>
  <si>
    <t>05-26-16</t>
  </si>
  <si>
    <t>05-27-16</t>
  </si>
  <si>
    <t>05-28-16</t>
  </si>
  <si>
    <t>05-29-16</t>
  </si>
  <si>
    <t>05-30-16</t>
  </si>
  <si>
    <t>06-13-16</t>
  </si>
  <si>
    <t>06-15-16</t>
  </si>
  <si>
    <t>06-16-16</t>
  </si>
  <si>
    <t>06-17-16</t>
  </si>
  <si>
    <t>06-18-16</t>
  </si>
  <si>
    <t>06-19-16</t>
  </si>
  <si>
    <t>06-20-16</t>
  </si>
  <si>
    <t>06-21-16</t>
  </si>
  <si>
    <t>06-22-16</t>
  </si>
  <si>
    <t>06-23-16</t>
  </si>
  <si>
    <t>06-25-16</t>
  </si>
  <si>
    <t>06-27-16</t>
  </si>
  <si>
    <t>06-28-16</t>
  </si>
  <si>
    <t>06-29-16</t>
  </si>
  <si>
    <t>06-30-16</t>
  </si>
  <si>
    <t>07-13-16</t>
  </si>
  <si>
    <t>07-14-16</t>
  </si>
  <si>
    <t>07-15-16</t>
  </si>
  <si>
    <t>07-16-16</t>
  </si>
  <si>
    <t>07-17-16</t>
  </si>
  <si>
    <t>07-18-16</t>
  </si>
  <si>
    <t>07-19-16</t>
  </si>
  <si>
    <t>07-20-16</t>
  </si>
  <si>
    <t>07-21-16</t>
  </si>
  <si>
    <t>07-23-16</t>
  </si>
  <si>
    <t>07-24-16</t>
  </si>
  <si>
    <t>07-25-16</t>
  </si>
  <si>
    <t>07-26-16</t>
  </si>
  <si>
    <t>07-28-16</t>
  </si>
  <si>
    <t>07-29-16</t>
  </si>
  <si>
    <t>07-31-16</t>
  </si>
  <si>
    <t>08-13-16</t>
  </si>
  <si>
    <t>08-14-16</t>
  </si>
  <si>
    <t>08-15-16</t>
  </si>
  <si>
    <t>08-16-16</t>
  </si>
  <si>
    <t>08-17-16</t>
  </si>
  <si>
    <t>08-18-16</t>
  </si>
  <si>
    <t>08-19-16</t>
  </si>
  <si>
    <t>08-20-16</t>
  </si>
  <si>
    <t>08-21-16</t>
  </si>
  <si>
    <t>08-22-16</t>
  </si>
  <si>
    <t>08-23-16</t>
  </si>
  <si>
    <t>08-25-16</t>
  </si>
  <si>
    <t>08-26-16</t>
  </si>
  <si>
    <t>08-27-16</t>
  </si>
  <si>
    <t>08-28-16</t>
  </si>
  <si>
    <t>08-29-16</t>
  </si>
  <si>
    <t>08-30-16</t>
  </si>
  <si>
    <t>08-31-16</t>
  </si>
  <si>
    <t>09-13-16</t>
  </si>
  <si>
    <t>09-14-16</t>
  </si>
  <si>
    <t>09-16-16</t>
  </si>
  <si>
    <t>09-17-16</t>
  </si>
  <si>
    <t>09-18-16</t>
  </si>
  <si>
    <t>09-19-16</t>
  </si>
  <si>
    <t>09-20-16</t>
  </si>
  <si>
    <t>09-21-16</t>
  </si>
  <si>
    <t>09-22-16</t>
  </si>
  <si>
    <t>09-23-16</t>
  </si>
  <si>
    <t>09-24-16</t>
  </si>
  <si>
    <t>09-25-16</t>
  </si>
  <si>
    <t>09-26-16</t>
  </si>
  <si>
    <t>09-27-16</t>
  </si>
  <si>
    <t>09-28-16</t>
  </si>
  <si>
    <t>09-29-16</t>
  </si>
  <si>
    <t>09-30-16</t>
  </si>
  <si>
    <t>10-13-16</t>
  </si>
  <si>
    <t>10-14-16</t>
  </si>
  <si>
    <t>10-15-16</t>
  </si>
  <si>
    <t>10-16-16</t>
  </si>
  <si>
    <t>10-17-16</t>
  </si>
  <si>
    <t>10-18-16</t>
  </si>
  <si>
    <t>10-19-16</t>
  </si>
  <si>
    <t>10-21-16</t>
  </si>
  <si>
    <t>10-22-16</t>
  </si>
  <si>
    <t>10-23-16</t>
  </si>
  <si>
    <t>10-24-16</t>
  </si>
  <si>
    <t>10-25-16</t>
  </si>
  <si>
    <t>10-26-16</t>
  </si>
  <si>
    <t>10-27-16</t>
  </si>
  <si>
    <t>10-28-16</t>
  </si>
  <si>
    <t>10-29-16</t>
  </si>
  <si>
    <t>10-31-16</t>
  </si>
  <si>
    <t>11-13-16</t>
  </si>
  <si>
    <t>11-14-16</t>
  </si>
  <si>
    <t>11-15-16</t>
  </si>
  <si>
    <t>11-16-16</t>
  </si>
  <si>
    <t>11-18-16</t>
  </si>
  <si>
    <t>11-19-16</t>
  </si>
  <si>
    <t>11-20-16</t>
  </si>
  <si>
    <t>11-21-16</t>
  </si>
  <si>
    <t>11-22-16</t>
  </si>
  <si>
    <t>11-23-16</t>
  </si>
  <si>
    <t>11-24-16</t>
  </si>
  <si>
    <t>11-26-16</t>
  </si>
  <si>
    <t>11-27-16</t>
  </si>
  <si>
    <t>11-30-16</t>
  </si>
  <si>
    <t>12-13-16</t>
  </si>
  <si>
    <t>12-15-16</t>
  </si>
  <si>
    <t>12-16-16</t>
  </si>
  <si>
    <t>12-17-16</t>
  </si>
  <si>
    <t>12-18-16</t>
  </si>
  <si>
    <t>12-19-16</t>
  </si>
  <si>
    <t>12-20-16</t>
  </si>
  <si>
    <t>12-21-16</t>
  </si>
  <si>
    <t>12-22-16</t>
  </si>
  <si>
    <t>12-23-16</t>
  </si>
  <si>
    <t>12-24-16</t>
  </si>
  <si>
    <t>12-25-16</t>
  </si>
  <si>
    <t>12-26-16</t>
  </si>
  <si>
    <t>12-27-16</t>
  </si>
  <si>
    <t>12-28-16</t>
  </si>
  <si>
    <t>12-29-16</t>
  </si>
  <si>
    <t>12-30-16</t>
  </si>
  <si>
    <t>01-14-17</t>
  </si>
  <si>
    <t>01-16-17</t>
  </si>
  <si>
    <t>01-17-17</t>
  </si>
  <si>
    <t>01-18-17</t>
  </si>
  <si>
    <t>01-19-17</t>
  </si>
  <si>
    <t>01-20-17</t>
  </si>
  <si>
    <t>01-21-17</t>
  </si>
  <si>
    <t>01-22-17</t>
  </si>
  <si>
    <t>01-23-17</t>
  </si>
  <si>
    <t>01-24-17</t>
  </si>
  <si>
    <t>01-25-17</t>
  </si>
  <si>
    <t>01-26-17</t>
  </si>
  <si>
    <t>01-27-17</t>
  </si>
  <si>
    <t>01-28-17</t>
  </si>
  <si>
    <t>01-29-17</t>
  </si>
  <si>
    <t>01-31-17</t>
  </si>
  <si>
    <t>02-13-17</t>
  </si>
  <si>
    <t>02-14-17</t>
  </si>
  <si>
    <t>02-15-17</t>
  </si>
  <si>
    <t>02-16-17</t>
  </si>
  <si>
    <t>02-18-17</t>
  </si>
  <si>
    <t>02-19-17</t>
  </si>
  <si>
    <t>02-20-17</t>
  </si>
  <si>
    <t>02-21-17</t>
  </si>
  <si>
    <t>02-25-17</t>
  </si>
  <si>
    <t>02-26-17</t>
  </si>
  <si>
    <t>02-27-17</t>
  </si>
  <si>
    <t>02-28-17</t>
  </si>
  <si>
    <t>03-13-17</t>
  </si>
  <si>
    <t>03-15-17</t>
  </si>
  <si>
    <t>03-16-17</t>
  </si>
  <si>
    <t>03-18-17</t>
  </si>
  <si>
    <t>03-19-17</t>
  </si>
  <si>
    <t>03-20-17</t>
  </si>
  <si>
    <t>03-22-17</t>
  </si>
  <si>
    <t>03-23-17</t>
  </si>
  <si>
    <t>03-24-17</t>
  </si>
  <si>
    <t>03-26-17</t>
  </si>
  <si>
    <t>03-27-17</t>
  </si>
  <si>
    <t>03-28-17</t>
  </si>
  <si>
    <t>03-29-17</t>
  </si>
  <si>
    <t>03-30-17</t>
  </si>
  <si>
    <t>03-31-17</t>
  </si>
  <si>
    <t>04-13-17</t>
  </si>
  <si>
    <t>04-14-17</t>
  </si>
  <si>
    <t>04-15-17</t>
  </si>
  <si>
    <t>04-16-17</t>
  </si>
  <si>
    <t>04-17-17</t>
  </si>
  <si>
    <t>04-18-17</t>
  </si>
  <si>
    <t>04-19-17</t>
  </si>
  <si>
    <t>04-20-17</t>
  </si>
  <si>
    <t>04-21-17</t>
  </si>
  <si>
    <t>04-22-17</t>
  </si>
  <si>
    <t>04-23-17</t>
  </si>
  <si>
    <t>04-24-17</t>
  </si>
  <si>
    <t>04-25-17</t>
  </si>
  <si>
    <t>04-27-17</t>
  </si>
  <si>
    <t>04-28-17</t>
  </si>
  <si>
    <t>04-29-17</t>
  </si>
  <si>
    <t>05-13-17</t>
  </si>
  <si>
    <t>05-14-17</t>
  </si>
  <si>
    <t>05-15-17</t>
  </si>
  <si>
    <t>05-16-17</t>
  </si>
  <si>
    <t>05-18-17</t>
  </si>
  <si>
    <t>05-19-17</t>
  </si>
  <si>
    <t>05-20-17</t>
  </si>
  <si>
    <t>05-21-17</t>
  </si>
  <si>
    <t>05-22-17</t>
  </si>
  <si>
    <t>05-23-17</t>
  </si>
  <si>
    <t>05-24-17</t>
  </si>
  <si>
    <t>05-25-17</t>
  </si>
  <si>
    <t>05-26-17</t>
  </si>
  <si>
    <t>05-27-17</t>
  </si>
  <si>
    <t>05-28-17</t>
  </si>
  <si>
    <t>05-29-17</t>
  </si>
  <si>
    <t>05-30-17</t>
  </si>
  <si>
    <t>05-31-17</t>
  </si>
  <si>
    <t>06-13-17</t>
  </si>
  <si>
    <t>06-14-17</t>
  </si>
  <si>
    <t>06-15-17</t>
  </si>
  <si>
    <t>06-16-17</t>
  </si>
  <si>
    <t>06-17-17</t>
  </si>
  <si>
    <t>06-18-17</t>
  </si>
  <si>
    <t>06-19-17</t>
  </si>
  <si>
    <t>06-20-17</t>
  </si>
  <si>
    <t>06-21-17</t>
  </si>
  <si>
    <t>06-22-17</t>
  </si>
  <si>
    <t>06-23-17</t>
  </si>
  <si>
    <t>06-24-17</t>
  </si>
  <si>
    <t>06-25-17</t>
  </si>
  <si>
    <t>06-26-17</t>
  </si>
  <si>
    <t>06-27-17</t>
  </si>
  <si>
    <t>06-30-17</t>
  </si>
  <si>
    <t>07-13-17</t>
  </si>
  <si>
    <t>07-14-17</t>
  </si>
  <si>
    <t>07-15-17</t>
  </si>
  <si>
    <t>07-16-17</t>
  </si>
  <si>
    <t>07-18-17</t>
  </si>
  <si>
    <t>07-19-17</t>
  </si>
  <si>
    <t>07-20-17</t>
  </si>
  <si>
    <t>07-22-17</t>
  </si>
  <si>
    <t>07-23-17</t>
  </si>
  <si>
    <t>07-26-17</t>
  </si>
  <si>
    <t>07-27-17</t>
  </si>
  <si>
    <t>07-29-17</t>
  </si>
  <si>
    <t>07-30-17</t>
  </si>
  <si>
    <t>07-31-17</t>
  </si>
  <si>
    <t>08-13-17</t>
  </si>
  <si>
    <t>08-14-17</t>
  </si>
  <si>
    <t>08-15-17</t>
  </si>
  <si>
    <t>08-16-17</t>
  </si>
  <si>
    <t>08-17-17</t>
  </si>
  <si>
    <t>08-18-17</t>
  </si>
  <si>
    <t>08-19-17</t>
  </si>
  <si>
    <t>08-20-17</t>
  </si>
  <si>
    <t>08-21-17</t>
  </si>
  <si>
    <t>08-22-17</t>
  </si>
  <si>
    <t>08-23-17</t>
  </si>
  <si>
    <t>08-24-17</t>
  </si>
  <si>
    <t>08-25-17</t>
  </si>
  <si>
    <t>08-26-17</t>
  </si>
  <si>
    <t>08-27-17</t>
  </si>
  <si>
    <t>08-28-17</t>
  </si>
  <si>
    <t>08-29-17</t>
  </si>
  <si>
    <t>08-31-17</t>
  </si>
  <si>
    <t>09-13-17</t>
  </si>
  <si>
    <t>09-14-17</t>
  </si>
  <si>
    <t>09-15-17</t>
  </si>
  <si>
    <t>09-17-17</t>
  </si>
  <si>
    <t>09-18-17</t>
  </si>
  <si>
    <t>09-19-17</t>
  </si>
  <si>
    <t>09-20-17</t>
  </si>
  <si>
    <t>09-21-17</t>
  </si>
  <si>
    <t>09-22-17</t>
  </si>
  <si>
    <t>09-23-17</t>
  </si>
  <si>
    <t>09-24-17</t>
  </si>
  <si>
    <t>09-25-17</t>
  </si>
  <si>
    <t>09-27-17</t>
  </si>
  <si>
    <t>09-28-17</t>
  </si>
  <si>
    <t>09-29-17</t>
  </si>
  <si>
    <t>09-30-17</t>
  </si>
  <si>
    <t>10-13-17</t>
  </si>
  <si>
    <t>10-14-17</t>
  </si>
  <si>
    <t>10-15-17</t>
  </si>
  <si>
    <t>10-16-17</t>
  </si>
  <si>
    <t>10-17-17</t>
  </si>
  <si>
    <t>10-19-17</t>
  </si>
  <si>
    <t>10-21-17</t>
  </si>
  <si>
    <t>10-22-17</t>
  </si>
  <si>
    <t>10-23-17</t>
  </si>
  <si>
    <t>10-24-17</t>
  </si>
  <si>
    <t>10-25-17</t>
  </si>
  <si>
    <t>10-26-17</t>
  </si>
  <si>
    <t>10-27-17</t>
  </si>
  <si>
    <t>10-28-17</t>
  </si>
  <si>
    <t>10-30-17</t>
  </si>
  <si>
    <t>10-31-17</t>
  </si>
  <si>
    <t>11-13-17</t>
  </si>
  <si>
    <t>11-16-17</t>
  </si>
  <si>
    <t>11-17-17</t>
  </si>
  <si>
    <t>11-18-17</t>
  </si>
  <si>
    <t>11-19-17</t>
  </si>
  <si>
    <t>11-20-17</t>
  </si>
  <si>
    <t>11-21-17</t>
  </si>
  <si>
    <t>11-22-17</t>
  </si>
  <si>
    <t>11-23-17</t>
  </si>
  <si>
    <t>11-24-17</t>
  </si>
  <si>
    <t>11-25-17</t>
  </si>
  <si>
    <t>11-26-17</t>
  </si>
  <si>
    <t>11-27-17</t>
  </si>
  <si>
    <t>11-28-17</t>
  </si>
  <si>
    <t>11-29-17</t>
  </si>
  <si>
    <t>11-30-17</t>
  </si>
  <si>
    <t>12-14-17</t>
  </si>
  <si>
    <t>12-15-17</t>
  </si>
  <si>
    <t>12-16-17</t>
  </si>
  <si>
    <t>12-17-17</t>
  </si>
  <si>
    <t>12-20-17</t>
  </si>
  <si>
    <t>12-22-17</t>
  </si>
  <si>
    <t>12-24-17</t>
  </si>
  <si>
    <t>12-25-17</t>
  </si>
  <si>
    <t>12-26-17</t>
  </si>
  <si>
    <t>12-27-17</t>
  </si>
  <si>
    <t>12-28-17</t>
  </si>
  <si>
    <t>12-30-17</t>
  </si>
  <si>
    <t>12-31-17</t>
  </si>
  <si>
    <t>01-13-18</t>
  </si>
  <si>
    <t>01-14-18</t>
  </si>
  <si>
    <t>01-15-18</t>
  </si>
  <si>
    <t>01-16-18</t>
  </si>
  <si>
    <t>01-17-18</t>
  </si>
  <si>
    <t>01-19-18</t>
  </si>
  <si>
    <t>01-20-18</t>
  </si>
  <si>
    <t>01-21-18</t>
  </si>
  <si>
    <t>01-22-18</t>
  </si>
  <si>
    <t>01-23-18</t>
  </si>
  <si>
    <t>01-24-18</t>
  </si>
  <si>
    <t>01-25-18</t>
  </si>
  <si>
    <t>01-26-18</t>
  </si>
  <si>
    <t>01-27-18</t>
  </si>
  <si>
    <t>01-28-18</t>
  </si>
  <si>
    <t>01-29-18</t>
  </si>
  <si>
    <t>01-30-18</t>
  </si>
  <si>
    <t>02-13-18</t>
  </si>
  <si>
    <t>02-14-18</t>
  </si>
  <si>
    <t>02-15-18</t>
  </si>
  <si>
    <t>02-16-18</t>
  </si>
  <si>
    <t>02-17-18</t>
  </si>
  <si>
    <t>02-18-18</t>
  </si>
  <si>
    <t>02-19-18</t>
  </si>
  <si>
    <t>02-21-18</t>
  </si>
  <si>
    <t>02-23-18</t>
  </si>
  <si>
    <t>02-25-18</t>
  </si>
  <si>
    <t>02-26-18</t>
  </si>
  <si>
    <t>02-27-18</t>
  </si>
  <si>
    <t>03-14-18</t>
  </si>
  <si>
    <t>03-15-18</t>
  </si>
  <si>
    <t>03-16-18</t>
  </si>
  <si>
    <t>03-17-18</t>
  </si>
  <si>
    <t>03-18-18</t>
  </si>
  <si>
    <t>03-19-18</t>
  </si>
  <si>
    <t>03-20-18</t>
  </si>
  <si>
    <t>03-21-18</t>
  </si>
  <si>
    <t>03-22-18</t>
  </si>
  <si>
    <t>03-23-18</t>
  </si>
  <si>
    <t>03-24-18</t>
  </si>
  <si>
    <t>03-25-18</t>
  </si>
  <si>
    <t>03-26-18</t>
  </si>
  <si>
    <t>03-27-18</t>
  </si>
  <si>
    <t>03-28-18</t>
  </si>
  <si>
    <t>03-29-18</t>
  </si>
  <si>
    <t>03-30-18</t>
  </si>
  <si>
    <t>03-31-18</t>
  </si>
  <si>
    <t>Pending</t>
  </si>
  <si>
    <t>Order Placed</t>
  </si>
  <si>
    <t>04-13-18</t>
  </si>
  <si>
    <t>04-14-18</t>
  </si>
  <si>
    <t>04-15-18</t>
  </si>
  <si>
    <t>04-16-18</t>
  </si>
  <si>
    <t>04-17-18</t>
  </si>
  <si>
    <t>04-18-18</t>
  </si>
  <si>
    <t>04-19-18</t>
  </si>
  <si>
    <t>04-20-18</t>
  </si>
  <si>
    <t>04-21-18</t>
  </si>
  <si>
    <t>04-22-18</t>
  </si>
  <si>
    <t>04-23-18</t>
  </si>
  <si>
    <t>04-24-18</t>
  </si>
  <si>
    <t>04-25-18</t>
  </si>
  <si>
    <t>04-26-18</t>
  </si>
  <si>
    <t>04-27-18</t>
  </si>
  <si>
    <t>04-28-18</t>
  </si>
  <si>
    <t>04-29-18</t>
  </si>
  <si>
    <t>04-30-18</t>
  </si>
  <si>
    <t>06-17-18</t>
  </si>
  <si>
    <t>08-23-18</t>
  </si>
  <si>
    <t>08-25-18</t>
  </si>
  <si>
    <t>10-21-18</t>
  </si>
  <si>
    <t>11-18-18</t>
  </si>
  <si>
    <t>11-28-18</t>
  </si>
  <si>
    <t>12-28-18</t>
  </si>
  <si>
    <t>quantity</t>
  </si>
  <si>
    <t>store_name</t>
  </si>
  <si>
    <t>phone</t>
  </si>
  <si>
    <t>Santa Cruz Bikes</t>
  </si>
  <si>
    <t>(831) 476-4321</t>
  </si>
  <si>
    <t>santacruz@bikes.shop</t>
  </si>
  <si>
    <t>3700 Portola Drive</t>
  </si>
  <si>
    <t>Baldwin Bikes</t>
  </si>
  <si>
    <t>(516) 379-8888</t>
  </si>
  <si>
    <t>baldwin@bikes.shop</t>
  </si>
  <si>
    <t>4200 Chestnut Lane</t>
  </si>
  <si>
    <t>Rowlett Bikes</t>
  </si>
  <si>
    <t>(972) 530-5555</t>
  </si>
  <si>
    <t>rowlett@bikes.shop</t>
  </si>
  <si>
    <t>8000 Fairway Avenue</t>
  </si>
  <si>
    <t>brand_name</t>
  </si>
  <si>
    <t>Electra</t>
  </si>
  <si>
    <t>Haro</t>
  </si>
  <si>
    <t>Heller</t>
  </si>
  <si>
    <t>Pure Cycles</t>
  </si>
  <si>
    <t>Ritchey</t>
  </si>
  <si>
    <t>Strider</t>
  </si>
  <si>
    <t>Sun Bicycles</t>
  </si>
  <si>
    <t>Surly</t>
  </si>
  <si>
    <t>Trek</t>
  </si>
  <si>
    <t>active</t>
  </si>
  <si>
    <t>manager_id</t>
  </si>
  <si>
    <t>Fabiola</t>
  </si>
  <si>
    <t>fabiola.jackson@bikes.shop</t>
  </si>
  <si>
    <t>(831) 555-5554</t>
  </si>
  <si>
    <t>Mireya</t>
  </si>
  <si>
    <t>mireya.copeland@bikes.shop</t>
  </si>
  <si>
    <t>(831) 555-5555</t>
  </si>
  <si>
    <t>Genna</t>
  </si>
  <si>
    <t>Serrano</t>
  </si>
  <si>
    <t>genna.serrano@bikes.shop</t>
  </si>
  <si>
    <t>(831) 555-5556</t>
  </si>
  <si>
    <t>Virgie</t>
  </si>
  <si>
    <t>virgie.wiggins@bikes.shop</t>
  </si>
  <si>
    <t>(831) 555-5557</t>
  </si>
  <si>
    <t>Jannette</t>
  </si>
  <si>
    <t>David</t>
  </si>
  <si>
    <t>jannette.david@bikes.shop</t>
  </si>
  <si>
    <t>(516) 379-4444</t>
  </si>
  <si>
    <t>Marcelene</t>
  </si>
  <si>
    <t>Boyer</t>
  </si>
  <si>
    <t>marcelene.boyer@bikes.shop</t>
  </si>
  <si>
    <t>(516) 379-4445</t>
  </si>
  <si>
    <t>Venita</t>
  </si>
  <si>
    <t>venita.daniel@bikes.shop</t>
  </si>
  <si>
    <t>(516) 379-4446</t>
  </si>
  <si>
    <t>Kali</t>
  </si>
  <si>
    <t>kali.vargas@bikes.shop</t>
  </si>
  <si>
    <t>Layla</t>
  </si>
  <si>
    <t>layla.terrell@bikes.shop</t>
  </si>
  <si>
    <t>(972) 530-5556</t>
  </si>
  <si>
    <t>Bernardine</t>
  </si>
  <si>
    <t>bernardine.houston@bikes.shop</t>
  </si>
  <si>
    <t>(972) 530-5557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</si>
</sst>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rgb="FF000000"/>
      <name val="Calibri"/>
      <scheme val="minor"/>
    </font>
    <font>
      <sz val="10"/>
      <name val="Calibri"/>
    </font>
  </fonts>
  <fills count="5">
    <fill>
      <patternFill patternType="none"/>
    </fill>
    <fill>
      <patternFill patternType="gray125"/>
    </fill>
    <fill>
      <patternFill patternType="solid">
        <fgColor theme="5" tint="0.39997558519241921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6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0" fontId="3" fillId="0" borderId="0"/>
  </cellStyleXfs>
  <cellXfs count="24">
    <xf numFmtId="0" fontId="0" fillId="0" borderId="0" xfId="0"/>
    <xf numFmtId="1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1" fontId="0" fillId="0" borderId="1" xfId="0" applyNumberFormat="1" applyBorder="1" applyAlignment="1">
      <alignment horizontal="center"/>
    </xf>
    <xf numFmtId="0" fontId="0" fillId="0" borderId="1" xfId="0" applyBorder="1" applyAlignment="1">
      <alignment horizontal="center"/>
    </xf>
    <xf numFmtId="0" fontId="2" fillId="0" borderId="0" xfId="0" applyFont="1"/>
    <xf numFmtId="0" fontId="2" fillId="0" borderId="1" xfId="0" applyFont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2" fillId="3" borderId="1" xfId="0" applyFont="1" applyFill="1" applyBorder="1" applyAlignment="1">
      <alignment horizontal="center"/>
    </xf>
    <xf numFmtId="2" fontId="0" fillId="0" borderId="0" xfId="0" applyNumberFormat="1"/>
    <xf numFmtId="1" fontId="2" fillId="2" borderId="1" xfId="0" applyNumberFormat="1" applyFont="1" applyFill="1" applyBorder="1" applyAlignment="1">
      <alignment horizontal="center"/>
    </xf>
    <xf numFmtId="49" fontId="2" fillId="2" borderId="1" xfId="0" applyNumberFormat="1" applyFont="1" applyFill="1" applyBorder="1" applyAlignment="1">
      <alignment horizontal="center"/>
    </xf>
    <xf numFmtId="49" fontId="0" fillId="0" borderId="1" xfId="0" applyNumberFormat="1" applyBorder="1" applyAlignment="1">
      <alignment horizontal="center"/>
    </xf>
    <xf numFmtId="49" fontId="0" fillId="0" borderId="0" xfId="0" applyNumberFormat="1"/>
    <xf numFmtId="2" fontId="2" fillId="2" borderId="1" xfId="1" applyNumberFormat="1" applyFont="1" applyFill="1" applyBorder="1" applyAlignment="1">
      <alignment horizontal="center"/>
    </xf>
    <xf numFmtId="2" fontId="0" fillId="0" borderId="1" xfId="1" applyNumberFormat="1" applyFont="1" applyBorder="1" applyAlignment="1">
      <alignment horizontal="center"/>
    </xf>
    <xf numFmtId="2" fontId="0" fillId="0" borderId="0" xfId="1" applyNumberFormat="1" applyFont="1"/>
    <xf numFmtId="0" fontId="2" fillId="4" borderId="0" xfId="0" applyFont="1" applyFill="1"/>
    <xf numFmtId="2" fontId="0" fillId="0" borderId="1" xfId="0" applyNumberFormat="1" applyBorder="1" applyAlignment="1">
      <alignment horizontal="center"/>
    </xf>
    <xf numFmtId="2" fontId="2" fillId="2" borderId="1" xfId="0" applyNumberFormat="1" applyFont="1" applyFill="1" applyBorder="1" applyAlignment="1">
      <alignment horizontal="center"/>
    </xf>
    <xf numFmtId="0" fontId="4" fillId="0" borderId="0" xfId="2" applyFont="1"/>
    <xf numFmtId="0" fontId="2" fillId="0" borderId="0" xfId="0" applyFont="1" applyAlignment="1">
      <alignment horizontal="center"/>
    </xf>
    <xf numFmtId="14" fontId="0" fillId="0" borderId="0" xfId="0" applyNumberFormat="1"/>
  </cellXfs>
  <cellStyles count="3">
    <cellStyle name="Normal" xfId="0" builtinId="0"/>
    <cellStyle name="Normal 2" xfId="2" xr:uid="{E41E2235-A827-41B5-9084-1E7003D6DE28}"/>
    <cellStyle name="Percent" xfId="1" builtinId="5"/>
  </cellStyles>
  <dxfs count="8">
    <dxf>
      <fill>
        <patternFill patternType="solid">
          <fgColor rgb="FFFFC7CE"/>
          <bgColor rgb="FF000000"/>
        </patternFill>
      </fill>
    </dxf>
    <dxf>
      <fill>
        <patternFill patternType="solid">
          <fgColor rgb="FFFFC7CE"/>
          <bgColor rgb="FF000000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pivotCacheDefinition" Target="pivotCache/pivotCacheDefinition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[order_items.xlsx]Pivot Table!PivotTable3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Total Sales</a:t>
            </a:r>
            <a:r>
              <a:rPr lang="en-US" baseline="0"/>
              <a:t> by Category</a:t>
            </a:r>
            <a:endParaRPr lang="en-US"/>
          </a:p>
        </c:rich>
      </c:tx>
      <c:layout>
        <c:manualLayout>
          <c:xMode val="edge"/>
          <c:yMode val="edge"/>
          <c:x val="0.25845283018867921"/>
          <c:y val="0.1146639278785804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'Pivot Table'!$B$3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'Pivot Table'!$A$4:$A$11</c:f>
              <c:strCache>
                <c:ptCount val="7"/>
                <c:pt idx="0">
                  <c:v>Children Bicycles</c:v>
                </c:pt>
                <c:pt idx="1">
                  <c:v>Comfort Bicycles</c:v>
                </c:pt>
                <c:pt idx="2">
                  <c:v>Cruisers Bicycles</c:v>
                </c:pt>
                <c:pt idx="3">
                  <c:v>Cyclocross Bicycles</c:v>
                </c:pt>
                <c:pt idx="4">
                  <c:v>Electric Bikes</c:v>
                </c:pt>
                <c:pt idx="5">
                  <c:v>Mountain Bikes</c:v>
                </c:pt>
                <c:pt idx="6">
                  <c:v>Road Bikes</c:v>
                </c:pt>
              </c:strCache>
            </c:strRef>
          </c:cat>
          <c:val>
            <c:numRef>
              <c:f>'Pivot Table'!$B$4:$B$11</c:f>
              <c:numCache>
                <c:formatCode>General</c:formatCode>
                <c:ptCount val="7"/>
                <c:pt idx="0">
                  <c:v>117065.70999999986</c:v>
                </c:pt>
                <c:pt idx="1">
                  <c:v>166458.42000000001</c:v>
                </c:pt>
                <c:pt idx="2">
                  <c:v>366168.31000000011</c:v>
                </c:pt>
                <c:pt idx="3">
                  <c:v>246588.28000000006</c:v>
                </c:pt>
                <c:pt idx="4">
                  <c:v>323652.31</c:v>
                </c:pt>
                <c:pt idx="5">
                  <c:v>959818.72000000288</c:v>
                </c:pt>
                <c:pt idx="6">
                  <c:v>600589.78999999992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A13-4539-8091-281162E9170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53926832"/>
        <c:axId val="553925032"/>
      </c:lineChart>
      <c:catAx>
        <c:axId val="55392683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53925032"/>
        <c:crosses val="autoZero"/>
        <c:auto val="1"/>
        <c:lblAlgn val="ctr"/>
        <c:lblOffset val="100"/>
        <c:noMultiLvlLbl val="0"/>
      </c:catAx>
      <c:valAx>
        <c:axId val="5539250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5392683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190500</xdr:colOff>
      <xdr:row>1</xdr:row>
      <xdr:rowOff>101600</xdr:rowOff>
    </xdr:from>
    <xdr:to>
      <xdr:col>10</xdr:col>
      <xdr:colOff>215900</xdr:colOff>
      <xdr:row>17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314CFE4-F560-7BD1-509B-BED02C404C6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 D M I N" refreshedDate="46185.519931249997" createdVersion="8" refreshedVersion="8" minRefreshableVersion="3" recordCount="1615" xr:uid="{586B4AF4-718C-4109-8F44-9EA3420BAAF1}">
  <cacheSource type="worksheet">
    <worksheetSource ref="A1:I1616" sheet="Order_items"/>
  </cacheSource>
  <cacheFields count="9">
    <cacheField name="order_id" numFmtId="1">
      <sharedItems containsSemiMixedTypes="0" containsString="0" containsNumber="1" containsInteger="1" minValue="1" maxValue="1615"/>
    </cacheField>
    <cacheField name="item_id" numFmtId="1">
      <sharedItems containsSemiMixedTypes="0" containsString="0" containsNumber="1" containsInteger="1" minValue="1" maxValue="5"/>
    </cacheField>
    <cacheField name="product_id" numFmtId="1">
      <sharedItems containsSemiMixedTypes="0" containsString="0" containsNumber="1" containsInteger="1" minValue="2" maxValue="315"/>
    </cacheField>
    <cacheField name="quantity" numFmtId="1">
      <sharedItems containsSemiMixedTypes="0" containsString="0" containsNumber="1" containsInteger="1" minValue="1" maxValue="2"/>
    </cacheField>
    <cacheField name="list_price" numFmtId="0">
      <sharedItems containsSemiMixedTypes="0" containsString="0" containsNumber="1" minValue="89.99" maxValue="11999.99"/>
    </cacheField>
    <cacheField name="discount" numFmtId="0">
      <sharedItems containsSemiMixedTypes="0" containsString="0" containsNumber="1" minValue="0.05" maxValue="0.2"/>
    </cacheField>
    <cacheField name="Total price " numFmtId="0">
      <sharedItems containsSemiMixedTypes="0" containsString="0" containsNumber="1" minValue="89.789999999999992" maxValue="23999.88"/>
    </cacheField>
    <cacheField name="Product_Name" numFmtId="0">
      <sharedItems/>
    </cacheField>
    <cacheField name="Category Name" numFmtId="0">
      <sharedItems count="7">
        <s v="Cruisers Bicycles"/>
        <s v="Mountain Bikes"/>
        <s v="Comfort Bicycles"/>
        <s v="Children Bicycles"/>
        <s v="Cyclocross Bicycles"/>
        <s v="Electric Bikes"/>
        <s v="Road Bikes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615">
  <r>
    <n v="1"/>
    <n v="1"/>
    <n v="20"/>
    <n v="1"/>
    <n v="599.99"/>
    <n v="0.2"/>
    <n v="599.79"/>
    <s v="Electra Townie Original 7D EQ - Women's - 2016"/>
    <x v="0"/>
  </r>
  <r>
    <n v="2"/>
    <n v="1"/>
    <n v="20"/>
    <n v="1"/>
    <n v="599.99"/>
    <n v="7.0000000000000007E-2"/>
    <n v="599.91999999999996"/>
    <s v="Electra Townie Original 7D EQ - Women's - 2016"/>
    <x v="0"/>
  </r>
  <r>
    <n v="3"/>
    <n v="2"/>
    <n v="20"/>
    <n v="1"/>
    <n v="599.99"/>
    <n v="0.05"/>
    <n v="599.94000000000005"/>
    <s v="Electra Townie Original 7D EQ - Women's - 2016"/>
    <x v="0"/>
  </r>
  <r>
    <n v="4"/>
    <n v="1"/>
    <n v="2"/>
    <n v="2"/>
    <n v="749.99"/>
    <n v="0.1"/>
    <n v="1499.88"/>
    <s v="Ritchey Timberwolf Frameset - 2016"/>
    <x v="1"/>
  </r>
  <r>
    <n v="5"/>
    <n v="3"/>
    <n v="26"/>
    <n v="1"/>
    <n v="599.99"/>
    <n v="7.0000000000000007E-2"/>
    <n v="599.91999999999996"/>
    <s v="Electra Townie Original 7D EQ - 2016"/>
    <x v="2"/>
  </r>
  <r>
    <n v="6"/>
    <n v="3"/>
    <n v="20"/>
    <n v="1"/>
    <n v="599.99"/>
    <n v="0.1"/>
    <n v="599.89"/>
    <s v="Electra Townie Original 7D EQ - Women's - 2016"/>
    <x v="0"/>
  </r>
  <r>
    <n v="7"/>
    <n v="3"/>
    <n v="17"/>
    <n v="2"/>
    <n v="429"/>
    <n v="0.1"/>
    <n v="857.9"/>
    <s v="Pure Cycles Vine 8-Speed - 2016"/>
    <x v="0"/>
  </r>
  <r>
    <n v="8"/>
    <n v="1"/>
    <n v="22"/>
    <n v="1"/>
    <n v="269.99"/>
    <n v="0.05"/>
    <n v="269.94"/>
    <s v="Electra Girl's Hawaii 1 (16-inch) - 2015/2016"/>
    <x v="3"/>
  </r>
  <r>
    <n v="9"/>
    <n v="1"/>
    <n v="7"/>
    <n v="2"/>
    <n v="3999.99"/>
    <n v="0.1"/>
    <n v="7999.8799999999992"/>
    <s v="Trek Slash 8 27.5 - 2016"/>
    <x v="1"/>
  </r>
  <r>
    <n v="10"/>
    <n v="1"/>
    <n v="14"/>
    <n v="1"/>
    <n v="269.99"/>
    <n v="0.1"/>
    <n v="269.89"/>
    <s v="Electra Girl's Hawaii 1 (16-inch) - 2015/2016"/>
    <x v="0"/>
  </r>
  <r>
    <n v="11"/>
    <n v="2"/>
    <n v="22"/>
    <n v="2"/>
    <n v="269.99"/>
    <n v="0.1"/>
    <n v="539.88"/>
    <s v="Electra Girl's Hawaii 1 (16-inch) - 2015/2016"/>
    <x v="3"/>
  </r>
  <r>
    <n v="12"/>
    <n v="2"/>
    <n v="11"/>
    <n v="1"/>
    <n v="1680.99"/>
    <n v="0.05"/>
    <n v="1680.94"/>
    <s v="Surly Straggler 650b - 2016"/>
    <x v="4"/>
  </r>
  <r>
    <n v="13"/>
    <n v="3"/>
    <n v="20"/>
    <n v="2"/>
    <n v="599.99"/>
    <n v="0.1"/>
    <n v="1199.8800000000001"/>
    <s v="Electra Townie Original 7D EQ - Women's - 2016"/>
    <x v="0"/>
  </r>
  <r>
    <n v="14"/>
    <n v="1"/>
    <n v="6"/>
    <n v="1"/>
    <n v="469.99"/>
    <n v="7.0000000000000007E-2"/>
    <n v="469.92"/>
    <s v="Surly Ice Cream Truck Frameset - 2016"/>
    <x v="1"/>
  </r>
  <r>
    <n v="15"/>
    <n v="4"/>
    <n v="23"/>
    <n v="2"/>
    <n v="299.99"/>
    <n v="0.2"/>
    <n v="599.78"/>
    <s v="Electra Girl's Hawaii 1 (20-inch) - 2015/2016"/>
    <x v="3"/>
  </r>
  <r>
    <n v="16"/>
    <n v="2"/>
    <n v="21"/>
    <n v="1"/>
    <n v="269.99"/>
    <n v="0.05"/>
    <n v="269.94"/>
    <s v="Electra Cruiser 1 (24-Inch) - 2016"/>
    <x v="3"/>
  </r>
  <r>
    <n v="17"/>
    <n v="2"/>
    <n v="23"/>
    <n v="1"/>
    <n v="299.99"/>
    <n v="0.1"/>
    <n v="299.89"/>
    <s v="Electra Girl's Hawaii 1 (20-inch) - 2015/2016"/>
    <x v="3"/>
  </r>
  <r>
    <n v="18"/>
    <n v="4"/>
    <n v="25"/>
    <n v="2"/>
    <n v="499.99"/>
    <n v="0.05"/>
    <n v="999.93000000000006"/>
    <s v="Electra Townie Original 7D - 2015/2016"/>
    <x v="2"/>
  </r>
  <r>
    <n v="19"/>
    <n v="1"/>
    <n v="10"/>
    <n v="1"/>
    <n v="1549"/>
    <n v="7.0000000000000007E-2"/>
    <n v="1548.93"/>
    <s v="Surly Straggler - 2016"/>
    <x v="4"/>
  </r>
  <r>
    <n v="20"/>
    <n v="2"/>
    <n v="10"/>
    <n v="2"/>
    <n v="1549"/>
    <n v="7.0000000000000007E-2"/>
    <n v="3097.93"/>
    <s v="Surly Straggler - 2016"/>
    <x v="4"/>
  </r>
  <r>
    <n v="21"/>
    <n v="2"/>
    <n v="17"/>
    <n v="1"/>
    <n v="429"/>
    <n v="0.1"/>
    <n v="428.9"/>
    <s v="Pure Cycles Vine 8-Speed - 2016"/>
    <x v="0"/>
  </r>
  <r>
    <n v="22"/>
    <n v="2"/>
    <n v="22"/>
    <n v="1"/>
    <n v="269.99"/>
    <n v="0.05"/>
    <n v="269.94"/>
    <s v="Electra Girl's Hawaii 1 (16-inch) - 2015/2016"/>
    <x v="3"/>
  </r>
  <r>
    <n v="23"/>
    <n v="2"/>
    <n v="23"/>
    <n v="2"/>
    <n v="299.99"/>
    <n v="0.1"/>
    <n v="599.88"/>
    <s v="Electra Girl's Hawaii 1 (20-inch) - 2015/2016"/>
    <x v="3"/>
  </r>
  <r>
    <n v="24"/>
    <n v="2"/>
    <n v="18"/>
    <n v="2"/>
    <n v="449"/>
    <n v="7.0000000000000007E-2"/>
    <n v="897.93"/>
    <s v="Pure Cycles Western 3-Speed - Women's - 2015/2016"/>
    <x v="0"/>
  </r>
  <r>
    <n v="25"/>
    <n v="1"/>
    <n v="23"/>
    <n v="2"/>
    <n v="299.99"/>
    <n v="0.2"/>
    <n v="599.78"/>
    <s v="Electra Girl's Hawaii 1 (20-inch) - 2015/2016"/>
    <x v="3"/>
  </r>
  <r>
    <n v="26"/>
    <n v="4"/>
    <n v="21"/>
    <n v="2"/>
    <n v="269.99"/>
    <n v="7.0000000000000007E-2"/>
    <n v="539.91"/>
    <s v="Electra Cruiser 1 (24-Inch) - 2016"/>
    <x v="3"/>
  </r>
  <r>
    <n v="27"/>
    <n v="3"/>
    <n v="26"/>
    <n v="2"/>
    <n v="599.99"/>
    <n v="7.0000000000000007E-2"/>
    <n v="1199.9100000000001"/>
    <s v="Electra Townie Original 7D EQ - 2016"/>
    <x v="2"/>
  </r>
  <r>
    <n v="28"/>
    <n v="3"/>
    <n v="14"/>
    <n v="2"/>
    <n v="269.99"/>
    <n v="0.1"/>
    <n v="539.88"/>
    <s v="Electra Girl's Hawaii 1 (16-inch) - 2015/2016"/>
    <x v="0"/>
  </r>
  <r>
    <n v="29"/>
    <n v="1"/>
    <n v="24"/>
    <n v="2"/>
    <n v="549.99"/>
    <n v="0.05"/>
    <n v="1099.93"/>
    <s v="Electra Townie Original 21D - 2016"/>
    <x v="2"/>
  </r>
  <r>
    <n v="30"/>
    <n v="1"/>
    <n v="26"/>
    <n v="1"/>
    <n v="599.99"/>
    <n v="0.05"/>
    <n v="599.94000000000005"/>
    <s v="Electra Townie Original 7D EQ - 2016"/>
    <x v="2"/>
  </r>
  <r>
    <n v="31"/>
    <n v="1"/>
    <n v="11"/>
    <n v="2"/>
    <n v="1680.99"/>
    <n v="0.05"/>
    <n v="3361.93"/>
    <s v="Surly Straggler 650b - 2016"/>
    <x v="4"/>
  </r>
  <r>
    <n v="32"/>
    <n v="3"/>
    <n v="25"/>
    <n v="2"/>
    <n v="499.99"/>
    <n v="0.1"/>
    <n v="999.88"/>
    <s v="Electra Townie Original 7D - 2015/2016"/>
    <x v="2"/>
  </r>
  <r>
    <n v="33"/>
    <n v="1"/>
    <n v="23"/>
    <n v="2"/>
    <n v="299.99"/>
    <n v="7.0000000000000007E-2"/>
    <n v="599.91"/>
    <s v="Electra Girl's Hawaii 1 (20-inch) - 2015/2016"/>
    <x v="3"/>
  </r>
  <r>
    <n v="34"/>
    <n v="3"/>
    <n v="17"/>
    <n v="2"/>
    <n v="429"/>
    <n v="0.2"/>
    <n v="857.8"/>
    <s v="Pure Cycles Vine 8-Speed - 2016"/>
    <x v="0"/>
  </r>
  <r>
    <n v="35"/>
    <n v="5"/>
    <n v="22"/>
    <n v="1"/>
    <n v="269.99"/>
    <n v="7.0000000000000007E-2"/>
    <n v="269.92"/>
    <s v="Electra Girl's Hawaii 1 (16-inch) - 2015/2016"/>
    <x v="3"/>
  </r>
  <r>
    <n v="36"/>
    <n v="1"/>
    <n v="9"/>
    <n v="1"/>
    <n v="2999.99"/>
    <n v="7.0000000000000007E-2"/>
    <n v="2999.9199999999996"/>
    <s v="Trek Conduit+ - 2016"/>
    <x v="5"/>
  </r>
  <r>
    <n v="37"/>
    <n v="1"/>
    <n v="16"/>
    <n v="2"/>
    <n v="599.99"/>
    <n v="0.05"/>
    <n v="1199.93"/>
    <s v="Electra Townie Original 7D EQ - 2016"/>
    <x v="0"/>
  </r>
  <r>
    <n v="38"/>
    <n v="3"/>
    <n v="25"/>
    <n v="1"/>
    <n v="499.99"/>
    <n v="0.2"/>
    <n v="499.79"/>
    <s v="Electra Townie Original 7D - 2015/2016"/>
    <x v="2"/>
  </r>
  <r>
    <n v="39"/>
    <n v="1"/>
    <n v="22"/>
    <n v="2"/>
    <n v="269.99"/>
    <n v="0.2"/>
    <n v="539.78"/>
    <s v="Electra Girl's Hawaii 1 (16-inch) - 2015/2016"/>
    <x v="3"/>
  </r>
  <r>
    <n v="40"/>
    <n v="1"/>
    <n v="17"/>
    <n v="1"/>
    <n v="429"/>
    <n v="0.2"/>
    <n v="428.8"/>
    <s v="Pure Cycles Vine 8-Speed - 2016"/>
    <x v="0"/>
  </r>
  <r>
    <n v="41"/>
    <n v="1"/>
    <n v="5"/>
    <n v="1"/>
    <n v="1320.99"/>
    <n v="0.1"/>
    <n v="1320.89"/>
    <s v="Heller Shagamaw Frame - 2016"/>
    <x v="1"/>
  </r>
  <r>
    <n v="42"/>
    <n v="1"/>
    <n v="19"/>
    <n v="1"/>
    <n v="449"/>
    <n v="0.05"/>
    <n v="448.95"/>
    <s v="Pure Cycles William 3-Speed - 2016"/>
    <x v="0"/>
  </r>
  <r>
    <n v="43"/>
    <n v="1"/>
    <n v="13"/>
    <n v="2"/>
    <n v="269.99"/>
    <n v="0.1"/>
    <n v="539.88"/>
    <s v="Electra Cruiser 1 (24-Inch) - 2016"/>
    <x v="0"/>
  </r>
  <r>
    <n v="44"/>
    <n v="1"/>
    <n v="7"/>
    <n v="1"/>
    <n v="3999.99"/>
    <n v="0.1"/>
    <n v="3999.89"/>
    <s v="Trek Slash 8 27.5 - 2016"/>
    <x v="1"/>
  </r>
  <r>
    <n v="45"/>
    <n v="1"/>
    <n v="4"/>
    <n v="2"/>
    <n v="2899.99"/>
    <n v="0.2"/>
    <n v="5799.78"/>
    <s v="Trek Fuel EX 8 29 - 2016"/>
    <x v="1"/>
  </r>
  <r>
    <n v="46"/>
    <n v="1"/>
    <n v="17"/>
    <n v="1"/>
    <n v="429"/>
    <n v="0.1"/>
    <n v="428.9"/>
    <s v="Pure Cycles Vine 8-Speed - 2016"/>
    <x v="0"/>
  </r>
  <r>
    <n v="47"/>
    <n v="1"/>
    <n v="6"/>
    <n v="1"/>
    <n v="469.99"/>
    <n v="0.05"/>
    <n v="469.94"/>
    <s v="Surly Ice Cream Truck Frameset - 2016"/>
    <x v="1"/>
  </r>
  <r>
    <n v="48"/>
    <n v="1"/>
    <n v="11"/>
    <n v="1"/>
    <n v="1680.99"/>
    <n v="0.1"/>
    <n v="1680.89"/>
    <s v="Surly Straggler 650b - 2016"/>
    <x v="4"/>
  </r>
  <r>
    <n v="49"/>
    <n v="1"/>
    <n v="13"/>
    <n v="2"/>
    <n v="269.99"/>
    <n v="7.0000000000000007E-2"/>
    <n v="539.91"/>
    <s v="Electra Cruiser 1 (24-Inch) - 2016"/>
    <x v="0"/>
  </r>
  <r>
    <n v="50"/>
    <n v="1"/>
    <n v="3"/>
    <n v="1"/>
    <n v="999.99"/>
    <n v="0.05"/>
    <n v="999.94"/>
    <s v="Surly Wednesday Frameset - 2016"/>
    <x v="1"/>
  </r>
  <r>
    <n v="51"/>
    <n v="1"/>
    <n v="13"/>
    <n v="1"/>
    <n v="269.99"/>
    <n v="0.05"/>
    <n v="269.94"/>
    <s v="Electra Cruiser 1 (24-Inch) - 2016"/>
    <x v="0"/>
  </r>
  <r>
    <n v="52"/>
    <n v="1"/>
    <n v="25"/>
    <n v="1"/>
    <n v="499.99"/>
    <n v="7.0000000000000007E-2"/>
    <n v="499.92"/>
    <s v="Electra Townie Original 7D - 2015/2016"/>
    <x v="2"/>
  </r>
  <r>
    <n v="53"/>
    <n v="1"/>
    <n v="8"/>
    <n v="2"/>
    <n v="1799.99"/>
    <n v="0.2"/>
    <n v="3599.78"/>
    <s v="Trek Remedy 29 Carbon Frameset - 2016"/>
    <x v="1"/>
  </r>
  <r>
    <n v="54"/>
    <n v="1"/>
    <n v="26"/>
    <n v="2"/>
    <n v="599.99"/>
    <n v="0.2"/>
    <n v="1199.78"/>
    <s v="Electra Townie Original 7D EQ - 2016"/>
    <x v="2"/>
  </r>
  <r>
    <n v="55"/>
    <n v="1"/>
    <n v="21"/>
    <n v="1"/>
    <n v="269.99"/>
    <n v="0.05"/>
    <n v="269.94"/>
    <s v="Electra Cruiser 1 (24-Inch) - 2016"/>
    <x v="3"/>
  </r>
  <r>
    <n v="56"/>
    <n v="1"/>
    <n v="20"/>
    <n v="2"/>
    <n v="599.99"/>
    <n v="7.0000000000000007E-2"/>
    <n v="1199.9100000000001"/>
    <s v="Electra Townie Original 7D EQ - Women's - 2016"/>
    <x v="0"/>
  </r>
  <r>
    <n v="57"/>
    <n v="1"/>
    <n v="23"/>
    <n v="2"/>
    <n v="299.99"/>
    <n v="0.1"/>
    <n v="599.88"/>
    <s v="Electra Girl's Hawaii 1 (20-inch) - 2015/2016"/>
    <x v="3"/>
  </r>
  <r>
    <n v="58"/>
    <n v="1"/>
    <n v="14"/>
    <n v="2"/>
    <n v="269.99"/>
    <n v="0.05"/>
    <n v="539.93000000000006"/>
    <s v="Electra Girl's Hawaii 1 (16-inch) - 2015/2016"/>
    <x v="0"/>
  </r>
  <r>
    <n v="59"/>
    <n v="1"/>
    <n v="21"/>
    <n v="1"/>
    <n v="269.99"/>
    <n v="0.05"/>
    <n v="269.94"/>
    <s v="Electra Cruiser 1 (24-Inch) - 2016"/>
    <x v="3"/>
  </r>
  <r>
    <n v="60"/>
    <n v="1"/>
    <n v="14"/>
    <n v="2"/>
    <n v="269.99"/>
    <n v="0.05"/>
    <n v="539.93000000000006"/>
    <s v="Electra Girl's Hawaii 1 (16-inch) - 2015/2016"/>
    <x v="0"/>
  </r>
  <r>
    <n v="61"/>
    <n v="1"/>
    <n v="25"/>
    <n v="1"/>
    <n v="499.99"/>
    <n v="0.1"/>
    <n v="499.89"/>
    <s v="Electra Townie Original 7D - 2015/2016"/>
    <x v="2"/>
  </r>
  <r>
    <n v="62"/>
    <n v="1"/>
    <n v="14"/>
    <n v="1"/>
    <n v="269.99"/>
    <n v="7.0000000000000007E-2"/>
    <n v="269.92"/>
    <s v="Electra Girl's Hawaii 1 (16-inch) - 2015/2016"/>
    <x v="0"/>
  </r>
  <r>
    <n v="63"/>
    <n v="1"/>
    <n v="25"/>
    <n v="2"/>
    <n v="499.99"/>
    <n v="0.1"/>
    <n v="999.88"/>
    <s v="Electra Townie Original 7D - 2015/2016"/>
    <x v="2"/>
  </r>
  <r>
    <n v="64"/>
    <n v="1"/>
    <n v="25"/>
    <n v="2"/>
    <n v="499.99"/>
    <n v="0.1"/>
    <n v="999.88"/>
    <s v="Electra Townie Original 7D - 2015/2016"/>
    <x v="2"/>
  </r>
  <r>
    <n v="65"/>
    <n v="1"/>
    <n v="12"/>
    <n v="1"/>
    <n v="549.99"/>
    <n v="0.1"/>
    <n v="549.89"/>
    <s v="Electra Townie Original 21D - 2016"/>
    <x v="0"/>
  </r>
  <r>
    <n v="66"/>
    <n v="1"/>
    <n v="2"/>
    <n v="1"/>
    <n v="749.99"/>
    <n v="0.2"/>
    <n v="749.79"/>
    <s v="Ritchey Timberwolf Frameset - 2016"/>
    <x v="1"/>
  </r>
  <r>
    <n v="67"/>
    <n v="1"/>
    <n v="23"/>
    <n v="2"/>
    <n v="299.99"/>
    <n v="0.2"/>
    <n v="599.78"/>
    <s v="Electra Girl's Hawaii 1 (20-inch) - 2015/2016"/>
    <x v="3"/>
  </r>
  <r>
    <n v="68"/>
    <n v="1"/>
    <n v="13"/>
    <n v="2"/>
    <n v="269.99"/>
    <n v="7.0000000000000007E-2"/>
    <n v="539.91"/>
    <s v="Electra Cruiser 1 (24-Inch) - 2016"/>
    <x v="0"/>
  </r>
  <r>
    <n v="69"/>
    <n v="1"/>
    <n v="22"/>
    <n v="2"/>
    <n v="269.99"/>
    <n v="0.1"/>
    <n v="539.88"/>
    <s v="Electra Girl's Hawaii 1 (16-inch) - 2015/2016"/>
    <x v="3"/>
  </r>
  <r>
    <n v="70"/>
    <n v="1"/>
    <n v="3"/>
    <n v="2"/>
    <n v="999.99"/>
    <n v="0.05"/>
    <n v="1999.93"/>
    <s v="Surly Wednesday Frameset - 2016"/>
    <x v="1"/>
  </r>
  <r>
    <n v="71"/>
    <n v="1"/>
    <n v="26"/>
    <n v="2"/>
    <n v="599.99"/>
    <n v="0.05"/>
    <n v="1199.93"/>
    <s v="Electra Townie Original 7D EQ - 2016"/>
    <x v="2"/>
  </r>
  <r>
    <n v="72"/>
    <n v="1"/>
    <n v="17"/>
    <n v="2"/>
    <n v="429"/>
    <n v="7.0000000000000007E-2"/>
    <n v="857.93"/>
    <s v="Pure Cycles Vine 8-Speed - 2016"/>
    <x v="0"/>
  </r>
  <r>
    <n v="73"/>
    <n v="1"/>
    <n v="22"/>
    <n v="1"/>
    <n v="269.99"/>
    <n v="7.0000000000000007E-2"/>
    <n v="269.92"/>
    <s v="Electra Girl's Hawaii 1 (16-inch) - 2015/2016"/>
    <x v="3"/>
  </r>
  <r>
    <n v="74"/>
    <n v="1"/>
    <n v="16"/>
    <n v="2"/>
    <n v="599.99"/>
    <n v="0.05"/>
    <n v="1199.93"/>
    <s v="Electra Townie Original 7D EQ - 2016"/>
    <x v="0"/>
  </r>
  <r>
    <n v="75"/>
    <n v="1"/>
    <n v="3"/>
    <n v="1"/>
    <n v="999.99"/>
    <n v="0.1"/>
    <n v="999.89"/>
    <s v="Surly Wednesday Frameset - 2016"/>
    <x v="1"/>
  </r>
  <r>
    <n v="76"/>
    <n v="1"/>
    <n v="12"/>
    <n v="1"/>
    <n v="549.99"/>
    <n v="0.05"/>
    <n v="549.94000000000005"/>
    <s v="Electra Townie Original 21D - 2016"/>
    <x v="0"/>
  </r>
  <r>
    <n v="77"/>
    <n v="1"/>
    <n v="20"/>
    <n v="1"/>
    <n v="599.99"/>
    <n v="7.0000000000000007E-2"/>
    <n v="599.91999999999996"/>
    <s v="Electra Townie Original 7D EQ - Women's - 2016"/>
    <x v="0"/>
  </r>
  <r>
    <n v="78"/>
    <n v="1"/>
    <n v="17"/>
    <n v="1"/>
    <n v="429"/>
    <n v="7.0000000000000007E-2"/>
    <n v="428.93"/>
    <s v="Pure Cycles Vine 8-Speed - 2016"/>
    <x v="0"/>
  </r>
  <r>
    <n v="79"/>
    <n v="1"/>
    <n v="9"/>
    <n v="2"/>
    <n v="2999.99"/>
    <n v="0.1"/>
    <n v="5999.8799999999992"/>
    <s v="Trek Conduit+ - 2016"/>
    <x v="5"/>
  </r>
  <r>
    <n v="80"/>
    <n v="1"/>
    <n v="26"/>
    <n v="1"/>
    <n v="599.99"/>
    <n v="0.1"/>
    <n v="599.89"/>
    <s v="Electra Townie Original 7D EQ - 2016"/>
    <x v="2"/>
  </r>
  <r>
    <n v="81"/>
    <n v="1"/>
    <n v="10"/>
    <n v="2"/>
    <n v="1549"/>
    <n v="0.2"/>
    <n v="3097.8"/>
    <s v="Surly Straggler - 2016"/>
    <x v="4"/>
  </r>
  <r>
    <n v="82"/>
    <n v="1"/>
    <n v="25"/>
    <n v="2"/>
    <n v="499.99"/>
    <n v="0.1"/>
    <n v="999.88"/>
    <s v="Electra Townie Original 7D - 2015/2016"/>
    <x v="2"/>
  </r>
  <r>
    <n v="83"/>
    <n v="1"/>
    <n v="20"/>
    <n v="1"/>
    <n v="599.99"/>
    <n v="0.2"/>
    <n v="599.79"/>
    <s v="Electra Townie Original 7D EQ - Women's - 2016"/>
    <x v="0"/>
  </r>
  <r>
    <n v="84"/>
    <n v="1"/>
    <n v="23"/>
    <n v="2"/>
    <n v="299.99"/>
    <n v="7.0000000000000007E-2"/>
    <n v="599.91"/>
    <s v="Electra Girl's Hawaii 1 (20-inch) - 2015/2016"/>
    <x v="3"/>
  </r>
  <r>
    <n v="85"/>
    <n v="1"/>
    <n v="4"/>
    <n v="2"/>
    <n v="2899.99"/>
    <n v="0.05"/>
    <n v="5799.9299999999994"/>
    <s v="Trek Fuel EX 8 29 - 2016"/>
    <x v="1"/>
  </r>
  <r>
    <n v="86"/>
    <n v="1"/>
    <n v="9"/>
    <n v="2"/>
    <n v="2999.99"/>
    <n v="0.1"/>
    <n v="5999.8799999999992"/>
    <s v="Trek Conduit+ - 2016"/>
    <x v="5"/>
  </r>
  <r>
    <n v="87"/>
    <n v="1"/>
    <n v="20"/>
    <n v="2"/>
    <n v="599.99"/>
    <n v="0.2"/>
    <n v="1199.78"/>
    <s v="Electra Townie Original 7D EQ - Women's - 2016"/>
    <x v="0"/>
  </r>
  <r>
    <n v="88"/>
    <n v="1"/>
    <n v="10"/>
    <n v="1"/>
    <n v="1549"/>
    <n v="7.0000000000000007E-2"/>
    <n v="1548.93"/>
    <s v="Surly Straggler - 2016"/>
    <x v="4"/>
  </r>
  <r>
    <n v="89"/>
    <n v="1"/>
    <n v="5"/>
    <n v="1"/>
    <n v="1320.99"/>
    <n v="0.05"/>
    <n v="1320.94"/>
    <s v="Heller Shagamaw Frame - 2016"/>
    <x v="1"/>
  </r>
  <r>
    <n v="90"/>
    <n v="1"/>
    <n v="3"/>
    <n v="1"/>
    <n v="999.99"/>
    <n v="0.1"/>
    <n v="999.89"/>
    <s v="Surly Wednesday Frameset - 2016"/>
    <x v="1"/>
  </r>
  <r>
    <n v="91"/>
    <n v="1"/>
    <n v="11"/>
    <n v="1"/>
    <n v="1680.99"/>
    <n v="0.1"/>
    <n v="1680.89"/>
    <s v="Surly Straggler 650b - 2016"/>
    <x v="4"/>
  </r>
  <r>
    <n v="92"/>
    <n v="1"/>
    <n v="8"/>
    <n v="1"/>
    <n v="1799.99"/>
    <n v="0.1"/>
    <n v="1799.89"/>
    <s v="Trek Remedy 29 Carbon Frameset - 2016"/>
    <x v="1"/>
  </r>
  <r>
    <n v="93"/>
    <n v="1"/>
    <n v="22"/>
    <n v="2"/>
    <n v="269.99"/>
    <n v="7.0000000000000007E-2"/>
    <n v="539.91"/>
    <s v="Electra Girl's Hawaii 1 (16-inch) - 2015/2016"/>
    <x v="3"/>
  </r>
  <r>
    <n v="94"/>
    <n v="1"/>
    <n v="12"/>
    <n v="1"/>
    <n v="549.99"/>
    <n v="0.05"/>
    <n v="549.94000000000005"/>
    <s v="Electra Townie Original 21D - 2016"/>
    <x v="0"/>
  </r>
  <r>
    <n v="95"/>
    <n v="1"/>
    <n v="10"/>
    <n v="2"/>
    <n v="1549"/>
    <n v="0.2"/>
    <n v="3097.8"/>
    <s v="Surly Straggler - 2016"/>
    <x v="4"/>
  </r>
  <r>
    <n v="96"/>
    <n v="1"/>
    <n v="26"/>
    <n v="1"/>
    <n v="599.99"/>
    <n v="0.1"/>
    <n v="599.89"/>
    <s v="Electra Townie Original 7D EQ - 2016"/>
    <x v="2"/>
  </r>
  <r>
    <n v="97"/>
    <n v="1"/>
    <n v="20"/>
    <n v="2"/>
    <n v="599.99"/>
    <n v="0.2"/>
    <n v="1199.78"/>
    <s v="Electra Townie Original 7D EQ - Women's - 2016"/>
    <x v="0"/>
  </r>
  <r>
    <n v="98"/>
    <n v="1"/>
    <n v="19"/>
    <n v="1"/>
    <n v="449"/>
    <n v="7.0000000000000007E-2"/>
    <n v="448.93"/>
    <s v="Pure Cycles William 3-Speed - 2016"/>
    <x v="0"/>
  </r>
  <r>
    <n v="99"/>
    <n v="1"/>
    <n v="13"/>
    <n v="1"/>
    <n v="269.99"/>
    <n v="0.2"/>
    <n v="269.79000000000002"/>
    <s v="Electra Cruiser 1 (24-Inch) - 2016"/>
    <x v="0"/>
  </r>
  <r>
    <n v="100"/>
    <n v="1"/>
    <n v="12"/>
    <n v="2"/>
    <n v="549.99"/>
    <n v="0.05"/>
    <n v="1099.93"/>
    <s v="Electra Townie Original 21D - 2016"/>
    <x v="0"/>
  </r>
  <r>
    <n v="101"/>
    <n v="1"/>
    <n v="12"/>
    <n v="2"/>
    <n v="549.99"/>
    <n v="0.2"/>
    <n v="1099.78"/>
    <s v="Electra Townie Original 21D - 2016"/>
    <x v="0"/>
  </r>
  <r>
    <n v="102"/>
    <n v="1"/>
    <n v="15"/>
    <n v="1"/>
    <n v="529.99"/>
    <n v="0.05"/>
    <n v="529.94000000000005"/>
    <s v="Electra Moto 1 - 2016"/>
    <x v="0"/>
  </r>
  <r>
    <n v="103"/>
    <n v="1"/>
    <n v="17"/>
    <n v="1"/>
    <n v="429"/>
    <n v="7.0000000000000007E-2"/>
    <n v="428.93"/>
    <s v="Pure Cycles Vine 8-Speed - 2016"/>
    <x v="0"/>
  </r>
  <r>
    <n v="104"/>
    <n v="1"/>
    <n v="19"/>
    <n v="2"/>
    <n v="449"/>
    <n v="0.1"/>
    <n v="897.9"/>
    <s v="Pure Cycles William 3-Speed - 2016"/>
    <x v="0"/>
  </r>
  <r>
    <n v="105"/>
    <n v="1"/>
    <n v="11"/>
    <n v="2"/>
    <n v="1680.99"/>
    <n v="0.2"/>
    <n v="3361.78"/>
    <s v="Surly Straggler 650b - 2016"/>
    <x v="4"/>
  </r>
  <r>
    <n v="106"/>
    <n v="1"/>
    <n v="17"/>
    <n v="1"/>
    <n v="429"/>
    <n v="0.1"/>
    <n v="428.9"/>
    <s v="Pure Cycles Vine 8-Speed - 2016"/>
    <x v="0"/>
  </r>
  <r>
    <n v="107"/>
    <n v="1"/>
    <n v="19"/>
    <n v="1"/>
    <n v="449"/>
    <n v="0.2"/>
    <n v="448.8"/>
    <s v="Pure Cycles William 3-Speed - 2016"/>
    <x v="0"/>
  </r>
  <r>
    <n v="108"/>
    <n v="1"/>
    <n v="11"/>
    <n v="1"/>
    <n v="1680.99"/>
    <n v="0.1"/>
    <n v="1680.89"/>
    <s v="Surly Straggler 650b - 2016"/>
    <x v="4"/>
  </r>
  <r>
    <n v="109"/>
    <n v="1"/>
    <n v="22"/>
    <n v="2"/>
    <n v="269.99"/>
    <n v="0.1"/>
    <n v="539.88"/>
    <s v="Electra Girl's Hawaii 1 (16-inch) - 2015/2016"/>
    <x v="3"/>
  </r>
  <r>
    <n v="110"/>
    <n v="1"/>
    <n v="14"/>
    <n v="1"/>
    <n v="269.99"/>
    <n v="0.1"/>
    <n v="269.89"/>
    <s v="Electra Girl's Hawaii 1 (16-inch) - 2015/2016"/>
    <x v="0"/>
  </r>
  <r>
    <n v="111"/>
    <n v="1"/>
    <n v="14"/>
    <n v="1"/>
    <n v="269.99"/>
    <n v="0.1"/>
    <n v="269.89"/>
    <s v="Electra Girl's Hawaii 1 (16-inch) - 2015/2016"/>
    <x v="0"/>
  </r>
  <r>
    <n v="112"/>
    <n v="1"/>
    <n v="23"/>
    <n v="2"/>
    <n v="299.99"/>
    <n v="0.2"/>
    <n v="599.78"/>
    <s v="Electra Girl's Hawaii 1 (20-inch) - 2015/2016"/>
    <x v="3"/>
  </r>
  <r>
    <n v="113"/>
    <n v="1"/>
    <n v="12"/>
    <n v="2"/>
    <n v="549.99"/>
    <n v="7.0000000000000007E-2"/>
    <n v="1099.9100000000001"/>
    <s v="Electra Townie Original 21D - 2016"/>
    <x v="0"/>
  </r>
  <r>
    <n v="114"/>
    <n v="1"/>
    <n v="12"/>
    <n v="1"/>
    <n v="549.99"/>
    <n v="0.05"/>
    <n v="549.94000000000005"/>
    <s v="Electra Townie Original 21D - 2016"/>
    <x v="0"/>
  </r>
  <r>
    <n v="115"/>
    <n v="1"/>
    <n v="22"/>
    <n v="1"/>
    <n v="269.99"/>
    <n v="0.2"/>
    <n v="269.79000000000002"/>
    <s v="Electra Girl's Hawaii 1 (16-inch) - 2015/2016"/>
    <x v="3"/>
  </r>
  <r>
    <n v="116"/>
    <n v="1"/>
    <n v="26"/>
    <n v="1"/>
    <n v="599.99"/>
    <n v="0.05"/>
    <n v="599.94000000000005"/>
    <s v="Electra Townie Original 7D EQ - 2016"/>
    <x v="2"/>
  </r>
  <r>
    <n v="117"/>
    <n v="1"/>
    <n v="22"/>
    <n v="2"/>
    <n v="269.99"/>
    <n v="0.2"/>
    <n v="539.78"/>
    <s v="Electra Girl's Hawaii 1 (16-inch) - 2015/2016"/>
    <x v="3"/>
  </r>
  <r>
    <n v="118"/>
    <n v="1"/>
    <n v="18"/>
    <n v="1"/>
    <n v="449"/>
    <n v="7.0000000000000007E-2"/>
    <n v="448.93"/>
    <s v="Pure Cycles Western 3-Speed - Women's - 2015/2016"/>
    <x v="0"/>
  </r>
  <r>
    <n v="119"/>
    <n v="1"/>
    <n v="25"/>
    <n v="1"/>
    <n v="499.99"/>
    <n v="0.05"/>
    <n v="499.94"/>
    <s v="Electra Townie Original 7D - 2015/2016"/>
    <x v="2"/>
  </r>
  <r>
    <n v="120"/>
    <n v="1"/>
    <n v="13"/>
    <n v="2"/>
    <n v="269.99"/>
    <n v="0.05"/>
    <n v="539.93000000000006"/>
    <s v="Electra Cruiser 1 (24-Inch) - 2016"/>
    <x v="0"/>
  </r>
  <r>
    <n v="121"/>
    <n v="1"/>
    <n v="5"/>
    <n v="1"/>
    <n v="1320.99"/>
    <n v="0.2"/>
    <n v="1320.79"/>
    <s v="Heller Shagamaw Frame - 2016"/>
    <x v="1"/>
  </r>
  <r>
    <n v="122"/>
    <n v="1"/>
    <n v="16"/>
    <n v="1"/>
    <n v="599.99"/>
    <n v="0.1"/>
    <n v="599.89"/>
    <s v="Electra Townie Original 7D EQ - 2016"/>
    <x v="0"/>
  </r>
  <r>
    <n v="123"/>
    <n v="1"/>
    <n v="12"/>
    <n v="2"/>
    <n v="549.99"/>
    <n v="0.1"/>
    <n v="1099.8800000000001"/>
    <s v="Electra Townie Original 21D - 2016"/>
    <x v="0"/>
  </r>
  <r>
    <n v="124"/>
    <n v="1"/>
    <n v="16"/>
    <n v="1"/>
    <n v="599.99"/>
    <n v="0.05"/>
    <n v="599.94000000000005"/>
    <s v="Electra Townie Original 7D EQ - 2016"/>
    <x v="0"/>
  </r>
  <r>
    <n v="125"/>
    <n v="1"/>
    <n v="17"/>
    <n v="1"/>
    <n v="429"/>
    <n v="0.1"/>
    <n v="428.9"/>
    <s v="Pure Cycles Vine 8-Speed - 2016"/>
    <x v="0"/>
  </r>
  <r>
    <n v="126"/>
    <n v="1"/>
    <n v="9"/>
    <n v="2"/>
    <n v="2999.99"/>
    <n v="0.05"/>
    <n v="5999.9299999999994"/>
    <s v="Trek Conduit+ - 2016"/>
    <x v="5"/>
  </r>
  <r>
    <n v="127"/>
    <n v="1"/>
    <n v="17"/>
    <n v="1"/>
    <n v="429"/>
    <n v="7.0000000000000007E-2"/>
    <n v="428.93"/>
    <s v="Pure Cycles Vine 8-Speed - 2016"/>
    <x v="0"/>
  </r>
  <r>
    <n v="128"/>
    <n v="1"/>
    <n v="24"/>
    <n v="2"/>
    <n v="549.99"/>
    <n v="0.1"/>
    <n v="1099.8800000000001"/>
    <s v="Electra Townie Original 21D - 2016"/>
    <x v="2"/>
  </r>
  <r>
    <n v="129"/>
    <n v="1"/>
    <n v="18"/>
    <n v="1"/>
    <n v="449"/>
    <n v="0.1"/>
    <n v="448.9"/>
    <s v="Pure Cycles Western 3-Speed - Women's - 2015/2016"/>
    <x v="0"/>
  </r>
  <r>
    <n v="130"/>
    <n v="1"/>
    <n v="26"/>
    <n v="1"/>
    <n v="599.99"/>
    <n v="0.05"/>
    <n v="599.94000000000005"/>
    <s v="Electra Townie Original 7D EQ - 2016"/>
    <x v="2"/>
  </r>
  <r>
    <n v="131"/>
    <n v="1"/>
    <n v="22"/>
    <n v="2"/>
    <n v="269.99"/>
    <n v="0.2"/>
    <n v="539.78"/>
    <s v="Electra Girl's Hawaii 1 (16-inch) - 2015/2016"/>
    <x v="3"/>
  </r>
  <r>
    <n v="132"/>
    <n v="1"/>
    <n v="2"/>
    <n v="2"/>
    <n v="749.99"/>
    <n v="0.05"/>
    <n v="1499.93"/>
    <s v="Ritchey Timberwolf Frameset - 2016"/>
    <x v="1"/>
  </r>
  <r>
    <n v="133"/>
    <n v="1"/>
    <n v="13"/>
    <n v="2"/>
    <n v="269.99"/>
    <n v="0.05"/>
    <n v="539.93000000000006"/>
    <s v="Electra Cruiser 1 (24-Inch) - 2016"/>
    <x v="0"/>
  </r>
  <r>
    <n v="134"/>
    <n v="1"/>
    <n v="19"/>
    <n v="2"/>
    <n v="449"/>
    <n v="0.1"/>
    <n v="897.9"/>
    <s v="Pure Cycles William 3-Speed - 2016"/>
    <x v="0"/>
  </r>
  <r>
    <n v="135"/>
    <n v="1"/>
    <n v="5"/>
    <n v="2"/>
    <n v="1320.99"/>
    <n v="0.05"/>
    <n v="2641.93"/>
    <s v="Heller Shagamaw Frame - 2016"/>
    <x v="1"/>
  </r>
  <r>
    <n v="136"/>
    <n v="1"/>
    <n v="7"/>
    <n v="2"/>
    <n v="3999.99"/>
    <n v="0.2"/>
    <n v="7999.78"/>
    <s v="Trek Slash 8 27.5 - 2016"/>
    <x v="1"/>
  </r>
  <r>
    <n v="137"/>
    <n v="1"/>
    <n v="23"/>
    <n v="1"/>
    <n v="299.99"/>
    <n v="7.0000000000000007E-2"/>
    <n v="299.92"/>
    <s v="Electra Girl's Hawaii 1 (20-inch) - 2015/2016"/>
    <x v="3"/>
  </r>
  <r>
    <n v="138"/>
    <n v="1"/>
    <n v="16"/>
    <n v="2"/>
    <n v="599.99"/>
    <n v="0.1"/>
    <n v="1199.8800000000001"/>
    <s v="Electra Townie Original 7D EQ - 2016"/>
    <x v="0"/>
  </r>
  <r>
    <n v="139"/>
    <n v="1"/>
    <n v="19"/>
    <n v="2"/>
    <n v="449"/>
    <n v="7.0000000000000007E-2"/>
    <n v="897.93"/>
    <s v="Pure Cycles William 3-Speed - 2016"/>
    <x v="0"/>
  </r>
  <r>
    <n v="140"/>
    <n v="1"/>
    <n v="15"/>
    <n v="1"/>
    <n v="529.99"/>
    <n v="0.2"/>
    <n v="529.79"/>
    <s v="Electra Moto 1 - 2016"/>
    <x v="0"/>
  </r>
  <r>
    <n v="141"/>
    <n v="1"/>
    <n v="18"/>
    <n v="1"/>
    <n v="449"/>
    <n v="0.2"/>
    <n v="448.8"/>
    <s v="Pure Cycles Western 3-Speed - Women's - 2015/2016"/>
    <x v="0"/>
  </r>
  <r>
    <n v="142"/>
    <n v="1"/>
    <n v="16"/>
    <n v="2"/>
    <n v="599.99"/>
    <n v="0.1"/>
    <n v="1199.8800000000001"/>
    <s v="Electra Townie Original 7D EQ - 2016"/>
    <x v="0"/>
  </r>
  <r>
    <n v="143"/>
    <n v="1"/>
    <n v="6"/>
    <n v="1"/>
    <n v="469.99"/>
    <n v="0.2"/>
    <n v="469.79"/>
    <s v="Surly Ice Cream Truck Frameset - 2016"/>
    <x v="1"/>
  </r>
  <r>
    <n v="144"/>
    <n v="1"/>
    <n v="8"/>
    <n v="2"/>
    <n v="1799.99"/>
    <n v="0.05"/>
    <n v="3599.93"/>
    <s v="Trek Remedy 29 Carbon Frameset - 2016"/>
    <x v="1"/>
  </r>
  <r>
    <n v="145"/>
    <n v="1"/>
    <n v="11"/>
    <n v="1"/>
    <n v="1680.99"/>
    <n v="0.2"/>
    <n v="1680.79"/>
    <s v="Surly Straggler 650b - 2016"/>
    <x v="4"/>
  </r>
  <r>
    <n v="146"/>
    <n v="1"/>
    <n v="3"/>
    <n v="2"/>
    <n v="999.99"/>
    <n v="0.2"/>
    <n v="1999.78"/>
    <s v="Surly Wednesday Frameset - 2016"/>
    <x v="1"/>
  </r>
  <r>
    <n v="147"/>
    <n v="1"/>
    <n v="26"/>
    <n v="2"/>
    <n v="599.99"/>
    <n v="0.2"/>
    <n v="1199.78"/>
    <s v="Electra Townie Original 7D EQ - 2016"/>
    <x v="2"/>
  </r>
  <r>
    <n v="148"/>
    <n v="1"/>
    <n v="14"/>
    <n v="1"/>
    <n v="269.99"/>
    <n v="0.05"/>
    <n v="269.94"/>
    <s v="Electra Girl's Hawaii 1 (16-inch) - 2015/2016"/>
    <x v="0"/>
  </r>
  <r>
    <n v="149"/>
    <n v="1"/>
    <n v="12"/>
    <n v="2"/>
    <n v="549.99"/>
    <n v="7.0000000000000007E-2"/>
    <n v="1099.9100000000001"/>
    <s v="Electra Townie Original 21D - 2016"/>
    <x v="0"/>
  </r>
  <r>
    <n v="150"/>
    <n v="1"/>
    <n v="7"/>
    <n v="1"/>
    <n v="3999.99"/>
    <n v="0.1"/>
    <n v="3999.89"/>
    <s v="Trek Slash 8 27.5 - 2016"/>
    <x v="1"/>
  </r>
  <r>
    <n v="151"/>
    <n v="1"/>
    <n v="17"/>
    <n v="1"/>
    <n v="429"/>
    <n v="0.1"/>
    <n v="428.9"/>
    <s v="Pure Cycles Vine 8-Speed - 2016"/>
    <x v="0"/>
  </r>
  <r>
    <n v="152"/>
    <n v="1"/>
    <n v="6"/>
    <n v="2"/>
    <n v="469.99"/>
    <n v="0.2"/>
    <n v="939.78"/>
    <s v="Surly Ice Cream Truck Frameset - 2016"/>
    <x v="1"/>
  </r>
  <r>
    <n v="153"/>
    <n v="1"/>
    <n v="16"/>
    <n v="1"/>
    <n v="599.99"/>
    <n v="7.0000000000000007E-2"/>
    <n v="599.91999999999996"/>
    <s v="Electra Townie Original 7D EQ - 2016"/>
    <x v="0"/>
  </r>
  <r>
    <n v="154"/>
    <n v="1"/>
    <n v="12"/>
    <n v="1"/>
    <n v="549.99"/>
    <n v="0.1"/>
    <n v="549.89"/>
    <s v="Electra Townie Original 21D - 2016"/>
    <x v="0"/>
  </r>
  <r>
    <n v="155"/>
    <n v="1"/>
    <n v="8"/>
    <n v="1"/>
    <n v="1799.99"/>
    <n v="0.1"/>
    <n v="1799.89"/>
    <s v="Trek Remedy 29 Carbon Frameset - 2016"/>
    <x v="1"/>
  </r>
  <r>
    <n v="156"/>
    <n v="1"/>
    <n v="18"/>
    <n v="2"/>
    <n v="449"/>
    <n v="0.2"/>
    <n v="897.8"/>
    <s v="Pure Cycles Western 3-Speed - Women's - 2015/2016"/>
    <x v="0"/>
  </r>
  <r>
    <n v="157"/>
    <n v="1"/>
    <n v="4"/>
    <n v="1"/>
    <n v="2899.99"/>
    <n v="0.1"/>
    <n v="2899.89"/>
    <s v="Trek Fuel EX 8 29 - 2016"/>
    <x v="1"/>
  </r>
  <r>
    <n v="158"/>
    <n v="1"/>
    <n v="24"/>
    <n v="1"/>
    <n v="549.99"/>
    <n v="0.1"/>
    <n v="549.89"/>
    <s v="Electra Townie Original 21D - 2016"/>
    <x v="2"/>
  </r>
  <r>
    <n v="159"/>
    <n v="1"/>
    <n v="13"/>
    <n v="1"/>
    <n v="269.99"/>
    <n v="0.2"/>
    <n v="269.79000000000002"/>
    <s v="Electra Cruiser 1 (24-Inch) - 2016"/>
    <x v="0"/>
  </r>
  <r>
    <n v="160"/>
    <n v="1"/>
    <n v="21"/>
    <n v="1"/>
    <n v="269.99"/>
    <n v="7.0000000000000007E-2"/>
    <n v="269.92"/>
    <s v="Electra Cruiser 1 (24-Inch) - 2016"/>
    <x v="3"/>
  </r>
  <r>
    <n v="161"/>
    <n v="1"/>
    <n v="24"/>
    <n v="2"/>
    <n v="549.99"/>
    <n v="7.0000000000000007E-2"/>
    <n v="1099.9100000000001"/>
    <s v="Electra Townie Original 21D - 2016"/>
    <x v="2"/>
  </r>
  <r>
    <n v="162"/>
    <n v="1"/>
    <n v="18"/>
    <n v="1"/>
    <n v="449"/>
    <n v="7.0000000000000007E-2"/>
    <n v="448.93"/>
    <s v="Pure Cycles Western 3-Speed - Women's - 2015/2016"/>
    <x v="0"/>
  </r>
  <r>
    <n v="163"/>
    <n v="1"/>
    <n v="12"/>
    <n v="1"/>
    <n v="549.99"/>
    <n v="0.1"/>
    <n v="549.89"/>
    <s v="Electra Townie Original 21D - 2016"/>
    <x v="0"/>
  </r>
  <r>
    <n v="164"/>
    <n v="1"/>
    <n v="4"/>
    <n v="2"/>
    <n v="2899.99"/>
    <n v="0.05"/>
    <n v="5799.9299999999994"/>
    <s v="Trek Fuel EX 8 29 - 2016"/>
    <x v="1"/>
  </r>
  <r>
    <n v="165"/>
    <n v="1"/>
    <n v="4"/>
    <n v="2"/>
    <n v="2899.99"/>
    <n v="0.05"/>
    <n v="5799.9299999999994"/>
    <s v="Trek Fuel EX 8 29 - 2016"/>
    <x v="1"/>
  </r>
  <r>
    <n v="166"/>
    <n v="1"/>
    <n v="10"/>
    <n v="2"/>
    <n v="1549"/>
    <n v="0.1"/>
    <n v="3097.9"/>
    <s v="Surly Straggler - 2016"/>
    <x v="4"/>
  </r>
  <r>
    <n v="167"/>
    <n v="1"/>
    <n v="12"/>
    <n v="1"/>
    <n v="549.99"/>
    <n v="0.05"/>
    <n v="549.94000000000005"/>
    <s v="Electra Townie Original 21D - 2016"/>
    <x v="0"/>
  </r>
  <r>
    <n v="168"/>
    <n v="1"/>
    <n v="6"/>
    <n v="1"/>
    <n v="469.99"/>
    <n v="0.1"/>
    <n v="469.89"/>
    <s v="Surly Ice Cream Truck Frameset - 2016"/>
    <x v="1"/>
  </r>
  <r>
    <n v="169"/>
    <n v="1"/>
    <n v="20"/>
    <n v="2"/>
    <n v="599.99"/>
    <n v="0.1"/>
    <n v="1199.8800000000001"/>
    <s v="Electra Townie Original 7D EQ - Women's - 2016"/>
    <x v="0"/>
  </r>
  <r>
    <n v="170"/>
    <n v="1"/>
    <n v="12"/>
    <n v="2"/>
    <n v="549.99"/>
    <n v="0.1"/>
    <n v="1099.8800000000001"/>
    <s v="Electra Townie Original 21D - 2016"/>
    <x v="0"/>
  </r>
  <r>
    <n v="171"/>
    <n v="1"/>
    <n v="8"/>
    <n v="1"/>
    <n v="1799.99"/>
    <n v="0.05"/>
    <n v="1799.94"/>
    <s v="Trek Remedy 29 Carbon Frameset - 2016"/>
    <x v="1"/>
  </r>
  <r>
    <n v="172"/>
    <n v="1"/>
    <n v="23"/>
    <n v="1"/>
    <n v="299.99"/>
    <n v="7.0000000000000007E-2"/>
    <n v="299.92"/>
    <s v="Electra Girl's Hawaii 1 (20-inch) - 2015/2016"/>
    <x v="3"/>
  </r>
  <r>
    <n v="173"/>
    <n v="1"/>
    <n v="14"/>
    <n v="1"/>
    <n v="269.99"/>
    <n v="0.05"/>
    <n v="269.94"/>
    <s v="Electra Girl's Hawaii 1 (16-inch) - 2015/2016"/>
    <x v="0"/>
  </r>
  <r>
    <n v="174"/>
    <n v="1"/>
    <n v="22"/>
    <n v="2"/>
    <n v="269.99"/>
    <n v="0.2"/>
    <n v="539.78"/>
    <s v="Electra Girl's Hawaii 1 (16-inch) - 2015/2016"/>
    <x v="3"/>
  </r>
  <r>
    <n v="175"/>
    <n v="1"/>
    <n v="5"/>
    <n v="1"/>
    <n v="1320.99"/>
    <n v="0.1"/>
    <n v="1320.89"/>
    <s v="Heller Shagamaw Frame - 2016"/>
    <x v="1"/>
  </r>
  <r>
    <n v="176"/>
    <n v="1"/>
    <n v="2"/>
    <n v="2"/>
    <n v="749.99"/>
    <n v="7.0000000000000007E-2"/>
    <n v="1499.91"/>
    <s v="Ritchey Timberwolf Frameset - 2016"/>
    <x v="1"/>
  </r>
  <r>
    <n v="177"/>
    <n v="1"/>
    <n v="20"/>
    <n v="2"/>
    <n v="599.99"/>
    <n v="0.1"/>
    <n v="1199.8800000000001"/>
    <s v="Electra Townie Original 7D EQ - Women's - 2016"/>
    <x v="0"/>
  </r>
  <r>
    <n v="178"/>
    <n v="1"/>
    <n v="10"/>
    <n v="2"/>
    <n v="1549"/>
    <n v="0.2"/>
    <n v="3097.8"/>
    <s v="Surly Straggler - 2016"/>
    <x v="4"/>
  </r>
  <r>
    <n v="179"/>
    <n v="1"/>
    <n v="13"/>
    <n v="2"/>
    <n v="269.99"/>
    <n v="0.05"/>
    <n v="539.93000000000006"/>
    <s v="Electra Cruiser 1 (24-Inch) - 2016"/>
    <x v="0"/>
  </r>
  <r>
    <n v="180"/>
    <n v="1"/>
    <n v="16"/>
    <n v="1"/>
    <n v="599.99"/>
    <n v="7.0000000000000007E-2"/>
    <n v="599.91999999999996"/>
    <s v="Electra Townie Original 7D EQ - 2016"/>
    <x v="0"/>
  </r>
  <r>
    <n v="181"/>
    <n v="1"/>
    <n v="10"/>
    <n v="1"/>
    <n v="1549"/>
    <n v="0.05"/>
    <n v="1548.95"/>
    <s v="Surly Straggler - 2016"/>
    <x v="4"/>
  </r>
  <r>
    <n v="182"/>
    <n v="1"/>
    <n v="25"/>
    <n v="2"/>
    <n v="499.99"/>
    <n v="0.05"/>
    <n v="999.93000000000006"/>
    <s v="Electra Townie Original 7D - 2015/2016"/>
    <x v="2"/>
  </r>
  <r>
    <n v="183"/>
    <n v="1"/>
    <n v="11"/>
    <n v="2"/>
    <n v="1680.99"/>
    <n v="0.2"/>
    <n v="3361.78"/>
    <s v="Surly Straggler 650b - 2016"/>
    <x v="4"/>
  </r>
  <r>
    <n v="184"/>
    <n v="1"/>
    <n v="4"/>
    <n v="1"/>
    <n v="2899.99"/>
    <n v="0.2"/>
    <n v="2899.79"/>
    <s v="Trek Fuel EX 8 29 - 2016"/>
    <x v="1"/>
  </r>
  <r>
    <n v="185"/>
    <n v="1"/>
    <n v="20"/>
    <n v="1"/>
    <n v="599.99"/>
    <n v="0.1"/>
    <n v="599.89"/>
    <s v="Electra Townie Original 7D EQ - Women's - 2016"/>
    <x v="0"/>
  </r>
  <r>
    <n v="186"/>
    <n v="1"/>
    <n v="4"/>
    <n v="1"/>
    <n v="2899.99"/>
    <n v="0.1"/>
    <n v="2899.89"/>
    <s v="Trek Fuel EX 8 29 - 2016"/>
    <x v="1"/>
  </r>
  <r>
    <n v="187"/>
    <n v="1"/>
    <n v="5"/>
    <n v="1"/>
    <n v="1320.99"/>
    <n v="0.05"/>
    <n v="1320.94"/>
    <s v="Heller Shagamaw Frame - 2016"/>
    <x v="1"/>
  </r>
  <r>
    <n v="188"/>
    <n v="1"/>
    <n v="7"/>
    <n v="2"/>
    <n v="3999.99"/>
    <n v="7.0000000000000007E-2"/>
    <n v="7999.91"/>
    <s v="Trek Slash 8 27.5 - 2016"/>
    <x v="1"/>
  </r>
  <r>
    <n v="189"/>
    <n v="1"/>
    <n v="16"/>
    <n v="2"/>
    <n v="599.99"/>
    <n v="0.2"/>
    <n v="1199.78"/>
    <s v="Electra Townie Original 7D EQ - 2016"/>
    <x v="0"/>
  </r>
  <r>
    <n v="190"/>
    <n v="1"/>
    <n v="24"/>
    <n v="1"/>
    <n v="549.99"/>
    <n v="0.05"/>
    <n v="549.94000000000005"/>
    <s v="Electra Townie Original 21D - 2016"/>
    <x v="2"/>
  </r>
  <r>
    <n v="191"/>
    <n v="1"/>
    <n v="25"/>
    <n v="1"/>
    <n v="499.99"/>
    <n v="0.05"/>
    <n v="499.94"/>
    <s v="Electra Townie Original 7D - 2015/2016"/>
    <x v="2"/>
  </r>
  <r>
    <n v="192"/>
    <n v="1"/>
    <n v="8"/>
    <n v="2"/>
    <n v="1799.99"/>
    <n v="0.1"/>
    <n v="3599.88"/>
    <s v="Trek Remedy 29 Carbon Frameset - 2016"/>
    <x v="1"/>
  </r>
  <r>
    <n v="193"/>
    <n v="1"/>
    <n v="12"/>
    <n v="2"/>
    <n v="549.99"/>
    <n v="0.1"/>
    <n v="1099.8800000000001"/>
    <s v="Electra Townie Original 21D - 2016"/>
    <x v="0"/>
  </r>
  <r>
    <n v="194"/>
    <n v="1"/>
    <n v="21"/>
    <n v="2"/>
    <n v="269.99"/>
    <n v="0.2"/>
    <n v="539.78"/>
    <s v="Electra Cruiser 1 (24-Inch) - 2016"/>
    <x v="3"/>
  </r>
  <r>
    <n v="195"/>
    <n v="1"/>
    <n v="18"/>
    <n v="1"/>
    <n v="449"/>
    <n v="0.2"/>
    <n v="448.8"/>
    <s v="Pure Cycles Western 3-Speed - Women's - 2015/2016"/>
    <x v="0"/>
  </r>
  <r>
    <n v="196"/>
    <n v="1"/>
    <n v="6"/>
    <n v="1"/>
    <n v="469.99"/>
    <n v="0.05"/>
    <n v="469.94"/>
    <s v="Surly Ice Cream Truck Frameset - 2016"/>
    <x v="1"/>
  </r>
  <r>
    <n v="197"/>
    <n v="1"/>
    <n v="4"/>
    <n v="2"/>
    <n v="2899.99"/>
    <n v="0.2"/>
    <n v="5799.78"/>
    <s v="Trek Fuel EX 8 29 - 2016"/>
    <x v="1"/>
  </r>
  <r>
    <n v="198"/>
    <n v="1"/>
    <n v="6"/>
    <n v="2"/>
    <n v="469.99"/>
    <n v="0.05"/>
    <n v="939.93000000000006"/>
    <s v="Surly Ice Cream Truck Frameset - 2016"/>
    <x v="1"/>
  </r>
  <r>
    <n v="199"/>
    <n v="1"/>
    <n v="25"/>
    <n v="2"/>
    <n v="499.99"/>
    <n v="0.05"/>
    <n v="999.93000000000006"/>
    <s v="Electra Townie Original 7D - 2015/2016"/>
    <x v="2"/>
  </r>
  <r>
    <n v="200"/>
    <n v="1"/>
    <n v="23"/>
    <n v="2"/>
    <n v="299.99"/>
    <n v="0.05"/>
    <n v="599.93000000000006"/>
    <s v="Electra Girl's Hawaii 1 (20-inch) - 2015/2016"/>
    <x v="3"/>
  </r>
  <r>
    <n v="201"/>
    <n v="1"/>
    <n v="24"/>
    <n v="1"/>
    <n v="549.99"/>
    <n v="0.05"/>
    <n v="549.94000000000005"/>
    <s v="Electra Townie Original 21D - 2016"/>
    <x v="2"/>
  </r>
  <r>
    <n v="202"/>
    <n v="1"/>
    <n v="8"/>
    <n v="1"/>
    <n v="1799.99"/>
    <n v="7.0000000000000007E-2"/>
    <n v="1799.92"/>
    <s v="Trek Remedy 29 Carbon Frameset - 2016"/>
    <x v="1"/>
  </r>
  <r>
    <n v="203"/>
    <n v="1"/>
    <n v="26"/>
    <n v="1"/>
    <n v="599.99"/>
    <n v="0.05"/>
    <n v="599.94000000000005"/>
    <s v="Electra Townie Original 7D EQ - 2016"/>
    <x v="2"/>
  </r>
  <r>
    <n v="204"/>
    <n v="1"/>
    <n v="6"/>
    <n v="2"/>
    <n v="469.99"/>
    <n v="7.0000000000000007E-2"/>
    <n v="939.91"/>
    <s v="Surly Ice Cream Truck Frameset - 2016"/>
    <x v="1"/>
  </r>
  <r>
    <n v="205"/>
    <n v="1"/>
    <n v="22"/>
    <n v="2"/>
    <n v="269.99"/>
    <n v="0.05"/>
    <n v="539.93000000000006"/>
    <s v="Electra Girl's Hawaii 1 (16-inch) - 2015/2016"/>
    <x v="3"/>
  </r>
  <r>
    <n v="206"/>
    <n v="1"/>
    <n v="25"/>
    <n v="1"/>
    <n v="499.99"/>
    <n v="0.05"/>
    <n v="499.94"/>
    <s v="Electra Townie Original 7D - 2015/2016"/>
    <x v="2"/>
  </r>
  <r>
    <n v="207"/>
    <n v="1"/>
    <n v="12"/>
    <n v="2"/>
    <n v="549.99"/>
    <n v="0.2"/>
    <n v="1099.78"/>
    <s v="Electra Townie Original 21D - 2016"/>
    <x v="0"/>
  </r>
  <r>
    <n v="208"/>
    <n v="1"/>
    <n v="6"/>
    <n v="2"/>
    <n v="469.99"/>
    <n v="0.05"/>
    <n v="939.93000000000006"/>
    <s v="Surly Ice Cream Truck Frameset - 2016"/>
    <x v="1"/>
  </r>
  <r>
    <n v="209"/>
    <n v="1"/>
    <n v="13"/>
    <n v="1"/>
    <n v="269.99"/>
    <n v="0.1"/>
    <n v="269.89"/>
    <s v="Electra Cruiser 1 (24-Inch) - 2016"/>
    <x v="0"/>
  </r>
  <r>
    <n v="210"/>
    <n v="1"/>
    <n v="14"/>
    <n v="1"/>
    <n v="269.99"/>
    <n v="7.0000000000000007E-2"/>
    <n v="269.92"/>
    <s v="Electra Girl's Hawaii 1 (16-inch) - 2015/2016"/>
    <x v="0"/>
  </r>
  <r>
    <n v="211"/>
    <n v="1"/>
    <n v="10"/>
    <n v="1"/>
    <n v="1549"/>
    <n v="7.0000000000000007E-2"/>
    <n v="1548.93"/>
    <s v="Surly Straggler - 2016"/>
    <x v="4"/>
  </r>
  <r>
    <n v="212"/>
    <n v="1"/>
    <n v="16"/>
    <n v="2"/>
    <n v="599.99"/>
    <n v="7.0000000000000007E-2"/>
    <n v="1199.9100000000001"/>
    <s v="Electra Townie Original 7D EQ - 2016"/>
    <x v="0"/>
  </r>
  <r>
    <n v="213"/>
    <n v="1"/>
    <n v="13"/>
    <n v="1"/>
    <n v="269.99"/>
    <n v="0.1"/>
    <n v="269.89"/>
    <s v="Electra Cruiser 1 (24-Inch) - 2016"/>
    <x v="0"/>
  </r>
  <r>
    <n v="214"/>
    <n v="1"/>
    <n v="21"/>
    <n v="1"/>
    <n v="269.99"/>
    <n v="0.1"/>
    <n v="269.89"/>
    <s v="Electra Cruiser 1 (24-Inch) - 2016"/>
    <x v="3"/>
  </r>
  <r>
    <n v="215"/>
    <n v="1"/>
    <n v="19"/>
    <n v="1"/>
    <n v="449"/>
    <n v="7.0000000000000007E-2"/>
    <n v="448.93"/>
    <s v="Pure Cycles William 3-Speed - 2016"/>
    <x v="0"/>
  </r>
  <r>
    <n v="216"/>
    <n v="1"/>
    <n v="22"/>
    <n v="2"/>
    <n v="269.99"/>
    <n v="0.1"/>
    <n v="539.88"/>
    <s v="Electra Girl's Hawaii 1 (16-inch) - 2015/2016"/>
    <x v="3"/>
  </r>
  <r>
    <n v="217"/>
    <n v="1"/>
    <n v="18"/>
    <n v="1"/>
    <n v="449"/>
    <n v="0.1"/>
    <n v="448.9"/>
    <s v="Pure Cycles Western 3-Speed - Women's - 2015/2016"/>
    <x v="0"/>
  </r>
  <r>
    <n v="218"/>
    <n v="1"/>
    <n v="2"/>
    <n v="2"/>
    <n v="749.99"/>
    <n v="0.1"/>
    <n v="1499.88"/>
    <s v="Ritchey Timberwolf Frameset - 2016"/>
    <x v="1"/>
  </r>
  <r>
    <n v="219"/>
    <n v="1"/>
    <n v="26"/>
    <n v="1"/>
    <n v="599.99"/>
    <n v="0.05"/>
    <n v="599.94000000000005"/>
    <s v="Electra Townie Original 7D EQ - 2016"/>
    <x v="2"/>
  </r>
  <r>
    <n v="220"/>
    <n v="1"/>
    <n v="6"/>
    <n v="2"/>
    <n v="469.99"/>
    <n v="0.05"/>
    <n v="939.93000000000006"/>
    <s v="Surly Ice Cream Truck Frameset - 2016"/>
    <x v="1"/>
  </r>
  <r>
    <n v="221"/>
    <n v="1"/>
    <n v="11"/>
    <n v="2"/>
    <n v="1680.99"/>
    <n v="7.0000000000000007E-2"/>
    <n v="3361.91"/>
    <s v="Surly Straggler 650b - 2016"/>
    <x v="4"/>
  </r>
  <r>
    <n v="222"/>
    <n v="1"/>
    <n v="10"/>
    <n v="1"/>
    <n v="1549"/>
    <n v="0.1"/>
    <n v="1548.9"/>
    <s v="Surly Straggler - 2016"/>
    <x v="4"/>
  </r>
  <r>
    <n v="223"/>
    <n v="1"/>
    <n v="7"/>
    <n v="2"/>
    <n v="3999.99"/>
    <n v="0.05"/>
    <n v="7999.9299999999994"/>
    <s v="Trek Slash 8 27.5 - 2016"/>
    <x v="1"/>
  </r>
  <r>
    <n v="224"/>
    <n v="1"/>
    <n v="6"/>
    <n v="1"/>
    <n v="469.99"/>
    <n v="7.0000000000000007E-2"/>
    <n v="469.92"/>
    <s v="Surly Ice Cream Truck Frameset - 2016"/>
    <x v="1"/>
  </r>
  <r>
    <n v="225"/>
    <n v="1"/>
    <n v="21"/>
    <n v="1"/>
    <n v="269.99"/>
    <n v="0.1"/>
    <n v="269.89"/>
    <s v="Electra Cruiser 1 (24-Inch) - 2016"/>
    <x v="3"/>
  </r>
  <r>
    <n v="226"/>
    <n v="1"/>
    <n v="2"/>
    <n v="1"/>
    <n v="749.99"/>
    <n v="0.05"/>
    <n v="749.94"/>
    <s v="Ritchey Timberwolf Frameset - 2016"/>
    <x v="1"/>
  </r>
  <r>
    <n v="227"/>
    <n v="1"/>
    <n v="3"/>
    <n v="2"/>
    <n v="999.99"/>
    <n v="0.05"/>
    <n v="1999.93"/>
    <s v="Surly Wednesday Frameset - 2016"/>
    <x v="1"/>
  </r>
  <r>
    <n v="228"/>
    <n v="1"/>
    <n v="25"/>
    <n v="1"/>
    <n v="499.99"/>
    <n v="0.2"/>
    <n v="499.79"/>
    <s v="Electra Townie Original 7D - 2015/2016"/>
    <x v="2"/>
  </r>
  <r>
    <n v="229"/>
    <n v="1"/>
    <n v="25"/>
    <n v="2"/>
    <n v="499.99"/>
    <n v="0.2"/>
    <n v="999.78"/>
    <s v="Electra Townie Original 7D - 2015/2016"/>
    <x v="2"/>
  </r>
  <r>
    <n v="230"/>
    <n v="1"/>
    <n v="11"/>
    <n v="2"/>
    <n v="1680.99"/>
    <n v="7.0000000000000007E-2"/>
    <n v="3361.91"/>
    <s v="Surly Straggler 650b - 2016"/>
    <x v="4"/>
  </r>
  <r>
    <n v="231"/>
    <n v="1"/>
    <n v="8"/>
    <n v="2"/>
    <n v="1799.99"/>
    <n v="7.0000000000000007E-2"/>
    <n v="3599.91"/>
    <s v="Trek Remedy 29 Carbon Frameset - 2016"/>
    <x v="1"/>
  </r>
  <r>
    <n v="232"/>
    <n v="1"/>
    <n v="18"/>
    <n v="1"/>
    <n v="449"/>
    <n v="7.0000000000000007E-2"/>
    <n v="448.93"/>
    <s v="Pure Cycles Western 3-Speed - Women's - 2015/2016"/>
    <x v="0"/>
  </r>
  <r>
    <n v="233"/>
    <n v="1"/>
    <n v="14"/>
    <n v="1"/>
    <n v="269.99"/>
    <n v="0.1"/>
    <n v="269.89"/>
    <s v="Electra Girl's Hawaii 1 (16-inch) - 2015/2016"/>
    <x v="0"/>
  </r>
  <r>
    <n v="234"/>
    <n v="1"/>
    <n v="11"/>
    <n v="2"/>
    <n v="1680.99"/>
    <n v="0.2"/>
    <n v="3361.78"/>
    <s v="Surly Straggler 650b - 2016"/>
    <x v="4"/>
  </r>
  <r>
    <n v="235"/>
    <n v="1"/>
    <n v="6"/>
    <n v="1"/>
    <n v="469.99"/>
    <n v="7.0000000000000007E-2"/>
    <n v="469.92"/>
    <s v="Surly Ice Cream Truck Frameset - 2016"/>
    <x v="1"/>
  </r>
  <r>
    <n v="236"/>
    <n v="1"/>
    <n v="3"/>
    <n v="2"/>
    <n v="999.99"/>
    <n v="7.0000000000000007E-2"/>
    <n v="1999.91"/>
    <s v="Surly Wednesday Frameset - 2016"/>
    <x v="1"/>
  </r>
  <r>
    <n v="237"/>
    <n v="1"/>
    <n v="15"/>
    <n v="1"/>
    <n v="529.99"/>
    <n v="0.2"/>
    <n v="529.79"/>
    <s v="Electra Moto 1 - 2016"/>
    <x v="0"/>
  </r>
  <r>
    <n v="238"/>
    <n v="1"/>
    <n v="20"/>
    <n v="2"/>
    <n v="599.99"/>
    <n v="0.2"/>
    <n v="1199.78"/>
    <s v="Electra Townie Original 7D EQ - Women's - 2016"/>
    <x v="0"/>
  </r>
  <r>
    <n v="239"/>
    <n v="1"/>
    <n v="16"/>
    <n v="2"/>
    <n v="599.99"/>
    <n v="0.1"/>
    <n v="1199.8800000000001"/>
    <s v="Electra Townie Original 7D EQ - 2016"/>
    <x v="0"/>
  </r>
  <r>
    <n v="240"/>
    <n v="1"/>
    <n v="9"/>
    <n v="1"/>
    <n v="2999.99"/>
    <n v="7.0000000000000007E-2"/>
    <n v="2999.9199999999996"/>
    <s v="Trek Conduit+ - 2016"/>
    <x v="5"/>
  </r>
  <r>
    <n v="241"/>
    <n v="1"/>
    <n v="7"/>
    <n v="1"/>
    <n v="3999.99"/>
    <n v="0.2"/>
    <n v="3999.79"/>
    <s v="Trek Slash 8 27.5 - 2016"/>
    <x v="1"/>
  </r>
  <r>
    <n v="242"/>
    <n v="1"/>
    <n v="3"/>
    <n v="1"/>
    <n v="999.99"/>
    <n v="0.2"/>
    <n v="999.79"/>
    <s v="Surly Wednesday Frameset - 2016"/>
    <x v="1"/>
  </r>
  <r>
    <n v="243"/>
    <n v="1"/>
    <n v="25"/>
    <n v="2"/>
    <n v="499.99"/>
    <n v="0.05"/>
    <n v="999.93000000000006"/>
    <s v="Electra Townie Original 7D - 2015/2016"/>
    <x v="2"/>
  </r>
  <r>
    <n v="244"/>
    <n v="1"/>
    <n v="19"/>
    <n v="1"/>
    <n v="449"/>
    <n v="7.0000000000000007E-2"/>
    <n v="448.93"/>
    <s v="Pure Cycles William 3-Speed - 2016"/>
    <x v="0"/>
  </r>
  <r>
    <n v="245"/>
    <n v="1"/>
    <n v="10"/>
    <n v="2"/>
    <n v="1549"/>
    <n v="0.05"/>
    <n v="3097.95"/>
    <s v="Surly Straggler - 2016"/>
    <x v="4"/>
  </r>
  <r>
    <n v="246"/>
    <n v="1"/>
    <n v="17"/>
    <n v="2"/>
    <n v="429"/>
    <n v="0.2"/>
    <n v="857.8"/>
    <s v="Pure Cycles Vine 8-Speed - 2016"/>
    <x v="0"/>
  </r>
  <r>
    <n v="247"/>
    <n v="1"/>
    <n v="25"/>
    <n v="1"/>
    <n v="499.99"/>
    <n v="7.0000000000000007E-2"/>
    <n v="499.92"/>
    <s v="Electra Townie Original 7D - 2015/2016"/>
    <x v="2"/>
  </r>
  <r>
    <n v="248"/>
    <n v="1"/>
    <n v="13"/>
    <n v="1"/>
    <n v="269.99"/>
    <n v="0.1"/>
    <n v="269.89"/>
    <s v="Electra Cruiser 1 (24-Inch) - 2016"/>
    <x v="0"/>
  </r>
  <r>
    <n v="249"/>
    <n v="1"/>
    <n v="7"/>
    <n v="2"/>
    <n v="3999.99"/>
    <n v="0.05"/>
    <n v="7999.9299999999994"/>
    <s v="Trek Slash 8 27.5 - 2016"/>
    <x v="1"/>
  </r>
  <r>
    <n v="250"/>
    <n v="1"/>
    <n v="17"/>
    <n v="2"/>
    <n v="429"/>
    <n v="0.05"/>
    <n v="857.95"/>
    <s v="Pure Cycles Vine 8-Speed - 2016"/>
    <x v="0"/>
  </r>
  <r>
    <n v="251"/>
    <n v="1"/>
    <n v="23"/>
    <n v="2"/>
    <n v="299.99"/>
    <n v="0.2"/>
    <n v="599.78"/>
    <s v="Electra Girl's Hawaii 1 (20-inch) - 2015/2016"/>
    <x v="3"/>
  </r>
  <r>
    <n v="252"/>
    <n v="1"/>
    <n v="11"/>
    <n v="2"/>
    <n v="1680.99"/>
    <n v="0.1"/>
    <n v="3361.88"/>
    <s v="Surly Straggler 650b - 2016"/>
    <x v="4"/>
  </r>
  <r>
    <n v="253"/>
    <n v="1"/>
    <n v="11"/>
    <n v="2"/>
    <n v="1680.99"/>
    <n v="7.0000000000000007E-2"/>
    <n v="3361.91"/>
    <s v="Surly Straggler 650b - 2016"/>
    <x v="4"/>
  </r>
  <r>
    <n v="254"/>
    <n v="1"/>
    <n v="6"/>
    <n v="2"/>
    <n v="469.99"/>
    <n v="7.0000000000000007E-2"/>
    <n v="939.91"/>
    <s v="Surly Ice Cream Truck Frameset - 2016"/>
    <x v="1"/>
  </r>
  <r>
    <n v="255"/>
    <n v="1"/>
    <n v="5"/>
    <n v="2"/>
    <n v="1320.99"/>
    <n v="0.1"/>
    <n v="2641.88"/>
    <s v="Heller Shagamaw Frame - 2016"/>
    <x v="1"/>
  </r>
  <r>
    <n v="256"/>
    <n v="1"/>
    <n v="11"/>
    <n v="1"/>
    <n v="1680.99"/>
    <n v="0.1"/>
    <n v="1680.89"/>
    <s v="Surly Straggler 650b - 2016"/>
    <x v="4"/>
  </r>
  <r>
    <n v="257"/>
    <n v="1"/>
    <n v="8"/>
    <n v="2"/>
    <n v="1799.99"/>
    <n v="7.0000000000000007E-2"/>
    <n v="3599.91"/>
    <s v="Trek Remedy 29 Carbon Frameset - 2016"/>
    <x v="1"/>
  </r>
  <r>
    <n v="258"/>
    <n v="1"/>
    <n v="8"/>
    <n v="2"/>
    <n v="1799.99"/>
    <n v="0.05"/>
    <n v="3599.93"/>
    <s v="Trek Remedy 29 Carbon Frameset - 2016"/>
    <x v="1"/>
  </r>
  <r>
    <n v="259"/>
    <n v="1"/>
    <n v="26"/>
    <n v="1"/>
    <n v="599.99"/>
    <n v="0.05"/>
    <n v="599.94000000000005"/>
    <s v="Electra Townie Original 7D EQ - 2016"/>
    <x v="2"/>
  </r>
  <r>
    <n v="260"/>
    <n v="1"/>
    <n v="23"/>
    <n v="2"/>
    <n v="299.99"/>
    <n v="0.2"/>
    <n v="599.78"/>
    <s v="Electra Girl's Hawaii 1 (20-inch) - 2015/2016"/>
    <x v="3"/>
  </r>
  <r>
    <n v="261"/>
    <n v="1"/>
    <n v="16"/>
    <n v="2"/>
    <n v="599.99"/>
    <n v="0.05"/>
    <n v="1199.93"/>
    <s v="Electra Townie Original 7D EQ - 2016"/>
    <x v="0"/>
  </r>
  <r>
    <n v="262"/>
    <n v="1"/>
    <n v="2"/>
    <n v="1"/>
    <n v="749.99"/>
    <n v="7.0000000000000007E-2"/>
    <n v="749.92"/>
    <s v="Ritchey Timberwolf Frameset - 2016"/>
    <x v="1"/>
  </r>
  <r>
    <n v="263"/>
    <n v="1"/>
    <n v="9"/>
    <n v="1"/>
    <n v="2999.99"/>
    <n v="7.0000000000000007E-2"/>
    <n v="2999.9199999999996"/>
    <s v="Trek Conduit+ - 2016"/>
    <x v="5"/>
  </r>
  <r>
    <n v="264"/>
    <n v="1"/>
    <n v="10"/>
    <n v="1"/>
    <n v="1549"/>
    <n v="0.2"/>
    <n v="1548.8"/>
    <s v="Surly Straggler - 2016"/>
    <x v="4"/>
  </r>
  <r>
    <n v="265"/>
    <n v="1"/>
    <n v="9"/>
    <n v="2"/>
    <n v="2999.99"/>
    <n v="0.2"/>
    <n v="5999.78"/>
    <s v="Trek Conduit+ - 2016"/>
    <x v="5"/>
  </r>
  <r>
    <n v="266"/>
    <n v="1"/>
    <n v="6"/>
    <n v="2"/>
    <n v="469.99"/>
    <n v="7.0000000000000007E-2"/>
    <n v="939.91"/>
    <s v="Surly Ice Cream Truck Frameset - 2016"/>
    <x v="1"/>
  </r>
  <r>
    <n v="267"/>
    <n v="1"/>
    <n v="22"/>
    <n v="2"/>
    <n v="269.99"/>
    <n v="0.2"/>
    <n v="539.78"/>
    <s v="Electra Girl's Hawaii 1 (16-inch) - 2015/2016"/>
    <x v="3"/>
  </r>
  <r>
    <n v="268"/>
    <n v="1"/>
    <n v="7"/>
    <n v="1"/>
    <n v="3999.99"/>
    <n v="0.05"/>
    <n v="3999.9399999999996"/>
    <s v="Trek Slash 8 27.5 - 2016"/>
    <x v="1"/>
  </r>
  <r>
    <n v="269"/>
    <n v="1"/>
    <n v="5"/>
    <n v="1"/>
    <n v="1320.99"/>
    <n v="7.0000000000000007E-2"/>
    <n v="1320.92"/>
    <s v="Heller Shagamaw Frame - 2016"/>
    <x v="1"/>
  </r>
  <r>
    <n v="270"/>
    <n v="1"/>
    <n v="25"/>
    <n v="2"/>
    <n v="499.99"/>
    <n v="0.2"/>
    <n v="999.78"/>
    <s v="Electra Townie Original 7D - 2015/2016"/>
    <x v="2"/>
  </r>
  <r>
    <n v="271"/>
    <n v="1"/>
    <n v="11"/>
    <n v="2"/>
    <n v="1680.99"/>
    <n v="7.0000000000000007E-2"/>
    <n v="3361.91"/>
    <s v="Surly Straggler 650b - 2016"/>
    <x v="4"/>
  </r>
  <r>
    <n v="272"/>
    <n v="1"/>
    <n v="2"/>
    <n v="2"/>
    <n v="749.99"/>
    <n v="7.0000000000000007E-2"/>
    <n v="1499.91"/>
    <s v="Ritchey Timberwolf Frameset - 2016"/>
    <x v="1"/>
  </r>
  <r>
    <n v="273"/>
    <n v="1"/>
    <n v="21"/>
    <n v="1"/>
    <n v="269.99"/>
    <n v="0.1"/>
    <n v="269.89"/>
    <s v="Electra Cruiser 1 (24-Inch) - 2016"/>
    <x v="3"/>
  </r>
  <r>
    <n v="274"/>
    <n v="1"/>
    <n v="11"/>
    <n v="2"/>
    <n v="1680.99"/>
    <n v="0.05"/>
    <n v="3361.93"/>
    <s v="Surly Straggler 650b - 2016"/>
    <x v="4"/>
  </r>
  <r>
    <n v="275"/>
    <n v="1"/>
    <n v="18"/>
    <n v="1"/>
    <n v="449"/>
    <n v="0.05"/>
    <n v="448.95"/>
    <s v="Pure Cycles Western 3-Speed - Women's - 2015/2016"/>
    <x v="0"/>
  </r>
  <r>
    <n v="276"/>
    <n v="1"/>
    <n v="3"/>
    <n v="2"/>
    <n v="999.99"/>
    <n v="0.2"/>
    <n v="1999.78"/>
    <s v="Surly Wednesday Frameset - 2016"/>
    <x v="1"/>
  </r>
  <r>
    <n v="277"/>
    <n v="1"/>
    <n v="20"/>
    <n v="2"/>
    <n v="599.99"/>
    <n v="0.2"/>
    <n v="1199.78"/>
    <s v="Electra Townie Original 7D EQ - Women's - 2016"/>
    <x v="0"/>
  </r>
  <r>
    <n v="278"/>
    <n v="1"/>
    <n v="16"/>
    <n v="1"/>
    <n v="599.99"/>
    <n v="0.2"/>
    <n v="599.79"/>
    <s v="Electra Townie Original 7D EQ - 2016"/>
    <x v="0"/>
  </r>
  <r>
    <n v="279"/>
    <n v="1"/>
    <n v="25"/>
    <n v="1"/>
    <n v="499.99"/>
    <n v="7.0000000000000007E-2"/>
    <n v="499.92"/>
    <s v="Electra Townie Original 7D - 2015/2016"/>
    <x v="2"/>
  </r>
  <r>
    <n v="280"/>
    <n v="1"/>
    <n v="25"/>
    <n v="1"/>
    <n v="499.99"/>
    <n v="7.0000000000000007E-2"/>
    <n v="499.92"/>
    <s v="Electra Townie Original 7D - 2015/2016"/>
    <x v="2"/>
  </r>
  <r>
    <n v="281"/>
    <n v="1"/>
    <n v="22"/>
    <n v="1"/>
    <n v="269.99"/>
    <n v="7.0000000000000007E-2"/>
    <n v="269.92"/>
    <s v="Electra Girl's Hawaii 1 (16-inch) - 2015/2016"/>
    <x v="3"/>
  </r>
  <r>
    <n v="282"/>
    <n v="1"/>
    <n v="20"/>
    <n v="1"/>
    <n v="599.99"/>
    <n v="7.0000000000000007E-2"/>
    <n v="599.91999999999996"/>
    <s v="Electra Townie Original 7D EQ - Women's - 2016"/>
    <x v="0"/>
  </r>
  <r>
    <n v="283"/>
    <n v="1"/>
    <n v="9"/>
    <n v="1"/>
    <n v="2999.99"/>
    <n v="0.05"/>
    <n v="2999.9399999999996"/>
    <s v="Trek Conduit+ - 2016"/>
    <x v="5"/>
  </r>
  <r>
    <n v="284"/>
    <n v="1"/>
    <n v="24"/>
    <n v="2"/>
    <n v="549.99"/>
    <n v="0.2"/>
    <n v="1099.78"/>
    <s v="Electra Townie Original 21D - 2016"/>
    <x v="2"/>
  </r>
  <r>
    <n v="285"/>
    <n v="1"/>
    <n v="16"/>
    <n v="2"/>
    <n v="599.99"/>
    <n v="0.05"/>
    <n v="1199.93"/>
    <s v="Electra Townie Original 7D EQ - 2016"/>
    <x v="0"/>
  </r>
  <r>
    <n v="286"/>
    <n v="1"/>
    <n v="26"/>
    <n v="2"/>
    <n v="599.99"/>
    <n v="0.2"/>
    <n v="1199.78"/>
    <s v="Electra Townie Original 7D EQ - 2016"/>
    <x v="2"/>
  </r>
  <r>
    <n v="287"/>
    <n v="1"/>
    <n v="5"/>
    <n v="1"/>
    <n v="1320.99"/>
    <n v="0.2"/>
    <n v="1320.79"/>
    <s v="Heller Shagamaw Frame - 2016"/>
    <x v="1"/>
  </r>
  <r>
    <n v="288"/>
    <n v="1"/>
    <n v="4"/>
    <n v="1"/>
    <n v="2899.99"/>
    <n v="0.2"/>
    <n v="2899.79"/>
    <s v="Trek Fuel EX 8 29 - 2016"/>
    <x v="1"/>
  </r>
  <r>
    <n v="289"/>
    <n v="1"/>
    <n v="13"/>
    <n v="1"/>
    <n v="269.99"/>
    <n v="7.0000000000000007E-2"/>
    <n v="269.92"/>
    <s v="Electra Cruiser 1 (24-Inch) - 2016"/>
    <x v="0"/>
  </r>
  <r>
    <n v="290"/>
    <n v="1"/>
    <n v="2"/>
    <n v="2"/>
    <n v="749.99"/>
    <n v="7.0000000000000007E-2"/>
    <n v="1499.91"/>
    <s v="Ritchey Timberwolf Frameset - 2016"/>
    <x v="1"/>
  </r>
  <r>
    <n v="291"/>
    <n v="1"/>
    <n v="6"/>
    <n v="2"/>
    <n v="469.99"/>
    <n v="0.05"/>
    <n v="939.93000000000006"/>
    <s v="Surly Ice Cream Truck Frameset - 2016"/>
    <x v="1"/>
  </r>
  <r>
    <n v="292"/>
    <n v="1"/>
    <n v="18"/>
    <n v="2"/>
    <n v="449"/>
    <n v="0.1"/>
    <n v="897.9"/>
    <s v="Pure Cycles Western 3-Speed - Women's - 2015/2016"/>
    <x v="0"/>
  </r>
  <r>
    <n v="293"/>
    <n v="1"/>
    <n v="19"/>
    <n v="2"/>
    <n v="449"/>
    <n v="0.05"/>
    <n v="897.95"/>
    <s v="Pure Cycles William 3-Speed - 2016"/>
    <x v="0"/>
  </r>
  <r>
    <n v="294"/>
    <n v="1"/>
    <n v="18"/>
    <n v="1"/>
    <n v="449"/>
    <n v="0.2"/>
    <n v="448.8"/>
    <s v="Pure Cycles Western 3-Speed - Women's - 2015/2016"/>
    <x v="0"/>
  </r>
  <r>
    <n v="295"/>
    <n v="1"/>
    <n v="22"/>
    <n v="2"/>
    <n v="269.99"/>
    <n v="7.0000000000000007E-2"/>
    <n v="539.91"/>
    <s v="Electra Girl's Hawaii 1 (16-inch) - 2015/2016"/>
    <x v="3"/>
  </r>
  <r>
    <n v="296"/>
    <n v="1"/>
    <n v="25"/>
    <n v="2"/>
    <n v="499.99"/>
    <n v="7.0000000000000007E-2"/>
    <n v="999.91"/>
    <s v="Electra Townie Original 7D - 2015/2016"/>
    <x v="2"/>
  </r>
  <r>
    <n v="297"/>
    <n v="1"/>
    <n v="4"/>
    <n v="2"/>
    <n v="2899.99"/>
    <n v="0.2"/>
    <n v="5799.78"/>
    <s v="Trek Fuel EX 8 29 - 2016"/>
    <x v="1"/>
  </r>
  <r>
    <n v="298"/>
    <n v="1"/>
    <n v="23"/>
    <n v="1"/>
    <n v="299.99"/>
    <n v="0.2"/>
    <n v="299.79000000000002"/>
    <s v="Electra Girl's Hawaii 1 (20-inch) - 2015/2016"/>
    <x v="3"/>
  </r>
  <r>
    <n v="299"/>
    <n v="1"/>
    <n v="11"/>
    <n v="2"/>
    <n v="1680.99"/>
    <n v="0.05"/>
    <n v="3361.93"/>
    <s v="Surly Straggler 650b - 2016"/>
    <x v="4"/>
  </r>
  <r>
    <n v="300"/>
    <n v="1"/>
    <n v="16"/>
    <n v="2"/>
    <n v="599.99"/>
    <n v="0.1"/>
    <n v="1199.8800000000001"/>
    <s v="Electra Townie Original 7D EQ - 2016"/>
    <x v="0"/>
  </r>
  <r>
    <n v="301"/>
    <n v="1"/>
    <n v="6"/>
    <n v="1"/>
    <n v="469.99"/>
    <n v="0.05"/>
    <n v="469.94"/>
    <s v="Surly Ice Cream Truck Frameset - 2016"/>
    <x v="1"/>
  </r>
  <r>
    <n v="302"/>
    <n v="1"/>
    <n v="24"/>
    <n v="2"/>
    <n v="549.99"/>
    <n v="0.2"/>
    <n v="1099.78"/>
    <s v="Electra Townie Original 21D - 2016"/>
    <x v="2"/>
  </r>
  <r>
    <n v="303"/>
    <n v="1"/>
    <n v="8"/>
    <n v="2"/>
    <n v="1799.99"/>
    <n v="0.05"/>
    <n v="3599.93"/>
    <s v="Trek Remedy 29 Carbon Frameset - 2016"/>
    <x v="1"/>
  </r>
  <r>
    <n v="304"/>
    <n v="1"/>
    <n v="10"/>
    <n v="1"/>
    <n v="1549"/>
    <n v="0.05"/>
    <n v="1548.95"/>
    <s v="Surly Straggler - 2016"/>
    <x v="4"/>
  </r>
  <r>
    <n v="305"/>
    <n v="1"/>
    <n v="10"/>
    <n v="1"/>
    <n v="1549"/>
    <n v="7.0000000000000007E-2"/>
    <n v="1548.93"/>
    <s v="Surly Straggler - 2016"/>
    <x v="4"/>
  </r>
  <r>
    <n v="306"/>
    <n v="1"/>
    <n v="10"/>
    <n v="1"/>
    <n v="1549"/>
    <n v="0.2"/>
    <n v="1548.8"/>
    <s v="Surly Straggler - 2016"/>
    <x v="4"/>
  </r>
  <r>
    <n v="307"/>
    <n v="1"/>
    <n v="15"/>
    <n v="2"/>
    <n v="529.99"/>
    <n v="0.05"/>
    <n v="1059.93"/>
    <s v="Electra Moto 1 - 2016"/>
    <x v="0"/>
  </r>
  <r>
    <n v="308"/>
    <n v="1"/>
    <n v="7"/>
    <n v="1"/>
    <n v="3999.99"/>
    <n v="0.1"/>
    <n v="3999.89"/>
    <s v="Trek Slash 8 27.5 - 2016"/>
    <x v="1"/>
  </r>
  <r>
    <n v="309"/>
    <n v="1"/>
    <n v="3"/>
    <n v="1"/>
    <n v="999.99"/>
    <n v="0.05"/>
    <n v="999.94"/>
    <s v="Surly Wednesday Frameset - 2016"/>
    <x v="1"/>
  </r>
  <r>
    <n v="310"/>
    <n v="1"/>
    <n v="7"/>
    <n v="2"/>
    <n v="3999.99"/>
    <n v="7.0000000000000007E-2"/>
    <n v="7999.91"/>
    <s v="Trek Slash 8 27.5 - 2016"/>
    <x v="1"/>
  </r>
  <r>
    <n v="311"/>
    <n v="1"/>
    <n v="17"/>
    <n v="2"/>
    <n v="429"/>
    <n v="0.05"/>
    <n v="857.95"/>
    <s v="Pure Cycles Vine 8-Speed - 2016"/>
    <x v="0"/>
  </r>
  <r>
    <n v="312"/>
    <n v="1"/>
    <n v="24"/>
    <n v="2"/>
    <n v="549.99"/>
    <n v="0.05"/>
    <n v="1099.93"/>
    <s v="Electra Townie Original 21D - 2016"/>
    <x v="2"/>
  </r>
  <r>
    <n v="313"/>
    <n v="1"/>
    <n v="4"/>
    <n v="1"/>
    <n v="2899.99"/>
    <n v="7.0000000000000007E-2"/>
    <n v="2899.9199999999996"/>
    <s v="Trek Fuel EX 8 29 - 2016"/>
    <x v="1"/>
  </r>
  <r>
    <n v="314"/>
    <n v="1"/>
    <n v="5"/>
    <n v="1"/>
    <n v="1320.99"/>
    <n v="7.0000000000000007E-2"/>
    <n v="1320.92"/>
    <s v="Heller Shagamaw Frame - 2016"/>
    <x v="1"/>
  </r>
  <r>
    <n v="315"/>
    <n v="1"/>
    <n v="11"/>
    <n v="1"/>
    <n v="1680.99"/>
    <n v="0.2"/>
    <n v="1680.79"/>
    <s v="Surly Straggler 650b - 2016"/>
    <x v="4"/>
  </r>
  <r>
    <n v="316"/>
    <n v="1"/>
    <n v="2"/>
    <n v="2"/>
    <n v="749.99"/>
    <n v="0.2"/>
    <n v="1499.78"/>
    <s v="Ritchey Timberwolf Frameset - 2016"/>
    <x v="1"/>
  </r>
  <r>
    <n v="317"/>
    <n v="1"/>
    <n v="10"/>
    <n v="1"/>
    <n v="1549"/>
    <n v="0.2"/>
    <n v="1548.8"/>
    <s v="Surly Straggler - 2016"/>
    <x v="4"/>
  </r>
  <r>
    <n v="318"/>
    <n v="1"/>
    <n v="13"/>
    <n v="2"/>
    <n v="269.99"/>
    <n v="0.1"/>
    <n v="539.88"/>
    <s v="Electra Cruiser 1 (24-Inch) - 2016"/>
    <x v="0"/>
  </r>
  <r>
    <n v="319"/>
    <n v="1"/>
    <n v="11"/>
    <n v="1"/>
    <n v="1680.99"/>
    <n v="7.0000000000000007E-2"/>
    <n v="1680.92"/>
    <s v="Surly Straggler 650b - 2016"/>
    <x v="4"/>
  </r>
  <r>
    <n v="320"/>
    <n v="1"/>
    <n v="2"/>
    <n v="1"/>
    <n v="749.99"/>
    <n v="0.1"/>
    <n v="749.89"/>
    <s v="Ritchey Timberwolf Frameset - 2016"/>
    <x v="1"/>
  </r>
  <r>
    <n v="321"/>
    <n v="1"/>
    <n v="4"/>
    <n v="2"/>
    <n v="2899.99"/>
    <n v="0.2"/>
    <n v="5799.78"/>
    <s v="Trek Fuel EX 8 29 - 2016"/>
    <x v="1"/>
  </r>
  <r>
    <n v="322"/>
    <n v="1"/>
    <n v="13"/>
    <n v="2"/>
    <n v="269.99"/>
    <n v="0.2"/>
    <n v="539.78"/>
    <s v="Electra Cruiser 1 (24-Inch) - 2016"/>
    <x v="0"/>
  </r>
  <r>
    <n v="323"/>
    <n v="1"/>
    <n v="13"/>
    <n v="2"/>
    <n v="269.99"/>
    <n v="7.0000000000000007E-2"/>
    <n v="539.91"/>
    <s v="Electra Cruiser 1 (24-Inch) - 2016"/>
    <x v="0"/>
  </r>
  <r>
    <n v="324"/>
    <n v="1"/>
    <n v="2"/>
    <n v="2"/>
    <n v="749.99"/>
    <n v="0.1"/>
    <n v="1499.88"/>
    <s v="Ritchey Timberwolf Frameset - 2016"/>
    <x v="1"/>
  </r>
  <r>
    <n v="325"/>
    <n v="1"/>
    <n v="7"/>
    <n v="1"/>
    <n v="3999.99"/>
    <n v="0.05"/>
    <n v="3999.9399999999996"/>
    <s v="Trek Slash 8 27.5 - 2016"/>
    <x v="1"/>
  </r>
  <r>
    <n v="326"/>
    <n v="1"/>
    <n v="12"/>
    <n v="1"/>
    <n v="549.99"/>
    <n v="0.1"/>
    <n v="549.89"/>
    <s v="Electra Townie Original 21D - 2016"/>
    <x v="0"/>
  </r>
  <r>
    <n v="327"/>
    <n v="1"/>
    <n v="12"/>
    <n v="2"/>
    <n v="549.99"/>
    <n v="7.0000000000000007E-2"/>
    <n v="1099.9100000000001"/>
    <s v="Electra Townie Original 21D - 2016"/>
    <x v="0"/>
  </r>
  <r>
    <n v="328"/>
    <n v="1"/>
    <n v="6"/>
    <n v="2"/>
    <n v="469.99"/>
    <n v="0.1"/>
    <n v="939.88"/>
    <s v="Surly Ice Cream Truck Frameset - 2016"/>
    <x v="1"/>
  </r>
  <r>
    <n v="329"/>
    <n v="1"/>
    <n v="14"/>
    <n v="2"/>
    <n v="269.99"/>
    <n v="7.0000000000000007E-2"/>
    <n v="539.91"/>
    <s v="Electra Girl's Hawaii 1 (16-inch) - 2015/2016"/>
    <x v="0"/>
  </r>
  <r>
    <n v="330"/>
    <n v="1"/>
    <n v="21"/>
    <n v="2"/>
    <n v="269.99"/>
    <n v="0.05"/>
    <n v="539.93000000000006"/>
    <s v="Electra Cruiser 1 (24-Inch) - 2016"/>
    <x v="3"/>
  </r>
  <r>
    <n v="331"/>
    <n v="1"/>
    <n v="17"/>
    <n v="2"/>
    <n v="429"/>
    <n v="0.1"/>
    <n v="857.9"/>
    <s v="Pure Cycles Vine 8-Speed - 2016"/>
    <x v="0"/>
  </r>
  <r>
    <n v="332"/>
    <n v="1"/>
    <n v="18"/>
    <n v="2"/>
    <n v="449"/>
    <n v="0.05"/>
    <n v="897.95"/>
    <s v="Pure Cycles Western 3-Speed - Women's - 2015/2016"/>
    <x v="0"/>
  </r>
  <r>
    <n v="333"/>
    <n v="1"/>
    <n v="18"/>
    <n v="2"/>
    <n v="449"/>
    <n v="7.0000000000000007E-2"/>
    <n v="897.93"/>
    <s v="Pure Cycles Western 3-Speed - Women's - 2015/2016"/>
    <x v="0"/>
  </r>
  <r>
    <n v="334"/>
    <n v="1"/>
    <n v="16"/>
    <n v="2"/>
    <n v="599.99"/>
    <n v="0.2"/>
    <n v="1199.78"/>
    <s v="Electra Townie Original 7D EQ - 2016"/>
    <x v="0"/>
  </r>
  <r>
    <n v="335"/>
    <n v="1"/>
    <n v="6"/>
    <n v="1"/>
    <n v="469.99"/>
    <n v="0.1"/>
    <n v="469.89"/>
    <s v="Surly Ice Cream Truck Frameset - 2016"/>
    <x v="1"/>
  </r>
  <r>
    <n v="336"/>
    <n v="1"/>
    <n v="4"/>
    <n v="1"/>
    <n v="2899.99"/>
    <n v="0.1"/>
    <n v="2899.89"/>
    <s v="Trek Fuel EX 8 29 - 2016"/>
    <x v="1"/>
  </r>
  <r>
    <n v="337"/>
    <n v="1"/>
    <n v="18"/>
    <n v="1"/>
    <n v="449"/>
    <n v="0.05"/>
    <n v="448.95"/>
    <s v="Pure Cycles Western 3-Speed - Women's - 2015/2016"/>
    <x v="0"/>
  </r>
  <r>
    <n v="338"/>
    <n v="1"/>
    <n v="6"/>
    <n v="2"/>
    <n v="469.99"/>
    <n v="7.0000000000000007E-2"/>
    <n v="939.91"/>
    <s v="Surly Ice Cream Truck Frameset - 2016"/>
    <x v="1"/>
  </r>
  <r>
    <n v="339"/>
    <n v="1"/>
    <n v="13"/>
    <n v="1"/>
    <n v="269.99"/>
    <n v="0.1"/>
    <n v="269.89"/>
    <s v="Electra Cruiser 1 (24-Inch) - 2016"/>
    <x v="0"/>
  </r>
  <r>
    <n v="340"/>
    <n v="1"/>
    <n v="11"/>
    <n v="1"/>
    <n v="1680.99"/>
    <n v="0.05"/>
    <n v="1680.94"/>
    <s v="Surly Straggler 650b - 2016"/>
    <x v="4"/>
  </r>
  <r>
    <n v="341"/>
    <n v="1"/>
    <n v="23"/>
    <n v="2"/>
    <n v="299.99"/>
    <n v="0.05"/>
    <n v="599.93000000000006"/>
    <s v="Electra Girl's Hawaii 1 (20-inch) - 2015/2016"/>
    <x v="3"/>
  </r>
  <r>
    <n v="342"/>
    <n v="1"/>
    <n v="26"/>
    <n v="1"/>
    <n v="599.99"/>
    <n v="7.0000000000000007E-2"/>
    <n v="599.91999999999996"/>
    <s v="Electra Townie Original 7D EQ - 2016"/>
    <x v="2"/>
  </r>
  <r>
    <n v="343"/>
    <n v="1"/>
    <n v="20"/>
    <n v="2"/>
    <n v="599.99"/>
    <n v="0.2"/>
    <n v="1199.78"/>
    <s v="Electra Townie Original 7D EQ - Women's - 2016"/>
    <x v="0"/>
  </r>
  <r>
    <n v="344"/>
    <n v="1"/>
    <n v="22"/>
    <n v="1"/>
    <n v="269.99"/>
    <n v="0.05"/>
    <n v="269.94"/>
    <s v="Electra Girl's Hawaii 1 (16-inch) - 2015/2016"/>
    <x v="3"/>
  </r>
  <r>
    <n v="345"/>
    <n v="1"/>
    <n v="18"/>
    <n v="2"/>
    <n v="449"/>
    <n v="0.1"/>
    <n v="897.9"/>
    <s v="Pure Cycles Western 3-Speed - Women's - 2015/2016"/>
    <x v="0"/>
  </r>
  <r>
    <n v="346"/>
    <n v="1"/>
    <n v="13"/>
    <n v="1"/>
    <n v="269.99"/>
    <n v="7.0000000000000007E-2"/>
    <n v="269.92"/>
    <s v="Electra Cruiser 1 (24-Inch) - 2016"/>
    <x v="0"/>
  </r>
  <r>
    <n v="347"/>
    <n v="1"/>
    <n v="23"/>
    <n v="1"/>
    <n v="299.99"/>
    <n v="7.0000000000000007E-2"/>
    <n v="299.92"/>
    <s v="Electra Girl's Hawaii 1 (20-inch) - 2015/2016"/>
    <x v="3"/>
  </r>
  <r>
    <n v="348"/>
    <n v="1"/>
    <n v="5"/>
    <n v="2"/>
    <n v="1320.99"/>
    <n v="0.05"/>
    <n v="2641.93"/>
    <s v="Heller Shagamaw Frame - 2016"/>
    <x v="1"/>
  </r>
  <r>
    <n v="349"/>
    <n v="1"/>
    <n v="20"/>
    <n v="2"/>
    <n v="599.99"/>
    <n v="0.2"/>
    <n v="1199.78"/>
    <s v="Electra Townie Original 7D EQ - Women's - 2016"/>
    <x v="0"/>
  </r>
  <r>
    <n v="350"/>
    <n v="1"/>
    <n v="6"/>
    <n v="2"/>
    <n v="469.99"/>
    <n v="0.05"/>
    <n v="939.93000000000006"/>
    <s v="Surly Ice Cream Truck Frameset - 2016"/>
    <x v="1"/>
  </r>
  <r>
    <n v="351"/>
    <n v="1"/>
    <n v="4"/>
    <n v="2"/>
    <n v="2899.99"/>
    <n v="0.05"/>
    <n v="5799.9299999999994"/>
    <s v="Trek Fuel EX 8 29 - 2016"/>
    <x v="1"/>
  </r>
  <r>
    <n v="352"/>
    <n v="1"/>
    <n v="11"/>
    <n v="1"/>
    <n v="1680.99"/>
    <n v="0.2"/>
    <n v="1680.79"/>
    <s v="Surly Straggler 650b - 2016"/>
    <x v="4"/>
  </r>
  <r>
    <n v="353"/>
    <n v="1"/>
    <n v="2"/>
    <n v="2"/>
    <n v="749.99"/>
    <n v="0.2"/>
    <n v="1499.78"/>
    <s v="Ritchey Timberwolf Frameset - 2016"/>
    <x v="1"/>
  </r>
  <r>
    <n v="354"/>
    <n v="1"/>
    <n v="21"/>
    <n v="1"/>
    <n v="269.99"/>
    <n v="0.2"/>
    <n v="269.79000000000002"/>
    <s v="Electra Cruiser 1 (24-Inch) - 2016"/>
    <x v="3"/>
  </r>
  <r>
    <n v="355"/>
    <n v="1"/>
    <n v="16"/>
    <n v="1"/>
    <n v="599.99"/>
    <n v="0.1"/>
    <n v="599.89"/>
    <s v="Electra Townie Original 7D EQ - 2016"/>
    <x v="0"/>
  </r>
  <r>
    <n v="356"/>
    <n v="1"/>
    <n v="23"/>
    <n v="2"/>
    <n v="299.99"/>
    <n v="0.05"/>
    <n v="599.93000000000006"/>
    <s v="Electra Girl's Hawaii 1 (20-inch) - 2015/2016"/>
    <x v="3"/>
  </r>
  <r>
    <n v="357"/>
    <n v="1"/>
    <n v="17"/>
    <n v="2"/>
    <n v="429"/>
    <n v="0.05"/>
    <n v="857.95"/>
    <s v="Pure Cycles Vine 8-Speed - 2016"/>
    <x v="0"/>
  </r>
  <r>
    <n v="358"/>
    <n v="1"/>
    <n v="21"/>
    <n v="2"/>
    <n v="269.99"/>
    <n v="0.1"/>
    <n v="539.88"/>
    <s v="Electra Cruiser 1 (24-Inch) - 2016"/>
    <x v="3"/>
  </r>
  <r>
    <n v="359"/>
    <n v="1"/>
    <n v="15"/>
    <n v="2"/>
    <n v="529.99"/>
    <n v="7.0000000000000007E-2"/>
    <n v="1059.9100000000001"/>
    <s v="Electra Moto 1 - 2016"/>
    <x v="0"/>
  </r>
  <r>
    <n v="360"/>
    <n v="1"/>
    <n v="26"/>
    <n v="1"/>
    <n v="599.99"/>
    <n v="0.05"/>
    <n v="599.94000000000005"/>
    <s v="Electra Townie Original 7D EQ - 2016"/>
    <x v="2"/>
  </r>
  <r>
    <n v="361"/>
    <n v="1"/>
    <n v="24"/>
    <n v="2"/>
    <n v="549.99"/>
    <n v="0.05"/>
    <n v="1099.93"/>
    <s v="Electra Townie Original 21D - 2016"/>
    <x v="2"/>
  </r>
  <r>
    <n v="362"/>
    <n v="1"/>
    <n v="2"/>
    <n v="1"/>
    <n v="749.99"/>
    <n v="7.0000000000000007E-2"/>
    <n v="749.92"/>
    <s v="Ritchey Timberwolf Frameset - 2016"/>
    <x v="1"/>
  </r>
  <r>
    <n v="363"/>
    <n v="1"/>
    <n v="21"/>
    <n v="2"/>
    <n v="269.99"/>
    <n v="0.1"/>
    <n v="539.88"/>
    <s v="Electra Cruiser 1 (24-Inch) - 2016"/>
    <x v="3"/>
  </r>
  <r>
    <n v="364"/>
    <n v="1"/>
    <n v="25"/>
    <n v="2"/>
    <n v="499.99"/>
    <n v="0.05"/>
    <n v="999.93000000000006"/>
    <s v="Electra Townie Original 7D - 2015/2016"/>
    <x v="2"/>
  </r>
  <r>
    <n v="365"/>
    <n v="1"/>
    <n v="24"/>
    <n v="2"/>
    <n v="549.99"/>
    <n v="7.0000000000000007E-2"/>
    <n v="1099.9100000000001"/>
    <s v="Electra Townie Original 21D - 2016"/>
    <x v="2"/>
  </r>
  <r>
    <n v="366"/>
    <n v="1"/>
    <n v="21"/>
    <n v="1"/>
    <n v="269.99"/>
    <n v="0.1"/>
    <n v="269.89"/>
    <s v="Electra Cruiser 1 (24-Inch) - 2016"/>
    <x v="3"/>
  </r>
  <r>
    <n v="367"/>
    <n v="1"/>
    <n v="26"/>
    <n v="2"/>
    <n v="599.99"/>
    <n v="0.1"/>
    <n v="1199.8800000000001"/>
    <s v="Electra Townie Original 7D EQ - 2016"/>
    <x v="2"/>
  </r>
  <r>
    <n v="368"/>
    <n v="1"/>
    <n v="5"/>
    <n v="1"/>
    <n v="1320.99"/>
    <n v="0.2"/>
    <n v="1320.79"/>
    <s v="Heller Shagamaw Frame - 2016"/>
    <x v="1"/>
  </r>
  <r>
    <n v="369"/>
    <n v="1"/>
    <n v="10"/>
    <n v="2"/>
    <n v="1549"/>
    <n v="7.0000000000000007E-2"/>
    <n v="3097.93"/>
    <s v="Surly Straggler - 2016"/>
    <x v="4"/>
  </r>
  <r>
    <n v="370"/>
    <n v="1"/>
    <n v="25"/>
    <n v="2"/>
    <n v="499.99"/>
    <n v="0.05"/>
    <n v="999.93000000000006"/>
    <s v="Electra Townie Original 7D - 2015/2016"/>
    <x v="2"/>
  </r>
  <r>
    <n v="371"/>
    <n v="1"/>
    <n v="14"/>
    <n v="1"/>
    <n v="269.99"/>
    <n v="0.2"/>
    <n v="269.79000000000002"/>
    <s v="Electra Girl's Hawaii 1 (16-inch) - 2015/2016"/>
    <x v="0"/>
  </r>
  <r>
    <n v="372"/>
    <n v="1"/>
    <n v="11"/>
    <n v="1"/>
    <n v="1680.99"/>
    <n v="0.05"/>
    <n v="1680.94"/>
    <s v="Surly Straggler 650b - 2016"/>
    <x v="4"/>
  </r>
  <r>
    <n v="373"/>
    <n v="1"/>
    <n v="8"/>
    <n v="2"/>
    <n v="1799.99"/>
    <n v="0.05"/>
    <n v="3599.93"/>
    <s v="Trek Remedy 29 Carbon Frameset - 2016"/>
    <x v="1"/>
  </r>
  <r>
    <n v="374"/>
    <n v="1"/>
    <n v="10"/>
    <n v="1"/>
    <n v="1549"/>
    <n v="0.1"/>
    <n v="1548.9"/>
    <s v="Surly Straggler - 2016"/>
    <x v="4"/>
  </r>
  <r>
    <n v="375"/>
    <n v="1"/>
    <n v="21"/>
    <n v="2"/>
    <n v="269.99"/>
    <n v="0.05"/>
    <n v="539.93000000000006"/>
    <s v="Electra Cruiser 1 (24-Inch) - 2016"/>
    <x v="3"/>
  </r>
  <r>
    <n v="376"/>
    <n v="1"/>
    <n v="2"/>
    <n v="2"/>
    <n v="749.99"/>
    <n v="7.0000000000000007E-2"/>
    <n v="1499.91"/>
    <s v="Ritchey Timberwolf Frameset - 2016"/>
    <x v="1"/>
  </r>
  <r>
    <n v="377"/>
    <n v="1"/>
    <n v="8"/>
    <n v="1"/>
    <n v="1799.99"/>
    <n v="0.05"/>
    <n v="1799.94"/>
    <s v="Trek Remedy 29 Carbon Frameset - 2016"/>
    <x v="1"/>
  </r>
  <r>
    <n v="378"/>
    <n v="1"/>
    <n v="26"/>
    <n v="2"/>
    <n v="599.99"/>
    <n v="0.05"/>
    <n v="1199.93"/>
    <s v="Electra Townie Original 7D EQ - 2016"/>
    <x v="2"/>
  </r>
  <r>
    <n v="379"/>
    <n v="1"/>
    <n v="9"/>
    <n v="1"/>
    <n v="2999.99"/>
    <n v="7.0000000000000007E-2"/>
    <n v="2999.9199999999996"/>
    <s v="Trek Conduit+ - 2016"/>
    <x v="5"/>
  </r>
  <r>
    <n v="380"/>
    <n v="1"/>
    <n v="16"/>
    <n v="1"/>
    <n v="599.99"/>
    <n v="0.05"/>
    <n v="599.94000000000005"/>
    <s v="Electra Townie Original 7D EQ - 2016"/>
    <x v="0"/>
  </r>
  <r>
    <n v="381"/>
    <n v="1"/>
    <n v="21"/>
    <n v="2"/>
    <n v="269.99"/>
    <n v="7.0000000000000007E-2"/>
    <n v="539.91"/>
    <s v="Electra Cruiser 1 (24-Inch) - 2016"/>
    <x v="3"/>
  </r>
  <r>
    <n v="382"/>
    <n v="1"/>
    <n v="8"/>
    <n v="1"/>
    <n v="1799.99"/>
    <n v="0.1"/>
    <n v="1799.89"/>
    <s v="Trek Remedy 29 Carbon Frameset - 2016"/>
    <x v="1"/>
  </r>
  <r>
    <n v="383"/>
    <n v="1"/>
    <n v="19"/>
    <n v="1"/>
    <n v="449"/>
    <n v="7.0000000000000007E-2"/>
    <n v="448.93"/>
    <s v="Pure Cycles William 3-Speed - 2016"/>
    <x v="0"/>
  </r>
  <r>
    <n v="384"/>
    <n v="1"/>
    <n v="20"/>
    <n v="1"/>
    <n v="599.99"/>
    <n v="0.1"/>
    <n v="599.89"/>
    <s v="Electra Townie Original 7D EQ - Women's - 2016"/>
    <x v="0"/>
  </r>
  <r>
    <n v="385"/>
    <n v="1"/>
    <n v="21"/>
    <n v="1"/>
    <n v="269.99"/>
    <n v="7.0000000000000007E-2"/>
    <n v="269.92"/>
    <s v="Electra Cruiser 1 (24-Inch) - 2016"/>
    <x v="3"/>
  </r>
  <r>
    <n v="386"/>
    <n v="1"/>
    <n v="8"/>
    <n v="1"/>
    <n v="1799.99"/>
    <n v="0.2"/>
    <n v="1799.79"/>
    <s v="Trek Remedy 29 Carbon Frameset - 2016"/>
    <x v="1"/>
  </r>
  <r>
    <n v="387"/>
    <n v="1"/>
    <n v="18"/>
    <n v="1"/>
    <n v="449"/>
    <n v="0.2"/>
    <n v="448.8"/>
    <s v="Pure Cycles Western 3-Speed - Women's - 2015/2016"/>
    <x v="0"/>
  </r>
  <r>
    <n v="388"/>
    <n v="1"/>
    <n v="19"/>
    <n v="2"/>
    <n v="449"/>
    <n v="0.2"/>
    <n v="897.8"/>
    <s v="Pure Cycles William 3-Speed - 2016"/>
    <x v="0"/>
  </r>
  <r>
    <n v="389"/>
    <n v="1"/>
    <n v="2"/>
    <n v="1"/>
    <n v="749.99"/>
    <n v="7.0000000000000007E-2"/>
    <n v="749.92"/>
    <s v="Ritchey Timberwolf Frameset - 2016"/>
    <x v="1"/>
  </r>
  <r>
    <n v="390"/>
    <n v="1"/>
    <n v="23"/>
    <n v="1"/>
    <n v="299.99"/>
    <n v="0.05"/>
    <n v="299.94"/>
    <s v="Electra Girl's Hawaii 1 (20-inch) - 2015/2016"/>
    <x v="3"/>
  </r>
  <r>
    <n v="391"/>
    <n v="1"/>
    <n v="8"/>
    <n v="1"/>
    <n v="1799.99"/>
    <n v="7.0000000000000007E-2"/>
    <n v="1799.92"/>
    <s v="Trek Remedy 29 Carbon Frameset - 2016"/>
    <x v="1"/>
  </r>
  <r>
    <n v="392"/>
    <n v="1"/>
    <n v="14"/>
    <n v="2"/>
    <n v="269.99"/>
    <n v="0.1"/>
    <n v="539.88"/>
    <s v="Electra Girl's Hawaii 1 (16-inch) - 2015/2016"/>
    <x v="0"/>
  </r>
  <r>
    <n v="393"/>
    <n v="1"/>
    <n v="6"/>
    <n v="2"/>
    <n v="469.99"/>
    <n v="0.2"/>
    <n v="939.78"/>
    <s v="Surly Ice Cream Truck Frameset - 2016"/>
    <x v="1"/>
  </r>
  <r>
    <n v="394"/>
    <n v="1"/>
    <n v="23"/>
    <n v="1"/>
    <n v="299.99"/>
    <n v="0.05"/>
    <n v="299.94"/>
    <s v="Electra Girl's Hawaii 1 (20-inch) - 2015/2016"/>
    <x v="3"/>
  </r>
  <r>
    <n v="395"/>
    <n v="1"/>
    <n v="14"/>
    <n v="1"/>
    <n v="269.99"/>
    <n v="0.05"/>
    <n v="269.94"/>
    <s v="Electra Girl's Hawaii 1 (16-inch) - 2015/2016"/>
    <x v="0"/>
  </r>
  <r>
    <n v="396"/>
    <n v="1"/>
    <n v="12"/>
    <n v="1"/>
    <n v="549.99"/>
    <n v="0.1"/>
    <n v="549.89"/>
    <s v="Electra Townie Original 21D - 2016"/>
    <x v="0"/>
  </r>
  <r>
    <n v="397"/>
    <n v="1"/>
    <n v="7"/>
    <n v="1"/>
    <n v="3999.99"/>
    <n v="0.05"/>
    <n v="3999.9399999999996"/>
    <s v="Trek Slash 8 27.5 - 2016"/>
    <x v="1"/>
  </r>
  <r>
    <n v="398"/>
    <n v="1"/>
    <n v="8"/>
    <n v="2"/>
    <n v="1799.99"/>
    <n v="0.05"/>
    <n v="3599.93"/>
    <s v="Trek Remedy 29 Carbon Frameset - 2016"/>
    <x v="1"/>
  </r>
  <r>
    <n v="399"/>
    <n v="1"/>
    <n v="25"/>
    <n v="1"/>
    <n v="499.99"/>
    <n v="0.05"/>
    <n v="499.94"/>
    <s v="Electra Townie Original 7D - 2015/2016"/>
    <x v="2"/>
  </r>
  <r>
    <n v="400"/>
    <n v="1"/>
    <n v="24"/>
    <n v="2"/>
    <n v="549.99"/>
    <n v="7.0000000000000007E-2"/>
    <n v="1099.9100000000001"/>
    <s v="Electra Townie Original 21D - 2016"/>
    <x v="2"/>
  </r>
  <r>
    <n v="401"/>
    <n v="1"/>
    <n v="23"/>
    <n v="1"/>
    <n v="299.99"/>
    <n v="0.2"/>
    <n v="299.79000000000002"/>
    <s v="Electra Girl's Hawaii 1 (20-inch) - 2015/2016"/>
    <x v="3"/>
  </r>
  <r>
    <n v="402"/>
    <n v="1"/>
    <n v="6"/>
    <n v="2"/>
    <n v="469.99"/>
    <n v="7.0000000000000007E-2"/>
    <n v="939.91"/>
    <s v="Surly Ice Cream Truck Frameset - 2016"/>
    <x v="1"/>
  </r>
  <r>
    <n v="403"/>
    <n v="1"/>
    <n v="12"/>
    <n v="2"/>
    <n v="549.99"/>
    <n v="0.1"/>
    <n v="1099.8800000000001"/>
    <s v="Electra Townie Original 21D - 2016"/>
    <x v="0"/>
  </r>
  <r>
    <n v="404"/>
    <n v="1"/>
    <n v="9"/>
    <n v="1"/>
    <n v="2999.99"/>
    <n v="7.0000000000000007E-2"/>
    <n v="2999.9199999999996"/>
    <s v="Trek Conduit+ - 2016"/>
    <x v="5"/>
  </r>
  <r>
    <n v="405"/>
    <n v="1"/>
    <n v="3"/>
    <n v="2"/>
    <n v="999.99"/>
    <n v="0.2"/>
    <n v="1999.78"/>
    <s v="Surly Wednesday Frameset - 2016"/>
    <x v="1"/>
  </r>
  <r>
    <n v="406"/>
    <n v="1"/>
    <n v="4"/>
    <n v="1"/>
    <n v="2899.99"/>
    <n v="0.2"/>
    <n v="2899.79"/>
    <s v="Trek Fuel EX 8 29 - 2016"/>
    <x v="1"/>
  </r>
  <r>
    <n v="407"/>
    <n v="1"/>
    <n v="20"/>
    <n v="1"/>
    <n v="599.99"/>
    <n v="0.2"/>
    <n v="599.79"/>
    <s v="Electra Townie Original 7D EQ - Women's - 2016"/>
    <x v="0"/>
  </r>
  <r>
    <n v="408"/>
    <n v="1"/>
    <n v="18"/>
    <n v="1"/>
    <n v="449"/>
    <n v="0.2"/>
    <n v="448.8"/>
    <s v="Pure Cycles Western 3-Speed - Women's - 2015/2016"/>
    <x v="0"/>
  </r>
  <r>
    <n v="409"/>
    <n v="1"/>
    <n v="15"/>
    <n v="1"/>
    <n v="529.99"/>
    <n v="7.0000000000000007E-2"/>
    <n v="529.91999999999996"/>
    <s v="Electra Moto 1 - 2016"/>
    <x v="0"/>
  </r>
  <r>
    <n v="410"/>
    <n v="1"/>
    <n v="25"/>
    <n v="1"/>
    <n v="499.99"/>
    <n v="0.1"/>
    <n v="499.89"/>
    <s v="Electra Townie Original 7D - 2015/2016"/>
    <x v="2"/>
  </r>
  <r>
    <n v="411"/>
    <n v="1"/>
    <n v="2"/>
    <n v="1"/>
    <n v="749.99"/>
    <n v="7.0000000000000007E-2"/>
    <n v="749.92"/>
    <s v="Ritchey Timberwolf Frameset - 2016"/>
    <x v="1"/>
  </r>
  <r>
    <n v="412"/>
    <n v="1"/>
    <n v="7"/>
    <n v="1"/>
    <n v="3999.99"/>
    <n v="0.1"/>
    <n v="3999.89"/>
    <s v="Trek Slash 8 27.5 - 2016"/>
    <x v="1"/>
  </r>
  <r>
    <n v="413"/>
    <n v="1"/>
    <n v="8"/>
    <n v="2"/>
    <n v="1799.99"/>
    <n v="0.05"/>
    <n v="3599.93"/>
    <s v="Trek Remedy 29 Carbon Frameset - 2016"/>
    <x v="1"/>
  </r>
  <r>
    <n v="414"/>
    <n v="1"/>
    <n v="4"/>
    <n v="2"/>
    <n v="2899.99"/>
    <n v="0.1"/>
    <n v="5799.8799999999992"/>
    <s v="Trek Fuel EX 8 29 - 2016"/>
    <x v="1"/>
  </r>
  <r>
    <n v="415"/>
    <n v="1"/>
    <n v="3"/>
    <n v="1"/>
    <n v="999.99"/>
    <n v="7.0000000000000007E-2"/>
    <n v="999.92"/>
    <s v="Surly Wednesday Frameset - 2016"/>
    <x v="1"/>
  </r>
  <r>
    <n v="416"/>
    <n v="1"/>
    <n v="22"/>
    <n v="1"/>
    <n v="269.99"/>
    <n v="7.0000000000000007E-2"/>
    <n v="269.92"/>
    <s v="Electra Girl's Hawaii 1 (16-inch) - 2015/2016"/>
    <x v="3"/>
  </r>
  <r>
    <n v="417"/>
    <n v="1"/>
    <n v="26"/>
    <n v="2"/>
    <n v="599.99"/>
    <n v="7.0000000000000007E-2"/>
    <n v="1199.9100000000001"/>
    <s v="Electra Townie Original 7D EQ - 2016"/>
    <x v="2"/>
  </r>
  <r>
    <n v="418"/>
    <n v="1"/>
    <n v="12"/>
    <n v="1"/>
    <n v="549.99"/>
    <n v="0.05"/>
    <n v="549.94000000000005"/>
    <s v="Electra Townie Original 21D - 2016"/>
    <x v="0"/>
  </r>
  <r>
    <n v="419"/>
    <n v="1"/>
    <n v="9"/>
    <n v="1"/>
    <n v="2999.99"/>
    <n v="0.05"/>
    <n v="2999.9399999999996"/>
    <s v="Trek Conduit+ - 2016"/>
    <x v="5"/>
  </r>
  <r>
    <n v="420"/>
    <n v="1"/>
    <n v="17"/>
    <n v="2"/>
    <n v="429"/>
    <n v="0.2"/>
    <n v="857.8"/>
    <s v="Pure Cycles Vine 8-Speed - 2016"/>
    <x v="0"/>
  </r>
  <r>
    <n v="421"/>
    <n v="1"/>
    <n v="6"/>
    <n v="2"/>
    <n v="469.99"/>
    <n v="7.0000000000000007E-2"/>
    <n v="939.91"/>
    <s v="Surly Ice Cream Truck Frameset - 2016"/>
    <x v="1"/>
  </r>
  <r>
    <n v="422"/>
    <n v="1"/>
    <n v="20"/>
    <n v="2"/>
    <n v="599.99"/>
    <n v="0.05"/>
    <n v="1199.93"/>
    <s v="Electra Townie Original 7D EQ - Women's - 2016"/>
    <x v="0"/>
  </r>
  <r>
    <n v="423"/>
    <n v="1"/>
    <n v="8"/>
    <n v="2"/>
    <n v="1799.99"/>
    <n v="0.05"/>
    <n v="3599.93"/>
    <s v="Trek Remedy 29 Carbon Frameset - 2016"/>
    <x v="1"/>
  </r>
  <r>
    <n v="424"/>
    <n v="1"/>
    <n v="22"/>
    <n v="1"/>
    <n v="269.99"/>
    <n v="0.1"/>
    <n v="269.89"/>
    <s v="Electra Girl's Hawaii 1 (16-inch) - 2015/2016"/>
    <x v="3"/>
  </r>
  <r>
    <n v="425"/>
    <n v="1"/>
    <n v="6"/>
    <n v="1"/>
    <n v="469.99"/>
    <n v="0.1"/>
    <n v="469.89"/>
    <s v="Surly Ice Cream Truck Frameset - 2016"/>
    <x v="1"/>
  </r>
  <r>
    <n v="426"/>
    <n v="1"/>
    <n v="10"/>
    <n v="1"/>
    <n v="1549"/>
    <n v="0.1"/>
    <n v="1548.9"/>
    <s v="Surly Straggler - 2016"/>
    <x v="4"/>
  </r>
  <r>
    <n v="427"/>
    <n v="1"/>
    <n v="12"/>
    <n v="2"/>
    <n v="549.99"/>
    <n v="7.0000000000000007E-2"/>
    <n v="1099.9100000000001"/>
    <s v="Electra Townie Original 21D - 2016"/>
    <x v="0"/>
  </r>
  <r>
    <n v="428"/>
    <n v="1"/>
    <n v="5"/>
    <n v="2"/>
    <n v="1320.99"/>
    <n v="0.2"/>
    <n v="2641.78"/>
    <s v="Heller Shagamaw Frame - 2016"/>
    <x v="1"/>
  </r>
  <r>
    <n v="429"/>
    <n v="1"/>
    <n v="11"/>
    <n v="1"/>
    <n v="1680.99"/>
    <n v="0.2"/>
    <n v="1680.79"/>
    <s v="Surly Straggler 650b - 2016"/>
    <x v="4"/>
  </r>
  <r>
    <n v="430"/>
    <n v="1"/>
    <n v="22"/>
    <n v="2"/>
    <n v="269.99"/>
    <n v="0.1"/>
    <n v="539.88"/>
    <s v="Electra Girl's Hawaii 1 (16-inch) - 2015/2016"/>
    <x v="3"/>
  </r>
  <r>
    <n v="431"/>
    <n v="1"/>
    <n v="14"/>
    <n v="2"/>
    <n v="269.99"/>
    <n v="0.2"/>
    <n v="539.78"/>
    <s v="Electra Girl's Hawaii 1 (16-inch) - 2015/2016"/>
    <x v="0"/>
  </r>
  <r>
    <n v="432"/>
    <n v="1"/>
    <n v="10"/>
    <n v="2"/>
    <n v="1549"/>
    <n v="0.2"/>
    <n v="3097.8"/>
    <s v="Surly Straggler - 2016"/>
    <x v="4"/>
  </r>
  <r>
    <n v="433"/>
    <n v="1"/>
    <n v="6"/>
    <n v="1"/>
    <n v="469.99"/>
    <n v="0.1"/>
    <n v="469.89"/>
    <s v="Surly Ice Cream Truck Frameset - 2016"/>
    <x v="1"/>
  </r>
  <r>
    <n v="434"/>
    <n v="1"/>
    <n v="21"/>
    <n v="1"/>
    <n v="269.99"/>
    <n v="0.05"/>
    <n v="269.94"/>
    <s v="Electra Cruiser 1 (24-Inch) - 2016"/>
    <x v="3"/>
  </r>
  <r>
    <n v="435"/>
    <n v="1"/>
    <n v="22"/>
    <n v="1"/>
    <n v="269.99"/>
    <n v="0.05"/>
    <n v="269.94"/>
    <s v="Electra Girl's Hawaii 1 (16-inch) - 2015/2016"/>
    <x v="3"/>
  </r>
  <r>
    <n v="436"/>
    <n v="1"/>
    <n v="3"/>
    <n v="1"/>
    <n v="999.99"/>
    <n v="0.05"/>
    <n v="999.94"/>
    <s v="Surly Wednesday Frameset - 2016"/>
    <x v="1"/>
  </r>
  <r>
    <n v="437"/>
    <n v="1"/>
    <n v="3"/>
    <n v="1"/>
    <n v="999.99"/>
    <n v="0.05"/>
    <n v="999.94"/>
    <s v="Surly Wednesday Frameset - 2016"/>
    <x v="1"/>
  </r>
  <r>
    <n v="438"/>
    <n v="1"/>
    <n v="4"/>
    <n v="1"/>
    <n v="2899.99"/>
    <n v="7.0000000000000007E-2"/>
    <n v="2899.9199999999996"/>
    <s v="Trek Fuel EX 8 29 - 2016"/>
    <x v="1"/>
  </r>
  <r>
    <n v="439"/>
    <n v="1"/>
    <n v="6"/>
    <n v="2"/>
    <n v="469.99"/>
    <n v="7.0000000000000007E-2"/>
    <n v="939.91"/>
    <s v="Surly Ice Cream Truck Frameset - 2016"/>
    <x v="1"/>
  </r>
  <r>
    <n v="440"/>
    <n v="1"/>
    <n v="19"/>
    <n v="2"/>
    <n v="449"/>
    <n v="7.0000000000000007E-2"/>
    <n v="897.93"/>
    <s v="Pure Cycles William 3-Speed - 2016"/>
    <x v="0"/>
  </r>
  <r>
    <n v="441"/>
    <n v="1"/>
    <n v="12"/>
    <n v="1"/>
    <n v="549.99"/>
    <n v="7.0000000000000007E-2"/>
    <n v="549.91999999999996"/>
    <s v="Electra Townie Original 21D - 2016"/>
    <x v="0"/>
  </r>
  <r>
    <n v="442"/>
    <n v="1"/>
    <n v="16"/>
    <n v="2"/>
    <n v="599.99"/>
    <n v="7.0000000000000007E-2"/>
    <n v="1199.9100000000001"/>
    <s v="Electra Townie Original 7D EQ - 2016"/>
    <x v="0"/>
  </r>
  <r>
    <n v="443"/>
    <n v="1"/>
    <n v="5"/>
    <n v="1"/>
    <n v="1320.99"/>
    <n v="0.05"/>
    <n v="1320.94"/>
    <s v="Heller Shagamaw Frame - 2016"/>
    <x v="1"/>
  </r>
  <r>
    <n v="444"/>
    <n v="1"/>
    <n v="22"/>
    <n v="1"/>
    <n v="269.99"/>
    <n v="7.0000000000000007E-2"/>
    <n v="269.92"/>
    <s v="Electra Girl's Hawaii 1 (16-inch) - 2015/2016"/>
    <x v="3"/>
  </r>
  <r>
    <n v="445"/>
    <n v="1"/>
    <n v="7"/>
    <n v="1"/>
    <n v="3999.99"/>
    <n v="0.2"/>
    <n v="3999.79"/>
    <s v="Trek Slash 8 27.5 - 2016"/>
    <x v="1"/>
  </r>
  <r>
    <n v="446"/>
    <n v="1"/>
    <n v="22"/>
    <n v="1"/>
    <n v="269.99"/>
    <n v="0.2"/>
    <n v="269.79000000000002"/>
    <s v="Electra Girl's Hawaii 1 (16-inch) - 2015/2016"/>
    <x v="3"/>
  </r>
  <r>
    <n v="447"/>
    <n v="1"/>
    <n v="4"/>
    <n v="2"/>
    <n v="2899.99"/>
    <n v="0.05"/>
    <n v="5799.9299999999994"/>
    <s v="Trek Fuel EX 8 29 - 2016"/>
    <x v="1"/>
  </r>
  <r>
    <n v="448"/>
    <n v="1"/>
    <n v="13"/>
    <n v="2"/>
    <n v="269.99"/>
    <n v="0.05"/>
    <n v="539.93000000000006"/>
    <s v="Electra Cruiser 1 (24-Inch) - 2016"/>
    <x v="0"/>
  </r>
  <r>
    <n v="449"/>
    <n v="1"/>
    <n v="17"/>
    <n v="2"/>
    <n v="429"/>
    <n v="0.05"/>
    <n v="857.95"/>
    <s v="Pure Cycles Vine 8-Speed - 2016"/>
    <x v="0"/>
  </r>
  <r>
    <n v="450"/>
    <n v="1"/>
    <n v="24"/>
    <n v="1"/>
    <n v="549.99"/>
    <n v="0.05"/>
    <n v="549.94000000000005"/>
    <s v="Electra Townie Original 21D - 2016"/>
    <x v="2"/>
  </r>
  <r>
    <n v="451"/>
    <n v="1"/>
    <n v="14"/>
    <n v="2"/>
    <n v="269.99"/>
    <n v="0.05"/>
    <n v="539.93000000000006"/>
    <s v="Electra Girl's Hawaii 1 (16-inch) - 2015/2016"/>
    <x v="0"/>
  </r>
  <r>
    <n v="452"/>
    <n v="1"/>
    <n v="11"/>
    <n v="1"/>
    <n v="1680.99"/>
    <n v="0.05"/>
    <n v="1680.94"/>
    <s v="Surly Straggler 650b - 2016"/>
    <x v="4"/>
  </r>
  <r>
    <n v="453"/>
    <n v="1"/>
    <n v="23"/>
    <n v="1"/>
    <n v="299.99"/>
    <n v="0.05"/>
    <n v="299.94"/>
    <s v="Electra Girl's Hawaii 1 (20-inch) - 2015/2016"/>
    <x v="3"/>
  </r>
  <r>
    <n v="454"/>
    <n v="1"/>
    <n v="25"/>
    <n v="2"/>
    <n v="499.99"/>
    <n v="7.0000000000000007E-2"/>
    <n v="999.91"/>
    <s v="Electra Townie Original 7D - 2015/2016"/>
    <x v="2"/>
  </r>
  <r>
    <n v="455"/>
    <n v="1"/>
    <n v="9"/>
    <n v="1"/>
    <n v="2999.99"/>
    <n v="0.05"/>
    <n v="2999.9399999999996"/>
    <s v="Trek Conduit+ - 2016"/>
    <x v="5"/>
  </r>
  <r>
    <n v="456"/>
    <n v="1"/>
    <n v="17"/>
    <n v="2"/>
    <n v="429"/>
    <n v="7.0000000000000007E-2"/>
    <n v="857.93"/>
    <s v="Pure Cycles Vine 8-Speed - 2016"/>
    <x v="0"/>
  </r>
  <r>
    <n v="457"/>
    <n v="1"/>
    <n v="24"/>
    <n v="2"/>
    <n v="549.99"/>
    <n v="7.0000000000000007E-2"/>
    <n v="1099.9100000000001"/>
    <s v="Electra Townie Original 21D - 2016"/>
    <x v="2"/>
  </r>
  <r>
    <n v="458"/>
    <n v="1"/>
    <n v="2"/>
    <n v="1"/>
    <n v="749.99"/>
    <n v="0.2"/>
    <n v="749.79"/>
    <s v="Ritchey Timberwolf Frameset - 2016"/>
    <x v="1"/>
  </r>
  <r>
    <n v="459"/>
    <n v="1"/>
    <n v="11"/>
    <n v="1"/>
    <n v="1680.99"/>
    <n v="0.2"/>
    <n v="1680.79"/>
    <s v="Surly Straggler 650b - 2016"/>
    <x v="4"/>
  </r>
  <r>
    <n v="460"/>
    <n v="1"/>
    <n v="19"/>
    <n v="1"/>
    <n v="449"/>
    <n v="0.05"/>
    <n v="448.95"/>
    <s v="Pure Cycles William 3-Speed - 2016"/>
    <x v="0"/>
  </r>
  <r>
    <n v="461"/>
    <n v="1"/>
    <n v="16"/>
    <n v="1"/>
    <n v="599.99"/>
    <n v="7.0000000000000007E-2"/>
    <n v="599.91999999999996"/>
    <s v="Electra Townie Original 7D EQ - 2016"/>
    <x v="0"/>
  </r>
  <r>
    <n v="462"/>
    <n v="1"/>
    <n v="12"/>
    <n v="2"/>
    <n v="549.99"/>
    <n v="0.1"/>
    <n v="1099.8800000000001"/>
    <s v="Electra Townie Original 21D - 2016"/>
    <x v="0"/>
  </r>
  <r>
    <n v="463"/>
    <n v="1"/>
    <n v="13"/>
    <n v="2"/>
    <n v="269.99"/>
    <n v="7.0000000000000007E-2"/>
    <n v="539.91"/>
    <s v="Electra Cruiser 1 (24-Inch) - 2016"/>
    <x v="0"/>
  </r>
  <r>
    <n v="464"/>
    <n v="1"/>
    <n v="7"/>
    <n v="1"/>
    <n v="3999.99"/>
    <n v="0.1"/>
    <n v="3999.89"/>
    <s v="Trek Slash 8 27.5 - 2016"/>
    <x v="1"/>
  </r>
  <r>
    <n v="465"/>
    <n v="1"/>
    <n v="6"/>
    <n v="2"/>
    <n v="469.99"/>
    <n v="0.1"/>
    <n v="939.88"/>
    <s v="Surly Ice Cream Truck Frameset - 2016"/>
    <x v="1"/>
  </r>
  <r>
    <n v="466"/>
    <n v="1"/>
    <n v="19"/>
    <n v="2"/>
    <n v="449"/>
    <n v="0.2"/>
    <n v="897.8"/>
    <s v="Pure Cycles William 3-Speed - 2016"/>
    <x v="0"/>
  </r>
  <r>
    <n v="467"/>
    <n v="1"/>
    <n v="19"/>
    <n v="1"/>
    <n v="449"/>
    <n v="7.0000000000000007E-2"/>
    <n v="448.93"/>
    <s v="Pure Cycles William 3-Speed - 2016"/>
    <x v="0"/>
  </r>
  <r>
    <n v="468"/>
    <n v="1"/>
    <n v="19"/>
    <n v="1"/>
    <n v="449"/>
    <n v="0.1"/>
    <n v="448.9"/>
    <s v="Pure Cycles William 3-Speed - 2016"/>
    <x v="0"/>
  </r>
  <r>
    <n v="469"/>
    <n v="1"/>
    <n v="8"/>
    <n v="2"/>
    <n v="1799.99"/>
    <n v="0.1"/>
    <n v="3599.88"/>
    <s v="Trek Remedy 29 Carbon Frameset - 2016"/>
    <x v="1"/>
  </r>
  <r>
    <n v="470"/>
    <n v="1"/>
    <n v="18"/>
    <n v="1"/>
    <n v="449"/>
    <n v="0.05"/>
    <n v="448.95"/>
    <s v="Pure Cycles Western 3-Speed - Women's - 2015/2016"/>
    <x v="0"/>
  </r>
  <r>
    <n v="471"/>
    <n v="1"/>
    <n v="14"/>
    <n v="1"/>
    <n v="269.99"/>
    <n v="0.2"/>
    <n v="269.79000000000002"/>
    <s v="Electra Girl's Hawaii 1 (16-inch) - 2015/2016"/>
    <x v="0"/>
  </r>
  <r>
    <n v="472"/>
    <n v="1"/>
    <n v="15"/>
    <n v="1"/>
    <n v="529.99"/>
    <n v="0.1"/>
    <n v="529.89"/>
    <s v="Electra Moto 1 - 2016"/>
    <x v="0"/>
  </r>
  <r>
    <n v="473"/>
    <n v="1"/>
    <n v="26"/>
    <n v="1"/>
    <n v="599.99"/>
    <n v="7.0000000000000007E-2"/>
    <n v="599.91999999999996"/>
    <s v="Electra Townie Original 7D EQ - 2016"/>
    <x v="2"/>
  </r>
  <r>
    <n v="474"/>
    <n v="1"/>
    <n v="19"/>
    <n v="2"/>
    <n v="449"/>
    <n v="0.05"/>
    <n v="897.95"/>
    <s v="Pure Cycles William 3-Speed - 2016"/>
    <x v="0"/>
  </r>
  <r>
    <n v="475"/>
    <n v="1"/>
    <n v="17"/>
    <n v="2"/>
    <n v="429"/>
    <n v="7.0000000000000007E-2"/>
    <n v="857.93"/>
    <s v="Pure Cycles Vine 8-Speed - 2016"/>
    <x v="0"/>
  </r>
  <r>
    <n v="476"/>
    <n v="1"/>
    <n v="22"/>
    <n v="2"/>
    <n v="269.99"/>
    <n v="7.0000000000000007E-2"/>
    <n v="539.91"/>
    <s v="Electra Girl's Hawaii 1 (16-inch) - 2015/2016"/>
    <x v="3"/>
  </r>
  <r>
    <n v="477"/>
    <n v="1"/>
    <n v="6"/>
    <n v="1"/>
    <n v="469.99"/>
    <n v="0.1"/>
    <n v="469.89"/>
    <s v="Surly Ice Cream Truck Frameset - 2016"/>
    <x v="1"/>
  </r>
  <r>
    <n v="478"/>
    <n v="1"/>
    <n v="21"/>
    <n v="2"/>
    <n v="269.99"/>
    <n v="7.0000000000000007E-2"/>
    <n v="539.91"/>
    <s v="Electra Cruiser 1 (24-Inch) - 2016"/>
    <x v="3"/>
  </r>
  <r>
    <n v="479"/>
    <n v="1"/>
    <n v="26"/>
    <n v="1"/>
    <n v="599.99"/>
    <n v="7.0000000000000007E-2"/>
    <n v="599.91999999999996"/>
    <s v="Electra Townie Original 7D EQ - 2016"/>
    <x v="2"/>
  </r>
  <r>
    <n v="480"/>
    <n v="1"/>
    <n v="4"/>
    <n v="1"/>
    <n v="2899.99"/>
    <n v="0.05"/>
    <n v="2899.9399999999996"/>
    <s v="Trek Fuel EX 8 29 - 2016"/>
    <x v="1"/>
  </r>
  <r>
    <n v="481"/>
    <n v="1"/>
    <n v="13"/>
    <n v="2"/>
    <n v="269.99"/>
    <n v="0.2"/>
    <n v="539.78"/>
    <s v="Electra Cruiser 1 (24-Inch) - 2016"/>
    <x v="0"/>
  </r>
  <r>
    <n v="482"/>
    <n v="1"/>
    <n v="13"/>
    <n v="1"/>
    <n v="269.99"/>
    <n v="0.2"/>
    <n v="269.79000000000002"/>
    <s v="Electra Cruiser 1 (24-Inch) - 2016"/>
    <x v="0"/>
  </r>
  <r>
    <n v="483"/>
    <n v="1"/>
    <n v="17"/>
    <n v="1"/>
    <n v="429"/>
    <n v="7.0000000000000007E-2"/>
    <n v="428.93"/>
    <s v="Pure Cycles Vine 8-Speed - 2016"/>
    <x v="0"/>
  </r>
  <r>
    <n v="484"/>
    <n v="1"/>
    <n v="8"/>
    <n v="2"/>
    <n v="1799.99"/>
    <n v="0.1"/>
    <n v="3599.88"/>
    <s v="Trek Remedy 29 Carbon Frameset - 2016"/>
    <x v="1"/>
  </r>
  <r>
    <n v="485"/>
    <n v="1"/>
    <n v="13"/>
    <n v="1"/>
    <n v="269.99"/>
    <n v="0.1"/>
    <n v="269.89"/>
    <s v="Electra Cruiser 1 (24-Inch) - 2016"/>
    <x v="0"/>
  </r>
  <r>
    <n v="486"/>
    <n v="1"/>
    <n v="9"/>
    <n v="1"/>
    <n v="2999.99"/>
    <n v="7.0000000000000007E-2"/>
    <n v="2999.9199999999996"/>
    <s v="Trek Conduit+ - 2016"/>
    <x v="5"/>
  </r>
  <r>
    <n v="487"/>
    <n v="1"/>
    <n v="6"/>
    <n v="1"/>
    <n v="469.99"/>
    <n v="0.2"/>
    <n v="469.79"/>
    <s v="Surly Ice Cream Truck Frameset - 2016"/>
    <x v="1"/>
  </r>
  <r>
    <n v="488"/>
    <n v="1"/>
    <n v="13"/>
    <n v="2"/>
    <n v="269.99"/>
    <n v="7.0000000000000007E-2"/>
    <n v="539.91"/>
    <s v="Electra Cruiser 1 (24-Inch) - 2016"/>
    <x v="0"/>
  </r>
  <r>
    <n v="489"/>
    <n v="1"/>
    <n v="8"/>
    <n v="2"/>
    <n v="1799.99"/>
    <n v="0.1"/>
    <n v="3599.88"/>
    <s v="Trek Remedy 29 Carbon Frameset - 2016"/>
    <x v="1"/>
  </r>
  <r>
    <n v="490"/>
    <n v="1"/>
    <n v="12"/>
    <n v="1"/>
    <n v="549.99"/>
    <n v="0.1"/>
    <n v="549.89"/>
    <s v="Electra Townie Original 21D - 2016"/>
    <x v="0"/>
  </r>
  <r>
    <n v="491"/>
    <n v="1"/>
    <n v="9"/>
    <n v="2"/>
    <n v="2999.99"/>
    <n v="0.2"/>
    <n v="5999.78"/>
    <s v="Trek Conduit+ - 2016"/>
    <x v="5"/>
  </r>
  <r>
    <n v="492"/>
    <n v="1"/>
    <n v="6"/>
    <n v="1"/>
    <n v="469.99"/>
    <n v="0.1"/>
    <n v="469.89"/>
    <s v="Surly Ice Cream Truck Frameset - 2016"/>
    <x v="1"/>
  </r>
  <r>
    <n v="493"/>
    <n v="1"/>
    <n v="15"/>
    <n v="1"/>
    <n v="529.99"/>
    <n v="0.05"/>
    <n v="529.94000000000005"/>
    <s v="Electra Moto 1 - 2016"/>
    <x v="0"/>
  </r>
  <r>
    <n v="494"/>
    <n v="1"/>
    <n v="23"/>
    <n v="1"/>
    <n v="299.99"/>
    <n v="0.1"/>
    <n v="299.89"/>
    <s v="Electra Girl's Hawaii 1 (20-inch) - 2015/2016"/>
    <x v="3"/>
  </r>
  <r>
    <n v="495"/>
    <n v="1"/>
    <n v="22"/>
    <n v="1"/>
    <n v="269.99"/>
    <n v="0.2"/>
    <n v="269.79000000000002"/>
    <s v="Electra Girl's Hawaii 1 (16-inch) - 2015/2016"/>
    <x v="3"/>
  </r>
  <r>
    <n v="496"/>
    <n v="1"/>
    <n v="23"/>
    <n v="1"/>
    <n v="299.99"/>
    <n v="0.2"/>
    <n v="299.79000000000002"/>
    <s v="Electra Girl's Hawaii 1 (20-inch) - 2015/2016"/>
    <x v="3"/>
  </r>
  <r>
    <n v="497"/>
    <n v="1"/>
    <n v="25"/>
    <n v="2"/>
    <n v="499.99"/>
    <n v="7.0000000000000007E-2"/>
    <n v="999.91"/>
    <s v="Electra Townie Original 7D - 2015/2016"/>
    <x v="2"/>
  </r>
  <r>
    <n v="498"/>
    <n v="1"/>
    <n v="24"/>
    <n v="1"/>
    <n v="549.99"/>
    <n v="7.0000000000000007E-2"/>
    <n v="549.91999999999996"/>
    <s v="Electra Townie Original 21D - 2016"/>
    <x v="2"/>
  </r>
  <r>
    <n v="499"/>
    <n v="1"/>
    <n v="11"/>
    <n v="1"/>
    <n v="1680.99"/>
    <n v="0.2"/>
    <n v="1680.79"/>
    <s v="Surly Straggler 650b - 2016"/>
    <x v="4"/>
  </r>
  <r>
    <n v="500"/>
    <n v="1"/>
    <n v="12"/>
    <n v="2"/>
    <n v="549.99"/>
    <n v="0.05"/>
    <n v="1099.93"/>
    <s v="Electra Townie Original 21D - 2016"/>
    <x v="0"/>
  </r>
  <r>
    <n v="501"/>
    <n v="1"/>
    <n v="19"/>
    <n v="2"/>
    <n v="449"/>
    <n v="0.05"/>
    <n v="897.95"/>
    <s v="Pure Cycles William 3-Speed - 2016"/>
    <x v="0"/>
  </r>
  <r>
    <n v="502"/>
    <n v="1"/>
    <n v="13"/>
    <n v="1"/>
    <n v="269.99"/>
    <n v="0.05"/>
    <n v="269.94"/>
    <s v="Electra Cruiser 1 (24-Inch) - 2016"/>
    <x v="0"/>
  </r>
  <r>
    <n v="503"/>
    <n v="1"/>
    <n v="13"/>
    <n v="2"/>
    <n v="269.99"/>
    <n v="7.0000000000000007E-2"/>
    <n v="539.91"/>
    <s v="Electra Cruiser 1 (24-Inch) - 2016"/>
    <x v="0"/>
  </r>
  <r>
    <n v="504"/>
    <n v="1"/>
    <n v="24"/>
    <n v="2"/>
    <n v="549.99"/>
    <n v="0.1"/>
    <n v="1099.8800000000001"/>
    <s v="Electra Townie Original 21D - 2016"/>
    <x v="2"/>
  </r>
  <r>
    <n v="505"/>
    <n v="1"/>
    <n v="26"/>
    <n v="1"/>
    <n v="599.99"/>
    <n v="0.2"/>
    <n v="599.79"/>
    <s v="Electra Townie Original 7D EQ - 2016"/>
    <x v="2"/>
  </r>
  <r>
    <n v="506"/>
    <n v="1"/>
    <n v="25"/>
    <n v="1"/>
    <n v="499.99"/>
    <n v="0.1"/>
    <n v="499.89"/>
    <s v="Electra Townie Original 7D - 2015/2016"/>
    <x v="2"/>
  </r>
  <r>
    <n v="507"/>
    <n v="1"/>
    <n v="11"/>
    <n v="2"/>
    <n v="1680.99"/>
    <n v="0.05"/>
    <n v="3361.93"/>
    <s v="Surly Straggler 650b - 2016"/>
    <x v="4"/>
  </r>
  <r>
    <n v="508"/>
    <n v="1"/>
    <n v="8"/>
    <n v="1"/>
    <n v="1799.99"/>
    <n v="0.05"/>
    <n v="1799.94"/>
    <s v="Trek Remedy 29 Carbon Frameset - 2016"/>
    <x v="1"/>
  </r>
  <r>
    <n v="509"/>
    <n v="1"/>
    <n v="23"/>
    <n v="2"/>
    <n v="299.99"/>
    <n v="0.2"/>
    <n v="599.78"/>
    <s v="Electra Girl's Hawaii 1 (20-inch) - 2015/2016"/>
    <x v="3"/>
  </r>
  <r>
    <n v="510"/>
    <n v="1"/>
    <n v="17"/>
    <n v="1"/>
    <n v="429"/>
    <n v="0.1"/>
    <n v="428.9"/>
    <s v="Pure Cycles Vine 8-Speed - 2016"/>
    <x v="0"/>
  </r>
  <r>
    <n v="511"/>
    <n v="1"/>
    <n v="22"/>
    <n v="2"/>
    <n v="269.99"/>
    <n v="0.05"/>
    <n v="539.93000000000006"/>
    <s v="Electra Girl's Hawaii 1 (16-inch) - 2015/2016"/>
    <x v="3"/>
  </r>
  <r>
    <n v="512"/>
    <n v="1"/>
    <n v="21"/>
    <n v="1"/>
    <n v="269.99"/>
    <n v="7.0000000000000007E-2"/>
    <n v="269.92"/>
    <s v="Electra Cruiser 1 (24-Inch) - 2016"/>
    <x v="3"/>
  </r>
  <r>
    <n v="513"/>
    <n v="1"/>
    <n v="7"/>
    <n v="1"/>
    <n v="3999.99"/>
    <n v="7.0000000000000007E-2"/>
    <n v="3999.9199999999996"/>
    <s v="Trek Slash 8 27.5 - 2016"/>
    <x v="1"/>
  </r>
  <r>
    <n v="514"/>
    <n v="1"/>
    <n v="18"/>
    <n v="2"/>
    <n v="449"/>
    <n v="0.2"/>
    <n v="897.8"/>
    <s v="Pure Cycles Western 3-Speed - Women's - 2015/2016"/>
    <x v="0"/>
  </r>
  <r>
    <n v="515"/>
    <n v="1"/>
    <n v="8"/>
    <n v="1"/>
    <n v="1799.99"/>
    <n v="7.0000000000000007E-2"/>
    <n v="1799.92"/>
    <s v="Trek Remedy 29 Carbon Frameset - 2016"/>
    <x v="1"/>
  </r>
  <r>
    <n v="516"/>
    <n v="1"/>
    <n v="7"/>
    <n v="1"/>
    <n v="3999.99"/>
    <n v="0.05"/>
    <n v="3999.9399999999996"/>
    <s v="Trek Slash 8 27.5 - 2016"/>
    <x v="1"/>
  </r>
  <r>
    <n v="517"/>
    <n v="1"/>
    <n v="21"/>
    <n v="2"/>
    <n v="269.99"/>
    <n v="7.0000000000000007E-2"/>
    <n v="539.91"/>
    <s v="Electra Cruiser 1 (24-Inch) - 2016"/>
    <x v="3"/>
  </r>
  <r>
    <n v="518"/>
    <n v="1"/>
    <n v="16"/>
    <n v="2"/>
    <n v="599.99"/>
    <n v="0.2"/>
    <n v="1199.78"/>
    <s v="Electra Townie Original 7D EQ - 2016"/>
    <x v="0"/>
  </r>
  <r>
    <n v="519"/>
    <n v="1"/>
    <n v="6"/>
    <n v="1"/>
    <n v="469.99"/>
    <n v="7.0000000000000007E-2"/>
    <n v="469.92"/>
    <s v="Surly Ice Cream Truck Frameset - 2016"/>
    <x v="1"/>
  </r>
  <r>
    <n v="520"/>
    <n v="1"/>
    <n v="26"/>
    <n v="1"/>
    <n v="599.99"/>
    <n v="0.1"/>
    <n v="599.89"/>
    <s v="Electra Townie Original 7D EQ - 2016"/>
    <x v="2"/>
  </r>
  <r>
    <n v="521"/>
    <n v="1"/>
    <n v="5"/>
    <n v="1"/>
    <n v="1320.99"/>
    <n v="0.2"/>
    <n v="1320.79"/>
    <s v="Heller Shagamaw Frame - 2016"/>
    <x v="1"/>
  </r>
  <r>
    <n v="522"/>
    <n v="1"/>
    <n v="4"/>
    <n v="2"/>
    <n v="2899.99"/>
    <n v="7.0000000000000007E-2"/>
    <n v="5799.91"/>
    <s v="Trek Fuel EX 8 29 - 2016"/>
    <x v="1"/>
  </r>
  <r>
    <n v="523"/>
    <n v="1"/>
    <n v="12"/>
    <n v="1"/>
    <n v="549.99"/>
    <n v="0.2"/>
    <n v="549.79"/>
    <s v="Electra Townie Original 21D - 2016"/>
    <x v="0"/>
  </r>
  <r>
    <n v="524"/>
    <n v="1"/>
    <n v="11"/>
    <n v="1"/>
    <n v="1680.99"/>
    <n v="7.0000000000000007E-2"/>
    <n v="1680.92"/>
    <s v="Surly Straggler 650b - 2016"/>
    <x v="4"/>
  </r>
  <r>
    <n v="525"/>
    <n v="1"/>
    <n v="9"/>
    <n v="2"/>
    <n v="2999.99"/>
    <n v="7.0000000000000007E-2"/>
    <n v="5999.91"/>
    <s v="Trek Conduit+ - 2016"/>
    <x v="5"/>
  </r>
  <r>
    <n v="526"/>
    <n v="1"/>
    <n v="3"/>
    <n v="2"/>
    <n v="999.99"/>
    <n v="0.1"/>
    <n v="1999.88"/>
    <s v="Surly Wednesday Frameset - 2016"/>
    <x v="1"/>
  </r>
  <r>
    <n v="527"/>
    <n v="1"/>
    <n v="18"/>
    <n v="2"/>
    <n v="449"/>
    <n v="7.0000000000000007E-2"/>
    <n v="897.93"/>
    <s v="Pure Cycles Western 3-Speed - Women's - 2015/2016"/>
    <x v="0"/>
  </r>
  <r>
    <n v="528"/>
    <n v="1"/>
    <n v="21"/>
    <n v="2"/>
    <n v="269.99"/>
    <n v="0.05"/>
    <n v="539.93000000000006"/>
    <s v="Electra Cruiser 1 (24-Inch) - 2016"/>
    <x v="3"/>
  </r>
  <r>
    <n v="529"/>
    <n v="1"/>
    <n v="12"/>
    <n v="2"/>
    <n v="549.99"/>
    <n v="7.0000000000000007E-2"/>
    <n v="1099.9100000000001"/>
    <s v="Electra Townie Original 21D - 2016"/>
    <x v="0"/>
  </r>
  <r>
    <n v="530"/>
    <n v="1"/>
    <n v="2"/>
    <n v="2"/>
    <n v="749.99"/>
    <n v="0.05"/>
    <n v="1499.93"/>
    <s v="Ritchey Timberwolf Frameset - 2016"/>
    <x v="1"/>
  </r>
  <r>
    <n v="531"/>
    <n v="1"/>
    <n v="6"/>
    <n v="1"/>
    <n v="469.99"/>
    <n v="0.2"/>
    <n v="469.79"/>
    <s v="Surly Ice Cream Truck Frameset - 2016"/>
    <x v="1"/>
  </r>
  <r>
    <n v="532"/>
    <n v="1"/>
    <n v="17"/>
    <n v="2"/>
    <n v="429"/>
    <n v="7.0000000000000007E-2"/>
    <n v="857.93"/>
    <s v="Pure Cycles Vine 8-Speed - 2016"/>
    <x v="0"/>
  </r>
  <r>
    <n v="533"/>
    <n v="1"/>
    <n v="4"/>
    <n v="1"/>
    <n v="2899.99"/>
    <n v="0.2"/>
    <n v="2899.79"/>
    <s v="Trek Fuel EX 8 29 - 2016"/>
    <x v="1"/>
  </r>
  <r>
    <n v="534"/>
    <n v="1"/>
    <n v="21"/>
    <n v="2"/>
    <n v="269.99"/>
    <n v="0.05"/>
    <n v="539.93000000000006"/>
    <s v="Electra Cruiser 1 (24-Inch) - 2016"/>
    <x v="3"/>
  </r>
  <r>
    <n v="535"/>
    <n v="1"/>
    <n v="24"/>
    <n v="1"/>
    <n v="549.99"/>
    <n v="0.05"/>
    <n v="549.94000000000005"/>
    <s v="Electra Townie Original 21D - 2016"/>
    <x v="2"/>
  </r>
  <r>
    <n v="536"/>
    <n v="1"/>
    <n v="22"/>
    <n v="1"/>
    <n v="269.99"/>
    <n v="0.1"/>
    <n v="269.89"/>
    <s v="Electra Girl's Hawaii 1 (16-inch) - 2015/2016"/>
    <x v="3"/>
  </r>
  <r>
    <n v="537"/>
    <n v="1"/>
    <n v="10"/>
    <n v="1"/>
    <n v="1549"/>
    <n v="0.05"/>
    <n v="1548.95"/>
    <s v="Surly Straggler - 2016"/>
    <x v="4"/>
  </r>
  <r>
    <n v="538"/>
    <n v="1"/>
    <n v="2"/>
    <n v="2"/>
    <n v="749.99"/>
    <n v="0.2"/>
    <n v="1499.78"/>
    <s v="Ritchey Timberwolf Frameset - 2016"/>
    <x v="1"/>
  </r>
  <r>
    <n v="539"/>
    <n v="1"/>
    <n v="9"/>
    <n v="2"/>
    <n v="2999.99"/>
    <n v="0.1"/>
    <n v="5999.8799999999992"/>
    <s v="Trek Conduit+ - 2016"/>
    <x v="5"/>
  </r>
  <r>
    <n v="540"/>
    <n v="1"/>
    <n v="19"/>
    <n v="1"/>
    <n v="449"/>
    <n v="0.1"/>
    <n v="448.9"/>
    <s v="Pure Cycles William 3-Speed - 2016"/>
    <x v="0"/>
  </r>
  <r>
    <n v="541"/>
    <n v="1"/>
    <n v="22"/>
    <n v="2"/>
    <n v="269.99"/>
    <n v="0.05"/>
    <n v="539.93000000000006"/>
    <s v="Electra Girl's Hawaii 1 (16-inch) - 2015/2016"/>
    <x v="3"/>
  </r>
  <r>
    <n v="542"/>
    <n v="1"/>
    <n v="16"/>
    <n v="2"/>
    <n v="599.99"/>
    <n v="0.2"/>
    <n v="1199.78"/>
    <s v="Electra Townie Original 7D EQ - 2016"/>
    <x v="0"/>
  </r>
  <r>
    <n v="543"/>
    <n v="1"/>
    <n v="25"/>
    <n v="1"/>
    <n v="499.99"/>
    <n v="0.2"/>
    <n v="499.79"/>
    <s v="Electra Townie Original 7D - 2015/2016"/>
    <x v="2"/>
  </r>
  <r>
    <n v="544"/>
    <n v="1"/>
    <n v="12"/>
    <n v="1"/>
    <n v="549.99"/>
    <n v="0.05"/>
    <n v="549.94000000000005"/>
    <s v="Electra Townie Original 21D - 2016"/>
    <x v="0"/>
  </r>
  <r>
    <n v="545"/>
    <n v="1"/>
    <n v="25"/>
    <n v="2"/>
    <n v="499.99"/>
    <n v="0.2"/>
    <n v="999.78"/>
    <s v="Electra Townie Original 7D - 2015/2016"/>
    <x v="2"/>
  </r>
  <r>
    <n v="546"/>
    <n v="1"/>
    <n v="17"/>
    <n v="2"/>
    <n v="429"/>
    <n v="0.05"/>
    <n v="857.95"/>
    <s v="Pure Cycles Vine 8-Speed - 2016"/>
    <x v="0"/>
  </r>
  <r>
    <n v="547"/>
    <n v="1"/>
    <n v="11"/>
    <n v="2"/>
    <n v="1680.99"/>
    <n v="0.05"/>
    <n v="3361.93"/>
    <s v="Surly Straggler 650b - 2016"/>
    <x v="4"/>
  </r>
  <r>
    <n v="548"/>
    <n v="1"/>
    <n v="8"/>
    <n v="1"/>
    <n v="1799.99"/>
    <n v="0.1"/>
    <n v="1799.89"/>
    <s v="Trek Remedy 29 Carbon Frameset - 2016"/>
    <x v="1"/>
  </r>
  <r>
    <n v="549"/>
    <n v="1"/>
    <n v="15"/>
    <n v="1"/>
    <n v="529.99"/>
    <n v="7.0000000000000007E-2"/>
    <n v="529.91999999999996"/>
    <s v="Electra Moto 1 - 2016"/>
    <x v="0"/>
  </r>
  <r>
    <n v="550"/>
    <n v="1"/>
    <n v="4"/>
    <n v="1"/>
    <n v="2899.99"/>
    <n v="0.05"/>
    <n v="2899.9399999999996"/>
    <s v="Trek Fuel EX 8 29 - 2016"/>
    <x v="1"/>
  </r>
  <r>
    <n v="551"/>
    <n v="1"/>
    <n v="16"/>
    <n v="1"/>
    <n v="599.99"/>
    <n v="0.05"/>
    <n v="599.94000000000005"/>
    <s v="Electra Townie Original 7D EQ - 2016"/>
    <x v="0"/>
  </r>
  <r>
    <n v="552"/>
    <n v="1"/>
    <n v="23"/>
    <n v="1"/>
    <n v="299.99"/>
    <n v="0.2"/>
    <n v="299.79000000000002"/>
    <s v="Electra Girl's Hawaii 1 (20-inch) - 2015/2016"/>
    <x v="3"/>
  </r>
  <r>
    <n v="553"/>
    <n v="1"/>
    <n v="24"/>
    <n v="1"/>
    <n v="549.99"/>
    <n v="0.1"/>
    <n v="549.89"/>
    <s v="Electra Townie Original 21D - 2016"/>
    <x v="2"/>
  </r>
  <r>
    <n v="554"/>
    <n v="1"/>
    <n v="3"/>
    <n v="2"/>
    <n v="999.99"/>
    <n v="7.0000000000000007E-2"/>
    <n v="1999.91"/>
    <s v="Surly Wednesday Frameset - 2016"/>
    <x v="1"/>
  </r>
  <r>
    <n v="555"/>
    <n v="1"/>
    <n v="8"/>
    <n v="1"/>
    <n v="1799.99"/>
    <n v="0.2"/>
    <n v="1799.79"/>
    <s v="Trek Remedy 29 Carbon Frameset - 2016"/>
    <x v="1"/>
  </r>
  <r>
    <n v="556"/>
    <n v="1"/>
    <n v="16"/>
    <n v="1"/>
    <n v="599.99"/>
    <n v="0.1"/>
    <n v="599.89"/>
    <s v="Electra Townie Original 7D EQ - 2016"/>
    <x v="0"/>
  </r>
  <r>
    <n v="557"/>
    <n v="1"/>
    <n v="9"/>
    <n v="2"/>
    <n v="2999.99"/>
    <n v="0.1"/>
    <n v="5999.8799999999992"/>
    <s v="Trek Conduit+ - 2016"/>
    <x v="5"/>
  </r>
  <r>
    <n v="558"/>
    <n v="1"/>
    <n v="7"/>
    <n v="1"/>
    <n v="3999.99"/>
    <n v="7.0000000000000007E-2"/>
    <n v="3999.9199999999996"/>
    <s v="Trek Slash 8 27.5 - 2016"/>
    <x v="1"/>
  </r>
  <r>
    <n v="559"/>
    <n v="1"/>
    <n v="15"/>
    <n v="2"/>
    <n v="529.99"/>
    <n v="0.1"/>
    <n v="1059.8800000000001"/>
    <s v="Electra Moto 1 - 2016"/>
    <x v="0"/>
  </r>
  <r>
    <n v="560"/>
    <n v="1"/>
    <n v="16"/>
    <n v="1"/>
    <n v="599.99"/>
    <n v="0.05"/>
    <n v="599.94000000000005"/>
    <s v="Electra Townie Original 7D EQ - 2016"/>
    <x v="0"/>
  </r>
  <r>
    <n v="561"/>
    <n v="1"/>
    <n v="15"/>
    <n v="2"/>
    <n v="529.99"/>
    <n v="0.05"/>
    <n v="1059.93"/>
    <s v="Electra Moto 1 - 2016"/>
    <x v="0"/>
  </r>
  <r>
    <n v="562"/>
    <n v="1"/>
    <n v="25"/>
    <n v="2"/>
    <n v="499.99"/>
    <n v="7.0000000000000007E-2"/>
    <n v="999.91"/>
    <s v="Electra Townie Original 7D - 2015/2016"/>
    <x v="2"/>
  </r>
  <r>
    <n v="563"/>
    <n v="1"/>
    <n v="6"/>
    <n v="2"/>
    <n v="469.99"/>
    <n v="0.1"/>
    <n v="939.88"/>
    <s v="Surly Ice Cream Truck Frameset - 2016"/>
    <x v="1"/>
  </r>
  <r>
    <n v="564"/>
    <n v="1"/>
    <n v="4"/>
    <n v="1"/>
    <n v="2899.99"/>
    <n v="0.2"/>
    <n v="2899.79"/>
    <s v="Trek Fuel EX 8 29 - 2016"/>
    <x v="1"/>
  </r>
  <r>
    <n v="565"/>
    <n v="1"/>
    <n v="18"/>
    <n v="1"/>
    <n v="449"/>
    <n v="0.2"/>
    <n v="448.8"/>
    <s v="Pure Cycles Western 3-Speed - Women's - 2015/2016"/>
    <x v="0"/>
  </r>
  <r>
    <n v="566"/>
    <n v="1"/>
    <n v="24"/>
    <n v="2"/>
    <n v="549.99"/>
    <n v="7.0000000000000007E-2"/>
    <n v="1099.9100000000001"/>
    <s v="Electra Townie Original 21D - 2016"/>
    <x v="2"/>
  </r>
  <r>
    <n v="567"/>
    <n v="1"/>
    <n v="9"/>
    <n v="1"/>
    <n v="2999.99"/>
    <n v="0.2"/>
    <n v="2999.79"/>
    <s v="Trek Conduit+ - 2016"/>
    <x v="5"/>
  </r>
  <r>
    <n v="568"/>
    <n v="1"/>
    <n v="5"/>
    <n v="1"/>
    <n v="1320.99"/>
    <n v="0.05"/>
    <n v="1320.94"/>
    <s v="Heller Shagamaw Frame - 2016"/>
    <x v="1"/>
  </r>
  <r>
    <n v="569"/>
    <n v="1"/>
    <n v="16"/>
    <n v="1"/>
    <n v="599.99"/>
    <n v="0.05"/>
    <n v="599.94000000000005"/>
    <s v="Electra Townie Original 7D EQ - 2016"/>
    <x v="0"/>
  </r>
  <r>
    <n v="570"/>
    <n v="1"/>
    <n v="18"/>
    <n v="1"/>
    <n v="449"/>
    <n v="7.0000000000000007E-2"/>
    <n v="448.93"/>
    <s v="Pure Cycles Western 3-Speed - Women's - 2015/2016"/>
    <x v="0"/>
  </r>
  <r>
    <n v="571"/>
    <n v="1"/>
    <n v="4"/>
    <n v="1"/>
    <n v="2899.99"/>
    <n v="0.05"/>
    <n v="2899.9399999999996"/>
    <s v="Trek Fuel EX 8 29 - 2016"/>
    <x v="1"/>
  </r>
  <r>
    <n v="572"/>
    <n v="1"/>
    <n v="3"/>
    <n v="1"/>
    <n v="999.99"/>
    <n v="0.05"/>
    <n v="999.94"/>
    <s v="Surly Wednesday Frameset - 2016"/>
    <x v="1"/>
  </r>
  <r>
    <n v="573"/>
    <n v="1"/>
    <n v="2"/>
    <n v="1"/>
    <n v="749.99"/>
    <n v="0.2"/>
    <n v="749.79"/>
    <s v="Ritchey Timberwolf Frameset - 2016"/>
    <x v="1"/>
  </r>
  <r>
    <n v="574"/>
    <n v="1"/>
    <n v="26"/>
    <n v="1"/>
    <n v="599.99"/>
    <n v="0.05"/>
    <n v="599.94000000000005"/>
    <s v="Electra Townie Original 7D EQ - 2016"/>
    <x v="2"/>
  </r>
  <r>
    <n v="575"/>
    <n v="1"/>
    <n v="4"/>
    <n v="2"/>
    <n v="2899.99"/>
    <n v="7.0000000000000007E-2"/>
    <n v="5799.91"/>
    <s v="Trek Fuel EX 8 29 - 2016"/>
    <x v="1"/>
  </r>
  <r>
    <n v="576"/>
    <n v="1"/>
    <n v="9"/>
    <n v="1"/>
    <n v="2999.99"/>
    <n v="0.1"/>
    <n v="2999.89"/>
    <s v="Trek Conduit+ - 2016"/>
    <x v="5"/>
  </r>
  <r>
    <n v="577"/>
    <n v="1"/>
    <n v="3"/>
    <n v="2"/>
    <n v="999.99"/>
    <n v="0.2"/>
    <n v="1999.78"/>
    <s v="Surly Wednesday Frameset - 2016"/>
    <x v="1"/>
  </r>
  <r>
    <n v="578"/>
    <n v="1"/>
    <n v="21"/>
    <n v="1"/>
    <n v="269.99"/>
    <n v="7.0000000000000007E-2"/>
    <n v="269.92"/>
    <s v="Electra Cruiser 1 (24-Inch) - 2016"/>
    <x v="3"/>
  </r>
  <r>
    <n v="579"/>
    <n v="1"/>
    <n v="7"/>
    <n v="2"/>
    <n v="3999.99"/>
    <n v="0.05"/>
    <n v="7999.9299999999994"/>
    <s v="Trek Slash 8 27.5 - 2016"/>
    <x v="1"/>
  </r>
  <r>
    <n v="580"/>
    <n v="1"/>
    <n v="16"/>
    <n v="2"/>
    <n v="599.99"/>
    <n v="0.2"/>
    <n v="1199.78"/>
    <s v="Electra Townie Original 7D EQ - 2016"/>
    <x v="0"/>
  </r>
  <r>
    <n v="581"/>
    <n v="1"/>
    <n v="8"/>
    <n v="2"/>
    <n v="1799.99"/>
    <n v="7.0000000000000007E-2"/>
    <n v="3599.91"/>
    <s v="Trek Remedy 29 Carbon Frameset - 2016"/>
    <x v="1"/>
  </r>
  <r>
    <n v="582"/>
    <n v="1"/>
    <n v="10"/>
    <n v="2"/>
    <n v="1549"/>
    <n v="0.2"/>
    <n v="3097.8"/>
    <s v="Surly Straggler - 2016"/>
    <x v="4"/>
  </r>
  <r>
    <n v="583"/>
    <n v="1"/>
    <n v="15"/>
    <n v="2"/>
    <n v="529.99"/>
    <n v="0.2"/>
    <n v="1059.78"/>
    <s v="Electra Moto 1 - 2016"/>
    <x v="0"/>
  </r>
  <r>
    <n v="584"/>
    <n v="1"/>
    <n v="19"/>
    <n v="1"/>
    <n v="449"/>
    <n v="7.0000000000000007E-2"/>
    <n v="448.93"/>
    <s v="Pure Cycles William 3-Speed - 2016"/>
    <x v="0"/>
  </r>
  <r>
    <n v="585"/>
    <n v="1"/>
    <n v="10"/>
    <n v="1"/>
    <n v="1549"/>
    <n v="0.2"/>
    <n v="1548.8"/>
    <s v="Surly Straggler - 2016"/>
    <x v="4"/>
  </r>
  <r>
    <n v="586"/>
    <n v="1"/>
    <n v="11"/>
    <n v="2"/>
    <n v="1680.99"/>
    <n v="0.1"/>
    <n v="3361.88"/>
    <s v="Surly Straggler 650b - 2016"/>
    <x v="4"/>
  </r>
  <r>
    <n v="587"/>
    <n v="1"/>
    <n v="24"/>
    <n v="1"/>
    <n v="549.99"/>
    <n v="0.05"/>
    <n v="549.94000000000005"/>
    <s v="Electra Townie Original 21D - 2016"/>
    <x v="2"/>
  </r>
  <r>
    <n v="588"/>
    <n v="1"/>
    <n v="10"/>
    <n v="2"/>
    <n v="1549"/>
    <n v="7.0000000000000007E-2"/>
    <n v="3097.93"/>
    <s v="Surly Straggler - 2016"/>
    <x v="4"/>
  </r>
  <r>
    <n v="589"/>
    <n v="1"/>
    <n v="15"/>
    <n v="2"/>
    <n v="529.99"/>
    <n v="0.05"/>
    <n v="1059.93"/>
    <s v="Electra Moto 1 - 2016"/>
    <x v="0"/>
  </r>
  <r>
    <n v="590"/>
    <n v="1"/>
    <n v="2"/>
    <n v="2"/>
    <n v="749.99"/>
    <n v="0.1"/>
    <n v="1499.88"/>
    <s v="Ritchey Timberwolf Frameset - 2016"/>
    <x v="1"/>
  </r>
  <r>
    <n v="591"/>
    <n v="1"/>
    <n v="16"/>
    <n v="2"/>
    <n v="599.99"/>
    <n v="0.05"/>
    <n v="1199.93"/>
    <s v="Electra Townie Original 7D EQ - 2016"/>
    <x v="0"/>
  </r>
  <r>
    <n v="592"/>
    <n v="1"/>
    <n v="21"/>
    <n v="2"/>
    <n v="269.99"/>
    <n v="0.1"/>
    <n v="539.88"/>
    <s v="Electra Cruiser 1 (24-Inch) - 2016"/>
    <x v="3"/>
  </r>
  <r>
    <n v="593"/>
    <n v="1"/>
    <n v="3"/>
    <n v="2"/>
    <n v="999.99"/>
    <n v="0.1"/>
    <n v="1999.88"/>
    <s v="Surly Wednesday Frameset - 2016"/>
    <x v="1"/>
  </r>
  <r>
    <n v="594"/>
    <n v="1"/>
    <n v="26"/>
    <n v="1"/>
    <n v="599.99"/>
    <n v="0.1"/>
    <n v="599.89"/>
    <s v="Electra Townie Original 7D EQ - 2016"/>
    <x v="2"/>
  </r>
  <r>
    <n v="595"/>
    <n v="1"/>
    <n v="4"/>
    <n v="1"/>
    <n v="2899.99"/>
    <n v="7.0000000000000007E-2"/>
    <n v="2899.9199999999996"/>
    <s v="Trek Fuel EX 8 29 - 2016"/>
    <x v="1"/>
  </r>
  <r>
    <n v="596"/>
    <n v="1"/>
    <n v="5"/>
    <n v="1"/>
    <n v="1320.99"/>
    <n v="0.05"/>
    <n v="1320.94"/>
    <s v="Heller Shagamaw Frame - 2016"/>
    <x v="1"/>
  </r>
  <r>
    <n v="597"/>
    <n v="1"/>
    <n v="17"/>
    <n v="2"/>
    <n v="429"/>
    <n v="0.2"/>
    <n v="857.8"/>
    <s v="Pure Cycles Vine 8-Speed - 2016"/>
    <x v="0"/>
  </r>
  <r>
    <n v="598"/>
    <n v="1"/>
    <n v="4"/>
    <n v="2"/>
    <n v="2899.99"/>
    <n v="0.05"/>
    <n v="5799.9299999999994"/>
    <s v="Trek Fuel EX 8 29 - 2016"/>
    <x v="1"/>
  </r>
  <r>
    <n v="599"/>
    <n v="1"/>
    <n v="9"/>
    <n v="2"/>
    <n v="2999.99"/>
    <n v="0.05"/>
    <n v="5999.9299999999994"/>
    <s v="Trek Conduit+ - 2016"/>
    <x v="5"/>
  </r>
  <r>
    <n v="600"/>
    <n v="1"/>
    <n v="26"/>
    <n v="2"/>
    <n v="599.99"/>
    <n v="7.0000000000000007E-2"/>
    <n v="1199.9100000000001"/>
    <s v="Electra Townie Original 7D EQ - 2016"/>
    <x v="2"/>
  </r>
  <r>
    <n v="601"/>
    <n v="1"/>
    <n v="12"/>
    <n v="2"/>
    <n v="549.99"/>
    <n v="0.2"/>
    <n v="1099.78"/>
    <s v="Electra Townie Original 21D - 2016"/>
    <x v="0"/>
  </r>
  <r>
    <n v="602"/>
    <n v="1"/>
    <n v="15"/>
    <n v="2"/>
    <n v="529.99"/>
    <n v="0.05"/>
    <n v="1059.93"/>
    <s v="Electra Moto 1 - 2016"/>
    <x v="0"/>
  </r>
  <r>
    <n v="603"/>
    <n v="1"/>
    <n v="12"/>
    <n v="1"/>
    <n v="549.99"/>
    <n v="7.0000000000000007E-2"/>
    <n v="549.91999999999996"/>
    <s v="Electra Townie Original 21D - 2016"/>
    <x v="0"/>
  </r>
  <r>
    <n v="604"/>
    <n v="1"/>
    <n v="10"/>
    <n v="2"/>
    <n v="1549"/>
    <n v="7.0000000000000007E-2"/>
    <n v="3097.93"/>
    <s v="Surly Straggler - 2016"/>
    <x v="4"/>
  </r>
  <r>
    <n v="605"/>
    <n v="1"/>
    <n v="19"/>
    <n v="1"/>
    <n v="449"/>
    <n v="7.0000000000000007E-2"/>
    <n v="448.93"/>
    <s v="Pure Cycles William 3-Speed - 2016"/>
    <x v="0"/>
  </r>
  <r>
    <n v="606"/>
    <n v="1"/>
    <n v="6"/>
    <n v="2"/>
    <n v="469.99"/>
    <n v="0.2"/>
    <n v="939.78"/>
    <s v="Surly Ice Cream Truck Frameset - 2016"/>
    <x v="1"/>
  </r>
  <r>
    <n v="607"/>
    <n v="1"/>
    <n v="11"/>
    <n v="2"/>
    <n v="1680.99"/>
    <n v="0.2"/>
    <n v="3361.78"/>
    <s v="Surly Straggler 650b - 2016"/>
    <x v="4"/>
  </r>
  <r>
    <n v="608"/>
    <n v="1"/>
    <n v="4"/>
    <n v="2"/>
    <n v="2899.99"/>
    <n v="0.2"/>
    <n v="5799.78"/>
    <s v="Trek Fuel EX 8 29 - 2016"/>
    <x v="1"/>
  </r>
  <r>
    <n v="609"/>
    <n v="1"/>
    <n v="10"/>
    <n v="1"/>
    <n v="1549"/>
    <n v="7.0000000000000007E-2"/>
    <n v="1548.93"/>
    <s v="Surly Straggler - 2016"/>
    <x v="4"/>
  </r>
  <r>
    <n v="610"/>
    <n v="1"/>
    <n v="26"/>
    <n v="1"/>
    <n v="599.99"/>
    <n v="0.1"/>
    <n v="599.89"/>
    <s v="Electra Townie Original 7D EQ - 2016"/>
    <x v="2"/>
  </r>
  <r>
    <n v="611"/>
    <n v="1"/>
    <n v="16"/>
    <n v="2"/>
    <n v="599.99"/>
    <n v="7.0000000000000007E-2"/>
    <n v="1199.9100000000001"/>
    <s v="Electra Townie Original 7D EQ - 2016"/>
    <x v="0"/>
  </r>
  <r>
    <n v="612"/>
    <n v="1"/>
    <n v="13"/>
    <n v="1"/>
    <n v="269.99"/>
    <n v="0.1"/>
    <n v="269.89"/>
    <s v="Electra Cruiser 1 (24-Inch) - 2016"/>
    <x v="0"/>
  </r>
  <r>
    <n v="613"/>
    <n v="1"/>
    <n v="9"/>
    <n v="2"/>
    <n v="2999.99"/>
    <n v="0.1"/>
    <n v="5999.8799999999992"/>
    <s v="Trek Conduit+ - 2016"/>
    <x v="5"/>
  </r>
  <r>
    <n v="614"/>
    <n v="1"/>
    <n v="18"/>
    <n v="1"/>
    <n v="449"/>
    <n v="0.1"/>
    <n v="448.9"/>
    <s v="Pure Cycles Western 3-Speed - Women's - 2015/2016"/>
    <x v="0"/>
  </r>
  <r>
    <n v="615"/>
    <n v="1"/>
    <n v="11"/>
    <n v="1"/>
    <n v="1680.99"/>
    <n v="7.0000000000000007E-2"/>
    <n v="1680.92"/>
    <s v="Surly Straggler 650b - 2016"/>
    <x v="4"/>
  </r>
  <r>
    <n v="616"/>
    <n v="1"/>
    <n v="24"/>
    <n v="1"/>
    <n v="549.99"/>
    <n v="0.2"/>
    <n v="549.79"/>
    <s v="Electra Townie Original 21D - 2016"/>
    <x v="2"/>
  </r>
  <r>
    <n v="617"/>
    <n v="1"/>
    <n v="15"/>
    <n v="2"/>
    <n v="529.99"/>
    <n v="0.2"/>
    <n v="1059.78"/>
    <s v="Electra Moto 1 - 2016"/>
    <x v="0"/>
  </r>
  <r>
    <n v="618"/>
    <n v="1"/>
    <n v="17"/>
    <n v="2"/>
    <n v="429"/>
    <n v="0.1"/>
    <n v="857.9"/>
    <s v="Pure Cycles Vine 8-Speed - 2016"/>
    <x v="0"/>
  </r>
  <r>
    <n v="619"/>
    <n v="1"/>
    <n v="25"/>
    <n v="1"/>
    <n v="499.99"/>
    <n v="7.0000000000000007E-2"/>
    <n v="499.92"/>
    <s v="Electra Townie Original 7D - 2015/2016"/>
    <x v="2"/>
  </r>
  <r>
    <n v="620"/>
    <n v="1"/>
    <n v="5"/>
    <n v="2"/>
    <n v="1320.99"/>
    <n v="0.2"/>
    <n v="2641.78"/>
    <s v="Heller Shagamaw Frame - 2016"/>
    <x v="1"/>
  </r>
  <r>
    <n v="621"/>
    <n v="1"/>
    <n v="17"/>
    <n v="2"/>
    <n v="429"/>
    <n v="7.0000000000000007E-2"/>
    <n v="857.93"/>
    <s v="Pure Cycles Vine 8-Speed - 2016"/>
    <x v="0"/>
  </r>
  <r>
    <n v="622"/>
    <n v="1"/>
    <n v="9"/>
    <n v="2"/>
    <n v="2999.99"/>
    <n v="7.0000000000000007E-2"/>
    <n v="5999.91"/>
    <s v="Trek Conduit+ - 2016"/>
    <x v="5"/>
  </r>
  <r>
    <n v="623"/>
    <n v="1"/>
    <n v="8"/>
    <n v="1"/>
    <n v="1799.99"/>
    <n v="7.0000000000000007E-2"/>
    <n v="1799.92"/>
    <s v="Trek Remedy 29 Carbon Frameset - 2016"/>
    <x v="1"/>
  </r>
  <r>
    <n v="624"/>
    <n v="1"/>
    <n v="21"/>
    <n v="2"/>
    <n v="269.99"/>
    <n v="0.05"/>
    <n v="539.93000000000006"/>
    <s v="Electra Cruiser 1 (24-Inch) - 2016"/>
    <x v="3"/>
  </r>
  <r>
    <n v="625"/>
    <n v="1"/>
    <n v="17"/>
    <n v="1"/>
    <n v="429"/>
    <n v="7.0000000000000007E-2"/>
    <n v="428.93"/>
    <s v="Pure Cycles Vine 8-Speed - 2016"/>
    <x v="0"/>
  </r>
  <r>
    <n v="626"/>
    <n v="1"/>
    <n v="15"/>
    <n v="1"/>
    <n v="529.99"/>
    <n v="0.2"/>
    <n v="529.79"/>
    <s v="Electra Moto 1 - 2016"/>
    <x v="0"/>
  </r>
  <r>
    <n v="627"/>
    <n v="1"/>
    <n v="19"/>
    <n v="1"/>
    <n v="449"/>
    <n v="7.0000000000000007E-2"/>
    <n v="448.93"/>
    <s v="Pure Cycles William 3-Speed - 2016"/>
    <x v="0"/>
  </r>
  <r>
    <n v="628"/>
    <n v="1"/>
    <n v="15"/>
    <n v="2"/>
    <n v="529.99"/>
    <n v="0.1"/>
    <n v="1059.8800000000001"/>
    <s v="Electra Moto 1 - 2016"/>
    <x v="0"/>
  </r>
  <r>
    <n v="629"/>
    <n v="1"/>
    <n v="19"/>
    <n v="1"/>
    <n v="449"/>
    <n v="0.05"/>
    <n v="448.95"/>
    <s v="Pure Cycles William 3-Speed - 2016"/>
    <x v="0"/>
  </r>
  <r>
    <n v="630"/>
    <n v="1"/>
    <n v="5"/>
    <n v="1"/>
    <n v="1320.99"/>
    <n v="0.05"/>
    <n v="1320.94"/>
    <s v="Heller Shagamaw Frame - 2016"/>
    <x v="1"/>
  </r>
  <r>
    <n v="631"/>
    <n v="1"/>
    <n v="24"/>
    <n v="2"/>
    <n v="549.99"/>
    <n v="7.0000000000000007E-2"/>
    <n v="1099.9100000000001"/>
    <s v="Electra Townie Original 21D - 2016"/>
    <x v="2"/>
  </r>
  <r>
    <n v="632"/>
    <n v="1"/>
    <n v="25"/>
    <n v="1"/>
    <n v="499.99"/>
    <n v="0.2"/>
    <n v="499.79"/>
    <s v="Electra Townie Original 7D - 2015/2016"/>
    <x v="2"/>
  </r>
  <r>
    <n v="633"/>
    <n v="1"/>
    <n v="12"/>
    <n v="2"/>
    <n v="549.99"/>
    <n v="0.05"/>
    <n v="1099.93"/>
    <s v="Electra Townie Original 21D - 2016"/>
    <x v="0"/>
  </r>
  <r>
    <n v="634"/>
    <n v="1"/>
    <n v="4"/>
    <n v="2"/>
    <n v="2899.99"/>
    <n v="0.05"/>
    <n v="5799.9299999999994"/>
    <s v="Trek Fuel EX 8 29 - 2016"/>
    <x v="1"/>
  </r>
  <r>
    <n v="635"/>
    <n v="1"/>
    <n v="4"/>
    <n v="1"/>
    <n v="2899.99"/>
    <n v="0.05"/>
    <n v="2899.9399999999996"/>
    <s v="Trek Fuel EX 8 29 - 2016"/>
    <x v="1"/>
  </r>
  <r>
    <n v="636"/>
    <n v="1"/>
    <n v="85"/>
    <n v="2"/>
    <n v="329.99"/>
    <n v="0.2"/>
    <n v="659.78"/>
    <s v="Haro Downtown 16 - 2017"/>
    <x v="3"/>
  </r>
  <r>
    <n v="637"/>
    <n v="1"/>
    <n v="9"/>
    <n v="1"/>
    <n v="2999.99"/>
    <n v="0.1"/>
    <n v="2999.89"/>
    <s v="Trek Conduit+ - 2016"/>
    <x v="5"/>
  </r>
  <r>
    <n v="638"/>
    <n v="1"/>
    <n v="103"/>
    <n v="1"/>
    <n v="551.99"/>
    <n v="0.05"/>
    <n v="551.94000000000005"/>
    <s v="Sun Bicycles Streamway 3 - 2017"/>
    <x v="2"/>
  </r>
  <r>
    <n v="639"/>
    <n v="1"/>
    <n v="15"/>
    <n v="1"/>
    <n v="529.99"/>
    <n v="7.0000000000000007E-2"/>
    <n v="529.91999999999996"/>
    <s v="Electra Moto 1 - 2016"/>
    <x v="0"/>
  </r>
  <r>
    <n v="640"/>
    <n v="1"/>
    <n v="106"/>
    <n v="2"/>
    <n v="449.99"/>
    <n v="0.05"/>
    <n v="899.93000000000006"/>
    <s v="Sun Bicycles Cruz 3 - 2017"/>
    <x v="2"/>
  </r>
  <r>
    <n v="641"/>
    <n v="1"/>
    <n v="15"/>
    <n v="1"/>
    <n v="529.99"/>
    <n v="0.05"/>
    <n v="529.94000000000005"/>
    <s v="Electra Moto 1 - 2016"/>
    <x v="0"/>
  </r>
  <r>
    <n v="642"/>
    <n v="1"/>
    <n v="68"/>
    <n v="2"/>
    <n v="449.99"/>
    <n v="7.0000000000000007E-2"/>
    <n v="899.91"/>
    <s v="Sun Bicycles Cruz 3 - 2017"/>
    <x v="0"/>
  </r>
  <r>
    <n v="643"/>
    <n v="1"/>
    <n v="53"/>
    <n v="1"/>
    <n v="749.99"/>
    <n v="0.05"/>
    <n v="749.94"/>
    <s v="Surly Ogre Frameset - 2017"/>
    <x v="6"/>
  </r>
  <r>
    <n v="644"/>
    <n v="1"/>
    <n v="9"/>
    <n v="1"/>
    <n v="2999.99"/>
    <n v="7.0000000000000007E-2"/>
    <n v="2999.9199999999996"/>
    <s v="Trek Conduit+ - 2016"/>
    <x v="5"/>
  </r>
  <r>
    <n v="645"/>
    <n v="1"/>
    <n v="99"/>
    <n v="1"/>
    <n v="299.99"/>
    <n v="7.0000000000000007E-2"/>
    <n v="299.92"/>
    <s v="Electra Sugar Skulls 1 (20-inch) - Girl's - 2017"/>
    <x v="3"/>
  </r>
  <r>
    <n v="646"/>
    <n v="1"/>
    <n v="15"/>
    <n v="2"/>
    <n v="529.99"/>
    <n v="0.2"/>
    <n v="1059.78"/>
    <s v="Electra Moto 1 - 2016"/>
    <x v="0"/>
  </r>
  <r>
    <n v="647"/>
    <n v="1"/>
    <n v="25"/>
    <n v="2"/>
    <n v="499.99"/>
    <n v="7.0000000000000007E-2"/>
    <n v="999.91"/>
    <s v="Electra Townie Original 7D - 2015/2016"/>
    <x v="2"/>
  </r>
  <r>
    <n v="648"/>
    <n v="1"/>
    <n v="24"/>
    <n v="1"/>
    <n v="549.99"/>
    <n v="7.0000000000000007E-2"/>
    <n v="549.91999999999996"/>
    <s v="Electra Townie Original 21D - 2016"/>
    <x v="2"/>
  </r>
  <r>
    <n v="649"/>
    <n v="1"/>
    <n v="97"/>
    <n v="2"/>
    <n v="349.99"/>
    <n v="0.1"/>
    <n v="699.88"/>
    <s v="Electra Savannah 3i (20-inch) - Girl's - 2017"/>
    <x v="3"/>
  </r>
  <r>
    <n v="650"/>
    <n v="1"/>
    <n v="3"/>
    <n v="1"/>
    <n v="999.99"/>
    <n v="0.2"/>
    <n v="999.79"/>
    <s v="Surly Wednesday Frameset - 2016"/>
    <x v="1"/>
  </r>
  <r>
    <n v="651"/>
    <n v="1"/>
    <n v="79"/>
    <n v="1"/>
    <n v="402.99"/>
    <n v="0.1"/>
    <n v="402.89"/>
    <s v="Sun Bicycles Boardwalk (24-inch Wheels) - 2017"/>
    <x v="0"/>
  </r>
  <r>
    <n v="652"/>
    <n v="1"/>
    <n v="102"/>
    <n v="1"/>
    <n v="489.99"/>
    <n v="0.1"/>
    <n v="489.89"/>
    <s v="Electra Townie Original 7D - 2017"/>
    <x v="2"/>
  </r>
  <r>
    <n v="653"/>
    <n v="1"/>
    <n v="6"/>
    <n v="1"/>
    <n v="469.99"/>
    <n v="7.0000000000000007E-2"/>
    <n v="469.92"/>
    <s v="Surly Ice Cream Truck Frameset - 2016"/>
    <x v="1"/>
  </r>
  <r>
    <n v="654"/>
    <n v="1"/>
    <n v="9"/>
    <n v="1"/>
    <n v="2999.99"/>
    <n v="0.1"/>
    <n v="2999.89"/>
    <s v="Trek Conduit+ - 2016"/>
    <x v="5"/>
  </r>
  <r>
    <n v="655"/>
    <n v="1"/>
    <n v="67"/>
    <n v="1"/>
    <n v="250.99"/>
    <n v="0.1"/>
    <n v="250.89000000000001"/>
    <s v="Sun Bicycles Revolutions 24 - Girl's - 2017"/>
    <x v="0"/>
  </r>
  <r>
    <n v="656"/>
    <n v="1"/>
    <n v="83"/>
    <n v="1"/>
    <n v="149.99"/>
    <n v="0.1"/>
    <n v="149.89000000000001"/>
    <s v="Trek Boy's Kickster - 2015/2017"/>
    <x v="3"/>
  </r>
  <r>
    <n v="657"/>
    <n v="1"/>
    <n v="52"/>
    <n v="1"/>
    <n v="875.99"/>
    <n v="0.05"/>
    <n v="875.94"/>
    <s v="Surly Steamroller - 2017"/>
    <x v="6"/>
  </r>
  <r>
    <n v="658"/>
    <n v="1"/>
    <n v="49"/>
    <n v="2"/>
    <n v="3499.99"/>
    <n v="0.2"/>
    <n v="6999.78"/>
    <s v="Trek Domane SL 6 - 2017"/>
    <x v="6"/>
  </r>
  <r>
    <n v="659"/>
    <n v="1"/>
    <n v="42"/>
    <n v="2"/>
    <n v="2299.9899999999998"/>
    <n v="0.05"/>
    <n v="4599.9299999999994"/>
    <s v="Trek Fuel EX 5 27.5 Plus - 2017"/>
    <x v="1"/>
  </r>
  <r>
    <n v="660"/>
    <n v="1"/>
    <n v="30"/>
    <n v="1"/>
    <n v="999.99"/>
    <n v="0.2"/>
    <n v="999.79"/>
    <s v="Surly Ice Cream Truck Frameset - 2017"/>
    <x v="1"/>
  </r>
  <r>
    <n v="661"/>
    <n v="1"/>
    <n v="63"/>
    <n v="2"/>
    <n v="3499.99"/>
    <n v="7.0000000000000007E-2"/>
    <n v="6999.91"/>
    <s v="Trek Boone Race Shop Limited - 2017"/>
    <x v="4"/>
  </r>
  <r>
    <n v="662"/>
    <n v="1"/>
    <n v="55"/>
    <n v="2"/>
    <n v="2699.99"/>
    <n v="0.1"/>
    <n v="5399.8799999999992"/>
    <s v="Trek Domane S 6 - 2017"/>
    <x v="6"/>
  </r>
  <r>
    <n v="663"/>
    <n v="1"/>
    <n v="41"/>
    <n v="2"/>
    <n v="1469.99"/>
    <n v="0.05"/>
    <n v="2939.93"/>
    <s v="Haro Shift R3 - 2017"/>
    <x v="1"/>
  </r>
  <r>
    <n v="664"/>
    <n v="1"/>
    <n v="52"/>
    <n v="2"/>
    <n v="875.99"/>
    <n v="7.0000000000000007E-2"/>
    <n v="1751.91"/>
    <s v="Surly Steamroller - 2017"/>
    <x v="6"/>
  </r>
  <r>
    <n v="665"/>
    <n v="1"/>
    <n v="58"/>
    <n v="1"/>
    <n v="4999.99"/>
    <n v="7.0000000000000007E-2"/>
    <n v="4999.92"/>
    <s v="Trek Madone 9.2 - 2017"/>
    <x v="6"/>
  </r>
  <r>
    <n v="666"/>
    <n v="1"/>
    <n v="98"/>
    <n v="2"/>
    <n v="489.99"/>
    <n v="0.2"/>
    <n v="979.78"/>
    <s v="Electra Straight 8 3i (20-inch) - Boy's - 2017"/>
    <x v="3"/>
  </r>
  <r>
    <n v="667"/>
    <n v="1"/>
    <n v="79"/>
    <n v="1"/>
    <n v="402.99"/>
    <n v="0.2"/>
    <n v="402.79"/>
    <s v="Sun Bicycles Boardwalk (24-inch Wheels) - 2017"/>
    <x v="0"/>
  </r>
  <r>
    <n v="668"/>
    <n v="1"/>
    <n v="48"/>
    <n v="2"/>
    <n v="1499.99"/>
    <n v="0.05"/>
    <n v="2999.93"/>
    <s v="Trek Emonda S 4 - 2017"/>
    <x v="6"/>
  </r>
  <r>
    <n v="669"/>
    <n v="1"/>
    <n v="16"/>
    <n v="2"/>
    <n v="599.99"/>
    <n v="7.0000000000000007E-2"/>
    <n v="1199.9100000000001"/>
    <s v="Electra Townie Original 7D EQ - 2016"/>
    <x v="0"/>
  </r>
  <r>
    <n v="670"/>
    <n v="1"/>
    <n v="108"/>
    <n v="1"/>
    <n v="449.99"/>
    <n v="0.1"/>
    <n v="449.89"/>
    <s v="Sun Bicycles Cruz 3 - Women's - 2017"/>
    <x v="2"/>
  </r>
  <r>
    <n v="671"/>
    <n v="1"/>
    <n v="30"/>
    <n v="1"/>
    <n v="999.99"/>
    <n v="0.05"/>
    <n v="999.94"/>
    <s v="Surly Ice Cream Truck Frameset - 2017"/>
    <x v="1"/>
  </r>
  <r>
    <n v="672"/>
    <n v="1"/>
    <n v="51"/>
    <n v="2"/>
    <n v="6499.99"/>
    <n v="7.0000000000000007E-2"/>
    <n v="12999.91"/>
    <s v="Trek Silque SLR 8 Women's - 2017"/>
    <x v="6"/>
  </r>
  <r>
    <n v="673"/>
    <n v="1"/>
    <n v="66"/>
    <n v="1"/>
    <n v="250.99"/>
    <n v="0.2"/>
    <n v="250.79000000000002"/>
    <s v="Sun Bicycles Revolutions 24 - 2017"/>
    <x v="0"/>
  </r>
  <r>
    <n v="674"/>
    <n v="1"/>
    <n v="26"/>
    <n v="2"/>
    <n v="599.99"/>
    <n v="0.2"/>
    <n v="1199.78"/>
    <s v="Electra Townie Original 7D EQ - 2016"/>
    <x v="2"/>
  </r>
  <r>
    <n v="675"/>
    <n v="1"/>
    <n v="17"/>
    <n v="1"/>
    <n v="429"/>
    <n v="0.05"/>
    <n v="428.95"/>
    <s v="Pure Cycles Vine 8-Speed - 2016"/>
    <x v="0"/>
  </r>
  <r>
    <n v="676"/>
    <n v="1"/>
    <n v="70"/>
    <n v="1"/>
    <n v="659.99"/>
    <n v="0.2"/>
    <n v="659.79"/>
    <s v="Electra Amsterdam Original 3i - 2015/2017"/>
    <x v="0"/>
  </r>
  <r>
    <n v="677"/>
    <n v="1"/>
    <n v="75"/>
    <n v="1"/>
    <n v="599.99"/>
    <n v="7.0000000000000007E-2"/>
    <n v="599.91999999999996"/>
    <s v="Electra Cruiser Lux Fat Tire 1 Ladies - 2017"/>
    <x v="0"/>
  </r>
  <r>
    <n v="678"/>
    <n v="1"/>
    <n v="52"/>
    <n v="2"/>
    <n v="875.99"/>
    <n v="0.05"/>
    <n v="1751.93"/>
    <s v="Surly Steamroller - 2017"/>
    <x v="6"/>
  </r>
  <r>
    <n v="679"/>
    <n v="1"/>
    <n v="15"/>
    <n v="2"/>
    <n v="529.99"/>
    <n v="0.2"/>
    <n v="1059.78"/>
    <s v="Electra Moto 1 - 2016"/>
    <x v="0"/>
  </r>
  <r>
    <n v="680"/>
    <n v="1"/>
    <n v="81"/>
    <n v="2"/>
    <n v="1099.99"/>
    <n v="0.05"/>
    <n v="2199.9299999999998"/>
    <s v="Electra Amsterdam Fashion 7i Ladies' - 2017"/>
    <x v="0"/>
  </r>
  <r>
    <n v="681"/>
    <n v="1"/>
    <n v="82"/>
    <n v="1"/>
    <n v="659.99"/>
    <n v="0.05"/>
    <n v="659.94"/>
    <s v="Electra Amsterdam Original 3i Ladies' - 2017"/>
    <x v="0"/>
  </r>
  <r>
    <n v="682"/>
    <n v="1"/>
    <n v="39"/>
    <n v="1"/>
    <n v="1499.99"/>
    <n v="0.2"/>
    <n v="1499.79"/>
    <s v="Trek Stache 5 - 2017"/>
    <x v="1"/>
  </r>
  <r>
    <n v="683"/>
    <n v="1"/>
    <n v="2"/>
    <n v="2"/>
    <n v="749.99"/>
    <n v="0.1"/>
    <n v="1499.88"/>
    <s v="Ritchey Timberwolf Frameset - 2016"/>
    <x v="1"/>
  </r>
  <r>
    <n v="684"/>
    <n v="1"/>
    <n v="56"/>
    <n v="1"/>
    <n v="5499.99"/>
    <n v="7.0000000000000007E-2"/>
    <n v="5499.92"/>
    <s v="Trek Domane SLR 6 Disc - 2017"/>
    <x v="6"/>
  </r>
  <r>
    <n v="685"/>
    <n v="1"/>
    <n v="59"/>
    <n v="1"/>
    <n v="2599.9899999999998"/>
    <n v="0.05"/>
    <n v="2599.9399999999996"/>
    <s v="Trek Domane S 5 Disc - 2017"/>
    <x v="6"/>
  </r>
  <r>
    <n v="686"/>
    <n v="1"/>
    <n v="16"/>
    <n v="1"/>
    <n v="599.99"/>
    <n v="0.2"/>
    <n v="599.79"/>
    <s v="Electra Townie Original 7D EQ - 2016"/>
    <x v="0"/>
  </r>
  <r>
    <n v="687"/>
    <n v="1"/>
    <n v="48"/>
    <n v="2"/>
    <n v="1499.99"/>
    <n v="0.05"/>
    <n v="2999.93"/>
    <s v="Trek Emonda S 4 - 2017"/>
    <x v="6"/>
  </r>
  <r>
    <n v="688"/>
    <n v="1"/>
    <n v="8"/>
    <n v="1"/>
    <n v="1799.99"/>
    <n v="0.1"/>
    <n v="1799.89"/>
    <s v="Trek Remedy 29 Carbon Frameset - 2016"/>
    <x v="1"/>
  </r>
  <r>
    <n v="689"/>
    <n v="1"/>
    <n v="33"/>
    <n v="2"/>
    <n v="469.99"/>
    <n v="0.1"/>
    <n v="939.88"/>
    <s v="Surly Wednesday Frameset - 2017"/>
    <x v="1"/>
  </r>
  <r>
    <n v="690"/>
    <n v="1"/>
    <n v="84"/>
    <n v="1"/>
    <n v="109.99"/>
    <n v="0.2"/>
    <n v="109.78999999999999"/>
    <s v="Sun Bicycles Lil Kitt'n - 2017"/>
    <x v="3"/>
  </r>
  <r>
    <n v="691"/>
    <n v="1"/>
    <n v="23"/>
    <n v="2"/>
    <n v="299.99"/>
    <n v="0.05"/>
    <n v="599.93000000000006"/>
    <s v="Electra Girl's Hawaii 1 (20-inch) - 2015/2016"/>
    <x v="3"/>
  </r>
  <r>
    <n v="692"/>
    <n v="1"/>
    <n v="59"/>
    <n v="1"/>
    <n v="2599.9899999999998"/>
    <n v="0.2"/>
    <n v="2599.79"/>
    <s v="Trek Domane S 5 Disc - 2017"/>
    <x v="6"/>
  </r>
  <r>
    <n v="693"/>
    <n v="1"/>
    <n v="104"/>
    <n v="2"/>
    <n v="481.99"/>
    <n v="0.2"/>
    <n v="963.78"/>
    <s v="Sun Bicycles Streamway - 2017"/>
    <x v="2"/>
  </r>
  <r>
    <n v="694"/>
    <n v="1"/>
    <n v="48"/>
    <n v="1"/>
    <n v="1499.99"/>
    <n v="0.2"/>
    <n v="1499.79"/>
    <s v="Trek Emonda S 4 - 2017"/>
    <x v="6"/>
  </r>
  <r>
    <n v="695"/>
    <n v="1"/>
    <n v="82"/>
    <n v="2"/>
    <n v="659.99"/>
    <n v="0.1"/>
    <n v="1319.88"/>
    <s v="Electra Amsterdam Original 3i Ladies' - 2017"/>
    <x v="0"/>
  </r>
  <r>
    <n v="696"/>
    <n v="1"/>
    <n v="88"/>
    <n v="2"/>
    <n v="189.99"/>
    <n v="7.0000000000000007E-2"/>
    <n v="379.91"/>
    <s v="Trek Precaliber 12 Girls - 2017"/>
    <x v="3"/>
  </r>
  <r>
    <n v="697"/>
    <n v="1"/>
    <n v="5"/>
    <n v="2"/>
    <n v="1320.99"/>
    <n v="0.05"/>
    <n v="2641.93"/>
    <s v="Heller Shagamaw Frame - 2016"/>
    <x v="1"/>
  </r>
  <r>
    <n v="698"/>
    <n v="1"/>
    <n v="96"/>
    <n v="1"/>
    <n v="349.99"/>
    <n v="7.0000000000000007E-2"/>
    <n v="349.92"/>
    <s v="Electra Moto 3i (20-inch) - Boy's - 2017"/>
    <x v="3"/>
  </r>
  <r>
    <n v="699"/>
    <n v="1"/>
    <n v="106"/>
    <n v="2"/>
    <n v="449.99"/>
    <n v="0.1"/>
    <n v="899.88"/>
    <s v="Sun Bicycles Cruz 3 - 2017"/>
    <x v="2"/>
  </r>
  <r>
    <n v="700"/>
    <n v="1"/>
    <n v="7"/>
    <n v="2"/>
    <n v="3999.99"/>
    <n v="0.05"/>
    <n v="7999.9299999999994"/>
    <s v="Trek Slash 8 27.5 - 2016"/>
    <x v="1"/>
  </r>
  <r>
    <n v="701"/>
    <n v="1"/>
    <n v="84"/>
    <n v="1"/>
    <n v="109.99"/>
    <n v="0.05"/>
    <n v="109.94"/>
    <s v="Sun Bicycles Lil Kitt'n - 2017"/>
    <x v="3"/>
  </r>
  <r>
    <n v="702"/>
    <n v="1"/>
    <n v="25"/>
    <n v="2"/>
    <n v="499.99"/>
    <n v="0.05"/>
    <n v="999.93000000000006"/>
    <s v="Electra Townie Original 7D - 2015/2016"/>
    <x v="2"/>
  </r>
  <r>
    <n v="703"/>
    <n v="1"/>
    <n v="45"/>
    <n v="2"/>
    <n v="869.99"/>
    <n v="0.2"/>
    <n v="1739.78"/>
    <s v="Haro SR 1.2 - 2017"/>
    <x v="1"/>
  </r>
  <r>
    <n v="704"/>
    <n v="1"/>
    <n v="10"/>
    <n v="2"/>
    <n v="1549"/>
    <n v="0.05"/>
    <n v="3097.95"/>
    <s v="Surly Straggler - 2016"/>
    <x v="4"/>
  </r>
  <r>
    <n v="705"/>
    <n v="1"/>
    <n v="61"/>
    <n v="1"/>
    <n v="4999.99"/>
    <n v="0.1"/>
    <n v="4999.8899999999994"/>
    <s v="Trek Powerfly 8 FS Plus - 2017"/>
    <x v="5"/>
  </r>
  <r>
    <n v="706"/>
    <n v="1"/>
    <n v="27"/>
    <n v="1"/>
    <n v="999.99"/>
    <n v="0.1"/>
    <n v="999.89"/>
    <s v="Surly Big Dummy Frameset - 2017"/>
    <x v="1"/>
  </r>
  <r>
    <n v="707"/>
    <n v="1"/>
    <n v="106"/>
    <n v="2"/>
    <n v="449.99"/>
    <n v="0.05"/>
    <n v="899.93000000000006"/>
    <s v="Sun Bicycles Cruz 3 - 2017"/>
    <x v="2"/>
  </r>
  <r>
    <n v="708"/>
    <n v="1"/>
    <n v="6"/>
    <n v="1"/>
    <n v="469.99"/>
    <n v="7.0000000000000007E-2"/>
    <n v="469.92"/>
    <s v="Surly Ice Cream Truck Frameset - 2016"/>
    <x v="1"/>
  </r>
  <r>
    <n v="709"/>
    <n v="1"/>
    <n v="55"/>
    <n v="2"/>
    <n v="2699.99"/>
    <n v="0.05"/>
    <n v="5399.9299999999994"/>
    <s v="Trek Domane S 6 - 2017"/>
    <x v="6"/>
  </r>
  <r>
    <n v="710"/>
    <n v="1"/>
    <n v="42"/>
    <n v="1"/>
    <n v="2299.9899999999998"/>
    <n v="0.05"/>
    <n v="2299.9399999999996"/>
    <s v="Trek Fuel EX 5 27.5 Plus - 2017"/>
    <x v="1"/>
  </r>
  <r>
    <n v="711"/>
    <n v="1"/>
    <n v="5"/>
    <n v="2"/>
    <n v="1320.99"/>
    <n v="0.05"/>
    <n v="2641.93"/>
    <s v="Heller Shagamaw Frame - 2016"/>
    <x v="1"/>
  </r>
  <r>
    <n v="712"/>
    <n v="1"/>
    <n v="44"/>
    <n v="2"/>
    <n v="539.99"/>
    <n v="0.2"/>
    <n v="1079.78"/>
    <s v="Haro SR 1.1 - 2017"/>
    <x v="1"/>
  </r>
  <r>
    <n v="713"/>
    <n v="1"/>
    <n v="93"/>
    <n v="2"/>
    <n v="209.99"/>
    <n v="0.2"/>
    <n v="419.78000000000003"/>
    <s v="Haro Shredder 20 Girls - 2017"/>
    <x v="3"/>
  </r>
  <r>
    <n v="714"/>
    <n v="1"/>
    <n v="92"/>
    <n v="2"/>
    <n v="209.99"/>
    <n v="0.2"/>
    <n v="419.78000000000003"/>
    <s v="Haro Shredder 20 - 2017"/>
    <x v="3"/>
  </r>
  <r>
    <n v="715"/>
    <n v="1"/>
    <n v="61"/>
    <n v="2"/>
    <n v="4999.99"/>
    <n v="0.1"/>
    <n v="9999.8799999999992"/>
    <s v="Trek Powerfly 8 FS Plus - 2017"/>
    <x v="5"/>
  </r>
  <r>
    <n v="716"/>
    <n v="1"/>
    <n v="111"/>
    <n v="2"/>
    <n v="470.99"/>
    <n v="0.1"/>
    <n v="941.88"/>
    <s v="Sun Bicycles Drifter 7 - Women's - 2017"/>
    <x v="2"/>
  </r>
  <r>
    <n v="717"/>
    <n v="1"/>
    <n v="56"/>
    <n v="2"/>
    <n v="5499.99"/>
    <n v="0.05"/>
    <n v="10999.93"/>
    <s v="Trek Domane SLR 6 Disc - 2017"/>
    <x v="6"/>
  </r>
  <r>
    <n v="718"/>
    <n v="1"/>
    <n v="92"/>
    <n v="2"/>
    <n v="209.99"/>
    <n v="7.0000000000000007E-2"/>
    <n v="419.91"/>
    <s v="Haro Shredder 20 - 2017"/>
    <x v="3"/>
  </r>
  <r>
    <n v="719"/>
    <n v="1"/>
    <n v="100"/>
    <n v="1"/>
    <n v="489.99"/>
    <n v="0.2"/>
    <n v="489.79"/>
    <s v="Electra Townie 3i EQ (20-inch) - Boys' - 2017"/>
    <x v="3"/>
  </r>
  <r>
    <n v="720"/>
    <n v="1"/>
    <n v="111"/>
    <n v="1"/>
    <n v="470.99"/>
    <n v="7.0000000000000007E-2"/>
    <n v="470.92"/>
    <s v="Sun Bicycles Drifter 7 - Women's - 2017"/>
    <x v="2"/>
  </r>
  <r>
    <n v="721"/>
    <n v="1"/>
    <n v="45"/>
    <n v="2"/>
    <n v="869.99"/>
    <n v="7.0000000000000007E-2"/>
    <n v="1739.91"/>
    <s v="Haro SR 1.2 - 2017"/>
    <x v="1"/>
  </r>
  <r>
    <n v="722"/>
    <n v="1"/>
    <n v="22"/>
    <n v="2"/>
    <n v="269.99"/>
    <n v="7.0000000000000007E-2"/>
    <n v="539.91"/>
    <s v="Electra Girl's Hawaii 1 (16-inch) - 2015/2016"/>
    <x v="3"/>
  </r>
  <r>
    <n v="723"/>
    <n v="1"/>
    <n v="24"/>
    <n v="2"/>
    <n v="549.99"/>
    <n v="7.0000000000000007E-2"/>
    <n v="1099.9100000000001"/>
    <s v="Electra Townie Original 21D - 2016"/>
    <x v="2"/>
  </r>
  <r>
    <n v="724"/>
    <n v="1"/>
    <n v="23"/>
    <n v="1"/>
    <n v="299.99"/>
    <n v="0.05"/>
    <n v="299.94"/>
    <s v="Electra Girl's Hawaii 1 (20-inch) - 2015/2016"/>
    <x v="3"/>
  </r>
  <r>
    <n v="725"/>
    <n v="1"/>
    <n v="90"/>
    <n v="1"/>
    <n v="209.99"/>
    <n v="0.1"/>
    <n v="209.89000000000001"/>
    <s v="Trek Precaliber 16 Girls - 2017"/>
    <x v="3"/>
  </r>
  <r>
    <n v="726"/>
    <n v="1"/>
    <n v="64"/>
    <n v="1"/>
    <n v="489.99"/>
    <n v="0.2"/>
    <n v="489.79"/>
    <s v="Electra Townie Original 7D - 2017"/>
    <x v="0"/>
  </r>
  <r>
    <n v="727"/>
    <n v="1"/>
    <n v="78"/>
    <n v="1"/>
    <n v="647.99"/>
    <n v="7.0000000000000007E-2"/>
    <n v="647.91999999999996"/>
    <s v="Sun Bicycles Biscayne Tandem CB - 2017"/>
    <x v="0"/>
  </r>
  <r>
    <n v="728"/>
    <n v="1"/>
    <n v="70"/>
    <n v="1"/>
    <n v="659.99"/>
    <n v="0.05"/>
    <n v="659.94"/>
    <s v="Electra Amsterdam Original 3i - 2015/2017"/>
    <x v="0"/>
  </r>
  <r>
    <n v="729"/>
    <n v="1"/>
    <n v="101"/>
    <n v="2"/>
    <n v="339.99"/>
    <n v="0.1"/>
    <n v="679.88"/>
    <s v="Electra Townie 7D (20-inch) - Boys' - 2017"/>
    <x v="3"/>
  </r>
  <r>
    <n v="730"/>
    <n v="1"/>
    <n v="59"/>
    <n v="2"/>
    <n v="2599.9899999999998"/>
    <n v="0.05"/>
    <n v="5199.9299999999994"/>
    <s v="Trek Domane S 5 Disc - 2017"/>
    <x v="6"/>
  </r>
  <r>
    <n v="731"/>
    <n v="1"/>
    <n v="91"/>
    <n v="1"/>
    <n v="349.99"/>
    <n v="0.05"/>
    <n v="349.94"/>
    <s v="Trek Precaliber 24 (21-Speed) - Girls - 2017"/>
    <x v="3"/>
  </r>
  <r>
    <n v="732"/>
    <n v="1"/>
    <n v="47"/>
    <n v="1"/>
    <n v="5299.99"/>
    <n v="7.0000000000000007E-2"/>
    <n v="5299.92"/>
    <s v="Trek Remedy 9.8 - 2017"/>
    <x v="1"/>
  </r>
  <r>
    <n v="733"/>
    <n v="1"/>
    <n v="84"/>
    <n v="1"/>
    <n v="109.99"/>
    <n v="0.05"/>
    <n v="109.94"/>
    <s v="Sun Bicycles Lil Kitt'n - 2017"/>
    <x v="3"/>
  </r>
  <r>
    <n v="734"/>
    <n v="1"/>
    <n v="26"/>
    <n v="1"/>
    <n v="599.99"/>
    <n v="0.2"/>
    <n v="599.79"/>
    <s v="Electra Townie Original 7D EQ - 2016"/>
    <x v="2"/>
  </r>
  <r>
    <n v="735"/>
    <n v="1"/>
    <n v="71"/>
    <n v="2"/>
    <n v="416.99"/>
    <n v="0.1"/>
    <n v="833.88"/>
    <s v="Sun Bicycles Atlas X-Type - 2017"/>
    <x v="0"/>
  </r>
  <r>
    <n v="736"/>
    <n v="1"/>
    <n v="56"/>
    <n v="2"/>
    <n v="5499.99"/>
    <n v="0.05"/>
    <n v="10999.93"/>
    <s v="Trek Domane SLR 6 Disc - 2017"/>
    <x v="6"/>
  </r>
  <r>
    <n v="737"/>
    <n v="1"/>
    <n v="52"/>
    <n v="1"/>
    <n v="875.99"/>
    <n v="0.05"/>
    <n v="875.94"/>
    <s v="Surly Steamroller - 2017"/>
    <x v="6"/>
  </r>
  <r>
    <n v="738"/>
    <n v="1"/>
    <n v="82"/>
    <n v="2"/>
    <n v="659.99"/>
    <n v="7.0000000000000007E-2"/>
    <n v="1319.91"/>
    <s v="Electra Amsterdam Original 3i Ladies' - 2017"/>
    <x v="0"/>
  </r>
  <r>
    <n v="739"/>
    <n v="1"/>
    <n v="3"/>
    <n v="1"/>
    <n v="999.99"/>
    <n v="0.2"/>
    <n v="999.79"/>
    <s v="Surly Wednesday Frameset - 2016"/>
    <x v="1"/>
  </r>
  <r>
    <n v="740"/>
    <n v="1"/>
    <n v="81"/>
    <n v="1"/>
    <n v="1099.99"/>
    <n v="0.05"/>
    <n v="1099.94"/>
    <s v="Electra Amsterdam Fashion 7i Ladies' - 2017"/>
    <x v="0"/>
  </r>
  <r>
    <n v="741"/>
    <n v="1"/>
    <n v="58"/>
    <n v="1"/>
    <n v="4999.99"/>
    <n v="0.05"/>
    <n v="4999.9399999999996"/>
    <s v="Trek Madone 9.2 - 2017"/>
    <x v="6"/>
  </r>
  <r>
    <n v="742"/>
    <n v="1"/>
    <n v="107"/>
    <n v="2"/>
    <n v="416.99"/>
    <n v="0.05"/>
    <n v="833.93000000000006"/>
    <s v="Sun Bicycles Cruz 7 - 2017"/>
    <x v="2"/>
  </r>
  <r>
    <n v="743"/>
    <n v="1"/>
    <n v="80"/>
    <n v="1"/>
    <n v="761.99"/>
    <n v="0.05"/>
    <n v="761.94"/>
    <s v="Sun Bicycles Brickell Tandem CB - 2017"/>
    <x v="0"/>
  </r>
  <r>
    <n v="744"/>
    <n v="1"/>
    <n v="33"/>
    <n v="2"/>
    <n v="469.99"/>
    <n v="0.2"/>
    <n v="939.78"/>
    <s v="Surly Wednesday Frameset - 2017"/>
    <x v="1"/>
  </r>
  <r>
    <n v="745"/>
    <n v="1"/>
    <n v="95"/>
    <n v="2"/>
    <n v="299.99"/>
    <n v="0.05"/>
    <n v="599.93000000000006"/>
    <s v="Electra Girl's Hawaii 1 16&quot; - 2017"/>
    <x v="3"/>
  </r>
  <r>
    <n v="746"/>
    <n v="1"/>
    <n v="99"/>
    <n v="1"/>
    <n v="299.99"/>
    <n v="0.1"/>
    <n v="299.89"/>
    <s v="Electra Sugar Skulls 1 (20-inch) - Girl's - 2017"/>
    <x v="3"/>
  </r>
  <r>
    <n v="747"/>
    <n v="1"/>
    <n v="110"/>
    <n v="1"/>
    <n v="470.99"/>
    <n v="7.0000000000000007E-2"/>
    <n v="470.92"/>
    <s v="Sun Bicycles Drifter 7 - 2017"/>
    <x v="2"/>
  </r>
  <r>
    <n v="748"/>
    <n v="1"/>
    <n v="16"/>
    <n v="2"/>
    <n v="599.99"/>
    <n v="0.1"/>
    <n v="1199.8800000000001"/>
    <s v="Electra Townie Original 7D EQ - 2016"/>
    <x v="0"/>
  </r>
  <r>
    <n v="749"/>
    <n v="1"/>
    <n v="9"/>
    <n v="1"/>
    <n v="2999.99"/>
    <n v="0.2"/>
    <n v="2999.79"/>
    <s v="Trek Conduit+ - 2016"/>
    <x v="5"/>
  </r>
  <r>
    <n v="750"/>
    <n v="1"/>
    <n v="72"/>
    <n v="1"/>
    <n v="619.99"/>
    <n v="0.05"/>
    <n v="619.94000000000005"/>
    <s v="Sun Bicycles Biscayne Tandem 7 - 2017"/>
    <x v="0"/>
  </r>
  <r>
    <n v="751"/>
    <n v="1"/>
    <n v="45"/>
    <n v="2"/>
    <n v="869.99"/>
    <n v="0.05"/>
    <n v="1739.93"/>
    <s v="Haro SR 1.2 - 2017"/>
    <x v="1"/>
  </r>
  <r>
    <n v="752"/>
    <n v="1"/>
    <n v="12"/>
    <n v="2"/>
    <n v="549.99"/>
    <n v="0.05"/>
    <n v="1099.93"/>
    <s v="Electra Townie Original 21D - 2016"/>
    <x v="0"/>
  </r>
  <r>
    <n v="753"/>
    <n v="1"/>
    <n v="105"/>
    <n v="2"/>
    <n v="533.99"/>
    <n v="7.0000000000000007E-2"/>
    <n v="1067.9100000000001"/>
    <s v="Sun Bicycles Streamway 7 - 2017"/>
    <x v="2"/>
  </r>
  <r>
    <n v="754"/>
    <n v="1"/>
    <n v="74"/>
    <n v="2"/>
    <n v="439.99"/>
    <n v="7.0000000000000007E-2"/>
    <n v="879.91"/>
    <s v="Electra Cruiser Lux 1 - 2017"/>
    <x v="0"/>
  </r>
  <r>
    <n v="755"/>
    <n v="1"/>
    <n v="80"/>
    <n v="2"/>
    <n v="761.99"/>
    <n v="7.0000000000000007E-2"/>
    <n v="1523.91"/>
    <s v="Sun Bicycles Brickell Tandem CB - 2017"/>
    <x v="0"/>
  </r>
  <r>
    <n v="756"/>
    <n v="1"/>
    <n v="64"/>
    <n v="1"/>
    <n v="489.99"/>
    <n v="0.1"/>
    <n v="489.89"/>
    <s v="Electra Townie Original 7D - 2017"/>
    <x v="0"/>
  </r>
  <r>
    <n v="757"/>
    <n v="1"/>
    <n v="95"/>
    <n v="1"/>
    <n v="299.99"/>
    <n v="0.1"/>
    <n v="299.89"/>
    <s v="Electra Girl's Hawaii 1 16&quot; - 2017"/>
    <x v="3"/>
  </r>
  <r>
    <n v="758"/>
    <n v="1"/>
    <n v="22"/>
    <n v="2"/>
    <n v="269.99"/>
    <n v="7.0000000000000007E-2"/>
    <n v="539.91"/>
    <s v="Electra Girl's Hawaii 1 (16-inch) - 2015/2016"/>
    <x v="3"/>
  </r>
  <r>
    <n v="759"/>
    <n v="1"/>
    <n v="93"/>
    <n v="2"/>
    <n v="209.99"/>
    <n v="0.05"/>
    <n v="419.93"/>
    <s v="Haro Shredder 20 Girls - 2017"/>
    <x v="3"/>
  </r>
  <r>
    <n v="760"/>
    <n v="1"/>
    <n v="21"/>
    <n v="2"/>
    <n v="269.99"/>
    <n v="7.0000000000000007E-2"/>
    <n v="539.91"/>
    <s v="Electra Cruiser 1 (24-Inch) - 2016"/>
    <x v="3"/>
  </r>
  <r>
    <n v="761"/>
    <n v="1"/>
    <n v="43"/>
    <n v="1"/>
    <n v="5299.99"/>
    <n v="7.0000000000000007E-2"/>
    <n v="5299.92"/>
    <s v="Trek Fuel EX 9.8 27.5 Plus - 2017"/>
    <x v="1"/>
  </r>
  <r>
    <n v="762"/>
    <n v="1"/>
    <n v="102"/>
    <n v="2"/>
    <n v="489.99"/>
    <n v="0.05"/>
    <n v="979.93000000000006"/>
    <s v="Electra Townie Original 7D - 2017"/>
    <x v="2"/>
  </r>
  <r>
    <n v="763"/>
    <n v="1"/>
    <n v="90"/>
    <n v="1"/>
    <n v="209.99"/>
    <n v="7.0000000000000007E-2"/>
    <n v="209.92000000000002"/>
    <s v="Trek Precaliber 16 Girls - 2017"/>
    <x v="3"/>
  </r>
  <r>
    <n v="764"/>
    <n v="1"/>
    <n v="55"/>
    <n v="1"/>
    <n v="2699.99"/>
    <n v="7.0000000000000007E-2"/>
    <n v="2699.9199999999996"/>
    <s v="Trek Domane S 6 - 2017"/>
    <x v="6"/>
  </r>
  <r>
    <n v="765"/>
    <n v="1"/>
    <n v="28"/>
    <n v="2"/>
    <n v="2499.9899999999998"/>
    <n v="0.2"/>
    <n v="4999.78"/>
    <s v="Surly Karate Monkey 27.5+ Frameset - 2017"/>
    <x v="1"/>
  </r>
  <r>
    <n v="766"/>
    <n v="1"/>
    <n v="111"/>
    <n v="1"/>
    <n v="470.99"/>
    <n v="0.2"/>
    <n v="470.79"/>
    <s v="Sun Bicycles Drifter 7 - Women's - 2017"/>
    <x v="2"/>
  </r>
  <r>
    <n v="767"/>
    <n v="1"/>
    <n v="63"/>
    <n v="1"/>
    <n v="3499.99"/>
    <n v="0.1"/>
    <n v="3499.89"/>
    <s v="Trek Boone Race Shop Limited - 2017"/>
    <x v="4"/>
  </r>
  <r>
    <n v="768"/>
    <n v="1"/>
    <n v="31"/>
    <n v="1"/>
    <n v="1632.99"/>
    <n v="0.2"/>
    <n v="1632.79"/>
    <s v="Surly Wednesday - 2017"/>
    <x v="1"/>
  </r>
  <r>
    <n v="769"/>
    <n v="1"/>
    <n v="8"/>
    <n v="1"/>
    <n v="1799.99"/>
    <n v="0.1"/>
    <n v="1799.89"/>
    <s v="Trek Remedy 29 Carbon Frameset - 2016"/>
    <x v="1"/>
  </r>
  <r>
    <n v="770"/>
    <n v="1"/>
    <n v="110"/>
    <n v="1"/>
    <n v="470.99"/>
    <n v="0.05"/>
    <n v="470.94"/>
    <s v="Sun Bicycles Drifter 7 - 2017"/>
    <x v="2"/>
  </r>
  <r>
    <n v="771"/>
    <n v="1"/>
    <n v="13"/>
    <n v="2"/>
    <n v="269.99"/>
    <n v="0.2"/>
    <n v="539.78"/>
    <s v="Electra Cruiser 1 (24-Inch) - 2016"/>
    <x v="0"/>
  </r>
  <r>
    <n v="772"/>
    <n v="1"/>
    <n v="103"/>
    <n v="1"/>
    <n v="551.99"/>
    <n v="7.0000000000000007E-2"/>
    <n v="551.91999999999996"/>
    <s v="Sun Bicycles Streamway 3 - 2017"/>
    <x v="2"/>
  </r>
  <r>
    <n v="773"/>
    <n v="1"/>
    <n v="92"/>
    <n v="1"/>
    <n v="209.99"/>
    <n v="0.1"/>
    <n v="209.89000000000001"/>
    <s v="Haro Shredder 20 - 2017"/>
    <x v="3"/>
  </r>
  <r>
    <n v="774"/>
    <n v="1"/>
    <n v="65"/>
    <n v="1"/>
    <n v="346.99"/>
    <n v="0.05"/>
    <n v="346.94"/>
    <s v="Sun Bicycles Lil Bolt Type-R - 2017"/>
    <x v="0"/>
  </r>
  <r>
    <n v="775"/>
    <n v="1"/>
    <n v="39"/>
    <n v="1"/>
    <n v="1499.99"/>
    <n v="7.0000000000000007E-2"/>
    <n v="1499.92"/>
    <s v="Trek Stache 5 - 2017"/>
    <x v="1"/>
  </r>
  <r>
    <n v="776"/>
    <n v="1"/>
    <n v="28"/>
    <n v="1"/>
    <n v="2499.9899999999998"/>
    <n v="0.2"/>
    <n v="2499.79"/>
    <s v="Surly Karate Monkey 27.5+ Frameset - 2017"/>
    <x v="1"/>
  </r>
  <r>
    <n v="777"/>
    <n v="1"/>
    <n v="5"/>
    <n v="1"/>
    <n v="1320.99"/>
    <n v="0.2"/>
    <n v="1320.79"/>
    <s v="Heller Shagamaw Frame - 2016"/>
    <x v="1"/>
  </r>
  <r>
    <n v="778"/>
    <n v="1"/>
    <n v="64"/>
    <n v="1"/>
    <n v="489.99"/>
    <n v="0.1"/>
    <n v="489.89"/>
    <s v="Electra Townie Original 7D - 2017"/>
    <x v="0"/>
  </r>
  <r>
    <n v="779"/>
    <n v="1"/>
    <n v="101"/>
    <n v="1"/>
    <n v="339.99"/>
    <n v="0.05"/>
    <n v="339.94"/>
    <s v="Electra Townie 7D (20-inch) - Boys' - 2017"/>
    <x v="3"/>
  </r>
  <r>
    <n v="780"/>
    <n v="1"/>
    <n v="32"/>
    <n v="1"/>
    <n v="469.99"/>
    <n v="0.1"/>
    <n v="469.89"/>
    <s v="Trek Farley Alloy Frameset - 2017"/>
    <x v="1"/>
  </r>
  <r>
    <n v="781"/>
    <n v="1"/>
    <n v="109"/>
    <n v="2"/>
    <n v="416.99"/>
    <n v="0.05"/>
    <n v="833.93000000000006"/>
    <s v="Sun Bicycles Cruz 7 - Women's - 2017"/>
    <x v="2"/>
  </r>
  <r>
    <n v="782"/>
    <n v="1"/>
    <n v="20"/>
    <n v="2"/>
    <n v="599.99"/>
    <n v="7.0000000000000007E-2"/>
    <n v="1199.9100000000001"/>
    <s v="Electra Townie Original 7D EQ - Women's - 2016"/>
    <x v="0"/>
  </r>
  <r>
    <n v="783"/>
    <n v="1"/>
    <n v="92"/>
    <n v="1"/>
    <n v="209.99"/>
    <n v="0.2"/>
    <n v="209.79000000000002"/>
    <s v="Haro Shredder 20 - 2017"/>
    <x v="3"/>
  </r>
  <r>
    <n v="784"/>
    <n v="1"/>
    <n v="22"/>
    <n v="1"/>
    <n v="269.99"/>
    <n v="7.0000000000000007E-2"/>
    <n v="269.92"/>
    <s v="Electra Girl's Hawaii 1 (16-inch) - 2015/2016"/>
    <x v="3"/>
  </r>
  <r>
    <n v="785"/>
    <n v="1"/>
    <n v="59"/>
    <n v="2"/>
    <n v="2599.9899999999998"/>
    <n v="0.2"/>
    <n v="5199.78"/>
    <s v="Trek Domane S 5 Disc - 2017"/>
    <x v="6"/>
  </r>
  <r>
    <n v="786"/>
    <n v="1"/>
    <n v="80"/>
    <n v="1"/>
    <n v="761.99"/>
    <n v="0.05"/>
    <n v="761.94"/>
    <s v="Sun Bicycles Brickell Tandem CB - 2017"/>
    <x v="0"/>
  </r>
  <r>
    <n v="787"/>
    <n v="1"/>
    <n v="51"/>
    <n v="2"/>
    <n v="6499.99"/>
    <n v="7.0000000000000007E-2"/>
    <n v="12999.91"/>
    <s v="Trek Silque SLR 8 Women's - 2017"/>
    <x v="6"/>
  </r>
  <r>
    <n v="788"/>
    <n v="1"/>
    <n v="48"/>
    <n v="1"/>
    <n v="1499.99"/>
    <n v="0.2"/>
    <n v="1499.79"/>
    <s v="Trek Emonda S 4 - 2017"/>
    <x v="6"/>
  </r>
  <r>
    <n v="789"/>
    <n v="1"/>
    <n v="100"/>
    <n v="2"/>
    <n v="489.99"/>
    <n v="0.2"/>
    <n v="979.78"/>
    <s v="Electra Townie 3i EQ (20-inch) - Boys' - 2017"/>
    <x v="3"/>
  </r>
  <r>
    <n v="790"/>
    <n v="1"/>
    <n v="62"/>
    <n v="2"/>
    <n v="3499.99"/>
    <n v="7.0000000000000007E-2"/>
    <n v="6999.91"/>
    <s v="Trek Boone 7 - 2017"/>
    <x v="4"/>
  </r>
  <r>
    <n v="791"/>
    <n v="1"/>
    <n v="54"/>
    <n v="1"/>
    <n v="3199.99"/>
    <n v="0.2"/>
    <n v="3199.79"/>
    <s v="Trek Domane SL Disc Frameset - 2017"/>
    <x v="6"/>
  </r>
  <r>
    <n v="792"/>
    <n v="1"/>
    <n v="16"/>
    <n v="2"/>
    <n v="599.99"/>
    <n v="0.2"/>
    <n v="1199.78"/>
    <s v="Electra Townie Original 7D EQ - 2016"/>
    <x v="0"/>
  </r>
  <r>
    <n v="793"/>
    <n v="1"/>
    <n v="60"/>
    <n v="1"/>
    <n v="1559.99"/>
    <n v="0.05"/>
    <n v="1559.94"/>
    <s v="Sun Bicycles ElectroLite - 2017"/>
    <x v="5"/>
  </r>
  <r>
    <n v="794"/>
    <n v="1"/>
    <n v="41"/>
    <n v="2"/>
    <n v="1469.99"/>
    <n v="0.05"/>
    <n v="2939.93"/>
    <s v="Haro Shift R3 - 2017"/>
    <x v="1"/>
  </r>
  <r>
    <n v="795"/>
    <n v="1"/>
    <n v="95"/>
    <n v="2"/>
    <n v="299.99"/>
    <n v="0.05"/>
    <n v="599.93000000000006"/>
    <s v="Electra Girl's Hawaii 1 16&quot; - 2017"/>
    <x v="3"/>
  </r>
  <r>
    <n v="796"/>
    <n v="1"/>
    <n v="6"/>
    <n v="2"/>
    <n v="469.99"/>
    <n v="0.2"/>
    <n v="939.78"/>
    <s v="Surly Ice Cream Truck Frameset - 2016"/>
    <x v="1"/>
  </r>
  <r>
    <n v="797"/>
    <n v="1"/>
    <n v="11"/>
    <n v="1"/>
    <n v="1680.99"/>
    <n v="7.0000000000000007E-2"/>
    <n v="1680.92"/>
    <s v="Surly Straggler 650b - 2016"/>
    <x v="4"/>
  </r>
  <r>
    <n v="798"/>
    <n v="1"/>
    <n v="23"/>
    <n v="1"/>
    <n v="299.99"/>
    <n v="0.1"/>
    <n v="299.89"/>
    <s v="Electra Girl's Hawaii 1 (20-inch) - 2015/2016"/>
    <x v="3"/>
  </r>
  <r>
    <n v="799"/>
    <n v="1"/>
    <n v="5"/>
    <n v="2"/>
    <n v="1320.99"/>
    <n v="0.1"/>
    <n v="2641.88"/>
    <s v="Heller Shagamaw Frame - 2016"/>
    <x v="1"/>
  </r>
  <r>
    <n v="800"/>
    <n v="1"/>
    <n v="65"/>
    <n v="2"/>
    <n v="346.99"/>
    <n v="0.1"/>
    <n v="693.88"/>
    <s v="Sun Bicycles Lil Bolt Type-R - 2017"/>
    <x v="0"/>
  </r>
  <r>
    <n v="801"/>
    <n v="1"/>
    <n v="101"/>
    <n v="1"/>
    <n v="339.99"/>
    <n v="7.0000000000000007E-2"/>
    <n v="339.92"/>
    <s v="Electra Townie 7D (20-inch) - Boys' - 2017"/>
    <x v="3"/>
  </r>
  <r>
    <n v="802"/>
    <n v="1"/>
    <n v="30"/>
    <n v="1"/>
    <n v="999.99"/>
    <n v="0.05"/>
    <n v="999.94"/>
    <s v="Surly Ice Cream Truck Frameset - 2017"/>
    <x v="1"/>
  </r>
  <r>
    <n v="803"/>
    <n v="1"/>
    <n v="111"/>
    <n v="1"/>
    <n v="470.99"/>
    <n v="7.0000000000000007E-2"/>
    <n v="470.92"/>
    <s v="Sun Bicycles Drifter 7 - Women's - 2017"/>
    <x v="2"/>
  </r>
  <r>
    <n v="804"/>
    <n v="1"/>
    <n v="89"/>
    <n v="2"/>
    <n v="209.99"/>
    <n v="0.2"/>
    <n v="419.78000000000003"/>
    <s v="Trek Precaliber 16 Boys - 2017"/>
    <x v="3"/>
  </r>
  <r>
    <n v="805"/>
    <n v="1"/>
    <n v="24"/>
    <n v="1"/>
    <n v="549.99"/>
    <n v="0.05"/>
    <n v="549.94000000000005"/>
    <s v="Electra Townie Original 21D - 2016"/>
    <x v="2"/>
  </r>
  <r>
    <n v="806"/>
    <n v="1"/>
    <n v="93"/>
    <n v="2"/>
    <n v="209.99"/>
    <n v="0.1"/>
    <n v="419.88"/>
    <s v="Haro Shredder 20 Girls - 2017"/>
    <x v="3"/>
  </r>
  <r>
    <n v="807"/>
    <n v="1"/>
    <n v="21"/>
    <n v="2"/>
    <n v="269.99"/>
    <n v="0.2"/>
    <n v="539.78"/>
    <s v="Electra Cruiser 1 (24-Inch) - 2016"/>
    <x v="3"/>
  </r>
  <r>
    <n v="808"/>
    <n v="1"/>
    <n v="96"/>
    <n v="2"/>
    <n v="349.99"/>
    <n v="0.05"/>
    <n v="699.93000000000006"/>
    <s v="Electra Moto 3i (20-inch) - Boy's - 2017"/>
    <x v="3"/>
  </r>
  <r>
    <n v="809"/>
    <n v="1"/>
    <n v="78"/>
    <n v="1"/>
    <n v="647.99"/>
    <n v="0.1"/>
    <n v="647.89"/>
    <s v="Sun Bicycles Biscayne Tandem CB - 2017"/>
    <x v="0"/>
  </r>
  <r>
    <n v="810"/>
    <n v="1"/>
    <n v="103"/>
    <n v="2"/>
    <n v="551.99"/>
    <n v="0.05"/>
    <n v="1103.93"/>
    <s v="Sun Bicycles Streamway 3 - 2017"/>
    <x v="2"/>
  </r>
  <r>
    <n v="811"/>
    <n v="1"/>
    <n v="45"/>
    <n v="2"/>
    <n v="869.99"/>
    <n v="7.0000000000000007E-2"/>
    <n v="1739.91"/>
    <s v="Haro SR 1.2 - 2017"/>
    <x v="1"/>
  </r>
  <r>
    <n v="812"/>
    <n v="1"/>
    <n v="76"/>
    <n v="2"/>
    <n v="299.99"/>
    <n v="0.1"/>
    <n v="599.88"/>
    <s v="Electra Girl's Hawaii 1 16&quot; - 2017"/>
    <x v="0"/>
  </r>
  <r>
    <n v="813"/>
    <n v="1"/>
    <n v="96"/>
    <n v="2"/>
    <n v="349.99"/>
    <n v="0.1"/>
    <n v="699.88"/>
    <s v="Electra Moto 3i (20-inch) - Boy's - 2017"/>
    <x v="3"/>
  </r>
  <r>
    <n v="814"/>
    <n v="1"/>
    <n v="69"/>
    <n v="2"/>
    <n v="416.99"/>
    <n v="0.1"/>
    <n v="833.88"/>
    <s v="Sun Bicycles Cruz 7 - 2017"/>
    <x v="0"/>
  </r>
  <r>
    <n v="815"/>
    <n v="1"/>
    <n v="105"/>
    <n v="2"/>
    <n v="533.99"/>
    <n v="0.2"/>
    <n v="1067.78"/>
    <s v="Sun Bicycles Streamway 7 - 2017"/>
    <x v="2"/>
  </r>
  <r>
    <n v="816"/>
    <n v="1"/>
    <n v="75"/>
    <n v="2"/>
    <n v="599.99"/>
    <n v="0.1"/>
    <n v="1199.8800000000001"/>
    <s v="Electra Cruiser Lux Fat Tire 1 Ladies - 2017"/>
    <x v="0"/>
  </r>
  <r>
    <n v="817"/>
    <n v="1"/>
    <n v="85"/>
    <n v="1"/>
    <n v="329.99"/>
    <n v="0.05"/>
    <n v="329.94"/>
    <s v="Haro Downtown 16 - 2017"/>
    <x v="3"/>
  </r>
  <r>
    <n v="818"/>
    <n v="1"/>
    <n v="103"/>
    <n v="1"/>
    <n v="551.99"/>
    <n v="0.05"/>
    <n v="551.94000000000005"/>
    <s v="Sun Bicycles Streamway 3 - 2017"/>
    <x v="2"/>
  </r>
  <r>
    <n v="819"/>
    <n v="1"/>
    <n v="94"/>
    <n v="1"/>
    <n v="249.99"/>
    <n v="0.2"/>
    <n v="249.79000000000002"/>
    <s v="Haro Shredder Pro 20 - 2017"/>
    <x v="3"/>
  </r>
  <r>
    <n v="820"/>
    <n v="1"/>
    <n v="107"/>
    <n v="1"/>
    <n v="416.99"/>
    <n v="0.05"/>
    <n v="416.94"/>
    <s v="Sun Bicycles Cruz 7 - 2017"/>
    <x v="2"/>
  </r>
  <r>
    <n v="821"/>
    <n v="1"/>
    <n v="102"/>
    <n v="1"/>
    <n v="489.99"/>
    <n v="7.0000000000000007E-2"/>
    <n v="489.92"/>
    <s v="Electra Townie Original 7D - 2017"/>
    <x v="2"/>
  </r>
  <r>
    <n v="822"/>
    <n v="1"/>
    <n v="53"/>
    <n v="1"/>
    <n v="749.99"/>
    <n v="0.05"/>
    <n v="749.94"/>
    <s v="Surly Ogre Frameset - 2017"/>
    <x v="6"/>
  </r>
  <r>
    <n v="823"/>
    <n v="1"/>
    <n v="56"/>
    <n v="2"/>
    <n v="5499.99"/>
    <n v="7.0000000000000007E-2"/>
    <n v="10999.91"/>
    <s v="Trek Domane SLR 6 Disc - 2017"/>
    <x v="6"/>
  </r>
  <r>
    <n v="824"/>
    <n v="1"/>
    <n v="92"/>
    <n v="2"/>
    <n v="209.99"/>
    <n v="0.1"/>
    <n v="419.88"/>
    <s v="Haro Shredder 20 - 2017"/>
    <x v="3"/>
  </r>
  <r>
    <n v="825"/>
    <n v="1"/>
    <n v="19"/>
    <n v="1"/>
    <n v="449"/>
    <n v="0.1"/>
    <n v="448.9"/>
    <s v="Pure Cycles William 3-Speed - 2016"/>
    <x v="0"/>
  </r>
  <r>
    <n v="826"/>
    <n v="1"/>
    <n v="45"/>
    <n v="2"/>
    <n v="869.99"/>
    <n v="0.2"/>
    <n v="1739.78"/>
    <s v="Haro SR 1.2 - 2017"/>
    <x v="1"/>
  </r>
  <r>
    <n v="827"/>
    <n v="1"/>
    <n v="43"/>
    <n v="1"/>
    <n v="5299.99"/>
    <n v="0.05"/>
    <n v="5299.94"/>
    <s v="Trek Fuel EX 9.8 27.5 Plus - 2017"/>
    <x v="1"/>
  </r>
  <r>
    <n v="828"/>
    <n v="1"/>
    <n v="25"/>
    <n v="2"/>
    <n v="499.99"/>
    <n v="0.2"/>
    <n v="999.78"/>
    <s v="Electra Townie Original 7D - 2015/2016"/>
    <x v="2"/>
  </r>
  <r>
    <n v="829"/>
    <n v="1"/>
    <n v="103"/>
    <n v="1"/>
    <n v="551.99"/>
    <n v="0.2"/>
    <n v="551.79"/>
    <s v="Sun Bicycles Streamway 3 - 2017"/>
    <x v="2"/>
  </r>
  <r>
    <n v="830"/>
    <n v="1"/>
    <n v="85"/>
    <n v="2"/>
    <n v="329.99"/>
    <n v="0.2"/>
    <n v="659.78"/>
    <s v="Haro Downtown 16 - 2017"/>
    <x v="3"/>
  </r>
  <r>
    <n v="831"/>
    <n v="1"/>
    <n v="67"/>
    <n v="1"/>
    <n v="250.99"/>
    <n v="0.2"/>
    <n v="250.79000000000002"/>
    <s v="Sun Bicycles Revolutions 24 - Girl's - 2017"/>
    <x v="0"/>
  </r>
  <r>
    <n v="832"/>
    <n v="1"/>
    <n v="54"/>
    <n v="1"/>
    <n v="3199.99"/>
    <n v="0.05"/>
    <n v="3199.9399999999996"/>
    <s v="Trek Domane SL Disc Frameset - 2017"/>
    <x v="6"/>
  </r>
  <r>
    <n v="833"/>
    <n v="1"/>
    <n v="20"/>
    <n v="2"/>
    <n v="599.99"/>
    <n v="0.05"/>
    <n v="1199.93"/>
    <s v="Electra Townie Original 7D EQ - Women's - 2016"/>
    <x v="0"/>
  </r>
  <r>
    <n v="834"/>
    <n v="1"/>
    <n v="54"/>
    <n v="1"/>
    <n v="3199.99"/>
    <n v="7.0000000000000007E-2"/>
    <n v="3199.9199999999996"/>
    <s v="Trek Domane SL Disc Frameset - 2017"/>
    <x v="6"/>
  </r>
  <r>
    <n v="835"/>
    <n v="1"/>
    <n v="65"/>
    <n v="2"/>
    <n v="346.99"/>
    <n v="7.0000000000000007E-2"/>
    <n v="693.91"/>
    <s v="Sun Bicycles Lil Bolt Type-R - 2017"/>
    <x v="0"/>
  </r>
  <r>
    <n v="836"/>
    <n v="1"/>
    <n v="108"/>
    <n v="2"/>
    <n v="449.99"/>
    <n v="0.2"/>
    <n v="899.78"/>
    <s v="Sun Bicycles Cruz 3 - Women's - 2017"/>
    <x v="2"/>
  </r>
  <r>
    <n v="837"/>
    <n v="1"/>
    <n v="51"/>
    <n v="1"/>
    <n v="6499.99"/>
    <n v="0.05"/>
    <n v="6499.94"/>
    <s v="Trek Silque SLR 8 Women's - 2017"/>
    <x v="6"/>
  </r>
  <r>
    <n v="838"/>
    <n v="1"/>
    <n v="28"/>
    <n v="1"/>
    <n v="2499.9899999999998"/>
    <n v="0.1"/>
    <n v="2499.89"/>
    <s v="Surly Karate Monkey 27.5+ Frameset - 2017"/>
    <x v="1"/>
  </r>
  <r>
    <n v="839"/>
    <n v="1"/>
    <n v="55"/>
    <n v="1"/>
    <n v="2699.99"/>
    <n v="7.0000000000000007E-2"/>
    <n v="2699.9199999999996"/>
    <s v="Trek Domane S 6 - 2017"/>
    <x v="6"/>
  </r>
  <r>
    <n v="840"/>
    <n v="1"/>
    <n v="27"/>
    <n v="1"/>
    <n v="999.99"/>
    <n v="7.0000000000000007E-2"/>
    <n v="999.92"/>
    <s v="Surly Big Dummy Frameset - 2017"/>
    <x v="1"/>
  </r>
  <r>
    <n v="841"/>
    <n v="1"/>
    <n v="22"/>
    <n v="2"/>
    <n v="269.99"/>
    <n v="0.1"/>
    <n v="539.88"/>
    <s v="Electra Girl's Hawaii 1 (16-inch) - 2015/2016"/>
    <x v="3"/>
  </r>
  <r>
    <n v="842"/>
    <n v="1"/>
    <n v="81"/>
    <n v="2"/>
    <n v="1099.99"/>
    <n v="7.0000000000000007E-2"/>
    <n v="2199.91"/>
    <s v="Electra Amsterdam Fashion 7i Ladies' - 2017"/>
    <x v="0"/>
  </r>
  <r>
    <n v="843"/>
    <n v="1"/>
    <n v="72"/>
    <n v="1"/>
    <n v="619.99"/>
    <n v="0.1"/>
    <n v="619.89"/>
    <s v="Sun Bicycles Biscayne Tandem 7 - 2017"/>
    <x v="0"/>
  </r>
  <r>
    <n v="844"/>
    <n v="1"/>
    <n v="79"/>
    <n v="2"/>
    <n v="402.99"/>
    <n v="7.0000000000000007E-2"/>
    <n v="805.91"/>
    <s v="Sun Bicycles Boardwalk (24-inch Wheels) - 2017"/>
    <x v="0"/>
  </r>
  <r>
    <n v="845"/>
    <n v="1"/>
    <n v="16"/>
    <n v="2"/>
    <n v="599.99"/>
    <n v="0.2"/>
    <n v="1199.78"/>
    <s v="Electra Townie Original 7D EQ - 2016"/>
    <x v="0"/>
  </r>
  <r>
    <n v="846"/>
    <n v="1"/>
    <n v="46"/>
    <n v="2"/>
    <n v="1409.99"/>
    <n v="0.05"/>
    <n v="2819.93"/>
    <s v="Haro SR 1.3 - 2017"/>
    <x v="1"/>
  </r>
  <r>
    <n v="847"/>
    <n v="1"/>
    <n v="61"/>
    <n v="2"/>
    <n v="4999.99"/>
    <n v="0.05"/>
    <n v="9999.93"/>
    <s v="Trek Powerfly 8 FS Plus - 2017"/>
    <x v="5"/>
  </r>
  <r>
    <n v="848"/>
    <n v="1"/>
    <n v="93"/>
    <n v="1"/>
    <n v="209.99"/>
    <n v="7.0000000000000007E-2"/>
    <n v="209.92000000000002"/>
    <s v="Haro Shredder 20 Girls - 2017"/>
    <x v="3"/>
  </r>
  <r>
    <n v="849"/>
    <n v="1"/>
    <n v="109"/>
    <n v="1"/>
    <n v="416.99"/>
    <n v="0.2"/>
    <n v="416.79"/>
    <s v="Sun Bicycles Cruz 7 - Women's - 2017"/>
    <x v="2"/>
  </r>
  <r>
    <n v="850"/>
    <n v="1"/>
    <n v="101"/>
    <n v="2"/>
    <n v="339.99"/>
    <n v="7.0000000000000007E-2"/>
    <n v="679.91"/>
    <s v="Electra Townie 7D (20-inch) - Boys' - 2017"/>
    <x v="3"/>
  </r>
  <r>
    <n v="851"/>
    <n v="1"/>
    <n v="30"/>
    <n v="1"/>
    <n v="999.99"/>
    <n v="0.2"/>
    <n v="999.79"/>
    <s v="Surly Ice Cream Truck Frameset - 2017"/>
    <x v="1"/>
  </r>
  <r>
    <n v="852"/>
    <n v="1"/>
    <n v="46"/>
    <n v="2"/>
    <n v="1409.99"/>
    <n v="7.0000000000000007E-2"/>
    <n v="2819.91"/>
    <s v="Haro SR 1.3 - 2017"/>
    <x v="1"/>
  </r>
  <r>
    <n v="853"/>
    <n v="1"/>
    <n v="99"/>
    <n v="1"/>
    <n v="299.99"/>
    <n v="0.05"/>
    <n v="299.94"/>
    <s v="Electra Sugar Skulls 1 (20-inch) - Girl's - 2017"/>
    <x v="3"/>
  </r>
  <r>
    <n v="854"/>
    <n v="1"/>
    <n v="87"/>
    <n v="1"/>
    <n v="189.99"/>
    <n v="0.1"/>
    <n v="189.89000000000001"/>
    <s v="Trek Precaliber 12 Boys - 2017"/>
    <x v="3"/>
  </r>
  <r>
    <n v="855"/>
    <n v="1"/>
    <n v="18"/>
    <n v="1"/>
    <n v="449"/>
    <n v="0.1"/>
    <n v="448.9"/>
    <s v="Pure Cycles Western 3-Speed - Women's - 2015/2016"/>
    <x v="0"/>
  </r>
  <r>
    <n v="856"/>
    <n v="1"/>
    <n v="38"/>
    <n v="2"/>
    <n v="549.99"/>
    <n v="0.05"/>
    <n v="1099.93"/>
    <s v="Haro Flightline Two 26 Plus - 2017"/>
    <x v="1"/>
  </r>
  <r>
    <n v="857"/>
    <n v="1"/>
    <n v="29"/>
    <n v="1"/>
    <n v="999.99"/>
    <n v="0.2"/>
    <n v="999.79"/>
    <s v="Trek X-Caliber 8 - 2017"/>
    <x v="1"/>
  </r>
  <r>
    <n v="858"/>
    <n v="1"/>
    <n v="45"/>
    <n v="2"/>
    <n v="869.99"/>
    <n v="0.2"/>
    <n v="1739.78"/>
    <s v="Haro SR 1.2 - 2017"/>
    <x v="1"/>
  </r>
  <r>
    <n v="859"/>
    <n v="1"/>
    <n v="38"/>
    <n v="2"/>
    <n v="549.99"/>
    <n v="7.0000000000000007E-2"/>
    <n v="1099.9100000000001"/>
    <s v="Haro Flightline Two 26 Plus - 2017"/>
    <x v="1"/>
  </r>
  <r>
    <n v="860"/>
    <n v="1"/>
    <n v="6"/>
    <n v="1"/>
    <n v="469.99"/>
    <n v="0.05"/>
    <n v="469.94"/>
    <s v="Surly Ice Cream Truck Frameset - 2016"/>
    <x v="1"/>
  </r>
  <r>
    <n v="861"/>
    <n v="1"/>
    <n v="14"/>
    <n v="2"/>
    <n v="269.99"/>
    <n v="7.0000000000000007E-2"/>
    <n v="539.91"/>
    <s v="Electra Girl's Hawaii 1 (16-inch) - 2015/2016"/>
    <x v="0"/>
  </r>
  <r>
    <n v="862"/>
    <n v="1"/>
    <n v="85"/>
    <n v="1"/>
    <n v="329.99"/>
    <n v="0.05"/>
    <n v="329.94"/>
    <s v="Haro Downtown 16 - 2017"/>
    <x v="3"/>
  </r>
  <r>
    <n v="863"/>
    <n v="1"/>
    <n v="93"/>
    <n v="2"/>
    <n v="209.99"/>
    <n v="0.1"/>
    <n v="419.88"/>
    <s v="Haro Shredder 20 Girls - 2017"/>
    <x v="3"/>
  </r>
  <r>
    <n v="864"/>
    <n v="1"/>
    <n v="37"/>
    <n v="1"/>
    <n v="379.99"/>
    <n v="0.1"/>
    <n v="379.89"/>
    <s v="Haro Flightline One ST - 2017"/>
    <x v="1"/>
  </r>
  <r>
    <n v="865"/>
    <n v="1"/>
    <n v="109"/>
    <n v="2"/>
    <n v="416.99"/>
    <n v="0.1"/>
    <n v="833.88"/>
    <s v="Sun Bicycles Cruz 7 - Women's - 2017"/>
    <x v="2"/>
  </r>
  <r>
    <n v="866"/>
    <n v="1"/>
    <n v="88"/>
    <n v="1"/>
    <n v="189.99"/>
    <n v="0.2"/>
    <n v="189.79000000000002"/>
    <s v="Trek Precaliber 12 Girls - 2017"/>
    <x v="3"/>
  </r>
  <r>
    <n v="867"/>
    <n v="1"/>
    <n v="101"/>
    <n v="1"/>
    <n v="339.99"/>
    <n v="0.05"/>
    <n v="339.94"/>
    <s v="Electra Townie 7D (20-inch) - Boys' - 2017"/>
    <x v="3"/>
  </r>
  <r>
    <n v="868"/>
    <n v="1"/>
    <n v="46"/>
    <n v="1"/>
    <n v="1409.99"/>
    <n v="7.0000000000000007E-2"/>
    <n v="1409.92"/>
    <s v="Haro SR 1.3 - 2017"/>
    <x v="1"/>
  </r>
  <r>
    <n v="869"/>
    <n v="1"/>
    <n v="7"/>
    <n v="1"/>
    <n v="3999.99"/>
    <n v="0.2"/>
    <n v="3999.79"/>
    <s v="Trek Slash 8 27.5 - 2016"/>
    <x v="1"/>
  </r>
  <r>
    <n v="870"/>
    <n v="1"/>
    <n v="63"/>
    <n v="1"/>
    <n v="3499.99"/>
    <n v="7.0000000000000007E-2"/>
    <n v="3499.9199999999996"/>
    <s v="Trek Boone Race Shop Limited - 2017"/>
    <x v="4"/>
  </r>
  <r>
    <n v="871"/>
    <n v="1"/>
    <n v="106"/>
    <n v="1"/>
    <n v="449.99"/>
    <n v="0.2"/>
    <n v="449.79"/>
    <s v="Sun Bicycles Cruz 3 - 2017"/>
    <x v="2"/>
  </r>
  <r>
    <n v="872"/>
    <n v="1"/>
    <n v="62"/>
    <n v="2"/>
    <n v="3499.99"/>
    <n v="7.0000000000000007E-2"/>
    <n v="6999.91"/>
    <s v="Trek Boone 7 - 2017"/>
    <x v="4"/>
  </r>
  <r>
    <n v="873"/>
    <n v="1"/>
    <n v="32"/>
    <n v="2"/>
    <n v="469.99"/>
    <n v="0.1"/>
    <n v="939.88"/>
    <s v="Trek Farley Alloy Frameset - 2017"/>
    <x v="1"/>
  </r>
  <r>
    <n v="874"/>
    <n v="1"/>
    <n v="56"/>
    <n v="1"/>
    <n v="5499.99"/>
    <n v="0.05"/>
    <n v="5499.94"/>
    <s v="Trek Domane SLR 6 Disc - 2017"/>
    <x v="6"/>
  </r>
  <r>
    <n v="875"/>
    <n v="1"/>
    <n v="5"/>
    <n v="2"/>
    <n v="1320.99"/>
    <n v="0.1"/>
    <n v="2641.88"/>
    <s v="Heller Shagamaw Frame - 2016"/>
    <x v="1"/>
  </r>
  <r>
    <n v="876"/>
    <n v="1"/>
    <n v="17"/>
    <n v="2"/>
    <n v="429"/>
    <n v="0.2"/>
    <n v="857.8"/>
    <s v="Pure Cycles Vine 8-Speed - 2016"/>
    <x v="0"/>
  </r>
  <r>
    <n v="877"/>
    <n v="1"/>
    <n v="73"/>
    <n v="1"/>
    <n v="749.99"/>
    <n v="7.0000000000000007E-2"/>
    <n v="749.92"/>
    <s v="Sun Bicycles Brickell Tandem 7 - 2017"/>
    <x v="0"/>
  </r>
  <r>
    <n v="878"/>
    <n v="1"/>
    <n v="103"/>
    <n v="1"/>
    <n v="551.99"/>
    <n v="0.2"/>
    <n v="551.79"/>
    <s v="Sun Bicycles Streamway 3 - 2017"/>
    <x v="2"/>
  </r>
  <r>
    <n v="879"/>
    <n v="1"/>
    <n v="100"/>
    <n v="2"/>
    <n v="489.99"/>
    <n v="0.2"/>
    <n v="979.78"/>
    <s v="Electra Townie 3i EQ (20-inch) - Boys' - 2017"/>
    <x v="3"/>
  </r>
  <r>
    <n v="880"/>
    <n v="1"/>
    <n v="28"/>
    <n v="2"/>
    <n v="2499.9899999999998"/>
    <n v="0.2"/>
    <n v="4999.78"/>
    <s v="Surly Karate Monkey 27.5+ Frameset - 2017"/>
    <x v="1"/>
  </r>
  <r>
    <n v="881"/>
    <n v="1"/>
    <n v="98"/>
    <n v="1"/>
    <n v="489.99"/>
    <n v="7.0000000000000007E-2"/>
    <n v="489.92"/>
    <s v="Electra Straight 8 3i (20-inch) - Boy's - 2017"/>
    <x v="3"/>
  </r>
  <r>
    <n v="882"/>
    <n v="1"/>
    <n v="63"/>
    <n v="2"/>
    <n v="3499.99"/>
    <n v="7.0000000000000007E-2"/>
    <n v="6999.91"/>
    <s v="Trek Boone Race Shop Limited - 2017"/>
    <x v="4"/>
  </r>
  <r>
    <n v="883"/>
    <n v="1"/>
    <n v="44"/>
    <n v="1"/>
    <n v="539.99"/>
    <n v="0.05"/>
    <n v="539.94000000000005"/>
    <s v="Haro SR 1.1 - 2017"/>
    <x v="1"/>
  </r>
  <r>
    <n v="884"/>
    <n v="1"/>
    <n v="49"/>
    <n v="2"/>
    <n v="3499.99"/>
    <n v="0.05"/>
    <n v="6999.9299999999994"/>
    <s v="Trek Domane SL 6 - 2017"/>
    <x v="6"/>
  </r>
  <r>
    <n v="885"/>
    <n v="1"/>
    <n v="106"/>
    <n v="1"/>
    <n v="449.99"/>
    <n v="7.0000000000000007E-2"/>
    <n v="449.92"/>
    <s v="Sun Bicycles Cruz 3 - 2017"/>
    <x v="2"/>
  </r>
  <r>
    <n v="886"/>
    <n v="1"/>
    <n v="47"/>
    <n v="1"/>
    <n v="5299.99"/>
    <n v="0.05"/>
    <n v="5299.94"/>
    <s v="Trek Remedy 9.8 - 2017"/>
    <x v="1"/>
  </r>
  <r>
    <n v="887"/>
    <n v="1"/>
    <n v="50"/>
    <n v="2"/>
    <n v="5999.99"/>
    <n v="0.05"/>
    <n v="11999.93"/>
    <s v="Trek Silque SLR 7 Women's - 2017"/>
    <x v="6"/>
  </r>
  <r>
    <n v="888"/>
    <n v="1"/>
    <n v="33"/>
    <n v="2"/>
    <n v="469.99"/>
    <n v="0.1"/>
    <n v="939.88"/>
    <s v="Surly Wednesday Frameset - 2017"/>
    <x v="1"/>
  </r>
  <r>
    <n v="889"/>
    <n v="1"/>
    <n v="12"/>
    <n v="2"/>
    <n v="549.99"/>
    <n v="0.1"/>
    <n v="1099.8800000000001"/>
    <s v="Electra Townie Original 21D - 2016"/>
    <x v="0"/>
  </r>
  <r>
    <n v="890"/>
    <n v="1"/>
    <n v="16"/>
    <n v="2"/>
    <n v="599.99"/>
    <n v="0.1"/>
    <n v="1199.8800000000001"/>
    <s v="Electra Townie Original 7D EQ - 2016"/>
    <x v="0"/>
  </r>
  <r>
    <n v="891"/>
    <n v="1"/>
    <n v="107"/>
    <n v="2"/>
    <n v="416.99"/>
    <n v="0.1"/>
    <n v="833.88"/>
    <s v="Sun Bicycles Cruz 7 - 2017"/>
    <x v="2"/>
  </r>
  <r>
    <n v="892"/>
    <n v="1"/>
    <n v="36"/>
    <n v="1"/>
    <n v="832.99"/>
    <n v="0.1"/>
    <n v="832.89"/>
    <s v="Surly Troll Frameset - 2017"/>
    <x v="1"/>
  </r>
  <r>
    <n v="893"/>
    <n v="1"/>
    <n v="67"/>
    <n v="2"/>
    <n v="250.99"/>
    <n v="0.05"/>
    <n v="501.93"/>
    <s v="Sun Bicycles Revolutions 24 - Girl's - 2017"/>
    <x v="0"/>
  </r>
  <r>
    <n v="894"/>
    <n v="1"/>
    <n v="101"/>
    <n v="2"/>
    <n v="339.99"/>
    <n v="0.2"/>
    <n v="679.78"/>
    <s v="Electra Townie 7D (20-inch) - Boys' - 2017"/>
    <x v="3"/>
  </r>
  <r>
    <n v="895"/>
    <n v="1"/>
    <n v="106"/>
    <n v="1"/>
    <n v="449.99"/>
    <n v="7.0000000000000007E-2"/>
    <n v="449.92"/>
    <s v="Sun Bicycles Cruz 3 - 2017"/>
    <x v="2"/>
  </r>
  <r>
    <n v="896"/>
    <n v="1"/>
    <n v="91"/>
    <n v="2"/>
    <n v="349.99"/>
    <n v="0.05"/>
    <n v="699.93000000000006"/>
    <s v="Trek Precaliber 24 (21-Speed) - Girls - 2017"/>
    <x v="3"/>
  </r>
  <r>
    <n v="897"/>
    <n v="1"/>
    <n v="105"/>
    <n v="1"/>
    <n v="533.99"/>
    <n v="0.05"/>
    <n v="533.94000000000005"/>
    <s v="Sun Bicycles Streamway 7 - 2017"/>
    <x v="2"/>
  </r>
  <r>
    <n v="898"/>
    <n v="1"/>
    <n v="45"/>
    <n v="2"/>
    <n v="869.99"/>
    <n v="0.2"/>
    <n v="1739.78"/>
    <s v="Haro SR 1.2 - 2017"/>
    <x v="1"/>
  </r>
  <r>
    <n v="899"/>
    <n v="1"/>
    <n v="59"/>
    <n v="2"/>
    <n v="2599.9899999999998"/>
    <n v="0.1"/>
    <n v="5199.8799999999992"/>
    <s v="Trek Domane S 5 Disc - 2017"/>
    <x v="6"/>
  </r>
  <r>
    <n v="900"/>
    <n v="1"/>
    <n v="26"/>
    <n v="2"/>
    <n v="599.99"/>
    <n v="0.05"/>
    <n v="1199.93"/>
    <s v="Electra Townie Original 7D EQ - 2016"/>
    <x v="2"/>
  </r>
  <r>
    <n v="901"/>
    <n v="1"/>
    <n v="50"/>
    <n v="1"/>
    <n v="5999.99"/>
    <n v="0.2"/>
    <n v="5999.79"/>
    <s v="Trek Silque SLR 7 Women's - 2017"/>
    <x v="6"/>
  </r>
  <r>
    <n v="902"/>
    <n v="1"/>
    <n v="38"/>
    <n v="2"/>
    <n v="549.99"/>
    <n v="7.0000000000000007E-2"/>
    <n v="1099.9100000000001"/>
    <s v="Haro Flightline Two 26 Plus - 2017"/>
    <x v="1"/>
  </r>
  <r>
    <n v="903"/>
    <n v="1"/>
    <n v="31"/>
    <n v="2"/>
    <n v="1632.99"/>
    <n v="7.0000000000000007E-2"/>
    <n v="3265.91"/>
    <s v="Surly Wednesday - 2017"/>
    <x v="1"/>
  </r>
  <r>
    <n v="904"/>
    <n v="1"/>
    <n v="36"/>
    <n v="2"/>
    <n v="832.99"/>
    <n v="0.1"/>
    <n v="1665.88"/>
    <s v="Surly Troll Frameset - 2017"/>
    <x v="1"/>
  </r>
  <r>
    <n v="905"/>
    <n v="1"/>
    <n v="67"/>
    <n v="1"/>
    <n v="250.99"/>
    <n v="0.1"/>
    <n v="250.89000000000001"/>
    <s v="Sun Bicycles Revolutions 24 - Girl's - 2017"/>
    <x v="0"/>
  </r>
  <r>
    <n v="906"/>
    <n v="1"/>
    <n v="23"/>
    <n v="2"/>
    <n v="299.99"/>
    <n v="0.2"/>
    <n v="599.78"/>
    <s v="Electra Girl's Hawaii 1 (20-inch) - 2015/2016"/>
    <x v="3"/>
  </r>
  <r>
    <n v="907"/>
    <n v="1"/>
    <n v="84"/>
    <n v="2"/>
    <n v="109.99"/>
    <n v="7.0000000000000007E-2"/>
    <n v="219.91"/>
    <s v="Sun Bicycles Lil Kitt'n - 2017"/>
    <x v="3"/>
  </r>
  <r>
    <n v="908"/>
    <n v="1"/>
    <n v="41"/>
    <n v="1"/>
    <n v="1469.99"/>
    <n v="0.2"/>
    <n v="1469.79"/>
    <s v="Haro Shift R3 - 2017"/>
    <x v="1"/>
  </r>
  <r>
    <n v="909"/>
    <n v="1"/>
    <n v="5"/>
    <n v="1"/>
    <n v="1320.99"/>
    <n v="0.2"/>
    <n v="1320.79"/>
    <s v="Heller Shagamaw Frame - 2016"/>
    <x v="1"/>
  </r>
  <r>
    <n v="910"/>
    <n v="1"/>
    <n v="23"/>
    <n v="1"/>
    <n v="299.99"/>
    <n v="0.1"/>
    <n v="299.89"/>
    <s v="Electra Girl's Hawaii 1 (20-inch) - 2015/2016"/>
    <x v="3"/>
  </r>
  <r>
    <n v="911"/>
    <n v="1"/>
    <n v="66"/>
    <n v="2"/>
    <n v="250.99"/>
    <n v="0.05"/>
    <n v="501.93"/>
    <s v="Sun Bicycles Revolutions 24 - 2017"/>
    <x v="0"/>
  </r>
  <r>
    <n v="912"/>
    <n v="1"/>
    <n v="22"/>
    <n v="2"/>
    <n v="269.99"/>
    <n v="0.2"/>
    <n v="539.78"/>
    <s v="Electra Girl's Hawaii 1 (16-inch) - 2015/2016"/>
    <x v="3"/>
  </r>
  <r>
    <n v="913"/>
    <n v="1"/>
    <n v="90"/>
    <n v="2"/>
    <n v="209.99"/>
    <n v="0.1"/>
    <n v="419.88"/>
    <s v="Trek Precaliber 16 Girls - 2017"/>
    <x v="3"/>
  </r>
  <r>
    <n v="914"/>
    <n v="1"/>
    <n v="38"/>
    <n v="1"/>
    <n v="549.99"/>
    <n v="7.0000000000000007E-2"/>
    <n v="549.91999999999996"/>
    <s v="Haro Flightline Two 26 Plus - 2017"/>
    <x v="1"/>
  </r>
  <r>
    <n v="915"/>
    <n v="1"/>
    <n v="64"/>
    <n v="1"/>
    <n v="489.99"/>
    <n v="0.05"/>
    <n v="489.94"/>
    <s v="Electra Townie Original 7D - 2017"/>
    <x v="0"/>
  </r>
  <r>
    <n v="916"/>
    <n v="1"/>
    <n v="92"/>
    <n v="1"/>
    <n v="209.99"/>
    <n v="0.2"/>
    <n v="209.79000000000002"/>
    <s v="Haro Shredder 20 - 2017"/>
    <x v="3"/>
  </r>
  <r>
    <n v="917"/>
    <n v="1"/>
    <n v="41"/>
    <n v="1"/>
    <n v="1469.99"/>
    <n v="7.0000000000000007E-2"/>
    <n v="1469.92"/>
    <s v="Haro Shift R3 - 2017"/>
    <x v="1"/>
  </r>
  <r>
    <n v="918"/>
    <n v="1"/>
    <n v="91"/>
    <n v="1"/>
    <n v="349.99"/>
    <n v="0.2"/>
    <n v="349.79"/>
    <s v="Trek Precaliber 24 (21-Speed) - Girls - 2017"/>
    <x v="3"/>
  </r>
  <r>
    <n v="919"/>
    <n v="1"/>
    <n v="7"/>
    <n v="1"/>
    <n v="3999.99"/>
    <n v="7.0000000000000007E-2"/>
    <n v="3999.9199999999996"/>
    <s v="Trek Slash 8 27.5 - 2016"/>
    <x v="1"/>
  </r>
  <r>
    <n v="920"/>
    <n v="1"/>
    <n v="76"/>
    <n v="1"/>
    <n v="299.99"/>
    <n v="0.05"/>
    <n v="299.94"/>
    <s v="Electra Girl's Hawaii 1 16&quot; - 2017"/>
    <x v="0"/>
  </r>
  <r>
    <n v="921"/>
    <n v="1"/>
    <n v="77"/>
    <n v="1"/>
    <n v="799.99"/>
    <n v="0.2"/>
    <n v="799.79"/>
    <s v="Electra Glam Punk 3i Ladies' - 2017"/>
    <x v="0"/>
  </r>
  <r>
    <n v="922"/>
    <n v="1"/>
    <n v="68"/>
    <n v="1"/>
    <n v="449.99"/>
    <n v="0.2"/>
    <n v="449.79"/>
    <s v="Sun Bicycles Cruz 3 - 2017"/>
    <x v="0"/>
  </r>
  <r>
    <n v="923"/>
    <n v="1"/>
    <n v="74"/>
    <n v="2"/>
    <n v="439.99"/>
    <n v="0.05"/>
    <n v="879.93000000000006"/>
    <s v="Electra Cruiser Lux 1 - 2017"/>
    <x v="0"/>
  </r>
  <r>
    <n v="924"/>
    <n v="1"/>
    <n v="97"/>
    <n v="2"/>
    <n v="349.99"/>
    <n v="0.2"/>
    <n v="699.78"/>
    <s v="Electra Savannah 3i (20-inch) - Girl's - 2017"/>
    <x v="3"/>
  </r>
  <r>
    <n v="925"/>
    <n v="1"/>
    <n v="97"/>
    <n v="1"/>
    <n v="349.99"/>
    <n v="7.0000000000000007E-2"/>
    <n v="349.92"/>
    <s v="Electra Savannah 3i (20-inch) - Girl's - 2017"/>
    <x v="3"/>
  </r>
  <r>
    <n v="926"/>
    <n v="1"/>
    <n v="37"/>
    <n v="2"/>
    <n v="379.99"/>
    <n v="0.2"/>
    <n v="759.78"/>
    <s v="Haro Flightline One ST - 2017"/>
    <x v="1"/>
  </r>
  <r>
    <n v="927"/>
    <n v="1"/>
    <n v="74"/>
    <n v="2"/>
    <n v="439.99"/>
    <n v="0.1"/>
    <n v="879.88"/>
    <s v="Electra Cruiser Lux 1 - 2017"/>
    <x v="0"/>
  </r>
  <r>
    <n v="928"/>
    <n v="1"/>
    <n v="71"/>
    <n v="2"/>
    <n v="416.99"/>
    <n v="0.05"/>
    <n v="833.93000000000006"/>
    <s v="Sun Bicycles Atlas X-Type - 2017"/>
    <x v="0"/>
  </r>
  <r>
    <n v="929"/>
    <n v="1"/>
    <n v="82"/>
    <n v="1"/>
    <n v="659.99"/>
    <n v="0.2"/>
    <n v="659.79"/>
    <s v="Electra Amsterdam Original 3i Ladies' - 2017"/>
    <x v="0"/>
  </r>
  <r>
    <n v="930"/>
    <n v="1"/>
    <n v="56"/>
    <n v="2"/>
    <n v="5499.99"/>
    <n v="7.0000000000000007E-2"/>
    <n v="10999.91"/>
    <s v="Trek Domane SLR 6 Disc - 2017"/>
    <x v="6"/>
  </r>
  <r>
    <n v="931"/>
    <n v="1"/>
    <n v="49"/>
    <n v="2"/>
    <n v="3499.99"/>
    <n v="7.0000000000000007E-2"/>
    <n v="6999.91"/>
    <s v="Trek Domane SL 6 - 2017"/>
    <x v="6"/>
  </r>
  <r>
    <n v="932"/>
    <n v="1"/>
    <n v="74"/>
    <n v="1"/>
    <n v="439.99"/>
    <n v="0.05"/>
    <n v="439.94"/>
    <s v="Electra Cruiser Lux 1 - 2017"/>
    <x v="0"/>
  </r>
  <r>
    <n v="933"/>
    <n v="1"/>
    <n v="77"/>
    <n v="1"/>
    <n v="799.99"/>
    <n v="7.0000000000000007E-2"/>
    <n v="799.92"/>
    <s v="Electra Glam Punk 3i Ladies' - 2017"/>
    <x v="0"/>
  </r>
  <r>
    <n v="934"/>
    <n v="1"/>
    <n v="35"/>
    <n v="2"/>
    <n v="832.99"/>
    <n v="0.05"/>
    <n v="1665.93"/>
    <s v="Sun Bicycles Spider 3i - 2017"/>
    <x v="1"/>
  </r>
  <r>
    <n v="935"/>
    <n v="1"/>
    <n v="65"/>
    <n v="2"/>
    <n v="346.99"/>
    <n v="0.2"/>
    <n v="693.78"/>
    <s v="Sun Bicycles Lil Bolt Type-R - 2017"/>
    <x v="0"/>
  </r>
  <r>
    <n v="936"/>
    <n v="1"/>
    <n v="70"/>
    <n v="1"/>
    <n v="659.99"/>
    <n v="0.1"/>
    <n v="659.89"/>
    <s v="Electra Amsterdam Original 3i - 2015/2017"/>
    <x v="0"/>
  </r>
  <r>
    <n v="937"/>
    <n v="1"/>
    <n v="108"/>
    <n v="2"/>
    <n v="449.99"/>
    <n v="0.1"/>
    <n v="899.88"/>
    <s v="Sun Bicycles Cruz 3 - Women's - 2017"/>
    <x v="2"/>
  </r>
  <r>
    <n v="938"/>
    <n v="1"/>
    <n v="4"/>
    <n v="1"/>
    <n v="2899.99"/>
    <n v="0.05"/>
    <n v="2899.9399999999996"/>
    <s v="Trek Fuel EX 8 29 - 2016"/>
    <x v="1"/>
  </r>
  <r>
    <n v="939"/>
    <n v="1"/>
    <n v="5"/>
    <n v="1"/>
    <n v="1320.99"/>
    <n v="0.1"/>
    <n v="1320.89"/>
    <s v="Heller Shagamaw Frame - 2016"/>
    <x v="1"/>
  </r>
  <r>
    <n v="940"/>
    <n v="1"/>
    <n v="75"/>
    <n v="2"/>
    <n v="599.99"/>
    <n v="0.2"/>
    <n v="1199.78"/>
    <s v="Electra Cruiser Lux Fat Tire 1 Ladies - 2017"/>
    <x v="0"/>
  </r>
  <r>
    <n v="941"/>
    <n v="1"/>
    <n v="25"/>
    <n v="1"/>
    <n v="499.99"/>
    <n v="0.1"/>
    <n v="499.89"/>
    <s v="Electra Townie Original 7D - 2015/2016"/>
    <x v="2"/>
  </r>
  <r>
    <n v="942"/>
    <n v="1"/>
    <n v="98"/>
    <n v="2"/>
    <n v="489.99"/>
    <n v="0.05"/>
    <n v="979.93000000000006"/>
    <s v="Electra Straight 8 3i (20-inch) - Boy's - 2017"/>
    <x v="3"/>
  </r>
  <r>
    <n v="943"/>
    <n v="1"/>
    <n v="25"/>
    <n v="1"/>
    <n v="499.99"/>
    <n v="0.2"/>
    <n v="499.79"/>
    <s v="Electra Townie Original 7D - 2015/2016"/>
    <x v="2"/>
  </r>
  <r>
    <n v="944"/>
    <n v="1"/>
    <n v="29"/>
    <n v="2"/>
    <n v="999.99"/>
    <n v="7.0000000000000007E-2"/>
    <n v="1999.91"/>
    <s v="Trek X-Caliber 8 - 2017"/>
    <x v="1"/>
  </r>
  <r>
    <n v="945"/>
    <n v="1"/>
    <n v="105"/>
    <n v="1"/>
    <n v="533.99"/>
    <n v="0.05"/>
    <n v="533.94000000000005"/>
    <s v="Sun Bicycles Streamway 7 - 2017"/>
    <x v="2"/>
  </r>
  <r>
    <n v="946"/>
    <n v="1"/>
    <n v="7"/>
    <n v="1"/>
    <n v="3999.99"/>
    <n v="0.1"/>
    <n v="3999.89"/>
    <s v="Trek Slash 8 27.5 - 2016"/>
    <x v="1"/>
  </r>
  <r>
    <n v="947"/>
    <n v="1"/>
    <n v="32"/>
    <n v="1"/>
    <n v="469.99"/>
    <n v="0.05"/>
    <n v="469.94"/>
    <s v="Trek Farley Alloy Frameset - 2017"/>
    <x v="1"/>
  </r>
  <r>
    <n v="948"/>
    <n v="1"/>
    <n v="23"/>
    <n v="2"/>
    <n v="299.99"/>
    <n v="0.2"/>
    <n v="599.78"/>
    <s v="Electra Girl's Hawaii 1 (20-inch) - 2015/2016"/>
    <x v="3"/>
  </r>
  <r>
    <n v="949"/>
    <n v="1"/>
    <n v="9"/>
    <n v="2"/>
    <n v="2999.99"/>
    <n v="0.1"/>
    <n v="5999.8799999999992"/>
    <s v="Trek Conduit+ - 2016"/>
    <x v="5"/>
  </r>
  <r>
    <n v="950"/>
    <n v="1"/>
    <n v="56"/>
    <n v="1"/>
    <n v="5499.99"/>
    <n v="0.05"/>
    <n v="5499.94"/>
    <s v="Trek Domane SLR 6 Disc - 2017"/>
    <x v="6"/>
  </r>
  <r>
    <n v="951"/>
    <n v="1"/>
    <n v="59"/>
    <n v="1"/>
    <n v="2599.9899999999998"/>
    <n v="0.1"/>
    <n v="2599.89"/>
    <s v="Trek Domane S 5 Disc - 2017"/>
    <x v="6"/>
  </r>
  <r>
    <n v="952"/>
    <n v="1"/>
    <n v="20"/>
    <n v="2"/>
    <n v="599.99"/>
    <n v="7.0000000000000007E-2"/>
    <n v="1199.9100000000001"/>
    <s v="Electra Townie Original 7D EQ - Women's - 2016"/>
    <x v="0"/>
  </r>
  <r>
    <n v="953"/>
    <n v="1"/>
    <n v="23"/>
    <n v="2"/>
    <n v="299.99"/>
    <n v="7.0000000000000007E-2"/>
    <n v="599.91"/>
    <s v="Electra Girl's Hawaii 1 (20-inch) - 2015/2016"/>
    <x v="3"/>
  </r>
  <r>
    <n v="954"/>
    <n v="1"/>
    <n v="4"/>
    <n v="2"/>
    <n v="2899.99"/>
    <n v="0.1"/>
    <n v="5799.8799999999992"/>
    <s v="Trek Fuel EX 8 29 - 2016"/>
    <x v="1"/>
  </r>
  <r>
    <n v="955"/>
    <n v="1"/>
    <n v="43"/>
    <n v="1"/>
    <n v="5299.99"/>
    <n v="0.1"/>
    <n v="5299.8899999999994"/>
    <s v="Trek Fuel EX 9.8 27.5 Plus - 2017"/>
    <x v="1"/>
  </r>
  <r>
    <n v="956"/>
    <n v="1"/>
    <n v="76"/>
    <n v="2"/>
    <n v="299.99"/>
    <n v="0.1"/>
    <n v="599.88"/>
    <s v="Electra Girl's Hawaii 1 16&quot; - 2017"/>
    <x v="0"/>
  </r>
  <r>
    <n v="957"/>
    <n v="1"/>
    <n v="108"/>
    <n v="2"/>
    <n v="449.99"/>
    <n v="0.05"/>
    <n v="899.93000000000006"/>
    <s v="Sun Bicycles Cruz 3 - Women's - 2017"/>
    <x v="2"/>
  </r>
  <r>
    <n v="958"/>
    <n v="1"/>
    <n v="51"/>
    <n v="1"/>
    <n v="6499.99"/>
    <n v="0.1"/>
    <n v="6499.8899999999994"/>
    <s v="Trek Silque SLR 8 Women's - 2017"/>
    <x v="6"/>
  </r>
  <r>
    <n v="959"/>
    <n v="1"/>
    <n v="15"/>
    <n v="1"/>
    <n v="529.99"/>
    <n v="0.2"/>
    <n v="529.79"/>
    <s v="Electra Moto 1 - 2016"/>
    <x v="0"/>
  </r>
  <r>
    <n v="960"/>
    <n v="1"/>
    <n v="73"/>
    <n v="2"/>
    <n v="749.99"/>
    <n v="0.05"/>
    <n v="1499.93"/>
    <s v="Sun Bicycles Brickell Tandem 7 - 2017"/>
    <x v="0"/>
  </r>
  <r>
    <n v="961"/>
    <n v="1"/>
    <n v="105"/>
    <n v="1"/>
    <n v="533.99"/>
    <n v="0.1"/>
    <n v="533.89"/>
    <s v="Sun Bicycles Streamway 7 - 2017"/>
    <x v="2"/>
  </r>
  <r>
    <n v="962"/>
    <n v="1"/>
    <n v="65"/>
    <n v="2"/>
    <n v="346.99"/>
    <n v="7.0000000000000007E-2"/>
    <n v="693.91"/>
    <s v="Sun Bicycles Lil Bolt Type-R - 2017"/>
    <x v="0"/>
  </r>
  <r>
    <n v="963"/>
    <n v="1"/>
    <n v="4"/>
    <n v="1"/>
    <n v="2899.99"/>
    <n v="7.0000000000000007E-2"/>
    <n v="2899.9199999999996"/>
    <s v="Trek Fuel EX 8 29 - 2016"/>
    <x v="1"/>
  </r>
  <r>
    <n v="964"/>
    <n v="1"/>
    <n v="90"/>
    <n v="1"/>
    <n v="209.99"/>
    <n v="0.2"/>
    <n v="209.79000000000002"/>
    <s v="Trek Precaliber 16 Girls - 2017"/>
    <x v="3"/>
  </r>
  <r>
    <n v="965"/>
    <n v="1"/>
    <n v="90"/>
    <n v="2"/>
    <n v="209.99"/>
    <n v="0.1"/>
    <n v="419.88"/>
    <s v="Trek Precaliber 16 Girls - 2017"/>
    <x v="3"/>
  </r>
  <r>
    <n v="966"/>
    <n v="1"/>
    <n v="88"/>
    <n v="1"/>
    <n v="189.99"/>
    <n v="0.05"/>
    <n v="189.94"/>
    <s v="Trek Precaliber 12 Girls - 2017"/>
    <x v="3"/>
  </r>
  <r>
    <n v="967"/>
    <n v="1"/>
    <n v="66"/>
    <n v="1"/>
    <n v="250.99"/>
    <n v="0.2"/>
    <n v="250.79000000000002"/>
    <s v="Sun Bicycles Revolutions 24 - 2017"/>
    <x v="0"/>
  </r>
  <r>
    <n v="968"/>
    <n v="1"/>
    <n v="87"/>
    <n v="1"/>
    <n v="189.99"/>
    <n v="0.2"/>
    <n v="189.79000000000002"/>
    <s v="Trek Precaliber 12 Boys - 2017"/>
    <x v="3"/>
  </r>
  <r>
    <n v="969"/>
    <n v="1"/>
    <n v="74"/>
    <n v="1"/>
    <n v="439.99"/>
    <n v="0.2"/>
    <n v="439.79"/>
    <s v="Electra Cruiser Lux 1 - 2017"/>
    <x v="0"/>
  </r>
  <r>
    <n v="970"/>
    <n v="1"/>
    <n v="85"/>
    <n v="1"/>
    <n v="329.99"/>
    <n v="0.1"/>
    <n v="329.89"/>
    <s v="Haro Downtown 16 - 2017"/>
    <x v="3"/>
  </r>
  <r>
    <n v="971"/>
    <n v="1"/>
    <n v="70"/>
    <n v="2"/>
    <n v="659.99"/>
    <n v="0.05"/>
    <n v="1319.93"/>
    <s v="Electra Amsterdam Original 3i - 2015/2017"/>
    <x v="0"/>
  </r>
  <r>
    <n v="972"/>
    <n v="1"/>
    <n v="100"/>
    <n v="1"/>
    <n v="489.99"/>
    <n v="0.2"/>
    <n v="489.79"/>
    <s v="Electra Townie 3i EQ (20-inch) - Boys' - 2017"/>
    <x v="3"/>
  </r>
  <r>
    <n v="973"/>
    <n v="1"/>
    <n v="4"/>
    <n v="2"/>
    <n v="2899.99"/>
    <n v="0.1"/>
    <n v="5799.8799999999992"/>
    <s v="Trek Fuel EX 8 29 - 2016"/>
    <x v="1"/>
  </r>
  <r>
    <n v="974"/>
    <n v="1"/>
    <n v="33"/>
    <n v="2"/>
    <n v="469.99"/>
    <n v="0.1"/>
    <n v="939.88"/>
    <s v="Surly Wednesday Frameset - 2017"/>
    <x v="1"/>
  </r>
  <r>
    <n v="975"/>
    <n v="1"/>
    <n v="110"/>
    <n v="2"/>
    <n v="470.99"/>
    <n v="0.2"/>
    <n v="941.78"/>
    <s v="Sun Bicycles Drifter 7 - 2017"/>
    <x v="2"/>
  </r>
  <r>
    <n v="976"/>
    <n v="1"/>
    <n v="26"/>
    <n v="2"/>
    <n v="599.99"/>
    <n v="0.1"/>
    <n v="1199.8800000000001"/>
    <s v="Electra Townie Original 7D EQ - 2016"/>
    <x v="2"/>
  </r>
  <r>
    <n v="977"/>
    <n v="1"/>
    <n v="52"/>
    <n v="2"/>
    <n v="875.99"/>
    <n v="0.1"/>
    <n v="1751.88"/>
    <s v="Surly Steamroller - 2017"/>
    <x v="6"/>
  </r>
  <r>
    <n v="978"/>
    <n v="1"/>
    <n v="106"/>
    <n v="2"/>
    <n v="449.99"/>
    <n v="0.05"/>
    <n v="899.93000000000006"/>
    <s v="Sun Bicycles Cruz 3 - 2017"/>
    <x v="2"/>
  </r>
  <r>
    <n v="979"/>
    <n v="1"/>
    <n v="55"/>
    <n v="1"/>
    <n v="2699.99"/>
    <n v="0.05"/>
    <n v="2699.9399999999996"/>
    <s v="Trek Domane S 6 - 2017"/>
    <x v="6"/>
  </r>
  <r>
    <n v="980"/>
    <n v="1"/>
    <n v="49"/>
    <n v="2"/>
    <n v="3499.99"/>
    <n v="0.2"/>
    <n v="6999.78"/>
    <s v="Trek Domane SL 6 - 2017"/>
    <x v="6"/>
  </r>
  <r>
    <n v="981"/>
    <n v="1"/>
    <n v="35"/>
    <n v="1"/>
    <n v="832.99"/>
    <n v="0.1"/>
    <n v="832.89"/>
    <s v="Sun Bicycles Spider 3i - 2017"/>
    <x v="1"/>
  </r>
  <r>
    <n v="982"/>
    <n v="1"/>
    <n v="22"/>
    <n v="2"/>
    <n v="269.99"/>
    <n v="0.1"/>
    <n v="539.88"/>
    <s v="Electra Girl's Hawaii 1 (16-inch) - 2015/2016"/>
    <x v="3"/>
  </r>
  <r>
    <n v="983"/>
    <n v="1"/>
    <n v="63"/>
    <n v="1"/>
    <n v="3499.99"/>
    <n v="0.1"/>
    <n v="3499.89"/>
    <s v="Trek Boone Race Shop Limited - 2017"/>
    <x v="4"/>
  </r>
  <r>
    <n v="984"/>
    <n v="1"/>
    <n v="68"/>
    <n v="1"/>
    <n v="449.99"/>
    <n v="0.2"/>
    <n v="449.79"/>
    <s v="Sun Bicycles Cruz 3 - 2017"/>
    <x v="0"/>
  </r>
  <r>
    <n v="985"/>
    <n v="1"/>
    <n v="5"/>
    <n v="2"/>
    <n v="1320.99"/>
    <n v="7.0000000000000007E-2"/>
    <n v="2641.91"/>
    <s v="Heller Shagamaw Frame - 2016"/>
    <x v="1"/>
  </r>
  <r>
    <n v="986"/>
    <n v="1"/>
    <n v="87"/>
    <n v="1"/>
    <n v="189.99"/>
    <n v="0.1"/>
    <n v="189.89000000000001"/>
    <s v="Trek Precaliber 12 Boys - 2017"/>
    <x v="3"/>
  </r>
  <r>
    <n v="987"/>
    <n v="1"/>
    <n v="51"/>
    <n v="2"/>
    <n v="6499.99"/>
    <n v="0.1"/>
    <n v="12999.88"/>
    <s v="Trek Silque SLR 8 Women's - 2017"/>
    <x v="6"/>
  </r>
  <r>
    <n v="988"/>
    <n v="1"/>
    <n v="35"/>
    <n v="1"/>
    <n v="832.99"/>
    <n v="0.2"/>
    <n v="832.79"/>
    <s v="Sun Bicycles Spider 3i - 2017"/>
    <x v="1"/>
  </r>
  <r>
    <n v="989"/>
    <n v="1"/>
    <n v="99"/>
    <n v="1"/>
    <n v="299.99"/>
    <n v="0.05"/>
    <n v="299.94"/>
    <s v="Electra Sugar Skulls 1 (20-inch) - Girl's - 2017"/>
    <x v="3"/>
  </r>
  <r>
    <n v="990"/>
    <n v="1"/>
    <n v="6"/>
    <n v="2"/>
    <n v="469.99"/>
    <n v="0.2"/>
    <n v="939.78"/>
    <s v="Surly Ice Cream Truck Frameset - 2016"/>
    <x v="1"/>
  </r>
  <r>
    <n v="991"/>
    <n v="1"/>
    <n v="9"/>
    <n v="2"/>
    <n v="2999.99"/>
    <n v="0.2"/>
    <n v="5999.78"/>
    <s v="Trek Conduit+ - 2016"/>
    <x v="5"/>
  </r>
  <r>
    <n v="992"/>
    <n v="1"/>
    <n v="45"/>
    <n v="1"/>
    <n v="869.99"/>
    <n v="7.0000000000000007E-2"/>
    <n v="869.92"/>
    <s v="Haro SR 1.2 - 2017"/>
    <x v="1"/>
  </r>
  <r>
    <n v="993"/>
    <n v="1"/>
    <n v="58"/>
    <n v="1"/>
    <n v="4999.99"/>
    <n v="0.2"/>
    <n v="4999.79"/>
    <s v="Trek Madone 9.2 - 2017"/>
    <x v="6"/>
  </r>
  <r>
    <n v="994"/>
    <n v="1"/>
    <n v="37"/>
    <n v="2"/>
    <n v="379.99"/>
    <n v="0.1"/>
    <n v="759.88"/>
    <s v="Haro Flightline One ST - 2017"/>
    <x v="1"/>
  </r>
  <r>
    <n v="995"/>
    <n v="1"/>
    <n v="16"/>
    <n v="2"/>
    <n v="599.99"/>
    <n v="0.1"/>
    <n v="1199.8800000000001"/>
    <s v="Electra Townie Original 7D EQ - 2016"/>
    <x v="0"/>
  </r>
  <r>
    <n v="996"/>
    <n v="1"/>
    <n v="68"/>
    <n v="2"/>
    <n v="449.99"/>
    <n v="0.05"/>
    <n v="899.93000000000006"/>
    <s v="Sun Bicycles Cruz 3 - 2017"/>
    <x v="0"/>
  </r>
  <r>
    <n v="997"/>
    <n v="1"/>
    <n v="86"/>
    <n v="2"/>
    <n v="149.99"/>
    <n v="7.0000000000000007E-2"/>
    <n v="299.91000000000003"/>
    <s v="Trek Girl's Kickster - 2017"/>
    <x v="3"/>
  </r>
  <r>
    <n v="998"/>
    <n v="1"/>
    <n v="26"/>
    <n v="2"/>
    <n v="599.99"/>
    <n v="0.05"/>
    <n v="1199.93"/>
    <s v="Electra Townie Original 7D EQ - 2016"/>
    <x v="2"/>
  </r>
  <r>
    <n v="999"/>
    <n v="1"/>
    <n v="70"/>
    <n v="2"/>
    <n v="659.99"/>
    <n v="7.0000000000000007E-2"/>
    <n v="1319.91"/>
    <s v="Electra Amsterdam Original 3i - 2015/2017"/>
    <x v="0"/>
  </r>
  <r>
    <n v="1000"/>
    <n v="1"/>
    <n v="65"/>
    <n v="2"/>
    <n v="346.99"/>
    <n v="0.05"/>
    <n v="693.93000000000006"/>
    <s v="Sun Bicycles Lil Bolt Type-R - 2017"/>
    <x v="0"/>
  </r>
  <r>
    <n v="1001"/>
    <n v="1"/>
    <n v="72"/>
    <n v="1"/>
    <n v="619.99"/>
    <n v="0.05"/>
    <n v="619.94000000000005"/>
    <s v="Sun Bicycles Biscayne Tandem 7 - 2017"/>
    <x v="0"/>
  </r>
  <r>
    <n v="1002"/>
    <n v="1"/>
    <n v="100"/>
    <n v="1"/>
    <n v="489.99"/>
    <n v="0.05"/>
    <n v="489.94"/>
    <s v="Electra Townie 3i EQ (20-inch) - Boys' - 2017"/>
    <x v="3"/>
  </r>
  <r>
    <n v="1003"/>
    <n v="1"/>
    <n v="34"/>
    <n v="2"/>
    <n v="469.99"/>
    <n v="0.05"/>
    <n v="939.93000000000006"/>
    <s v="Trek Session DH 27.5 Carbon Frameset - 2017"/>
    <x v="1"/>
  </r>
  <r>
    <n v="1004"/>
    <n v="1"/>
    <n v="36"/>
    <n v="2"/>
    <n v="832.99"/>
    <n v="0.1"/>
    <n v="1665.88"/>
    <s v="Surly Troll Frameset - 2017"/>
    <x v="1"/>
  </r>
  <r>
    <n v="1005"/>
    <n v="1"/>
    <n v="14"/>
    <n v="2"/>
    <n v="269.99"/>
    <n v="0.2"/>
    <n v="539.78"/>
    <s v="Electra Girl's Hawaii 1 (16-inch) - 2015/2016"/>
    <x v="0"/>
  </r>
  <r>
    <n v="1006"/>
    <n v="1"/>
    <n v="20"/>
    <n v="1"/>
    <n v="599.99"/>
    <n v="7.0000000000000007E-2"/>
    <n v="599.91999999999996"/>
    <s v="Electra Townie Original 7D EQ - Women's - 2016"/>
    <x v="0"/>
  </r>
  <r>
    <n v="1007"/>
    <n v="1"/>
    <n v="26"/>
    <n v="1"/>
    <n v="599.99"/>
    <n v="0.2"/>
    <n v="599.79"/>
    <s v="Electra Townie Original 7D EQ - 2016"/>
    <x v="2"/>
  </r>
  <r>
    <n v="1008"/>
    <n v="1"/>
    <n v="71"/>
    <n v="1"/>
    <n v="416.99"/>
    <n v="0.2"/>
    <n v="416.79"/>
    <s v="Sun Bicycles Atlas X-Type - 2017"/>
    <x v="0"/>
  </r>
  <r>
    <n v="1009"/>
    <n v="1"/>
    <n v="95"/>
    <n v="2"/>
    <n v="299.99"/>
    <n v="7.0000000000000007E-2"/>
    <n v="599.91"/>
    <s v="Electra Girl's Hawaii 1 16&quot; - 2017"/>
    <x v="3"/>
  </r>
  <r>
    <n v="1010"/>
    <n v="1"/>
    <n v="109"/>
    <n v="2"/>
    <n v="416.99"/>
    <n v="0.1"/>
    <n v="833.88"/>
    <s v="Sun Bicycles Cruz 7 - Women's - 2017"/>
    <x v="2"/>
  </r>
  <r>
    <n v="1011"/>
    <n v="1"/>
    <n v="88"/>
    <n v="1"/>
    <n v="189.99"/>
    <n v="0.2"/>
    <n v="189.79000000000002"/>
    <s v="Trek Precaliber 12 Girls - 2017"/>
    <x v="3"/>
  </r>
  <r>
    <n v="1012"/>
    <n v="1"/>
    <n v="8"/>
    <n v="1"/>
    <n v="1799.99"/>
    <n v="7.0000000000000007E-2"/>
    <n v="1799.92"/>
    <s v="Trek Remedy 29 Carbon Frameset - 2016"/>
    <x v="1"/>
  </r>
  <r>
    <n v="1013"/>
    <n v="1"/>
    <n v="60"/>
    <n v="2"/>
    <n v="1559.99"/>
    <n v="0.05"/>
    <n v="3119.93"/>
    <s v="Sun Bicycles ElectroLite - 2017"/>
    <x v="5"/>
  </r>
  <r>
    <n v="1014"/>
    <n v="1"/>
    <n v="97"/>
    <n v="1"/>
    <n v="349.99"/>
    <n v="0.2"/>
    <n v="349.79"/>
    <s v="Electra Savannah 3i (20-inch) - Girl's - 2017"/>
    <x v="3"/>
  </r>
  <r>
    <n v="1015"/>
    <n v="1"/>
    <n v="6"/>
    <n v="2"/>
    <n v="469.99"/>
    <n v="0.1"/>
    <n v="939.88"/>
    <s v="Surly Ice Cream Truck Frameset - 2016"/>
    <x v="1"/>
  </r>
  <r>
    <n v="1016"/>
    <n v="1"/>
    <n v="76"/>
    <n v="2"/>
    <n v="299.99"/>
    <n v="7.0000000000000007E-2"/>
    <n v="599.91"/>
    <s v="Electra Girl's Hawaii 1 16&quot; - 2017"/>
    <x v="0"/>
  </r>
  <r>
    <n v="1017"/>
    <n v="1"/>
    <n v="89"/>
    <n v="1"/>
    <n v="209.99"/>
    <n v="7.0000000000000007E-2"/>
    <n v="209.92000000000002"/>
    <s v="Trek Precaliber 16 Boys - 2017"/>
    <x v="3"/>
  </r>
  <r>
    <n v="1018"/>
    <n v="1"/>
    <n v="76"/>
    <n v="2"/>
    <n v="299.99"/>
    <n v="7.0000000000000007E-2"/>
    <n v="599.91"/>
    <s v="Electra Girl's Hawaii 1 16&quot; - 2017"/>
    <x v="0"/>
  </r>
  <r>
    <n v="1019"/>
    <n v="1"/>
    <n v="30"/>
    <n v="1"/>
    <n v="999.99"/>
    <n v="0.1"/>
    <n v="999.89"/>
    <s v="Surly Ice Cream Truck Frameset - 2017"/>
    <x v="1"/>
  </r>
  <r>
    <n v="1020"/>
    <n v="1"/>
    <n v="20"/>
    <n v="2"/>
    <n v="599.99"/>
    <n v="0.05"/>
    <n v="1199.93"/>
    <s v="Electra Townie Original 7D EQ - Women's - 2016"/>
    <x v="0"/>
  </r>
  <r>
    <n v="1021"/>
    <n v="1"/>
    <n v="49"/>
    <n v="2"/>
    <n v="3499.99"/>
    <n v="7.0000000000000007E-2"/>
    <n v="6999.91"/>
    <s v="Trek Domane SL 6 - 2017"/>
    <x v="6"/>
  </r>
  <r>
    <n v="1022"/>
    <n v="1"/>
    <n v="33"/>
    <n v="1"/>
    <n v="469.99"/>
    <n v="0.2"/>
    <n v="469.79"/>
    <s v="Surly Wednesday Frameset - 2017"/>
    <x v="1"/>
  </r>
  <r>
    <n v="1023"/>
    <n v="1"/>
    <n v="91"/>
    <n v="1"/>
    <n v="349.99"/>
    <n v="7.0000000000000007E-2"/>
    <n v="349.92"/>
    <s v="Trek Precaliber 24 (21-Speed) - Girls - 2017"/>
    <x v="3"/>
  </r>
  <r>
    <n v="1024"/>
    <n v="1"/>
    <n v="104"/>
    <n v="1"/>
    <n v="481.99"/>
    <n v="0.2"/>
    <n v="481.79"/>
    <s v="Sun Bicycles Streamway - 2017"/>
    <x v="2"/>
  </r>
  <r>
    <n v="1025"/>
    <n v="1"/>
    <n v="89"/>
    <n v="1"/>
    <n v="209.99"/>
    <n v="7.0000000000000007E-2"/>
    <n v="209.92000000000002"/>
    <s v="Trek Precaliber 16 Boys - 2017"/>
    <x v="3"/>
  </r>
  <r>
    <n v="1026"/>
    <n v="1"/>
    <n v="7"/>
    <n v="2"/>
    <n v="3999.99"/>
    <n v="7.0000000000000007E-2"/>
    <n v="7999.91"/>
    <s v="Trek Slash 8 27.5 - 2016"/>
    <x v="1"/>
  </r>
  <r>
    <n v="1027"/>
    <n v="1"/>
    <n v="95"/>
    <n v="2"/>
    <n v="299.99"/>
    <n v="0.1"/>
    <n v="599.88"/>
    <s v="Electra Girl's Hawaii 1 16&quot; - 2017"/>
    <x v="3"/>
  </r>
  <r>
    <n v="1028"/>
    <n v="1"/>
    <n v="111"/>
    <n v="2"/>
    <n v="470.99"/>
    <n v="0.1"/>
    <n v="941.88"/>
    <s v="Sun Bicycles Drifter 7 - Women's - 2017"/>
    <x v="2"/>
  </r>
  <r>
    <n v="1029"/>
    <n v="1"/>
    <n v="20"/>
    <n v="1"/>
    <n v="599.99"/>
    <n v="0.2"/>
    <n v="599.79"/>
    <s v="Electra Townie Original 7D EQ - Women's - 2016"/>
    <x v="0"/>
  </r>
  <r>
    <n v="1030"/>
    <n v="1"/>
    <n v="27"/>
    <n v="1"/>
    <n v="999.99"/>
    <n v="0.05"/>
    <n v="999.94"/>
    <s v="Surly Big Dummy Frameset - 2017"/>
    <x v="1"/>
  </r>
  <r>
    <n v="1031"/>
    <n v="1"/>
    <n v="27"/>
    <n v="2"/>
    <n v="999.99"/>
    <n v="0.2"/>
    <n v="1999.78"/>
    <s v="Surly Big Dummy Frameset - 2017"/>
    <x v="1"/>
  </r>
  <r>
    <n v="1032"/>
    <n v="1"/>
    <n v="60"/>
    <n v="2"/>
    <n v="1559.99"/>
    <n v="0.1"/>
    <n v="3119.88"/>
    <s v="Sun Bicycles ElectroLite - 2017"/>
    <x v="5"/>
  </r>
  <r>
    <n v="1033"/>
    <n v="1"/>
    <n v="26"/>
    <n v="1"/>
    <n v="599.99"/>
    <n v="7.0000000000000007E-2"/>
    <n v="599.91999999999996"/>
    <s v="Electra Townie Original 7D EQ - 2016"/>
    <x v="2"/>
  </r>
  <r>
    <n v="1034"/>
    <n v="1"/>
    <n v="101"/>
    <n v="1"/>
    <n v="339.99"/>
    <n v="0.1"/>
    <n v="339.89"/>
    <s v="Electra Townie 7D (20-inch) - Boys' - 2017"/>
    <x v="3"/>
  </r>
  <r>
    <n v="1035"/>
    <n v="1"/>
    <n v="96"/>
    <n v="1"/>
    <n v="349.99"/>
    <n v="0.2"/>
    <n v="349.79"/>
    <s v="Electra Moto 3i (20-inch) - Boy's - 2017"/>
    <x v="3"/>
  </r>
  <r>
    <n v="1036"/>
    <n v="1"/>
    <n v="55"/>
    <n v="2"/>
    <n v="2699.99"/>
    <n v="0.1"/>
    <n v="5399.8799999999992"/>
    <s v="Trek Domane S 6 - 2017"/>
    <x v="6"/>
  </r>
  <r>
    <n v="1037"/>
    <n v="1"/>
    <n v="74"/>
    <n v="2"/>
    <n v="439.99"/>
    <n v="7.0000000000000007E-2"/>
    <n v="879.91"/>
    <s v="Electra Cruiser Lux 1 - 2017"/>
    <x v="0"/>
  </r>
  <r>
    <n v="1038"/>
    <n v="1"/>
    <n v="83"/>
    <n v="1"/>
    <n v="149.99"/>
    <n v="0.05"/>
    <n v="149.94"/>
    <s v="Trek Boy's Kickster - 2015/2017"/>
    <x v="3"/>
  </r>
  <r>
    <n v="1039"/>
    <n v="1"/>
    <n v="18"/>
    <n v="2"/>
    <n v="449"/>
    <n v="0.2"/>
    <n v="897.8"/>
    <s v="Pure Cycles Western 3-Speed - Women's - 2015/2016"/>
    <x v="0"/>
  </r>
  <r>
    <n v="1040"/>
    <n v="1"/>
    <n v="97"/>
    <n v="1"/>
    <n v="349.99"/>
    <n v="0.1"/>
    <n v="349.89"/>
    <s v="Electra Savannah 3i (20-inch) - Girl's - 2017"/>
    <x v="3"/>
  </r>
  <r>
    <n v="1041"/>
    <n v="1"/>
    <n v="89"/>
    <n v="1"/>
    <n v="209.99"/>
    <n v="0.1"/>
    <n v="209.89000000000001"/>
    <s v="Trek Precaliber 16 Boys - 2017"/>
    <x v="3"/>
  </r>
  <r>
    <n v="1042"/>
    <n v="1"/>
    <n v="23"/>
    <n v="1"/>
    <n v="299.99"/>
    <n v="0.1"/>
    <n v="299.89"/>
    <s v="Electra Girl's Hawaii 1 (20-inch) - 2015/2016"/>
    <x v="3"/>
  </r>
  <r>
    <n v="1043"/>
    <n v="1"/>
    <n v="55"/>
    <n v="2"/>
    <n v="2699.99"/>
    <n v="0.1"/>
    <n v="5399.8799999999992"/>
    <s v="Trek Domane S 6 - 2017"/>
    <x v="6"/>
  </r>
  <r>
    <n v="1044"/>
    <n v="1"/>
    <n v="97"/>
    <n v="2"/>
    <n v="349.99"/>
    <n v="0.1"/>
    <n v="699.88"/>
    <s v="Electra Savannah 3i (20-inch) - Girl's - 2017"/>
    <x v="3"/>
  </r>
  <r>
    <n v="1045"/>
    <n v="1"/>
    <n v="28"/>
    <n v="1"/>
    <n v="2499.9899999999998"/>
    <n v="0.05"/>
    <n v="2499.9399999999996"/>
    <s v="Surly Karate Monkey 27.5+ Frameset - 2017"/>
    <x v="1"/>
  </r>
  <r>
    <n v="1046"/>
    <n v="1"/>
    <n v="60"/>
    <n v="1"/>
    <n v="1559.99"/>
    <n v="7.0000000000000007E-2"/>
    <n v="1559.92"/>
    <s v="Sun Bicycles ElectroLite - 2017"/>
    <x v="5"/>
  </r>
  <r>
    <n v="1047"/>
    <n v="1"/>
    <n v="28"/>
    <n v="2"/>
    <n v="2499.9899999999998"/>
    <n v="0.1"/>
    <n v="4999.8799999999992"/>
    <s v="Surly Karate Monkey 27.5+ Frameset - 2017"/>
    <x v="1"/>
  </r>
  <r>
    <n v="1048"/>
    <n v="1"/>
    <n v="3"/>
    <n v="2"/>
    <n v="999.99"/>
    <n v="0.1"/>
    <n v="1999.88"/>
    <s v="Surly Wednesday Frameset - 2016"/>
    <x v="1"/>
  </r>
  <r>
    <n v="1049"/>
    <n v="1"/>
    <n v="9"/>
    <n v="1"/>
    <n v="2999.99"/>
    <n v="0.1"/>
    <n v="2999.89"/>
    <s v="Trek Conduit+ - 2016"/>
    <x v="5"/>
  </r>
  <r>
    <n v="1050"/>
    <n v="1"/>
    <n v="96"/>
    <n v="2"/>
    <n v="349.99"/>
    <n v="7.0000000000000007E-2"/>
    <n v="699.91"/>
    <s v="Electra Moto 3i (20-inch) - Boy's - 2017"/>
    <x v="3"/>
  </r>
  <r>
    <n v="1051"/>
    <n v="1"/>
    <n v="46"/>
    <n v="1"/>
    <n v="1409.99"/>
    <n v="0.2"/>
    <n v="1409.79"/>
    <s v="Haro SR 1.3 - 2017"/>
    <x v="1"/>
  </r>
  <r>
    <n v="1052"/>
    <n v="1"/>
    <n v="7"/>
    <n v="1"/>
    <n v="3999.99"/>
    <n v="0.05"/>
    <n v="3999.9399999999996"/>
    <s v="Trek Slash 8 27.5 - 2016"/>
    <x v="1"/>
  </r>
  <r>
    <n v="1053"/>
    <n v="1"/>
    <n v="49"/>
    <n v="2"/>
    <n v="3499.99"/>
    <n v="0.05"/>
    <n v="6999.9299999999994"/>
    <s v="Trek Domane SL 6 - 2017"/>
    <x v="6"/>
  </r>
  <r>
    <n v="1054"/>
    <n v="1"/>
    <n v="36"/>
    <n v="2"/>
    <n v="832.99"/>
    <n v="0.1"/>
    <n v="1665.88"/>
    <s v="Surly Troll Frameset - 2017"/>
    <x v="1"/>
  </r>
  <r>
    <n v="1055"/>
    <n v="1"/>
    <n v="43"/>
    <n v="2"/>
    <n v="5299.99"/>
    <n v="7.0000000000000007E-2"/>
    <n v="10599.91"/>
    <s v="Trek Fuel EX 9.8 27.5 Plus - 2017"/>
    <x v="1"/>
  </r>
  <r>
    <n v="1056"/>
    <n v="1"/>
    <n v="3"/>
    <n v="1"/>
    <n v="999.99"/>
    <n v="0.05"/>
    <n v="999.94"/>
    <s v="Surly Wednesday Frameset - 2016"/>
    <x v="1"/>
  </r>
  <r>
    <n v="1057"/>
    <n v="1"/>
    <n v="105"/>
    <n v="1"/>
    <n v="533.99"/>
    <n v="0.2"/>
    <n v="533.79"/>
    <s v="Sun Bicycles Streamway 7 - 2017"/>
    <x v="2"/>
  </r>
  <r>
    <n v="1058"/>
    <n v="1"/>
    <n v="43"/>
    <n v="1"/>
    <n v="5299.99"/>
    <n v="0.1"/>
    <n v="5299.8899999999994"/>
    <s v="Trek Fuel EX 9.8 27.5 Plus - 2017"/>
    <x v="1"/>
  </r>
  <r>
    <n v="1059"/>
    <n v="1"/>
    <n v="46"/>
    <n v="2"/>
    <n v="1409.99"/>
    <n v="0.05"/>
    <n v="2819.93"/>
    <s v="Haro SR 1.3 - 2017"/>
    <x v="1"/>
  </r>
  <r>
    <n v="1060"/>
    <n v="1"/>
    <n v="7"/>
    <n v="1"/>
    <n v="3999.99"/>
    <n v="7.0000000000000007E-2"/>
    <n v="3999.9199999999996"/>
    <s v="Trek Slash 8 27.5 - 2016"/>
    <x v="1"/>
  </r>
  <r>
    <n v="1061"/>
    <n v="1"/>
    <n v="14"/>
    <n v="1"/>
    <n v="269.99"/>
    <n v="7.0000000000000007E-2"/>
    <n v="269.92"/>
    <s v="Electra Girl's Hawaii 1 (16-inch) - 2015/2016"/>
    <x v="0"/>
  </r>
  <r>
    <n v="1062"/>
    <n v="1"/>
    <n v="13"/>
    <n v="1"/>
    <n v="269.99"/>
    <n v="0.05"/>
    <n v="269.94"/>
    <s v="Electra Cruiser 1 (24-Inch) - 2016"/>
    <x v="0"/>
  </r>
  <r>
    <n v="1063"/>
    <n v="1"/>
    <n v="33"/>
    <n v="2"/>
    <n v="469.99"/>
    <n v="0.1"/>
    <n v="939.88"/>
    <s v="Surly Wednesday Frameset - 2017"/>
    <x v="1"/>
  </r>
  <r>
    <n v="1064"/>
    <n v="1"/>
    <n v="18"/>
    <n v="1"/>
    <n v="449"/>
    <n v="7.0000000000000007E-2"/>
    <n v="448.93"/>
    <s v="Pure Cycles Western 3-Speed - Women's - 2015/2016"/>
    <x v="0"/>
  </r>
  <r>
    <n v="1065"/>
    <n v="1"/>
    <n v="48"/>
    <n v="2"/>
    <n v="1499.99"/>
    <n v="7.0000000000000007E-2"/>
    <n v="2999.91"/>
    <s v="Trek Emonda S 4 - 2017"/>
    <x v="6"/>
  </r>
  <r>
    <n v="1066"/>
    <n v="1"/>
    <n v="15"/>
    <n v="2"/>
    <n v="529.99"/>
    <n v="0.05"/>
    <n v="1059.93"/>
    <s v="Electra Moto 1 - 2016"/>
    <x v="0"/>
  </r>
  <r>
    <n v="1067"/>
    <n v="1"/>
    <n v="74"/>
    <n v="2"/>
    <n v="439.99"/>
    <n v="7.0000000000000007E-2"/>
    <n v="879.91"/>
    <s v="Electra Cruiser Lux 1 - 2017"/>
    <x v="0"/>
  </r>
  <r>
    <n v="1068"/>
    <n v="1"/>
    <n v="87"/>
    <n v="2"/>
    <n v="189.99"/>
    <n v="0.2"/>
    <n v="379.78000000000003"/>
    <s v="Trek Precaliber 12 Boys - 2017"/>
    <x v="3"/>
  </r>
  <r>
    <n v="1069"/>
    <n v="1"/>
    <n v="109"/>
    <n v="1"/>
    <n v="416.99"/>
    <n v="7.0000000000000007E-2"/>
    <n v="416.92"/>
    <s v="Sun Bicycles Cruz 7 - Women's - 2017"/>
    <x v="2"/>
  </r>
  <r>
    <n v="1070"/>
    <n v="1"/>
    <n v="110"/>
    <n v="1"/>
    <n v="470.99"/>
    <n v="0.2"/>
    <n v="470.79"/>
    <s v="Sun Bicycles Drifter 7 - 2017"/>
    <x v="2"/>
  </r>
  <r>
    <n v="1071"/>
    <n v="1"/>
    <n v="25"/>
    <n v="2"/>
    <n v="499.99"/>
    <n v="0.2"/>
    <n v="999.78"/>
    <s v="Electra Townie Original 7D - 2015/2016"/>
    <x v="2"/>
  </r>
  <r>
    <n v="1072"/>
    <n v="1"/>
    <n v="83"/>
    <n v="1"/>
    <n v="149.99"/>
    <n v="0.2"/>
    <n v="149.79000000000002"/>
    <s v="Trek Boy's Kickster - 2015/2017"/>
    <x v="3"/>
  </r>
  <r>
    <n v="1073"/>
    <n v="1"/>
    <n v="81"/>
    <n v="1"/>
    <n v="1099.99"/>
    <n v="0.2"/>
    <n v="1099.79"/>
    <s v="Electra Amsterdam Fashion 7i Ladies' - 2017"/>
    <x v="0"/>
  </r>
  <r>
    <n v="1074"/>
    <n v="1"/>
    <n v="59"/>
    <n v="1"/>
    <n v="2599.9899999999998"/>
    <n v="0.1"/>
    <n v="2599.89"/>
    <s v="Trek Domane S 5 Disc - 2017"/>
    <x v="6"/>
  </r>
  <r>
    <n v="1075"/>
    <n v="1"/>
    <n v="48"/>
    <n v="2"/>
    <n v="1499.99"/>
    <n v="0.1"/>
    <n v="2999.88"/>
    <s v="Trek Emonda S 4 - 2017"/>
    <x v="6"/>
  </r>
  <r>
    <n v="1076"/>
    <n v="1"/>
    <n v="95"/>
    <n v="1"/>
    <n v="299.99"/>
    <n v="0.1"/>
    <n v="299.89"/>
    <s v="Electra Girl's Hawaii 1 16&quot; - 2017"/>
    <x v="3"/>
  </r>
  <r>
    <n v="1077"/>
    <n v="1"/>
    <n v="60"/>
    <n v="2"/>
    <n v="1559.99"/>
    <n v="0.05"/>
    <n v="3119.93"/>
    <s v="Sun Bicycles ElectroLite - 2017"/>
    <x v="5"/>
  </r>
  <r>
    <n v="1078"/>
    <n v="1"/>
    <n v="76"/>
    <n v="2"/>
    <n v="299.99"/>
    <n v="7.0000000000000007E-2"/>
    <n v="599.91"/>
    <s v="Electra Girl's Hawaii 1 16&quot; - 2017"/>
    <x v="0"/>
  </r>
  <r>
    <n v="1079"/>
    <n v="1"/>
    <n v="70"/>
    <n v="2"/>
    <n v="659.99"/>
    <n v="7.0000000000000007E-2"/>
    <n v="1319.91"/>
    <s v="Electra Amsterdam Original 3i - 2015/2017"/>
    <x v="0"/>
  </r>
  <r>
    <n v="1080"/>
    <n v="1"/>
    <n v="31"/>
    <n v="1"/>
    <n v="1632.99"/>
    <n v="0.2"/>
    <n v="1632.79"/>
    <s v="Surly Wednesday - 2017"/>
    <x v="1"/>
  </r>
  <r>
    <n v="1081"/>
    <n v="1"/>
    <n v="52"/>
    <n v="2"/>
    <n v="875.99"/>
    <n v="0.1"/>
    <n v="1751.88"/>
    <s v="Surly Steamroller - 2017"/>
    <x v="6"/>
  </r>
  <r>
    <n v="1082"/>
    <n v="1"/>
    <n v="29"/>
    <n v="2"/>
    <n v="999.99"/>
    <n v="0.2"/>
    <n v="1999.78"/>
    <s v="Trek X-Caliber 8 - 2017"/>
    <x v="1"/>
  </r>
  <r>
    <n v="1083"/>
    <n v="1"/>
    <n v="65"/>
    <n v="2"/>
    <n v="346.99"/>
    <n v="0.2"/>
    <n v="693.78"/>
    <s v="Sun Bicycles Lil Bolt Type-R - 2017"/>
    <x v="0"/>
  </r>
  <r>
    <n v="1084"/>
    <n v="1"/>
    <n v="30"/>
    <n v="1"/>
    <n v="999.99"/>
    <n v="0.05"/>
    <n v="999.94"/>
    <s v="Surly Ice Cream Truck Frameset - 2017"/>
    <x v="1"/>
  </r>
  <r>
    <n v="1085"/>
    <n v="1"/>
    <n v="66"/>
    <n v="2"/>
    <n v="250.99"/>
    <n v="0.2"/>
    <n v="501.78000000000003"/>
    <s v="Sun Bicycles Revolutions 24 - 2017"/>
    <x v="0"/>
  </r>
  <r>
    <n v="1086"/>
    <n v="1"/>
    <n v="108"/>
    <n v="1"/>
    <n v="449.99"/>
    <n v="7.0000000000000007E-2"/>
    <n v="449.92"/>
    <s v="Sun Bicycles Cruz 3 - Women's - 2017"/>
    <x v="2"/>
  </r>
  <r>
    <n v="1087"/>
    <n v="1"/>
    <n v="15"/>
    <n v="1"/>
    <n v="529.99"/>
    <n v="7.0000000000000007E-2"/>
    <n v="529.91999999999996"/>
    <s v="Electra Moto 1 - 2016"/>
    <x v="0"/>
  </r>
  <r>
    <n v="1088"/>
    <n v="1"/>
    <n v="64"/>
    <n v="1"/>
    <n v="489.99"/>
    <n v="0.1"/>
    <n v="489.89"/>
    <s v="Electra Townie Original 7D - 2017"/>
    <x v="0"/>
  </r>
  <r>
    <n v="1089"/>
    <n v="1"/>
    <n v="70"/>
    <n v="2"/>
    <n v="659.99"/>
    <n v="7.0000000000000007E-2"/>
    <n v="1319.91"/>
    <s v="Electra Amsterdam Original 3i - 2015/2017"/>
    <x v="0"/>
  </r>
  <r>
    <n v="1090"/>
    <n v="1"/>
    <n v="74"/>
    <n v="1"/>
    <n v="439.99"/>
    <n v="0.2"/>
    <n v="439.79"/>
    <s v="Electra Cruiser Lux 1 - 2017"/>
    <x v="0"/>
  </r>
  <r>
    <n v="1091"/>
    <n v="1"/>
    <n v="97"/>
    <n v="1"/>
    <n v="349.99"/>
    <n v="0.05"/>
    <n v="349.94"/>
    <s v="Electra Savannah 3i (20-inch) - Girl's - 2017"/>
    <x v="3"/>
  </r>
  <r>
    <n v="1092"/>
    <n v="1"/>
    <n v="34"/>
    <n v="1"/>
    <n v="469.99"/>
    <n v="0.05"/>
    <n v="469.94"/>
    <s v="Trek Session DH 27.5 Carbon Frameset - 2017"/>
    <x v="1"/>
  </r>
  <r>
    <n v="1093"/>
    <n v="1"/>
    <n v="45"/>
    <n v="2"/>
    <n v="869.99"/>
    <n v="7.0000000000000007E-2"/>
    <n v="1739.91"/>
    <s v="Haro SR 1.2 - 2017"/>
    <x v="1"/>
  </r>
  <r>
    <n v="1094"/>
    <n v="1"/>
    <n v="71"/>
    <n v="1"/>
    <n v="416.99"/>
    <n v="0.1"/>
    <n v="416.89"/>
    <s v="Sun Bicycles Atlas X-Type - 2017"/>
    <x v="0"/>
  </r>
  <r>
    <n v="1095"/>
    <n v="1"/>
    <n v="78"/>
    <n v="2"/>
    <n v="647.99"/>
    <n v="0.05"/>
    <n v="1295.93"/>
    <s v="Sun Bicycles Biscayne Tandem CB - 2017"/>
    <x v="0"/>
  </r>
  <r>
    <n v="1096"/>
    <n v="1"/>
    <n v="11"/>
    <n v="1"/>
    <n v="1680.99"/>
    <n v="0.1"/>
    <n v="1680.89"/>
    <s v="Surly Straggler 650b - 2016"/>
    <x v="4"/>
  </r>
  <r>
    <n v="1097"/>
    <n v="1"/>
    <n v="99"/>
    <n v="1"/>
    <n v="299.99"/>
    <n v="0.05"/>
    <n v="299.94"/>
    <s v="Electra Sugar Skulls 1 (20-inch) - Girl's - 2017"/>
    <x v="3"/>
  </r>
  <r>
    <n v="1098"/>
    <n v="1"/>
    <n v="88"/>
    <n v="1"/>
    <n v="189.99"/>
    <n v="0.1"/>
    <n v="189.89000000000001"/>
    <s v="Trek Precaliber 12 Girls - 2017"/>
    <x v="3"/>
  </r>
  <r>
    <n v="1099"/>
    <n v="1"/>
    <n v="64"/>
    <n v="1"/>
    <n v="489.99"/>
    <n v="0.1"/>
    <n v="489.89"/>
    <s v="Electra Townie Original 7D - 2017"/>
    <x v="0"/>
  </r>
  <r>
    <n v="1100"/>
    <n v="1"/>
    <n v="12"/>
    <n v="1"/>
    <n v="549.99"/>
    <n v="0.05"/>
    <n v="549.94000000000005"/>
    <s v="Electra Townie Original 21D - 2016"/>
    <x v="0"/>
  </r>
  <r>
    <n v="1101"/>
    <n v="1"/>
    <n v="105"/>
    <n v="1"/>
    <n v="533.99"/>
    <n v="7.0000000000000007E-2"/>
    <n v="533.91999999999996"/>
    <s v="Sun Bicycles Streamway 7 - 2017"/>
    <x v="2"/>
  </r>
  <r>
    <n v="1102"/>
    <n v="1"/>
    <n v="91"/>
    <n v="1"/>
    <n v="349.99"/>
    <n v="7.0000000000000007E-2"/>
    <n v="349.92"/>
    <s v="Trek Precaliber 24 (21-Speed) - Girls - 2017"/>
    <x v="3"/>
  </r>
  <r>
    <n v="1103"/>
    <n v="1"/>
    <n v="106"/>
    <n v="1"/>
    <n v="449.99"/>
    <n v="0.2"/>
    <n v="449.79"/>
    <s v="Sun Bicycles Cruz 3 - 2017"/>
    <x v="2"/>
  </r>
  <r>
    <n v="1104"/>
    <n v="1"/>
    <n v="17"/>
    <n v="1"/>
    <n v="429"/>
    <n v="0.1"/>
    <n v="428.9"/>
    <s v="Pure Cycles Vine 8-Speed - 2016"/>
    <x v="0"/>
  </r>
  <r>
    <n v="1105"/>
    <n v="1"/>
    <n v="60"/>
    <n v="1"/>
    <n v="1559.99"/>
    <n v="0.05"/>
    <n v="1559.94"/>
    <s v="Sun Bicycles ElectroLite - 2017"/>
    <x v="5"/>
  </r>
  <r>
    <n v="1106"/>
    <n v="1"/>
    <n v="96"/>
    <n v="1"/>
    <n v="349.99"/>
    <n v="0.1"/>
    <n v="349.89"/>
    <s v="Electra Moto 3i (20-inch) - Boy's - 2017"/>
    <x v="3"/>
  </r>
  <r>
    <n v="1107"/>
    <n v="1"/>
    <n v="43"/>
    <n v="1"/>
    <n v="5299.99"/>
    <n v="0.2"/>
    <n v="5299.79"/>
    <s v="Trek Fuel EX 9.8 27.5 Plus - 2017"/>
    <x v="1"/>
  </r>
  <r>
    <n v="1108"/>
    <n v="1"/>
    <n v="45"/>
    <n v="2"/>
    <n v="869.99"/>
    <n v="0.05"/>
    <n v="1739.93"/>
    <s v="Haro SR 1.2 - 2017"/>
    <x v="1"/>
  </r>
  <r>
    <n v="1109"/>
    <n v="1"/>
    <n v="72"/>
    <n v="2"/>
    <n v="619.99"/>
    <n v="0.1"/>
    <n v="1239.8800000000001"/>
    <s v="Sun Bicycles Biscayne Tandem 7 - 2017"/>
    <x v="0"/>
  </r>
  <r>
    <n v="1110"/>
    <n v="1"/>
    <n v="56"/>
    <n v="1"/>
    <n v="5499.99"/>
    <n v="0.1"/>
    <n v="5499.8899999999994"/>
    <s v="Trek Domane SLR 6 Disc - 2017"/>
    <x v="6"/>
  </r>
  <r>
    <n v="1111"/>
    <n v="1"/>
    <n v="95"/>
    <n v="1"/>
    <n v="299.99"/>
    <n v="0.05"/>
    <n v="299.94"/>
    <s v="Electra Girl's Hawaii 1 16&quot; - 2017"/>
    <x v="3"/>
  </r>
  <r>
    <n v="1112"/>
    <n v="1"/>
    <n v="71"/>
    <n v="2"/>
    <n v="416.99"/>
    <n v="0.05"/>
    <n v="833.93000000000006"/>
    <s v="Sun Bicycles Atlas X-Type - 2017"/>
    <x v="0"/>
  </r>
  <r>
    <n v="1113"/>
    <n v="1"/>
    <n v="106"/>
    <n v="1"/>
    <n v="449.99"/>
    <n v="7.0000000000000007E-2"/>
    <n v="449.92"/>
    <s v="Sun Bicycles Cruz 3 - 2017"/>
    <x v="2"/>
  </r>
  <r>
    <n v="1114"/>
    <n v="1"/>
    <n v="52"/>
    <n v="1"/>
    <n v="875.99"/>
    <n v="0.2"/>
    <n v="875.79"/>
    <s v="Surly Steamroller - 2017"/>
    <x v="6"/>
  </r>
  <r>
    <n v="1115"/>
    <n v="1"/>
    <n v="97"/>
    <n v="2"/>
    <n v="349.99"/>
    <n v="0.2"/>
    <n v="699.78"/>
    <s v="Electra Savannah 3i (20-inch) - Girl's - 2017"/>
    <x v="3"/>
  </r>
  <r>
    <n v="1116"/>
    <n v="1"/>
    <n v="11"/>
    <n v="2"/>
    <n v="1680.99"/>
    <n v="7.0000000000000007E-2"/>
    <n v="3361.91"/>
    <s v="Surly Straggler 650b - 2016"/>
    <x v="4"/>
  </r>
  <r>
    <n v="1117"/>
    <n v="1"/>
    <n v="37"/>
    <n v="2"/>
    <n v="379.99"/>
    <n v="0.1"/>
    <n v="759.88"/>
    <s v="Haro Flightline One ST - 2017"/>
    <x v="1"/>
  </r>
  <r>
    <n v="1118"/>
    <n v="1"/>
    <n v="55"/>
    <n v="2"/>
    <n v="2699.99"/>
    <n v="0.2"/>
    <n v="5399.78"/>
    <s v="Trek Domane S 6 - 2017"/>
    <x v="6"/>
  </r>
  <r>
    <n v="1119"/>
    <n v="1"/>
    <n v="93"/>
    <n v="2"/>
    <n v="209.99"/>
    <n v="0.1"/>
    <n v="419.88"/>
    <s v="Haro Shredder 20 Girls - 2017"/>
    <x v="3"/>
  </r>
  <r>
    <n v="1120"/>
    <n v="1"/>
    <n v="92"/>
    <n v="2"/>
    <n v="209.99"/>
    <n v="7.0000000000000007E-2"/>
    <n v="419.91"/>
    <s v="Haro Shredder 20 - 2017"/>
    <x v="3"/>
  </r>
  <r>
    <n v="1121"/>
    <n v="1"/>
    <n v="11"/>
    <n v="2"/>
    <n v="1680.99"/>
    <n v="0.1"/>
    <n v="3361.88"/>
    <s v="Surly Straggler 650b - 2016"/>
    <x v="4"/>
  </r>
  <r>
    <n v="1122"/>
    <n v="1"/>
    <n v="9"/>
    <n v="2"/>
    <n v="2999.99"/>
    <n v="7.0000000000000007E-2"/>
    <n v="5999.91"/>
    <s v="Trek Conduit+ - 2016"/>
    <x v="5"/>
  </r>
  <r>
    <n v="1123"/>
    <n v="1"/>
    <n v="65"/>
    <n v="2"/>
    <n v="346.99"/>
    <n v="7.0000000000000007E-2"/>
    <n v="693.91"/>
    <s v="Sun Bicycles Lil Bolt Type-R - 2017"/>
    <x v="0"/>
  </r>
  <r>
    <n v="1124"/>
    <n v="1"/>
    <n v="7"/>
    <n v="2"/>
    <n v="3999.99"/>
    <n v="0.1"/>
    <n v="7999.8799999999992"/>
    <s v="Trek Slash 8 27.5 - 2016"/>
    <x v="1"/>
  </r>
  <r>
    <n v="1125"/>
    <n v="1"/>
    <n v="16"/>
    <n v="2"/>
    <n v="599.99"/>
    <n v="0.05"/>
    <n v="1199.93"/>
    <s v="Electra Townie Original 7D EQ - 2016"/>
    <x v="0"/>
  </r>
  <r>
    <n v="1126"/>
    <n v="1"/>
    <n v="33"/>
    <n v="2"/>
    <n v="469.99"/>
    <n v="0.1"/>
    <n v="939.88"/>
    <s v="Surly Wednesday Frameset - 2017"/>
    <x v="1"/>
  </r>
  <r>
    <n v="1127"/>
    <n v="1"/>
    <n v="23"/>
    <n v="2"/>
    <n v="299.99"/>
    <n v="0.1"/>
    <n v="599.88"/>
    <s v="Electra Girl's Hawaii 1 (20-inch) - 2015/2016"/>
    <x v="3"/>
  </r>
  <r>
    <n v="1128"/>
    <n v="1"/>
    <n v="44"/>
    <n v="1"/>
    <n v="539.99"/>
    <n v="0.05"/>
    <n v="539.94000000000005"/>
    <s v="Haro SR 1.1 - 2017"/>
    <x v="1"/>
  </r>
  <r>
    <n v="1129"/>
    <n v="1"/>
    <n v="71"/>
    <n v="2"/>
    <n v="416.99"/>
    <n v="0.2"/>
    <n v="833.78"/>
    <s v="Sun Bicycles Atlas X-Type - 2017"/>
    <x v="0"/>
  </r>
  <r>
    <n v="1130"/>
    <n v="1"/>
    <n v="54"/>
    <n v="2"/>
    <n v="3199.99"/>
    <n v="0.2"/>
    <n v="6399.78"/>
    <s v="Trek Domane SL Disc Frameset - 2017"/>
    <x v="6"/>
  </r>
  <r>
    <n v="1131"/>
    <n v="1"/>
    <n v="60"/>
    <n v="2"/>
    <n v="1559.99"/>
    <n v="7.0000000000000007E-2"/>
    <n v="3119.91"/>
    <s v="Sun Bicycles ElectroLite - 2017"/>
    <x v="5"/>
  </r>
  <r>
    <n v="1132"/>
    <n v="1"/>
    <n v="43"/>
    <n v="1"/>
    <n v="5299.99"/>
    <n v="0.05"/>
    <n v="5299.94"/>
    <s v="Trek Fuel EX 9.8 27.5 Plus - 2017"/>
    <x v="1"/>
  </r>
  <r>
    <n v="1133"/>
    <n v="1"/>
    <n v="4"/>
    <n v="2"/>
    <n v="2899.99"/>
    <n v="0.05"/>
    <n v="5799.9299999999994"/>
    <s v="Trek Fuel EX 8 29 - 2016"/>
    <x v="1"/>
  </r>
  <r>
    <n v="1134"/>
    <n v="1"/>
    <n v="97"/>
    <n v="1"/>
    <n v="349.99"/>
    <n v="0.1"/>
    <n v="349.89"/>
    <s v="Electra Savannah 3i (20-inch) - Girl's - 2017"/>
    <x v="3"/>
  </r>
  <r>
    <n v="1135"/>
    <n v="1"/>
    <n v="101"/>
    <n v="2"/>
    <n v="339.99"/>
    <n v="0.05"/>
    <n v="679.93000000000006"/>
    <s v="Electra Townie 7D (20-inch) - Boys' - 2017"/>
    <x v="3"/>
  </r>
  <r>
    <n v="1136"/>
    <n v="1"/>
    <n v="105"/>
    <n v="1"/>
    <n v="533.99"/>
    <n v="0.1"/>
    <n v="533.89"/>
    <s v="Sun Bicycles Streamway 7 - 2017"/>
    <x v="2"/>
  </r>
  <r>
    <n v="1137"/>
    <n v="1"/>
    <n v="28"/>
    <n v="1"/>
    <n v="2499.9899999999998"/>
    <n v="0.2"/>
    <n v="2499.79"/>
    <s v="Surly Karate Monkey 27.5+ Frameset - 2017"/>
    <x v="1"/>
  </r>
  <r>
    <n v="1138"/>
    <n v="1"/>
    <n v="13"/>
    <n v="2"/>
    <n v="269.99"/>
    <n v="0.05"/>
    <n v="539.93000000000006"/>
    <s v="Electra Cruiser 1 (24-Inch) - 2016"/>
    <x v="0"/>
  </r>
  <r>
    <n v="1139"/>
    <n v="1"/>
    <n v="106"/>
    <n v="2"/>
    <n v="449.99"/>
    <n v="0.05"/>
    <n v="899.93000000000006"/>
    <s v="Sun Bicycles Cruz 3 - 2017"/>
    <x v="2"/>
  </r>
  <r>
    <n v="1140"/>
    <n v="1"/>
    <n v="39"/>
    <n v="2"/>
    <n v="1499.99"/>
    <n v="0.1"/>
    <n v="2999.88"/>
    <s v="Trek Stache 5 - 2017"/>
    <x v="1"/>
  </r>
  <r>
    <n v="1141"/>
    <n v="1"/>
    <n v="8"/>
    <n v="1"/>
    <n v="1799.99"/>
    <n v="0.1"/>
    <n v="1799.89"/>
    <s v="Trek Remedy 29 Carbon Frameset - 2016"/>
    <x v="1"/>
  </r>
  <r>
    <n v="1142"/>
    <n v="1"/>
    <n v="20"/>
    <n v="2"/>
    <n v="599.99"/>
    <n v="7.0000000000000007E-2"/>
    <n v="1199.9100000000001"/>
    <s v="Electra Townie Original 7D EQ - Women's - 2016"/>
    <x v="0"/>
  </r>
  <r>
    <n v="1143"/>
    <n v="1"/>
    <n v="99"/>
    <n v="1"/>
    <n v="299.99"/>
    <n v="0.2"/>
    <n v="299.79000000000002"/>
    <s v="Electra Sugar Skulls 1 (20-inch) - Girl's - 2017"/>
    <x v="3"/>
  </r>
  <r>
    <n v="1144"/>
    <n v="1"/>
    <n v="88"/>
    <n v="1"/>
    <n v="189.99"/>
    <n v="7.0000000000000007E-2"/>
    <n v="189.92000000000002"/>
    <s v="Trek Precaliber 12 Girls - 2017"/>
    <x v="3"/>
  </r>
  <r>
    <n v="1145"/>
    <n v="1"/>
    <n v="105"/>
    <n v="2"/>
    <n v="533.99"/>
    <n v="7.0000000000000007E-2"/>
    <n v="1067.9100000000001"/>
    <s v="Sun Bicycles Streamway 7 - 2017"/>
    <x v="2"/>
  </r>
  <r>
    <n v="1146"/>
    <n v="1"/>
    <n v="36"/>
    <n v="1"/>
    <n v="832.99"/>
    <n v="7.0000000000000007E-2"/>
    <n v="832.92"/>
    <s v="Surly Troll Frameset - 2017"/>
    <x v="1"/>
  </r>
  <r>
    <n v="1147"/>
    <n v="1"/>
    <n v="82"/>
    <n v="1"/>
    <n v="659.99"/>
    <n v="0.2"/>
    <n v="659.79"/>
    <s v="Electra Amsterdam Original 3i Ladies' - 2017"/>
    <x v="0"/>
  </r>
  <r>
    <n v="1148"/>
    <n v="1"/>
    <n v="82"/>
    <n v="1"/>
    <n v="659.99"/>
    <n v="7.0000000000000007E-2"/>
    <n v="659.92"/>
    <s v="Electra Amsterdam Original 3i Ladies' - 2017"/>
    <x v="0"/>
  </r>
  <r>
    <n v="1149"/>
    <n v="1"/>
    <n v="98"/>
    <n v="2"/>
    <n v="489.99"/>
    <n v="7.0000000000000007E-2"/>
    <n v="979.91"/>
    <s v="Electra Straight 8 3i (20-inch) - Boy's - 2017"/>
    <x v="3"/>
  </r>
  <r>
    <n v="1150"/>
    <n v="1"/>
    <n v="29"/>
    <n v="1"/>
    <n v="999.99"/>
    <n v="0.05"/>
    <n v="999.94"/>
    <s v="Trek X-Caliber 8 - 2017"/>
    <x v="1"/>
  </r>
  <r>
    <n v="1151"/>
    <n v="1"/>
    <n v="30"/>
    <n v="2"/>
    <n v="999.99"/>
    <n v="0.05"/>
    <n v="1999.93"/>
    <s v="Surly Ice Cream Truck Frameset - 2017"/>
    <x v="1"/>
  </r>
  <r>
    <n v="1152"/>
    <n v="1"/>
    <n v="58"/>
    <n v="1"/>
    <n v="4999.99"/>
    <n v="7.0000000000000007E-2"/>
    <n v="4999.92"/>
    <s v="Trek Madone 9.2 - 2017"/>
    <x v="6"/>
  </r>
  <r>
    <n v="1153"/>
    <n v="1"/>
    <n v="103"/>
    <n v="1"/>
    <n v="551.99"/>
    <n v="0.1"/>
    <n v="551.89"/>
    <s v="Sun Bicycles Streamway 3 - 2017"/>
    <x v="2"/>
  </r>
  <r>
    <n v="1154"/>
    <n v="1"/>
    <n v="17"/>
    <n v="1"/>
    <n v="429"/>
    <n v="0.2"/>
    <n v="428.8"/>
    <s v="Pure Cycles Vine 8-Speed - 2016"/>
    <x v="0"/>
  </r>
  <r>
    <n v="1155"/>
    <n v="1"/>
    <n v="68"/>
    <n v="2"/>
    <n v="449.99"/>
    <n v="0.05"/>
    <n v="899.93000000000006"/>
    <s v="Sun Bicycles Cruz 3 - 2017"/>
    <x v="0"/>
  </r>
  <r>
    <n v="1156"/>
    <n v="1"/>
    <n v="111"/>
    <n v="2"/>
    <n v="470.99"/>
    <n v="0.05"/>
    <n v="941.93000000000006"/>
    <s v="Sun Bicycles Drifter 7 - Women's - 2017"/>
    <x v="2"/>
  </r>
  <r>
    <n v="1157"/>
    <n v="1"/>
    <n v="20"/>
    <n v="1"/>
    <n v="599.99"/>
    <n v="0.1"/>
    <n v="599.89"/>
    <s v="Electra Townie Original 7D EQ - Women's - 2016"/>
    <x v="0"/>
  </r>
  <r>
    <n v="1158"/>
    <n v="1"/>
    <n v="95"/>
    <n v="2"/>
    <n v="299.99"/>
    <n v="0.1"/>
    <n v="599.88"/>
    <s v="Electra Girl's Hawaii 1 16&quot; - 2017"/>
    <x v="3"/>
  </r>
  <r>
    <n v="1159"/>
    <n v="1"/>
    <n v="12"/>
    <n v="2"/>
    <n v="549.99"/>
    <n v="0.1"/>
    <n v="1099.8800000000001"/>
    <s v="Electra Townie Original 21D - 2016"/>
    <x v="0"/>
  </r>
  <r>
    <n v="1160"/>
    <n v="1"/>
    <n v="41"/>
    <n v="1"/>
    <n v="1469.99"/>
    <n v="0.1"/>
    <n v="1469.89"/>
    <s v="Haro Shift R3 - 2017"/>
    <x v="1"/>
  </r>
  <r>
    <n v="1161"/>
    <n v="1"/>
    <n v="71"/>
    <n v="2"/>
    <n v="416.99"/>
    <n v="0.1"/>
    <n v="833.88"/>
    <s v="Sun Bicycles Atlas X-Type - 2017"/>
    <x v="0"/>
  </r>
  <r>
    <n v="1162"/>
    <n v="1"/>
    <n v="88"/>
    <n v="1"/>
    <n v="189.99"/>
    <n v="0.2"/>
    <n v="189.79000000000002"/>
    <s v="Trek Precaliber 12 Girls - 2017"/>
    <x v="3"/>
  </r>
  <r>
    <n v="1163"/>
    <n v="1"/>
    <n v="63"/>
    <n v="2"/>
    <n v="3499.99"/>
    <n v="0.05"/>
    <n v="6999.9299999999994"/>
    <s v="Trek Boone Race Shop Limited - 2017"/>
    <x v="4"/>
  </r>
  <r>
    <n v="1164"/>
    <n v="1"/>
    <n v="8"/>
    <n v="1"/>
    <n v="1799.99"/>
    <n v="0.2"/>
    <n v="1799.79"/>
    <s v="Trek Remedy 29 Carbon Frameset - 2016"/>
    <x v="1"/>
  </r>
  <r>
    <n v="1165"/>
    <n v="1"/>
    <n v="65"/>
    <n v="2"/>
    <n v="346.99"/>
    <n v="7.0000000000000007E-2"/>
    <n v="693.91"/>
    <s v="Sun Bicycles Lil Bolt Type-R - 2017"/>
    <x v="0"/>
  </r>
  <r>
    <n v="1166"/>
    <n v="1"/>
    <n v="103"/>
    <n v="2"/>
    <n v="551.99"/>
    <n v="7.0000000000000007E-2"/>
    <n v="1103.9100000000001"/>
    <s v="Sun Bicycles Streamway 3 - 2017"/>
    <x v="2"/>
  </r>
  <r>
    <n v="1167"/>
    <n v="1"/>
    <n v="29"/>
    <n v="2"/>
    <n v="999.99"/>
    <n v="0.05"/>
    <n v="1999.93"/>
    <s v="Trek X-Caliber 8 - 2017"/>
    <x v="1"/>
  </r>
  <r>
    <n v="1168"/>
    <n v="1"/>
    <n v="23"/>
    <n v="2"/>
    <n v="299.99"/>
    <n v="0.1"/>
    <n v="599.88"/>
    <s v="Electra Girl's Hawaii 1 (20-inch) - 2015/2016"/>
    <x v="3"/>
  </r>
  <r>
    <n v="1169"/>
    <n v="1"/>
    <n v="91"/>
    <n v="2"/>
    <n v="349.99"/>
    <n v="0.2"/>
    <n v="699.78"/>
    <s v="Trek Precaliber 24 (21-Speed) - Girls - 2017"/>
    <x v="3"/>
  </r>
  <r>
    <n v="1170"/>
    <n v="1"/>
    <n v="15"/>
    <n v="1"/>
    <n v="529.99"/>
    <n v="0.1"/>
    <n v="529.89"/>
    <s v="Electra Moto 1 - 2016"/>
    <x v="0"/>
  </r>
  <r>
    <n v="1171"/>
    <n v="1"/>
    <n v="94"/>
    <n v="2"/>
    <n v="249.99"/>
    <n v="0.2"/>
    <n v="499.78000000000003"/>
    <s v="Haro Shredder Pro 20 - 2017"/>
    <x v="3"/>
  </r>
  <r>
    <n v="1172"/>
    <n v="1"/>
    <n v="78"/>
    <n v="2"/>
    <n v="647.99"/>
    <n v="7.0000000000000007E-2"/>
    <n v="1295.9100000000001"/>
    <s v="Sun Bicycles Biscayne Tandem CB - 2017"/>
    <x v="0"/>
  </r>
  <r>
    <n v="1173"/>
    <n v="1"/>
    <n v="95"/>
    <n v="1"/>
    <n v="299.99"/>
    <n v="0.2"/>
    <n v="299.79000000000002"/>
    <s v="Electra Girl's Hawaii 1 16&quot; - 2017"/>
    <x v="3"/>
  </r>
  <r>
    <n v="1174"/>
    <n v="1"/>
    <n v="110"/>
    <n v="2"/>
    <n v="470.99"/>
    <n v="0.2"/>
    <n v="941.78"/>
    <s v="Sun Bicycles Drifter 7 - 2017"/>
    <x v="2"/>
  </r>
  <r>
    <n v="1175"/>
    <n v="1"/>
    <n v="58"/>
    <n v="2"/>
    <n v="4999.99"/>
    <n v="7.0000000000000007E-2"/>
    <n v="9999.91"/>
    <s v="Trek Madone 9.2 - 2017"/>
    <x v="6"/>
  </r>
  <r>
    <n v="1176"/>
    <n v="1"/>
    <n v="87"/>
    <n v="1"/>
    <n v="189.99"/>
    <n v="0.1"/>
    <n v="189.89000000000001"/>
    <s v="Trek Precaliber 12 Boys - 2017"/>
    <x v="3"/>
  </r>
  <r>
    <n v="1177"/>
    <n v="1"/>
    <n v="62"/>
    <n v="2"/>
    <n v="3499.99"/>
    <n v="7.0000000000000007E-2"/>
    <n v="6999.91"/>
    <s v="Trek Boone 7 - 2017"/>
    <x v="4"/>
  </r>
  <r>
    <n v="1178"/>
    <n v="1"/>
    <n v="46"/>
    <n v="1"/>
    <n v="1409.99"/>
    <n v="7.0000000000000007E-2"/>
    <n v="1409.92"/>
    <s v="Haro SR 1.3 - 2017"/>
    <x v="1"/>
  </r>
  <r>
    <n v="1179"/>
    <n v="1"/>
    <n v="93"/>
    <n v="2"/>
    <n v="209.99"/>
    <n v="0.05"/>
    <n v="419.93"/>
    <s v="Haro Shredder 20 Girls - 2017"/>
    <x v="3"/>
  </r>
  <r>
    <n v="1180"/>
    <n v="1"/>
    <n v="66"/>
    <n v="2"/>
    <n v="250.99"/>
    <n v="7.0000000000000007E-2"/>
    <n v="501.91"/>
    <s v="Sun Bicycles Revolutions 24 - 2017"/>
    <x v="0"/>
  </r>
  <r>
    <n v="1181"/>
    <n v="1"/>
    <n v="98"/>
    <n v="1"/>
    <n v="489.99"/>
    <n v="0.1"/>
    <n v="489.89"/>
    <s v="Electra Straight 8 3i (20-inch) - Boy's - 2017"/>
    <x v="3"/>
  </r>
  <r>
    <n v="1182"/>
    <n v="1"/>
    <n v="35"/>
    <n v="1"/>
    <n v="832.99"/>
    <n v="0.1"/>
    <n v="832.89"/>
    <s v="Sun Bicycles Spider 3i - 2017"/>
    <x v="1"/>
  </r>
  <r>
    <n v="1183"/>
    <n v="1"/>
    <n v="63"/>
    <n v="1"/>
    <n v="3499.99"/>
    <n v="0.2"/>
    <n v="3499.79"/>
    <s v="Trek Boone Race Shop Limited - 2017"/>
    <x v="4"/>
  </r>
  <r>
    <n v="1184"/>
    <n v="1"/>
    <n v="16"/>
    <n v="2"/>
    <n v="599.99"/>
    <n v="0.05"/>
    <n v="1199.93"/>
    <s v="Electra Townie Original 7D EQ - 2016"/>
    <x v="0"/>
  </r>
  <r>
    <n v="1185"/>
    <n v="1"/>
    <n v="19"/>
    <n v="2"/>
    <n v="449"/>
    <n v="7.0000000000000007E-2"/>
    <n v="897.93"/>
    <s v="Pure Cycles William 3-Speed - 2016"/>
    <x v="0"/>
  </r>
  <r>
    <n v="1186"/>
    <n v="1"/>
    <n v="48"/>
    <n v="2"/>
    <n v="1499.99"/>
    <n v="0.1"/>
    <n v="2999.88"/>
    <s v="Trek Emonda S 4 - 2017"/>
    <x v="6"/>
  </r>
  <r>
    <n v="1187"/>
    <n v="1"/>
    <n v="36"/>
    <n v="2"/>
    <n v="832.99"/>
    <n v="0.1"/>
    <n v="1665.88"/>
    <s v="Surly Troll Frameset - 2017"/>
    <x v="1"/>
  </r>
  <r>
    <n v="1188"/>
    <n v="1"/>
    <n v="66"/>
    <n v="2"/>
    <n v="250.99"/>
    <n v="0.1"/>
    <n v="501.88"/>
    <s v="Sun Bicycles Revolutions 24 - 2017"/>
    <x v="0"/>
  </r>
  <r>
    <n v="1189"/>
    <n v="1"/>
    <n v="55"/>
    <n v="1"/>
    <n v="2699.99"/>
    <n v="7.0000000000000007E-2"/>
    <n v="2699.9199999999996"/>
    <s v="Trek Domane S 6 - 2017"/>
    <x v="6"/>
  </r>
  <r>
    <n v="1190"/>
    <n v="1"/>
    <n v="71"/>
    <n v="1"/>
    <n v="416.99"/>
    <n v="7.0000000000000007E-2"/>
    <n v="416.92"/>
    <s v="Sun Bicycles Atlas X-Type - 2017"/>
    <x v="0"/>
  </r>
  <r>
    <n v="1191"/>
    <n v="1"/>
    <n v="40"/>
    <n v="2"/>
    <n v="4999.99"/>
    <n v="0.1"/>
    <n v="9999.8799999999992"/>
    <s v="Trek Fuel EX 9.8 29 - 2017"/>
    <x v="1"/>
  </r>
  <r>
    <n v="1192"/>
    <n v="1"/>
    <n v="24"/>
    <n v="2"/>
    <n v="549.99"/>
    <n v="0.1"/>
    <n v="1099.8800000000001"/>
    <s v="Electra Townie Original 21D - 2016"/>
    <x v="2"/>
  </r>
  <r>
    <n v="1193"/>
    <n v="1"/>
    <n v="83"/>
    <n v="2"/>
    <n v="149.99"/>
    <n v="0.05"/>
    <n v="299.93"/>
    <s v="Trek Boy's Kickster - 2015/2017"/>
    <x v="3"/>
  </r>
  <r>
    <n v="1194"/>
    <n v="1"/>
    <n v="71"/>
    <n v="1"/>
    <n v="416.99"/>
    <n v="0.05"/>
    <n v="416.94"/>
    <s v="Sun Bicycles Atlas X-Type - 2017"/>
    <x v="0"/>
  </r>
  <r>
    <n v="1195"/>
    <n v="1"/>
    <n v="52"/>
    <n v="1"/>
    <n v="875.99"/>
    <n v="7.0000000000000007E-2"/>
    <n v="875.92"/>
    <s v="Surly Steamroller - 2017"/>
    <x v="6"/>
  </r>
  <r>
    <n v="1196"/>
    <n v="1"/>
    <n v="53"/>
    <n v="1"/>
    <n v="749.99"/>
    <n v="7.0000000000000007E-2"/>
    <n v="749.92"/>
    <s v="Surly Ogre Frameset - 2017"/>
    <x v="6"/>
  </r>
  <r>
    <n v="1197"/>
    <n v="1"/>
    <n v="13"/>
    <n v="1"/>
    <n v="269.99"/>
    <n v="7.0000000000000007E-2"/>
    <n v="269.92"/>
    <s v="Electra Cruiser 1 (24-Inch) - 2016"/>
    <x v="0"/>
  </r>
  <r>
    <n v="1198"/>
    <n v="1"/>
    <n v="105"/>
    <n v="1"/>
    <n v="533.99"/>
    <n v="0.05"/>
    <n v="533.94000000000005"/>
    <s v="Sun Bicycles Streamway 7 - 2017"/>
    <x v="2"/>
  </r>
  <r>
    <n v="1199"/>
    <n v="1"/>
    <n v="32"/>
    <n v="1"/>
    <n v="469.99"/>
    <n v="0.05"/>
    <n v="469.94"/>
    <s v="Trek Farley Alloy Frameset - 2017"/>
    <x v="1"/>
  </r>
  <r>
    <n v="1200"/>
    <n v="1"/>
    <n v="42"/>
    <n v="2"/>
    <n v="2299.9899999999998"/>
    <n v="0.2"/>
    <n v="4599.78"/>
    <s v="Trek Fuel EX 5 27.5 Plus - 2017"/>
    <x v="1"/>
  </r>
  <r>
    <n v="1201"/>
    <n v="1"/>
    <n v="95"/>
    <n v="1"/>
    <n v="299.99"/>
    <n v="7.0000000000000007E-2"/>
    <n v="299.92"/>
    <s v="Electra Girl's Hawaii 1 16&quot; - 2017"/>
    <x v="3"/>
  </r>
  <r>
    <n v="1202"/>
    <n v="1"/>
    <n v="84"/>
    <n v="2"/>
    <n v="109.99"/>
    <n v="0.05"/>
    <n v="219.92999999999998"/>
    <s v="Sun Bicycles Lil Kitt'n - 2017"/>
    <x v="3"/>
  </r>
  <r>
    <n v="1203"/>
    <n v="1"/>
    <n v="6"/>
    <n v="2"/>
    <n v="469.99"/>
    <n v="7.0000000000000007E-2"/>
    <n v="939.91"/>
    <s v="Surly Ice Cream Truck Frameset - 2016"/>
    <x v="1"/>
  </r>
  <r>
    <n v="1204"/>
    <n v="1"/>
    <n v="37"/>
    <n v="2"/>
    <n v="379.99"/>
    <n v="7.0000000000000007E-2"/>
    <n v="759.91"/>
    <s v="Haro Flightline One ST - 2017"/>
    <x v="1"/>
  </r>
  <r>
    <n v="1205"/>
    <n v="1"/>
    <n v="105"/>
    <n v="2"/>
    <n v="533.99"/>
    <n v="0.2"/>
    <n v="1067.78"/>
    <s v="Sun Bicycles Streamway 7 - 2017"/>
    <x v="2"/>
  </r>
  <r>
    <n v="1206"/>
    <n v="1"/>
    <n v="73"/>
    <n v="1"/>
    <n v="749.99"/>
    <n v="7.0000000000000007E-2"/>
    <n v="749.92"/>
    <s v="Sun Bicycles Brickell Tandem 7 - 2017"/>
    <x v="0"/>
  </r>
  <r>
    <n v="1207"/>
    <n v="1"/>
    <n v="104"/>
    <n v="1"/>
    <n v="481.99"/>
    <n v="0.05"/>
    <n v="481.94"/>
    <s v="Sun Bicycles Streamway - 2017"/>
    <x v="2"/>
  </r>
  <r>
    <n v="1208"/>
    <n v="1"/>
    <n v="12"/>
    <n v="1"/>
    <n v="549.99"/>
    <n v="0.2"/>
    <n v="549.79"/>
    <s v="Electra Townie Original 21D - 2016"/>
    <x v="0"/>
  </r>
  <r>
    <n v="1209"/>
    <n v="1"/>
    <n v="89"/>
    <n v="1"/>
    <n v="209.99"/>
    <n v="7.0000000000000007E-2"/>
    <n v="209.92000000000002"/>
    <s v="Trek Precaliber 16 Boys - 2017"/>
    <x v="3"/>
  </r>
  <r>
    <n v="1210"/>
    <n v="1"/>
    <n v="26"/>
    <n v="1"/>
    <n v="599.99"/>
    <n v="0.1"/>
    <n v="599.89"/>
    <s v="Electra Townie Original 7D EQ - 2016"/>
    <x v="2"/>
  </r>
  <r>
    <n v="1211"/>
    <n v="1"/>
    <n v="15"/>
    <n v="2"/>
    <n v="529.99"/>
    <n v="0.2"/>
    <n v="1059.78"/>
    <s v="Electra Moto 1 - 2016"/>
    <x v="0"/>
  </r>
  <r>
    <n v="1212"/>
    <n v="1"/>
    <n v="74"/>
    <n v="1"/>
    <n v="439.99"/>
    <n v="0.1"/>
    <n v="439.89"/>
    <s v="Electra Cruiser Lux 1 - 2017"/>
    <x v="0"/>
  </r>
  <r>
    <n v="1213"/>
    <n v="1"/>
    <n v="64"/>
    <n v="2"/>
    <n v="489.99"/>
    <n v="7.0000000000000007E-2"/>
    <n v="979.91"/>
    <s v="Electra Townie Original 7D - 2017"/>
    <x v="0"/>
  </r>
  <r>
    <n v="1214"/>
    <n v="1"/>
    <n v="9"/>
    <n v="2"/>
    <n v="2999.99"/>
    <n v="0.05"/>
    <n v="5999.9299999999994"/>
    <s v="Trek Conduit+ - 2016"/>
    <x v="5"/>
  </r>
  <r>
    <n v="1215"/>
    <n v="1"/>
    <n v="73"/>
    <n v="2"/>
    <n v="749.99"/>
    <n v="0.1"/>
    <n v="1499.88"/>
    <s v="Sun Bicycles Brickell Tandem 7 - 2017"/>
    <x v="0"/>
  </r>
  <r>
    <n v="1216"/>
    <n v="1"/>
    <n v="64"/>
    <n v="2"/>
    <n v="489.99"/>
    <n v="0.1"/>
    <n v="979.88"/>
    <s v="Electra Townie Original 7D - 2017"/>
    <x v="0"/>
  </r>
  <r>
    <n v="1217"/>
    <n v="1"/>
    <n v="73"/>
    <n v="1"/>
    <n v="749.99"/>
    <n v="0.05"/>
    <n v="749.94"/>
    <s v="Sun Bicycles Brickell Tandem 7 - 2017"/>
    <x v="0"/>
  </r>
  <r>
    <n v="1218"/>
    <n v="1"/>
    <n v="32"/>
    <n v="1"/>
    <n v="469.99"/>
    <n v="7.0000000000000007E-2"/>
    <n v="469.92"/>
    <s v="Trek Farley Alloy Frameset - 2017"/>
    <x v="1"/>
  </r>
  <r>
    <n v="1219"/>
    <n v="1"/>
    <n v="17"/>
    <n v="2"/>
    <n v="429"/>
    <n v="7.0000000000000007E-2"/>
    <n v="857.93"/>
    <s v="Pure Cycles Vine 8-Speed - 2016"/>
    <x v="0"/>
  </r>
  <r>
    <n v="1220"/>
    <n v="1"/>
    <n v="47"/>
    <n v="2"/>
    <n v="5299.99"/>
    <n v="0.1"/>
    <n v="10599.88"/>
    <s v="Trek Remedy 9.8 - 2017"/>
    <x v="1"/>
  </r>
  <r>
    <n v="1221"/>
    <n v="1"/>
    <n v="100"/>
    <n v="1"/>
    <n v="489.99"/>
    <n v="0.05"/>
    <n v="489.94"/>
    <s v="Electra Townie 3i EQ (20-inch) - Boys' - 2017"/>
    <x v="3"/>
  </r>
  <r>
    <n v="1222"/>
    <n v="1"/>
    <n v="97"/>
    <n v="1"/>
    <n v="349.99"/>
    <n v="0.2"/>
    <n v="349.79"/>
    <s v="Electra Savannah 3i (20-inch) - Girl's - 2017"/>
    <x v="3"/>
  </r>
  <r>
    <n v="1223"/>
    <n v="1"/>
    <n v="103"/>
    <n v="1"/>
    <n v="551.99"/>
    <n v="0.05"/>
    <n v="551.94000000000005"/>
    <s v="Sun Bicycles Streamway 3 - 2017"/>
    <x v="2"/>
  </r>
  <r>
    <n v="1224"/>
    <n v="1"/>
    <n v="62"/>
    <n v="1"/>
    <n v="3499.99"/>
    <n v="7.0000000000000007E-2"/>
    <n v="3499.9199999999996"/>
    <s v="Trek Boone 7 - 2017"/>
    <x v="4"/>
  </r>
  <r>
    <n v="1225"/>
    <n v="1"/>
    <n v="81"/>
    <n v="1"/>
    <n v="1099.99"/>
    <n v="0.1"/>
    <n v="1099.8900000000001"/>
    <s v="Electra Amsterdam Fashion 7i Ladies' - 2017"/>
    <x v="0"/>
  </r>
  <r>
    <n v="1226"/>
    <n v="1"/>
    <n v="77"/>
    <n v="2"/>
    <n v="799.99"/>
    <n v="0.05"/>
    <n v="1599.93"/>
    <s v="Electra Glam Punk 3i Ladies' - 2017"/>
    <x v="0"/>
  </r>
  <r>
    <n v="1227"/>
    <n v="1"/>
    <n v="90"/>
    <n v="2"/>
    <n v="209.99"/>
    <n v="0.2"/>
    <n v="419.78000000000003"/>
    <s v="Trek Precaliber 16 Girls - 2017"/>
    <x v="3"/>
  </r>
  <r>
    <n v="1228"/>
    <n v="1"/>
    <n v="92"/>
    <n v="1"/>
    <n v="209.99"/>
    <n v="0.2"/>
    <n v="209.79000000000002"/>
    <s v="Haro Shredder 20 - 2017"/>
    <x v="3"/>
  </r>
  <r>
    <n v="1229"/>
    <n v="1"/>
    <n v="36"/>
    <n v="2"/>
    <n v="832.99"/>
    <n v="7.0000000000000007E-2"/>
    <n v="1665.91"/>
    <s v="Surly Troll Frameset - 2017"/>
    <x v="1"/>
  </r>
  <r>
    <n v="1230"/>
    <n v="1"/>
    <n v="32"/>
    <n v="2"/>
    <n v="469.99"/>
    <n v="0.1"/>
    <n v="939.88"/>
    <s v="Trek Farley Alloy Frameset - 2017"/>
    <x v="1"/>
  </r>
  <r>
    <n v="1231"/>
    <n v="1"/>
    <n v="75"/>
    <n v="2"/>
    <n v="599.99"/>
    <n v="0.05"/>
    <n v="1199.93"/>
    <s v="Electra Cruiser Lux Fat Tire 1 Ladies - 2017"/>
    <x v="0"/>
  </r>
  <r>
    <n v="1232"/>
    <n v="1"/>
    <n v="4"/>
    <n v="2"/>
    <n v="2899.99"/>
    <n v="7.0000000000000007E-2"/>
    <n v="5799.91"/>
    <s v="Trek Fuel EX 8 29 - 2016"/>
    <x v="1"/>
  </r>
  <r>
    <n v="1233"/>
    <n v="1"/>
    <n v="87"/>
    <n v="2"/>
    <n v="189.99"/>
    <n v="0.2"/>
    <n v="379.78000000000003"/>
    <s v="Trek Precaliber 12 Boys - 2017"/>
    <x v="3"/>
  </r>
  <r>
    <n v="1234"/>
    <n v="1"/>
    <n v="56"/>
    <n v="2"/>
    <n v="5499.99"/>
    <n v="7.0000000000000007E-2"/>
    <n v="10999.91"/>
    <s v="Trek Domane SLR 6 Disc - 2017"/>
    <x v="6"/>
  </r>
  <r>
    <n v="1235"/>
    <n v="1"/>
    <n v="7"/>
    <n v="1"/>
    <n v="3999.99"/>
    <n v="0.1"/>
    <n v="3999.89"/>
    <s v="Trek Slash 8 27.5 - 2016"/>
    <x v="1"/>
  </r>
  <r>
    <n v="1236"/>
    <n v="1"/>
    <n v="60"/>
    <n v="1"/>
    <n v="1559.99"/>
    <n v="7.0000000000000007E-2"/>
    <n v="1559.92"/>
    <s v="Sun Bicycles ElectroLite - 2017"/>
    <x v="5"/>
  </r>
  <r>
    <n v="1237"/>
    <n v="1"/>
    <n v="23"/>
    <n v="1"/>
    <n v="299.99"/>
    <n v="0.1"/>
    <n v="299.89"/>
    <s v="Electra Girl's Hawaii 1 (20-inch) - 2015/2016"/>
    <x v="3"/>
  </r>
  <r>
    <n v="1238"/>
    <n v="1"/>
    <n v="40"/>
    <n v="1"/>
    <n v="4999.99"/>
    <n v="0.1"/>
    <n v="4999.8899999999994"/>
    <s v="Trek Fuel EX 9.8 29 - 2017"/>
    <x v="1"/>
  </r>
  <r>
    <n v="1239"/>
    <n v="1"/>
    <n v="15"/>
    <n v="2"/>
    <n v="529.99"/>
    <n v="0.2"/>
    <n v="1059.78"/>
    <s v="Electra Moto 1 - 2016"/>
    <x v="0"/>
  </r>
  <r>
    <n v="1240"/>
    <n v="1"/>
    <n v="107"/>
    <n v="2"/>
    <n v="416.99"/>
    <n v="0.1"/>
    <n v="833.88"/>
    <s v="Sun Bicycles Cruz 7 - 2017"/>
    <x v="2"/>
  </r>
  <r>
    <n v="1241"/>
    <n v="1"/>
    <n v="74"/>
    <n v="1"/>
    <n v="439.99"/>
    <n v="0.05"/>
    <n v="439.94"/>
    <s v="Electra Cruiser Lux 1 - 2017"/>
    <x v="0"/>
  </r>
  <r>
    <n v="1242"/>
    <n v="1"/>
    <n v="94"/>
    <n v="1"/>
    <n v="249.99"/>
    <n v="0.05"/>
    <n v="249.94"/>
    <s v="Haro Shredder Pro 20 - 2017"/>
    <x v="3"/>
  </r>
  <r>
    <n v="1243"/>
    <n v="1"/>
    <n v="44"/>
    <n v="1"/>
    <n v="539.99"/>
    <n v="7.0000000000000007E-2"/>
    <n v="539.91999999999996"/>
    <s v="Haro SR 1.1 - 2017"/>
    <x v="1"/>
  </r>
  <r>
    <n v="1244"/>
    <n v="1"/>
    <n v="45"/>
    <n v="1"/>
    <n v="869.99"/>
    <n v="0.2"/>
    <n v="869.79"/>
    <s v="Haro SR 1.2 - 2017"/>
    <x v="1"/>
  </r>
  <r>
    <n v="1245"/>
    <n v="1"/>
    <n v="13"/>
    <n v="1"/>
    <n v="269.99"/>
    <n v="0.1"/>
    <n v="269.89"/>
    <s v="Electra Cruiser 1 (24-Inch) - 2016"/>
    <x v="0"/>
  </r>
  <r>
    <n v="1246"/>
    <n v="1"/>
    <n v="78"/>
    <n v="2"/>
    <n v="647.99"/>
    <n v="0.2"/>
    <n v="1295.78"/>
    <s v="Sun Bicycles Biscayne Tandem CB - 2017"/>
    <x v="0"/>
  </r>
  <r>
    <n v="1247"/>
    <n v="1"/>
    <n v="15"/>
    <n v="2"/>
    <n v="529.99"/>
    <n v="0.1"/>
    <n v="1059.8800000000001"/>
    <s v="Electra Moto 1 - 2016"/>
    <x v="0"/>
  </r>
  <r>
    <n v="1248"/>
    <n v="1"/>
    <n v="94"/>
    <n v="2"/>
    <n v="249.99"/>
    <n v="0.05"/>
    <n v="499.93"/>
    <s v="Haro Shredder Pro 20 - 2017"/>
    <x v="3"/>
  </r>
  <r>
    <n v="1249"/>
    <n v="1"/>
    <n v="62"/>
    <n v="1"/>
    <n v="3499.99"/>
    <n v="0.05"/>
    <n v="3499.9399999999996"/>
    <s v="Trek Boone 7 - 2017"/>
    <x v="4"/>
  </r>
  <r>
    <n v="1250"/>
    <n v="1"/>
    <n v="78"/>
    <n v="2"/>
    <n v="647.99"/>
    <n v="0.05"/>
    <n v="1295.93"/>
    <s v="Sun Bicycles Biscayne Tandem CB - 2017"/>
    <x v="0"/>
  </r>
  <r>
    <n v="1251"/>
    <n v="1"/>
    <n v="40"/>
    <n v="2"/>
    <n v="4999.99"/>
    <n v="0.1"/>
    <n v="9999.8799999999992"/>
    <s v="Trek Fuel EX 9.8 29 - 2017"/>
    <x v="1"/>
  </r>
  <r>
    <n v="1252"/>
    <n v="1"/>
    <n v="79"/>
    <n v="1"/>
    <n v="402.99"/>
    <n v="0.2"/>
    <n v="402.79"/>
    <s v="Sun Bicycles Boardwalk (24-inch Wheels) - 2017"/>
    <x v="0"/>
  </r>
  <r>
    <n v="1253"/>
    <n v="1"/>
    <n v="25"/>
    <n v="2"/>
    <n v="499.99"/>
    <n v="0.1"/>
    <n v="999.88"/>
    <s v="Electra Townie Original 7D - 2015/2016"/>
    <x v="2"/>
  </r>
  <r>
    <n v="1254"/>
    <n v="1"/>
    <n v="80"/>
    <n v="1"/>
    <n v="761.99"/>
    <n v="0.2"/>
    <n v="761.79"/>
    <s v="Sun Bicycles Brickell Tandem CB - 2017"/>
    <x v="0"/>
  </r>
  <r>
    <n v="1255"/>
    <n v="1"/>
    <n v="43"/>
    <n v="2"/>
    <n v="5299.99"/>
    <n v="0.2"/>
    <n v="10599.779999999999"/>
    <s v="Trek Fuel EX 9.8 27.5 Plus - 2017"/>
    <x v="1"/>
  </r>
  <r>
    <n v="1256"/>
    <n v="1"/>
    <n v="44"/>
    <n v="2"/>
    <n v="539.99"/>
    <n v="0.2"/>
    <n v="1079.78"/>
    <s v="Haro SR 1.1 - 2017"/>
    <x v="1"/>
  </r>
  <r>
    <n v="1257"/>
    <n v="1"/>
    <n v="30"/>
    <n v="2"/>
    <n v="999.99"/>
    <n v="0.05"/>
    <n v="1999.93"/>
    <s v="Surly Ice Cream Truck Frameset - 2017"/>
    <x v="1"/>
  </r>
  <r>
    <n v="1258"/>
    <n v="1"/>
    <n v="94"/>
    <n v="2"/>
    <n v="249.99"/>
    <n v="0.1"/>
    <n v="499.88"/>
    <s v="Haro Shredder Pro 20 - 2017"/>
    <x v="3"/>
  </r>
  <r>
    <n v="1259"/>
    <n v="1"/>
    <n v="60"/>
    <n v="1"/>
    <n v="1559.99"/>
    <n v="0.1"/>
    <n v="1559.89"/>
    <s v="Sun Bicycles ElectroLite - 2017"/>
    <x v="5"/>
  </r>
  <r>
    <n v="1260"/>
    <n v="1"/>
    <n v="8"/>
    <n v="1"/>
    <n v="1799.99"/>
    <n v="0.1"/>
    <n v="1799.89"/>
    <s v="Trek Remedy 29 Carbon Frameset - 2016"/>
    <x v="1"/>
  </r>
  <r>
    <n v="1261"/>
    <n v="1"/>
    <n v="73"/>
    <n v="1"/>
    <n v="749.99"/>
    <n v="0.2"/>
    <n v="749.79"/>
    <s v="Sun Bicycles Brickell Tandem 7 - 2017"/>
    <x v="0"/>
  </r>
  <r>
    <n v="1262"/>
    <n v="1"/>
    <n v="37"/>
    <n v="1"/>
    <n v="379.99"/>
    <n v="7.0000000000000007E-2"/>
    <n v="379.92"/>
    <s v="Haro Flightline One ST - 2017"/>
    <x v="1"/>
  </r>
  <r>
    <n v="1263"/>
    <n v="1"/>
    <n v="45"/>
    <n v="1"/>
    <n v="869.99"/>
    <n v="0.2"/>
    <n v="869.79"/>
    <s v="Haro SR 1.2 - 2017"/>
    <x v="1"/>
  </r>
  <r>
    <n v="1264"/>
    <n v="1"/>
    <n v="101"/>
    <n v="1"/>
    <n v="339.99"/>
    <n v="7.0000000000000007E-2"/>
    <n v="339.92"/>
    <s v="Electra Townie 7D (20-inch) - Boys' - 2017"/>
    <x v="3"/>
  </r>
  <r>
    <n v="1265"/>
    <n v="1"/>
    <n v="41"/>
    <n v="2"/>
    <n v="1469.99"/>
    <n v="0.1"/>
    <n v="2939.88"/>
    <s v="Haro Shift R3 - 2017"/>
    <x v="1"/>
  </r>
  <r>
    <n v="1266"/>
    <n v="1"/>
    <n v="90"/>
    <n v="1"/>
    <n v="209.99"/>
    <n v="0.2"/>
    <n v="209.79000000000002"/>
    <s v="Trek Precaliber 16 Girls - 2017"/>
    <x v="3"/>
  </r>
  <r>
    <n v="1267"/>
    <n v="1"/>
    <n v="45"/>
    <n v="1"/>
    <n v="869.99"/>
    <n v="0.1"/>
    <n v="869.89"/>
    <s v="Haro SR 1.2 - 2017"/>
    <x v="1"/>
  </r>
  <r>
    <n v="1268"/>
    <n v="1"/>
    <n v="68"/>
    <n v="2"/>
    <n v="449.99"/>
    <n v="7.0000000000000007E-2"/>
    <n v="899.91"/>
    <s v="Sun Bicycles Cruz 3 - 2017"/>
    <x v="0"/>
  </r>
  <r>
    <n v="1269"/>
    <n v="1"/>
    <n v="4"/>
    <n v="2"/>
    <n v="2899.99"/>
    <n v="0.2"/>
    <n v="5799.78"/>
    <s v="Trek Fuel EX 8 29 - 2016"/>
    <x v="1"/>
  </r>
  <r>
    <n v="1270"/>
    <n v="1"/>
    <n v="54"/>
    <n v="1"/>
    <n v="3199.99"/>
    <n v="0.2"/>
    <n v="3199.79"/>
    <s v="Trek Domane SL Disc Frameset - 2017"/>
    <x v="6"/>
  </r>
  <r>
    <n v="1271"/>
    <n v="1"/>
    <n v="25"/>
    <n v="2"/>
    <n v="499.99"/>
    <n v="0.1"/>
    <n v="999.88"/>
    <s v="Electra Townie Original 7D - 2015/2016"/>
    <x v="2"/>
  </r>
  <r>
    <n v="1272"/>
    <n v="1"/>
    <n v="16"/>
    <n v="2"/>
    <n v="599.99"/>
    <n v="0.2"/>
    <n v="1199.78"/>
    <s v="Electra Townie Original 7D EQ - 2016"/>
    <x v="0"/>
  </r>
  <r>
    <n v="1273"/>
    <n v="1"/>
    <n v="95"/>
    <n v="2"/>
    <n v="299.99"/>
    <n v="7.0000000000000007E-2"/>
    <n v="599.91"/>
    <s v="Electra Girl's Hawaii 1 16&quot; - 2017"/>
    <x v="3"/>
  </r>
  <r>
    <n v="1274"/>
    <n v="1"/>
    <n v="81"/>
    <n v="1"/>
    <n v="1099.99"/>
    <n v="0.1"/>
    <n v="1099.8900000000001"/>
    <s v="Electra Amsterdam Fashion 7i Ladies' - 2017"/>
    <x v="0"/>
  </r>
  <r>
    <n v="1275"/>
    <n v="1"/>
    <n v="58"/>
    <n v="1"/>
    <n v="4999.99"/>
    <n v="7.0000000000000007E-2"/>
    <n v="4999.92"/>
    <s v="Trek Madone 9.2 - 2017"/>
    <x v="6"/>
  </r>
  <r>
    <n v="1276"/>
    <n v="1"/>
    <n v="18"/>
    <n v="2"/>
    <n v="449"/>
    <n v="0.2"/>
    <n v="897.8"/>
    <s v="Pure Cycles Western 3-Speed - Women's - 2015/2016"/>
    <x v="0"/>
  </r>
  <r>
    <n v="1277"/>
    <n v="1"/>
    <n v="56"/>
    <n v="2"/>
    <n v="5499.99"/>
    <n v="0.2"/>
    <n v="10999.779999999999"/>
    <s v="Trek Domane SLR 6 Disc - 2017"/>
    <x v="6"/>
  </r>
  <r>
    <n v="1278"/>
    <n v="1"/>
    <n v="103"/>
    <n v="2"/>
    <n v="551.99"/>
    <n v="0.1"/>
    <n v="1103.8800000000001"/>
    <s v="Sun Bicycles Streamway 3 - 2017"/>
    <x v="2"/>
  </r>
  <r>
    <n v="1279"/>
    <n v="1"/>
    <n v="9"/>
    <n v="2"/>
    <n v="2999.99"/>
    <n v="0.05"/>
    <n v="5999.9299999999994"/>
    <s v="Trek Conduit+ - 2016"/>
    <x v="5"/>
  </r>
  <r>
    <n v="1280"/>
    <n v="1"/>
    <n v="72"/>
    <n v="2"/>
    <n v="619.99"/>
    <n v="7.0000000000000007E-2"/>
    <n v="1239.9100000000001"/>
    <s v="Sun Bicycles Biscayne Tandem 7 - 2017"/>
    <x v="0"/>
  </r>
  <r>
    <n v="1281"/>
    <n v="1"/>
    <n v="36"/>
    <n v="1"/>
    <n v="832.99"/>
    <n v="0.05"/>
    <n v="832.94"/>
    <s v="Surly Troll Frameset - 2017"/>
    <x v="1"/>
  </r>
  <r>
    <n v="1282"/>
    <n v="1"/>
    <n v="111"/>
    <n v="1"/>
    <n v="470.99"/>
    <n v="0.05"/>
    <n v="470.94"/>
    <s v="Sun Bicycles Drifter 7 - Women's - 2017"/>
    <x v="2"/>
  </r>
  <r>
    <n v="1283"/>
    <n v="1"/>
    <n v="61"/>
    <n v="2"/>
    <n v="4999.99"/>
    <n v="0.05"/>
    <n v="9999.93"/>
    <s v="Trek Powerfly 8 FS Plus - 2017"/>
    <x v="5"/>
  </r>
  <r>
    <n v="1284"/>
    <n v="1"/>
    <n v="101"/>
    <n v="1"/>
    <n v="339.99"/>
    <n v="7.0000000000000007E-2"/>
    <n v="339.92"/>
    <s v="Electra Townie 7D (20-inch) - Boys' - 2017"/>
    <x v="3"/>
  </r>
  <r>
    <n v="1285"/>
    <n v="1"/>
    <n v="78"/>
    <n v="2"/>
    <n v="647.99"/>
    <n v="7.0000000000000007E-2"/>
    <n v="1295.9100000000001"/>
    <s v="Sun Bicycles Biscayne Tandem CB - 2017"/>
    <x v="0"/>
  </r>
  <r>
    <n v="1286"/>
    <n v="1"/>
    <n v="109"/>
    <n v="2"/>
    <n v="416.99"/>
    <n v="0.2"/>
    <n v="833.78"/>
    <s v="Sun Bicycles Cruz 7 - Women's - 2017"/>
    <x v="2"/>
  </r>
  <r>
    <n v="1287"/>
    <n v="1"/>
    <n v="27"/>
    <n v="2"/>
    <n v="999.99"/>
    <n v="0.2"/>
    <n v="1999.78"/>
    <s v="Surly Big Dummy Frameset - 2017"/>
    <x v="1"/>
  </r>
  <r>
    <n v="1288"/>
    <n v="1"/>
    <n v="73"/>
    <n v="1"/>
    <n v="749.99"/>
    <n v="0.2"/>
    <n v="749.79"/>
    <s v="Sun Bicycles Brickell Tandem 7 - 2017"/>
    <x v="0"/>
  </r>
  <r>
    <n v="1289"/>
    <n v="1"/>
    <n v="89"/>
    <n v="1"/>
    <n v="209.99"/>
    <n v="0.05"/>
    <n v="209.94"/>
    <s v="Trek Precaliber 16 Boys - 2017"/>
    <x v="3"/>
  </r>
  <r>
    <n v="1290"/>
    <n v="1"/>
    <n v="75"/>
    <n v="2"/>
    <n v="599.99"/>
    <n v="0.05"/>
    <n v="1199.93"/>
    <s v="Electra Cruiser Lux Fat Tire 1 Ladies - 2017"/>
    <x v="0"/>
  </r>
  <r>
    <n v="1291"/>
    <n v="1"/>
    <n v="57"/>
    <n v="1"/>
    <n v="1999.99"/>
    <n v="0.1"/>
    <n v="1999.89"/>
    <s v="Trek Emonda S 5 - 2017"/>
    <x v="6"/>
  </r>
  <r>
    <n v="1292"/>
    <n v="1"/>
    <n v="70"/>
    <n v="1"/>
    <n v="659.99"/>
    <n v="7.0000000000000007E-2"/>
    <n v="659.92"/>
    <s v="Electra Amsterdam Original 3i - 2015/2017"/>
    <x v="0"/>
  </r>
  <r>
    <n v="1293"/>
    <n v="1"/>
    <n v="88"/>
    <n v="2"/>
    <n v="189.99"/>
    <n v="0.1"/>
    <n v="379.88"/>
    <s v="Trek Precaliber 12 Girls - 2017"/>
    <x v="3"/>
  </r>
  <r>
    <n v="1294"/>
    <n v="1"/>
    <n v="95"/>
    <n v="2"/>
    <n v="299.99"/>
    <n v="0.05"/>
    <n v="599.93000000000006"/>
    <s v="Electra Girl's Hawaii 1 16&quot; - 2017"/>
    <x v="3"/>
  </r>
  <r>
    <n v="1295"/>
    <n v="1"/>
    <n v="5"/>
    <n v="2"/>
    <n v="1320.99"/>
    <n v="0.2"/>
    <n v="2641.78"/>
    <s v="Heller Shagamaw Frame - 2016"/>
    <x v="1"/>
  </r>
  <r>
    <n v="1296"/>
    <n v="1"/>
    <n v="25"/>
    <n v="2"/>
    <n v="499.99"/>
    <n v="0.05"/>
    <n v="999.93000000000006"/>
    <s v="Electra Townie Original 7D - 2015/2016"/>
    <x v="2"/>
  </r>
  <r>
    <n v="1297"/>
    <n v="1"/>
    <n v="104"/>
    <n v="2"/>
    <n v="481.99"/>
    <n v="7.0000000000000007E-2"/>
    <n v="963.91"/>
    <s v="Sun Bicycles Streamway - 2017"/>
    <x v="2"/>
  </r>
  <r>
    <n v="1298"/>
    <n v="1"/>
    <n v="59"/>
    <n v="1"/>
    <n v="2599.9899999999998"/>
    <n v="0.05"/>
    <n v="2599.9399999999996"/>
    <s v="Trek Domane S 5 Disc - 2017"/>
    <x v="6"/>
  </r>
  <r>
    <n v="1299"/>
    <n v="1"/>
    <n v="14"/>
    <n v="2"/>
    <n v="269.99"/>
    <n v="0.1"/>
    <n v="539.88"/>
    <s v="Electra Girl's Hawaii 1 (16-inch) - 2015/2016"/>
    <x v="0"/>
  </r>
  <r>
    <n v="1300"/>
    <n v="1"/>
    <n v="101"/>
    <n v="2"/>
    <n v="339.99"/>
    <n v="7.0000000000000007E-2"/>
    <n v="679.91"/>
    <s v="Electra Townie 7D (20-inch) - Boys' - 2017"/>
    <x v="3"/>
  </r>
  <r>
    <n v="1301"/>
    <n v="1"/>
    <n v="45"/>
    <n v="2"/>
    <n v="869.99"/>
    <n v="0.2"/>
    <n v="1739.78"/>
    <s v="Haro SR 1.2 - 2017"/>
    <x v="1"/>
  </r>
  <r>
    <n v="1302"/>
    <n v="1"/>
    <n v="38"/>
    <n v="1"/>
    <n v="549.99"/>
    <n v="0.05"/>
    <n v="549.94000000000005"/>
    <s v="Haro Flightline Two 26 Plus - 2017"/>
    <x v="1"/>
  </r>
  <r>
    <n v="1303"/>
    <n v="1"/>
    <n v="96"/>
    <n v="1"/>
    <n v="349.99"/>
    <n v="0.1"/>
    <n v="349.89"/>
    <s v="Electra Moto 3i (20-inch) - Boy's - 2017"/>
    <x v="3"/>
  </r>
  <r>
    <n v="1304"/>
    <n v="1"/>
    <n v="80"/>
    <n v="1"/>
    <n v="761.99"/>
    <n v="0.05"/>
    <n v="761.94"/>
    <s v="Sun Bicycles Brickell Tandem CB - 2017"/>
    <x v="0"/>
  </r>
  <r>
    <n v="1305"/>
    <n v="1"/>
    <n v="85"/>
    <n v="1"/>
    <n v="329.99"/>
    <n v="0.2"/>
    <n v="329.79"/>
    <s v="Haro Downtown 16 - 2017"/>
    <x v="3"/>
  </r>
  <r>
    <n v="1306"/>
    <n v="1"/>
    <n v="103"/>
    <n v="2"/>
    <n v="551.99"/>
    <n v="0.05"/>
    <n v="1103.93"/>
    <s v="Sun Bicycles Streamway 3 - 2017"/>
    <x v="2"/>
  </r>
  <r>
    <n v="1307"/>
    <n v="1"/>
    <n v="96"/>
    <n v="2"/>
    <n v="349.99"/>
    <n v="7.0000000000000007E-2"/>
    <n v="699.91"/>
    <s v="Electra Moto 3i (20-inch) - Boy's - 2017"/>
    <x v="3"/>
  </r>
  <r>
    <n v="1308"/>
    <n v="1"/>
    <n v="54"/>
    <n v="1"/>
    <n v="3199.99"/>
    <n v="0.05"/>
    <n v="3199.9399999999996"/>
    <s v="Trek Domane SL Disc Frameset - 2017"/>
    <x v="6"/>
  </r>
  <r>
    <n v="1309"/>
    <n v="1"/>
    <n v="65"/>
    <n v="1"/>
    <n v="346.99"/>
    <n v="0.05"/>
    <n v="346.94"/>
    <s v="Sun Bicycles Lil Bolt Type-R - 2017"/>
    <x v="0"/>
  </r>
  <r>
    <n v="1310"/>
    <n v="1"/>
    <n v="59"/>
    <n v="1"/>
    <n v="2599.9899999999998"/>
    <n v="0.2"/>
    <n v="2599.79"/>
    <s v="Trek Domane S 5 Disc - 2017"/>
    <x v="6"/>
  </r>
  <r>
    <n v="1311"/>
    <n v="1"/>
    <n v="69"/>
    <n v="1"/>
    <n v="416.99"/>
    <n v="0.1"/>
    <n v="416.89"/>
    <s v="Sun Bicycles Cruz 7 - 2017"/>
    <x v="0"/>
  </r>
  <r>
    <n v="1312"/>
    <n v="1"/>
    <n v="67"/>
    <n v="2"/>
    <n v="250.99"/>
    <n v="0.05"/>
    <n v="501.93"/>
    <s v="Sun Bicycles Revolutions 24 - Girl's - 2017"/>
    <x v="0"/>
  </r>
  <r>
    <n v="1313"/>
    <n v="1"/>
    <n v="75"/>
    <n v="1"/>
    <n v="599.99"/>
    <n v="0.2"/>
    <n v="599.79"/>
    <s v="Electra Cruiser Lux Fat Tire 1 Ladies - 2017"/>
    <x v="0"/>
  </r>
  <r>
    <n v="1314"/>
    <n v="1"/>
    <n v="52"/>
    <n v="1"/>
    <n v="875.99"/>
    <n v="7.0000000000000007E-2"/>
    <n v="875.92"/>
    <s v="Surly Steamroller - 2017"/>
    <x v="6"/>
  </r>
  <r>
    <n v="1315"/>
    <n v="1"/>
    <n v="104"/>
    <n v="2"/>
    <n v="481.99"/>
    <n v="7.0000000000000007E-2"/>
    <n v="963.91"/>
    <s v="Sun Bicycles Streamway - 2017"/>
    <x v="2"/>
  </r>
  <r>
    <n v="1316"/>
    <n v="1"/>
    <n v="76"/>
    <n v="2"/>
    <n v="299.99"/>
    <n v="0.1"/>
    <n v="599.88"/>
    <s v="Electra Girl's Hawaii 1 16&quot; - 2017"/>
    <x v="0"/>
  </r>
  <r>
    <n v="1317"/>
    <n v="1"/>
    <n v="82"/>
    <n v="1"/>
    <n v="659.99"/>
    <n v="0.1"/>
    <n v="659.89"/>
    <s v="Electra Amsterdam Original 3i Ladies' - 2017"/>
    <x v="0"/>
  </r>
  <r>
    <n v="1318"/>
    <n v="1"/>
    <n v="82"/>
    <n v="2"/>
    <n v="659.99"/>
    <n v="0.2"/>
    <n v="1319.78"/>
    <s v="Electra Amsterdam Original 3i Ladies' - 2017"/>
    <x v="0"/>
  </r>
  <r>
    <n v="1319"/>
    <n v="1"/>
    <n v="75"/>
    <n v="1"/>
    <n v="599.99"/>
    <n v="7.0000000000000007E-2"/>
    <n v="599.91999999999996"/>
    <s v="Electra Cruiser Lux Fat Tire 1 Ladies - 2017"/>
    <x v="0"/>
  </r>
  <r>
    <n v="1320"/>
    <n v="1"/>
    <n v="104"/>
    <n v="1"/>
    <n v="481.99"/>
    <n v="0.1"/>
    <n v="481.89"/>
    <s v="Sun Bicycles Streamway - 2017"/>
    <x v="2"/>
  </r>
  <r>
    <n v="1321"/>
    <n v="1"/>
    <n v="34"/>
    <n v="1"/>
    <n v="469.99"/>
    <n v="0.1"/>
    <n v="469.89"/>
    <s v="Trek Session DH 27.5 Carbon Frameset - 2017"/>
    <x v="1"/>
  </r>
  <r>
    <n v="1322"/>
    <n v="1"/>
    <n v="28"/>
    <n v="2"/>
    <n v="2499.9899999999998"/>
    <n v="0.05"/>
    <n v="4999.9299999999994"/>
    <s v="Surly Karate Monkey 27.5+ Frameset - 2017"/>
    <x v="1"/>
  </r>
  <r>
    <n v="1323"/>
    <n v="1"/>
    <n v="27"/>
    <n v="2"/>
    <n v="999.99"/>
    <n v="7.0000000000000007E-2"/>
    <n v="1999.91"/>
    <s v="Surly Big Dummy Frameset - 2017"/>
    <x v="1"/>
  </r>
  <r>
    <n v="1324"/>
    <n v="1"/>
    <n v="66"/>
    <n v="1"/>
    <n v="250.99"/>
    <n v="0.1"/>
    <n v="250.89000000000001"/>
    <s v="Sun Bicycles Revolutions 24 - 2017"/>
    <x v="0"/>
  </r>
  <r>
    <n v="1325"/>
    <n v="1"/>
    <n v="139"/>
    <n v="1"/>
    <n v="2999.99"/>
    <n v="0.05"/>
    <n v="2999.9399999999996"/>
    <s v="Trek Remedy 7 27.5 - 2018"/>
    <x v="1"/>
  </r>
  <r>
    <n v="1326"/>
    <n v="1"/>
    <n v="190"/>
    <n v="2"/>
    <n v="2799.99"/>
    <n v="7.0000000000000007E-2"/>
    <n v="5599.91"/>
    <s v="Trek Dual Sport+ - 2018"/>
    <x v="5"/>
  </r>
  <r>
    <n v="1327"/>
    <n v="1"/>
    <n v="151"/>
    <n v="2"/>
    <n v="1549.99"/>
    <n v="7.0000000000000007E-2"/>
    <n v="3099.91"/>
    <s v="Trek Domane ALR 4 Disc Women's - 2018"/>
    <x v="6"/>
  </r>
  <r>
    <n v="1328"/>
    <n v="1"/>
    <n v="241"/>
    <n v="1"/>
    <n v="749.99"/>
    <n v="7.0000000000000007E-2"/>
    <n v="749.92"/>
    <s v="Electra Townie Commute 8D - 2018"/>
    <x v="0"/>
  </r>
  <r>
    <n v="1329"/>
    <n v="1"/>
    <n v="143"/>
    <n v="1"/>
    <n v="1099.99"/>
    <n v="7.0000000000000007E-2"/>
    <n v="1099.92"/>
    <s v="Trek Domane ALR 3 - 2018"/>
    <x v="6"/>
  </r>
  <r>
    <n v="1330"/>
    <n v="1"/>
    <n v="232"/>
    <n v="1"/>
    <n v="479.99"/>
    <n v="0.2"/>
    <n v="479.79"/>
    <s v="Electra Cruiser Lux 7D Ladies' - 2018"/>
    <x v="0"/>
  </r>
  <r>
    <n v="1331"/>
    <n v="1"/>
    <n v="253"/>
    <n v="1"/>
    <n v="2599.9899999999998"/>
    <n v="0.05"/>
    <n v="2599.9399999999996"/>
    <s v="Electra Townie Go! 8i Ladies' - 2018"/>
    <x v="0"/>
  </r>
  <r>
    <n v="1332"/>
    <n v="1"/>
    <n v="296"/>
    <n v="1"/>
    <n v="369.99"/>
    <n v="0.2"/>
    <n v="369.79"/>
    <s v="Electra Treasure 3i 20&quot; - 2018"/>
    <x v="3"/>
  </r>
  <r>
    <n v="1333"/>
    <n v="1"/>
    <n v="205"/>
    <n v="2"/>
    <n v="4999.99"/>
    <n v="0.05"/>
    <n v="9999.93"/>
    <s v="Trek Super Commuter+ 8S - 2018"/>
    <x v="5"/>
  </r>
  <r>
    <n v="1334"/>
    <n v="1"/>
    <n v="203"/>
    <n v="2"/>
    <n v="4999.99"/>
    <n v="0.05"/>
    <n v="9999.93"/>
    <s v="Trek Powerfly 7 FS - 2018"/>
    <x v="5"/>
  </r>
  <r>
    <n v="1335"/>
    <n v="1"/>
    <n v="138"/>
    <n v="2"/>
    <n v="2249.9899999999998"/>
    <n v="0.05"/>
    <n v="4499.9299999999994"/>
    <s v="Trek Fuel EX 5 Plus - 2018"/>
    <x v="1"/>
  </r>
  <r>
    <n v="1336"/>
    <n v="1"/>
    <n v="29"/>
    <n v="2"/>
    <n v="999.99"/>
    <n v="0.2"/>
    <n v="1999.78"/>
    <s v="Trek X-Caliber 8 - 2017"/>
    <x v="1"/>
  </r>
  <r>
    <n v="1337"/>
    <n v="1"/>
    <n v="153"/>
    <n v="1"/>
    <n v="4999.99"/>
    <n v="0.1"/>
    <n v="4999.8899999999994"/>
    <s v="Trek Domane SL 7 Women's - 2018"/>
    <x v="6"/>
  </r>
  <r>
    <n v="1338"/>
    <n v="1"/>
    <n v="169"/>
    <n v="2"/>
    <n v="6499.99"/>
    <n v="7.0000000000000007E-2"/>
    <n v="12999.91"/>
    <s v="Trek Emonda SLR 8 - 2018"/>
    <x v="6"/>
  </r>
  <r>
    <n v="1339"/>
    <n v="1"/>
    <n v="175"/>
    <n v="1"/>
    <n v="3199.99"/>
    <n v="7.0000000000000007E-2"/>
    <n v="3199.9199999999996"/>
    <s v="Trek Domane SLR Frameset - 2018"/>
    <x v="6"/>
  </r>
  <r>
    <n v="1340"/>
    <n v="1"/>
    <n v="253"/>
    <n v="1"/>
    <n v="2599.9899999999998"/>
    <n v="0.2"/>
    <n v="2599.79"/>
    <s v="Electra Townie Go! 8i Ladies' - 2018"/>
    <x v="0"/>
  </r>
  <r>
    <n v="1341"/>
    <n v="1"/>
    <n v="215"/>
    <n v="2"/>
    <n v="749.99"/>
    <n v="7.0000000000000007E-2"/>
    <n v="1499.91"/>
    <s v="Electra Queen of Hearts 3i - 2018"/>
    <x v="0"/>
  </r>
  <r>
    <n v="1342"/>
    <n v="1"/>
    <n v="60"/>
    <n v="1"/>
    <n v="1559.99"/>
    <n v="0.05"/>
    <n v="1559.94"/>
    <s v="Sun Bicycles ElectroLite - 2017"/>
    <x v="5"/>
  </r>
  <r>
    <n v="1343"/>
    <n v="1"/>
    <n v="244"/>
    <n v="1"/>
    <n v="559.99"/>
    <n v="0.05"/>
    <n v="559.94000000000005"/>
    <s v="Electra Townie Original 21D Ladies' - 2018"/>
    <x v="0"/>
  </r>
  <r>
    <n v="1344"/>
    <n v="1"/>
    <n v="77"/>
    <n v="2"/>
    <n v="799.99"/>
    <n v="7.0000000000000007E-2"/>
    <n v="1599.91"/>
    <s v="Electra Glam Punk 3i Ladies' - 2017"/>
    <x v="0"/>
  </r>
  <r>
    <n v="1345"/>
    <n v="1"/>
    <n v="40"/>
    <n v="2"/>
    <n v="4999.99"/>
    <n v="0.2"/>
    <n v="9999.7799999999988"/>
    <s v="Trek Fuel EX 9.8 29 - 2017"/>
    <x v="1"/>
  </r>
  <r>
    <n v="1346"/>
    <n v="1"/>
    <n v="134"/>
    <n v="2"/>
    <n v="1499.99"/>
    <n v="0.05"/>
    <n v="2999.93"/>
    <s v="Trek Remedy 27.5 C Frameset - 2018"/>
    <x v="1"/>
  </r>
  <r>
    <n v="1347"/>
    <n v="1"/>
    <n v="43"/>
    <n v="2"/>
    <n v="5299.99"/>
    <n v="7.0000000000000007E-2"/>
    <n v="10599.91"/>
    <s v="Trek Fuel EX 9.8 27.5 Plus - 2017"/>
    <x v="1"/>
  </r>
  <r>
    <n v="1348"/>
    <n v="1"/>
    <n v="203"/>
    <n v="1"/>
    <n v="4999.99"/>
    <n v="0.05"/>
    <n v="4999.9399999999996"/>
    <s v="Trek Powerfly 7 FS - 2018"/>
    <x v="5"/>
  </r>
  <r>
    <n v="1349"/>
    <n v="1"/>
    <n v="138"/>
    <n v="2"/>
    <n v="2249.9899999999998"/>
    <n v="0.05"/>
    <n v="4499.9299999999994"/>
    <s v="Trek Fuel EX 5 Plus - 2018"/>
    <x v="1"/>
  </r>
  <r>
    <n v="1350"/>
    <n v="1"/>
    <n v="305"/>
    <n v="1"/>
    <n v="749.99"/>
    <n v="0.1"/>
    <n v="749.89"/>
    <s v="Electra Townie Balloon 3i EQ - 2017/2018"/>
    <x v="2"/>
  </r>
  <r>
    <n v="1351"/>
    <n v="1"/>
    <n v="297"/>
    <n v="2"/>
    <n v="279.99"/>
    <n v="0.2"/>
    <n v="559.78"/>
    <s v="Electra Under-The-Sea 1 16&quot; - 2018"/>
    <x v="3"/>
  </r>
  <r>
    <n v="1352"/>
    <n v="1"/>
    <n v="136"/>
    <n v="1"/>
    <n v="1799.99"/>
    <n v="0.2"/>
    <n v="1799.79"/>
    <s v="Trek Procaliber 6 - 2018"/>
    <x v="1"/>
  </r>
  <r>
    <n v="1353"/>
    <n v="1"/>
    <n v="107"/>
    <n v="2"/>
    <n v="416.99"/>
    <n v="0.05"/>
    <n v="833.93000000000006"/>
    <s v="Sun Bicycles Cruz 7 - 2017"/>
    <x v="2"/>
  </r>
  <r>
    <n v="1354"/>
    <n v="1"/>
    <n v="166"/>
    <n v="2"/>
    <n v="749.99"/>
    <n v="7.0000000000000007E-2"/>
    <n v="1499.91"/>
    <s v="Trek Domane AL 2 Women's - 2018"/>
    <x v="6"/>
  </r>
  <r>
    <n v="1355"/>
    <n v="1"/>
    <n v="297"/>
    <n v="1"/>
    <n v="279.99"/>
    <n v="0.1"/>
    <n v="279.89"/>
    <s v="Electra Under-The-Sea 1 16&quot; - 2018"/>
    <x v="3"/>
  </r>
  <r>
    <n v="1356"/>
    <n v="1"/>
    <n v="192"/>
    <n v="1"/>
    <n v="2599.9899999999998"/>
    <n v="0.05"/>
    <n v="2599.9399999999996"/>
    <s v="Electra Townie Go! 8i - 2017/2018"/>
    <x v="5"/>
  </r>
  <r>
    <n v="1357"/>
    <n v="1"/>
    <n v="145"/>
    <n v="2"/>
    <n v="1799.99"/>
    <n v="0.2"/>
    <n v="3599.78"/>
    <s v="Trek Domane ALR 5 Disc - 2018"/>
    <x v="6"/>
  </r>
  <r>
    <n v="1358"/>
    <n v="1"/>
    <n v="257"/>
    <n v="2"/>
    <n v="899.99"/>
    <n v="0.2"/>
    <n v="1799.78"/>
    <s v="Electra Amsterdam Fashion 3i Ladies' - 2017/2018"/>
    <x v="0"/>
  </r>
  <r>
    <n v="1359"/>
    <n v="1"/>
    <n v="282"/>
    <n v="1"/>
    <n v="279.99"/>
    <n v="0.05"/>
    <n v="279.94"/>
    <s v="Electra Cyclosaurus 1 (16-inch) - Boy's - 2018"/>
    <x v="3"/>
  </r>
  <r>
    <n v="1360"/>
    <n v="1"/>
    <n v="31"/>
    <n v="1"/>
    <n v="1632.99"/>
    <n v="0.05"/>
    <n v="1632.94"/>
    <s v="Surly Wednesday - 2017"/>
    <x v="1"/>
  </r>
  <r>
    <n v="1361"/>
    <n v="1"/>
    <n v="307"/>
    <n v="2"/>
    <n v="749.99"/>
    <n v="7.0000000000000007E-2"/>
    <n v="1499.91"/>
    <s v="Electra Townie Balloon 8D EQ - 2016/2017/2018"/>
    <x v="2"/>
  </r>
  <r>
    <n v="1362"/>
    <n v="1"/>
    <n v="27"/>
    <n v="2"/>
    <n v="999.99"/>
    <n v="0.2"/>
    <n v="1999.78"/>
    <s v="Surly Big Dummy Frameset - 2017"/>
    <x v="1"/>
  </r>
  <r>
    <n v="1363"/>
    <n v="1"/>
    <n v="66"/>
    <n v="2"/>
    <n v="250.99"/>
    <n v="0.1"/>
    <n v="501.88"/>
    <s v="Sun Bicycles Revolutions 24 - 2017"/>
    <x v="0"/>
  </r>
  <r>
    <n v="1364"/>
    <n v="1"/>
    <n v="78"/>
    <n v="1"/>
    <n v="647.99"/>
    <n v="7.0000000000000007E-2"/>
    <n v="647.91999999999996"/>
    <s v="Sun Bicycles Biscayne Tandem CB - 2017"/>
    <x v="0"/>
  </r>
  <r>
    <n v="1365"/>
    <n v="1"/>
    <n v="144"/>
    <n v="1"/>
    <n v="1549.99"/>
    <n v="7.0000000000000007E-2"/>
    <n v="1549.92"/>
    <s v="Trek Domane ALR 4 Disc - 2018"/>
    <x v="6"/>
  </r>
  <r>
    <n v="1366"/>
    <n v="1"/>
    <n v="115"/>
    <n v="1"/>
    <n v="3199.99"/>
    <n v="0.1"/>
    <n v="3199.89"/>
    <s v="Trek Fuel EX 8 29 - 2018"/>
    <x v="1"/>
  </r>
  <r>
    <n v="1367"/>
    <n v="1"/>
    <n v="132"/>
    <n v="1"/>
    <n v="1499.99"/>
    <n v="0.1"/>
    <n v="1499.89"/>
    <s v="Trek Procal AL Frameset - 2018"/>
    <x v="1"/>
  </r>
  <r>
    <n v="1368"/>
    <n v="1"/>
    <n v="66"/>
    <n v="1"/>
    <n v="250.99"/>
    <n v="0.1"/>
    <n v="250.89000000000001"/>
    <s v="Sun Bicycles Revolutions 24 - 2017"/>
    <x v="0"/>
  </r>
  <r>
    <n v="1369"/>
    <n v="1"/>
    <n v="213"/>
    <n v="2"/>
    <n v="269.99"/>
    <n v="0.05"/>
    <n v="539.93000000000006"/>
    <s v="Electra Cruiser 1 - 2016/2017/2018"/>
    <x v="0"/>
  </r>
  <r>
    <n v="1370"/>
    <n v="1"/>
    <n v="7"/>
    <n v="1"/>
    <n v="3999.99"/>
    <n v="7.0000000000000007E-2"/>
    <n v="3999.9199999999996"/>
    <s v="Trek Slash 8 27.5 - 2016"/>
    <x v="1"/>
  </r>
  <r>
    <n v="1371"/>
    <n v="1"/>
    <n v="223"/>
    <n v="2"/>
    <n v="529.99"/>
    <n v="7.0000000000000007E-2"/>
    <n v="1059.9100000000001"/>
    <s v="Electra Cruiser Lux 3i - 2018"/>
    <x v="0"/>
  </r>
  <r>
    <n v="1372"/>
    <n v="1"/>
    <n v="307"/>
    <n v="1"/>
    <n v="749.99"/>
    <n v="7.0000000000000007E-2"/>
    <n v="749.92"/>
    <s v="Electra Townie Balloon 8D EQ - 2016/2017/2018"/>
    <x v="2"/>
  </r>
  <r>
    <n v="1373"/>
    <n v="1"/>
    <n v="63"/>
    <n v="1"/>
    <n v="3499.99"/>
    <n v="0.1"/>
    <n v="3499.89"/>
    <s v="Trek Boone Race Shop Limited - 2017"/>
    <x v="4"/>
  </r>
  <r>
    <n v="1374"/>
    <n v="1"/>
    <n v="181"/>
    <n v="2"/>
    <n v="2199.9899999999998"/>
    <n v="0.05"/>
    <n v="4399.9299999999994"/>
    <s v="Trek Domane SL 5 - 2018"/>
    <x v="6"/>
  </r>
  <r>
    <n v="1375"/>
    <n v="1"/>
    <n v="147"/>
    <n v="2"/>
    <n v="1799.99"/>
    <n v="0.05"/>
    <n v="3599.93"/>
    <s v="Trek Domane ALR 5 Gravel - 2018"/>
    <x v="6"/>
  </r>
  <r>
    <n v="1376"/>
    <n v="1"/>
    <n v="5"/>
    <n v="1"/>
    <n v="1320.99"/>
    <n v="7.0000000000000007E-2"/>
    <n v="1320.92"/>
    <s v="Heller Shagamaw Frame - 2016"/>
    <x v="1"/>
  </r>
  <r>
    <n v="1377"/>
    <n v="1"/>
    <n v="153"/>
    <n v="2"/>
    <n v="4999.99"/>
    <n v="0.05"/>
    <n v="9999.93"/>
    <s v="Trek Domane SL 7 Women's - 2018"/>
    <x v="6"/>
  </r>
  <r>
    <n v="1378"/>
    <n v="1"/>
    <n v="96"/>
    <n v="2"/>
    <n v="349.99"/>
    <n v="7.0000000000000007E-2"/>
    <n v="699.91"/>
    <s v="Electra Moto 3i (20-inch) - Boy's - 2017"/>
    <x v="3"/>
  </r>
  <r>
    <n v="1379"/>
    <n v="1"/>
    <n v="15"/>
    <n v="1"/>
    <n v="529.99"/>
    <n v="0.1"/>
    <n v="529.89"/>
    <s v="Electra Moto 1 - 2016"/>
    <x v="0"/>
  </r>
  <r>
    <n v="1380"/>
    <n v="1"/>
    <n v="255"/>
    <n v="2"/>
    <n v="899.99"/>
    <n v="0.1"/>
    <n v="1799.88"/>
    <s v="Electra Townie Balloon 7i EQ Ladies' - 2017/2018"/>
    <x v="0"/>
  </r>
  <r>
    <n v="1381"/>
    <n v="1"/>
    <n v="274"/>
    <n v="2"/>
    <n v="229.99"/>
    <n v="0.2"/>
    <n v="459.78000000000003"/>
    <s v="Trek Precaliber 20 Boy's - 2018"/>
    <x v="3"/>
  </r>
  <r>
    <n v="1382"/>
    <n v="1"/>
    <n v="232"/>
    <n v="1"/>
    <n v="479.99"/>
    <n v="0.2"/>
    <n v="479.79"/>
    <s v="Electra Cruiser Lux 7D Ladies' - 2018"/>
    <x v="0"/>
  </r>
  <r>
    <n v="1383"/>
    <n v="1"/>
    <n v="188"/>
    <n v="2"/>
    <n v="3499.99"/>
    <n v="0.2"/>
    <n v="6999.78"/>
    <s v="Trek XM700+ Lowstep - 2018"/>
    <x v="5"/>
  </r>
  <r>
    <n v="1384"/>
    <n v="1"/>
    <n v="32"/>
    <n v="1"/>
    <n v="469.99"/>
    <n v="7.0000000000000007E-2"/>
    <n v="469.92"/>
    <s v="Trek Farley Alloy Frameset - 2017"/>
    <x v="1"/>
  </r>
  <r>
    <n v="1385"/>
    <n v="1"/>
    <n v="24"/>
    <n v="2"/>
    <n v="549.99"/>
    <n v="0.05"/>
    <n v="1099.93"/>
    <s v="Electra Townie Original 21D - 2016"/>
    <x v="2"/>
  </r>
  <r>
    <n v="1386"/>
    <n v="1"/>
    <n v="292"/>
    <n v="1"/>
    <n v="369.99"/>
    <n v="0.2"/>
    <n v="369.79"/>
    <s v="Electra Sweet Ride 3i (20-inch) - Girls' - 2018"/>
    <x v="3"/>
  </r>
  <r>
    <n v="1387"/>
    <n v="1"/>
    <n v="106"/>
    <n v="1"/>
    <n v="449.99"/>
    <n v="0.1"/>
    <n v="449.89"/>
    <s v="Sun Bicycles Cruz 3 - 2017"/>
    <x v="2"/>
  </r>
  <r>
    <n v="1388"/>
    <n v="1"/>
    <n v="251"/>
    <n v="1"/>
    <n v="2999.99"/>
    <n v="0.1"/>
    <n v="2999.89"/>
    <s v="Electra Townie Commute Go! - 2018"/>
    <x v="0"/>
  </r>
  <r>
    <n v="1389"/>
    <n v="1"/>
    <n v="85"/>
    <n v="2"/>
    <n v="329.99"/>
    <n v="0.1"/>
    <n v="659.88"/>
    <s v="Haro Downtown 16 - 2017"/>
    <x v="3"/>
  </r>
  <r>
    <n v="1390"/>
    <n v="1"/>
    <n v="41"/>
    <n v="2"/>
    <n v="1469.99"/>
    <n v="0.05"/>
    <n v="2939.93"/>
    <s v="Haro Shift R3 - 2017"/>
    <x v="1"/>
  </r>
  <r>
    <n v="1391"/>
    <n v="1"/>
    <n v="223"/>
    <n v="2"/>
    <n v="529.99"/>
    <n v="7.0000000000000007E-2"/>
    <n v="1059.9100000000001"/>
    <s v="Electra Cruiser Lux 3i - 2018"/>
    <x v="0"/>
  </r>
  <r>
    <n v="1392"/>
    <n v="1"/>
    <n v="87"/>
    <n v="2"/>
    <n v="189.99"/>
    <n v="0.2"/>
    <n v="379.78000000000003"/>
    <s v="Trek Precaliber 12 Boys - 2017"/>
    <x v="3"/>
  </r>
  <r>
    <n v="1393"/>
    <n v="1"/>
    <n v="92"/>
    <n v="1"/>
    <n v="209.99"/>
    <n v="7.0000000000000007E-2"/>
    <n v="209.92000000000002"/>
    <s v="Haro Shredder 20 - 2017"/>
    <x v="3"/>
  </r>
  <r>
    <n v="1394"/>
    <n v="1"/>
    <n v="165"/>
    <n v="2"/>
    <n v="2499.9899999999998"/>
    <n v="0.05"/>
    <n v="4999.9299999999994"/>
    <s v="Trek 1120 - 2018"/>
    <x v="6"/>
  </r>
  <r>
    <n v="1395"/>
    <n v="1"/>
    <n v="204"/>
    <n v="1"/>
    <n v="3599.99"/>
    <n v="0.2"/>
    <n v="3599.79"/>
    <s v="Trek Super Commuter+ 7 - 2018"/>
    <x v="5"/>
  </r>
  <r>
    <n v="1396"/>
    <n v="1"/>
    <n v="57"/>
    <n v="1"/>
    <n v="1999.99"/>
    <n v="0.05"/>
    <n v="1999.94"/>
    <s v="Trek Emonda S 5 - 2017"/>
    <x v="6"/>
  </r>
  <r>
    <n v="1397"/>
    <n v="1"/>
    <n v="127"/>
    <n v="2"/>
    <n v="469.99"/>
    <n v="0.1"/>
    <n v="939.88"/>
    <s v="Surly Pack Rat Frameset - 2018"/>
    <x v="1"/>
  </r>
  <r>
    <n v="1398"/>
    <n v="1"/>
    <n v="69"/>
    <n v="2"/>
    <n v="416.99"/>
    <n v="0.05"/>
    <n v="833.93000000000006"/>
    <s v="Sun Bicycles Cruz 7 - 2017"/>
    <x v="0"/>
  </r>
  <r>
    <n v="1399"/>
    <n v="1"/>
    <n v="210"/>
    <n v="2"/>
    <n v="1549"/>
    <n v="0.2"/>
    <n v="3097.8"/>
    <s v="Surly Straggler - 2018"/>
    <x v="4"/>
  </r>
  <r>
    <n v="1400"/>
    <n v="1"/>
    <n v="24"/>
    <n v="2"/>
    <n v="549.99"/>
    <n v="0.2"/>
    <n v="1099.78"/>
    <s v="Electra Townie Original 21D - 2016"/>
    <x v="2"/>
  </r>
  <r>
    <n v="1401"/>
    <n v="1"/>
    <n v="112"/>
    <n v="1"/>
    <n v="379.99"/>
    <n v="7.0000000000000007E-2"/>
    <n v="379.92"/>
    <s v="Trek 820 - 2018"/>
    <x v="1"/>
  </r>
  <r>
    <n v="1402"/>
    <n v="1"/>
    <n v="189"/>
    <n v="2"/>
    <n v="2799.99"/>
    <n v="0.2"/>
    <n v="5599.78"/>
    <s v="Trek Lift+ Lowstep - 2018"/>
    <x v="5"/>
  </r>
  <r>
    <n v="1403"/>
    <n v="1"/>
    <n v="93"/>
    <n v="2"/>
    <n v="209.99"/>
    <n v="0.1"/>
    <n v="419.88"/>
    <s v="Haro Shredder 20 Girls - 2017"/>
    <x v="3"/>
  </r>
  <r>
    <n v="1404"/>
    <n v="1"/>
    <n v="112"/>
    <n v="2"/>
    <n v="379.99"/>
    <n v="0.05"/>
    <n v="759.93000000000006"/>
    <s v="Trek 820 - 2018"/>
    <x v="1"/>
  </r>
  <r>
    <n v="1405"/>
    <n v="1"/>
    <n v="162"/>
    <n v="2"/>
    <n v="2999.99"/>
    <n v="0.1"/>
    <n v="5999.8799999999992"/>
    <s v="Trek Emonda SL 6 Disc - 2018"/>
    <x v="6"/>
  </r>
  <r>
    <n v="1406"/>
    <n v="1"/>
    <n v="230"/>
    <n v="2"/>
    <n v="429.99"/>
    <n v="0.05"/>
    <n v="859.93000000000006"/>
    <s v="Electra Cruiser Lux 1 Ladies' - 2018"/>
    <x v="0"/>
  </r>
  <r>
    <n v="1407"/>
    <n v="1"/>
    <n v="300"/>
    <n v="1"/>
    <n v="799.99"/>
    <n v="0.05"/>
    <n v="799.94"/>
    <s v="Electra Townie Balloon 3i EQ Ladies' - 2018"/>
    <x v="2"/>
  </r>
  <r>
    <n v="1408"/>
    <n v="1"/>
    <n v="23"/>
    <n v="2"/>
    <n v="299.99"/>
    <n v="0.2"/>
    <n v="599.78"/>
    <s v="Electra Girl's Hawaii 1 (20-inch) - 2015/2016"/>
    <x v="3"/>
  </r>
  <r>
    <n v="1409"/>
    <n v="1"/>
    <n v="301"/>
    <n v="2"/>
    <n v="899.99"/>
    <n v="7.0000000000000007E-2"/>
    <n v="1799.91"/>
    <s v="Electra Townie Balloon 7i EQ - 2018"/>
    <x v="2"/>
  </r>
  <r>
    <n v="1410"/>
    <n v="1"/>
    <n v="205"/>
    <n v="2"/>
    <n v="4999.99"/>
    <n v="0.1"/>
    <n v="9999.8799999999992"/>
    <s v="Trek Super Commuter+ 8S - 2018"/>
    <x v="5"/>
  </r>
  <r>
    <n v="1411"/>
    <n v="1"/>
    <n v="9"/>
    <n v="1"/>
    <n v="2999.99"/>
    <n v="0.1"/>
    <n v="2999.89"/>
    <s v="Trek Conduit+ - 2016"/>
    <x v="5"/>
  </r>
  <r>
    <n v="1412"/>
    <n v="1"/>
    <n v="180"/>
    <n v="2"/>
    <n v="919.99"/>
    <n v="7.0000000000000007E-2"/>
    <n v="1839.91"/>
    <s v="Trek Domane AL 3 Women's - 2018"/>
    <x v="6"/>
  </r>
  <r>
    <n v="1413"/>
    <n v="1"/>
    <n v="297"/>
    <n v="2"/>
    <n v="279.99"/>
    <n v="0.05"/>
    <n v="559.93000000000006"/>
    <s v="Electra Under-The-Sea 1 16&quot; - 2018"/>
    <x v="3"/>
  </r>
  <r>
    <n v="1414"/>
    <n v="1"/>
    <n v="162"/>
    <n v="2"/>
    <n v="2999.99"/>
    <n v="0.1"/>
    <n v="5999.8799999999992"/>
    <s v="Trek Emonda SL 6 Disc - 2018"/>
    <x v="6"/>
  </r>
  <r>
    <n v="1415"/>
    <n v="1"/>
    <n v="31"/>
    <n v="2"/>
    <n v="1632.99"/>
    <n v="7.0000000000000007E-2"/>
    <n v="3265.91"/>
    <s v="Surly Wednesday - 2017"/>
    <x v="1"/>
  </r>
  <r>
    <n v="1416"/>
    <n v="1"/>
    <n v="194"/>
    <n v="1"/>
    <n v="3499.99"/>
    <n v="0.2"/>
    <n v="3499.79"/>
    <s v="Trek XM700+ - 2018"/>
    <x v="5"/>
  </r>
  <r>
    <n v="1417"/>
    <n v="1"/>
    <n v="219"/>
    <n v="2"/>
    <n v="639.99"/>
    <n v="0.2"/>
    <n v="1279.78"/>
    <s v="Electra Moto 3i - 2018"/>
    <x v="0"/>
  </r>
  <r>
    <n v="1418"/>
    <n v="1"/>
    <n v="120"/>
    <n v="2"/>
    <n v="2499.9899999999998"/>
    <n v="0.2"/>
    <n v="4999.78"/>
    <s v="Trek Fuel EX 7 29 - 2018"/>
    <x v="1"/>
  </r>
  <r>
    <n v="1419"/>
    <n v="1"/>
    <n v="124"/>
    <n v="1"/>
    <n v="1499"/>
    <n v="7.0000000000000007E-2"/>
    <n v="1498.93"/>
    <s v="Surly Krampus - 2018"/>
    <x v="1"/>
  </r>
  <r>
    <n v="1420"/>
    <n v="1"/>
    <n v="197"/>
    <n v="1"/>
    <n v="2299.9899999999998"/>
    <n v="0.2"/>
    <n v="2299.79"/>
    <s v="Trek Verve+ Lowstep - 2018"/>
    <x v="5"/>
  </r>
  <r>
    <n v="1421"/>
    <n v="1"/>
    <n v="298"/>
    <n v="2"/>
    <n v="279.99"/>
    <n v="0.05"/>
    <n v="559.93000000000006"/>
    <s v="Electra Water Lily 1 (16-inch) - Girl's - 2018"/>
    <x v="3"/>
  </r>
  <r>
    <n v="1422"/>
    <n v="1"/>
    <n v="80"/>
    <n v="2"/>
    <n v="761.99"/>
    <n v="7.0000000000000007E-2"/>
    <n v="1523.91"/>
    <s v="Sun Bicycles Brickell Tandem CB - 2017"/>
    <x v="0"/>
  </r>
  <r>
    <n v="1423"/>
    <n v="1"/>
    <n v="249"/>
    <n v="1"/>
    <n v="749.99"/>
    <n v="0.2"/>
    <n v="749.79"/>
    <s v="Electra White Water 3i - 2018"/>
    <x v="0"/>
  </r>
  <r>
    <n v="1424"/>
    <n v="1"/>
    <n v="140"/>
    <n v="2"/>
    <n v="4999.99"/>
    <n v="0.2"/>
    <n v="9999.7799999999988"/>
    <s v="Trek Remedy 9.8 27.5 - 2018"/>
    <x v="1"/>
  </r>
  <r>
    <n v="1425"/>
    <n v="1"/>
    <n v="227"/>
    <n v="2"/>
    <n v="319.99"/>
    <n v="0.05"/>
    <n v="639.93000000000006"/>
    <s v="Electra Cruiser 7D (24-Inch) Ladies' - 2016/2018"/>
    <x v="0"/>
  </r>
  <r>
    <n v="1426"/>
    <n v="1"/>
    <n v="215"/>
    <n v="1"/>
    <n v="749.99"/>
    <n v="7.0000000000000007E-2"/>
    <n v="749.92"/>
    <s v="Electra Queen of Hearts 3i - 2018"/>
    <x v="0"/>
  </r>
  <r>
    <n v="1427"/>
    <n v="1"/>
    <n v="230"/>
    <n v="2"/>
    <n v="429.99"/>
    <n v="7.0000000000000007E-2"/>
    <n v="859.91"/>
    <s v="Electra Cruiser Lux 1 Ladies' - 2018"/>
    <x v="0"/>
  </r>
  <r>
    <n v="1428"/>
    <n v="1"/>
    <n v="216"/>
    <n v="2"/>
    <n v="899.99"/>
    <n v="0.2"/>
    <n v="1799.78"/>
    <s v="Electra Super Moto 8i - 2018"/>
    <x v="0"/>
  </r>
  <r>
    <n v="1429"/>
    <n v="1"/>
    <n v="70"/>
    <n v="2"/>
    <n v="659.99"/>
    <n v="0.2"/>
    <n v="1319.78"/>
    <s v="Electra Amsterdam Original 3i - 2015/2017"/>
    <x v="0"/>
  </r>
  <r>
    <n v="1430"/>
    <n v="1"/>
    <n v="221"/>
    <n v="1"/>
    <n v="319.99"/>
    <n v="0.05"/>
    <n v="319.94"/>
    <s v="Electra Cruiser 7D Ladies' - 2016/2018"/>
    <x v="0"/>
  </r>
  <r>
    <n v="1431"/>
    <n v="1"/>
    <n v="207"/>
    <n v="1"/>
    <n v="3999.99"/>
    <n v="0.1"/>
    <n v="3999.89"/>
    <s v="Trek Boone 7 Disc - 2018"/>
    <x v="4"/>
  </r>
  <r>
    <n v="1432"/>
    <n v="1"/>
    <n v="161"/>
    <n v="1"/>
    <n v="1899"/>
    <n v="0.2"/>
    <n v="1898.8"/>
    <s v="Surly ECR - 2018"/>
    <x v="6"/>
  </r>
  <r>
    <n v="1433"/>
    <n v="1"/>
    <n v="264"/>
    <n v="1"/>
    <n v="249.99"/>
    <n v="7.0000000000000007E-2"/>
    <n v="249.92000000000002"/>
    <s v="Strider Sport 16 - 2018"/>
    <x v="3"/>
  </r>
  <r>
    <n v="1434"/>
    <n v="1"/>
    <n v="229"/>
    <n v="2"/>
    <n v="429.99"/>
    <n v="0.2"/>
    <n v="859.78"/>
    <s v="Electra Cruiser Lux 1 - 2016/2018"/>
    <x v="0"/>
  </r>
  <r>
    <n v="1435"/>
    <n v="1"/>
    <n v="141"/>
    <n v="2"/>
    <n v="1599.99"/>
    <n v="7.0000000000000007E-2"/>
    <n v="3199.91"/>
    <s v="Trek Stache 5 - 2018"/>
    <x v="1"/>
  </r>
  <r>
    <n v="1436"/>
    <n v="1"/>
    <n v="244"/>
    <n v="2"/>
    <n v="559.99"/>
    <n v="7.0000000000000007E-2"/>
    <n v="1119.9100000000001"/>
    <s v="Electra Townie Original 21D Ladies' - 2018"/>
    <x v="0"/>
  </r>
  <r>
    <n v="1437"/>
    <n v="1"/>
    <n v="141"/>
    <n v="2"/>
    <n v="1599.99"/>
    <n v="0.05"/>
    <n v="3199.93"/>
    <s v="Trek Stache 5 - 2018"/>
    <x v="1"/>
  </r>
  <r>
    <n v="1438"/>
    <n v="1"/>
    <n v="225"/>
    <n v="1"/>
    <n v="959.99"/>
    <n v="0.2"/>
    <n v="959.79"/>
    <s v="Electra Delivery 3i - 2016/2017/2018"/>
    <x v="0"/>
  </r>
  <r>
    <n v="1439"/>
    <n v="1"/>
    <n v="42"/>
    <n v="1"/>
    <n v="2299.9899999999998"/>
    <n v="7.0000000000000007E-2"/>
    <n v="2299.9199999999996"/>
    <s v="Trek Fuel EX 5 27.5 Plus - 2017"/>
    <x v="1"/>
  </r>
  <r>
    <n v="1440"/>
    <n v="1"/>
    <n v="116"/>
    <n v="2"/>
    <n v="749.99"/>
    <n v="7.0000000000000007E-2"/>
    <n v="1499.91"/>
    <s v="Trek Marlin 7 - 2017/2018"/>
    <x v="1"/>
  </r>
  <r>
    <n v="1441"/>
    <n v="1"/>
    <n v="6"/>
    <n v="1"/>
    <n v="469.99"/>
    <n v="0.05"/>
    <n v="469.94"/>
    <s v="Surly Ice Cream Truck Frameset - 2016"/>
    <x v="1"/>
  </r>
  <r>
    <n v="1442"/>
    <n v="1"/>
    <n v="160"/>
    <n v="1"/>
    <n v="4499.99"/>
    <n v="0.1"/>
    <n v="4499.8899999999994"/>
    <s v="Trek Emonda SLR 6 - 2018"/>
    <x v="6"/>
  </r>
  <r>
    <n v="1443"/>
    <n v="1"/>
    <n v="160"/>
    <n v="1"/>
    <n v="4499.99"/>
    <n v="7.0000000000000007E-2"/>
    <n v="4499.92"/>
    <s v="Trek Emonda SLR 6 - 2018"/>
    <x v="6"/>
  </r>
  <r>
    <n v="1444"/>
    <n v="1"/>
    <n v="90"/>
    <n v="1"/>
    <n v="209.99"/>
    <n v="0.1"/>
    <n v="209.89000000000001"/>
    <s v="Trek Precaliber 16 Girls - 2017"/>
    <x v="3"/>
  </r>
  <r>
    <n v="1445"/>
    <n v="1"/>
    <n v="219"/>
    <n v="2"/>
    <n v="639.99"/>
    <n v="0.1"/>
    <n v="1279.8800000000001"/>
    <s v="Electra Moto 3i - 2018"/>
    <x v="0"/>
  </r>
  <r>
    <n v="1446"/>
    <n v="1"/>
    <n v="227"/>
    <n v="1"/>
    <n v="319.99"/>
    <n v="0.05"/>
    <n v="319.94"/>
    <s v="Electra Cruiser 7D (24-Inch) Ladies' - 2016/2018"/>
    <x v="0"/>
  </r>
  <r>
    <n v="1447"/>
    <n v="1"/>
    <n v="148"/>
    <n v="1"/>
    <n v="5499.99"/>
    <n v="0.2"/>
    <n v="5499.79"/>
    <s v="Trek Domane SL 8 Disc - 2018"/>
    <x v="6"/>
  </r>
  <r>
    <n v="1448"/>
    <n v="1"/>
    <n v="239"/>
    <n v="1"/>
    <n v="749.99"/>
    <n v="0.1"/>
    <n v="749.89"/>
    <s v="Electra Townie Balloon 8D EQ Ladies' - 2016/2017/2018"/>
    <x v="0"/>
  </r>
  <r>
    <n v="1449"/>
    <n v="1"/>
    <n v="159"/>
    <n v="1"/>
    <n v="2299.9899999999998"/>
    <n v="7.0000000000000007E-2"/>
    <n v="2299.9199999999996"/>
    <s v="Trek Emonda ALR 6 - 2018"/>
    <x v="6"/>
  </r>
  <r>
    <n v="1450"/>
    <n v="1"/>
    <n v="98"/>
    <n v="1"/>
    <n v="489.99"/>
    <n v="7.0000000000000007E-2"/>
    <n v="489.92"/>
    <s v="Electra Straight 8 3i (20-inch) - Boy's - 2017"/>
    <x v="3"/>
  </r>
  <r>
    <n v="1451"/>
    <n v="1"/>
    <n v="117"/>
    <n v="1"/>
    <n v="1469.99"/>
    <n v="0.05"/>
    <n v="1469.94"/>
    <s v="Trek Ticket S Frame - 2018"/>
    <x v="1"/>
  </r>
  <r>
    <n v="1452"/>
    <n v="1"/>
    <n v="99"/>
    <n v="2"/>
    <n v="299.99"/>
    <n v="0.1"/>
    <n v="599.88"/>
    <s v="Electra Sugar Skulls 1 (20-inch) - Girl's - 2017"/>
    <x v="3"/>
  </r>
  <r>
    <n v="1453"/>
    <n v="1"/>
    <n v="89"/>
    <n v="2"/>
    <n v="209.99"/>
    <n v="0.1"/>
    <n v="419.88"/>
    <s v="Trek Precaliber 16 Boys - 2017"/>
    <x v="3"/>
  </r>
  <r>
    <n v="1454"/>
    <n v="1"/>
    <n v="283"/>
    <n v="1"/>
    <n v="319.99"/>
    <n v="7.0000000000000007E-2"/>
    <n v="319.92"/>
    <s v="Electra Heartchya 1 (20-inch) - Girl's - 2018"/>
    <x v="3"/>
  </r>
  <r>
    <n v="1455"/>
    <n v="1"/>
    <n v="101"/>
    <n v="2"/>
    <n v="339.99"/>
    <n v="0.05"/>
    <n v="679.93000000000006"/>
    <s v="Electra Townie 7D (20-inch) - Boys' - 2017"/>
    <x v="3"/>
  </r>
  <r>
    <n v="1456"/>
    <n v="1"/>
    <n v="193"/>
    <n v="2"/>
    <n v="2799.99"/>
    <n v="0.05"/>
    <n v="5599.9299999999994"/>
    <s v="Trek Lift+ - 2018"/>
    <x v="5"/>
  </r>
  <r>
    <n v="1457"/>
    <n v="1"/>
    <n v="113"/>
    <n v="1"/>
    <n v="489.99"/>
    <n v="7.0000000000000007E-2"/>
    <n v="489.92"/>
    <s v="Trek Marlin 5 - 2018"/>
    <x v="1"/>
  </r>
  <r>
    <n v="1458"/>
    <n v="1"/>
    <n v="295"/>
    <n v="2"/>
    <n v="319.99"/>
    <n v="0.05"/>
    <n v="639.93000000000006"/>
    <s v="Electra Treasure 1 20&quot; - 2018"/>
    <x v="3"/>
  </r>
  <r>
    <n v="1459"/>
    <n v="1"/>
    <n v="258"/>
    <n v="1"/>
    <n v="1259.9000000000001"/>
    <n v="0.1"/>
    <n v="1259.8000000000002"/>
    <s v="Electra Amsterdam Royal 8i - 2017/2018"/>
    <x v="0"/>
  </r>
  <r>
    <n v="1460"/>
    <n v="1"/>
    <n v="201"/>
    <n v="1"/>
    <n v="4499.99"/>
    <n v="0.05"/>
    <n v="4499.9399999999996"/>
    <s v="Trek Powerfly 5 FS - 2018"/>
    <x v="5"/>
  </r>
  <r>
    <n v="1461"/>
    <n v="1"/>
    <n v="48"/>
    <n v="1"/>
    <n v="1499.99"/>
    <n v="0.2"/>
    <n v="1499.79"/>
    <s v="Trek Emonda S 4 - 2017"/>
    <x v="6"/>
  </r>
  <r>
    <n v="1462"/>
    <n v="1"/>
    <n v="263"/>
    <n v="1"/>
    <n v="89.99"/>
    <n v="0.2"/>
    <n v="89.789999999999992"/>
    <s v="Strider Classic 12 Balance Bike - 2018"/>
    <x v="3"/>
  </r>
  <r>
    <n v="1463"/>
    <n v="1"/>
    <n v="51"/>
    <n v="2"/>
    <n v="6499.99"/>
    <n v="0.05"/>
    <n v="12999.93"/>
    <s v="Trek Silque SLR 8 Women's - 2017"/>
    <x v="6"/>
  </r>
  <r>
    <n v="1464"/>
    <n v="1"/>
    <n v="109"/>
    <n v="2"/>
    <n v="416.99"/>
    <n v="0.05"/>
    <n v="833.93000000000006"/>
    <s v="Sun Bicycles Cruz 7 - Women's - 2017"/>
    <x v="2"/>
  </r>
  <r>
    <n v="1465"/>
    <n v="1"/>
    <n v="70"/>
    <n v="2"/>
    <n v="659.99"/>
    <n v="0.05"/>
    <n v="1319.93"/>
    <s v="Electra Amsterdam Original 3i - 2015/2017"/>
    <x v="0"/>
  </r>
  <r>
    <n v="1466"/>
    <n v="1"/>
    <n v="310"/>
    <n v="2"/>
    <n v="899.99"/>
    <n v="7.0000000000000007E-2"/>
    <n v="1799.91"/>
    <s v="Electra Townie Commute 27D Ladies - 2018"/>
    <x v="2"/>
  </r>
  <r>
    <n v="1467"/>
    <n v="1"/>
    <n v="18"/>
    <n v="1"/>
    <n v="449"/>
    <n v="7.0000000000000007E-2"/>
    <n v="448.93"/>
    <s v="Pure Cycles Western 3-Speed - Women's - 2015/2016"/>
    <x v="0"/>
  </r>
  <r>
    <n v="1468"/>
    <n v="1"/>
    <n v="269"/>
    <n v="1"/>
    <n v="199.99"/>
    <n v="0.05"/>
    <n v="199.94"/>
    <s v="Trek Precaliber 12 Boy's - 2018"/>
    <x v="3"/>
  </r>
  <r>
    <n v="1469"/>
    <n v="1"/>
    <n v="77"/>
    <n v="2"/>
    <n v="799.99"/>
    <n v="0.2"/>
    <n v="1599.78"/>
    <s v="Electra Glam Punk 3i Ladies' - 2017"/>
    <x v="0"/>
  </r>
  <r>
    <n v="1470"/>
    <n v="1"/>
    <n v="110"/>
    <n v="2"/>
    <n v="470.99"/>
    <n v="0.1"/>
    <n v="941.88"/>
    <s v="Sun Bicycles Drifter 7 - 2017"/>
    <x v="2"/>
  </r>
  <r>
    <n v="1471"/>
    <n v="1"/>
    <n v="59"/>
    <n v="2"/>
    <n v="2599.9899999999998"/>
    <n v="0.2"/>
    <n v="5199.78"/>
    <s v="Trek Domane S 5 Disc - 2017"/>
    <x v="6"/>
  </r>
  <r>
    <n v="1472"/>
    <n v="1"/>
    <n v="84"/>
    <n v="1"/>
    <n v="109.99"/>
    <n v="0.2"/>
    <n v="109.78999999999999"/>
    <s v="Sun Bicycles Lil Kitt'n - 2017"/>
    <x v="3"/>
  </r>
  <r>
    <n v="1473"/>
    <n v="1"/>
    <n v="84"/>
    <n v="2"/>
    <n v="109.99"/>
    <n v="0.2"/>
    <n v="219.78"/>
    <s v="Sun Bicycles Lil Kitt'n - 2017"/>
    <x v="3"/>
  </r>
  <r>
    <n v="1474"/>
    <n v="1"/>
    <n v="301"/>
    <n v="1"/>
    <n v="899.99"/>
    <n v="0.2"/>
    <n v="899.79"/>
    <s v="Electra Townie Balloon 7i EQ - 2018"/>
    <x v="2"/>
  </r>
  <r>
    <n v="1475"/>
    <n v="1"/>
    <n v="306"/>
    <n v="2"/>
    <n v="899.99"/>
    <n v="0.05"/>
    <n v="1799.93"/>
    <s v="Electra Townie Balloon 7i EQ Ladies' - 2017/2018"/>
    <x v="2"/>
  </r>
  <r>
    <n v="1476"/>
    <n v="1"/>
    <n v="142"/>
    <n v="2"/>
    <n v="3199.99"/>
    <n v="7.0000000000000007E-2"/>
    <n v="6399.91"/>
    <s v="Trek Fuel EX 8 29 XT - 2018"/>
    <x v="1"/>
  </r>
  <r>
    <n v="1477"/>
    <n v="1"/>
    <n v="210"/>
    <n v="2"/>
    <n v="1549"/>
    <n v="0.2"/>
    <n v="3097.8"/>
    <s v="Surly Straggler - 2018"/>
    <x v="4"/>
  </r>
  <r>
    <n v="1478"/>
    <n v="1"/>
    <n v="100"/>
    <n v="2"/>
    <n v="489.99"/>
    <n v="0.1"/>
    <n v="979.88"/>
    <s v="Electra Townie 3i EQ (20-inch) - Boys' - 2017"/>
    <x v="3"/>
  </r>
  <r>
    <n v="1479"/>
    <n v="1"/>
    <n v="252"/>
    <n v="1"/>
    <n v="2999.99"/>
    <n v="0.05"/>
    <n v="2999.9399999999996"/>
    <s v="Electra Townie Commute Go! Ladies' - 2018"/>
    <x v="0"/>
  </r>
  <r>
    <n v="1480"/>
    <n v="1"/>
    <n v="308"/>
    <n v="2"/>
    <n v="749.99"/>
    <n v="0.1"/>
    <n v="1499.88"/>
    <s v="Electra Townie Balloon 8D EQ Ladies' - 2016/2017/2018"/>
    <x v="2"/>
  </r>
  <r>
    <n v="1481"/>
    <n v="1"/>
    <n v="53"/>
    <n v="2"/>
    <n v="749.99"/>
    <n v="7.0000000000000007E-2"/>
    <n v="1499.91"/>
    <s v="Surly Ogre Frameset - 2017"/>
    <x v="6"/>
  </r>
  <r>
    <n v="1482"/>
    <n v="1"/>
    <n v="48"/>
    <n v="1"/>
    <n v="1499.99"/>
    <n v="0.1"/>
    <n v="1499.89"/>
    <s v="Trek Emonda S 4 - 2017"/>
    <x v="6"/>
  </r>
  <r>
    <n v="1483"/>
    <n v="1"/>
    <n v="280"/>
    <n v="1"/>
    <n v="489.99"/>
    <n v="0.05"/>
    <n v="489.94"/>
    <s v="Trek Superfly 24 - 2017/2018"/>
    <x v="3"/>
  </r>
  <r>
    <n v="1484"/>
    <n v="1"/>
    <n v="295"/>
    <n v="2"/>
    <n v="319.99"/>
    <n v="7.0000000000000007E-2"/>
    <n v="639.91"/>
    <s v="Electra Treasure 1 20&quot; - 2018"/>
    <x v="3"/>
  </r>
  <r>
    <n v="1485"/>
    <n v="1"/>
    <n v="122"/>
    <n v="2"/>
    <n v="2499.9899999999998"/>
    <n v="0.2"/>
    <n v="4999.78"/>
    <s v="Surly Troll Frameset - 2018"/>
    <x v="1"/>
  </r>
  <r>
    <n v="1486"/>
    <n v="1"/>
    <n v="60"/>
    <n v="2"/>
    <n v="1559.99"/>
    <n v="0.05"/>
    <n v="3119.93"/>
    <s v="Sun Bicycles ElectroLite - 2017"/>
    <x v="5"/>
  </r>
  <r>
    <n v="1487"/>
    <n v="1"/>
    <n v="160"/>
    <n v="1"/>
    <n v="4499.99"/>
    <n v="7.0000000000000007E-2"/>
    <n v="4499.92"/>
    <s v="Trek Emonda SLR 6 - 2018"/>
    <x v="6"/>
  </r>
  <r>
    <n v="1488"/>
    <n v="1"/>
    <n v="42"/>
    <n v="1"/>
    <n v="2299.9899999999998"/>
    <n v="7.0000000000000007E-2"/>
    <n v="2299.9199999999996"/>
    <s v="Trek Fuel EX 5 27.5 Plus - 2017"/>
    <x v="1"/>
  </r>
  <r>
    <n v="1489"/>
    <n v="1"/>
    <n v="198"/>
    <n v="1"/>
    <n v="2999.99"/>
    <n v="0.2"/>
    <n v="2999.79"/>
    <s v="Electra Townie Commute Go! - 2018"/>
    <x v="5"/>
  </r>
  <r>
    <n v="1490"/>
    <n v="1"/>
    <n v="99"/>
    <n v="1"/>
    <n v="299.99"/>
    <n v="0.1"/>
    <n v="299.89"/>
    <s v="Electra Sugar Skulls 1 (20-inch) - Girl's - 2017"/>
    <x v="3"/>
  </r>
  <r>
    <n v="1491"/>
    <n v="1"/>
    <n v="95"/>
    <n v="2"/>
    <n v="299.99"/>
    <n v="0.2"/>
    <n v="599.78"/>
    <s v="Electra Girl's Hawaii 1 16&quot; - 2017"/>
    <x v="3"/>
  </r>
  <r>
    <n v="1492"/>
    <n v="1"/>
    <n v="37"/>
    <n v="2"/>
    <n v="379.99"/>
    <n v="0.1"/>
    <n v="759.88"/>
    <s v="Haro Flightline One ST - 2017"/>
    <x v="1"/>
  </r>
  <r>
    <n v="1493"/>
    <n v="1"/>
    <n v="230"/>
    <n v="1"/>
    <n v="429.99"/>
    <n v="0.1"/>
    <n v="429.89"/>
    <s v="Electra Cruiser Lux 1 Ladies' - 2018"/>
    <x v="0"/>
  </r>
  <r>
    <n v="1494"/>
    <n v="1"/>
    <n v="230"/>
    <n v="2"/>
    <n v="429.99"/>
    <n v="0.1"/>
    <n v="859.88"/>
    <s v="Electra Cruiser Lux 1 Ladies' - 2018"/>
    <x v="0"/>
  </r>
  <r>
    <n v="1495"/>
    <n v="1"/>
    <n v="292"/>
    <n v="2"/>
    <n v="369.99"/>
    <n v="0.05"/>
    <n v="739.93000000000006"/>
    <s v="Electra Sweet Ride 3i (20-inch) - Girls' - 2018"/>
    <x v="3"/>
  </r>
  <r>
    <n v="1496"/>
    <n v="1"/>
    <n v="248"/>
    <n v="1"/>
    <n v="599.99"/>
    <n v="7.0000000000000007E-2"/>
    <n v="599.91999999999996"/>
    <s v="Electra Townie Original 7D EQ Ladies' - 2017/2018"/>
    <x v="0"/>
  </r>
  <r>
    <n v="1497"/>
    <n v="1"/>
    <n v="141"/>
    <n v="2"/>
    <n v="1599.99"/>
    <n v="0.2"/>
    <n v="3199.78"/>
    <s v="Trek Stache 5 - 2018"/>
    <x v="1"/>
  </r>
  <r>
    <n v="1498"/>
    <n v="1"/>
    <n v="172"/>
    <n v="1"/>
    <n v="3199.99"/>
    <n v="0.05"/>
    <n v="3199.9399999999996"/>
    <s v="Trek Domane ALR Disc Frameset - 2018"/>
    <x v="6"/>
  </r>
  <r>
    <n v="1499"/>
    <n v="1"/>
    <n v="110"/>
    <n v="1"/>
    <n v="470.99"/>
    <n v="0.05"/>
    <n v="470.94"/>
    <s v="Sun Bicycles Drifter 7 - 2017"/>
    <x v="2"/>
  </r>
  <r>
    <n v="1500"/>
    <n v="1"/>
    <n v="41"/>
    <n v="2"/>
    <n v="1469.99"/>
    <n v="7.0000000000000007E-2"/>
    <n v="2939.91"/>
    <s v="Haro Shift R3 - 2017"/>
    <x v="1"/>
  </r>
  <r>
    <n v="1501"/>
    <n v="1"/>
    <n v="248"/>
    <n v="1"/>
    <n v="599.99"/>
    <n v="0.05"/>
    <n v="599.94000000000005"/>
    <s v="Electra Townie Original 7D EQ Ladies' - 2017/2018"/>
    <x v="0"/>
  </r>
  <r>
    <n v="1502"/>
    <n v="1"/>
    <n v="231"/>
    <n v="2"/>
    <n v="529.99"/>
    <n v="0.2"/>
    <n v="1059.78"/>
    <s v="Electra Cruiser Lux 3i Ladies' - 2018"/>
    <x v="0"/>
  </r>
  <r>
    <n v="1503"/>
    <n v="1"/>
    <n v="217"/>
    <n v="1"/>
    <n v="909.99"/>
    <n v="0.1"/>
    <n v="909.89"/>
    <s v="Electra Straight 8 3i - 2018"/>
    <x v="0"/>
  </r>
  <r>
    <n v="1504"/>
    <n v="1"/>
    <n v="276"/>
    <n v="1"/>
    <n v="319.99"/>
    <n v="7.0000000000000007E-2"/>
    <n v="319.92"/>
    <s v="Trek Precaliber 24 (7-Speed) - Boys - 2018"/>
    <x v="3"/>
  </r>
  <r>
    <n v="1505"/>
    <n v="1"/>
    <n v="223"/>
    <n v="2"/>
    <n v="529.99"/>
    <n v="0.05"/>
    <n v="1059.93"/>
    <s v="Electra Cruiser Lux 3i - 2018"/>
    <x v="0"/>
  </r>
  <r>
    <n v="1506"/>
    <n v="1"/>
    <n v="184"/>
    <n v="1"/>
    <n v="3499.99"/>
    <n v="0.05"/>
    <n v="3499.9399999999996"/>
    <s v="Trek Domane SL 6 Disc - 2018"/>
    <x v="6"/>
  </r>
  <r>
    <n v="1507"/>
    <n v="1"/>
    <n v="39"/>
    <n v="2"/>
    <n v="1499.99"/>
    <n v="0.2"/>
    <n v="2999.78"/>
    <s v="Trek Stache 5 - 2017"/>
    <x v="1"/>
  </r>
  <r>
    <n v="1508"/>
    <n v="1"/>
    <n v="37"/>
    <n v="1"/>
    <n v="379.99"/>
    <n v="0.2"/>
    <n v="379.79"/>
    <s v="Haro Flightline One ST - 2017"/>
    <x v="1"/>
  </r>
  <r>
    <n v="1509"/>
    <n v="1"/>
    <n v="215"/>
    <n v="2"/>
    <n v="749.99"/>
    <n v="7.0000000000000007E-2"/>
    <n v="1499.91"/>
    <s v="Electra Queen of Hearts 3i - 2018"/>
    <x v="0"/>
  </r>
  <r>
    <n v="1510"/>
    <n v="1"/>
    <n v="142"/>
    <n v="2"/>
    <n v="3199.99"/>
    <n v="0.05"/>
    <n v="6399.9299999999994"/>
    <s v="Trek Fuel EX 8 29 XT - 2018"/>
    <x v="1"/>
  </r>
  <r>
    <n v="1511"/>
    <n v="1"/>
    <n v="144"/>
    <n v="2"/>
    <n v="1549.99"/>
    <n v="0.2"/>
    <n v="3099.78"/>
    <s v="Trek Domane ALR 4 Disc - 2018"/>
    <x v="6"/>
  </r>
  <r>
    <n v="1512"/>
    <n v="1"/>
    <n v="217"/>
    <n v="1"/>
    <n v="909.99"/>
    <n v="7.0000000000000007E-2"/>
    <n v="909.92"/>
    <s v="Electra Straight 8 3i - 2018"/>
    <x v="0"/>
  </r>
  <r>
    <n v="1513"/>
    <n v="1"/>
    <n v="166"/>
    <n v="1"/>
    <n v="749.99"/>
    <n v="0.1"/>
    <n v="749.89"/>
    <s v="Trek Domane AL 2 Women's - 2018"/>
    <x v="6"/>
  </r>
  <r>
    <n v="1514"/>
    <n v="1"/>
    <n v="240"/>
    <n v="2"/>
    <n v="899.99"/>
    <n v="0.1"/>
    <n v="1799.88"/>
    <s v="Electra Townie Commute 27D Ladies - 2018"/>
    <x v="0"/>
  </r>
  <r>
    <n v="1515"/>
    <n v="1"/>
    <n v="27"/>
    <n v="2"/>
    <n v="999.99"/>
    <n v="0.2"/>
    <n v="1999.78"/>
    <s v="Surly Big Dummy Frameset - 2017"/>
    <x v="1"/>
  </r>
  <r>
    <n v="1516"/>
    <n v="1"/>
    <n v="172"/>
    <n v="2"/>
    <n v="3199.99"/>
    <n v="0.1"/>
    <n v="6399.8799999999992"/>
    <s v="Trek Domane ALR Disc Frameset - 2018"/>
    <x v="6"/>
  </r>
  <r>
    <n v="1517"/>
    <n v="1"/>
    <n v="303"/>
    <n v="2"/>
    <n v="2599.9899999999998"/>
    <n v="7.0000000000000007E-2"/>
    <n v="5199.91"/>
    <s v="Electra Townie Go! 8i - 2017/2018"/>
    <x v="2"/>
  </r>
  <r>
    <n v="1518"/>
    <n v="1"/>
    <n v="304"/>
    <n v="2"/>
    <n v="679.99"/>
    <n v="0.1"/>
    <n v="1359.88"/>
    <s v="Electra Townie Original 21D EQ - 2017/2018"/>
    <x v="2"/>
  </r>
  <r>
    <n v="1519"/>
    <n v="1"/>
    <n v="150"/>
    <n v="1"/>
    <n v="4499.99"/>
    <n v="0.2"/>
    <n v="4499.79"/>
    <s v="Trek Emonda SL 7 - 2018"/>
    <x v="6"/>
  </r>
  <r>
    <n v="1520"/>
    <n v="1"/>
    <n v="186"/>
    <n v="1"/>
    <n v="4499.99"/>
    <n v="0.05"/>
    <n v="4499.9399999999996"/>
    <s v="Trek CrossRip+ - 2018"/>
    <x v="5"/>
  </r>
  <r>
    <n v="1521"/>
    <n v="1"/>
    <n v="100"/>
    <n v="1"/>
    <n v="489.99"/>
    <n v="0.2"/>
    <n v="489.79"/>
    <s v="Electra Townie 3i EQ (20-inch) - Boys' - 2017"/>
    <x v="3"/>
  </r>
  <r>
    <n v="1522"/>
    <n v="1"/>
    <n v="95"/>
    <n v="1"/>
    <n v="299.99"/>
    <n v="0.1"/>
    <n v="299.89"/>
    <s v="Electra Girl's Hawaii 1 16&quot; - 2017"/>
    <x v="3"/>
  </r>
  <r>
    <n v="1523"/>
    <n v="1"/>
    <n v="311"/>
    <n v="2"/>
    <n v="749.99"/>
    <n v="0.2"/>
    <n v="1499.78"/>
    <s v="Electra Townie Commute 8D - 2018"/>
    <x v="2"/>
  </r>
  <r>
    <n v="1524"/>
    <n v="1"/>
    <n v="168"/>
    <n v="1"/>
    <n v="1549"/>
    <n v="0.1"/>
    <n v="1548.9"/>
    <s v="Surly Straggler - 2018"/>
    <x v="6"/>
  </r>
  <r>
    <n v="1525"/>
    <n v="1"/>
    <n v="156"/>
    <n v="1"/>
    <n v="6499.99"/>
    <n v="0.1"/>
    <n v="6499.8899999999994"/>
    <s v="Trek Domane SL Frameset - 2018"/>
    <x v="6"/>
  </r>
  <r>
    <n v="1526"/>
    <n v="1"/>
    <n v="151"/>
    <n v="1"/>
    <n v="1549.99"/>
    <n v="7.0000000000000007E-2"/>
    <n v="1549.92"/>
    <s v="Trek Domane ALR 4 Disc Women's - 2018"/>
    <x v="6"/>
  </r>
  <r>
    <n v="1527"/>
    <n v="1"/>
    <n v="33"/>
    <n v="1"/>
    <n v="469.99"/>
    <n v="0.1"/>
    <n v="469.89"/>
    <s v="Surly Wednesday Frameset - 2017"/>
    <x v="1"/>
  </r>
  <r>
    <n v="1528"/>
    <n v="1"/>
    <n v="229"/>
    <n v="2"/>
    <n v="429.99"/>
    <n v="0.2"/>
    <n v="859.78"/>
    <s v="Electra Cruiser Lux 1 - 2016/2018"/>
    <x v="0"/>
  </r>
  <r>
    <n v="1529"/>
    <n v="1"/>
    <n v="23"/>
    <n v="1"/>
    <n v="299.99"/>
    <n v="0.05"/>
    <n v="299.94"/>
    <s v="Electra Girl's Hawaii 1 (20-inch) - 2015/2016"/>
    <x v="3"/>
  </r>
  <r>
    <n v="1530"/>
    <n v="1"/>
    <n v="213"/>
    <n v="2"/>
    <n v="269.99"/>
    <n v="0.1"/>
    <n v="539.88"/>
    <s v="Electra Cruiser 1 - 2016/2017/2018"/>
    <x v="0"/>
  </r>
  <r>
    <n v="1531"/>
    <n v="1"/>
    <n v="128"/>
    <n v="1"/>
    <n v="1899"/>
    <n v="0.1"/>
    <n v="1898.9"/>
    <s v="Surly ECR 27.5 - 2018"/>
    <x v="1"/>
  </r>
  <r>
    <n v="1532"/>
    <n v="1"/>
    <n v="209"/>
    <n v="2"/>
    <n v="2999.99"/>
    <n v="7.0000000000000007E-2"/>
    <n v="5999.91"/>
    <s v="Trek Crockett 7 Disc - 2018"/>
    <x v="4"/>
  </r>
  <r>
    <n v="1533"/>
    <n v="1"/>
    <n v="274"/>
    <n v="2"/>
    <n v="229.99"/>
    <n v="0.1"/>
    <n v="459.88"/>
    <s v="Trek Precaliber 20 Boy's - 2018"/>
    <x v="3"/>
  </r>
  <r>
    <n v="1534"/>
    <n v="1"/>
    <n v="194"/>
    <n v="1"/>
    <n v="3499.99"/>
    <n v="0.1"/>
    <n v="3499.89"/>
    <s v="Trek XM700+ - 2018"/>
    <x v="5"/>
  </r>
  <r>
    <n v="1535"/>
    <n v="1"/>
    <n v="92"/>
    <n v="1"/>
    <n v="209.99"/>
    <n v="0.05"/>
    <n v="209.94"/>
    <s v="Haro Shredder 20 - 2017"/>
    <x v="3"/>
  </r>
  <r>
    <n v="1536"/>
    <n v="1"/>
    <n v="183"/>
    <n v="1"/>
    <n v="2199.9899999999998"/>
    <n v="0.2"/>
    <n v="2199.79"/>
    <s v="Trek Domane SL 5 Women's - 2018"/>
    <x v="6"/>
  </r>
  <r>
    <n v="1537"/>
    <n v="1"/>
    <n v="237"/>
    <n v="2"/>
    <n v="849.99"/>
    <n v="0.05"/>
    <n v="1699.93"/>
    <s v="Electra Relic 3i - 2018"/>
    <x v="0"/>
  </r>
  <r>
    <n v="1538"/>
    <n v="1"/>
    <n v="206"/>
    <n v="1"/>
    <n v="3299.99"/>
    <n v="7.0000000000000007E-2"/>
    <n v="3299.9199999999996"/>
    <s v="Trek Boone 5 Disc - 2018"/>
    <x v="4"/>
  </r>
  <r>
    <n v="1539"/>
    <n v="1"/>
    <n v="6"/>
    <n v="2"/>
    <n v="469.99"/>
    <n v="0.05"/>
    <n v="939.93000000000006"/>
    <s v="Surly Ice Cream Truck Frameset - 2016"/>
    <x v="1"/>
  </r>
  <r>
    <n v="1540"/>
    <n v="1"/>
    <n v="71"/>
    <n v="2"/>
    <n v="416.99"/>
    <n v="0.05"/>
    <n v="833.93000000000006"/>
    <s v="Sun Bicycles Atlas X-Type - 2017"/>
    <x v="0"/>
  </r>
  <r>
    <n v="1541"/>
    <n v="1"/>
    <n v="155"/>
    <n v="2"/>
    <n v="11999.99"/>
    <n v="0.1"/>
    <n v="23999.88"/>
    <s v="Trek Domane SLR 9 Disc - 2018"/>
    <x v="6"/>
  </r>
  <r>
    <n v="1542"/>
    <n v="1"/>
    <n v="79"/>
    <n v="1"/>
    <n v="402.99"/>
    <n v="0.2"/>
    <n v="402.79"/>
    <s v="Sun Bicycles Boardwalk (24-inch Wheels) - 2017"/>
    <x v="0"/>
  </r>
  <r>
    <n v="1543"/>
    <n v="1"/>
    <n v="108"/>
    <n v="2"/>
    <n v="449.99"/>
    <n v="0.1"/>
    <n v="899.88"/>
    <s v="Sun Bicycles Cruz 3 - Women's - 2017"/>
    <x v="2"/>
  </r>
  <r>
    <n v="1544"/>
    <n v="1"/>
    <n v="194"/>
    <n v="2"/>
    <n v="3499.99"/>
    <n v="0.1"/>
    <n v="6999.8799999999992"/>
    <s v="Trek XM700+ - 2018"/>
    <x v="5"/>
  </r>
  <r>
    <n v="1545"/>
    <n v="1"/>
    <n v="45"/>
    <n v="1"/>
    <n v="869.99"/>
    <n v="0.1"/>
    <n v="869.89"/>
    <s v="Haro SR 1.2 - 2017"/>
    <x v="1"/>
  </r>
  <r>
    <n v="1546"/>
    <n v="1"/>
    <n v="156"/>
    <n v="1"/>
    <n v="6499.99"/>
    <n v="0.1"/>
    <n v="6499.8899999999994"/>
    <s v="Trek Domane SL Frameset - 2018"/>
    <x v="6"/>
  </r>
  <r>
    <n v="1547"/>
    <n v="1"/>
    <n v="106"/>
    <n v="2"/>
    <n v="449.99"/>
    <n v="0.2"/>
    <n v="899.78"/>
    <s v="Sun Bicycles Cruz 3 - 2017"/>
    <x v="2"/>
  </r>
  <r>
    <n v="1548"/>
    <n v="1"/>
    <n v="32"/>
    <n v="1"/>
    <n v="469.99"/>
    <n v="0.1"/>
    <n v="469.89"/>
    <s v="Trek Farley Alloy Frameset - 2017"/>
    <x v="1"/>
  </r>
  <r>
    <n v="1549"/>
    <n v="1"/>
    <n v="158"/>
    <n v="1"/>
    <n v="959.99"/>
    <n v="0.2"/>
    <n v="959.79"/>
    <s v="Trek CrossRip 1 - 2018"/>
    <x v="6"/>
  </r>
  <r>
    <n v="1550"/>
    <n v="1"/>
    <n v="315"/>
    <n v="2"/>
    <n v="559.99"/>
    <n v="0.05"/>
    <n v="1119.93"/>
    <s v="Electra Townie Original 21D Ladies' - 2018"/>
    <x v="2"/>
  </r>
  <r>
    <n v="1551"/>
    <n v="1"/>
    <n v="207"/>
    <n v="2"/>
    <n v="3999.99"/>
    <n v="0.2"/>
    <n v="7999.78"/>
    <s v="Trek Boone 7 Disc - 2018"/>
    <x v="4"/>
  </r>
  <r>
    <n v="1552"/>
    <n v="1"/>
    <n v="197"/>
    <n v="1"/>
    <n v="2299.9899999999998"/>
    <n v="0.1"/>
    <n v="2299.89"/>
    <s v="Trek Verve+ Lowstep - 2018"/>
    <x v="5"/>
  </r>
  <r>
    <n v="1553"/>
    <n v="1"/>
    <n v="102"/>
    <n v="1"/>
    <n v="489.99"/>
    <n v="7.0000000000000007E-2"/>
    <n v="489.92"/>
    <s v="Electra Townie Original 7D - 2017"/>
    <x v="2"/>
  </r>
  <r>
    <n v="1554"/>
    <n v="1"/>
    <n v="166"/>
    <n v="1"/>
    <n v="749.99"/>
    <n v="0.05"/>
    <n v="749.94"/>
    <s v="Trek Domane AL 2 Women's - 2018"/>
    <x v="6"/>
  </r>
  <r>
    <n v="1555"/>
    <n v="1"/>
    <n v="24"/>
    <n v="2"/>
    <n v="549.99"/>
    <n v="0.1"/>
    <n v="1099.8800000000001"/>
    <s v="Electra Townie Original 21D - 2016"/>
    <x v="2"/>
  </r>
  <r>
    <n v="1556"/>
    <n v="1"/>
    <n v="49"/>
    <n v="2"/>
    <n v="3499.99"/>
    <n v="0.2"/>
    <n v="6999.78"/>
    <s v="Trek Domane SL 6 - 2017"/>
    <x v="6"/>
  </r>
  <r>
    <n v="1557"/>
    <n v="1"/>
    <n v="163"/>
    <n v="2"/>
    <n v="1349"/>
    <n v="7.0000000000000007E-2"/>
    <n v="2697.93"/>
    <s v="Surly Pack Rat - 2018"/>
    <x v="6"/>
  </r>
  <r>
    <n v="1558"/>
    <n v="1"/>
    <n v="46"/>
    <n v="2"/>
    <n v="1409.99"/>
    <n v="7.0000000000000007E-2"/>
    <n v="2819.91"/>
    <s v="Haro SR 1.3 - 2017"/>
    <x v="1"/>
  </r>
  <r>
    <n v="1559"/>
    <n v="1"/>
    <n v="101"/>
    <n v="2"/>
    <n v="339.99"/>
    <n v="7.0000000000000007E-2"/>
    <n v="679.91"/>
    <s v="Electra Townie 7D (20-inch) - Boys' - 2017"/>
    <x v="3"/>
  </r>
  <r>
    <n v="1560"/>
    <n v="1"/>
    <n v="118"/>
    <n v="2"/>
    <n v="999.99"/>
    <n v="0.2"/>
    <n v="1999.78"/>
    <s v="Trek X-Caliber 8 - 2018"/>
    <x v="1"/>
  </r>
  <r>
    <n v="1561"/>
    <n v="1"/>
    <n v="181"/>
    <n v="2"/>
    <n v="2199.9899999999998"/>
    <n v="7.0000000000000007E-2"/>
    <n v="4399.91"/>
    <s v="Trek Domane SL 5 - 2018"/>
    <x v="6"/>
  </r>
  <r>
    <n v="1562"/>
    <n v="1"/>
    <n v="54"/>
    <n v="1"/>
    <n v="3199.99"/>
    <n v="0.2"/>
    <n v="3199.79"/>
    <s v="Trek Domane SL Disc Frameset - 2017"/>
    <x v="6"/>
  </r>
  <r>
    <n v="1563"/>
    <n v="1"/>
    <n v="188"/>
    <n v="1"/>
    <n v="3499.99"/>
    <n v="7.0000000000000007E-2"/>
    <n v="3499.9199999999996"/>
    <s v="Trek XM700+ Lowstep - 2018"/>
    <x v="5"/>
  </r>
  <r>
    <n v="1564"/>
    <n v="1"/>
    <n v="309"/>
    <n v="1"/>
    <n v="899.99"/>
    <n v="7.0000000000000007E-2"/>
    <n v="899.92"/>
    <s v="Electra Townie Commute 27D - 2018"/>
    <x v="2"/>
  </r>
  <r>
    <n v="1565"/>
    <n v="1"/>
    <n v="37"/>
    <n v="1"/>
    <n v="379.99"/>
    <n v="7.0000000000000007E-2"/>
    <n v="379.92"/>
    <s v="Haro Flightline One ST - 2017"/>
    <x v="1"/>
  </r>
  <r>
    <n v="1566"/>
    <n v="1"/>
    <n v="179"/>
    <n v="1"/>
    <n v="919.99"/>
    <n v="0.05"/>
    <n v="919.94"/>
    <s v="Trek Domane AL 3 - 2018"/>
    <x v="6"/>
  </r>
  <r>
    <n v="1567"/>
    <n v="1"/>
    <n v="279"/>
    <n v="1"/>
    <n v="319.99"/>
    <n v="0.2"/>
    <n v="319.79000000000002"/>
    <s v="Trek Precaliber 24 7-speed Girl's - 2018"/>
    <x v="3"/>
  </r>
  <r>
    <n v="1568"/>
    <n v="1"/>
    <n v="146"/>
    <n v="1"/>
    <n v="4999.99"/>
    <n v="0.2"/>
    <n v="4999.79"/>
    <s v="Trek Domane SLR 6 - 2018"/>
    <x v="6"/>
  </r>
  <r>
    <n v="1569"/>
    <n v="1"/>
    <n v="252"/>
    <n v="1"/>
    <n v="2999.99"/>
    <n v="0.1"/>
    <n v="2999.89"/>
    <s v="Electra Townie Commute Go! Ladies' - 2018"/>
    <x v="0"/>
  </r>
  <r>
    <n v="1570"/>
    <n v="1"/>
    <n v="155"/>
    <n v="1"/>
    <n v="11999.99"/>
    <n v="7.0000000000000007E-2"/>
    <n v="11999.92"/>
    <s v="Trek Domane SLR 9 Disc - 2018"/>
    <x v="6"/>
  </r>
  <r>
    <n v="1571"/>
    <n v="1"/>
    <n v="312"/>
    <n v="2"/>
    <n v="699.99"/>
    <n v="0.1"/>
    <n v="1399.88"/>
    <s v="Electra Townie Commute 8D Ladies' - 2018"/>
    <x v="2"/>
  </r>
  <r>
    <n v="1572"/>
    <n v="1"/>
    <n v="216"/>
    <n v="2"/>
    <n v="899.99"/>
    <n v="0.05"/>
    <n v="1799.93"/>
    <s v="Electra Super Moto 8i - 2018"/>
    <x v="0"/>
  </r>
  <r>
    <n v="1573"/>
    <n v="1"/>
    <n v="9"/>
    <n v="1"/>
    <n v="2999.99"/>
    <n v="0.05"/>
    <n v="2999.9399999999996"/>
    <s v="Trek Conduit+ - 2016"/>
    <x v="5"/>
  </r>
  <r>
    <n v="1574"/>
    <n v="1"/>
    <n v="127"/>
    <n v="1"/>
    <n v="469.99"/>
    <n v="0.1"/>
    <n v="469.89"/>
    <s v="Surly Pack Rat Frameset - 2018"/>
    <x v="1"/>
  </r>
  <r>
    <n v="1575"/>
    <n v="1"/>
    <n v="44"/>
    <n v="1"/>
    <n v="539.99"/>
    <n v="7.0000000000000007E-2"/>
    <n v="539.91999999999996"/>
    <s v="Haro SR 1.1 - 2017"/>
    <x v="1"/>
  </r>
  <r>
    <n v="1576"/>
    <n v="1"/>
    <n v="69"/>
    <n v="1"/>
    <n v="416.99"/>
    <n v="0.05"/>
    <n v="416.94"/>
    <s v="Sun Bicycles Cruz 7 - 2017"/>
    <x v="0"/>
  </r>
  <r>
    <n v="1577"/>
    <n v="1"/>
    <n v="298"/>
    <n v="2"/>
    <n v="279.99"/>
    <n v="0.05"/>
    <n v="559.93000000000006"/>
    <s v="Electra Water Lily 1 (16-inch) - Girl's - 2018"/>
    <x v="3"/>
  </r>
  <r>
    <n v="1578"/>
    <n v="1"/>
    <n v="204"/>
    <n v="2"/>
    <n v="3599.99"/>
    <n v="7.0000000000000007E-2"/>
    <n v="7199.91"/>
    <s v="Trek Super Commuter+ 7 - 2018"/>
    <x v="5"/>
  </r>
  <r>
    <n v="1579"/>
    <n v="1"/>
    <n v="49"/>
    <n v="1"/>
    <n v="3499.99"/>
    <n v="0.05"/>
    <n v="3499.9399999999996"/>
    <s v="Trek Domane SL 6 - 2017"/>
    <x v="6"/>
  </r>
  <r>
    <n v="1580"/>
    <n v="1"/>
    <n v="119"/>
    <n v="2"/>
    <n v="469.99"/>
    <n v="7.0000000000000007E-2"/>
    <n v="939.91"/>
    <s v="Trek Kids' Neko - 2018"/>
    <x v="1"/>
  </r>
  <r>
    <n v="1581"/>
    <n v="1"/>
    <n v="64"/>
    <n v="1"/>
    <n v="489.99"/>
    <n v="0.1"/>
    <n v="489.89"/>
    <s v="Electra Townie Original 7D - 2017"/>
    <x v="0"/>
  </r>
  <r>
    <n v="1582"/>
    <n v="1"/>
    <n v="75"/>
    <n v="1"/>
    <n v="599.99"/>
    <n v="7.0000000000000007E-2"/>
    <n v="599.91999999999996"/>
    <s v="Electra Cruiser Lux Fat Tire 1 Ladies - 2017"/>
    <x v="0"/>
  </r>
  <r>
    <n v="1583"/>
    <n v="1"/>
    <n v="15"/>
    <n v="1"/>
    <n v="529.99"/>
    <n v="0.05"/>
    <n v="529.94000000000005"/>
    <s v="Electra Moto 1 - 2016"/>
    <x v="0"/>
  </r>
  <r>
    <n v="1584"/>
    <n v="1"/>
    <n v="45"/>
    <n v="2"/>
    <n v="869.99"/>
    <n v="0.1"/>
    <n v="1739.88"/>
    <s v="Haro SR 1.2 - 2017"/>
    <x v="1"/>
  </r>
  <r>
    <n v="1585"/>
    <n v="1"/>
    <n v="313"/>
    <n v="1"/>
    <n v="449.99"/>
    <n v="0.1"/>
    <n v="449.89"/>
    <s v="Electra Townie Original 1 Ladies' - 2018"/>
    <x v="2"/>
  </r>
  <r>
    <n v="1586"/>
    <n v="1"/>
    <n v="22"/>
    <n v="2"/>
    <n v="269.99"/>
    <n v="0.1"/>
    <n v="539.88"/>
    <s v="Electra Girl's Hawaii 1 (16-inch) - 2015/2016"/>
    <x v="3"/>
  </r>
  <r>
    <n v="1587"/>
    <n v="1"/>
    <n v="104"/>
    <n v="1"/>
    <n v="481.99"/>
    <n v="0.1"/>
    <n v="481.89"/>
    <s v="Sun Bicycles Streamway - 2017"/>
    <x v="2"/>
  </r>
  <r>
    <n v="1588"/>
    <n v="1"/>
    <n v="93"/>
    <n v="2"/>
    <n v="209.99"/>
    <n v="7.0000000000000007E-2"/>
    <n v="419.91"/>
    <s v="Haro Shredder 20 Girls - 2017"/>
    <x v="3"/>
  </r>
  <r>
    <n v="1589"/>
    <n v="1"/>
    <n v="246"/>
    <n v="2"/>
    <n v="639.99"/>
    <n v="0.05"/>
    <n v="1279.93"/>
    <s v="Electra Townie Original 3i EQ Ladies' - 2018"/>
    <x v="0"/>
  </r>
  <r>
    <n v="1590"/>
    <n v="1"/>
    <n v="175"/>
    <n v="2"/>
    <n v="3199.99"/>
    <n v="7.0000000000000007E-2"/>
    <n v="6399.91"/>
    <s v="Trek Domane SLR Frameset - 2018"/>
    <x v="6"/>
  </r>
  <r>
    <n v="1591"/>
    <n v="1"/>
    <n v="286"/>
    <n v="2"/>
    <n v="279.99"/>
    <n v="0.2"/>
    <n v="559.78"/>
    <s v="Electra Starship 1 16&quot; - 2018"/>
    <x v="3"/>
  </r>
  <r>
    <n v="1592"/>
    <n v="1"/>
    <n v="211"/>
    <n v="2"/>
    <n v="1549"/>
    <n v="0.05"/>
    <n v="3097.95"/>
    <s v="Surly Straggler 650b - 2018"/>
    <x v="4"/>
  </r>
  <r>
    <n v="1593"/>
    <n v="1"/>
    <n v="97"/>
    <n v="2"/>
    <n v="349.99"/>
    <n v="0.2"/>
    <n v="699.78"/>
    <s v="Electra Savannah 3i (20-inch) - Girl's - 2017"/>
    <x v="3"/>
  </r>
  <r>
    <n v="1594"/>
    <n v="1"/>
    <n v="79"/>
    <n v="2"/>
    <n v="402.99"/>
    <n v="0.1"/>
    <n v="805.88"/>
    <s v="Sun Bicycles Boardwalk (24-inch Wheels) - 2017"/>
    <x v="0"/>
  </r>
  <r>
    <n v="1595"/>
    <n v="1"/>
    <n v="112"/>
    <n v="1"/>
    <n v="379.99"/>
    <n v="0.2"/>
    <n v="379.79"/>
    <s v="Trek 820 - 2018"/>
    <x v="1"/>
  </r>
  <r>
    <n v="1596"/>
    <n v="1"/>
    <n v="91"/>
    <n v="1"/>
    <n v="349.99"/>
    <n v="0.05"/>
    <n v="349.94"/>
    <s v="Trek Precaliber 24 (21-Speed) - Girls - 2017"/>
    <x v="3"/>
  </r>
  <r>
    <n v="1597"/>
    <n v="1"/>
    <n v="176"/>
    <n v="1"/>
    <n v="3199.99"/>
    <n v="7.0000000000000007E-2"/>
    <n v="3199.9199999999996"/>
    <s v="Trek Madone 9 Frameset - 2018"/>
    <x v="6"/>
  </r>
  <r>
    <n v="1598"/>
    <n v="1"/>
    <n v="247"/>
    <n v="1"/>
    <n v="599.99"/>
    <n v="0.2"/>
    <n v="599.79"/>
    <s v="Electra Townie Original 7D EQ - 2018"/>
    <x v="0"/>
  </r>
  <r>
    <n v="1599"/>
    <n v="1"/>
    <n v="104"/>
    <n v="2"/>
    <n v="481.99"/>
    <n v="0.2"/>
    <n v="963.78"/>
    <s v="Sun Bicycles Streamway - 2017"/>
    <x v="2"/>
  </r>
  <r>
    <n v="1600"/>
    <n v="1"/>
    <n v="146"/>
    <n v="1"/>
    <n v="4999.99"/>
    <n v="0.1"/>
    <n v="4999.8899999999994"/>
    <s v="Trek Domane SLR 6 - 2018"/>
    <x v="6"/>
  </r>
  <r>
    <n v="1601"/>
    <n v="1"/>
    <n v="114"/>
    <n v="2"/>
    <n v="579.99"/>
    <n v="0.2"/>
    <n v="1159.78"/>
    <s v="Trek Marlin 6 - 2018"/>
    <x v="1"/>
  </r>
  <r>
    <n v="1602"/>
    <n v="1"/>
    <n v="71"/>
    <n v="2"/>
    <n v="416.99"/>
    <n v="0.05"/>
    <n v="833.93000000000006"/>
    <s v="Sun Bicycles Atlas X-Type - 2017"/>
    <x v="0"/>
  </r>
  <r>
    <n v="1603"/>
    <n v="1"/>
    <n v="275"/>
    <n v="2"/>
    <n v="229.99"/>
    <n v="0.05"/>
    <n v="459.93"/>
    <s v="Trek Precaliber 20 Girl's - 2018"/>
    <x v="3"/>
  </r>
  <r>
    <n v="1604"/>
    <n v="1"/>
    <n v="271"/>
    <n v="1"/>
    <n v="209.99"/>
    <n v="0.1"/>
    <n v="209.89000000000001"/>
    <s v="Trek Precaliber 16 Girl's - 2018"/>
    <x v="3"/>
  </r>
  <r>
    <n v="1605"/>
    <n v="1"/>
    <n v="72"/>
    <n v="1"/>
    <n v="619.99"/>
    <n v="0.1"/>
    <n v="619.89"/>
    <s v="Sun Bicycles Biscayne Tandem 7 - 2017"/>
    <x v="0"/>
  </r>
  <r>
    <n v="1606"/>
    <n v="1"/>
    <n v="245"/>
    <n v="1"/>
    <n v="659.99"/>
    <n v="0.1"/>
    <n v="659.89"/>
    <s v="Electra Townie Original 3i EQ - 2017/2018"/>
    <x v="0"/>
  </r>
  <r>
    <n v="1607"/>
    <n v="1"/>
    <n v="29"/>
    <n v="1"/>
    <n v="999.99"/>
    <n v="0.05"/>
    <n v="999.94"/>
    <s v="Trek X-Caliber 8 - 2017"/>
    <x v="1"/>
  </r>
  <r>
    <n v="1608"/>
    <n v="1"/>
    <n v="231"/>
    <n v="2"/>
    <n v="529.99"/>
    <n v="0.05"/>
    <n v="1059.93"/>
    <s v="Electra Cruiser Lux 3i Ladies' - 2018"/>
    <x v="0"/>
  </r>
  <r>
    <n v="1609"/>
    <n v="1"/>
    <n v="96"/>
    <n v="1"/>
    <n v="349.99"/>
    <n v="0.2"/>
    <n v="349.79"/>
    <s v="Electra Moto 3i (20-inch) - Boy's - 2017"/>
    <x v="3"/>
  </r>
  <r>
    <n v="1610"/>
    <n v="1"/>
    <n v="36"/>
    <n v="1"/>
    <n v="832.99"/>
    <n v="7.0000000000000007E-2"/>
    <n v="832.92"/>
    <s v="Surly Troll Frameset - 2017"/>
    <x v="1"/>
  </r>
  <r>
    <n v="1611"/>
    <n v="1"/>
    <n v="191"/>
    <n v="1"/>
    <n v="2799.99"/>
    <n v="7.0000000000000007E-2"/>
    <n v="2799.9199999999996"/>
    <s v="Electra Loft Go! 8i - 2018"/>
    <x v="5"/>
  </r>
  <r>
    <n v="1612"/>
    <n v="1"/>
    <n v="242"/>
    <n v="1"/>
    <n v="699.99"/>
    <n v="0.1"/>
    <n v="699.89"/>
    <s v="Electra Townie Commute 8D Ladies' - 2018"/>
    <x v="0"/>
  </r>
  <r>
    <n v="1613"/>
    <n v="1"/>
    <n v="153"/>
    <n v="1"/>
    <n v="4999.99"/>
    <n v="7.0000000000000007E-2"/>
    <n v="4999.92"/>
    <s v="Trek Domane SL 7 Women's - 2018"/>
    <x v="6"/>
  </r>
  <r>
    <n v="1614"/>
    <n v="1"/>
    <n v="124"/>
    <n v="1"/>
    <n v="1499"/>
    <n v="7.0000000000000007E-2"/>
    <n v="1498.93"/>
    <s v="Surly Krampus - 2018"/>
    <x v="1"/>
  </r>
  <r>
    <n v="1615"/>
    <n v="1"/>
    <n v="197"/>
    <n v="2"/>
    <n v="2299.9899999999998"/>
    <n v="0.2"/>
    <n v="4599.78"/>
    <s v="Trek Verve+ Lowstep - 2018"/>
    <x v="5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A160F51-ABE8-4ACD-AA12-A766F2435758}" name="PivotTable3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A3:B11" firstHeaderRow="1" firstDataRow="1" firstDataCol="1"/>
  <pivotFields count="9">
    <pivotField numFmtId="1" showAll="0"/>
    <pivotField numFmtId="1" showAll="0"/>
    <pivotField numFmtId="1" showAll="0"/>
    <pivotField numFmtId="1" showAll="0"/>
    <pivotField showAll="0"/>
    <pivotField showAll="0"/>
    <pivotField dataField="1" showAll="0"/>
    <pivotField showAll="0"/>
    <pivotField axis="axisRow" showAll="0">
      <items count="8">
        <item x="3"/>
        <item x="2"/>
        <item x="0"/>
        <item x="4"/>
        <item x="5"/>
        <item x="1"/>
        <item x="6"/>
        <item t="default"/>
      </items>
    </pivotField>
  </pivotFields>
  <rowFields count="1">
    <field x="8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Items count="1">
    <i/>
  </colItems>
  <dataFields count="1">
    <dataField name="Sum of Total price " fld="6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F8B492-FCCD-4F06-8915-6210D3C00120}">
  <dimension ref="A1:B10"/>
  <sheetViews>
    <sheetView workbookViewId="0">
      <selection activeCell="M16" sqref="M16"/>
    </sheetView>
  </sheetViews>
  <sheetFormatPr defaultRowHeight="14.5" x14ac:dyDescent="0.35"/>
  <sheetData>
    <row r="1" spans="1:2" x14ac:dyDescent="0.35">
      <c r="A1" t="s">
        <v>3</v>
      </c>
      <c r="B1" t="s">
        <v>6045</v>
      </c>
    </row>
    <row r="2" spans="1:2" x14ac:dyDescent="0.35">
      <c r="A2">
        <v>1</v>
      </c>
      <c r="B2" t="s">
        <v>6046</v>
      </c>
    </row>
    <row r="3" spans="1:2" x14ac:dyDescent="0.35">
      <c r="A3">
        <v>2</v>
      </c>
      <c r="B3" t="s">
        <v>6047</v>
      </c>
    </row>
    <row r="4" spans="1:2" x14ac:dyDescent="0.35">
      <c r="A4">
        <v>3</v>
      </c>
      <c r="B4" t="s">
        <v>6048</v>
      </c>
    </row>
    <row r="5" spans="1:2" x14ac:dyDescent="0.35">
      <c r="A5">
        <v>4</v>
      </c>
      <c r="B5" t="s">
        <v>6049</v>
      </c>
    </row>
    <row r="6" spans="1:2" x14ac:dyDescent="0.35">
      <c r="A6">
        <v>5</v>
      </c>
      <c r="B6" t="s">
        <v>6050</v>
      </c>
    </row>
    <row r="7" spans="1:2" x14ac:dyDescent="0.35">
      <c r="A7">
        <v>6</v>
      </c>
      <c r="B7" t="s">
        <v>6051</v>
      </c>
    </row>
    <row r="8" spans="1:2" x14ac:dyDescent="0.35">
      <c r="A8">
        <v>7</v>
      </c>
      <c r="B8" t="s">
        <v>6052</v>
      </c>
    </row>
    <row r="9" spans="1:2" x14ac:dyDescent="0.35">
      <c r="A9">
        <v>8</v>
      </c>
      <c r="B9" t="s">
        <v>6053</v>
      </c>
    </row>
    <row r="10" spans="1:2" x14ac:dyDescent="0.35">
      <c r="A10">
        <v>9</v>
      </c>
      <c r="B10" t="s">
        <v>6054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88EB29-BE70-487E-AE60-CE95053F9373}">
  <dimension ref="A3:B11"/>
  <sheetViews>
    <sheetView workbookViewId="0">
      <selection activeCell="M14" sqref="M14"/>
    </sheetView>
  </sheetViews>
  <sheetFormatPr defaultRowHeight="14.5" x14ac:dyDescent="0.35"/>
  <cols>
    <col min="1" max="1" width="16.36328125" bestFit="1" customWidth="1"/>
    <col min="2" max="2" width="16.453125" bestFit="1" customWidth="1"/>
  </cols>
  <sheetData>
    <row r="3" spans="1:2" x14ac:dyDescent="0.35">
      <c r="A3" s="2" t="s">
        <v>306</v>
      </c>
      <c r="B3" t="s">
        <v>310</v>
      </c>
    </row>
    <row r="4" spans="1:2" x14ac:dyDescent="0.35">
      <c r="A4" s="3" t="s">
        <v>299</v>
      </c>
      <c r="B4">
        <v>117065.70999999986</v>
      </c>
    </row>
    <row r="5" spans="1:2" x14ac:dyDescent="0.35">
      <c r="A5" s="3" t="s">
        <v>300</v>
      </c>
      <c r="B5">
        <v>166458.42000000001</v>
      </c>
    </row>
    <row r="6" spans="1:2" x14ac:dyDescent="0.35">
      <c r="A6" s="3" t="s">
        <v>301</v>
      </c>
      <c r="B6">
        <v>366168.31000000011</v>
      </c>
    </row>
    <row r="7" spans="1:2" x14ac:dyDescent="0.35">
      <c r="A7" s="3" t="s">
        <v>302</v>
      </c>
      <c r="B7">
        <v>246588.28000000006</v>
      </c>
    </row>
    <row r="8" spans="1:2" x14ac:dyDescent="0.35">
      <c r="A8" s="3" t="s">
        <v>303</v>
      </c>
      <c r="B8">
        <v>323652.31</v>
      </c>
    </row>
    <row r="9" spans="1:2" x14ac:dyDescent="0.35">
      <c r="A9" s="3" t="s">
        <v>304</v>
      </c>
      <c r="B9">
        <v>959818.72000000288</v>
      </c>
    </row>
    <row r="10" spans="1:2" x14ac:dyDescent="0.35">
      <c r="A10" s="3" t="s">
        <v>305</v>
      </c>
      <c r="B10">
        <v>600589.78999999992</v>
      </c>
    </row>
    <row r="11" spans="1:2" x14ac:dyDescent="0.35">
      <c r="A11" s="3" t="s">
        <v>307</v>
      </c>
      <c r="B11">
        <v>2780341.5400000028</v>
      </c>
    </row>
  </sheetData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4723"/>
  <sheetViews>
    <sheetView tabSelected="1" topLeftCell="A1432" workbookViewId="0">
      <selection activeCell="G13" sqref="G13"/>
    </sheetView>
  </sheetViews>
  <sheetFormatPr defaultRowHeight="14.5" x14ac:dyDescent="0.35"/>
  <cols>
    <col min="2" max="2" width="7.81640625" bestFit="1" customWidth="1"/>
    <col min="3" max="3" width="10.81640625" bestFit="1" customWidth="1"/>
    <col min="4" max="4" width="8.453125" bestFit="1" customWidth="1"/>
    <col min="5" max="5" width="9.1796875" bestFit="1" customWidth="1"/>
    <col min="6" max="6" width="8.6328125" bestFit="1" customWidth="1"/>
    <col min="7" max="7" width="10.90625" bestFit="1" customWidth="1"/>
    <col min="8" max="8" width="47.36328125" bestFit="1" customWidth="1"/>
    <col min="9" max="9" width="16.36328125" bestFit="1" customWidth="1"/>
  </cols>
  <sheetData>
    <row r="1" spans="1:12" x14ac:dyDescent="0.35">
      <c r="A1" s="8" t="s">
        <v>312</v>
      </c>
      <c r="B1" s="8" t="s">
        <v>313</v>
      </c>
      <c r="C1" s="8" t="s">
        <v>314</v>
      </c>
      <c r="D1" s="8" t="s">
        <v>315</v>
      </c>
      <c r="E1" s="8" t="s">
        <v>316</v>
      </c>
      <c r="F1" s="8" t="s">
        <v>317</v>
      </c>
      <c r="G1" s="8" t="s">
        <v>318</v>
      </c>
      <c r="H1" s="8" t="s">
        <v>308</v>
      </c>
      <c r="I1" s="8" t="s">
        <v>309</v>
      </c>
    </row>
    <row r="2" spans="1:12" x14ac:dyDescent="0.35">
      <c r="A2">
        <v>1</v>
      </c>
      <c r="B2">
        <v>1</v>
      </c>
      <c r="C2">
        <v>20</v>
      </c>
      <c r="D2">
        <v>1</v>
      </c>
      <c r="E2">
        <v>599.99</v>
      </c>
      <c r="F2">
        <v>0.2</v>
      </c>
      <c r="G2">
        <v>599.79</v>
      </c>
      <c r="H2" t="s">
        <v>25</v>
      </c>
      <c r="I2" t="s">
        <v>301</v>
      </c>
    </row>
    <row r="3" spans="1:12" x14ac:dyDescent="0.35">
      <c r="A3">
        <v>1</v>
      </c>
      <c r="B3">
        <v>2</v>
      </c>
      <c r="C3">
        <v>8</v>
      </c>
      <c r="D3">
        <v>2</v>
      </c>
      <c r="E3">
        <v>1799.99</v>
      </c>
      <c r="F3">
        <v>0.1</v>
      </c>
      <c r="G3">
        <v>3599.91</v>
      </c>
      <c r="H3" t="s">
        <v>13</v>
      </c>
      <c r="I3" t="s">
        <v>301</v>
      </c>
    </row>
    <row r="4" spans="1:12" x14ac:dyDescent="0.35">
      <c r="A4">
        <v>1</v>
      </c>
      <c r="B4">
        <v>3</v>
      </c>
      <c r="C4">
        <v>10</v>
      </c>
      <c r="D4">
        <v>2</v>
      </c>
      <c r="E4">
        <v>1549</v>
      </c>
      <c r="F4">
        <v>0.1</v>
      </c>
      <c r="G4">
        <v>3097.95</v>
      </c>
      <c r="H4" t="s">
        <v>15</v>
      </c>
      <c r="I4" t="s">
        <v>301</v>
      </c>
    </row>
    <row r="5" spans="1:12" x14ac:dyDescent="0.35">
      <c r="A5">
        <v>1</v>
      </c>
      <c r="B5">
        <v>4</v>
      </c>
      <c r="C5">
        <v>16</v>
      </c>
      <c r="D5">
        <v>2</v>
      </c>
      <c r="E5">
        <v>599.99</v>
      </c>
      <c r="F5">
        <v>0.1</v>
      </c>
      <c r="G5">
        <v>1199.93</v>
      </c>
      <c r="H5" t="s">
        <v>21</v>
      </c>
      <c r="I5" t="s">
        <v>301</v>
      </c>
    </row>
    <row r="6" spans="1:12" x14ac:dyDescent="0.35">
      <c r="A6">
        <v>1</v>
      </c>
      <c r="B6">
        <v>5</v>
      </c>
      <c r="C6">
        <v>4</v>
      </c>
      <c r="D6">
        <v>1</v>
      </c>
      <c r="E6">
        <v>2899.99</v>
      </c>
      <c r="F6">
        <v>0.2</v>
      </c>
      <c r="G6">
        <v>2899.79</v>
      </c>
      <c r="H6" t="s">
        <v>9</v>
      </c>
      <c r="I6" t="s">
        <v>301</v>
      </c>
    </row>
    <row r="7" spans="1:12" x14ac:dyDescent="0.35">
      <c r="A7">
        <v>2</v>
      </c>
      <c r="B7">
        <v>1</v>
      </c>
      <c r="C7">
        <v>20</v>
      </c>
      <c r="D7">
        <v>1</v>
      </c>
      <c r="E7">
        <v>599.99</v>
      </c>
      <c r="F7">
        <v>0.1</v>
      </c>
      <c r="G7">
        <v>599.91999999999996</v>
      </c>
      <c r="H7" t="s">
        <v>25</v>
      </c>
      <c r="I7" t="s">
        <v>301</v>
      </c>
      <c r="L7" t="s">
        <v>311</v>
      </c>
    </row>
    <row r="8" spans="1:12" x14ac:dyDescent="0.35">
      <c r="A8">
        <v>2</v>
      </c>
      <c r="B8">
        <v>2</v>
      </c>
      <c r="C8">
        <v>16</v>
      </c>
      <c r="D8">
        <v>2</v>
      </c>
      <c r="E8">
        <v>599.99</v>
      </c>
      <c r="F8">
        <v>0.1</v>
      </c>
      <c r="G8">
        <v>1199.93</v>
      </c>
      <c r="H8" t="s">
        <v>21</v>
      </c>
      <c r="I8" t="s">
        <v>301</v>
      </c>
    </row>
    <row r="9" spans="1:12" x14ac:dyDescent="0.35">
      <c r="A9">
        <v>3</v>
      </c>
      <c r="B9">
        <v>1</v>
      </c>
      <c r="C9">
        <v>3</v>
      </c>
      <c r="D9">
        <v>1</v>
      </c>
      <c r="E9">
        <v>999.99</v>
      </c>
      <c r="F9">
        <v>0.1</v>
      </c>
      <c r="G9">
        <v>999.94</v>
      </c>
      <c r="H9" t="s">
        <v>8</v>
      </c>
      <c r="I9" t="s">
        <v>301</v>
      </c>
    </row>
    <row r="10" spans="1:12" x14ac:dyDescent="0.35">
      <c r="A10">
        <v>3</v>
      </c>
      <c r="B10">
        <v>2</v>
      </c>
      <c r="C10">
        <v>20</v>
      </c>
      <c r="D10">
        <v>1</v>
      </c>
      <c r="E10">
        <v>599.99</v>
      </c>
      <c r="F10">
        <v>0.1</v>
      </c>
      <c r="G10">
        <v>599.94000000000005</v>
      </c>
      <c r="H10" t="s">
        <v>25</v>
      </c>
      <c r="I10" t="s">
        <v>301</v>
      </c>
    </row>
    <row r="11" spans="1:12" x14ac:dyDescent="0.35">
      <c r="A11">
        <v>5</v>
      </c>
      <c r="B11">
        <v>1</v>
      </c>
      <c r="C11">
        <v>10</v>
      </c>
      <c r="D11">
        <v>2</v>
      </c>
      <c r="E11">
        <v>1549</v>
      </c>
      <c r="F11">
        <v>0.1</v>
      </c>
      <c r="G11">
        <v>3097.95</v>
      </c>
      <c r="H11" t="s">
        <v>15</v>
      </c>
      <c r="I11" t="s">
        <v>299</v>
      </c>
    </row>
    <row r="12" spans="1:12" x14ac:dyDescent="0.35">
      <c r="A12">
        <v>5</v>
      </c>
      <c r="B12">
        <v>2</v>
      </c>
      <c r="C12">
        <v>17</v>
      </c>
      <c r="D12">
        <v>1</v>
      </c>
      <c r="E12">
        <v>429</v>
      </c>
      <c r="F12">
        <v>0.1</v>
      </c>
      <c r="G12">
        <v>428.93</v>
      </c>
      <c r="H12" t="s">
        <v>22</v>
      </c>
      <c r="I12" t="s">
        <v>302</v>
      </c>
    </row>
    <row r="13" spans="1:12" x14ac:dyDescent="0.35">
      <c r="A13">
        <v>5</v>
      </c>
      <c r="B13">
        <v>3</v>
      </c>
      <c r="C13">
        <v>26</v>
      </c>
      <c r="D13">
        <v>1</v>
      </c>
      <c r="E13">
        <v>599.99</v>
      </c>
      <c r="F13">
        <v>0.1</v>
      </c>
      <c r="G13">
        <v>599.91999999999996</v>
      </c>
      <c r="H13" t="s">
        <v>21</v>
      </c>
      <c r="I13" t="s">
        <v>301</v>
      </c>
    </row>
    <row r="14" spans="1:12" x14ac:dyDescent="0.35">
      <c r="A14">
        <v>6</v>
      </c>
      <c r="B14">
        <v>1</v>
      </c>
      <c r="C14">
        <v>18</v>
      </c>
      <c r="D14">
        <v>1</v>
      </c>
      <c r="E14">
        <v>449</v>
      </c>
      <c r="F14">
        <v>0.1</v>
      </c>
      <c r="G14">
        <v>448.93</v>
      </c>
      <c r="H14" t="s">
        <v>23</v>
      </c>
      <c r="I14" t="s">
        <v>304</v>
      </c>
    </row>
    <row r="15" spans="1:12" x14ac:dyDescent="0.35">
      <c r="A15">
        <v>6</v>
      </c>
      <c r="B15">
        <v>2</v>
      </c>
      <c r="C15">
        <v>12</v>
      </c>
      <c r="D15">
        <v>2</v>
      </c>
      <c r="E15">
        <v>549.99</v>
      </c>
      <c r="F15">
        <v>0.1</v>
      </c>
      <c r="G15">
        <v>1099.93</v>
      </c>
      <c r="H15" t="s">
        <v>17</v>
      </c>
      <c r="I15" t="s">
        <v>299</v>
      </c>
    </row>
    <row r="16" spans="1:12" x14ac:dyDescent="0.35">
      <c r="A16">
        <v>6</v>
      </c>
      <c r="B16">
        <v>3</v>
      </c>
      <c r="C16">
        <v>20</v>
      </c>
      <c r="D16">
        <v>1</v>
      </c>
      <c r="E16">
        <v>599.99</v>
      </c>
      <c r="F16">
        <v>0.1</v>
      </c>
      <c r="G16">
        <v>599.89</v>
      </c>
      <c r="H16" t="s">
        <v>25</v>
      </c>
      <c r="I16" t="s">
        <v>299</v>
      </c>
    </row>
    <row r="17" spans="1:9" x14ac:dyDescent="0.35">
      <c r="A17">
        <v>6</v>
      </c>
      <c r="B17">
        <v>4</v>
      </c>
      <c r="C17">
        <v>3</v>
      </c>
      <c r="D17">
        <v>2</v>
      </c>
      <c r="E17">
        <v>999.99</v>
      </c>
      <c r="F17">
        <v>0.1</v>
      </c>
      <c r="G17">
        <v>1999.91</v>
      </c>
      <c r="H17" t="s">
        <v>8</v>
      </c>
      <c r="I17" t="s">
        <v>299</v>
      </c>
    </row>
    <row r="18" spans="1:9" x14ac:dyDescent="0.35">
      <c r="A18">
        <v>6</v>
      </c>
      <c r="B18">
        <v>5</v>
      </c>
      <c r="C18">
        <v>9</v>
      </c>
      <c r="D18">
        <v>2</v>
      </c>
      <c r="E18">
        <v>2999.99</v>
      </c>
      <c r="F18">
        <v>0.1</v>
      </c>
      <c r="G18">
        <v>5999.91</v>
      </c>
      <c r="H18" t="s">
        <v>14</v>
      </c>
      <c r="I18" t="s">
        <v>300</v>
      </c>
    </row>
    <row r="19" spans="1:9" x14ac:dyDescent="0.35">
      <c r="A19">
        <v>7</v>
      </c>
      <c r="B19">
        <v>1</v>
      </c>
      <c r="C19">
        <v>15</v>
      </c>
      <c r="D19">
        <v>1</v>
      </c>
      <c r="E19">
        <v>529.99</v>
      </c>
      <c r="F19">
        <v>0.1</v>
      </c>
      <c r="G19">
        <v>529.91999999999996</v>
      </c>
      <c r="H19" t="s">
        <v>20</v>
      </c>
      <c r="I19" t="s">
        <v>302</v>
      </c>
    </row>
    <row r="20" spans="1:9" x14ac:dyDescent="0.35">
      <c r="A20">
        <v>7</v>
      </c>
      <c r="B20">
        <v>2</v>
      </c>
      <c r="C20">
        <v>3</v>
      </c>
      <c r="D20">
        <v>1</v>
      </c>
      <c r="E20">
        <v>999.99</v>
      </c>
      <c r="F20">
        <v>0.1</v>
      </c>
      <c r="G20">
        <v>999.89</v>
      </c>
      <c r="H20" t="s">
        <v>8</v>
      </c>
      <c r="I20" t="s">
        <v>302</v>
      </c>
    </row>
    <row r="21" spans="1:9" x14ac:dyDescent="0.35">
      <c r="A21">
        <v>7</v>
      </c>
      <c r="B21">
        <v>3</v>
      </c>
      <c r="C21">
        <v>17</v>
      </c>
      <c r="D21">
        <v>2</v>
      </c>
      <c r="E21">
        <v>429</v>
      </c>
      <c r="F21">
        <v>0.1</v>
      </c>
      <c r="G21">
        <v>857.9</v>
      </c>
      <c r="H21" t="s">
        <v>22</v>
      </c>
      <c r="I21" t="s">
        <v>301</v>
      </c>
    </row>
    <row r="22" spans="1:9" x14ac:dyDescent="0.35">
      <c r="A22">
        <v>8</v>
      </c>
      <c r="B22">
        <v>1</v>
      </c>
      <c r="C22">
        <v>22</v>
      </c>
      <c r="D22">
        <v>1</v>
      </c>
      <c r="E22">
        <v>269.99</v>
      </c>
      <c r="F22">
        <v>0.1</v>
      </c>
      <c r="G22">
        <v>269.94</v>
      </c>
      <c r="H22" t="s">
        <v>19</v>
      </c>
      <c r="I22" t="s">
        <v>299</v>
      </c>
    </row>
    <row r="23" spans="1:9" x14ac:dyDescent="0.35">
      <c r="A23">
        <v>8</v>
      </c>
      <c r="B23">
        <v>2</v>
      </c>
      <c r="C23">
        <v>20</v>
      </c>
      <c r="D23">
        <v>2</v>
      </c>
      <c r="E23">
        <v>599.99</v>
      </c>
      <c r="F23">
        <v>0.1</v>
      </c>
      <c r="G23">
        <v>1199.9100000000001</v>
      </c>
      <c r="H23" t="s">
        <v>25</v>
      </c>
      <c r="I23" t="s">
        <v>299</v>
      </c>
    </row>
    <row r="24" spans="1:9" x14ac:dyDescent="0.35">
      <c r="A24">
        <v>11</v>
      </c>
      <c r="B24">
        <v>1</v>
      </c>
      <c r="C24">
        <v>8</v>
      </c>
      <c r="D24">
        <v>1</v>
      </c>
      <c r="E24">
        <v>1799.99</v>
      </c>
      <c r="F24">
        <v>0.1</v>
      </c>
      <c r="G24">
        <v>1799.94</v>
      </c>
      <c r="H24" t="s">
        <v>13</v>
      </c>
      <c r="I24" t="s">
        <v>299</v>
      </c>
    </row>
    <row r="25" spans="1:9" x14ac:dyDescent="0.35">
      <c r="A25">
        <v>11</v>
      </c>
      <c r="B25">
        <v>2</v>
      </c>
      <c r="C25">
        <v>22</v>
      </c>
      <c r="D25">
        <v>2</v>
      </c>
      <c r="E25">
        <v>269.99</v>
      </c>
      <c r="F25">
        <v>0.1</v>
      </c>
      <c r="G25">
        <v>539.88</v>
      </c>
      <c r="H25" t="s">
        <v>19</v>
      </c>
      <c r="I25" t="s">
        <v>300</v>
      </c>
    </row>
    <row r="26" spans="1:9" x14ac:dyDescent="0.35">
      <c r="A26">
        <v>11</v>
      </c>
      <c r="B26">
        <v>3</v>
      </c>
      <c r="C26">
        <v>16</v>
      </c>
      <c r="D26">
        <v>2</v>
      </c>
      <c r="E26">
        <v>599.99</v>
      </c>
      <c r="F26">
        <v>0.2</v>
      </c>
      <c r="G26">
        <v>1199.78</v>
      </c>
      <c r="H26" t="s">
        <v>21</v>
      </c>
      <c r="I26" t="s">
        <v>301</v>
      </c>
    </row>
    <row r="27" spans="1:9" x14ac:dyDescent="0.35">
      <c r="A27">
        <v>12</v>
      </c>
      <c r="B27">
        <v>1</v>
      </c>
      <c r="C27">
        <v>4</v>
      </c>
      <c r="D27">
        <v>2</v>
      </c>
      <c r="E27">
        <v>2899.99</v>
      </c>
      <c r="F27">
        <v>0.1</v>
      </c>
      <c r="G27">
        <v>5799.88</v>
      </c>
      <c r="H27" t="s">
        <v>9</v>
      </c>
      <c r="I27" t="s">
        <v>300</v>
      </c>
    </row>
    <row r="28" spans="1:9" x14ac:dyDescent="0.35">
      <c r="A28">
        <v>12</v>
      </c>
      <c r="B28">
        <v>2</v>
      </c>
      <c r="C28">
        <v>11</v>
      </c>
      <c r="D28">
        <v>1</v>
      </c>
      <c r="E28">
        <v>1680.99</v>
      </c>
      <c r="F28">
        <v>0.1</v>
      </c>
      <c r="G28">
        <v>1680.94</v>
      </c>
      <c r="H28" t="s">
        <v>16</v>
      </c>
      <c r="I28" t="s">
        <v>300</v>
      </c>
    </row>
    <row r="29" spans="1:9" x14ac:dyDescent="0.35">
      <c r="A29">
        <v>13</v>
      </c>
      <c r="B29">
        <v>1</v>
      </c>
      <c r="C29">
        <v>13</v>
      </c>
      <c r="D29">
        <v>1</v>
      </c>
      <c r="E29">
        <v>269.99</v>
      </c>
      <c r="F29">
        <v>0.1</v>
      </c>
      <c r="G29">
        <v>269.89</v>
      </c>
      <c r="H29" t="s">
        <v>18</v>
      </c>
      <c r="I29" t="s">
        <v>302</v>
      </c>
    </row>
    <row r="30" spans="1:9" x14ac:dyDescent="0.35">
      <c r="A30">
        <v>13</v>
      </c>
      <c r="B30">
        <v>2</v>
      </c>
      <c r="C30">
        <v>17</v>
      </c>
      <c r="D30">
        <v>2</v>
      </c>
      <c r="E30">
        <v>429</v>
      </c>
      <c r="F30">
        <v>0.1</v>
      </c>
      <c r="G30">
        <v>857.95</v>
      </c>
      <c r="H30" t="s">
        <v>22</v>
      </c>
      <c r="I30" t="s">
        <v>300</v>
      </c>
    </row>
    <row r="31" spans="1:9" x14ac:dyDescent="0.35">
      <c r="A31">
        <v>13</v>
      </c>
      <c r="B31">
        <v>3</v>
      </c>
      <c r="C31">
        <v>20</v>
      </c>
      <c r="D31">
        <v>2</v>
      </c>
      <c r="E31">
        <v>599.99</v>
      </c>
      <c r="F31">
        <v>0.1</v>
      </c>
      <c r="G31">
        <v>1199.8800000000001</v>
      </c>
      <c r="H31" t="s">
        <v>25</v>
      </c>
      <c r="I31" t="s">
        <v>299</v>
      </c>
    </row>
    <row r="32" spans="1:9" x14ac:dyDescent="0.35">
      <c r="A32">
        <v>13</v>
      </c>
      <c r="B32">
        <v>4</v>
      </c>
      <c r="C32">
        <v>16</v>
      </c>
      <c r="D32">
        <v>2</v>
      </c>
      <c r="E32">
        <v>599.99</v>
      </c>
      <c r="F32">
        <v>0.1</v>
      </c>
      <c r="G32">
        <v>1199.93</v>
      </c>
      <c r="H32" t="s">
        <v>21</v>
      </c>
      <c r="I32" t="s">
        <v>301</v>
      </c>
    </row>
    <row r="33" spans="1:9" x14ac:dyDescent="0.35">
      <c r="A33">
        <v>15</v>
      </c>
      <c r="B33">
        <v>1</v>
      </c>
      <c r="C33">
        <v>12</v>
      </c>
      <c r="D33">
        <v>2</v>
      </c>
      <c r="E33">
        <v>549.99</v>
      </c>
      <c r="F33">
        <v>0.1</v>
      </c>
      <c r="G33">
        <v>1099.9100000000001</v>
      </c>
      <c r="H33" t="s">
        <v>17</v>
      </c>
      <c r="I33" t="s">
        <v>303</v>
      </c>
    </row>
    <row r="34" spans="1:9" x14ac:dyDescent="0.35">
      <c r="A34">
        <v>15</v>
      </c>
      <c r="B34">
        <v>2</v>
      </c>
      <c r="C34">
        <v>8</v>
      </c>
      <c r="D34">
        <v>1</v>
      </c>
      <c r="E34">
        <v>1799.99</v>
      </c>
      <c r="F34">
        <v>0.1</v>
      </c>
      <c r="G34">
        <v>1799.92</v>
      </c>
      <c r="H34" t="s">
        <v>13</v>
      </c>
      <c r="I34" t="s">
        <v>301</v>
      </c>
    </row>
    <row r="35" spans="1:9" x14ac:dyDescent="0.35">
      <c r="A35">
        <v>15</v>
      </c>
      <c r="B35">
        <v>3</v>
      </c>
      <c r="C35">
        <v>18</v>
      </c>
      <c r="D35">
        <v>2</v>
      </c>
      <c r="E35">
        <v>449</v>
      </c>
      <c r="F35">
        <v>0.1</v>
      </c>
      <c r="G35">
        <v>897.95</v>
      </c>
      <c r="H35" t="s">
        <v>23</v>
      </c>
      <c r="I35" t="s">
        <v>300</v>
      </c>
    </row>
    <row r="36" spans="1:9" x14ac:dyDescent="0.35">
      <c r="A36">
        <v>15</v>
      </c>
      <c r="B36">
        <v>4</v>
      </c>
      <c r="C36">
        <v>23</v>
      </c>
      <c r="D36">
        <v>2</v>
      </c>
      <c r="E36">
        <v>299.99</v>
      </c>
      <c r="F36">
        <v>0.2</v>
      </c>
      <c r="G36">
        <v>599.78</v>
      </c>
      <c r="H36" t="s">
        <v>26</v>
      </c>
      <c r="I36" t="s">
        <v>299</v>
      </c>
    </row>
    <row r="37" spans="1:9" x14ac:dyDescent="0.35">
      <c r="A37">
        <v>16</v>
      </c>
      <c r="B37">
        <v>1</v>
      </c>
      <c r="C37">
        <v>8</v>
      </c>
      <c r="D37">
        <v>1</v>
      </c>
      <c r="E37">
        <v>1799.99</v>
      </c>
      <c r="F37">
        <v>0.2</v>
      </c>
      <c r="G37">
        <v>1799.79</v>
      </c>
      <c r="H37" t="s">
        <v>13</v>
      </c>
      <c r="I37" t="s">
        <v>301</v>
      </c>
    </row>
    <row r="38" spans="1:9" x14ac:dyDescent="0.35">
      <c r="A38">
        <v>16</v>
      </c>
      <c r="B38">
        <v>2</v>
      </c>
      <c r="C38">
        <v>21</v>
      </c>
      <c r="D38">
        <v>1</v>
      </c>
      <c r="E38">
        <v>269.99</v>
      </c>
      <c r="F38">
        <v>0.1</v>
      </c>
      <c r="G38">
        <v>269.94</v>
      </c>
      <c r="H38" t="s">
        <v>18</v>
      </c>
      <c r="I38" t="s">
        <v>304</v>
      </c>
    </row>
    <row r="39" spans="1:9" x14ac:dyDescent="0.35">
      <c r="A39">
        <v>16</v>
      </c>
      <c r="B39">
        <v>3</v>
      </c>
      <c r="C39">
        <v>13</v>
      </c>
      <c r="D39">
        <v>2</v>
      </c>
      <c r="E39">
        <v>269.99</v>
      </c>
      <c r="F39">
        <v>0.1</v>
      </c>
      <c r="G39">
        <v>539.91</v>
      </c>
      <c r="H39" t="s">
        <v>18</v>
      </c>
      <c r="I39" t="s">
        <v>301</v>
      </c>
    </row>
    <row r="40" spans="1:9" x14ac:dyDescent="0.35">
      <c r="A40">
        <v>16</v>
      </c>
      <c r="B40">
        <v>4</v>
      </c>
      <c r="C40">
        <v>14</v>
      </c>
      <c r="D40">
        <v>1</v>
      </c>
      <c r="E40">
        <v>269.99</v>
      </c>
      <c r="F40">
        <v>0.1</v>
      </c>
      <c r="G40">
        <v>269.92</v>
      </c>
      <c r="H40" t="s">
        <v>19</v>
      </c>
      <c r="I40" t="s">
        <v>301</v>
      </c>
    </row>
    <row r="41" spans="1:9" x14ac:dyDescent="0.35">
      <c r="A41">
        <v>17</v>
      </c>
      <c r="B41">
        <v>1</v>
      </c>
      <c r="C41">
        <v>8</v>
      </c>
      <c r="D41">
        <v>1</v>
      </c>
      <c r="E41">
        <v>1799.99</v>
      </c>
      <c r="F41">
        <v>0.1</v>
      </c>
      <c r="G41">
        <v>1799.92</v>
      </c>
      <c r="H41" t="s">
        <v>13</v>
      </c>
      <c r="I41" t="s">
        <v>304</v>
      </c>
    </row>
    <row r="42" spans="1:9" x14ac:dyDescent="0.35">
      <c r="A42">
        <v>17</v>
      </c>
      <c r="B42">
        <v>2</v>
      </c>
      <c r="C42">
        <v>23</v>
      </c>
      <c r="D42">
        <v>1</v>
      </c>
      <c r="E42">
        <v>299.99</v>
      </c>
      <c r="F42">
        <v>0.1</v>
      </c>
      <c r="G42">
        <v>299.89</v>
      </c>
      <c r="H42" t="s">
        <v>26</v>
      </c>
      <c r="I42" t="s">
        <v>304</v>
      </c>
    </row>
    <row r="43" spans="1:9" x14ac:dyDescent="0.35">
      <c r="A43">
        <v>17</v>
      </c>
      <c r="B43">
        <v>3</v>
      </c>
      <c r="C43">
        <v>5</v>
      </c>
      <c r="D43">
        <v>1</v>
      </c>
      <c r="E43">
        <v>1320.99</v>
      </c>
      <c r="F43">
        <v>0.1</v>
      </c>
      <c r="G43">
        <v>1320.89</v>
      </c>
      <c r="H43" t="s">
        <v>10</v>
      </c>
      <c r="I43" t="s">
        <v>301</v>
      </c>
    </row>
    <row r="44" spans="1:9" x14ac:dyDescent="0.35">
      <c r="A44">
        <v>17</v>
      </c>
      <c r="B44">
        <v>4</v>
      </c>
      <c r="C44">
        <v>20</v>
      </c>
      <c r="D44">
        <v>2</v>
      </c>
      <c r="E44">
        <v>599.99</v>
      </c>
      <c r="F44">
        <v>0.2</v>
      </c>
      <c r="G44">
        <v>1199.78</v>
      </c>
      <c r="H44" t="s">
        <v>25</v>
      </c>
      <c r="I44" t="s">
        <v>304</v>
      </c>
    </row>
    <row r="45" spans="1:9" x14ac:dyDescent="0.35">
      <c r="A45">
        <v>18</v>
      </c>
      <c r="B45">
        <v>1</v>
      </c>
      <c r="C45">
        <v>2</v>
      </c>
      <c r="D45">
        <v>2</v>
      </c>
      <c r="E45">
        <v>749.99</v>
      </c>
      <c r="F45">
        <v>0.2</v>
      </c>
      <c r="G45">
        <v>1499.78</v>
      </c>
      <c r="H45" t="s">
        <v>7</v>
      </c>
      <c r="I45" t="s">
        <v>302</v>
      </c>
    </row>
    <row r="46" spans="1:9" x14ac:dyDescent="0.35">
      <c r="A46">
        <v>18</v>
      </c>
      <c r="B46">
        <v>2</v>
      </c>
      <c r="C46">
        <v>22</v>
      </c>
      <c r="D46">
        <v>1</v>
      </c>
      <c r="E46">
        <v>269.99</v>
      </c>
      <c r="F46">
        <v>0.1</v>
      </c>
      <c r="G46">
        <v>269.94</v>
      </c>
      <c r="H46" t="s">
        <v>19</v>
      </c>
      <c r="I46" t="s">
        <v>301</v>
      </c>
    </row>
    <row r="47" spans="1:9" x14ac:dyDescent="0.35">
      <c r="A47">
        <v>18</v>
      </c>
      <c r="B47">
        <v>3</v>
      </c>
      <c r="C47">
        <v>7</v>
      </c>
      <c r="D47">
        <v>1</v>
      </c>
      <c r="E47">
        <v>3999.99</v>
      </c>
      <c r="F47">
        <v>0.1</v>
      </c>
      <c r="G47">
        <v>3999.89</v>
      </c>
      <c r="H47" t="s">
        <v>12</v>
      </c>
      <c r="I47" t="s">
        <v>304</v>
      </c>
    </row>
    <row r="48" spans="1:9" x14ac:dyDescent="0.35">
      <c r="A48">
        <v>18</v>
      </c>
      <c r="B48">
        <v>4</v>
      </c>
      <c r="C48">
        <v>25</v>
      </c>
      <c r="D48">
        <v>2</v>
      </c>
      <c r="E48">
        <v>499.99</v>
      </c>
      <c r="F48">
        <v>0.1</v>
      </c>
      <c r="G48">
        <v>999.93</v>
      </c>
      <c r="H48" t="s">
        <v>27</v>
      </c>
      <c r="I48" t="s">
        <v>301</v>
      </c>
    </row>
    <row r="49" spans="1:9" x14ac:dyDescent="0.35">
      <c r="A49">
        <v>18</v>
      </c>
      <c r="B49">
        <v>5</v>
      </c>
      <c r="C49">
        <v>9</v>
      </c>
      <c r="D49">
        <v>2</v>
      </c>
      <c r="E49">
        <v>2999.99</v>
      </c>
      <c r="F49">
        <v>0.1</v>
      </c>
      <c r="G49">
        <v>5999.88</v>
      </c>
      <c r="H49" t="s">
        <v>14</v>
      </c>
      <c r="I49" t="s">
        <v>300</v>
      </c>
    </row>
    <row r="50" spans="1:9" x14ac:dyDescent="0.35">
      <c r="A50">
        <v>19</v>
      </c>
      <c r="B50">
        <v>1</v>
      </c>
      <c r="C50">
        <v>10</v>
      </c>
      <c r="D50">
        <v>1</v>
      </c>
      <c r="E50">
        <v>1549</v>
      </c>
      <c r="F50">
        <v>0.1</v>
      </c>
      <c r="G50">
        <v>1548.93</v>
      </c>
      <c r="H50" t="s">
        <v>15</v>
      </c>
      <c r="I50" t="s">
        <v>304</v>
      </c>
    </row>
    <row r="51" spans="1:9" x14ac:dyDescent="0.35">
      <c r="A51">
        <v>19</v>
      </c>
      <c r="B51">
        <v>2</v>
      </c>
      <c r="C51">
        <v>9</v>
      </c>
      <c r="D51">
        <v>2</v>
      </c>
      <c r="E51">
        <v>2999.99</v>
      </c>
      <c r="F51">
        <v>0.2</v>
      </c>
      <c r="G51">
        <v>5999.78</v>
      </c>
      <c r="H51" t="s">
        <v>14</v>
      </c>
      <c r="I51" t="s">
        <v>300</v>
      </c>
    </row>
    <row r="52" spans="1:9" x14ac:dyDescent="0.35">
      <c r="A52">
        <v>20</v>
      </c>
      <c r="B52">
        <v>1</v>
      </c>
      <c r="C52">
        <v>9</v>
      </c>
      <c r="D52">
        <v>1</v>
      </c>
      <c r="E52">
        <v>2999.99</v>
      </c>
      <c r="F52">
        <v>0.1</v>
      </c>
      <c r="G52">
        <v>2999.92</v>
      </c>
      <c r="H52" t="s">
        <v>14</v>
      </c>
      <c r="I52" t="s">
        <v>299</v>
      </c>
    </row>
    <row r="53" spans="1:9" x14ac:dyDescent="0.35">
      <c r="A53">
        <v>20</v>
      </c>
      <c r="B53">
        <v>2</v>
      </c>
      <c r="C53">
        <v>10</v>
      </c>
      <c r="D53">
        <v>2</v>
      </c>
      <c r="E53">
        <v>1549</v>
      </c>
      <c r="F53">
        <v>0.1</v>
      </c>
      <c r="G53">
        <v>3097.93</v>
      </c>
      <c r="H53" t="s">
        <v>15</v>
      </c>
      <c r="I53" t="s">
        <v>301</v>
      </c>
    </row>
    <row r="54" spans="1:9" x14ac:dyDescent="0.35">
      <c r="A54">
        <v>21</v>
      </c>
      <c r="B54">
        <v>1</v>
      </c>
      <c r="C54">
        <v>14</v>
      </c>
      <c r="D54">
        <v>1</v>
      </c>
      <c r="E54">
        <v>269.99</v>
      </c>
      <c r="F54">
        <v>0.1</v>
      </c>
      <c r="G54">
        <v>269.94</v>
      </c>
      <c r="H54" t="s">
        <v>19</v>
      </c>
      <c r="I54" t="s">
        <v>299</v>
      </c>
    </row>
    <row r="55" spans="1:9" x14ac:dyDescent="0.35">
      <c r="A55">
        <v>21</v>
      </c>
      <c r="B55">
        <v>2</v>
      </c>
      <c r="C55">
        <v>17</v>
      </c>
      <c r="D55">
        <v>1</v>
      </c>
      <c r="E55">
        <v>429</v>
      </c>
      <c r="F55">
        <v>0.1</v>
      </c>
      <c r="G55">
        <v>428.9</v>
      </c>
      <c r="H55" t="s">
        <v>22</v>
      </c>
      <c r="I55" t="s">
        <v>301</v>
      </c>
    </row>
    <row r="56" spans="1:9" x14ac:dyDescent="0.35">
      <c r="A56">
        <v>21</v>
      </c>
      <c r="B56">
        <v>3</v>
      </c>
      <c r="C56">
        <v>10</v>
      </c>
      <c r="D56">
        <v>1</v>
      </c>
      <c r="E56">
        <v>1549</v>
      </c>
      <c r="F56">
        <v>0.1</v>
      </c>
      <c r="G56">
        <v>1548.93</v>
      </c>
      <c r="H56" t="s">
        <v>15</v>
      </c>
      <c r="I56" t="s">
        <v>299</v>
      </c>
    </row>
    <row r="57" spans="1:9" x14ac:dyDescent="0.35">
      <c r="A57">
        <v>22</v>
      </c>
      <c r="B57">
        <v>1</v>
      </c>
      <c r="C57">
        <v>15</v>
      </c>
      <c r="D57">
        <v>2</v>
      </c>
      <c r="E57">
        <v>529.99</v>
      </c>
      <c r="F57">
        <v>0.2</v>
      </c>
      <c r="G57">
        <v>1059.78</v>
      </c>
      <c r="H57" t="s">
        <v>20</v>
      </c>
      <c r="I57" t="s">
        <v>301</v>
      </c>
    </row>
    <row r="58" spans="1:9" x14ac:dyDescent="0.35">
      <c r="A58">
        <v>22</v>
      </c>
      <c r="B58">
        <v>2</v>
      </c>
      <c r="C58">
        <v>22</v>
      </c>
      <c r="D58">
        <v>1</v>
      </c>
      <c r="E58">
        <v>269.99</v>
      </c>
      <c r="F58">
        <v>0.1</v>
      </c>
      <c r="G58">
        <v>269.94</v>
      </c>
      <c r="H58" t="s">
        <v>19</v>
      </c>
      <c r="I58" t="s">
        <v>300</v>
      </c>
    </row>
    <row r="59" spans="1:9" x14ac:dyDescent="0.35">
      <c r="A59">
        <v>23</v>
      </c>
      <c r="B59">
        <v>1</v>
      </c>
      <c r="C59">
        <v>4</v>
      </c>
      <c r="D59">
        <v>2</v>
      </c>
      <c r="E59">
        <v>2899.99</v>
      </c>
      <c r="F59">
        <v>0.1</v>
      </c>
      <c r="G59">
        <v>5799.93</v>
      </c>
      <c r="H59" t="s">
        <v>9</v>
      </c>
      <c r="I59" t="s">
        <v>301</v>
      </c>
    </row>
    <row r="60" spans="1:9" x14ac:dyDescent="0.35">
      <c r="A60">
        <v>23</v>
      </c>
      <c r="B60">
        <v>2</v>
      </c>
      <c r="C60">
        <v>23</v>
      </c>
      <c r="D60">
        <v>2</v>
      </c>
      <c r="E60">
        <v>299.99</v>
      </c>
      <c r="F60">
        <v>0.1</v>
      </c>
      <c r="G60">
        <v>599.88</v>
      </c>
      <c r="H60" t="s">
        <v>26</v>
      </c>
      <c r="I60" t="s">
        <v>300</v>
      </c>
    </row>
    <row r="61" spans="1:9" x14ac:dyDescent="0.35">
      <c r="A61">
        <v>23</v>
      </c>
      <c r="B61">
        <v>3</v>
      </c>
      <c r="C61">
        <v>13</v>
      </c>
      <c r="D61">
        <v>1</v>
      </c>
      <c r="E61">
        <v>269.99</v>
      </c>
      <c r="F61">
        <v>0.2</v>
      </c>
      <c r="G61">
        <v>269.79000000000002</v>
      </c>
      <c r="H61" t="s">
        <v>18</v>
      </c>
      <c r="I61" t="s">
        <v>300</v>
      </c>
    </row>
    <row r="62" spans="1:9" x14ac:dyDescent="0.35">
      <c r="A62">
        <v>24</v>
      </c>
      <c r="B62">
        <v>1</v>
      </c>
      <c r="C62">
        <v>3</v>
      </c>
      <c r="D62">
        <v>2</v>
      </c>
      <c r="E62">
        <v>999.99</v>
      </c>
      <c r="F62">
        <v>0.1</v>
      </c>
      <c r="G62">
        <v>1999.88</v>
      </c>
      <c r="H62" t="s">
        <v>8</v>
      </c>
      <c r="I62" t="s">
        <v>301</v>
      </c>
    </row>
    <row r="63" spans="1:9" x14ac:dyDescent="0.35">
      <c r="A63">
        <v>24</v>
      </c>
      <c r="B63">
        <v>2</v>
      </c>
      <c r="C63">
        <v>18</v>
      </c>
      <c r="D63">
        <v>2</v>
      </c>
      <c r="E63">
        <v>449</v>
      </c>
      <c r="F63">
        <v>0.1</v>
      </c>
      <c r="G63">
        <v>897.93</v>
      </c>
      <c r="H63" t="s">
        <v>23</v>
      </c>
      <c r="I63" t="s">
        <v>304</v>
      </c>
    </row>
    <row r="64" spans="1:9" x14ac:dyDescent="0.35">
      <c r="A64">
        <v>25</v>
      </c>
      <c r="B64">
        <v>1</v>
      </c>
      <c r="C64">
        <v>23</v>
      </c>
      <c r="D64">
        <v>2</v>
      </c>
      <c r="E64">
        <v>299.99</v>
      </c>
      <c r="F64">
        <v>0.2</v>
      </c>
      <c r="G64">
        <v>599.78</v>
      </c>
      <c r="H64" t="s">
        <v>26</v>
      </c>
      <c r="I64" t="s">
        <v>299</v>
      </c>
    </row>
    <row r="65" spans="1:9" x14ac:dyDescent="0.35">
      <c r="A65">
        <v>25</v>
      </c>
      <c r="B65">
        <v>2</v>
      </c>
      <c r="C65">
        <v>10</v>
      </c>
      <c r="D65">
        <v>2</v>
      </c>
      <c r="E65">
        <v>1549</v>
      </c>
      <c r="F65">
        <v>0.2</v>
      </c>
      <c r="G65">
        <v>3097.8</v>
      </c>
      <c r="H65" t="s">
        <v>15</v>
      </c>
      <c r="I65" t="s">
        <v>301</v>
      </c>
    </row>
    <row r="66" spans="1:9" x14ac:dyDescent="0.35">
      <c r="A66">
        <v>25</v>
      </c>
      <c r="B66">
        <v>3</v>
      </c>
      <c r="C66">
        <v>22</v>
      </c>
      <c r="D66">
        <v>1</v>
      </c>
      <c r="E66">
        <v>269.99</v>
      </c>
      <c r="F66">
        <v>0.2</v>
      </c>
      <c r="G66">
        <v>269.79000000000002</v>
      </c>
      <c r="H66" t="s">
        <v>19</v>
      </c>
      <c r="I66" t="s">
        <v>299</v>
      </c>
    </row>
    <row r="67" spans="1:9" x14ac:dyDescent="0.35">
      <c r="A67">
        <v>25</v>
      </c>
      <c r="B67">
        <v>4</v>
      </c>
      <c r="C67">
        <v>14</v>
      </c>
      <c r="D67">
        <v>1</v>
      </c>
      <c r="E67">
        <v>269.99</v>
      </c>
      <c r="F67">
        <v>0.2</v>
      </c>
      <c r="G67">
        <v>269.79000000000002</v>
      </c>
      <c r="H67" t="s">
        <v>19</v>
      </c>
      <c r="I67" t="s">
        <v>304</v>
      </c>
    </row>
    <row r="68" spans="1:9" x14ac:dyDescent="0.35">
      <c r="A68">
        <v>25</v>
      </c>
      <c r="B68">
        <v>5</v>
      </c>
      <c r="C68">
        <v>21</v>
      </c>
      <c r="D68">
        <v>1</v>
      </c>
      <c r="E68">
        <v>269.99</v>
      </c>
      <c r="F68">
        <v>0.1</v>
      </c>
      <c r="G68">
        <v>269.89</v>
      </c>
      <c r="H68" t="s">
        <v>18</v>
      </c>
      <c r="I68" t="s">
        <v>300</v>
      </c>
    </row>
    <row r="69" spans="1:9" x14ac:dyDescent="0.35">
      <c r="A69">
        <v>26</v>
      </c>
      <c r="B69">
        <v>1</v>
      </c>
      <c r="C69">
        <v>7</v>
      </c>
      <c r="D69">
        <v>1</v>
      </c>
      <c r="E69">
        <v>3999.99</v>
      </c>
      <c r="F69">
        <v>0.1</v>
      </c>
      <c r="G69">
        <v>3999.94</v>
      </c>
      <c r="H69" t="s">
        <v>12</v>
      </c>
      <c r="I69" t="s">
        <v>301</v>
      </c>
    </row>
    <row r="70" spans="1:9" x14ac:dyDescent="0.35">
      <c r="A70">
        <v>26</v>
      </c>
      <c r="B70">
        <v>2</v>
      </c>
      <c r="C70">
        <v>2</v>
      </c>
      <c r="D70">
        <v>1</v>
      </c>
      <c r="E70">
        <v>749.99</v>
      </c>
      <c r="F70">
        <v>0.2</v>
      </c>
      <c r="G70">
        <v>749.79</v>
      </c>
      <c r="H70" t="s">
        <v>7</v>
      </c>
      <c r="I70" t="s">
        <v>299</v>
      </c>
    </row>
    <row r="71" spans="1:9" x14ac:dyDescent="0.35">
      <c r="A71">
        <v>26</v>
      </c>
      <c r="B71">
        <v>3</v>
      </c>
      <c r="C71">
        <v>12</v>
      </c>
      <c r="D71">
        <v>1</v>
      </c>
      <c r="E71">
        <v>549.99</v>
      </c>
      <c r="F71">
        <v>0.2</v>
      </c>
      <c r="G71">
        <v>549.79</v>
      </c>
      <c r="H71" t="s">
        <v>17</v>
      </c>
      <c r="I71" t="s">
        <v>301</v>
      </c>
    </row>
    <row r="72" spans="1:9" x14ac:dyDescent="0.35">
      <c r="A72">
        <v>26</v>
      </c>
      <c r="B72">
        <v>4</v>
      </c>
      <c r="C72">
        <v>21</v>
      </c>
      <c r="D72">
        <v>2</v>
      </c>
      <c r="E72">
        <v>269.99</v>
      </c>
      <c r="F72">
        <v>0.1</v>
      </c>
      <c r="G72">
        <v>539.91</v>
      </c>
      <c r="H72" t="s">
        <v>18</v>
      </c>
      <c r="I72" t="s">
        <v>304</v>
      </c>
    </row>
    <row r="73" spans="1:9" x14ac:dyDescent="0.35">
      <c r="A73">
        <v>27</v>
      </c>
      <c r="B73">
        <v>1</v>
      </c>
      <c r="C73">
        <v>5</v>
      </c>
      <c r="D73">
        <v>1</v>
      </c>
      <c r="E73">
        <v>1320.99</v>
      </c>
      <c r="F73">
        <v>0.2</v>
      </c>
      <c r="G73">
        <v>1320.79</v>
      </c>
      <c r="H73" t="s">
        <v>10</v>
      </c>
      <c r="I73" t="s">
        <v>301</v>
      </c>
    </row>
    <row r="74" spans="1:9" x14ac:dyDescent="0.35">
      <c r="A74">
        <v>27</v>
      </c>
      <c r="B74">
        <v>2</v>
      </c>
      <c r="C74">
        <v>19</v>
      </c>
      <c r="D74">
        <v>1</v>
      </c>
      <c r="E74">
        <v>449</v>
      </c>
      <c r="F74">
        <v>0.2</v>
      </c>
      <c r="G74">
        <v>448.8</v>
      </c>
      <c r="H74" t="s">
        <v>24</v>
      </c>
      <c r="I74" t="s">
        <v>301</v>
      </c>
    </row>
    <row r="75" spans="1:9" x14ac:dyDescent="0.35">
      <c r="A75">
        <v>27</v>
      </c>
      <c r="B75">
        <v>3</v>
      </c>
      <c r="C75">
        <v>26</v>
      </c>
      <c r="D75">
        <v>2</v>
      </c>
      <c r="E75">
        <v>599.99</v>
      </c>
      <c r="F75">
        <v>0.1</v>
      </c>
      <c r="G75">
        <v>1199.9100000000001</v>
      </c>
      <c r="H75" t="s">
        <v>21</v>
      </c>
      <c r="I75" t="s">
        <v>301</v>
      </c>
    </row>
    <row r="76" spans="1:9" x14ac:dyDescent="0.35">
      <c r="A76">
        <v>27</v>
      </c>
      <c r="B76">
        <v>4</v>
      </c>
      <c r="C76">
        <v>8</v>
      </c>
      <c r="D76">
        <v>1</v>
      </c>
      <c r="E76">
        <v>1799.99</v>
      </c>
      <c r="F76">
        <v>0.1</v>
      </c>
      <c r="G76">
        <v>1799.92</v>
      </c>
      <c r="H76" t="s">
        <v>13</v>
      </c>
      <c r="I76" t="s">
        <v>303</v>
      </c>
    </row>
    <row r="77" spans="1:9" x14ac:dyDescent="0.35">
      <c r="A77">
        <v>28</v>
      </c>
      <c r="B77">
        <v>1</v>
      </c>
      <c r="C77">
        <v>5</v>
      </c>
      <c r="D77">
        <v>1</v>
      </c>
      <c r="E77">
        <v>1320.99</v>
      </c>
      <c r="F77">
        <v>0.1</v>
      </c>
      <c r="G77">
        <v>1320.94</v>
      </c>
      <c r="H77" t="s">
        <v>10</v>
      </c>
      <c r="I77" t="s">
        <v>300</v>
      </c>
    </row>
    <row r="78" spans="1:9" x14ac:dyDescent="0.35">
      <c r="A78">
        <v>28</v>
      </c>
      <c r="B78">
        <v>2</v>
      </c>
      <c r="C78">
        <v>7</v>
      </c>
      <c r="D78">
        <v>2</v>
      </c>
      <c r="E78">
        <v>3999.99</v>
      </c>
      <c r="F78">
        <v>0.2</v>
      </c>
      <c r="G78">
        <v>7999.78</v>
      </c>
      <c r="H78" t="s">
        <v>12</v>
      </c>
      <c r="I78" t="s">
        <v>302</v>
      </c>
    </row>
    <row r="79" spans="1:9" x14ac:dyDescent="0.35">
      <c r="A79">
        <v>28</v>
      </c>
      <c r="B79">
        <v>3</v>
      </c>
      <c r="C79">
        <v>14</v>
      </c>
      <c r="D79">
        <v>2</v>
      </c>
      <c r="E79">
        <v>269.99</v>
      </c>
      <c r="F79">
        <v>0.1</v>
      </c>
      <c r="G79">
        <v>539.88</v>
      </c>
      <c r="H79" t="s">
        <v>19</v>
      </c>
      <c r="I79" t="s">
        <v>300</v>
      </c>
    </row>
    <row r="80" spans="1:9" x14ac:dyDescent="0.35">
      <c r="A80">
        <v>28</v>
      </c>
      <c r="B80">
        <v>4</v>
      </c>
      <c r="C80">
        <v>6</v>
      </c>
      <c r="D80">
        <v>1</v>
      </c>
      <c r="E80">
        <v>469.99</v>
      </c>
      <c r="F80">
        <v>0.1</v>
      </c>
      <c r="G80">
        <v>469.94</v>
      </c>
      <c r="H80" t="s">
        <v>11</v>
      </c>
      <c r="I80" t="s">
        <v>301</v>
      </c>
    </row>
    <row r="81" spans="1:9" x14ac:dyDescent="0.35">
      <c r="A81">
        <v>29</v>
      </c>
      <c r="B81">
        <v>1</v>
      </c>
      <c r="C81">
        <v>24</v>
      </c>
      <c r="D81">
        <v>2</v>
      </c>
      <c r="E81">
        <v>549.99</v>
      </c>
      <c r="F81">
        <v>0.1</v>
      </c>
      <c r="G81">
        <v>1099.93</v>
      </c>
      <c r="H81" t="s">
        <v>17</v>
      </c>
      <c r="I81" t="s">
        <v>299</v>
      </c>
    </row>
    <row r="82" spans="1:9" x14ac:dyDescent="0.35">
      <c r="A82">
        <v>29</v>
      </c>
      <c r="B82">
        <v>2</v>
      </c>
      <c r="C82">
        <v>6</v>
      </c>
      <c r="D82">
        <v>1</v>
      </c>
      <c r="E82">
        <v>469.99</v>
      </c>
      <c r="F82">
        <v>0.2</v>
      </c>
      <c r="G82">
        <v>469.79</v>
      </c>
      <c r="H82" t="s">
        <v>11</v>
      </c>
      <c r="I82" t="s">
        <v>304</v>
      </c>
    </row>
    <row r="83" spans="1:9" x14ac:dyDescent="0.35">
      <c r="A83">
        <v>29</v>
      </c>
      <c r="B83">
        <v>3</v>
      </c>
      <c r="C83">
        <v>21</v>
      </c>
      <c r="D83">
        <v>2</v>
      </c>
      <c r="E83">
        <v>269.99</v>
      </c>
      <c r="F83">
        <v>0.1</v>
      </c>
      <c r="G83">
        <v>539.88</v>
      </c>
      <c r="H83" t="s">
        <v>18</v>
      </c>
      <c r="I83" t="s">
        <v>303</v>
      </c>
    </row>
    <row r="84" spans="1:9" x14ac:dyDescent="0.35">
      <c r="A84">
        <v>29</v>
      </c>
      <c r="B84">
        <v>4</v>
      </c>
      <c r="C84">
        <v>8</v>
      </c>
      <c r="D84">
        <v>1</v>
      </c>
      <c r="E84">
        <v>1799.99</v>
      </c>
      <c r="F84">
        <v>0.2</v>
      </c>
      <c r="G84">
        <v>1799.79</v>
      </c>
      <c r="H84" t="s">
        <v>13</v>
      </c>
      <c r="I84" t="s">
        <v>301</v>
      </c>
    </row>
    <row r="85" spans="1:9" x14ac:dyDescent="0.35">
      <c r="A85">
        <v>29</v>
      </c>
      <c r="B85">
        <v>5</v>
      </c>
      <c r="C85">
        <v>14</v>
      </c>
      <c r="D85">
        <v>2</v>
      </c>
      <c r="E85">
        <v>269.99</v>
      </c>
      <c r="F85">
        <v>0.1</v>
      </c>
      <c r="G85">
        <v>539.92999999999995</v>
      </c>
      <c r="H85" t="s">
        <v>19</v>
      </c>
      <c r="I85" t="s">
        <v>302</v>
      </c>
    </row>
    <row r="86" spans="1:9" x14ac:dyDescent="0.35">
      <c r="A86">
        <v>30</v>
      </c>
      <c r="B86">
        <v>1</v>
      </c>
      <c r="C86">
        <v>26</v>
      </c>
      <c r="D86">
        <v>1</v>
      </c>
      <c r="E86">
        <v>599.99</v>
      </c>
      <c r="F86">
        <v>0.1</v>
      </c>
      <c r="G86">
        <v>599.94000000000005</v>
      </c>
      <c r="H86" t="s">
        <v>21</v>
      </c>
      <c r="I86" t="s">
        <v>304</v>
      </c>
    </row>
    <row r="87" spans="1:9" x14ac:dyDescent="0.35">
      <c r="A87">
        <v>30</v>
      </c>
      <c r="B87">
        <v>2</v>
      </c>
      <c r="C87">
        <v>17</v>
      </c>
      <c r="D87">
        <v>1</v>
      </c>
      <c r="E87">
        <v>429</v>
      </c>
      <c r="F87">
        <v>0.1</v>
      </c>
      <c r="G87">
        <v>428.93</v>
      </c>
      <c r="H87" t="s">
        <v>22</v>
      </c>
      <c r="I87" t="s">
        <v>304</v>
      </c>
    </row>
    <row r="88" spans="1:9" x14ac:dyDescent="0.35">
      <c r="A88">
        <v>30</v>
      </c>
      <c r="B88">
        <v>3</v>
      </c>
      <c r="C88">
        <v>19</v>
      </c>
      <c r="D88">
        <v>1</v>
      </c>
      <c r="E88">
        <v>449</v>
      </c>
      <c r="F88">
        <v>0.1</v>
      </c>
      <c r="G88">
        <v>448.9</v>
      </c>
      <c r="H88" t="s">
        <v>24</v>
      </c>
      <c r="I88" t="s">
        <v>302</v>
      </c>
    </row>
    <row r="89" spans="1:9" x14ac:dyDescent="0.35">
      <c r="A89">
        <v>30</v>
      </c>
      <c r="B89">
        <v>4</v>
      </c>
      <c r="C89">
        <v>4</v>
      </c>
      <c r="D89">
        <v>1</v>
      </c>
      <c r="E89">
        <v>2899.99</v>
      </c>
      <c r="F89">
        <v>0.1</v>
      </c>
      <c r="G89">
        <v>2899.89</v>
      </c>
      <c r="H89" t="s">
        <v>9</v>
      </c>
      <c r="I89" t="s">
        <v>304</v>
      </c>
    </row>
    <row r="90" spans="1:9" x14ac:dyDescent="0.35">
      <c r="A90">
        <v>30</v>
      </c>
      <c r="B90">
        <v>5</v>
      </c>
      <c r="C90">
        <v>7</v>
      </c>
      <c r="D90">
        <v>2</v>
      </c>
      <c r="E90">
        <v>3999.99</v>
      </c>
      <c r="F90">
        <v>0.1</v>
      </c>
      <c r="G90">
        <v>7999.88</v>
      </c>
      <c r="H90" t="s">
        <v>12</v>
      </c>
      <c r="I90" t="s">
        <v>299</v>
      </c>
    </row>
    <row r="91" spans="1:9" x14ac:dyDescent="0.35">
      <c r="A91">
        <v>31</v>
      </c>
      <c r="B91">
        <v>1</v>
      </c>
      <c r="C91">
        <v>11</v>
      </c>
      <c r="D91">
        <v>2</v>
      </c>
      <c r="E91">
        <v>1680.99</v>
      </c>
      <c r="F91">
        <v>0.1</v>
      </c>
      <c r="G91">
        <v>3361.93</v>
      </c>
      <c r="H91" t="s">
        <v>16</v>
      </c>
      <c r="I91" t="s">
        <v>301</v>
      </c>
    </row>
    <row r="92" spans="1:9" x14ac:dyDescent="0.35">
      <c r="A92">
        <v>31</v>
      </c>
      <c r="B92">
        <v>2</v>
      </c>
      <c r="C92">
        <v>9</v>
      </c>
      <c r="D92">
        <v>2</v>
      </c>
      <c r="E92">
        <v>2999.99</v>
      </c>
      <c r="F92">
        <v>0.2</v>
      </c>
      <c r="G92">
        <v>5999.78</v>
      </c>
      <c r="H92" t="s">
        <v>14</v>
      </c>
      <c r="I92" t="s">
        <v>302</v>
      </c>
    </row>
    <row r="93" spans="1:9" x14ac:dyDescent="0.35">
      <c r="A93">
        <v>32</v>
      </c>
      <c r="B93">
        <v>1</v>
      </c>
      <c r="C93">
        <v>8</v>
      </c>
      <c r="D93">
        <v>2</v>
      </c>
      <c r="E93">
        <v>1799.99</v>
      </c>
      <c r="F93">
        <v>0.1</v>
      </c>
      <c r="G93">
        <v>3599.91</v>
      </c>
      <c r="H93" t="s">
        <v>13</v>
      </c>
      <c r="I93" t="s">
        <v>300</v>
      </c>
    </row>
    <row r="94" spans="1:9" x14ac:dyDescent="0.35">
      <c r="A94">
        <v>32</v>
      </c>
      <c r="B94">
        <v>2</v>
      </c>
      <c r="C94">
        <v>12</v>
      </c>
      <c r="D94">
        <v>2</v>
      </c>
      <c r="E94">
        <v>549.99</v>
      </c>
      <c r="F94">
        <v>0.1</v>
      </c>
      <c r="G94">
        <v>1099.9100000000001</v>
      </c>
      <c r="H94" t="s">
        <v>17</v>
      </c>
      <c r="I94" t="s">
        <v>301</v>
      </c>
    </row>
    <row r="95" spans="1:9" x14ac:dyDescent="0.35">
      <c r="A95">
        <v>32</v>
      </c>
      <c r="B95">
        <v>3</v>
      </c>
      <c r="C95">
        <v>25</v>
      </c>
      <c r="D95">
        <v>2</v>
      </c>
      <c r="E95">
        <v>499.99</v>
      </c>
      <c r="F95">
        <v>0.1</v>
      </c>
      <c r="G95">
        <v>999.88</v>
      </c>
      <c r="H95" t="s">
        <v>27</v>
      </c>
      <c r="I95" t="s">
        <v>301</v>
      </c>
    </row>
    <row r="96" spans="1:9" x14ac:dyDescent="0.35">
      <c r="A96">
        <v>33</v>
      </c>
      <c r="B96">
        <v>1</v>
      </c>
      <c r="C96">
        <v>23</v>
      </c>
      <c r="D96">
        <v>2</v>
      </c>
      <c r="E96">
        <v>299.99</v>
      </c>
      <c r="F96">
        <v>0.1</v>
      </c>
      <c r="G96">
        <v>599.91</v>
      </c>
      <c r="H96" t="s">
        <v>26</v>
      </c>
      <c r="I96" t="s">
        <v>301</v>
      </c>
    </row>
    <row r="97" spans="1:9" x14ac:dyDescent="0.35">
      <c r="A97">
        <v>33</v>
      </c>
      <c r="B97">
        <v>2</v>
      </c>
      <c r="C97">
        <v>7</v>
      </c>
      <c r="D97">
        <v>1</v>
      </c>
      <c r="E97">
        <v>3999.99</v>
      </c>
      <c r="F97">
        <v>0.1</v>
      </c>
      <c r="G97">
        <v>3999.89</v>
      </c>
      <c r="H97" t="s">
        <v>12</v>
      </c>
      <c r="I97" t="s">
        <v>301</v>
      </c>
    </row>
    <row r="98" spans="1:9" x14ac:dyDescent="0.35">
      <c r="A98">
        <v>34</v>
      </c>
      <c r="B98">
        <v>1</v>
      </c>
      <c r="C98">
        <v>8</v>
      </c>
      <c r="D98">
        <v>2</v>
      </c>
      <c r="E98">
        <v>1799.99</v>
      </c>
      <c r="F98">
        <v>0.1</v>
      </c>
      <c r="G98">
        <v>3599.91</v>
      </c>
      <c r="H98" t="s">
        <v>13</v>
      </c>
      <c r="I98" t="s">
        <v>301</v>
      </c>
    </row>
    <row r="99" spans="1:9" x14ac:dyDescent="0.35">
      <c r="A99">
        <v>34</v>
      </c>
      <c r="B99">
        <v>2</v>
      </c>
      <c r="C99">
        <v>10</v>
      </c>
      <c r="D99">
        <v>2</v>
      </c>
      <c r="E99">
        <v>1549</v>
      </c>
      <c r="F99">
        <v>0.1</v>
      </c>
      <c r="G99">
        <v>3097.9</v>
      </c>
      <c r="H99" t="s">
        <v>15</v>
      </c>
      <c r="I99" t="s">
        <v>301</v>
      </c>
    </row>
    <row r="100" spans="1:9" x14ac:dyDescent="0.35">
      <c r="A100">
        <v>34</v>
      </c>
      <c r="B100">
        <v>3</v>
      </c>
      <c r="C100">
        <v>17</v>
      </c>
      <c r="D100">
        <v>2</v>
      </c>
      <c r="E100">
        <v>429</v>
      </c>
      <c r="F100">
        <v>0.2</v>
      </c>
      <c r="G100">
        <v>857.8</v>
      </c>
      <c r="H100" t="s">
        <v>22</v>
      </c>
      <c r="I100" t="s">
        <v>301</v>
      </c>
    </row>
    <row r="101" spans="1:9" x14ac:dyDescent="0.35">
      <c r="A101">
        <v>35</v>
      </c>
      <c r="B101">
        <v>1</v>
      </c>
      <c r="C101">
        <v>18</v>
      </c>
      <c r="D101">
        <v>1</v>
      </c>
      <c r="E101">
        <v>449</v>
      </c>
      <c r="F101">
        <v>0.1</v>
      </c>
      <c r="G101">
        <v>448.95</v>
      </c>
      <c r="H101" t="s">
        <v>23</v>
      </c>
      <c r="I101" t="s">
        <v>301</v>
      </c>
    </row>
    <row r="102" spans="1:9" x14ac:dyDescent="0.35">
      <c r="A102">
        <v>35</v>
      </c>
      <c r="B102">
        <v>2</v>
      </c>
      <c r="C102">
        <v>20</v>
      </c>
      <c r="D102">
        <v>2</v>
      </c>
      <c r="E102">
        <v>599.99</v>
      </c>
      <c r="F102">
        <v>0.1</v>
      </c>
      <c r="G102">
        <v>1199.93</v>
      </c>
      <c r="H102" t="s">
        <v>25</v>
      </c>
      <c r="I102" t="s">
        <v>302</v>
      </c>
    </row>
    <row r="103" spans="1:9" x14ac:dyDescent="0.35">
      <c r="A103">
        <v>35</v>
      </c>
      <c r="B103">
        <v>3</v>
      </c>
      <c r="C103">
        <v>5</v>
      </c>
      <c r="D103">
        <v>1</v>
      </c>
      <c r="E103">
        <v>1320.99</v>
      </c>
      <c r="F103">
        <v>0.2</v>
      </c>
      <c r="G103">
        <v>1320.79</v>
      </c>
      <c r="H103" t="s">
        <v>10</v>
      </c>
      <c r="I103" t="s">
        <v>301</v>
      </c>
    </row>
    <row r="104" spans="1:9" x14ac:dyDescent="0.35">
      <c r="A104">
        <v>35</v>
      </c>
      <c r="B104">
        <v>4</v>
      </c>
      <c r="C104">
        <v>21</v>
      </c>
      <c r="D104">
        <v>2</v>
      </c>
      <c r="E104">
        <v>269.99</v>
      </c>
      <c r="F104">
        <v>0.1</v>
      </c>
      <c r="G104">
        <v>539.91</v>
      </c>
      <c r="H104" t="s">
        <v>18</v>
      </c>
      <c r="I104" t="s">
        <v>301</v>
      </c>
    </row>
    <row r="105" spans="1:9" x14ac:dyDescent="0.35">
      <c r="A105">
        <v>35</v>
      </c>
      <c r="B105">
        <v>5</v>
      </c>
      <c r="C105">
        <v>22</v>
      </c>
      <c r="D105">
        <v>1</v>
      </c>
      <c r="E105">
        <v>269.99</v>
      </c>
      <c r="F105">
        <v>0.1</v>
      </c>
      <c r="G105">
        <v>269.92</v>
      </c>
      <c r="H105" t="s">
        <v>19</v>
      </c>
      <c r="I105" t="s">
        <v>302</v>
      </c>
    </row>
    <row r="106" spans="1:9" x14ac:dyDescent="0.35">
      <c r="A106">
        <v>36</v>
      </c>
      <c r="B106">
        <v>1</v>
      </c>
      <c r="C106">
        <v>9</v>
      </c>
      <c r="D106">
        <v>1</v>
      </c>
      <c r="E106">
        <v>2999.99</v>
      </c>
      <c r="F106">
        <v>0.1</v>
      </c>
      <c r="G106">
        <v>2999.92</v>
      </c>
      <c r="H106" t="s">
        <v>14</v>
      </c>
      <c r="I106" t="s">
        <v>299</v>
      </c>
    </row>
    <row r="107" spans="1:9" x14ac:dyDescent="0.35">
      <c r="A107">
        <v>36</v>
      </c>
      <c r="B107">
        <v>2</v>
      </c>
      <c r="C107">
        <v>5</v>
      </c>
      <c r="D107">
        <v>1</v>
      </c>
      <c r="E107">
        <v>1320.99</v>
      </c>
      <c r="F107">
        <v>0.1</v>
      </c>
      <c r="G107">
        <v>1320.94</v>
      </c>
      <c r="H107" t="s">
        <v>10</v>
      </c>
      <c r="I107" t="s">
        <v>301</v>
      </c>
    </row>
    <row r="108" spans="1:9" x14ac:dyDescent="0.35">
      <c r="A108">
        <v>36</v>
      </c>
      <c r="B108">
        <v>3</v>
      </c>
      <c r="C108">
        <v>3</v>
      </c>
      <c r="D108">
        <v>2</v>
      </c>
      <c r="E108">
        <v>999.99</v>
      </c>
      <c r="F108">
        <v>0.2</v>
      </c>
      <c r="G108">
        <v>1999.78</v>
      </c>
      <c r="H108" t="s">
        <v>8</v>
      </c>
      <c r="I108" t="s">
        <v>301</v>
      </c>
    </row>
    <row r="109" spans="1:9" x14ac:dyDescent="0.35">
      <c r="A109">
        <v>38</v>
      </c>
      <c r="B109">
        <v>1</v>
      </c>
      <c r="C109">
        <v>7</v>
      </c>
      <c r="D109">
        <v>2</v>
      </c>
      <c r="E109">
        <v>3999.99</v>
      </c>
      <c r="F109">
        <v>0.1</v>
      </c>
      <c r="G109">
        <v>7999.93</v>
      </c>
      <c r="H109" t="s">
        <v>12</v>
      </c>
      <c r="I109" t="s">
        <v>301</v>
      </c>
    </row>
    <row r="110" spans="1:9" x14ac:dyDescent="0.35">
      <c r="A110">
        <v>38</v>
      </c>
      <c r="B110">
        <v>2</v>
      </c>
      <c r="C110">
        <v>23</v>
      </c>
      <c r="D110">
        <v>1</v>
      </c>
      <c r="E110">
        <v>299.99</v>
      </c>
      <c r="F110">
        <v>0.1</v>
      </c>
      <c r="G110">
        <v>299.92</v>
      </c>
      <c r="H110" t="s">
        <v>26</v>
      </c>
      <c r="I110" t="s">
        <v>301</v>
      </c>
    </row>
    <row r="111" spans="1:9" x14ac:dyDescent="0.35">
      <c r="A111">
        <v>38</v>
      </c>
      <c r="B111">
        <v>3</v>
      </c>
      <c r="C111">
        <v>25</v>
      </c>
      <c r="D111">
        <v>1</v>
      </c>
      <c r="E111">
        <v>499.99</v>
      </c>
      <c r="F111">
        <v>0.2</v>
      </c>
      <c r="G111">
        <v>499.79</v>
      </c>
      <c r="H111" t="s">
        <v>27</v>
      </c>
      <c r="I111" t="s">
        <v>299</v>
      </c>
    </row>
    <row r="112" spans="1:9" x14ac:dyDescent="0.35">
      <c r="A112">
        <v>38</v>
      </c>
      <c r="B112">
        <v>4</v>
      </c>
      <c r="C112">
        <v>10</v>
      </c>
      <c r="D112">
        <v>2</v>
      </c>
      <c r="E112">
        <v>1549</v>
      </c>
      <c r="F112">
        <v>0.1</v>
      </c>
      <c r="G112">
        <v>3097.9</v>
      </c>
      <c r="H112" t="s">
        <v>15</v>
      </c>
      <c r="I112" t="s">
        <v>300</v>
      </c>
    </row>
    <row r="113" spans="1:9" x14ac:dyDescent="0.35">
      <c r="A113">
        <v>38</v>
      </c>
      <c r="B113">
        <v>5</v>
      </c>
      <c r="C113">
        <v>24</v>
      </c>
      <c r="D113">
        <v>1</v>
      </c>
      <c r="E113">
        <v>549.99</v>
      </c>
      <c r="F113">
        <v>0.1</v>
      </c>
      <c r="G113">
        <v>549.91999999999996</v>
      </c>
      <c r="H113" t="s">
        <v>17</v>
      </c>
      <c r="I113" t="s">
        <v>299</v>
      </c>
    </row>
    <row r="114" spans="1:9" x14ac:dyDescent="0.35">
      <c r="A114">
        <v>39</v>
      </c>
      <c r="B114">
        <v>1</v>
      </c>
      <c r="C114">
        <v>22</v>
      </c>
      <c r="D114">
        <v>2</v>
      </c>
      <c r="E114">
        <v>269.99</v>
      </c>
      <c r="F114">
        <v>0.2</v>
      </c>
      <c r="G114">
        <v>539.78</v>
      </c>
      <c r="H114" t="s">
        <v>19</v>
      </c>
      <c r="I114" t="s">
        <v>301</v>
      </c>
    </row>
    <row r="115" spans="1:9" x14ac:dyDescent="0.35">
      <c r="A115">
        <v>39</v>
      </c>
      <c r="B115">
        <v>2</v>
      </c>
      <c r="C115">
        <v>16</v>
      </c>
      <c r="D115">
        <v>2</v>
      </c>
      <c r="E115">
        <v>599.99</v>
      </c>
      <c r="F115">
        <v>0.2</v>
      </c>
      <c r="G115">
        <v>1199.78</v>
      </c>
      <c r="H115" t="s">
        <v>21</v>
      </c>
      <c r="I115" t="s">
        <v>300</v>
      </c>
    </row>
    <row r="116" spans="1:9" x14ac:dyDescent="0.35">
      <c r="A116">
        <v>39</v>
      </c>
      <c r="B116">
        <v>3</v>
      </c>
      <c r="C116">
        <v>3</v>
      </c>
      <c r="D116">
        <v>2</v>
      </c>
      <c r="E116">
        <v>999.99</v>
      </c>
      <c r="F116">
        <v>0.1</v>
      </c>
      <c r="G116">
        <v>1999.93</v>
      </c>
      <c r="H116" t="s">
        <v>8</v>
      </c>
      <c r="I116" t="s">
        <v>301</v>
      </c>
    </row>
    <row r="117" spans="1:9" x14ac:dyDescent="0.35">
      <c r="A117">
        <v>39</v>
      </c>
      <c r="B117">
        <v>4</v>
      </c>
      <c r="C117">
        <v>15</v>
      </c>
      <c r="D117">
        <v>1</v>
      </c>
      <c r="E117">
        <v>529.99</v>
      </c>
      <c r="F117">
        <v>0.1</v>
      </c>
      <c r="G117">
        <v>529.89</v>
      </c>
      <c r="H117" t="s">
        <v>20</v>
      </c>
      <c r="I117" t="s">
        <v>304</v>
      </c>
    </row>
    <row r="118" spans="1:9" x14ac:dyDescent="0.35">
      <c r="A118">
        <v>40</v>
      </c>
      <c r="B118">
        <v>1</v>
      </c>
      <c r="C118">
        <v>17</v>
      </c>
      <c r="D118">
        <v>1</v>
      </c>
      <c r="E118">
        <v>429</v>
      </c>
      <c r="F118">
        <v>0.2</v>
      </c>
      <c r="G118">
        <v>428.8</v>
      </c>
      <c r="H118" t="s">
        <v>22</v>
      </c>
      <c r="I118" t="s">
        <v>301</v>
      </c>
    </row>
    <row r="119" spans="1:9" x14ac:dyDescent="0.35">
      <c r="A119">
        <v>40</v>
      </c>
      <c r="B119">
        <v>2</v>
      </c>
      <c r="C119">
        <v>8</v>
      </c>
      <c r="D119">
        <v>2</v>
      </c>
      <c r="E119">
        <v>1799.99</v>
      </c>
      <c r="F119">
        <v>0.2</v>
      </c>
      <c r="G119">
        <v>3599.78</v>
      </c>
      <c r="H119" t="s">
        <v>13</v>
      </c>
      <c r="I119" t="s">
        <v>301</v>
      </c>
    </row>
    <row r="120" spans="1:9" x14ac:dyDescent="0.35">
      <c r="A120">
        <v>41</v>
      </c>
      <c r="B120">
        <v>1</v>
      </c>
      <c r="C120">
        <v>5</v>
      </c>
      <c r="D120">
        <v>1</v>
      </c>
      <c r="E120">
        <v>1320.99</v>
      </c>
      <c r="F120">
        <v>0.1</v>
      </c>
      <c r="G120">
        <v>1320.89</v>
      </c>
      <c r="H120" t="s">
        <v>10</v>
      </c>
      <c r="I120" t="s">
        <v>301</v>
      </c>
    </row>
    <row r="121" spans="1:9" x14ac:dyDescent="0.35">
      <c r="A121">
        <v>41</v>
      </c>
      <c r="B121">
        <v>2</v>
      </c>
      <c r="C121">
        <v>19</v>
      </c>
      <c r="D121">
        <v>2</v>
      </c>
      <c r="E121">
        <v>449</v>
      </c>
      <c r="F121">
        <v>0.2</v>
      </c>
      <c r="G121">
        <v>897.8</v>
      </c>
      <c r="H121" t="s">
        <v>24</v>
      </c>
      <c r="I121" t="s">
        <v>301</v>
      </c>
    </row>
    <row r="122" spans="1:9" x14ac:dyDescent="0.35">
      <c r="A122">
        <v>41</v>
      </c>
      <c r="B122">
        <v>3</v>
      </c>
      <c r="C122">
        <v>26</v>
      </c>
      <c r="D122">
        <v>2</v>
      </c>
      <c r="E122">
        <v>599.99</v>
      </c>
      <c r="F122">
        <v>0.2</v>
      </c>
      <c r="G122">
        <v>1199.78</v>
      </c>
      <c r="H122" t="s">
        <v>21</v>
      </c>
      <c r="I122" t="s">
        <v>303</v>
      </c>
    </row>
    <row r="123" spans="1:9" x14ac:dyDescent="0.35">
      <c r="A123">
        <v>43</v>
      </c>
      <c r="B123">
        <v>1</v>
      </c>
      <c r="C123">
        <v>13</v>
      </c>
      <c r="D123">
        <v>2</v>
      </c>
      <c r="E123">
        <v>269.99</v>
      </c>
      <c r="F123">
        <v>0.1</v>
      </c>
      <c r="G123">
        <v>539.88</v>
      </c>
      <c r="H123" t="s">
        <v>18</v>
      </c>
      <c r="I123" t="s">
        <v>300</v>
      </c>
    </row>
    <row r="124" spans="1:9" x14ac:dyDescent="0.35">
      <c r="A124">
        <v>43</v>
      </c>
      <c r="B124">
        <v>2</v>
      </c>
      <c r="C124">
        <v>12</v>
      </c>
      <c r="D124">
        <v>2</v>
      </c>
      <c r="E124">
        <v>549.99</v>
      </c>
      <c r="F124">
        <v>0.1</v>
      </c>
      <c r="G124">
        <v>1099.93</v>
      </c>
      <c r="H124" t="s">
        <v>17</v>
      </c>
      <c r="I124" t="s">
        <v>301</v>
      </c>
    </row>
    <row r="125" spans="1:9" x14ac:dyDescent="0.35">
      <c r="A125">
        <v>44</v>
      </c>
      <c r="B125">
        <v>1</v>
      </c>
      <c r="C125">
        <v>7</v>
      </c>
      <c r="D125">
        <v>1</v>
      </c>
      <c r="E125">
        <v>3999.99</v>
      </c>
      <c r="F125">
        <v>0.1</v>
      </c>
      <c r="G125">
        <v>3999.89</v>
      </c>
      <c r="H125" t="s">
        <v>12</v>
      </c>
      <c r="I125" t="s">
        <v>300</v>
      </c>
    </row>
    <row r="126" spans="1:9" x14ac:dyDescent="0.35">
      <c r="A126">
        <v>44</v>
      </c>
      <c r="B126">
        <v>2</v>
      </c>
      <c r="C126">
        <v>16</v>
      </c>
      <c r="D126">
        <v>1</v>
      </c>
      <c r="E126">
        <v>599.99</v>
      </c>
      <c r="F126">
        <v>0.1</v>
      </c>
      <c r="G126">
        <v>599.94000000000005</v>
      </c>
      <c r="H126" t="s">
        <v>21</v>
      </c>
      <c r="I126" t="s">
        <v>299</v>
      </c>
    </row>
    <row r="127" spans="1:9" x14ac:dyDescent="0.35">
      <c r="A127">
        <v>45</v>
      </c>
      <c r="B127">
        <v>1</v>
      </c>
      <c r="C127">
        <v>4</v>
      </c>
      <c r="D127">
        <v>2</v>
      </c>
      <c r="E127">
        <v>2899.99</v>
      </c>
      <c r="F127">
        <v>0.2</v>
      </c>
      <c r="G127">
        <v>5799.78</v>
      </c>
      <c r="H127" t="s">
        <v>9</v>
      </c>
      <c r="I127" t="s">
        <v>304</v>
      </c>
    </row>
    <row r="128" spans="1:9" x14ac:dyDescent="0.35">
      <c r="A128">
        <v>45</v>
      </c>
      <c r="B128">
        <v>2</v>
      </c>
      <c r="C128">
        <v>22</v>
      </c>
      <c r="D128">
        <v>1</v>
      </c>
      <c r="E128">
        <v>269.99</v>
      </c>
      <c r="F128">
        <v>0.1</v>
      </c>
      <c r="G128">
        <v>269.92</v>
      </c>
      <c r="H128" t="s">
        <v>19</v>
      </c>
      <c r="I128" t="s">
        <v>301</v>
      </c>
    </row>
    <row r="129" spans="1:9" x14ac:dyDescent="0.35">
      <c r="A129">
        <v>45</v>
      </c>
      <c r="B129">
        <v>3</v>
      </c>
      <c r="C129">
        <v>21</v>
      </c>
      <c r="D129">
        <v>2</v>
      </c>
      <c r="E129">
        <v>269.99</v>
      </c>
      <c r="F129">
        <v>0.1</v>
      </c>
      <c r="G129">
        <v>539.92999999999995</v>
      </c>
      <c r="H129" t="s">
        <v>18</v>
      </c>
      <c r="I129" t="s">
        <v>301</v>
      </c>
    </row>
    <row r="130" spans="1:9" x14ac:dyDescent="0.35">
      <c r="A130">
        <v>47</v>
      </c>
      <c r="B130">
        <v>1</v>
      </c>
      <c r="C130">
        <v>6</v>
      </c>
      <c r="D130">
        <v>1</v>
      </c>
      <c r="E130">
        <v>469.99</v>
      </c>
      <c r="F130">
        <v>0.1</v>
      </c>
      <c r="G130">
        <v>469.94</v>
      </c>
      <c r="H130" t="s">
        <v>11</v>
      </c>
      <c r="I130" t="s">
        <v>304</v>
      </c>
    </row>
    <row r="131" spans="1:9" x14ac:dyDescent="0.35">
      <c r="A131">
        <v>47</v>
      </c>
      <c r="B131">
        <v>2</v>
      </c>
      <c r="C131">
        <v>15</v>
      </c>
      <c r="D131">
        <v>1</v>
      </c>
      <c r="E131">
        <v>529.99</v>
      </c>
      <c r="F131">
        <v>0.1</v>
      </c>
      <c r="G131">
        <v>529.89</v>
      </c>
      <c r="H131" t="s">
        <v>20</v>
      </c>
      <c r="I131" t="s">
        <v>299</v>
      </c>
    </row>
    <row r="132" spans="1:9" x14ac:dyDescent="0.35">
      <c r="A132">
        <v>47</v>
      </c>
      <c r="B132">
        <v>3</v>
      </c>
      <c r="C132">
        <v>25</v>
      </c>
      <c r="D132">
        <v>2</v>
      </c>
      <c r="E132">
        <v>499.99</v>
      </c>
      <c r="F132">
        <v>0.1</v>
      </c>
      <c r="G132">
        <v>999.91</v>
      </c>
      <c r="H132" t="s">
        <v>27</v>
      </c>
      <c r="I132" t="s">
        <v>301</v>
      </c>
    </row>
    <row r="133" spans="1:9" x14ac:dyDescent="0.35">
      <c r="A133">
        <v>47</v>
      </c>
      <c r="B133">
        <v>4</v>
      </c>
      <c r="C133">
        <v>13</v>
      </c>
      <c r="D133">
        <v>1</v>
      </c>
      <c r="E133">
        <v>269.99</v>
      </c>
      <c r="F133">
        <v>0.2</v>
      </c>
      <c r="G133">
        <v>269.79000000000002</v>
      </c>
      <c r="H133" t="s">
        <v>18</v>
      </c>
      <c r="I133" t="s">
        <v>301</v>
      </c>
    </row>
    <row r="134" spans="1:9" x14ac:dyDescent="0.35">
      <c r="A134">
        <v>48</v>
      </c>
      <c r="B134">
        <v>1</v>
      </c>
      <c r="C134">
        <v>11</v>
      </c>
      <c r="D134">
        <v>1</v>
      </c>
      <c r="E134">
        <v>1680.99</v>
      </c>
      <c r="F134">
        <v>0.1</v>
      </c>
      <c r="G134">
        <v>1680.89</v>
      </c>
      <c r="H134" t="s">
        <v>16</v>
      </c>
      <c r="I134" t="s">
        <v>301</v>
      </c>
    </row>
    <row r="135" spans="1:9" x14ac:dyDescent="0.35">
      <c r="A135">
        <v>48</v>
      </c>
      <c r="B135">
        <v>2</v>
      </c>
      <c r="C135">
        <v>4</v>
      </c>
      <c r="D135">
        <v>1</v>
      </c>
      <c r="E135">
        <v>2899.99</v>
      </c>
      <c r="F135">
        <v>0.2</v>
      </c>
      <c r="G135">
        <v>2899.79</v>
      </c>
      <c r="H135" t="s">
        <v>9</v>
      </c>
      <c r="I135" t="s">
        <v>301</v>
      </c>
    </row>
    <row r="136" spans="1:9" x14ac:dyDescent="0.35">
      <c r="A136">
        <v>48</v>
      </c>
      <c r="B136">
        <v>3</v>
      </c>
      <c r="C136">
        <v>5</v>
      </c>
      <c r="D136">
        <v>2</v>
      </c>
      <c r="E136">
        <v>1320.99</v>
      </c>
      <c r="F136">
        <v>0.1</v>
      </c>
      <c r="G136">
        <v>2641.88</v>
      </c>
      <c r="H136" t="s">
        <v>10</v>
      </c>
      <c r="I136" t="s">
        <v>301</v>
      </c>
    </row>
    <row r="137" spans="1:9" x14ac:dyDescent="0.35">
      <c r="A137">
        <v>48</v>
      </c>
      <c r="B137">
        <v>4</v>
      </c>
      <c r="C137">
        <v>14</v>
      </c>
      <c r="D137">
        <v>2</v>
      </c>
      <c r="E137">
        <v>269.99</v>
      </c>
      <c r="F137">
        <v>0.1</v>
      </c>
      <c r="G137">
        <v>539.91</v>
      </c>
      <c r="H137" t="s">
        <v>19</v>
      </c>
      <c r="I137" t="s">
        <v>304</v>
      </c>
    </row>
    <row r="138" spans="1:9" x14ac:dyDescent="0.35">
      <c r="A138">
        <v>50</v>
      </c>
      <c r="B138">
        <v>1</v>
      </c>
      <c r="C138">
        <v>3</v>
      </c>
      <c r="D138">
        <v>1</v>
      </c>
      <c r="E138">
        <v>999.99</v>
      </c>
      <c r="F138">
        <v>0.1</v>
      </c>
      <c r="G138">
        <v>999.94</v>
      </c>
      <c r="H138" t="s">
        <v>8</v>
      </c>
      <c r="I138" t="s">
        <v>302</v>
      </c>
    </row>
    <row r="139" spans="1:9" x14ac:dyDescent="0.35">
      <c r="A139">
        <v>50</v>
      </c>
      <c r="B139">
        <v>2</v>
      </c>
      <c r="C139">
        <v>26</v>
      </c>
      <c r="D139">
        <v>2</v>
      </c>
      <c r="E139">
        <v>599.99</v>
      </c>
      <c r="F139">
        <v>0.1</v>
      </c>
      <c r="G139">
        <v>1199.9100000000001</v>
      </c>
      <c r="H139" t="s">
        <v>21</v>
      </c>
      <c r="I139" t="s">
        <v>304</v>
      </c>
    </row>
    <row r="140" spans="1:9" x14ac:dyDescent="0.35">
      <c r="A140">
        <v>50</v>
      </c>
      <c r="B140">
        <v>3</v>
      </c>
      <c r="C140">
        <v>13</v>
      </c>
      <c r="D140">
        <v>2</v>
      </c>
      <c r="E140">
        <v>269.99</v>
      </c>
      <c r="F140">
        <v>0.2</v>
      </c>
      <c r="G140">
        <v>539.78</v>
      </c>
      <c r="H140" t="s">
        <v>18</v>
      </c>
      <c r="I140" t="s">
        <v>300</v>
      </c>
    </row>
    <row r="141" spans="1:9" x14ac:dyDescent="0.35">
      <c r="A141">
        <v>51</v>
      </c>
      <c r="B141">
        <v>1</v>
      </c>
      <c r="C141">
        <v>13</v>
      </c>
      <c r="D141">
        <v>1</v>
      </c>
      <c r="E141">
        <v>269.99</v>
      </c>
      <c r="F141">
        <v>0.1</v>
      </c>
      <c r="G141">
        <v>269.94</v>
      </c>
      <c r="H141" t="s">
        <v>18</v>
      </c>
      <c r="I141" t="s">
        <v>301</v>
      </c>
    </row>
    <row r="142" spans="1:9" x14ac:dyDescent="0.35">
      <c r="A142">
        <v>51</v>
      </c>
      <c r="B142">
        <v>2</v>
      </c>
      <c r="C142">
        <v>20</v>
      </c>
      <c r="D142">
        <v>1</v>
      </c>
      <c r="E142">
        <v>599.99</v>
      </c>
      <c r="F142">
        <v>0.1</v>
      </c>
      <c r="G142">
        <v>599.94000000000005</v>
      </c>
      <c r="H142" t="s">
        <v>25</v>
      </c>
      <c r="I142" t="s">
        <v>301</v>
      </c>
    </row>
    <row r="143" spans="1:9" x14ac:dyDescent="0.35">
      <c r="A143">
        <v>51</v>
      </c>
      <c r="B143">
        <v>3</v>
      </c>
      <c r="C143">
        <v>26</v>
      </c>
      <c r="D143">
        <v>2</v>
      </c>
      <c r="E143">
        <v>599.99</v>
      </c>
      <c r="F143">
        <v>0.2</v>
      </c>
      <c r="G143">
        <v>1199.78</v>
      </c>
      <c r="H143" t="s">
        <v>21</v>
      </c>
      <c r="I143" t="s">
        <v>304</v>
      </c>
    </row>
    <row r="144" spans="1:9" x14ac:dyDescent="0.35">
      <c r="A144">
        <v>53</v>
      </c>
      <c r="B144">
        <v>1</v>
      </c>
      <c r="C144">
        <v>8</v>
      </c>
      <c r="D144">
        <v>2</v>
      </c>
      <c r="E144">
        <v>1799.99</v>
      </c>
      <c r="F144">
        <v>0.2</v>
      </c>
      <c r="G144">
        <v>3599.78</v>
      </c>
      <c r="H144" t="s">
        <v>13</v>
      </c>
      <c r="I144" t="s">
        <v>304</v>
      </c>
    </row>
    <row r="145" spans="1:9" x14ac:dyDescent="0.35">
      <c r="A145">
        <v>53</v>
      </c>
      <c r="B145">
        <v>2</v>
      </c>
      <c r="C145">
        <v>23</v>
      </c>
      <c r="D145">
        <v>2</v>
      </c>
      <c r="E145">
        <v>299.99</v>
      </c>
      <c r="F145">
        <v>0.1</v>
      </c>
      <c r="G145">
        <v>599.92999999999995</v>
      </c>
      <c r="H145" t="s">
        <v>26</v>
      </c>
      <c r="I145" t="s">
        <v>301</v>
      </c>
    </row>
    <row r="146" spans="1:9" x14ac:dyDescent="0.35">
      <c r="A146">
        <v>53</v>
      </c>
      <c r="B146">
        <v>3</v>
      </c>
      <c r="C146">
        <v>14</v>
      </c>
      <c r="D146">
        <v>2</v>
      </c>
      <c r="E146">
        <v>269.99</v>
      </c>
      <c r="F146">
        <v>0.2</v>
      </c>
      <c r="G146">
        <v>539.78</v>
      </c>
      <c r="H146" t="s">
        <v>19</v>
      </c>
      <c r="I146" t="s">
        <v>301</v>
      </c>
    </row>
    <row r="147" spans="1:9" x14ac:dyDescent="0.35">
      <c r="A147">
        <v>53</v>
      </c>
      <c r="B147">
        <v>4</v>
      </c>
      <c r="C147">
        <v>25</v>
      </c>
      <c r="D147">
        <v>2</v>
      </c>
      <c r="E147">
        <v>499.99</v>
      </c>
      <c r="F147">
        <v>0.1</v>
      </c>
      <c r="G147">
        <v>999.88</v>
      </c>
      <c r="H147" t="s">
        <v>27</v>
      </c>
      <c r="I147" t="s">
        <v>304</v>
      </c>
    </row>
    <row r="148" spans="1:9" x14ac:dyDescent="0.35">
      <c r="A148">
        <v>54</v>
      </c>
      <c r="B148">
        <v>1</v>
      </c>
      <c r="C148">
        <v>26</v>
      </c>
      <c r="D148">
        <v>2</v>
      </c>
      <c r="E148">
        <v>599.99</v>
      </c>
      <c r="F148">
        <v>0.2</v>
      </c>
      <c r="G148">
        <v>1199.78</v>
      </c>
      <c r="H148" t="s">
        <v>21</v>
      </c>
      <c r="I148" t="s">
        <v>301</v>
      </c>
    </row>
    <row r="149" spans="1:9" x14ac:dyDescent="0.35">
      <c r="A149">
        <v>54</v>
      </c>
      <c r="B149">
        <v>2</v>
      </c>
      <c r="C149">
        <v>3</v>
      </c>
      <c r="D149">
        <v>1</v>
      </c>
      <c r="E149">
        <v>999.99</v>
      </c>
      <c r="F149">
        <v>0.2</v>
      </c>
      <c r="G149">
        <v>999.79</v>
      </c>
      <c r="H149" t="s">
        <v>8</v>
      </c>
      <c r="I149" t="s">
        <v>304</v>
      </c>
    </row>
    <row r="150" spans="1:9" x14ac:dyDescent="0.35">
      <c r="A150">
        <v>55</v>
      </c>
      <c r="B150">
        <v>1</v>
      </c>
      <c r="C150">
        <v>21</v>
      </c>
      <c r="D150">
        <v>1</v>
      </c>
      <c r="E150">
        <v>269.99</v>
      </c>
      <c r="F150">
        <v>0.1</v>
      </c>
      <c r="G150">
        <v>269.94</v>
      </c>
      <c r="H150" t="s">
        <v>18</v>
      </c>
      <c r="I150" t="s">
        <v>300</v>
      </c>
    </row>
    <row r="151" spans="1:9" x14ac:dyDescent="0.35">
      <c r="A151">
        <v>55</v>
      </c>
      <c r="B151">
        <v>2</v>
      </c>
      <c r="C151">
        <v>25</v>
      </c>
      <c r="D151">
        <v>2</v>
      </c>
      <c r="E151">
        <v>499.99</v>
      </c>
      <c r="F151">
        <v>0.2</v>
      </c>
      <c r="G151">
        <v>999.78</v>
      </c>
      <c r="H151" t="s">
        <v>27</v>
      </c>
      <c r="I151" t="s">
        <v>301</v>
      </c>
    </row>
    <row r="152" spans="1:9" x14ac:dyDescent="0.35">
      <c r="A152">
        <v>55</v>
      </c>
      <c r="B152">
        <v>3</v>
      </c>
      <c r="C152">
        <v>15</v>
      </c>
      <c r="D152">
        <v>2</v>
      </c>
      <c r="E152">
        <v>529.99</v>
      </c>
      <c r="F152">
        <v>0.2</v>
      </c>
      <c r="G152">
        <v>1059.78</v>
      </c>
      <c r="H152" t="s">
        <v>20</v>
      </c>
      <c r="I152" t="s">
        <v>299</v>
      </c>
    </row>
    <row r="153" spans="1:9" x14ac:dyDescent="0.35">
      <c r="A153">
        <v>57</v>
      </c>
      <c r="B153">
        <v>1</v>
      </c>
      <c r="C153">
        <v>23</v>
      </c>
      <c r="D153">
        <v>2</v>
      </c>
      <c r="E153">
        <v>299.99</v>
      </c>
      <c r="F153">
        <v>0.1</v>
      </c>
      <c r="G153">
        <v>599.88</v>
      </c>
      <c r="H153" t="s">
        <v>26</v>
      </c>
      <c r="I153" t="s">
        <v>301</v>
      </c>
    </row>
    <row r="154" spans="1:9" x14ac:dyDescent="0.35">
      <c r="A154">
        <v>57</v>
      </c>
      <c r="B154">
        <v>2</v>
      </c>
      <c r="C154">
        <v>19</v>
      </c>
      <c r="D154">
        <v>2</v>
      </c>
      <c r="E154">
        <v>449</v>
      </c>
      <c r="F154">
        <v>0.2</v>
      </c>
      <c r="G154">
        <v>897.8</v>
      </c>
      <c r="H154" t="s">
        <v>24</v>
      </c>
      <c r="I154" t="s">
        <v>301</v>
      </c>
    </row>
    <row r="155" spans="1:9" x14ac:dyDescent="0.35">
      <c r="A155">
        <v>57</v>
      </c>
      <c r="B155">
        <v>3</v>
      </c>
      <c r="C155">
        <v>13</v>
      </c>
      <c r="D155">
        <v>1</v>
      </c>
      <c r="E155">
        <v>269.99</v>
      </c>
      <c r="F155">
        <v>0.1</v>
      </c>
      <c r="G155">
        <v>269.92</v>
      </c>
      <c r="H155" t="s">
        <v>18</v>
      </c>
      <c r="I155" t="s">
        <v>304</v>
      </c>
    </row>
    <row r="156" spans="1:9" x14ac:dyDescent="0.35">
      <c r="A156">
        <v>58</v>
      </c>
      <c r="B156">
        <v>1</v>
      </c>
      <c r="C156">
        <v>14</v>
      </c>
      <c r="D156">
        <v>2</v>
      </c>
      <c r="E156">
        <v>269.99</v>
      </c>
      <c r="F156">
        <v>0.1</v>
      </c>
      <c r="G156">
        <v>539.92999999999995</v>
      </c>
      <c r="H156" t="s">
        <v>19</v>
      </c>
      <c r="I156" t="s">
        <v>304</v>
      </c>
    </row>
    <row r="157" spans="1:9" x14ac:dyDescent="0.35">
      <c r="A157">
        <v>58</v>
      </c>
      <c r="B157">
        <v>2</v>
      </c>
      <c r="C157">
        <v>18</v>
      </c>
      <c r="D157">
        <v>1</v>
      </c>
      <c r="E157">
        <v>449</v>
      </c>
      <c r="F157">
        <v>0.1</v>
      </c>
      <c r="G157">
        <v>448.93</v>
      </c>
      <c r="H157" t="s">
        <v>23</v>
      </c>
      <c r="I157" t="s">
        <v>302</v>
      </c>
    </row>
    <row r="158" spans="1:9" x14ac:dyDescent="0.35">
      <c r="A158">
        <v>58</v>
      </c>
      <c r="B158">
        <v>3</v>
      </c>
      <c r="C158">
        <v>23</v>
      </c>
      <c r="D158">
        <v>1</v>
      </c>
      <c r="E158">
        <v>299.99</v>
      </c>
      <c r="F158">
        <v>0.1</v>
      </c>
      <c r="G158">
        <v>299.89</v>
      </c>
      <c r="H158" t="s">
        <v>26</v>
      </c>
      <c r="I158" t="s">
        <v>301</v>
      </c>
    </row>
    <row r="159" spans="1:9" x14ac:dyDescent="0.35">
      <c r="A159">
        <v>59</v>
      </c>
      <c r="B159">
        <v>1</v>
      </c>
      <c r="C159">
        <v>21</v>
      </c>
      <c r="D159">
        <v>1</v>
      </c>
      <c r="E159">
        <v>269.99</v>
      </c>
      <c r="F159">
        <v>0.1</v>
      </c>
      <c r="G159">
        <v>269.94</v>
      </c>
      <c r="H159" t="s">
        <v>18</v>
      </c>
      <c r="I159" t="s">
        <v>304</v>
      </c>
    </row>
    <row r="160" spans="1:9" x14ac:dyDescent="0.35">
      <c r="A160">
        <v>59</v>
      </c>
      <c r="B160">
        <v>2</v>
      </c>
      <c r="C160">
        <v>2</v>
      </c>
      <c r="D160">
        <v>1</v>
      </c>
      <c r="E160">
        <v>749.99</v>
      </c>
      <c r="F160">
        <v>0.1</v>
      </c>
      <c r="G160">
        <v>749.89</v>
      </c>
      <c r="H160" t="s">
        <v>7</v>
      </c>
      <c r="I160" t="s">
        <v>301</v>
      </c>
    </row>
    <row r="161" spans="1:9" x14ac:dyDescent="0.35">
      <c r="A161">
        <v>59</v>
      </c>
      <c r="B161">
        <v>3</v>
      </c>
      <c r="C161">
        <v>17</v>
      </c>
      <c r="D161">
        <v>2</v>
      </c>
      <c r="E161">
        <v>429</v>
      </c>
      <c r="F161">
        <v>0.1</v>
      </c>
      <c r="G161">
        <v>857.9</v>
      </c>
      <c r="H161" t="s">
        <v>22</v>
      </c>
      <c r="I161" t="s">
        <v>301</v>
      </c>
    </row>
    <row r="162" spans="1:9" x14ac:dyDescent="0.35">
      <c r="A162">
        <v>60</v>
      </c>
      <c r="B162">
        <v>1</v>
      </c>
      <c r="C162">
        <v>14</v>
      </c>
      <c r="D162">
        <v>2</v>
      </c>
      <c r="E162">
        <v>269.99</v>
      </c>
      <c r="F162">
        <v>0.1</v>
      </c>
      <c r="G162">
        <v>539.92999999999995</v>
      </c>
      <c r="H162" t="s">
        <v>19</v>
      </c>
      <c r="I162" t="s">
        <v>304</v>
      </c>
    </row>
    <row r="163" spans="1:9" x14ac:dyDescent="0.35">
      <c r="A163">
        <v>60</v>
      </c>
      <c r="B163">
        <v>2</v>
      </c>
      <c r="C163">
        <v>4</v>
      </c>
      <c r="D163">
        <v>1</v>
      </c>
      <c r="E163">
        <v>2899.99</v>
      </c>
      <c r="F163">
        <v>0.1</v>
      </c>
      <c r="G163">
        <v>2899.89</v>
      </c>
      <c r="H163" t="s">
        <v>9</v>
      </c>
      <c r="I163" t="s">
        <v>299</v>
      </c>
    </row>
    <row r="164" spans="1:9" x14ac:dyDescent="0.35">
      <c r="A164">
        <v>60</v>
      </c>
      <c r="B164">
        <v>3</v>
      </c>
      <c r="C164">
        <v>15</v>
      </c>
      <c r="D164">
        <v>1</v>
      </c>
      <c r="E164">
        <v>529.99</v>
      </c>
      <c r="F164">
        <v>0.1</v>
      </c>
      <c r="G164">
        <v>529.91999999999996</v>
      </c>
      <c r="H164" t="s">
        <v>20</v>
      </c>
      <c r="I164" t="s">
        <v>301</v>
      </c>
    </row>
    <row r="165" spans="1:9" x14ac:dyDescent="0.35">
      <c r="A165">
        <v>60</v>
      </c>
      <c r="B165">
        <v>4</v>
      </c>
      <c r="C165">
        <v>22</v>
      </c>
      <c r="D165">
        <v>1</v>
      </c>
      <c r="E165">
        <v>269.99</v>
      </c>
      <c r="F165">
        <v>0.2</v>
      </c>
      <c r="G165">
        <v>269.79000000000002</v>
      </c>
      <c r="H165" t="s">
        <v>19</v>
      </c>
      <c r="I165" t="s">
        <v>299</v>
      </c>
    </row>
    <row r="166" spans="1:9" x14ac:dyDescent="0.35">
      <c r="A166">
        <v>61</v>
      </c>
      <c r="B166">
        <v>1</v>
      </c>
      <c r="C166">
        <v>25</v>
      </c>
      <c r="D166">
        <v>1</v>
      </c>
      <c r="E166">
        <v>499.99</v>
      </c>
      <c r="F166">
        <v>0.1</v>
      </c>
      <c r="G166">
        <v>499.89</v>
      </c>
      <c r="H166" t="s">
        <v>27</v>
      </c>
      <c r="I166" t="s">
        <v>304</v>
      </c>
    </row>
    <row r="167" spans="1:9" x14ac:dyDescent="0.35">
      <c r="A167">
        <v>61</v>
      </c>
      <c r="B167">
        <v>2</v>
      </c>
      <c r="C167">
        <v>15</v>
      </c>
      <c r="D167">
        <v>2</v>
      </c>
      <c r="E167">
        <v>529.99</v>
      </c>
      <c r="F167">
        <v>0.1</v>
      </c>
      <c r="G167">
        <v>1059.93</v>
      </c>
      <c r="H167" t="s">
        <v>20</v>
      </c>
      <c r="I167" t="s">
        <v>304</v>
      </c>
    </row>
    <row r="168" spans="1:9" x14ac:dyDescent="0.35">
      <c r="A168">
        <v>61</v>
      </c>
      <c r="B168">
        <v>3</v>
      </c>
      <c r="C168">
        <v>5</v>
      </c>
      <c r="D168">
        <v>2</v>
      </c>
      <c r="E168">
        <v>1320.99</v>
      </c>
      <c r="F168">
        <v>0.2</v>
      </c>
      <c r="G168">
        <v>2641.78</v>
      </c>
      <c r="H168" t="s">
        <v>10</v>
      </c>
      <c r="I168" t="s">
        <v>301</v>
      </c>
    </row>
    <row r="169" spans="1:9" x14ac:dyDescent="0.35">
      <c r="A169">
        <v>62</v>
      </c>
      <c r="B169">
        <v>1</v>
      </c>
      <c r="C169">
        <v>14</v>
      </c>
      <c r="D169">
        <v>1</v>
      </c>
      <c r="E169">
        <v>269.99</v>
      </c>
      <c r="F169">
        <v>0.1</v>
      </c>
      <c r="G169">
        <v>269.92</v>
      </c>
      <c r="H169" t="s">
        <v>19</v>
      </c>
      <c r="I169" t="s">
        <v>302</v>
      </c>
    </row>
    <row r="170" spans="1:9" x14ac:dyDescent="0.35">
      <c r="A170">
        <v>62</v>
      </c>
      <c r="B170">
        <v>2</v>
      </c>
      <c r="C170">
        <v>8</v>
      </c>
      <c r="D170">
        <v>2</v>
      </c>
      <c r="E170">
        <v>1799.99</v>
      </c>
      <c r="F170">
        <v>0.1</v>
      </c>
      <c r="G170">
        <v>3599.88</v>
      </c>
      <c r="H170" t="s">
        <v>13</v>
      </c>
      <c r="I170" t="s">
        <v>301</v>
      </c>
    </row>
    <row r="171" spans="1:9" x14ac:dyDescent="0.35">
      <c r="A171">
        <v>62</v>
      </c>
      <c r="B171">
        <v>3</v>
      </c>
      <c r="C171">
        <v>22</v>
      </c>
      <c r="D171">
        <v>2</v>
      </c>
      <c r="E171">
        <v>269.99</v>
      </c>
      <c r="F171">
        <v>0.1</v>
      </c>
      <c r="G171">
        <v>539.88</v>
      </c>
      <c r="H171" t="s">
        <v>19</v>
      </c>
      <c r="I171" t="s">
        <v>301</v>
      </c>
    </row>
    <row r="172" spans="1:9" x14ac:dyDescent="0.35">
      <c r="A172">
        <v>63</v>
      </c>
      <c r="B172">
        <v>1</v>
      </c>
      <c r="C172">
        <v>25</v>
      </c>
      <c r="D172">
        <v>2</v>
      </c>
      <c r="E172">
        <v>499.99</v>
      </c>
      <c r="F172">
        <v>0.1</v>
      </c>
      <c r="G172">
        <v>999.88</v>
      </c>
      <c r="H172" t="s">
        <v>27</v>
      </c>
      <c r="I172" t="s">
        <v>302</v>
      </c>
    </row>
    <row r="173" spans="1:9" x14ac:dyDescent="0.35">
      <c r="A173">
        <v>63</v>
      </c>
      <c r="B173">
        <v>2</v>
      </c>
      <c r="C173">
        <v>19</v>
      </c>
      <c r="D173">
        <v>2</v>
      </c>
      <c r="E173">
        <v>449</v>
      </c>
      <c r="F173">
        <v>0.1</v>
      </c>
      <c r="G173">
        <v>897.95</v>
      </c>
      <c r="H173" t="s">
        <v>24</v>
      </c>
      <c r="I173" t="s">
        <v>300</v>
      </c>
    </row>
    <row r="174" spans="1:9" x14ac:dyDescent="0.35">
      <c r="A174">
        <v>63</v>
      </c>
      <c r="B174">
        <v>3</v>
      </c>
      <c r="C174">
        <v>3</v>
      </c>
      <c r="D174">
        <v>1</v>
      </c>
      <c r="E174">
        <v>999.99</v>
      </c>
      <c r="F174">
        <v>0.1</v>
      </c>
      <c r="G174">
        <v>999.89</v>
      </c>
      <c r="H174" t="s">
        <v>8</v>
      </c>
      <c r="I174" t="s">
        <v>302</v>
      </c>
    </row>
    <row r="175" spans="1:9" x14ac:dyDescent="0.35">
      <c r="A175">
        <v>64</v>
      </c>
      <c r="B175">
        <v>1</v>
      </c>
      <c r="C175">
        <v>25</v>
      </c>
      <c r="D175">
        <v>2</v>
      </c>
      <c r="E175">
        <v>499.99</v>
      </c>
      <c r="F175">
        <v>0.1</v>
      </c>
      <c r="G175">
        <v>999.88</v>
      </c>
      <c r="H175" t="s">
        <v>27</v>
      </c>
      <c r="I175" t="s">
        <v>304</v>
      </c>
    </row>
    <row r="176" spans="1:9" x14ac:dyDescent="0.35">
      <c r="A176">
        <v>64</v>
      </c>
      <c r="B176">
        <v>2</v>
      </c>
      <c r="C176">
        <v>22</v>
      </c>
      <c r="D176">
        <v>2</v>
      </c>
      <c r="E176">
        <v>269.99</v>
      </c>
      <c r="F176">
        <v>0.2</v>
      </c>
      <c r="G176">
        <v>539.78</v>
      </c>
      <c r="H176" t="s">
        <v>19</v>
      </c>
      <c r="I176" t="s">
        <v>301</v>
      </c>
    </row>
    <row r="177" spans="1:9" x14ac:dyDescent="0.35">
      <c r="A177">
        <v>64</v>
      </c>
      <c r="B177">
        <v>3</v>
      </c>
      <c r="C177">
        <v>23</v>
      </c>
      <c r="D177">
        <v>2</v>
      </c>
      <c r="E177">
        <v>299.99</v>
      </c>
      <c r="F177">
        <v>0.2</v>
      </c>
      <c r="G177">
        <v>599.78</v>
      </c>
      <c r="H177" t="s">
        <v>26</v>
      </c>
      <c r="I177" t="s">
        <v>304</v>
      </c>
    </row>
    <row r="178" spans="1:9" x14ac:dyDescent="0.35">
      <c r="A178">
        <v>64</v>
      </c>
      <c r="B178">
        <v>4</v>
      </c>
      <c r="C178">
        <v>24</v>
      </c>
      <c r="D178">
        <v>2</v>
      </c>
      <c r="E178">
        <v>549.99</v>
      </c>
      <c r="F178">
        <v>0.1</v>
      </c>
      <c r="G178">
        <v>1099.8800000000001</v>
      </c>
      <c r="H178" t="s">
        <v>17</v>
      </c>
      <c r="I178" t="s">
        <v>304</v>
      </c>
    </row>
    <row r="179" spans="1:9" x14ac:dyDescent="0.35">
      <c r="A179">
        <v>66</v>
      </c>
      <c r="B179">
        <v>1</v>
      </c>
      <c r="C179">
        <v>2</v>
      </c>
      <c r="D179">
        <v>1</v>
      </c>
      <c r="E179">
        <v>749.99</v>
      </c>
      <c r="F179">
        <v>0.2</v>
      </c>
      <c r="G179">
        <v>749.79</v>
      </c>
      <c r="H179" t="s">
        <v>7</v>
      </c>
      <c r="I179" t="s">
        <v>301</v>
      </c>
    </row>
    <row r="180" spans="1:9" x14ac:dyDescent="0.35">
      <c r="A180">
        <v>66</v>
      </c>
      <c r="B180">
        <v>2</v>
      </c>
      <c r="C180">
        <v>23</v>
      </c>
      <c r="D180">
        <v>1</v>
      </c>
      <c r="E180">
        <v>299.99</v>
      </c>
      <c r="F180">
        <v>0.1</v>
      </c>
      <c r="G180">
        <v>299.92</v>
      </c>
      <c r="H180" t="s">
        <v>26</v>
      </c>
      <c r="I180" t="s">
        <v>300</v>
      </c>
    </row>
    <row r="181" spans="1:9" x14ac:dyDescent="0.35">
      <c r="A181">
        <v>66</v>
      </c>
      <c r="B181">
        <v>3</v>
      </c>
      <c r="C181">
        <v>12</v>
      </c>
      <c r="D181">
        <v>1</v>
      </c>
      <c r="E181">
        <v>549.99</v>
      </c>
      <c r="F181">
        <v>0.1</v>
      </c>
      <c r="G181">
        <v>549.91999999999996</v>
      </c>
      <c r="H181" t="s">
        <v>17</v>
      </c>
      <c r="I181" t="s">
        <v>300</v>
      </c>
    </row>
    <row r="182" spans="1:9" x14ac:dyDescent="0.35">
      <c r="A182">
        <v>67</v>
      </c>
      <c r="B182">
        <v>1</v>
      </c>
      <c r="C182">
        <v>23</v>
      </c>
      <c r="D182">
        <v>2</v>
      </c>
      <c r="E182">
        <v>299.99</v>
      </c>
      <c r="F182">
        <v>0.2</v>
      </c>
      <c r="G182">
        <v>599.78</v>
      </c>
      <c r="H182" t="s">
        <v>26</v>
      </c>
      <c r="I182" t="s">
        <v>304</v>
      </c>
    </row>
    <row r="183" spans="1:9" x14ac:dyDescent="0.35">
      <c r="A183">
        <v>67</v>
      </c>
      <c r="B183">
        <v>2</v>
      </c>
      <c r="C183">
        <v>12</v>
      </c>
      <c r="D183">
        <v>2</v>
      </c>
      <c r="E183">
        <v>549.99</v>
      </c>
      <c r="F183">
        <v>0.1</v>
      </c>
      <c r="G183">
        <v>1099.8800000000001</v>
      </c>
      <c r="H183" t="s">
        <v>17</v>
      </c>
      <c r="I183" t="s">
        <v>301</v>
      </c>
    </row>
    <row r="184" spans="1:9" x14ac:dyDescent="0.35">
      <c r="A184">
        <v>67</v>
      </c>
      <c r="B184">
        <v>3</v>
      </c>
      <c r="C184">
        <v>21</v>
      </c>
      <c r="D184">
        <v>1</v>
      </c>
      <c r="E184">
        <v>269.99</v>
      </c>
      <c r="F184">
        <v>0.2</v>
      </c>
      <c r="G184">
        <v>269.79000000000002</v>
      </c>
      <c r="H184" t="s">
        <v>18</v>
      </c>
      <c r="I184" t="s">
        <v>299</v>
      </c>
    </row>
    <row r="185" spans="1:9" x14ac:dyDescent="0.35">
      <c r="A185">
        <v>67</v>
      </c>
      <c r="B185">
        <v>4</v>
      </c>
      <c r="C185">
        <v>5</v>
      </c>
      <c r="D185">
        <v>2</v>
      </c>
      <c r="E185">
        <v>1320.99</v>
      </c>
      <c r="F185">
        <v>0.1</v>
      </c>
      <c r="G185">
        <v>2641.88</v>
      </c>
      <c r="H185" t="s">
        <v>10</v>
      </c>
      <c r="I185" t="s">
        <v>301</v>
      </c>
    </row>
    <row r="186" spans="1:9" x14ac:dyDescent="0.35">
      <c r="A186">
        <v>67</v>
      </c>
      <c r="B186">
        <v>5</v>
      </c>
      <c r="C186">
        <v>19</v>
      </c>
      <c r="D186">
        <v>1</v>
      </c>
      <c r="E186">
        <v>449</v>
      </c>
      <c r="F186">
        <v>0.2</v>
      </c>
      <c r="G186">
        <v>448.8</v>
      </c>
      <c r="H186" t="s">
        <v>24</v>
      </c>
      <c r="I186" t="s">
        <v>304</v>
      </c>
    </row>
    <row r="187" spans="1:9" x14ac:dyDescent="0.35">
      <c r="A187">
        <v>68</v>
      </c>
      <c r="B187">
        <v>1</v>
      </c>
      <c r="C187">
        <v>13</v>
      </c>
      <c r="D187">
        <v>2</v>
      </c>
      <c r="E187">
        <v>269.99</v>
      </c>
      <c r="F187">
        <v>0.1</v>
      </c>
      <c r="G187">
        <v>539.91</v>
      </c>
      <c r="H187" t="s">
        <v>18</v>
      </c>
      <c r="I187" t="s">
        <v>304</v>
      </c>
    </row>
    <row r="188" spans="1:9" x14ac:dyDescent="0.35">
      <c r="A188">
        <v>68</v>
      </c>
      <c r="B188">
        <v>2</v>
      </c>
      <c r="C188">
        <v>17</v>
      </c>
      <c r="D188">
        <v>1</v>
      </c>
      <c r="E188">
        <v>429</v>
      </c>
      <c r="F188">
        <v>0.1</v>
      </c>
      <c r="G188">
        <v>428.9</v>
      </c>
      <c r="H188" t="s">
        <v>22</v>
      </c>
      <c r="I188" t="s">
        <v>304</v>
      </c>
    </row>
    <row r="189" spans="1:9" x14ac:dyDescent="0.35">
      <c r="A189">
        <v>69</v>
      </c>
      <c r="B189">
        <v>1</v>
      </c>
      <c r="C189">
        <v>22</v>
      </c>
      <c r="D189">
        <v>2</v>
      </c>
      <c r="E189">
        <v>269.99</v>
      </c>
      <c r="F189">
        <v>0.1</v>
      </c>
      <c r="G189">
        <v>539.88</v>
      </c>
      <c r="H189" t="s">
        <v>19</v>
      </c>
      <c r="I189" t="s">
        <v>300</v>
      </c>
    </row>
    <row r="190" spans="1:9" x14ac:dyDescent="0.35">
      <c r="A190">
        <v>69</v>
      </c>
      <c r="B190">
        <v>2</v>
      </c>
      <c r="C190">
        <v>5</v>
      </c>
      <c r="D190">
        <v>1</v>
      </c>
      <c r="E190">
        <v>1320.99</v>
      </c>
      <c r="F190">
        <v>0.2</v>
      </c>
      <c r="G190">
        <v>1320.79</v>
      </c>
      <c r="H190" t="s">
        <v>10</v>
      </c>
      <c r="I190" t="s">
        <v>299</v>
      </c>
    </row>
    <row r="191" spans="1:9" x14ac:dyDescent="0.35">
      <c r="A191">
        <v>69</v>
      </c>
      <c r="B191">
        <v>3</v>
      </c>
      <c r="C191">
        <v>10</v>
      </c>
      <c r="D191">
        <v>1</v>
      </c>
      <c r="E191">
        <v>1549</v>
      </c>
      <c r="F191">
        <v>0.1</v>
      </c>
      <c r="G191">
        <v>1548.95</v>
      </c>
      <c r="H191" t="s">
        <v>15</v>
      </c>
      <c r="I191" t="s">
        <v>300</v>
      </c>
    </row>
    <row r="192" spans="1:9" x14ac:dyDescent="0.35">
      <c r="A192">
        <v>70</v>
      </c>
      <c r="B192">
        <v>1</v>
      </c>
      <c r="C192">
        <v>3</v>
      </c>
      <c r="D192">
        <v>2</v>
      </c>
      <c r="E192">
        <v>999.99</v>
      </c>
      <c r="F192">
        <v>0.1</v>
      </c>
      <c r="G192">
        <v>1999.93</v>
      </c>
      <c r="H192" t="s">
        <v>8</v>
      </c>
      <c r="I192" t="s">
        <v>304</v>
      </c>
    </row>
    <row r="193" spans="1:9" x14ac:dyDescent="0.35">
      <c r="A193">
        <v>70</v>
      </c>
      <c r="B193">
        <v>2</v>
      </c>
      <c r="C193">
        <v>18</v>
      </c>
      <c r="D193">
        <v>1</v>
      </c>
      <c r="E193">
        <v>449</v>
      </c>
      <c r="F193">
        <v>0.2</v>
      </c>
      <c r="G193">
        <v>448.8</v>
      </c>
      <c r="H193" t="s">
        <v>23</v>
      </c>
      <c r="I193" t="s">
        <v>300</v>
      </c>
    </row>
    <row r="194" spans="1:9" x14ac:dyDescent="0.35">
      <c r="A194">
        <v>70</v>
      </c>
      <c r="B194">
        <v>3</v>
      </c>
      <c r="C194">
        <v>20</v>
      </c>
      <c r="D194">
        <v>1</v>
      </c>
      <c r="E194">
        <v>599.99</v>
      </c>
      <c r="F194">
        <v>0.1</v>
      </c>
      <c r="G194">
        <v>599.94000000000005</v>
      </c>
      <c r="H194" t="s">
        <v>25</v>
      </c>
      <c r="I194" t="s">
        <v>304</v>
      </c>
    </row>
    <row r="195" spans="1:9" x14ac:dyDescent="0.35">
      <c r="A195">
        <v>71</v>
      </c>
      <c r="B195">
        <v>1</v>
      </c>
      <c r="C195">
        <v>26</v>
      </c>
      <c r="D195">
        <v>2</v>
      </c>
      <c r="E195">
        <v>599.99</v>
      </c>
      <c r="F195">
        <v>0.1</v>
      </c>
      <c r="G195">
        <v>1199.93</v>
      </c>
      <c r="H195" t="s">
        <v>21</v>
      </c>
      <c r="I195" t="s">
        <v>299</v>
      </c>
    </row>
    <row r="196" spans="1:9" x14ac:dyDescent="0.35">
      <c r="A196">
        <v>71</v>
      </c>
      <c r="B196">
        <v>2</v>
      </c>
      <c r="C196">
        <v>24</v>
      </c>
      <c r="D196">
        <v>1</v>
      </c>
      <c r="E196">
        <v>549.99</v>
      </c>
      <c r="F196">
        <v>0.2</v>
      </c>
      <c r="G196">
        <v>549.79</v>
      </c>
      <c r="H196" t="s">
        <v>17</v>
      </c>
      <c r="I196" t="s">
        <v>300</v>
      </c>
    </row>
    <row r="197" spans="1:9" x14ac:dyDescent="0.35">
      <c r="A197">
        <v>71</v>
      </c>
      <c r="B197">
        <v>3</v>
      </c>
      <c r="C197">
        <v>18</v>
      </c>
      <c r="D197">
        <v>1</v>
      </c>
      <c r="E197">
        <v>449</v>
      </c>
      <c r="F197">
        <v>0.1</v>
      </c>
      <c r="G197">
        <v>448.9</v>
      </c>
      <c r="H197" t="s">
        <v>23</v>
      </c>
      <c r="I197" t="s">
        <v>301</v>
      </c>
    </row>
    <row r="198" spans="1:9" x14ac:dyDescent="0.35">
      <c r="A198">
        <v>72</v>
      </c>
      <c r="B198">
        <v>1</v>
      </c>
      <c r="C198">
        <v>17</v>
      </c>
      <c r="D198">
        <v>2</v>
      </c>
      <c r="E198">
        <v>429</v>
      </c>
      <c r="F198">
        <v>0.1</v>
      </c>
      <c r="G198">
        <v>857.93</v>
      </c>
      <c r="H198" t="s">
        <v>22</v>
      </c>
      <c r="I198" t="s">
        <v>304</v>
      </c>
    </row>
    <row r="199" spans="1:9" x14ac:dyDescent="0.35">
      <c r="A199">
        <v>72</v>
      </c>
      <c r="B199">
        <v>2</v>
      </c>
      <c r="C199">
        <v>12</v>
      </c>
      <c r="D199">
        <v>1</v>
      </c>
      <c r="E199">
        <v>549.99</v>
      </c>
      <c r="F199">
        <v>0.1</v>
      </c>
      <c r="G199">
        <v>549.94000000000005</v>
      </c>
      <c r="H199" t="s">
        <v>17</v>
      </c>
      <c r="I199" t="s">
        <v>301</v>
      </c>
    </row>
    <row r="200" spans="1:9" x14ac:dyDescent="0.35">
      <c r="A200">
        <v>72</v>
      </c>
      <c r="B200">
        <v>3</v>
      </c>
      <c r="C200">
        <v>13</v>
      </c>
      <c r="D200">
        <v>2</v>
      </c>
      <c r="E200">
        <v>269.99</v>
      </c>
      <c r="F200">
        <v>0.1</v>
      </c>
      <c r="G200">
        <v>539.88</v>
      </c>
      <c r="H200" t="s">
        <v>18</v>
      </c>
      <c r="I200" t="s">
        <v>301</v>
      </c>
    </row>
    <row r="201" spans="1:9" x14ac:dyDescent="0.35">
      <c r="A201">
        <v>73</v>
      </c>
      <c r="B201">
        <v>1</v>
      </c>
      <c r="C201">
        <v>22</v>
      </c>
      <c r="D201">
        <v>1</v>
      </c>
      <c r="E201">
        <v>269.99</v>
      </c>
      <c r="F201">
        <v>0.1</v>
      </c>
      <c r="G201">
        <v>269.92</v>
      </c>
      <c r="H201" t="s">
        <v>19</v>
      </c>
      <c r="I201" t="s">
        <v>302</v>
      </c>
    </row>
    <row r="202" spans="1:9" x14ac:dyDescent="0.35">
      <c r="A202">
        <v>73</v>
      </c>
      <c r="B202">
        <v>2</v>
      </c>
      <c r="C202">
        <v>26</v>
      </c>
      <c r="D202">
        <v>2</v>
      </c>
      <c r="E202">
        <v>599.99</v>
      </c>
      <c r="F202">
        <v>0.1</v>
      </c>
      <c r="G202">
        <v>1199.93</v>
      </c>
      <c r="H202" t="s">
        <v>21</v>
      </c>
      <c r="I202" t="s">
        <v>301</v>
      </c>
    </row>
    <row r="203" spans="1:9" x14ac:dyDescent="0.35">
      <c r="A203">
        <v>73</v>
      </c>
      <c r="B203">
        <v>3</v>
      </c>
      <c r="C203">
        <v>3</v>
      </c>
      <c r="D203">
        <v>2</v>
      </c>
      <c r="E203">
        <v>999.99</v>
      </c>
      <c r="F203">
        <v>0.1</v>
      </c>
      <c r="G203">
        <v>1999.91</v>
      </c>
      <c r="H203" t="s">
        <v>8</v>
      </c>
      <c r="I203" t="s">
        <v>301</v>
      </c>
    </row>
    <row r="204" spans="1:9" x14ac:dyDescent="0.35">
      <c r="A204">
        <v>73</v>
      </c>
      <c r="B204">
        <v>4</v>
      </c>
      <c r="C204">
        <v>25</v>
      </c>
      <c r="D204">
        <v>1</v>
      </c>
      <c r="E204">
        <v>499.99</v>
      </c>
      <c r="F204">
        <v>0.1</v>
      </c>
      <c r="G204">
        <v>499.92</v>
      </c>
      <c r="H204" t="s">
        <v>27</v>
      </c>
      <c r="I204" t="s">
        <v>299</v>
      </c>
    </row>
    <row r="205" spans="1:9" x14ac:dyDescent="0.35">
      <c r="A205">
        <v>73</v>
      </c>
      <c r="B205">
        <v>5</v>
      </c>
      <c r="C205">
        <v>23</v>
      </c>
      <c r="D205">
        <v>2</v>
      </c>
      <c r="E205">
        <v>299.99</v>
      </c>
      <c r="F205">
        <v>0.2</v>
      </c>
      <c r="G205">
        <v>599.78</v>
      </c>
      <c r="H205" t="s">
        <v>26</v>
      </c>
      <c r="I205" t="s">
        <v>301</v>
      </c>
    </row>
    <row r="206" spans="1:9" x14ac:dyDescent="0.35">
      <c r="A206">
        <v>74</v>
      </c>
      <c r="B206">
        <v>1</v>
      </c>
      <c r="C206">
        <v>16</v>
      </c>
      <c r="D206">
        <v>2</v>
      </c>
      <c r="E206">
        <v>599.99</v>
      </c>
      <c r="F206">
        <v>0.1</v>
      </c>
      <c r="G206">
        <v>1199.93</v>
      </c>
      <c r="H206" t="s">
        <v>21</v>
      </c>
      <c r="I206" t="s">
        <v>299</v>
      </c>
    </row>
    <row r="207" spans="1:9" x14ac:dyDescent="0.35">
      <c r="A207">
        <v>74</v>
      </c>
      <c r="B207">
        <v>2</v>
      </c>
      <c r="C207">
        <v>6</v>
      </c>
      <c r="D207">
        <v>1</v>
      </c>
      <c r="E207">
        <v>469.99</v>
      </c>
      <c r="F207">
        <v>0.1</v>
      </c>
      <c r="G207">
        <v>469.92</v>
      </c>
      <c r="H207" t="s">
        <v>11</v>
      </c>
      <c r="I207" t="s">
        <v>301</v>
      </c>
    </row>
    <row r="208" spans="1:9" x14ac:dyDescent="0.35">
      <c r="A208">
        <v>75</v>
      </c>
      <c r="B208">
        <v>1</v>
      </c>
      <c r="C208">
        <v>3</v>
      </c>
      <c r="D208">
        <v>1</v>
      </c>
      <c r="E208">
        <v>999.99</v>
      </c>
      <c r="F208">
        <v>0.1</v>
      </c>
      <c r="G208">
        <v>999.89</v>
      </c>
      <c r="H208" t="s">
        <v>8</v>
      </c>
      <c r="I208" t="s">
        <v>304</v>
      </c>
    </row>
    <row r="209" spans="1:9" x14ac:dyDescent="0.35">
      <c r="A209">
        <v>75</v>
      </c>
      <c r="B209">
        <v>2</v>
      </c>
      <c r="C209">
        <v>7</v>
      </c>
      <c r="D209">
        <v>2</v>
      </c>
      <c r="E209">
        <v>3999.99</v>
      </c>
      <c r="F209">
        <v>0.1</v>
      </c>
      <c r="G209">
        <v>7999.91</v>
      </c>
      <c r="H209" t="s">
        <v>12</v>
      </c>
      <c r="I209" t="s">
        <v>300</v>
      </c>
    </row>
    <row r="210" spans="1:9" x14ac:dyDescent="0.35">
      <c r="A210">
        <v>75</v>
      </c>
      <c r="B210">
        <v>3</v>
      </c>
      <c r="C210">
        <v>15</v>
      </c>
      <c r="D210">
        <v>1</v>
      </c>
      <c r="E210">
        <v>529.99</v>
      </c>
      <c r="F210">
        <v>0.2</v>
      </c>
      <c r="G210">
        <v>529.79</v>
      </c>
      <c r="H210" t="s">
        <v>20</v>
      </c>
      <c r="I210" t="s">
        <v>304</v>
      </c>
    </row>
    <row r="211" spans="1:9" x14ac:dyDescent="0.35">
      <c r="A211">
        <v>76</v>
      </c>
      <c r="B211">
        <v>1</v>
      </c>
      <c r="C211">
        <v>12</v>
      </c>
      <c r="D211">
        <v>1</v>
      </c>
      <c r="E211">
        <v>549.99</v>
      </c>
      <c r="F211">
        <v>0.1</v>
      </c>
      <c r="G211">
        <v>549.94000000000005</v>
      </c>
      <c r="H211" t="s">
        <v>17</v>
      </c>
      <c r="I211" t="s">
        <v>302</v>
      </c>
    </row>
    <row r="212" spans="1:9" x14ac:dyDescent="0.35">
      <c r="A212">
        <v>76</v>
      </c>
      <c r="B212">
        <v>2</v>
      </c>
      <c r="C212">
        <v>11</v>
      </c>
      <c r="D212">
        <v>2</v>
      </c>
      <c r="E212">
        <v>1680.99</v>
      </c>
      <c r="F212">
        <v>0.1</v>
      </c>
      <c r="G212">
        <v>3361.88</v>
      </c>
      <c r="H212" t="s">
        <v>16</v>
      </c>
      <c r="I212" t="s">
        <v>302</v>
      </c>
    </row>
    <row r="213" spans="1:9" x14ac:dyDescent="0.35">
      <c r="A213">
        <v>76</v>
      </c>
      <c r="B213">
        <v>3</v>
      </c>
      <c r="C213">
        <v>5</v>
      </c>
      <c r="D213">
        <v>1</v>
      </c>
      <c r="E213">
        <v>1320.99</v>
      </c>
      <c r="F213">
        <v>0.1</v>
      </c>
      <c r="G213">
        <v>1320.92</v>
      </c>
      <c r="H213" t="s">
        <v>10</v>
      </c>
      <c r="I213" t="s">
        <v>304</v>
      </c>
    </row>
    <row r="214" spans="1:9" x14ac:dyDescent="0.35">
      <c r="A214">
        <v>77</v>
      </c>
      <c r="B214">
        <v>1</v>
      </c>
      <c r="C214">
        <v>20</v>
      </c>
      <c r="D214">
        <v>1</v>
      </c>
      <c r="E214">
        <v>599.99</v>
      </c>
      <c r="F214">
        <v>0.1</v>
      </c>
      <c r="G214">
        <v>599.91999999999996</v>
      </c>
      <c r="H214" t="s">
        <v>25</v>
      </c>
      <c r="I214" t="s">
        <v>304</v>
      </c>
    </row>
    <row r="215" spans="1:9" x14ac:dyDescent="0.35">
      <c r="A215">
        <v>77</v>
      </c>
      <c r="B215">
        <v>2</v>
      </c>
      <c r="C215">
        <v>24</v>
      </c>
      <c r="D215">
        <v>2</v>
      </c>
      <c r="E215">
        <v>549.99</v>
      </c>
      <c r="F215">
        <v>0.1</v>
      </c>
      <c r="G215">
        <v>1099.8800000000001</v>
      </c>
      <c r="H215" t="s">
        <v>17</v>
      </c>
      <c r="I215" t="s">
        <v>299</v>
      </c>
    </row>
    <row r="216" spans="1:9" x14ac:dyDescent="0.35">
      <c r="A216">
        <v>77</v>
      </c>
      <c r="B216">
        <v>3</v>
      </c>
      <c r="C216">
        <v>26</v>
      </c>
      <c r="D216">
        <v>1</v>
      </c>
      <c r="E216">
        <v>599.99</v>
      </c>
      <c r="F216">
        <v>0.2</v>
      </c>
      <c r="G216">
        <v>599.79</v>
      </c>
      <c r="H216" t="s">
        <v>21</v>
      </c>
      <c r="I216" t="s">
        <v>304</v>
      </c>
    </row>
    <row r="217" spans="1:9" x14ac:dyDescent="0.35">
      <c r="A217">
        <v>77</v>
      </c>
      <c r="B217">
        <v>4</v>
      </c>
      <c r="C217">
        <v>25</v>
      </c>
      <c r="D217">
        <v>1</v>
      </c>
      <c r="E217">
        <v>499.99</v>
      </c>
      <c r="F217">
        <v>0.2</v>
      </c>
      <c r="G217">
        <v>499.79</v>
      </c>
      <c r="H217" t="s">
        <v>27</v>
      </c>
      <c r="I217" t="s">
        <v>304</v>
      </c>
    </row>
    <row r="218" spans="1:9" x14ac:dyDescent="0.35">
      <c r="A218">
        <v>78</v>
      </c>
      <c r="B218">
        <v>1</v>
      </c>
      <c r="C218">
        <v>17</v>
      </c>
      <c r="D218">
        <v>1</v>
      </c>
      <c r="E218">
        <v>429</v>
      </c>
      <c r="F218">
        <v>0.1</v>
      </c>
      <c r="G218">
        <v>428.93</v>
      </c>
      <c r="H218" t="s">
        <v>22</v>
      </c>
      <c r="I218" t="s">
        <v>300</v>
      </c>
    </row>
    <row r="219" spans="1:9" x14ac:dyDescent="0.35">
      <c r="A219">
        <v>78</v>
      </c>
      <c r="B219">
        <v>2</v>
      </c>
      <c r="C219">
        <v>19</v>
      </c>
      <c r="D219">
        <v>1</v>
      </c>
      <c r="E219">
        <v>449</v>
      </c>
      <c r="F219">
        <v>0.2</v>
      </c>
      <c r="G219">
        <v>448.8</v>
      </c>
      <c r="H219" t="s">
        <v>24</v>
      </c>
      <c r="I219" t="s">
        <v>300</v>
      </c>
    </row>
    <row r="220" spans="1:9" x14ac:dyDescent="0.35">
      <c r="A220">
        <v>78</v>
      </c>
      <c r="B220">
        <v>3</v>
      </c>
      <c r="C220">
        <v>18</v>
      </c>
      <c r="D220">
        <v>2</v>
      </c>
      <c r="E220">
        <v>449</v>
      </c>
      <c r="F220">
        <v>0.1</v>
      </c>
      <c r="G220">
        <v>897.9</v>
      </c>
      <c r="H220" t="s">
        <v>23</v>
      </c>
      <c r="I220" t="s">
        <v>302</v>
      </c>
    </row>
    <row r="221" spans="1:9" x14ac:dyDescent="0.35">
      <c r="A221">
        <v>78</v>
      </c>
      <c r="B221">
        <v>4</v>
      </c>
      <c r="C221">
        <v>14</v>
      </c>
      <c r="D221">
        <v>2</v>
      </c>
      <c r="E221">
        <v>269.99</v>
      </c>
      <c r="F221">
        <v>0.1</v>
      </c>
      <c r="G221">
        <v>539.88</v>
      </c>
      <c r="H221" t="s">
        <v>19</v>
      </c>
      <c r="I221" t="s">
        <v>304</v>
      </c>
    </row>
    <row r="222" spans="1:9" x14ac:dyDescent="0.35">
      <c r="A222">
        <v>79</v>
      </c>
      <c r="B222">
        <v>1</v>
      </c>
      <c r="C222">
        <v>9</v>
      </c>
      <c r="D222">
        <v>2</v>
      </c>
      <c r="E222">
        <v>2999.99</v>
      </c>
      <c r="F222">
        <v>0.1</v>
      </c>
      <c r="G222">
        <v>5999.88</v>
      </c>
      <c r="H222" t="s">
        <v>14</v>
      </c>
      <c r="I222" t="s">
        <v>301</v>
      </c>
    </row>
    <row r="223" spans="1:9" x14ac:dyDescent="0.35">
      <c r="A223">
        <v>79</v>
      </c>
      <c r="B223">
        <v>2</v>
      </c>
      <c r="C223">
        <v>17</v>
      </c>
      <c r="D223">
        <v>2</v>
      </c>
      <c r="E223">
        <v>429</v>
      </c>
      <c r="F223">
        <v>0.1</v>
      </c>
      <c r="G223">
        <v>857.95</v>
      </c>
      <c r="H223" t="s">
        <v>22</v>
      </c>
      <c r="I223" t="s">
        <v>301</v>
      </c>
    </row>
    <row r="224" spans="1:9" x14ac:dyDescent="0.35">
      <c r="A224">
        <v>79</v>
      </c>
      <c r="B224">
        <v>3</v>
      </c>
      <c r="C224">
        <v>6</v>
      </c>
      <c r="D224">
        <v>1</v>
      </c>
      <c r="E224">
        <v>469.99</v>
      </c>
      <c r="F224">
        <v>0.1</v>
      </c>
      <c r="G224">
        <v>469.89</v>
      </c>
      <c r="H224" t="s">
        <v>11</v>
      </c>
      <c r="I224" t="s">
        <v>302</v>
      </c>
    </row>
    <row r="225" spans="1:9" x14ac:dyDescent="0.35">
      <c r="A225">
        <v>79</v>
      </c>
      <c r="B225">
        <v>4</v>
      </c>
      <c r="C225">
        <v>25</v>
      </c>
      <c r="D225">
        <v>2</v>
      </c>
      <c r="E225">
        <v>499.99</v>
      </c>
      <c r="F225">
        <v>0.1</v>
      </c>
      <c r="G225">
        <v>999.91</v>
      </c>
      <c r="H225" t="s">
        <v>27</v>
      </c>
      <c r="I225" t="s">
        <v>304</v>
      </c>
    </row>
    <row r="226" spans="1:9" x14ac:dyDescent="0.35">
      <c r="A226">
        <v>80</v>
      </c>
      <c r="B226">
        <v>1</v>
      </c>
      <c r="C226">
        <v>26</v>
      </c>
      <c r="D226">
        <v>1</v>
      </c>
      <c r="E226">
        <v>599.99</v>
      </c>
      <c r="F226">
        <v>0.1</v>
      </c>
      <c r="G226">
        <v>599.89</v>
      </c>
      <c r="H226" t="s">
        <v>21</v>
      </c>
      <c r="I226" t="s">
        <v>304</v>
      </c>
    </row>
    <row r="227" spans="1:9" x14ac:dyDescent="0.35">
      <c r="A227">
        <v>80</v>
      </c>
      <c r="B227">
        <v>2</v>
      </c>
      <c r="C227">
        <v>24</v>
      </c>
      <c r="D227">
        <v>1</v>
      </c>
      <c r="E227">
        <v>549.99</v>
      </c>
      <c r="F227">
        <v>0.1</v>
      </c>
      <c r="G227">
        <v>549.89</v>
      </c>
      <c r="H227" t="s">
        <v>17</v>
      </c>
      <c r="I227" t="s">
        <v>301</v>
      </c>
    </row>
    <row r="228" spans="1:9" x14ac:dyDescent="0.35">
      <c r="A228">
        <v>80</v>
      </c>
      <c r="B228">
        <v>3</v>
      </c>
      <c r="C228">
        <v>17</v>
      </c>
      <c r="D228">
        <v>1</v>
      </c>
      <c r="E228">
        <v>429</v>
      </c>
      <c r="F228">
        <v>0.2</v>
      </c>
      <c r="G228">
        <v>428.8</v>
      </c>
      <c r="H228" t="s">
        <v>22</v>
      </c>
      <c r="I228" t="s">
        <v>301</v>
      </c>
    </row>
    <row r="229" spans="1:9" x14ac:dyDescent="0.35">
      <c r="A229">
        <v>81</v>
      </c>
      <c r="B229">
        <v>1</v>
      </c>
      <c r="C229">
        <v>10</v>
      </c>
      <c r="D229">
        <v>2</v>
      </c>
      <c r="E229">
        <v>1549</v>
      </c>
      <c r="F229">
        <v>0.2</v>
      </c>
      <c r="G229">
        <v>3097.8</v>
      </c>
      <c r="H229" t="s">
        <v>15</v>
      </c>
      <c r="I229" t="s">
        <v>301</v>
      </c>
    </row>
    <row r="230" spans="1:9" x14ac:dyDescent="0.35">
      <c r="A230">
        <v>81</v>
      </c>
      <c r="B230">
        <v>2</v>
      </c>
      <c r="C230">
        <v>23</v>
      </c>
      <c r="D230">
        <v>2</v>
      </c>
      <c r="E230">
        <v>299.99</v>
      </c>
      <c r="F230">
        <v>0.1</v>
      </c>
      <c r="G230">
        <v>599.92999999999995</v>
      </c>
      <c r="H230" t="s">
        <v>26</v>
      </c>
      <c r="I230" t="s">
        <v>303</v>
      </c>
    </row>
    <row r="231" spans="1:9" x14ac:dyDescent="0.35">
      <c r="A231">
        <v>81</v>
      </c>
      <c r="B231">
        <v>3</v>
      </c>
      <c r="C231">
        <v>25</v>
      </c>
      <c r="D231">
        <v>2</v>
      </c>
      <c r="E231">
        <v>499.99</v>
      </c>
      <c r="F231">
        <v>0.1</v>
      </c>
      <c r="G231">
        <v>999.93</v>
      </c>
      <c r="H231" t="s">
        <v>27</v>
      </c>
      <c r="I231" t="s">
        <v>304</v>
      </c>
    </row>
    <row r="232" spans="1:9" x14ac:dyDescent="0.35">
      <c r="A232">
        <v>82</v>
      </c>
      <c r="B232">
        <v>1</v>
      </c>
      <c r="C232">
        <v>25</v>
      </c>
      <c r="D232">
        <v>2</v>
      </c>
      <c r="E232">
        <v>499.99</v>
      </c>
      <c r="F232">
        <v>0.1</v>
      </c>
      <c r="G232">
        <v>999.88</v>
      </c>
      <c r="H232" t="s">
        <v>27</v>
      </c>
      <c r="I232" t="s">
        <v>304</v>
      </c>
    </row>
    <row r="233" spans="1:9" x14ac:dyDescent="0.35">
      <c r="A233">
        <v>82</v>
      </c>
      <c r="B233">
        <v>2</v>
      </c>
      <c r="C233">
        <v>11</v>
      </c>
      <c r="D233">
        <v>2</v>
      </c>
      <c r="E233">
        <v>1680.99</v>
      </c>
      <c r="F233">
        <v>0.2</v>
      </c>
      <c r="G233">
        <v>3361.78</v>
      </c>
      <c r="H233" t="s">
        <v>16</v>
      </c>
      <c r="I233" t="s">
        <v>300</v>
      </c>
    </row>
    <row r="234" spans="1:9" x14ac:dyDescent="0.35">
      <c r="A234">
        <v>83</v>
      </c>
      <c r="B234">
        <v>1</v>
      </c>
      <c r="C234">
        <v>20</v>
      </c>
      <c r="D234">
        <v>1</v>
      </c>
      <c r="E234">
        <v>599.99</v>
      </c>
      <c r="F234">
        <v>0.2</v>
      </c>
      <c r="G234">
        <v>599.79</v>
      </c>
      <c r="H234" t="s">
        <v>25</v>
      </c>
      <c r="I234" t="s">
        <v>301</v>
      </c>
    </row>
    <row r="235" spans="1:9" x14ac:dyDescent="0.35">
      <c r="A235">
        <v>83</v>
      </c>
      <c r="B235">
        <v>2</v>
      </c>
      <c r="C235">
        <v>3</v>
      </c>
      <c r="D235">
        <v>2</v>
      </c>
      <c r="E235">
        <v>999.99</v>
      </c>
      <c r="F235">
        <v>0.1</v>
      </c>
      <c r="G235">
        <v>1999.93</v>
      </c>
      <c r="H235" t="s">
        <v>8</v>
      </c>
      <c r="I235" t="s">
        <v>302</v>
      </c>
    </row>
    <row r="236" spans="1:9" x14ac:dyDescent="0.35">
      <c r="A236">
        <v>84</v>
      </c>
      <c r="B236">
        <v>1</v>
      </c>
      <c r="C236">
        <v>23</v>
      </c>
      <c r="D236">
        <v>2</v>
      </c>
      <c r="E236">
        <v>299.99</v>
      </c>
      <c r="F236">
        <v>0.1</v>
      </c>
      <c r="G236">
        <v>599.91</v>
      </c>
      <c r="H236" t="s">
        <v>26</v>
      </c>
      <c r="I236" t="s">
        <v>301</v>
      </c>
    </row>
    <row r="237" spans="1:9" x14ac:dyDescent="0.35">
      <c r="A237">
        <v>84</v>
      </c>
      <c r="B237">
        <v>2</v>
      </c>
      <c r="C237">
        <v>15</v>
      </c>
      <c r="D237">
        <v>2</v>
      </c>
      <c r="E237">
        <v>529.99</v>
      </c>
      <c r="F237">
        <v>0.1</v>
      </c>
      <c r="G237">
        <v>1059.9100000000001</v>
      </c>
      <c r="H237" t="s">
        <v>20</v>
      </c>
      <c r="I237" t="s">
        <v>300</v>
      </c>
    </row>
    <row r="238" spans="1:9" x14ac:dyDescent="0.35">
      <c r="A238">
        <v>85</v>
      </c>
      <c r="B238">
        <v>1</v>
      </c>
      <c r="C238">
        <v>4</v>
      </c>
      <c r="D238">
        <v>2</v>
      </c>
      <c r="E238">
        <v>2899.99</v>
      </c>
      <c r="F238">
        <v>0.1</v>
      </c>
      <c r="G238">
        <v>5799.93</v>
      </c>
      <c r="H238" t="s">
        <v>9</v>
      </c>
      <c r="I238" t="s">
        <v>301</v>
      </c>
    </row>
    <row r="239" spans="1:9" x14ac:dyDescent="0.35">
      <c r="A239">
        <v>85</v>
      </c>
      <c r="B239">
        <v>2</v>
      </c>
      <c r="C239">
        <v>18</v>
      </c>
      <c r="D239">
        <v>1</v>
      </c>
      <c r="E239">
        <v>449</v>
      </c>
      <c r="F239">
        <v>0.1</v>
      </c>
      <c r="G239">
        <v>448.93</v>
      </c>
      <c r="H239" t="s">
        <v>23</v>
      </c>
      <c r="I239" t="s">
        <v>304</v>
      </c>
    </row>
    <row r="240" spans="1:9" x14ac:dyDescent="0.35">
      <c r="A240">
        <v>86</v>
      </c>
      <c r="B240">
        <v>1</v>
      </c>
      <c r="C240">
        <v>9</v>
      </c>
      <c r="D240">
        <v>2</v>
      </c>
      <c r="E240">
        <v>2999.99</v>
      </c>
      <c r="F240">
        <v>0.1</v>
      </c>
      <c r="G240">
        <v>5999.88</v>
      </c>
      <c r="H240" t="s">
        <v>14</v>
      </c>
      <c r="I240" t="s">
        <v>301</v>
      </c>
    </row>
    <row r="241" spans="1:9" x14ac:dyDescent="0.35">
      <c r="A241">
        <v>86</v>
      </c>
      <c r="B241">
        <v>2</v>
      </c>
      <c r="C241">
        <v>23</v>
      </c>
      <c r="D241">
        <v>2</v>
      </c>
      <c r="E241">
        <v>299.99</v>
      </c>
      <c r="F241">
        <v>0.1</v>
      </c>
      <c r="G241">
        <v>599.91</v>
      </c>
      <c r="H241" t="s">
        <v>26</v>
      </c>
      <c r="I241" t="s">
        <v>299</v>
      </c>
    </row>
    <row r="242" spans="1:9" x14ac:dyDescent="0.35">
      <c r="A242">
        <v>86</v>
      </c>
      <c r="B242">
        <v>3</v>
      </c>
      <c r="C242">
        <v>21</v>
      </c>
      <c r="D242">
        <v>2</v>
      </c>
      <c r="E242">
        <v>269.99</v>
      </c>
      <c r="F242">
        <v>0.2</v>
      </c>
      <c r="G242">
        <v>539.78</v>
      </c>
      <c r="H242" t="s">
        <v>18</v>
      </c>
      <c r="I242" t="s">
        <v>302</v>
      </c>
    </row>
    <row r="243" spans="1:9" x14ac:dyDescent="0.35">
      <c r="A243">
        <v>86</v>
      </c>
      <c r="B243">
        <v>4</v>
      </c>
      <c r="C243">
        <v>15</v>
      </c>
      <c r="D243">
        <v>1</v>
      </c>
      <c r="E243">
        <v>529.99</v>
      </c>
      <c r="F243">
        <v>0.1</v>
      </c>
      <c r="G243">
        <v>529.89</v>
      </c>
      <c r="H243" t="s">
        <v>20</v>
      </c>
      <c r="I243" t="s">
        <v>302</v>
      </c>
    </row>
    <row r="244" spans="1:9" x14ac:dyDescent="0.35">
      <c r="A244">
        <v>87</v>
      </c>
      <c r="B244">
        <v>1</v>
      </c>
      <c r="C244">
        <v>20</v>
      </c>
      <c r="D244">
        <v>2</v>
      </c>
      <c r="E244">
        <v>599.99</v>
      </c>
      <c r="F244">
        <v>0.2</v>
      </c>
      <c r="G244">
        <v>1199.78</v>
      </c>
      <c r="H244" t="s">
        <v>25</v>
      </c>
      <c r="I244" t="s">
        <v>304</v>
      </c>
    </row>
    <row r="245" spans="1:9" x14ac:dyDescent="0.35">
      <c r="A245">
        <v>87</v>
      </c>
      <c r="B245">
        <v>2</v>
      </c>
      <c r="C245">
        <v>23</v>
      </c>
      <c r="D245">
        <v>2</v>
      </c>
      <c r="E245">
        <v>299.99</v>
      </c>
      <c r="F245">
        <v>0.1</v>
      </c>
      <c r="G245">
        <v>599.88</v>
      </c>
      <c r="H245" t="s">
        <v>26</v>
      </c>
      <c r="I245" t="s">
        <v>304</v>
      </c>
    </row>
    <row r="246" spans="1:9" x14ac:dyDescent="0.35">
      <c r="A246">
        <v>88</v>
      </c>
      <c r="B246">
        <v>1</v>
      </c>
      <c r="C246">
        <v>10</v>
      </c>
      <c r="D246">
        <v>1</v>
      </c>
      <c r="E246">
        <v>1549</v>
      </c>
      <c r="F246">
        <v>0.1</v>
      </c>
      <c r="G246">
        <v>1548.93</v>
      </c>
      <c r="H246" t="s">
        <v>15</v>
      </c>
      <c r="I246" t="s">
        <v>302</v>
      </c>
    </row>
    <row r="247" spans="1:9" x14ac:dyDescent="0.35">
      <c r="A247">
        <v>88</v>
      </c>
      <c r="B247">
        <v>2</v>
      </c>
      <c r="C247">
        <v>8</v>
      </c>
      <c r="D247">
        <v>2</v>
      </c>
      <c r="E247">
        <v>1799.99</v>
      </c>
      <c r="F247">
        <v>0.1</v>
      </c>
      <c r="G247">
        <v>3599.88</v>
      </c>
      <c r="H247" t="s">
        <v>13</v>
      </c>
      <c r="I247" t="s">
        <v>304</v>
      </c>
    </row>
    <row r="248" spans="1:9" x14ac:dyDescent="0.35">
      <c r="A248">
        <v>88</v>
      </c>
      <c r="B248">
        <v>3</v>
      </c>
      <c r="C248">
        <v>7</v>
      </c>
      <c r="D248">
        <v>1</v>
      </c>
      <c r="E248">
        <v>3999.99</v>
      </c>
      <c r="F248">
        <v>0.1</v>
      </c>
      <c r="G248">
        <v>3999.89</v>
      </c>
      <c r="H248" t="s">
        <v>12</v>
      </c>
      <c r="I248" t="s">
        <v>304</v>
      </c>
    </row>
    <row r="249" spans="1:9" x14ac:dyDescent="0.35">
      <c r="A249">
        <v>89</v>
      </c>
      <c r="B249">
        <v>1</v>
      </c>
      <c r="C249">
        <v>5</v>
      </c>
      <c r="D249">
        <v>1</v>
      </c>
      <c r="E249">
        <v>1320.99</v>
      </c>
      <c r="F249">
        <v>0.1</v>
      </c>
      <c r="G249">
        <v>1320.94</v>
      </c>
      <c r="H249" t="s">
        <v>10</v>
      </c>
      <c r="I249" t="s">
        <v>300</v>
      </c>
    </row>
    <row r="250" spans="1:9" x14ac:dyDescent="0.35">
      <c r="A250">
        <v>89</v>
      </c>
      <c r="B250">
        <v>2</v>
      </c>
      <c r="C250">
        <v>6</v>
      </c>
      <c r="D250">
        <v>2</v>
      </c>
      <c r="E250">
        <v>469.99</v>
      </c>
      <c r="F250">
        <v>0.1</v>
      </c>
      <c r="G250">
        <v>939.88</v>
      </c>
      <c r="H250" t="s">
        <v>11</v>
      </c>
      <c r="I250" t="s">
        <v>299</v>
      </c>
    </row>
    <row r="251" spans="1:9" x14ac:dyDescent="0.35">
      <c r="A251">
        <v>90</v>
      </c>
      <c r="B251">
        <v>1</v>
      </c>
      <c r="C251">
        <v>3</v>
      </c>
      <c r="D251">
        <v>1</v>
      </c>
      <c r="E251">
        <v>999.99</v>
      </c>
      <c r="F251">
        <v>0.1</v>
      </c>
      <c r="G251">
        <v>999.89</v>
      </c>
      <c r="H251" t="s">
        <v>8</v>
      </c>
      <c r="I251" t="s">
        <v>301</v>
      </c>
    </row>
    <row r="252" spans="1:9" x14ac:dyDescent="0.35">
      <c r="A252">
        <v>90</v>
      </c>
      <c r="B252">
        <v>2</v>
      </c>
      <c r="C252">
        <v>6</v>
      </c>
      <c r="D252">
        <v>1</v>
      </c>
      <c r="E252">
        <v>469.99</v>
      </c>
      <c r="F252">
        <v>0.1</v>
      </c>
      <c r="G252">
        <v>469.92</v>
      </c>
      <c r="H252" t="s">
        <v>11</v>
      </c>
      <c r="I252" t="s">
        <v>304</v>
      </c>
    </row>
    <row r="253" spans="1:9" x14ac:dyDescent="0.35">
      <c r="A253">
        <v>91</v>
      </c>
      <c r="B253">
        <v>1</v>
      </c>
      <c r="C253">
        <v>11</v>
      </c>
      <c r="D253">
        <v>1</v>
      </c>
      <c r="E253">
        <v>1680.99</v>
      </c>
      <c r="F253">
        <v>0.1</v>
      </c>
      <c r="G253">
        <v>1680.89</v>
      </c>
      <c r="H253" t="s">
        <v>16</v>
      </c>
      <c r="I253" t="s">
        <v>303</v>
      </c>
    </row>
    <row r="254" spans="1:9" x14ac:dyDescent="0.35">
      <c r="A254">
        <v>91</v>
      </c>
      <c r="B254">
        <v>2</v>
      </c>
      <c r="C254">
        <v>25</v>
      </c>
      <c r="D254">
        <v>1</v>
      </c>
      <c r="E254">
        <v>499.99</v>
      </c>
      <c r="F254">
        <v>0.1</v>
      </c>
      <c r="G254">
        <v>499.94</v>
      </c>
      <c r="H254" t="s">
        <v>27</v>
      </c>
      <c r="I254" t="s">
        <v>302</v>
      </c>
    </row>
    <row r="255" spans="1:9" x14ac:dyDescent="0.35">
      <c r="A255">
        <v>91</v>
      </c>
      <c r="B255">
        <v>3</v>
      </c>
      <c r="C255">
        <v>15</v>
      </c>
      <c r="D255">
        <v>2</v>
      </c>
      <c r="E255">
        <v>529.99</v>
      </c>
      <c r="F255">
        <v>0.1</v>
      </c>
      <c r="G255">
        <v>1059.9100000000001</v>
      </c>
      <c r="H255" t="s">
        <v>20</v>
      </c>
      <c r="I255" t="s">
        <v>303</v>
      </c>
    </row>
    <row r="256" spans="1:9" x14ac:dyDescent="0.35">
      <c r="A256">
        <v>91</v>
      </c>
      <c r="B256">
        <v>4</v>
      </c>
      <c r="C256">
        <v>13</v>
      </c>
      <c r="D256">
        <v>2</v>
      </c>
      <c r="E256">
        <v>269.99</v>
      </c>
      <c r="F256">
        <v>0.1</v>
      </c>
      <c r="G256">
        <v>539.91</v>
      </c>
      <c r="H256" t="s">
        <v>18</v>
      </c>
      <c r="I256" t="s">
        <v>304</v>
      </c>
    </row>
    <row r="257" spans="1:9" x14ac:dyDescent="0.35">
      <c r="A257">
        <v>93</v>
      </c>
      <c r="B257">
        <v>1</v>
      </c>
      <c r="C257">
        <v>22</v>
      </c>
      <c r="D257">
        <v>2</v>
      </c>
      <c r="E257">
        <v>269.99</v>
      </c>
      <c r="F257">
        <v>0.1</v>
      </c>
      <c r="G257">
        <v>539.91</v>
      </c>
      <c r="H257" t="s">
        <v>19</v>
      </c>
      <c r="I257" t="s">
        <v>304</v>
      </c>
    </row>
    <row r="258" spans="1:9" x14ac:dyDescent="0.35">
      <c r="A258">
        <v>93</v>
      </c>
      <c r="B258">
        <v>2</v>
      </c>
      <c r="C258">
        <v>17</v>
      </c>
      <c r="D258">
        <v>1</v>
      </c>
      <c r="E258">
        <v>429</v>
      </c>
      <c r="F258">
        <v>0.1</v>
      </c>
      <c r="G258">
        <v>428.95</v>
      </c>
      <c r="H258" t="s">
        <v>22</v>
      </c>
      <c r="I258" t="s">
        <v>304</v>
      </c>
    </row>
    <row r="259" spans="1:9" x14ac:dyDescent="0.35">
      <c r="A259">
        <v>93</v>
      </c>
      <c r="B259">
        <v>3</v>
      </c>
      <c r="C259">
        <v>21</v>
      </c>
      <c r="D259">
        <v>1</v>
      </c>
      <c r="E259">
        <v>269.99</v>
      </c>
      <c r="F259">
        <v>0.1</v>
      </c>
      <c r="G259">
        <v>269.89</v>
      </c>
      <c r="H259" t="s">
        <v>18</v>
      </c>
      <c r="I259" t="s">
        <v>300</v>
      </c>
    </row>
    <row r="260" spans="1:9" x14ac:dyDescent="0.35">
      <c r="A260">
        <v>93</v>
      </c>
      <c r="B260">
        <v>4</v>
      </c>
      <c r="C260">
        <v>2</v>
      </c>
      <c r="D260">
        <v>1</v>
      </c>
      <c r="E260">
        <v>749.99</v>
      </c>
      <c r="F260">
        <v>0.2</v>
      </c>
      <c r="G260">
        <v>749.79</v>
      </c>
      <c r="H260" t="s">
        <v>7</v>
      </c>
      <c r="I260" t="s">
        <v>302</v>
      </c>
    </row>
    <row r="261" spans="1:9" x14ac:dyDescent="0.35">
      <c r="A261">
        <v>93</v>
      </c>
      <c r="B261">
        <v>5</v>
      </c>
      <c r="C261">
        <v>10</v>
      </c>
      <c r="D261">
        <v>2</v>
      </c>
      <c r="E261">
        <v>1549</v>
      </c>
      <c r="F261">
        <v>0.1</v>
      </c>
      <c r="G261">
        <v>3097.93</v>
      </c>
      <c r="H261" t="s">
        <v>15</v>
      </c>
      <c r="I261" t="s">
        <v>304</v>
      </c>
    </row>
    <row r="262" spans="1:9" x14ac:dyDescent="0.35">
      <c r="A262">
        <v>94</v>
      </c>
      <c r="B262">
        <v>1</v>
      </c>
      <c r="C262">
        <v>12</v>
      </c>
      <c r="D262">
        <v>1</v>
      </c>
      <c r="E262">
        <v>549.99</v>
      </c>
      <c r="F262">
        <v>0.1</v>
      </c>
      <c r="G262">
        <v>549.94000000000005</v>
      </c>
      <c r="H262" t="s">
        <v>17</v>
      </c>
      <c r="I262" t="s">
        <v>299</v>
      </c>
    </row>
    <row r="263" spans="1:9" x14ac:dyDescent="0.35">
      <c r="A263">
        <v>94</v>
      </c>
      <c r="B263">
        <v>2</v>
      </c>
      <c r="C263">
        <v>4</v>
      </c>
      <c r="D263">
        <v>1</v>
      </c>
      <c r="E263">
        <v>2899.99</v>
      </c>
      <c r="F263">
        <v>0.2</v>
      </c>
      <c r="G263">
        <v>2899.79</v>
      </c>
      <c r="H263" t="s">
        <v>9</v>
      </c>
      <c r="I263" t="s">
        <v>302</v>
      </c>
    </row>
    <row r="264" spans="1:9" x14ac:dyDescent="0.35">
      <c r="A264">
        <v>94</v>
      </c>
      <c r="B264">
        <v>3</v>
      </c>
      <c r="C264">
        <v>11</v>
      </c>
      <c r="D264">
        <v>1</v>
      </c>
      <c r="E264">
        <v>1680.99</v>
      </c>
      <c r="F264">
        <v>0.2</v>
      </c>
      <c r="G264">
        <v>1680.79</v>
      </c>
      <c r="H264" t="s">
        <v>16</v>
      </c>
      <c r="I264" t="s">
        <v>301</v>
      </c>
    </row>
    <row r="265" spans="1:9" x14ac:dyDescent="0.35">
      <c r="A265">
        <v>94</v>
      </c>
      <c r="B265">
        <v>4</v>
      </c>
      <c r="C265">
        <v>21</v>
      </c>
      <c r="D265">
        <v>2</v>
      </c>
      <c r="E265">
        <v>269.99</v>
      </c>
      <c r="F265">
        <v>0.1</v>
      </c>
      <c r="G265">
        <v>539.91</v>
      </c>
      <c r="H265" t="s">
        <v>18</v>
      </c>
      <c r="I265" t="s">
        <v>304</v>
      </c>
    </row>
    <row r="266" spans="1:9" x14ac:dyDescent="0.35">
      <c r="A266">
        <v>95</v>
      </c>
      <c r="B266">
        <v>1</v>
      </c>
      <c r="C266">
        <v>10</v>
      </c>
      <c r="D266">
        <v>2</v>
      </c>
      <c r="E266">
        <v>1549</v>
      </c>
      <c r="F266">
        <v>0.2</v>
      </c>
      <c r="G266">
        <v>3097.8</v>
      </c>
      <c r="H266" t="s">
        <v>15</v>
      </c>
      <c r="I266" t="s">
        <v>301</v>
      </c>
    </row>
    <row r="267" spans="1:9" x14ac:dyDescent="0.35">
      <c r="A267">
        <v>95</v>
      </c>
      <c r="B267">
        <v>2</v>
      </c>
      <c r="C267">
        <v>19</v>
      </c>
      <c r="D267">
        <v>1</v>
      </c>
      <c r="E267">
        <v>449</v>
      </c>
      <c r="F267">
        <v>0.1</v>
      </c>
      <c r="G267">
        <v>448.9</v>
      </c>
      <c r="H267" t="s">
        <v>24</v>
      </c>
      <c r="I267" t="s">
        <v>301</v>
      </c>
    </row>
    <row r="268" spans="1:9" x14ac:dyDescent="0.35">
      <c r="A268">
        <v>95</v>
      </c>
      <c r="B268">
        <v>3</v>
      </c>
      <c r="C268">
        <v>8</v>
      </c>
      <c r="D268">
        <v>2</v>
      </c>
      <c r="E268">
        <v>1799.99</v>
      </c>
      <c r="F268">
        <v>0.2</v>
      </c>
      <c r="G268">
        <v>3599.78</v>
      </c>
      <c r="H268" t="s">
        <v>13</v>
      </c>
      <c r="I268" t="s">
        <v>300</v>
      </c>
    </row>
    <row r="269" spans="1:9" x14ac:dyDescent="0.35">
      <c r="A269">
        <v>95</v>
      </c>
      <c r="B269">
        <v>4</v>
      </c>
      <c r="C269">
        <v>20</v>
      </c>
      <c r="D269">
        <v>2</v>
      </c>
      <c r="E269">
        <v>599.99</v>
      </c>
      <c r="F269">
        <v>0.1</v>
      </c>
      <c r="G269">
        <v>1199.93</v>
      </c>
      <c r="H269" t="s">
        <v>25</v>
      </c>
      <c r="I269" t="s">
        <v>300</v>
      </c>
    </row>
    <row r="270" spans="1:9" x14ac:dyDescent="0.35">
      <c r="A270">
        <v>96</v>
      </c>
      <c r="B270">
        <v>1</v>
      </c>
      <c r="C270">
        <v>26</v>
      </c>
      <c r="D270">
        <v>1</v>
      </c>
      <c r="E270">
        <v>599.99</v>
      </c>
      <c r="F270">
        <v>0.1</v>
      </c>
      <c r="G270">
        <v>599.89</v>
      </c>
      <c r="H270" t="s">
        <v>21</v>
      </c>
      <c r="I270" t="s">
        <v>299</v>
      </c>
    </row>
    <row r="271" spans="1:9" x14ac:dyDescent="0.35">
      <c r="A271">
        <v>96</v>
      </c>
      <c r="B271">
        <v>2</v>
      </c>
      <c r="C271">
        <v>23</v>
      </c>
      <c r="D271">
        <v>1</v>
      </c>
      <c r="E271">
        <v>299.99</v>
      </c>
      <c r="F271">
        <v>0.1</v>
      </c>
      <c r="G271">
        <v>299.94</v>
      </c>
      <c r="H271" t="s">
        <v>26</v>
      </c>
      <c r="I271" t="s">
        <v>301</v>
      </c>
    </row>
    <row r="272" spans="1:9" x14ac:dyDescent="0.35">
      <c r="A272">
        <v>97</v>
      </c>
      <c r="B272">
        <v>1</v>
      </c>
      <c r="C272">
        <v>20</v>
      </c>
      <c r="D272">
        <v>2</v>
      </c>
      <c r="E272">
        <v>599.99</v>
      </c>
      <c r="F272">
        <v>0.2</v>
      </c>
      <c r="G272">
        <v>1199.78</v>
      </c>
      <c r="H272" t="s">
        <v>25</v>
      </c>
      <c r="I272" t="s">
        <v>303</v>
      </c>
    </row>
    <row r="273" spans="1:9" x14ac:dyDescent="0.35">
      <c r="A273">
        <v>97</v>
      </c>
      <c r="B273">
        <v>2</v>
      </c>
      <c r="C273">
        <v>2</v>
      </c>
      <c r="D273">
        <v>1</v>
      </c>
      <c r="E273">
        <v>749.99</v>
      </c>
      <c r="F273">
        <v>0.1</v>
      </c>
      <c r="G273">
        <v>749.92</v>
      </c>
      <c r="H273" t="s">
        <v>7</v>
      </c>
      <c r="I273" t="s">
        <v>300</v>
      </c>
    </row>
    <row r="274" spans="1:9" x14ac:dyDescent="0.35">
      <c r="A274">
        <v>97</v>
      </c>
      <c r="B274">
        <v>3</v>
      </c>
      <c r="C274">
        <v>6</v>
      </c>
      <c r="D274">
        <v>2</v>
      </c>
      <c r="E274">
        <v>469.99</v>
      </c>
      <c r="F274">
        <v>0.2</v>
      </c>
      <c r="G274">
        <v>939.78</v>
      </c>
      <c r="H274" t="s">
        <v>11</v>
      </c>
      <c r="I274" t="s">
        <v>301</v>
      </c>
    </row>
    <row r="275" spans="1:9" x14ac:dyDescent="0.35">
      <c r="A275">
        <v>97</v>
      </c>
      <c r="B275">
        <v>4</v>
      </c>
      <c r="C275">
        <v>19</v>
      </c>
      <c r="D275">
        <v>1</v>
      </c>
      <c r="E275">
        <v>449</v>
      </c>
      <c r="F275">
        <v>0.1</v>
      </c>
      <c r="G275">
        <v>448.9</v>
      </c>
      <c r="H275" t="s">
        <v>24</v>
      </c>
      <c r="I275" t="s">
        <v>300</v>
      </c>
    </row>
    <row r="276" spans="1:9" x14ac:dyDescent="0.35">
      <c r="A276">
        <v>98</v>
      </c>
      <c r="B276">
        <v>1</v>
      </c>
      <c r="C276">
        <v>19</v>
      </c>
      <c r="D276">
        <v>1</v>
      </c>
      <c r="E276">
        <v>449</v>
      </c>
      <c r="F276">
        <v>0.1</v>
      </c>
      <c r="G276">
        <v>448.93</v>
      </c>
      <c r="H276" t="s">
        <v>24</v>
      </c>
      <c r="I276" t="s">
        <v>304</v>
      </c>
    </row>
    <row r="277" spans="1:9" x14ac:dyDescent="0.35">
      <c r="A277">
        <v>98</v>
      </c>
      <c r="B277">
        <v>2</v>
      </c>
      <c r="C277">
        <v>21</v>
      </c>
      <c r="D277">
        <v>1</v>
      </c>
      <c r="E277">
        <v>269.99</v>
      </c>
      <c r="F277">
        <v>0.1</v>
      </c>
      <c r="G277">
        <v>269.89</v>
      </c>
      <c r="H277" t="s">
        <v>18</v>
      </c>
      <c r="I277" t="s">
        <v>304</v>
      </c>
    </row>
    <row r="278" spans="1:9" x14ac:dyDescent="0.35">
      <c r="A278">
        <v>98</v>
      </c>
      <c r="B278">
        <v>3</v>
      </c>
      <c r="C278">
        <v>2</v>
      </c>
      <c r="D278">
        <v>1</v>
      </c>
      <c r="E278">
        <v>749.99</v>
      </c>
      <c r="F278">
        <v>0.2</v>
      </c>
      <c r="G278">
        <v>749.79</v>
      </c>
      <c r="H278" t="s">
        <v>7</v>
      </c>
      <c r="I278" t="s">
        <v>301</v>
      </c>
    </row>
    <row r="279" spans="1:9" x14ac:dyDescent="0.35">
      <c r="A279">
        <v>98</v>
      </c>
      <c r="B279">
        <v>4</v>
      </c>
      <c r="C279">
        <v>22</v>
      </c>
      <c r="D279">
        <v>2</v>
      </c>
      <c r="E279">
        <v>269.99</v>
      </c>
      <c r="F279">
        <v>0.2</v>
      </c>
      <c r="G279">
        <v>539.78</v>
      </c>
      <c r="H279" t="s">
        <v>19</v>
      </c>
      <c r="I279" t="s">
        <v>304</v>
      </c>
    </row>
    <row r="280" spans="1:9" x14ac:dyDescent="0.35">
      <c r="A280">
        <v>99</v>
      </c>
      <c r="B280">
        <v>1</v>
      </c>
      <c r="C280">
        <v>13</v>
      </c>
      <c r="D280">
        <v>1</v>
      </c>
      <c r="E280">
        <v>269.99</v>
      </c>
      <c r="F280">
        <v>0.2</v>
      </c>
      <c r="G280">
        <v>269.79000000000002</v>
      </c>
      <c r="H280" t="s">
        <v>18</v>
      </c>
      <c r="I280" t="s">
        <v>304</v>
      </c>
    </row>
    <row r="281" spans="1:9" x14ac:dyDescent="0.35">
      <c r="A281">
        <v>99</v>
      </c>
      <c r="B281">
        <v>2</v>
      </c>
      <c r="C281">
        <v>21</v>
      </c>
      <c r="D281">
        <v>1</v>
      </c>
      <c r="E281">
        <v>269.99</v>
      </c>
      <c r="F281">
        <v>0.2</v>
      </c>
      <c r="G281">
        <v>269.79000000000002</v>
      </c>
      <c r="H281" t="s">
        <v>18</v>
      </c>
      <c r="I281" t="s">
        <v>301</v>
      </c>
    </row>
    <row r="282" spans="1:9" x14ac:dyDescent="0.35">
      <c r="A282">
        <v>99</v>
      </c>
      <c r="B282">
        <v>3</v>
      </c>
      <c r="C282">
        <v>25</v>
      </c>
      <c r="D282">
        <v>2</v>
      </c>
      <c r="E282">
        <v>499.99</v>
      </c>
      <c r="F282">
        <v>0.1</v>
      </c>
      <c r="G282">
        <v>999.93</v>
      </c>
      <c r="H282" t="s">
        <v>27</v>
      </c>
      <c r="I282" t="s">
        <v>301</v>
      </c>
    </row>
    <row r="283" spans="1:9" x14ac:dyDescent="0.35">
      <c r="A283">
        <v>99</v>
      </c>
      <c r="B283">
        <v>4</v>
      </c>
      <c r="C283">
        <v>7</v>
      </c>
      <c r="D283">
        <v>2</v>
      </c>
      <c r="E283">
        <v>3999.99</v>
      </c>
      <c r="F283">
        <v>0.1</v>
      </c>
      <c r="G283">
        <v>7999.91</v>
      </c>
      <c r="H283" t="s">
        <v>12</v>
      </c>
      <c r="I283" t="s">
        <v>301</v>
      </c>
    </row>
    <row r="284" spans="1:9" x14ac:dyDescent="0.35">
      <c r="A284">
        <v>99</v>
      </c>
      <c r="B284">
        <v>5</v>
      </c>
      <c r="C284">
        <v>23</v>
      </c>
      <c r="D284">
        <v>2</v>
      </c>
      <c r="E284">
        <v>299.99</v>
      </c>
      <c r="F284">
        <v>0.2</v>
      </c>
      <c r="G284">
        <v>599.78</v>
      </c>
      <c r="H284" t="s">
        <v>26</v>
      </c>
      <c r="I284" t="s">
        <v>299</v>
      </c>
    </row>
    <row r="285" spans="1:9" x14ac:dyDescent="0.35">
      <c r="A285">
        <v>100</v>
      </c>
      <c r="B285">
        <v>1</v>
      </c>
      <c r="C285">
        <v>12</v>
      </c>
      <c r="D285">
        <v>2</v>
      </c>
      <c r="E285">
        <v>549.99</v>
      </c>
      <c r="F285">
        <v>0.1</v>
      </c>
      <c r="G285">
        <v>1099.93</v>
      </c>
      <c r="H285" t="s">
        <v>17</v>
      </c>
      <c r="I285" t="s">
        <v>300</v>
      </c>
    </row>
    <row r="286" spans="1:9" x14ac:dyDescent="0.35">
      <c r="A286">
        <v>100</v>
      </c>
      <c r="B286">
        <v>2</v>
      </c>
      <c r="C286">
        <v>11</v>
      </c>
      <c r="D286">
        <v>2</v>
      </c>
      <c r="E286">
        <v>1680.99</v>
      </c>
      <c r="F286">
        <v>0.1</v>
      </c>
      <c r="G286">
        <v>3361.88</v>
      </c>
      <c r="H286" t="s">
        <v>16</v>
      </c>
      <c r="I286" t="s">
        <v>304</v>
      </c>
    </row>
    <row r="287" spans="1:9" x14ac:dyDescent="0.35">
      <c r="A287">
        <v>100</v>
      </c>
      <c r="B287">
        <v>3</v>
      </c>
      <c r="C287">
        <v>7</v>
      </c>
      <c r="D287">
        <v>2</v>
      </c>
      <c r="E287">
        <v>3999.99</v>
      </c>
      <c r="F287">
        <v>0.2</v>
      </c>
      <c r="G287">
        <v>7999.78</v>
      </c>
      <c r="H287" t="s">
        <v>12</v>
      </c>
      <c r="I287" t="s">
        <v>299</v>
      </c>
    </row>
    <row r="288" spans="1:9" x14ac:dyDescent="0.35">
      <c r="A288">
        <v>100</v>
      </c>
      <c r="B288">
        <v>4</v>
      </c>
      <c r="C288">
        <v>16</v>
      </c>
      <c r="D288">
        <v>2</v>
      </c>
      <c r="E288">
        <v>599.99</v>
      </c>
      <c r="F288">
        <v>0.2</v>
      </c>
      <c r="G288">
        <v>1199.78</v>
      </c>
      <c r="H288" t="s">
        <v>21</v>
      </c>
      <c r="I288" t="s">
        <v>302</v>
      </c>
    </row>
    <row r="289" spans="1:9" x14ac:dyDescent="0.35">
      <c r="A289">
        <v>100</v>
      </c>
      <c r="B289">
        <v>5</v>
      </c>
      <c r="C289">
        <v>24</v>
      </c>
      <c r="D289">
        <v>2</v>
      </c>
      <c r="E289">
        <v>549.99</v>
      </c>
      <c r="F289">
        <v>0.1</v>
      </c>
      <c r="G289">
        <v>1099.8800000000001</v>
      </c>
      <c r="H289" t="s">
        <v>17</v>
      </c>
      <c r="I289" t="s">
        <v>301</v>
      </c>
    </row>
    <row r="290" spans="1:9" x14ac:dyDescent="0.35">
      <c r="A290">
        <v>102</v>
      </c>
      <c r="B290">
        <v>1</v>
      </c>
      <c r="C290">
        <v>15</v>
      </c>
      <c r="D290">
        <v>1</v>
      </c>
      <c r="E290">
        <v>529.99</v>
      </c>
      <c r="F290">
        <v>0.1</v>
      </c>
      <c r="G290">
        <v>529.94000000000005</v>
      </c>
      <c r="H290" t="s">
        <v>20</v>
      </c>
      <c r="I290" t="s">
        <v>300</v>
      </c>
    </row>
    <row r="291" spans="1:9" x14ac:dyDescent="0.35">
      <c r="A291">
        <v>102</v>
      </c>
      <c r="B291">
        <v>2</v>
      </c>
      <c r="C291">
        <v>22</v>
      </c>
      <c r="D291">
        <v>1</v>
      </c>
      <c r="E291">
        <v>269.99</v>
      </c>
      <c r="F291">
        <v>0.1</v>
      </c>
      <c r="G291">
        <v>269.92</v>
      </c>
      <c r="H291" t="s">
        <v>19</v>
      </c>
      <c r="I291" t="s">
        <v>304</v>
      </c>
    </row>
    <row r="292" spans="1:9" x14ac:dyDescent="0.35">
      <c r="A292">
        <v>103</v>
      </c>
      <c r="B292">
        <v>1</v>
      </c>
      <c r="C292">
        <v>17</v>
      </c>
      <c r="D292">
        <v>1</v>
      </c>
      <c r="E292">
        <v>429</v>
      </c>
      <c r="F292">
        <v>0.1</v>
      </c>
      <c r="G292">
        <v>428.93</v>
      </c>
      <c r="H292" t="s">
        <v>22</v>
      </c>
      <c r="I292" t="s">
        <v>302</v>
      </c>
    </row>
    <row r="293" spans="1:9" x14ac:dyDescent="0.35">
      <c r="A293">
        <v>103</v>
      </c>
      <c r="B293">
        <v>2</v>
      </c>
      <c r="C293">
        <v>3</v>
      </c>
      <c r="D293">
        <v>1</v>
      </c>
      <c r="E293">
        <v>999.99</v>
      </c>
      <c r="F293">
        <v>0.1</v>
      </c>
      <c r="G293">
        <v>999.94</v>
      </c>
      <c r="H293" t="s">
        <v>8</v>
      </c>
      <c r="I293" t="s">
        <v>302</v>
      </c>
    </row>
    <row r="294" spans="1:9" x14ac:dyDescent="0.35">
      <c r="A294">
        <v>103</v>
      </c>
      <c r="B294">
        <v>3</v>
      </c>
      <c r="C294">
        <v>18</v>
      </c>
      <c r="D294">
        <v>1</v>
      </c>
      <c r="E294">
        <v>449</v>
      </c>
      <c r="F294">
        <v>0.2</v>
      </c>
      <c r="G294">
        <v>448.8</v>
      </c>
      <c r="H294" t="s">
        <v>23</v>
      </c>
      <c r="I294" t="s">
        <v>302</v>
      </c>
    </row>
    <row r="295" spans="1:9" x14ac:dyDescent="0.35">
      <c r="A295">
        <v>103</v>
      </c>
      <c r="B295">
        <v>4</v>
      </c>
      <c r="C295">
        <v>15</v>
      </c>
      <c r="D295">
        <v>2</v>
      </c>
      <c r="E295">
        <v>529.99</v>
      </c>
      <c r="F295">
        <v>0.1</v>
      </c>
      <c r="G295">
        <v>1059.8800000000001</v>
      </c>
      <c r="H295" t="s">
        <v>20</v>
      </c>
      <c r="I295" t="s">
        <v>301</v>
      </c>
    </row>
    <row r="296" spans="1:9" x14ac:dyDescent="0.35">
      <c r="A296">
        <v>103</v>
      </c>
      <c r="B296">
        <v>5</v>
      </c>
      <c r="C296">
        <v>9</v>
      </c>
      <c r="D296">
        <v>2</v>
      </c>
      <c r="E296">
        <v>2999.99</v>
      </c>
      <c r="F296">
        <v>0.1</v>
      </c>
      <c r="G296">
        <v>5999.88</v>
      </c>
      <c r="H296" t="s">
        <v>14</v>
      </c>
      <c r="I296" t="s">
        <v>304</v>
      </c>
    </row>
    <row r="297" spans="1:9" x14ac:dyDescent="0.35">
      <c r="A297">
        <v>104</v>
      </c>
      <c r="B297">
        <v>1</v>
      </c>
      <c r="C297">
        <v>19</v>
      </c>
      <c r="D297">
        <v>2</v>
      </c>
      <c r="E297">
        <v>449</v>
      </c>
      <c r="F297">
        <v>0.1</v>
      </c>
      <c r="G297">
        <v>897.9</v>
      </c>
      <c r="H297" t="s">
        <v>24</v>
      </c>
      <c r="I297" t="s">
        <v>304</v>
      </c>
    </row>
    <row r="298" spans="1:9" x14ac:dyDescent="0.35">
      <c r="A298">
        <v>104</v>
      </c>
      <c r="B298">
        <v>2</v>
      </c>
      <c r="C298">
        <v>26</v>
      </c>
      <c r="D298">
        <v>1</v>
      </c>
      <c r="E298">
        <v>599.99</v>
      </c>
      <c r="F298">
        <v>0.1</v>
      </c>
      <c r="G298">
        <v>599.94000000000005</v>
      </c>
      <c r="H298" t="s">
        <v>21</v>
      </c>
      <c r="I298" t="s">
        <v>304</v>
      </c>
    </row>
    <row r="299" spans="1:9" x14ac:dyDescent="0.35">
      <c r="A299">
        <v>105</v>
      </c>
      <c r="B299">
        <v>1</v>
      </c>
      <c r="C299">
        <v>11</v>
      </c>
      <c r="D299">
        <v>2</v>
      </c>
      <c r="E299">
        <v>1680.99</v>
      </c>
      <c r="F299">
        <v>0.2</v>
      </c>
      <c r="G299">
        <v>3361.78</v>
      </c>
      <c r="H299" t="s">
        <v>16</v>
      </c>
      <c r="I299" t="s">
        <v>301</v>
      </c>
    </row>
    <row r="300" spans="1:9" x14ac:dyDescent="0.35">
      <c r="A300">
        <v>105</v>
      </c>
      <c r="B300">
        <v>2</v>
      </c>
      <c r="C300">
        <v>3</v>
      </c>
      <c r="D300">
        <v>1</v>
      </c>
      <c r="E300">
        <v>999.99</v>
      </c>
      <c r="F300">
        <v>0.1</v>
      </c>
      <c r="G300">
        <v>999.94</v>
      </c>
      <c r="H300" t="s">
        <v>8</v>
      </c>
      <c r="I300" t="s">
        <v>300</v>
      </c>
    </row>
    <row r="301" spans="1:9" x14ac:dyDescent="0.35">
      <c r="A301">
        <v>105</v>
      </c>
      <c r="B301">
        <v>3</v>
      </c>
      <c r="C301">
        <v>9</v>
      </c>
      <c r="D301">
        <v>1</v>
      </c>
      <c r="E301">
        <v>2999.99</v>
      </c>
      <c r="F301">
        <v>0.1</v>
      </c>
      <c r="G301">
        <v>2999.94</v>
      </c>
      <c r="H301" t="s">
        <v>14</v>
      </c>
      <c r="I301" t="s">
        <v>304</v>
      </c>
    </row>
    <row r="302" spans="1:9" x14ac:dyDescent="0.35">
      <c r="A302">
        <v>106</v>
      </c>
      <c r="B302">
        <v>1</v>
      </c>
      <c r="C302">
        <v>17</v>
      </c>
      <c r="D302">
        <v>1</v>
      </c>
      <c r="E302">
        <v>429</v>
      </c>
      <c r="F302">
        <v>0.1</v>
      </c>
      <c r="G302">
        <v>428.9</v>
      </c>
      <c r="H302" t="s">
        <v>22</v>
      </c>
      <c r="I302" t="s">
        <v>304</v>
      </c>
    </row>
    <row r="303" spans="1:9" x14ac:dyDescent="0.35">
      <c r="A303">
        <v>106</v>
      </c>
      <c r="B303">
        <v>2</v>
      </c>
      <c r="C303">
        <v>13</v>
      </c>
      <c r="D303">
        <v>2</v>
      </c>
      <c r="E303">
        <v>269.99</v>
      </c>
      <c r="F303">
        <v>0.1</v>
      </c>
      <c r="G303">
        <v>539.88</v>
      </c>
      <c r="H303" t="s">
        <v>18</v>
      </c>
      <c r="I303" t="s">
        <v>302</v>
      </c>
    </row>
    <row r="304" spans="1:9" x14ac:dyDescent="0.35">
      <c r="A304">
        <v>107</v>
      </c>
      <c r="B304">
        <v>1</v>
      </c>
      <c r="C304">
        <v>19</v>
      </c>
      <c r="D304">
        <v>1</v>
      </c>
      <c r="E304">
        <v>449</v>
      </c>
      <c r="F304">
        <v>0.2</v>
      </c>
      <c r="G304">
        <v>448.8</v>
      </c>
      <c r="H304" t="s">
        <v>24</v>
      </c>
      <c r="I304" t="s">
        <v>304</v>
      </c>
    </row>
    <row r="305" spans="1:9" x14ac:dyDescent="0.35">
      <c r="A305">
        <v>107</v>
      </c>
      <c r="B305">
        <v>2</v>
      </c>
      <c r="C305">
        <v>13</v>
      </c>
      <c r="D305">
        <v>2</v>
      </c>
      <c r="E305">
        <v>269.99</v>
      </c>
      <c r="F305">
        <v>0.1</v>
      </c>
      <c r="G305">
        <v>539.88</v>
      </c>
      <c r="H305" t="s">
        <v>18</v>
      </c>
      <c r="I305" t="s">
        <v>302</v>
      </c>
    </row>
    <row r="306" spans="1:9" x14ac:dyDescent="0.35">
      <c r="A306">
        <v>108</v>
      </c>
      <c r="B306">
        <v>1</v>
      </c>
      <c r="C306">
        <v>11</v>
      </c>
      <c r="D306">
        <v>1</v>
      </c>
      <c r="E306">
        <v>1680.99</v>
      </c>
      <c r="F306">
        <v>0.1</v>
      </c>
      <c r="G306">
        <v>1680.89</v>
      </c>
      <c r="H306" t="s">
        <v>16</v>
      </c>
      <c r="I306" t="s">
        <v>301</v>
      </c>
    </row>
    <row r="307" spans="1:9" x14ac:dyDescent="0.35">
      <c r="A307">
        <v>108</v>
      </c>
      <c r="B307">
        <v>2</v>
      </c>
      <c r="C307">
        <v>22</v>
      </c>
      <c r="D307">
        <v>2</v>
      </c>
      <c r="E307">
        <v>269.99</v>
      </c>
      <c r="F307">
        <v>0.1</v>
      </c>
      <c r="G307">
        <v>539.91</v>
      </c>
      <c r="H307" t="s">
        <v>19</v>
      </c>
      <c r="I307" t="s">
        <v>302</v>
      </c>
    </row>
    <row r="308" spans="1:9" x14ac:dyDescent="0.35">
      <c r="A308">
        <v>108</v>
      </c>
      <c r="B308">
        <v>3</v>
      </c>
      <c r="C308">
        <v>16</v>
      </c>
      <c r="D308">
        <v>2</v>
      </c>
      <c r="E308">
        <v>599.99</v>
      </c>
      <c r="F308">
        <v>0.1</v>
      </c>
      <c r="G308">
        <v>1199.93</v>
      </c>
      <c r="H308" t="s">
        <v>21</v>
      </c>
      <c r="I308" t="s">
        <v>304</v>
      </c>
    </row>
    <row r="309" spans="1:9" x14ac:dyDescent="0.35">
      <c r="A309">
        <v>109</v>
      </c>
      <c r="B309">
        <v>1</v>
      </c>
      <c r="C309">
        <v>22</v>
      </c>
      <c r="D309">
        <v>2</v>
      </c>
      <c r="E309">
        <v>269.99</v>
      </c>
      <c r="F309">
        <v>0.1</v>
      </c>
      <c r="G309">
        <v>539.88</v>
      </c>
      <c r="H309" t="s">
        <v>19</v>
      </c>
      <c r="I309" t="s">
        <v>304</v>
      </c>
    </row>
    <row r="310" spans="1:9" x14ac:dyDescent="0.35">
      <c r="A310">
        <v>109</v>
      </c>
      <c r="B310">
        <v>2</v>
      </c>
      <c r="C310">
        <v>6</v>
      </c>
      <c r="D310">
        <v>1</v>
      </c>
      <c r="E310">
        <v>469.99</v>
      </c>
      <c r="F310">
        <v>0.1</v>
      </c>
      <c r="G310">
        <v>469.92</v>
      </c>
      <c r="H310" t="s">
        <v>11</v>
      </c>
      <c r="I310" t="s">
        <v>301</v>
      </c>
    </row>
    <row r="311" spans="1:9" x14ac:dyDescent="0.35">
      <c r="A311">
        <v>111</v>
      </c>
      <c r="B311">
        <v>1</v>
      </c>
      <c r="C311">
        <v>14</v>
      </c>
      <c r="D311">
        <v>1</v>
      </c>
      <c r="E311">
        <v>269.99</v>
      </c>
      <c r="F311">
        <v>0.1</v>
      </c>
      <c r="G311">
        <v>269.89</v>
      </c>
      <c r="H311" t="s">
        <v>19</v>
      </c>
      <c r="I311" t="s">
        <v>304</v>
      </c>
    </row>
    <row r="312" spans="1:9" x14ac:dyDescent="0.35">
      <c r="A312">
        <v>111</v>
      </c>
      <c r="B312">
        <v>2</v>
      </c>
      <c r="C312">
        <v>12</v>
      </c>
      <c r="D312">
        <v>2</v>
      </c>
      <c r="E312">
        <v>549.99</v>
      </c>
      <c r="F312">
        <v>0.1</v>
      </c>
      <c r="G312">
        <v>1099.9100000000001</v>
      </c>
      <c r="H312" t="s">
        <v>17</v>
      </c>
      <c r="I312" t="s">
        <v>304</v>
      </c>
    </row>
    <row r="313" spans="1:9" x14ac:dyDescent="0.35">
      <c r="A313">
        <v>112</v>
      </c>
      <c r="B313">
        <v>1</v>
      </c>
      <c r="C313">
        <v>23</v>
      </c>
      <c r="D313">
        <v>2</v>
      </c>
      <c r="E313">
        <v>299.99</v>
      </c>
      <c r="F313">
        <v>0.2</v>
      </c>
      <c r="G313">
        <v>599.78</v>
      </c>
      <c r="H313" t="s">
        <v>26</v>
      </c>
      <c r="I313" t="s">
        <v>301</v>
      </c>
    </row>
    <row r="314" spans="1:9" x14ac:dyDescent="0.35">
      <c r="A314">
        <v>112</v>
      </c>
      <c r="B314">
        <v>2</v>
      </c>
      <c r="C314">
        <v>25</v>
      </c>
      <c r="D314">
        <v>2</v>
      </c>
      <c r="E314">
        <v>499.99</v>
      </c>
      <c r="F314">
        <v>0.1</v>
      </c>
      <c r="G314">
        <v>999.91</v>
      </c>
      <c r="H314" t="s">
        <v>27</v>
      </c>
      <c r="I314" t="s">
        <v>301</v>
      </c>
    </row>
    <row r="315" spans="1:9" x14ac:dyDescent="0.35">
      <c r="A315">
        <v>112</v>
      </c>
      <c r="B315">
        <v>3</v>
      </c>
      <c r="C315">
        <v>24</v>
      </c>
      <c r="D315">
        <v>2</v>
      </c>
      <c r="E315">
        <v>549.99</v>
      </c>
      <c r="F315">
        <v>0.1</v>
      </c>
      <c r="G315">
        <v>1099.93</v>
      </c>
      <c r="H315" t="s">
        <v>17</v>
      </c>
      <c r="I315" t="s">
        <v>304</v>
      </c>
    </row>
    <row r="316" spans="1:9" x14ac:dyDescent="0.35">
      <c r="A316">
        <v>112</v>
      </c>
      <c r="B316">
        <v>4</v>
      </c>
      <c r="C316">
        <v>5</v>
      </c>
      <c r="D316">
        <v>1</v>
      </c>
      <c r="E316">
        <v>1320.99</v>
      </c>
      <c r="F316">
        <v>0.2</v>
      </c>
      <c r="G316">
        <v>1320.79</v>
      </c>
      <c r="H316" t="s">
        <v>10</v>
      </c>
      <c r="I316" t="s">
        <v>301</v>
      </c>
    </row>
    <row r="317" spans="1:9" x14ac:dyDescent="0.35">
      <c r="A317">
        <v>113</v>
      </c>
      <c r="B317">
        <v>1</v>
      </c>
      <c r="C317">
        <v>12</v>
      </c>
      <c r="D317">
        <v>2</v>
      </c>
      <c r="E317">
        <v>549.99</v>
      </c>
      <c r="F317">
        <v>0.1</v>
      </c>
      <c r="G317">
        <v>1099.9100000000001</v>
      </c>
      <c r="H317" t="s">
        <v>17</v>
      </c>
      <c r="I317" t="s">
        <v>299</v>
      </c>
    </row>
    <row r="318" spans="1:9" x14ac:dyDescent="0.35">
      <c r="A318">
        <v>113</v>
      </c>
      <c r="B318">
        <v>2</v>
      </c>
      <c r="C318">
        <v>24</v>
      </c>
      <c r="D318">
        <v>2</v>
      </c>
      <c r="E318">
        <v>549.99</v>
      </c>
      <c r="F318">
        <v>0.1</v>
      </c>
      <c r="G318">
        <v>1099.8800000000001</v>
      </c>
      <c r="H318" t="s">
        <v>17</v>
      </c>
      <c r="I318" t="s">
        <v>301</v>
      </c>
    </row>
    <row r="319" spans="1:9" x14ac:dyDescent="0.35">
      <c r="A319">
        <v>113</v>
      </c>
      <c r="B319">
        <v>3</v>
      </c>
      <c r="C319">
        <v>6</v>
      </c>
      <c r="D319">
        <v>1</v>
      </c>
      <c r="E319">
        <v>469.99</v>
      </c>
      <c r="F319">
        <v>0.1</v>
      </c>
      <c r="G319">
        <v>469.92</v>
      </c>
      <c r="H319" t="s">
        <v>11</v>
      </c>
      <c r="I319" t="s">
        <v>301</v>
      </c>
    </row>
    <row r="320" spans="1:9" x14ac:dyDescent="0.35">
      <c r="A320">
        <v>113</v>
      </c>
      <c r="B320">
        <v>4</v>
      </c>
      <c r="C320">
        <v>23</v>
      </c>
      <c r="D320">
        <v>1</v>
      </c>
      <c r="E320">
        <v>299.99</v>
      </c>
      <c r="F320">
        <v>0.2</v>
      </c>
      <c r="G320">
        <v>299.79000000000002</v>
      </c>
      <c r="H320" t="s">
        <v>26</v>
      </c>
      <c r="I320" t="s">
        <v>301</v>
      </c>
    </row>
    <row r="321" spans="1:9" x14ac:dyDescent="0.35">
      <c r="A321">
        <v>113</v>
      </c>
      <c r="B321">
        <v>5</v>
      </c>
      <c r="C321">
        <v>5</v>
      </c>
      <c r="D321">
        <v>2</v>
      </c>
      <c r="E321">
        <v>1320.99</v>
      </c>
      <c r="F321">
        <v>0.2</v>
      </c>
      <c r="G321">
        <v>2641.78</v>
      </c>
      <c r="H321" t="s">
        <v>10</v>
      </c>
      <c r="I321" t="s">
        <v>301</v>
      </c>
    </row>
    <row r="322" spans="1:9" x14ac:dyDescent="0.35">
      <c r="A322">
        <v>114</v>
      </c>
      <c r="B322">
        <v>1</v>
      </c>
      <c r="C322">
        <v>12</v>
      </c>
      <c r="D322">
        <v>1</v>
      </c>
      <c r="E322">
        <v>549.99</v>
      </c>
      <c r="F322">
        <v>0.1</v>
      </c>
      <c r="G322">
        <v>549.94000000000005</v>
      </c>
      <c r="H322" t="s">
        <v>17</v>
      </c>
      <c r="I322" t="s">
        <v>304</v>
      </c>
    </row>
    <row r="323" spans="1:9" x14ac:dyDescent="0.35">
      <c r="A323">
        <v>114</v>
      </c>
      <c r="B323">
        <v>2</v>
      </c>
      <c r="C323">
        <v>2</v>
      </c>
      <c r="D323">
        <v>1</v>
      </c>
      <c r="E323">
        <v>749.99</v>
      </c>
      <c r="F323">
        <v>0.1</v>
      </c>
      <c r="G323">
        <v>749.92</v>
      </c>
      <c r="H323" t="s">
        <v>7</v>
      </c>
      <c r="I323" t="s">
        <v>304</v>
      </c>
    </row>
    <row r="324" spans="1:9" x14ac:dyDescent="0.35">
      <c r="A324">
        <v>114</v>
      </c>
      <c r="B324">
        <v>3</v>
      </c>
      <c r="C324">
        <v>13</v>
      </c>
      <c r="D324">
        <v>2</v>
      </c>
      <c r="E324">
        <v>269.99</v>
      </c>
      <c r="F324">
        <v>0.1</v>
      </c>
      <c r="G324">
        <v>539.88</v>
      </c>
      <c r="H324" t="s">
        <v>18</v>
      </c>
      <c r="I324" t="s">
        <v>301</v>
      </c>
    </row>
    <row r="325" spans="1:9" x14ac:dyDescent="0.35">
      <c r="A325">
        <v>115</v>
      </c>
      <c r="B325">
        <v>1</v>
      </c>
      <c r="C325">
        <v>22</v>
      </c>
      <c r="D325">
        <v>1</v>
      </c>
      <c r="E325">
        <v>269.99</v>
      </c>
      <c r="F325">
        <v>0.2</v>
      </c>
      <c r="G325">
        <v>269.79000000000002</v>
      </c>
      <c r="H325" t="s">
        <v>19</v>
      </c>
      <c r="I325" t="s">
        <v>304</v>
      </c>
    </row>
    <row r="326" spans="1:9" x14ac:dyDescent="0.35">
      <c r="A326">
        <v>115</v>
      </c>
      <c r="B326">
        <v>2</v>
      </c>
      <c r="C326">
        <v>19</v>
      </c>
      <c r="D326">
        <v>1</v>
      </c>
      <c r="E326">
        <v>449</v>
      </c>
      <c r="F326">
        <v>0.1</v>
      </c>
      <c r="G326">
        <v>448.9</v>
      </c>
      <c r="H326" t="s">
        <v>24</v>
      </c>
      <c r="I326" t="s">
        <v>301</v>
      </c>
    </row>
    <row r="327" spans="1:9" x14ac:dyDescent="0.35">
      <c r="A327">
        <v>117</v>
      </c>
      <c r="B327">
        <v>1</v>
      </c>
      <c r="C327">
        <v>22</v>
      </c>
      <c r="D327">
        <v>2</v>
      </c>
      <c r="E327">
        <v>269.99</v>
      </c>
      <c r="F327">
        <v>0.2</v>
      </c>
      <c r="G327">
        <v>539.78</v>
      </c>
      <c r="H327" t="s">
        <v>19</v>
      </c>
      <c r="I327" t="s">
        <v>299</v>
      </c>
    </row>
    <row r="328" spans="1:9" x14ac:dyDescent="0.35">
      <c r="A328">
        <v>117</v>
      </c>
      <c r="B328">
        <v>2</v>
      </c>
      <c r="C328">
        <v>26</v>
      </c>
      <c r="D328">
        <v>1</v>
      </c>
      <c r="E328">
        <v>599.99</v>
      </c>
      <c r="F328">
        <v>0.1</v>
      </c>
      <c r="G328">
        <v>599.94000000000005</v>
      </c>
      <c r="H328" t="s">
        <v>21</v>
      </c>
      <c r="I328" t="s">
        <v>300</v>
      </c>
    </row>
    <row r="329" spans="1:9" x14ac:dyDescent="0.35">
      <c r="A329">
        <v>117</v>
      </c>
      <c r="B329">
        <v>3</v>
      </c>
      <c r="C329">
        <v>14</v>
      </c>
      <c r="D329">
        <v>1</v>
      </c>
      <c r="E329">
        <v>269.99</v>
      </c>
      <c r="F329">
        <v>0.2</v>
      </c>
      <c r="G329">
        <v>269.79000000000002</v>
      </c>
      <c r="H329" t="s">
        <v>19</v>
      </c>
      <c r="I329" t="s">
        <v>301</v>
      </c>
    </row>
    <row r="330" spans="1:9" x14ac:dyDescent="0.35">
      <c r="A330">
        <v>117</v>
      </c>
      <c r="B330">
        <v>4</v>
      </c>
      <c r="C330">
        <v>19</v>
      </c>
      <c r="D330">
        <v>1</v>
      </c>
      <c r="E330">
        <v>449</v>
      </c>
      <c r="F330">
        <v>0.1</v>
      </c>
      <c r="G330">
        <v>448.95</v>
      </c>
      <c r="H330" t="s">
        <v>24</v>
      </c>
      <c r="I330" t="s">
        <v>299</v>
      </c>
    </row>
    <row r="331" spans="1:9" x14ac:dyDescent="0.35">
      <c r="A331">
        <v>118</v>
      </c>
      <c r="B331">
        <v>1</v>
      </c>
      <c r="C331">
        <v>18</v>
      </c>
      <c r="D331">
        <v>1</v>
      </c>
      <c r="E331">
        <v>449</v>
      </c>
      <c r="F331">
        <v>0.1</v>
      </c>
      <c r="G331">
        <v>448.93</v>
      </c>
      <c r="H331" t="s">
        <v>23</v>
      </c>
      <c r="I331" t="s">
        <v>301</v>
      </c>
    </row>
    <row r="332" spans="1:9" x14ac:dyDescent="0.35">
      <c r="A332">
        <v>118</v>
      </c>
      <c r="B332">
        <v>2</v>
      </c>
      <c r="C332">
        <v>4</v>
      </c>
      <c r="D332">
        <v>1</v>
      </c>
      <c r="E332">
        <v>2899.99</v>
      </c>
      <c r="F332">
        <v>0.1</v>
      </c>
      <c r="G332">
        <v>2899.92</v>
      </c>
      <c r="H332" t="s">
        <v>9</v>
      </c>
      <c r="I332" t="s">
        <v>301</v>
      </c>
    </row>
    <row r="333" spans="1:9" x14ac:dyDescent="0.35">
      <c r="A333">
        <v>118</v>
      </c>
      <c r="B333">
        <v>3</v>
      </c>
      <c r="C333">
        <v>6</v>
      </c>
      <c r="D333">
        <v>1</v>
      </c>
      <c r="E333">
        <v>469.99</v>
      </c>
      <c r="F333">
        <v>0.1</v>
      </c>
      <c r="G333">
        <v>469.92</v>
      </c>
      <c r="H333" t="s">
        <v>11</v>
      </c>
      <c r="I333" t="s">
        <v>299</v>
      </c>
    </row>
    <row r="334" spans="1:9" x14ac:dyDescent="0.35">
      <c r="A334">
        <v>118</v>
      </c>
      <c r="B334">
        <v>4</v>
      </c>
      <c r="C334">
        <v>3</v>
      </c>
      <c r="D334">
        <v>2</v>
      </c>
      <c r="E334">
        <v>999.99</v>
      </c>
      <c r="F334">
        <v>0.1</v>
      </c>
      <c r="G334">
        <v>1999.88</v>
      </c>
      <c r="H334" t="s">
        <v>8</v>
      </c>
      <c r="I334" t="s">
        <v>304</v>
      </c>
    </row>
    <row r="335" spans="1:9" x14ac:dyDescent="0.35">
      <c r="A335">
        <v>118</v>
      </c>
      <c r="B335">
        <v>5</v>
      </c>
      <c r="C335">
        <v>23</v>
      </c>
      <c r="D335">
        <v>2</v>
      </c>
      <c r="E335">
        <v>299.99</v>
      </c>
      <c r="F335">
        <v>0.1</v>
      </c>
      <c r="G335">
        <v>599.91</v>
      </c>
      <c r="H335" t="s">
        <v>26</v>
      </c>
      <c r="I335" t="s">
        <v>301</v>
      </c>
    </row>
    <row r="336" spans="1:9" x14ac:dyDescent="0.35">
      <c r="A336">
        <v>120</v>
      </c>
      <c r="B336">
        <v>1</v>
      </c>
      <c r="C336">
        <v>13</v>
      </c>
      <c r="D336">
        <v>2</v>
      </c>
      <c r="E336">
        <v>269.99</v>
      </c>
      <c r="F336">
        <v>0.1</v>
      </c>
      <c r="G336">
        <v>539.92999999999995</v>
      </c>
      <c r="H336" t="s">
        <v>18</v>
      </c>
      <c r="I336" t="s">
        <v>304</v>
      </c>
    </row>
    <row r="337" spans="1:9" x14ac:dyDescent="0.35">
      <c r="A337">
        <v>120</v>
      </c>
      <c r="B337">
        <v>2</v>
      </c>
      <c r="C337">
        <v>6</v>
      </c>
      <c r="D337">
        <v>2</v>
      </c>
      <c r="E337">
        <v>469.99</v>
      </c>
      <c r="F337">
        <v>0.1</v>
      </c>
      <c r="G337">
        <v>939.93</v>
      </c>
      <c r="H337" t="s">
        <v>11</v>
      </c>
      <c r="I337" t="s">
        <v>302</v>
      </c>
    </row>
    <row r="338" spans="1:9" x14ac:dyDescent="0.35">
      <c r="A338">
        <v>120</v>
      </c>
      <c r="B338">
        <v>3</v>
      </c>
      <c r="C338">
        <v>10</v>
      </c>
      <c r="D338">
        <v>2</v>
      </c>
      <c r="E338">
        <v>1549</v>
      </c>
      <c r="F338">
        <v>0.1</v>
      </c>
      <c r="G338">
        <v>3097.95</v>
      </c>
      <c r="H338" t="s">
        <v>15</v>
      </c>
      <c r="I338" t="s">
        <v>304</v>
      </c>
    </row>
    <row r="339" spans="1:9" x14ac:dyDescent="0.35">
      <c r="A339">
        <v>120</v>
      </c>
      <c r="B339">
        <v>4</v>
      </c>
      <c r="C339">
        <v>17</v>
      </c>
      <c r="D339">
        <v>1</v>
      </c>
      <c r="E339">
        <v>429</v>
      </c>
      <c r="F339">
        <v>0.1</v>
      </c>
      <c r="G339">
        <v>428.95</v>
      </c>
      <c r="H339" t="s">
        <v>22</v>
      </c>
      <c r="I339" t="s">
        <v>299</v>
      </c>
    </row>
    <row r="340" spans="1:9" x14ac:dyDescent="0.35">
      <c r="A340">
        <v>120</v>
      </c>
      <c r="B340">
        <v>5</v>
      </c>
      <c r="C340">
        <v>16</v>
      </c>
      <c r="D340">
        <v>2</v>
      </c>
      <c r="E340">
        <v>599.99</v>
      </c>
      <c r="F340">
        <v>0.2</v>
      </c>
      <c r="G340">
        <v>1199.78</v>
      </c>
      <c r="H340" t="s">
        <v>21</v>
      </c>
      <c r="I340" t="s">
        <v>301</v>
      </c>
    </row>
    <row r="341" spans="1:9" x14ac:dyDescent="0.35">
      <c r="A341">
        <v>121</v>
      </c>
      <c r="B341">
        <v>1</v>
      </c>
      <c r="C341">
        <v>5</v>
      </c>
      <c r="D341">
        <v>1</v>
      </c>
      <c r="E341">
        <v>1320.99</v>
      </c>
      <c r="F341">
        <v>0.2</v>
      </c>
      <c r="G341">
        <v>1320.79</v>
      </c>
      <c r="H341" t="s">
        <v>10</v>
      </c>
      <c r="I341" t="s">
        <v>299</v>
      </c>
    </row>
    <row r="342" spans="1:9" x14ac:dyDescent="0.35">
      <c r="A342">
        <v>121</v>
      </c>
      <c r="B342">
        <v>2</v>
      </c>
      <c r="C342">
        <v>14</v>
      </c>
      <c r="D342">
        <v>2</v>
      </c>
      <c r="E342">
        <v>269.99</v>
      </c>
      <c r="F342">
        <v>0.1</v>
      </c>
      <c r="G342">
        <v>539.88</v>
      </c>
      <c r="H342" t="s">
        <v>19</v>
      </c>
      <c r="I342" t="s">
        <v>301</v>
      </c>
    </row>
    <row r="343" spans="1:9" x14ac:dyDescent="0.35">
      <c r="A343">
        <v>121</v>
      </c>
      <c r="B343">
        <v>3</v>
      </c>
      <c r="C343">
        <v>4</v>
      </c>
      <c r="D343">
        <v>2</v>
      </c>
      <c r="E343">
        <v>2899.99</v>
      </c>
      <c r="F343">
        <v>0.1</v>
      </c>
      <c r="G343">
        <v>5799.88</v>
      </c>
      <c r="H343" t="s">
        <v>9</v>
      </c>
      <c r="I343" t="s">
        <v>299</v>
      </c>
    </row>
    <row r="344" spans="1:9" x14ac:dyDescent="0.35">
      <c r="A344">
        <v>121</v>
      </c>
      <c r="B344">
        <v>4</v>
      </c>
      <c r="C344">
        <v>24</v>
      </c>
      <c r="D344">
        <v>2</v>
      </c>
      <c r="E344">
        <v>549.99</v>
      </c>
      <c r="F344">
        <v>0.1</v>
      </c>
      <c r="G344">
        <v>1099.9100000000001</v>
      </c>
      <c r="H344" t="s">
        <v>17</v>
      </c>
      <c r="I344" t="s">
        <v>301</v>
      </c>
    </row>
    <row r="345" spans="1:9" x14ac:dyDescent="0.35">
      <c r="A345">
        <v>121</v>
      </c>
      <c r="B345">
        <v>5</v>
      </c>
      <c r="C345">
        <v>2</v>
      </c>
      <c r="D345">
        <v>2</v>
      </c>
      <c r="E345">
        <v>749.99</v>
      </c>
      <c r="F345">
        <v>0.1</v>
      </c>
      <c r="G345">
        <v>1499.93</v>
      </c>
      <c r="H345" t="s">
        <v>7</v>
      </c>
      <c r="I345" t="s">
        <v>300</v>
      </c>
    </row>
    <row r="346" spans="1:9" x14ac:dyDescent="0.35">
      <c r="A346">
        <v>124</v>
      </c>
      <c r="B346">
        <v>1</v>
      </c>
      <c r="C346">
        <v>16</v>
      </c>
      <c r="D346">
        <v>1</v>
      </c>
      <c r="E346">
        <v>599.99</v>
      </c>
      <c r="F346">
        <v>0.1</v>
      </c>
      <c r="G346">
        <v>599.94000000000005</v>
      </c>
      <c r="H346" t="s">
        <v>21</v>
      </c>
      <c r="I346" t="s">
        <v>299</v>
      </c>
    </row>
    <row r="347" spans="1:9" x14ac:dyDescent="0.35">
      <c r="A347">
        <v>124</v>
      </c>
      <c r="B347">
        <v>2</v>
      </c>
      <c r="C347">
        <v>4</v>
      </c>
      <c r="D347">
        <v>1</v>
      </c>
      <c r="E347">
        <v>2899.99</v>
      </c>
      <c r="F347">
        <v>0.1</v>
      </c>
      <c r="G347">
        <v>2899.92</v>
      </c>
      <c r="H347" t="s">
        <v>9</v>
      </c>
      <c r="I347" t="s">
        <v>300</v>
      </c>
    </row>
    <row r="348" spans="1:9" x14ac:dyDescent="0.35">
      <c r="A348">
        <v>124</v>
      </c>
      <c r="B348">
        <v>3</v>
      </c>
      <c r="C348">
        <v>7</v>
      </c>
      <c r="D348">
        <v>2</v>
      </c>
      <c r="E348">
        <v>3999.99</v>
      </c>
      <c r="F348">
        <v>0.1</v>
      </c>
      <c r="G348">
        <v>7999.93</v>
      </c>
      <c r="H348" t="s">
        <v>12</v>
      </c>
      <c r="I348" t="s">
        <v>300</v>
      </c>
    </row>
    <row r="349" spans="1:9" x14ac:dyDescent="0.35">
      <c r="A349">
        <v>127</v>
      </c>
      <c r="B349">
        <v>1</v>
      </c>
      <c r="C349">
        <v>17</v>
      </c>
      <c r="D349">
        <v>1</v>
      </c>
      <c r="E349">
        <v>429</v>
      </c>
      <c r="F349">
        <v>0.1</v>
      </c>
      <c r="G349">
        <v>428.93</v>
      </c>
      <c r="H349" t="s">
        <v>22</v>
      </c>
      <c r="I349" t="s">
        <v>304</v>
      </c>
    </row>
    <row r="350" spans="1:9" x14ac:dyDescent="0.35">
      <c r="A350">
        <v>127</v>
      </c>
      <c r="B350">
        <v>2</v>
      </c>
      <c r="C350">
        <v>20</v>
      </c>
      <c r="D350">
        <v>1</v>
      </c>
      <c r="E350">
        <v>599.99</v>
      </c>
      <c r="F350">
        <v>0.1</v>
      </c>
      <c r="G350">
        <v>599.89</v>
      </c>
      <c r="H350" t="s">
        <v>25</v>
      </c>
      <c r="I350" t="s">
        <v>302</v>
      </c>
    </row>
    <row r="351" spans="1:9" x14ac:dyDescent="0.35">
      <c r="A351">
        <v>127</v>
      </c>
      <c r="B351">
        <v>3</v>
      </c>
      <c r="C351">
        <v>4</v>
      </c>
      <c r="D351">
        <v>2</v>
      </c>
      <c r="E351">
        <v>2899.99</v>
      </c>
      <c r="F351">
        <v>0.1</v>
      </c>
      <c r="G351">
        <v>5799.91</v>
      </c>
      <c r="H351" t="s">
        <v>9</v>
      </c>
      <c r="I351" t="s">
        <v>300</v>
      </c>
    </row>
    <row r="352" spans="1:9" x14ac:dyDescent="0.35">
      <c r="A352">
        <v>128</v>
      </c>
      <c r="B352">
        <v>1</v>
      </c>
      <c r="C352">
        <v>24</v>
      </c>
      <c r="D352">
        <v>2</v>
      </c>
      <c r="E352">
        <v>549.99</v>
      </c>
      <c r="F352">
        <v>0.1</v>
      </c>
      <c r="G352">
        <v>1099.8800000000001</v>
      </c>
      <c r="H352" t="s">
        <v>17</v>
      </c>
      <c r="I352" t="s">
        <v>301</v>
      </c>
    </row>
    <row r="353" spans="1:9" x14ac:dyDescent="0.35">
      <c r="A353">
        <v>128</v>
      </c>
      <c r="B353">
        <v>2</v>
      </c>
      <c r="C353">
        <v>16</v>
      </c>
      <c r="D353">
        <v>2</v>
      </c>
      <c r="E353">
        <v>599.99</v>
      </c>
      <c r="F353">
        <v>0.1</v>
      </c>
      <c r="G353">
        <v>1199.8800000000001</v>
      </c>
      <c r="H353" t="s">
        <v>21</v>
      </c>
      <c r="I353" t="s">
        <v>302</v>
      </c>
    </row>
    <row r="354" spans="1:9" x14ac:dyDescent="0.35">
      <c r="A354">
        <v>128</v>
      </c>
      <c r="B354">
        <v>3</v>
      </c>
      <c r="C354">
        <v>4</v>
      </c>
      <c r="D354">
        <v>2</v>
      </c>
      <c r="E354">
        <v>2899.99</v>
      </c>
      <c r="F354">
        <v>0.2</v>
      </c>
      <c r="G354">
        <v>5799.78</v>
      </c>
      <c r="H354" t="s">
        <v>9</v>
      </c>
      <c r="I354" t="s">
        <v>304</v>
      </c>
    </row>
    <row r="355" spans="1:9" x14ac:dyDescent="0.35">
      <c r="A355">
        <v>128</v>
      </c>
      <c r="B355">
        <v>4</v>
      </c>
      <c r="C355">
        <v>3</v>
      </c>
      <c r="D355">
        <v>2</v>
      </c>
      <c r="E355">
        <v>999.99</v>
      </c>
      <c r="F355">
        <v>0.2</v>
      </c>
      <c r="G355">
        <v>1999.78</v>
      </c>
      <c r="H355" t="s">
        <v>8</v>
      </c>
      <c r="I355" t="s">
        <v>302</v>
      </c>
    </row>
    <row r="356" spans="1:9" x14ac:dyDescent="0.35">
      <c r="A356">
        <v>129</v>
      </c>
      <c r="B356">
        <v>1</v>
      </c>
      <c r="C356">
        <v>18</v>
      </c>
      <c r="D356">
        <v>1</v>
      </c>
      <c r="E356">
        <v>449</v>
      </c>
      <c r="F356">
        <v>0.1</v>
      </c>
      <c r="G356">
        <v>448.9</v>
      </c>
      <c r="H356" t="s">
        <v>23</v>
      </c>
      <c r="I356" t="s">
        <v>299</v>
      </c>
    </row>
    <row r="357" spans="1:9" x14ac:dyDescent="0.35">
      <c r="A357">
        <v>129</v>
      </c>
      <c r="B357">
        <v>2</v>
      </c>
      <c r="C357">
        <v>9</v>
      </c>
      <c r="D357">
        <v>1</v>
      </c>
      <c r="E357">
        <v>2999.99</v>
      </c>
      <c r="F357">
        <v>0.1</v>
      </c>
      <c r="G357">
        <v>2999.89</v>
      </c>
      <c r="H357" t="s">
        <v>14</v>
      </c>
      <c r="I357" t="s">
        <v>304</v>
      </c>
    </row>
    <row r="358" spans="1:9" x14ac:dyDescent="0.35">
      <c r="A358">
        <v>130</v>
      </c>
      <c r="B358">
        <v>1</v>
      </c>
      <c r="C358">
        <v>26</v>
      </c>
      <c r="D358">
        <v>1</v>
      </c>
      <c r="E358">
        <v>599.99</v>
      </c>
      <c r="F358">
        <v>0.1</v>
      </c>
      <c r="G358">
        <v>599.94000000000005</v>
      </c>
      <c r="H358" t="s">
        <v>21</v>
      </c>
      <c r="I358" t="s">
        <v>304</v>
      </c>
    </row>
    <row r="359" spans="1:9" x14ac:dyDescent="0.35">
      <c r="A359">
        <v>130</v>
      </c>
      <c r="B359">
        <v>2</v>
      </c>
      <c r="C359">
        <v>5</v>
      </c>
      <c r="D359">
        <v>2</v>
      </c>
      <c r="E359">
        <v>1320.99</v>
      </c>
      <c r="F359">
        <v>0.1</v>
      </c>
      <c r="G359">
        <v>2641.91</v>
      </c>
      <c r="H359" t="s">
        <v>10</v>
      </c>
      <c r="I359" t="s">
        <v>300</v>
      </c>
    </row>
    <row r="360" spans="1:9" x14ac:dyDescent="0.35">
      <c r="A360">
        <v>131</v>
      </c>
      <c r="B360">
        <v>1</v>
      </c>
      <c r="C360">
        <v>22</v>
      </c>
      <c r="D360">
        <v>2</v>
      </c>
      <c r="E360">
        <v>269.99</v>
      </c>
      <c r="F360">
        <v>0.2</v>
      </c>
      <c r="G360">
        <v>539.78</v>
      </c>
      <c r="H360" t="s">
        <v>19</v>
      </c>
      <c r="I360" t="s">
        <v>303</v>
      </c>
    </row>
    <row r="361" spans="1:9" x14ac:dyDescent="0.35">
      <c r="A361">
        <v>131</v>
      </c>
      <c r="B361">
        <v>2</v>
      </c>
      <c r="C361">
        <v>4</v>
      </c>
      <c r="D361">
        <v>2</v>
      </c>
      <c r="E361">
        <v>2899.99</v>
      </c>
      <c r="F361">
        <v>0.1</v>
      </c>
      <c r="G361">
        <v>5799.91</v>
      </c>
      <c r="H361" t="s">
        <v>9</v>
      </c>
      <c r="I361" t="s">
        <v>301</v>
      </c>
    </row>
    <row r="362" spans="1:9" x14ac:dyDescent="0.35">
      <c r="A362">
        <v>131</v>
      </c>
      <c r="B362">
        <v>3</v>
      </c>
      <c r="C362">
        <v>24</v>
      </c>
      <c r="D362">
        <v>2</v>
      </c>
      <c r="E362">
        <v>549.99</v>
      </c>
      <c r="F362">
        <v>0.1</v>
      </c>
      <c r="G362">
        <v>1099.8800000000001</v>
      </c>
      <c r="H362" t="s">
        <v>17</v>
      </c>
      <c r="I362" t="s">
        <v>299</v>
      </c>
    </row>
    <row r="363" spans="1:9" x14ac:dyDescent="0.35">
      <c r="A363">
        <v>132</v>
      </c>
      <c r="B363">
        <v>1</v>
      </c>
      <c r="C363">
        <v>2</v>
      </c>
      <c r="D363">
        <v>2</v>
      </c>
      <c r="E363">
        <v>749.99</v>
      </c>
      <c r="F363">
        <v>0.1</v>
      </c>
      <c r="G363">
        <v>1499.93</v>
      </c>
      <c r="H363" t="s">
        <v>7</v>
      </c>
      <c r="I363" t="s">
        <v>304</v>
      </c>
    </row>
    <row r="364" spans="1:9" x14ac:dyDescent="0.35">
      <c r="A364">
        <v>132</v>
      </c>
      <c r="B364">
        <v>2</v>
      </c>
      <c r="C364">
        <v>20</v>
      </c>
      <c r="D364">
        <v>1</v>
      </c>
      <c r="E364">
        <v>599.99</v>
      </c>
      <c r="F364">
        <v>0.1</v>
      </c>
      <c r="G364">
        <v>599.94000000000005</v>
      </c>
      <c r="H364" t="s">
        <v>25</v>
      </c>
      <c r="I364" t="s">
        <v>301</v>
      </c>
    </row>
    <row r="365" spans="1:9" x14ac:dyDescent="0.35">
      <c r="A365">
        <v>132</v>
      </c>
      <c r="B365">
        <v>3</v>
      </c>
      <c r="C365">
        <v>9</v>
      </c>
      <c r="D365">
        <v>1</v>
      </c>
      <c r="E365">
        <v>2999.99</v>
      </c>
      <c r="F365">
        <v>0.1</v>
      </c>
      <c r="G365">
        <v>2999.89</v>
      </c>
      <c r="H365" t="s">
        <v>14</v>
      </c>
      <c r="I365" t="s">
        <v>301</v>
      </c>
    </row>
    <row r="366" spans="1:9" x14ac:dyDescent="0.35">
      <c r="A366">
        <v>133</v>
      </c>
      <c r="B366">
        <v>1</v>
      </c>
      <c r="C366">
        <v>13</v>
      </c>
      <c r="D366">
        <v>2</v>
      </c>
      <c r="E366">
        <v>269.99</v>
      </c>
      <c r="F366">
        <v>0.1</v>
      </c>
      <c r="G366">
        <v>539.92999999999995</v>
      </c>
      <c r="H366" t="s">
        <v>18</v>
      </c>
      <c r="I366" t="s">
        <v>299</v>
      </c>
    </row>
    <row r="367" spans="1:9" x14ac:dyDescent="0.35">
      <c r="A367">
        <v>133</v>
      </c>
      <c r="B367">
        <v>2</v>
      </c>
      <c r="C367">
        <v>22</v>
      </c>
      <c r="D367">
        <v>1</v>
      </c>
      <c r="E367">
        <v>269.99</v>
      </c>
      <c r="F367">
        <v>0.2</v>
      </c>
      <c r="G367">
        <v>269.79000000000002</v>
      </c>
      <c r="H367" t="s">
        <v>19</v>
      </c>
      <c r="I367" t="s">
        <v>304</v>
      </c>
    </row>
    <row r="368" spans="1:9" x14ac:dyDescent="0.35">
      <c r="A368">
        <v>134</v>
      </c>
      <c r="B368">
        <v>1</v>
      </c>
      <c r="C368">
        <v>19</v>
      </c>
      <c r="D368">
        <v>2</v>
      </c>
      <c r="E368">
        <v>449</v>
      </c>
      <c r="F368">
        <v>0.1</v>
      </c>
      <c r="G368">
        <v>897.9</v>
      </c>
      <c r="H368" t="s">
        <v>24</v>
      </c>
      <c r="I368" t="s">
        <v>301</v>
      </c>
    </row>
    <row r="369" spans="1:9" x14ac:dyDescent="0.35">
      <c r="A369">
        <v>134</v>
      </c>
      <c r="B369">
        <v>2</v>
      </c>
      <c r="C369">
        <v>2</v>
      </c>
      <c r="D369">
        <v>2</v>
      </c>
      <c r="E369">
        <v>749.99</v>
      </c>
      <c r="F369">
        <v>0.1</v>
      </c>
      <c r="G369">
        <v>1499.91</v>
      </c>
      <c r="H369" t="s">
        <v>7</v>
      </c>
      <c r="I369" t="s">
        <v>301</v>
      </c>
    </row>
    <row r="370" spans="1:9" x14ac:dyDescent="0.35">
      <c r="A370">
        <v>134</v>
      </c>
      <c r="B370">
        <v>3</v>
      </c>
      <c r="C370">
        <v>18</v>
      </c>
      <c r="D370">
        <v>2</v>
      </c>
      <c r="E370">
        <v>449</v>
      </c>
      <c r="F370">
        <v>0.1</v>
      </c>
      <c r="G370">
        <v>897.93</v>
      </c>
      <c r="H370" t="s">
        <v>23</v>
      </c>
      <c r="I370" t="s">
        <v>304</v>
      </c>
    </row>
    <row r="371" spans="1:9" x14ac:dyDescent="0.35">
      <c r="A371">
        <v>135</v>
      </c>
      <c r="B371">
        <v>1</v>
      </c>
      <c r="C371">
        <v>5</v>
      </c>
      <c r="D371">
        <v>2</v>
      </c>
      <c r="E371">
        <v>1320.99</v>
      </c>
      <c r="F371">
        <v>0.1</v>
      </c>
      <c r="G371">
        <v>2641.93</v>
      </c>
      <c r="H371" t="s">
        <v>10</v>
      </c>
      <c r="I371" t="s">
        <v>299</v>
      </c>
    </row>
    <row r="372" spans="1:9" x14ac:dyDescent="0.35">
      <c r="A372">
        <v>135</v>
      </c>
      <c r="B372">
        <v>2</v>
      </c>
      <c r="C372">
        <v>18</v>
      </c>
      <c r="D372">
        <v>2</v>
      </c>
      <c r="E372">
        <v>449</v>
      </c>
      <c r="F372">
        <v>0.1</v>
      </c>
      <c r="G372">
        <v>897.95</v>
      </c>
      <c r="H372" t="s">
        <v>23</v>
      </c>
      <c r="I372" t="s">
        <v>304</v>
      </c>
    </row>
    <row r="373" spans="1:9" x14ac:dyDescent="0.35">
      <c r="A373">
        <v>135</v>
      </c>
      <c r="B373">
        <v>3</v>
      </c>
      <c r="C373">
        <v>25</v>
      </c>
      <c r="D373">
        <v>1</v>
      </c>
      <c r="E373">
        <v>499.99</v>
      </c>
      <c r="F373">
        <v>0.2</v>
      </c>
      <c r="G373">
        <v>499.79</v>
      </c>
      <c r="H373" t="s">
        <v>27</v>
      </c>
      <c r="I373" t="s">
        <v>301</v>
      </c>
    </row>
    <row r="374" spans="1:9" x14ac:dyDescent="0.35">
      <c r="A374">
        <v>135</v>
      </c>
      <c r="B374">
        <v>4</v>
      </c>
      <c r="C374">
        <v>2</v>
      </c>
      <c r="D374">
        <v>1</v>
      </c>
      <c r="E374">
        <v>749.99</v>
      </c>
      <c r="F374">
        <v>0.1</v>
      </c>
      <c r="G374">
        <v>749.94</v>
      </c>
      <c r="H374" t="s">
        <v>7</v>
      </c>
      <c r="I374" t="s">
        <v>304</v>
      </c>
    </row>
    <row r="375" spans="1:9" x14ac:dyDescent="0.35">
      <c r="A375">
        <v>136</v>
      </c>
      <c r="B375">
        <v>1</v>
      </c>
      <c r="C375">
        <v>7</v>
      </c>
      <c r="D375">
        <v>2</v>
      </c>
      <c r="E375">
        <v>3999.99</v>
      </c>
      <c r="F375">
        <v>0.2</v>
      </c>
      <c r="G375">
        <v>7999.78</v>
      </c>
      <c r="H375" t="s">
        <v>12</v>
      </c>
      <c r="I375" t="s">
        <v>299</v>
      </c>
    </row>
    <row r="376" spans="1:9" x14ac:dyDescent="0.35">
      <c r="A376">
        <v>136</v>
      </c>
      <c r="B376">
        <v>2</v>
      </c>
      <c r="C376">
        <v>3</v>
      </c>
      <c r="D376">
        <v>2</v>
      </c>
      <c r="E376">
        <v>999.99</v>
      </c>
      <c r="F376">
        <v>0.1</v>
      </c>
      <c r="G376">
        <v>1999.93</v>
      </c>
      <c r="H376" t="s">
        <v>8</v>
      </c>
      <c r="I376" t="s">
        <v>301</v>
      </c>
    </row>
    <row r="377" spans="1:9" x14ac:dyDescent="0.35">
      <c r="A377">
        <v>137</v>
      </c>
      <c r="B377">
        <v>1</v>
      </c>
      <c r="C377">
        <v>23</v>
      </c>
      <c r="D377">
        <v>1</v>
      </c>
      <c r="E377">
        <v>299.99</v>
      </c>
      <c r="F377">
        <v>0.1</v>
      </c>
      <c r="G377">
        <v>299.92</v>
      </c>
      <c r="H377" t="s">
        <v>26</v>
      </c>
      <c r="I377" t="s">
        <v>301</v>
      </c>
    </row>
    <row r="378" spans="1:9" x14ac:dyDescent="0.35">
      <c r="A378">
        <v>137</v>
      </c>
      <c r="B378">
        <v>2</v>
      </c>
      <c r="C378">
        <v>22</v>
      </c>
      <c r="D378">
        <v>1</v>
      </c>
      <c r="E378">
        <v>269.99</v>
      </c>
      <c r="F378">
        <v>0.1</v>
      </c>
      <c r="G378">
        <v>269.89</v>
      </c>
      <c r="H378" t="s">
        <v>19</v>
      </c>
      <c r="I378" t="s">
        <v>304</v>
      </c>
    </row>
    <row r="379" spans="1:9" x14ac:dyDescent="0.35">
      <c r="A379">
        <v>138</v>
      </c>
      <c r="B379">
        <v>1</v>
      </c>
      <c r="C379">
        <v>16</v>
      </c>
      <c r="D379">
        <v>2</v>
      </c>
      <c r="E379">
        <v>599.99</v>
      </c>
      <c r="F379">
        <v>0.1</v>
      </c>
      <c r="G379">
        <v>1199.8800000000001</v>
      </c>
      <c r="H379" t="s">
        <v>21</v>
      </c>
      <c r="I379" t="s">
        <v>304</v>
      </c>
    </row>
    <row r="380" spans="1:9" x14ac:dyDescent="0.35">
      <c r="A380">
        <v>138</v>
      </c>
      <c r="B380">
        <v>2</v>
      </c>
      <c r="C380">
        <v>6</v>
      </c>
      <c r="D380">
        <v>1</v>
      </c>
      <c r="E380">
        <v>469.99</v>
      </c>
      <c r="F380">
        <v>0.2</v>
      </c>
      <c r="G380">
        <v>469.79</v>
      </c>
      <c r="H380" t="s">
        <v>11</v>
      </c>
      <c r="I380" t="s">
        <v>300</v>
      </c>
    </row>
    <row r="381" spans="1:9" x14ac:dyDescent="0.35">
      <c r="A381">
        <v>139</v>
      </c>
      <c r="B381">
        <v>1</v>
      </c>
      <c r="C381">
        <v>19</v>
      </c>
      <c r="D381">
        <v>2</v>
      </c>
      <c r="E381">
        <v>449</v>
      </c>
      <c r="F381">
        <v>0.1</v>
      </c>
      <c r="G381">
        <v>897.93</v>
      </c>
      <c r="H381" t="s">
        <v>24</v>
      </c>
      <c r="I381" t="s">
        <v>300</v>
      </c>
    </row>
    <row r="382" spans="1:9" x14ac:dyDescent="0.35">
      <c r="A382">
        <v>139</v>
      </c>
      <c r="B382">
        <v>2</v>
      </c>
      <c r="C382">
        <v>3</v>
      </c>
      <c r="D382">
        <v>1</v>
      </c>
      <c r="E382">
        <v>999.99</v>
      </c>
      <c r="F382">
        <v>0.1</v>
      </c>
      <c r="G382">
        <v>999.92</v>
      </c>
      <c r="H382" t="s">
        <v>8</v>
      </c>
      <c r="I382" t="s">
        <v>299</v>
      </c>
    </row>
    <row r="383" spans="1:9" x14ac:dyDescent="0.35">
      <c r="A383">
        <v>140</v>
      </c>
      <c r="B383">
        <v>1</v>
      </c>
      <c r="C383">
        <v>15</v>
      </c>
      <c r="D383">
        <v>1</v>
      </c>
      <c r="E383">
        <v>529.99</v>
      </c>
      <c r="F383">
        <v>0.2</v>
      </c>
      <c r="G383">
        <v>529.79</v>
      </c>
      <c r="H383" t="s">
        <v>20</v>
      </c>
      <c r="I383" t="s">
        <v>304</v>
      </c>
    </row>
    <row r="384" spans="1:9" x14ac:dyDescent="0.35">
      <c r="A384">
        <v>140</v>
      </c>
      <c r="B384">
        <v>2</v>
      </c>
      <c r="C384">
        <v>21</v>
      </c>
      <c r="D384">
        <v>1</v>
      </c>
      <c r="E384">
        <v>269.99</v>
      </c>
      <c r="F384">
        <v>0.2</v>
      </c>
      <c r="G384">
        <v>269.79000000000002</v>
      </c>
      <c r="H384" t="s">
        <v>18</v>
      </c>
      <c r="I384" t="s">
        <v>301</v>
      </c>
    </row>
    <row r="385" spans="1:9" x14ac:dyDescent="0.35">
      <c r="A385">
        <v>140</v>
      </c>
      <c r="B385">
        <v>3</v>
      </c>
      <c r="C385">
        <v>12</v>
      </c>
      <c r="D385">
        <v>2</v>
      </c>
      <c r="E385">
        <v>549.99</v>
      </c>
      <c r="F385">
        <v>0.2</v>
      </c>
      <c r="G385">
        <v>1099.78</v>
      </c>
      <c r="H385" t="s">
        <v>17</v>
      </c>
      <c r="I385" t="s">
        <v>303</v>
      </c>
    </row>
    <row r="386" spans="1:9" x14ac:dyDescent="0.35">
      <c r="A386">
        <v>140</v>
      </c>
      <c r="B386">
        <v>4</v>
      </c>
      <c r="C386">
        <v>3</v>
      </c>
      <c r="D386">
        <v>1</v>
      </c>
      <c r="E386">
        <v>999.99</v>
      </c>
      <c r="F386">
        <v>0.1</v>
      </c>
      <c r="G386">
        <v>999.94</v>
      </c>
      <c r="H386" t="s">
        <v>8</v>
      </c>
      <c r="I386" t="s">
        <v>304</v>
      </c>
    </row>
    <row r="387" spans="1:9" x14ac:dyDescent="0.35">
      <c r="A387">
        <v>142</v>
      </c>
      <c r="B387">
        <v>1</v>
      </c>
      <c r="C387">
        <v>16</v>
      </c>
      <c r="D387">
        <v>2</v>
      </c>
      <c r="E387">
        <v>599.99</v>
      </c>
      <c r="F387">
        <v>0.1</v>
      </c>
      <c r="G387">
        <v>1199.8800000000001</v>
      </c>
      <c r="H387" t="s">
        <v>21</v>
      </c>
      <c r="I387" t="s">
        <v>301</v>
      </c>
    </row>
    <row r="388" spans="1:9" x14ac:dyDescent="0.35">
      <c r="A388">
        <v>142</v>
      </c>
      <c r="B388">
        <v>2</v>
      </c>
      <c r="C388">
        <v>11</v>
      </c>
      <c r="D388">
        <v>2</v>
      </c>
      <c r="E388">
        <v>1680.99</v>
      </c>
      <c r="F388">
        <v>0.1</v>
      </c>
      <c r="G388">
        <v>3361.88</v>
      </c>
      <c r="H388" t="s">
        <v>16</v>
      </c>
      <c r="I388" t="s">
        <v>301</v>
      </c>
    </row>
    <row r="389" spans="1:9" x14ac:dyDescent="0.35">
      <c r="A389">
        <v>142</v>
      </c>
      <c r="B389">
        <v>3</v>
      </c>
      <c r="C389">
        <v>19</v>
      </c>
      <c r="D389">
        <v>1</v>
      </c>
      <c r="E389">
        <v>449</v>
      </c>
      <c r="F389">
        <v>0.1</v>
      </c>
      <c r="G389">
        <v>448.93</v>
      </c>
      <c r="H389" t="s">
        <v>24</v>
      </c>
      <c r="I389" t="s">
        <v>301</v>
      </c>
    </row>
    <row r="390" spans="1:9" x14ac:dyDescent="0.35">
      <c r="A390">
        <v>145</v>
      </c>
      <c r="B390">
        <v>1</v>
      </c>
      <c r="C390">
        <v>11</v>
      </c>
      <c r="D390">
        <v>1</v>
      </c>
      <c r="E390">
        <v>1680.99</v>
      </c>
      <c r="F390">
        <v>0.2</v>
      </c>
      <c r="G390">
        <v>1680.79</v>
      </c>
      <c r="H390" t="s">
        <v>16</v>
      </c>
      <c r="I390" t="s">
        <v>304</v>
      </c>
    </row>
    <row r="391" spans="1:9" x14ac:dyDescent="0.35">
      <c r="A391">
        <v>145</v>
      </c>
      <c r="B391">
        <v>2</v>
      </c>
      <c r="C391">
        <v>9</v>
      </c>
      <c r="D391">
        <v>2</v>
      </c>
      <c r="E391">
        <v>2999.99</v>
      </c>
      <c r="F391">
        <v>0.1</v>
      </c>
      <c r="G391">
        <v>5999.88</v>
      </c>
      <c r="H391" t="s">
        <v>14</v>
      </c>
      <c r="I391" t="s">
        <v>304</v>
      </c>
    </row>
    <row r="392" spans="1:9" x14ac:dyDescent="0.35">
      <c r="A392">
        <v>146</v>
      </c>
      <c r="B392">
        <v>1</v>
      </c>
      <c r="C392">
        <v>3</v>
      </c>
      <c r="D392">
        <v>2</v>
      </c>
      <c r="E392">
        <v>999.99</v>
      </c>
      <c r="F392">
        <v>0.2</v>
      </c>
      <c r="G392">
        <v>1999.78</v>
      </c>
      <c r="H392" t="s">
        <v>8</v>
      </c>
      <c r="I392" t="s">
        <v>304</v>
      </c>
    </row>
    <row r="393" spans="1:9" x14ac:dyDescent="0.35">
      <c r="A393">
        <v>146</v>
      </c>
      <c r="B393">
        <v>2</v>
      </c>
      <c r="C393">
        <v>12</v>
      </c>
      <c r="D393">
        <v>1</v>
      </c>
      <c r="E393">
        <v>549.99</v>
      </c>
      <c r="F393">
        <v>0.1</v>
      </c>
      <c r="G393">
        <v>549.89</v>
      </c>
      <c r="H393" t="s">
        <v>17</v>
      </c>
      <c r="I393" t="s">
        <v>304</v>
      </c>
    </row>
    <row r="394" spans="1:9" x14ac:dyDescent="0.35">
      <c r="A394">
        <v>146</v>
      </c>
      <c r="B394">
        <v>3</v>
      </c>
      <c r="C394">
        <v>20</v>
      </c>
      <c r="D394">
        <v>2</v>
      </c>
      <c r="E394">
        <v>599.99</v>
      </c>
      <c r="F394">
        <v>0.1</v>
      </c>
      <c r="G394">
        <v>1199.8800000000001</v>
      </c>
      <c r="H394" t="s">
        <v>25</v>
      </c>
      <c r="I394" t="s">
        <v>299</v>
      </c>
    </row>
    <row r="395" spans="1:9" x14ac:dyDescent="0.35">
      <c r="A395">
        <v>146</v>
      </c>
      <c r="B395">
        <v>4</v>
      </c>
      <c r="C395">
        <v>6</v>
      </c>
      <c r="D395">
        <v>2</v>
      </c>
      <c r="E395">
        <v>469.99</v>
      </c>
      <c r="F395">
        <v>0.1</v>
      </c>
      <c r="G395">
        <v>939.93</v>
      </c>
      <c r="H395" t="s">
        <v>11</v>
      </c>
      <c r="I395" t="s">
        <v>300</v>
      </c>
    </row>
    <row r="396" spans="1:9" x14ac:dyDescent="0.35">
      <c r="A396">
        <v>146</v>
      </c>
      <c r="B396">
        <v>5</v>
      </c>
      <c r="C396">
        <v>2</v>
      </c>
      <c r="D396">
        <v>1</v>
      </c>
      <c r="E396">
        <v>749.99</v>
      </c>
      <c r="F396">
        <v>0.1</v>
      </c>
      <c r="G396">
        <v>749.92</v>
      </c>
      <c r="H396" t="s">
        <v>7</v>
      </c>
      <c r="I396" t="s">
        <v>301</v>
      </c>
    </row>
    <row r="397" spans="1:9" x14ac:dyDescent="0.35">
      <c r="A397">
        <v>149</v>
      </c>
      <c r="B397">
        <v>1</v>
      </c>
      <c r="C397">
        <v>12</v>
      </c>
      <c r="D397">
        <v>2</v>
      </c>
      <c r="E397">
        <v>549.99</v>
      </c>
      <c r="F397">
        <v>0.1</v>
      </c>
      <c r="G397">
        <v>1099.9100000000001</v>
      </c>
      <c r="H397" t="s">
        <v>17</v>
      </c>
      <c r="I397" t="s">
        <v>304</v>
      </c>
    </row>
    <row r="398" spans="1:9" x14ac:dyDescent="0.35">
      <c r="A398">
        <v>149</v>
      </c>
      <c r="B398">
        <v>2</v>
      </c>
      <c r="C398">
        <v>21</v>
      </c>
      <c r="D398">
        <v>2</v>
      </c>
      <c r="E398">
        <v>269.99</v>
      </c>
      <c r="F398">
        <v>0.1</v>
      </c>
      <c r="G398">
        <v>539.91</v>
      </c>
      <c r="H398" t="s">
        <v>18</v>
      </c>
      <c r="I398" t="s">
        <v>301</v>
      </c>
    </row>
    <row r="399" spans="1:9" x14ac:dyDescent="0.35">
      <c r="A399">
        <v>150</v>
      </c>
      <c r="B399">
        <v>1</v>
      </c>
      <c r="C399">
        <v>7</v>
      </c>
      <c r="D399">
        <v>1</v>
      </c>
      <c r="E399">
        <v>3999.99</v>
      </c>
      <c r="F399">
        <v>0.1</v>
      </c>
      <c r="G399">
        <v>3999.89</v>
      </c>
      <c r="H399" t="s">
        <v>12</v>
      </c>
      <c r="I399" t="s">
        <v>304</v>
      </c>
    </row>
    <row r="400" spans="1:9" x14ac:dyDescent="0.35">
      <c r="A400">
        <v>150</v>
      </c>
      <c r="B400">
        <v>2</v>
      </c>
      <c r="C400">
        <v>3</v>
      </c>
      <c r="D400">
        <v>1</v>
      </c>
      <c r="E400">
        <v>999.99</v>
      </c>
      <c r="F400">
        <v>0.2</v>
      </c>
      <c r="G400">
        <v>999.79</v>
      </c>
      <c r="H400" t="s">
        <v>8</v>
      </c>
      <c r="I400" t="s">
        <v>299</v>
      </c>
    </row>
    <row r="401" spans="1:9" x14ac:dyDescent="0.35">
      <c r="A401">
        <v>150</v>
      </c>
      <c r="B401">
        <v>3</v>
      </c>
      <c r="C401">
        <v>17</v>
      </c>
      <c r="D401">
        <v>1</v>
      </c>
      <c r="E401">
        <v>429</v>
      </c>
      <c r="F401">
        <v>0.1</v>
      </c>
      <c r="G401">
        <v>428.93</v>
      </c>
      <c r="H401" t="s">
        <v>22</v>
      </c>
      <c r="I401" t="s">
        <v>304</v>
      </c>
    </row>
    <row r="402" spans="1:9" x14ac:dyDescent="0.35">
      <c r="A402">
        <v>150</v>
      </c>
      <c r="B402">
        <v>4</v>
      </c>
      <c r="C402">
        <v>25</v>
      </c>
      <c r="D402">
        <v>2</v>
      </c>
      <c r="E402">
        <v>499.99</v>
      </c>
      <c r="F402">
        <v>0.1</v>
      </c>
      <c r="G402">
        <v>999.91</v>
      </c>
      <c r="H402" t="s">
        <v>27</v>
      </c>
      <c r="I402" t="s">
        <v>302</v>
      </c>
    </row>
    <row r="403" spans="1:9" x14ac:dyDescent="0.35">
      <c r="A403">
        <v>151</v>
      </c>
      <c r="B403">
        <v>1</v>
      </c>
      <c r="C403">
        <v>17</v>
      </c>
      <c r="D403">
        <v>1</v>
      </c>
      <c r="E403">
        <v>429</v>
      </c>
      <c r="F403">
        <v>0.1</v>
      </c>
      <c r="G403">
        <v>428.9</v>
      </c>
      <c r="H403" t="s">
        <v>22</v>
      </c>
      <c r="I403" t="s">
        <v>301</v>
      </c>
    </row>
    <row r="404" spans="1:9" x14ac:dyDescent="0.35">
      <c r="A404">
        <v>151</v>
      </c>
      <c r="B404">
        <v>2</v>
      </c>
      <c r="C404">
        <v>26</v>
      </c>
      <c r="D404">
        <v>1</v>
      </c>
      <c r="E404">
        <v>599.99</v>
      </c>
      <c r="F404">
        <v>0.1</v>
      </c>
      <c r="G404">
        <v>599.89</v>
      </c>
      <c r="H404" t="s">
        <v>21</v>
      </c>
      <c r="I404" t="s">
        <v>304</v>
      </c>
    </row>
    <row r="405" spans="1:9" x14ac:dyDescent="0.35">
      <c r="A405">
        <v>152</v>
      </c>
      <c r="B405">
        <v>1</v>
      </c>
      <c r="C405">
        <v>6</v>
      </c>
      <c r="D405">
        <v>2</v>
      </c>
      <c r="E405">
        <v>469.99</v>
      </c>
      <c r="F405">
        <v>0.2</v>
      </c>
      <c r="G405">
        <v>939.78</v>
      </c>
      <c r="H405" t="s">
        <v>11</v>
      </c>
      <c r="I405" t="s">
        <v>302</v>
      </c>
    </row>
    <row r="406" spans="1:9" x14ac:dyDescent="0.35">
      <c r="A406">
        <v>152</v>
      </c>
      <c r="B406">
        <v>2</v>
      </c>
      <c r="C406">
        <v>22</v>
      </c>
      <c r="D406">
        <v>2</v>
      </c>
      <c r="E406">
        <v>269.99</v>
      </c>
      <c r="F406">
        <v>0.2</v>
      </c>
      <c r="G406">
        <v>539.78</v>
      </c>
      <c r="H406" t="s">
        <v>19</v>
      </c>
      <c r="I406" t="s">
        <v>299</v>
      </c>
    </row>
    <row r="407" spans="1:9" x14ac:dyDescent="0.35">
      <c r="A407">
        <v>152</v>
      </c>
      <c r="B407">
        <v>3</v>
      </c>
      <c r="C407">
        <v>16</v>
      </c>
      <c r="D407">
        <v>2</v>
      </c>
      <c r="E407">
        <v>599.99</v>
      </c>
      <c r="F407">
        <v>0.1</v>
      </c>
      <c r="G407">
        <v>1199.9100000000001</v>
      </c>
      <c r="H407" t="s">
        <v>21</v>
      </c>
      <c r="I407" t="s">
        <v>301</v>
      </c>
    </row>
    <row r="408" spans="1:9" x14ac:dyDescent="0.35">
      <c r="A408">
        <v>153</v>
      </c>
      <c r="B408">
        <v>1</v>
      </c>
      <c r="C408">
        <v>16</v>
      </c>
      <c r="D408">
        <v>1</v>
      </c>
      <c r="E408">
        <v>599.99</v>
      </c>
      <c r="F408">
        <v>0.1</v>
      </c>
      <c r="G408">
        <v>599.91999999999996</v>
      </c>
      <c r="H408" t="s">
        <v>21</v>
      </c>
      <c r="I408" t="s">
        <v>302</v>
      </c>
    </row>
    <row r="409" spans="1:9" x14ac:dyDescent="0.35">
      <c r="A409">
        <v>153</v>
      </c>
      <c r="B409">
        <v>2</v>
      </c>
      <c r="C409">
        <v>8</v>
      </c>
      <c r="D409">
        <v>1</v>
      </c>
      <c r="E409">
        <v>1799.99</v>
      </c>
      <c r="F409">
        <v>0.1</v>
      </c>
      <c r="G409">
        <v>1799.92</v>
      </c>
      <c r="H409" t="s">
        <v>13</v>
      </c>
      <c r="I409" t="s">
        <v>304</v>
      </c>
    </row>
    <row r="410" spans="1:9" x14ac:dyDescent="0.35">
      <c r="A410">
        <v>153</v>
      </c>
      <c r="B410">
        <v>3</v>
      </c>
      <c r="C410">
        <v>15</v>
      </c>
      <c r="D410">
        <v>2</v>
      </c>
      <c r="E410">
        <v>529.99</v>
      </c>
      <c r="F410">
        <v>0.1</v>
      </c>
      <c r="G410">
        <v>1059.93</v>
      </c>
      <c r="H410" t="s">
        <v>20</v>
      </c>
      <c r="I410" t="s">
        <v>299</v>
      </c>
    </row>
    <row r="411" spans="1:9" x14ac:dyDescent="0.35">
      <c r="A411">
        <v>156</v>
      </c>
      <c r="B411">
        <v>1</v>
      </c>
      <c r="C411">
        <v>18</v>
      </c>
      <c r="D411">
        <v>2</v>
      </c>
      <c r="E411">
        <v>449</v>
      </c>
      <c r="F411">
        <v>0.2</v>
      </c>
      <c r="G411">
        <v>897.8</v>
      </c>
      <c r="H411" t="s">
        <v>23</v>
      </c>
      <c r="I411" t="s">
        <v>304</v>
      </c>
    </row>
    <row r="412" spans="1:9" x14ac:dyDescent="0.35">
      <c r="A412">
        <v>156</v>
      </c>
      <c r="B412">
        <v>2</v>
      </c>
      <c r="C412">
        <v>17</v>
      </c>
      <c r="D412">
        <v>2</v>
      </c>
      <c r="E412">
        <v>429</v>
      </c>
      <c r="F412">
        <v>0.1</v>
      </c>
      <c r="G412">
        <v>857.95</v>
      </c>
      <c r="H412" t="s">
        <v>22</v>
      </c>
      <c r="I412" t="s">
        <v>304</v>
      </c>
    </row>
    <row r="413" spans="1:9" x14ac:dyDescent="0.35">
      <c r="A413">
        <v>156</v>
      </c>
      <c r="B413">
        <v>3</v>
      </c>
      <c r="C413">
        <v>6</v>
      </c>
      <c r="D413">
        <v>1</v>
      </c>
      <c r="E413">
        <v>469.99</v>
      </c>
      <c r="F413">
        <v>0.1</v>
      </c>
      <c r="G413">
        <v>469.92</v>
      </c>
      <c r="H413" t="s">
        <v>11</v>
      </c>
      <c r="I413" t="s">
        <v>304</v>
      </c>
    </row>
    <row r="414" spans="1:9" x14ac:dyDescent="0.35">
      <c r="A414">
        <v>157</v>
      </c>
      <c r="B414">
        <v>1</v>
      </c>
      <c r="C414">
        <v>4</v>
      </c>
      <c r="D414">
        <v>1</v>
      </c>
      <c r="E414">
        <v>2899.99</v>
      </c>
      <c r="F414">
        <v>0.1</v>
      </c>
      <c r="G414">
        <v>2899.89</v>
      </c>
      <c r="H414" t="s">
        <v>9</v>
      </c>
      <c r="I414" t="s">
        <v>301</v>
      </c>
    </row>
    <row r="415" spans="1:9" x14ac:dyDescent="0.35">
      <c r="A415">
        <v>157</v>
      </c>
      <c r="B415">
        <v>2</v>
      </c>
      <c r="C415">
        <v>7</v>
      </c>
      <c r="D415">
        <v>2</v>
      </c>
      <c r="E415">
        <v>3999.99</v>
      </c>
      <c r="F415">
        <v>0.1</v>
      </c>
      <c r="G415">
        <v>7999.91</v>
      </c>
      <c r="H415" t="s">
        <v>12</v>
      </c>
      <c r="I415" t="s">
        <v>301</v>
      </c>
    </row>
    <row r="416" spans="1:9" x14ac:dyDescent="0.35">
      <c r="A416">
        <v>160</v>
      </c>
      <c r="B416">
        <v>1</v>
      </c>
      <c r="C416">
        <v>21</v>
      </c>
      <c r="D416">
        <v>1</v>
      </c>
      <c r="E416">
        <v>269.99</v>
      </c>
      <c r="F416">
        <v>0.1</v>
      </c>
      <c r="G416">
        <v>269.92</v>
      </c>
      <c r="H416" t="s">
        <v>18</v>
      </c>
      <c r="I416" t="s">
        <v>299</v>
      </c>
    </row>
    <row r="417" spans="1:9" x14ac:dyDescent="0.35">
      <c r="A417">
        <v>160</v>
      </c>
      <c r="B417">
        <v>2</v>
      </c>
      <c r="C417">
        <v>15</v>
      </c>
      <c r="D417">
        <v>2</v>
      </c>
      <c r="E417">
        <v>529.99</v>
      </c>
      <c r="F417">
        <v>0.1</v>
      </c>
      <c r="G417">
        <v>1059.9100000000001</v>
      </c>
      <c r="H417" t="s">
        <v>20</v>
      </c>
      <c r="I417" t="s">
        <v>304</v>
      </c>
    </row>
    <row r="418" spans="1:9" x14ac:dyDescent="0.35">
      <c r="A418">
        <v>160</v>
      </c>
      <c r="B418">
        <v>3</v>
      </c>
      <c r="C418">
        <v>18</v>
      </c>
      <c r="D418">
        <v>2</v>
      </c>
      <c r="E418">
        <v>449</v>
      </c>
      <c r="F418">
        <v>0.1</v>
      </c>
      <c r="G418">
        <v>897.9</v>
      </c>
      <c r="H418" t="s">
        <v>23</v>
      </c>
      <c r="I418" t="s">
        <v>299</v>
      </c>
    </row>
    <row r="419" spans="1:9" x14ac:dyDescent="0.35">
      <c r="A419">
        <v>160</v>
      </c>
      <c r="B419">
        <v>4</v>
      </c>
      <c r="C419">
        <v>11</v>
      </c>
      <c r="D419">
        <v>1</v>
      </c>
      <c r="E419">
        <v>1680.99</v>
      </c>
      <c r="F419">
        <v>0.1</v>
      </c>
      <c r="G419">
        <v>1680.94</v>
      </c>
      <c r="H419" t="s">
        <v>16</v>
      </c>
      <c r="I419" t="s">
        <v>304</v>
      </c>
    </row>
    <row r="420" spans="1:9" x14ac:dyDescent="0.35">
      <c r="A420">
        <v>161</v>
      </c>
      <c r="B420">
        <v>1</v>
      </c>
      <c r="C420">
        <v>24</v>
      </c>
      <c r="D420">
        <v>2</v>
      </c>
      <c r="E420">
        <v>549.99</v>
      </c>
      <c r="F420">
        <v>0.1</v>
      </c>
      <c r="G420">
        <v>1099.9100000000001</v>
      </c>
      <c r="H420" t="s">
        <v>17</v>
      </c>
      <c r="I420" t="s">
        <v>301</v>
      </c>
    </row>
    <row r="421" spans="1:9" x14ac:dyDescent="0.35">
      <c r="A421">
        <v>161</v>
      </c>
      <c r="B421">
        <v>2</v>
      </c>
      <c r="C421">
        <v>22</v>
      </c>
      <c r="D421">
        <v>1</v>
      </c>
      <c r="E421">
        <v>269.99</v>
      </c>
      <c r="F421">
        <v>0.1</v>
      </c>
      <c r="G421">
        <v>269.94</v>
      </c>
      <c r="H421" t="s">
        <v>19</v>
      </c>
      <c r="I421" t="s">
        <v>301</v>
      </c>
    </row>
    <row r="422" spans="1:9" x14ac:dyDescent="0.35">
      <c r="A422">
        <v>161</v>
      </c>
      <c r="B422">
        <v>3</v>
      </c>
      <c r="C422">
        <v>7</v>
      </c>
      <c r="D422">
        <v>2</v>
      </c>
      <c r="E422">
        <v>3999.99</v>
      </c>
      <c r="F422">
        <v>0.1</v>
      </c>
      <c r="G422">
        <v>7999.93</v>
      </c>
      <c r="H422" t="s">
        <v>12</v>
      </c>
      <c r="I422" t="s">
        <v>300</v>
      </c>
    </row>
    <row r="423" spans="1:9" x14ac:dyDescent="0.35">
      <c r="A423">
        <v>162</v>
      </c>
      <c r="B423">
        <v>1</v>
      </c>
      <c r="C423">
        <v>18</v>
      </c>
      <c r="D423">
        <v>1</v>
      </c>
      <c r="E423">
        <v>449</v>
      </c>
      <c r="F423">
        <v>0.1</v>
      </c>
      <c r="G423">
        <v>448.93</v>
      </c>
      <c r="H423" t="s">
        <v>23</v>
      </c>
      <c r="I423" t="s">
        <v>301</v>
      </c>
    </row>
    <row r="424" spans="1:9" x14ac:dyDescent="0.35">
      <c r="A424">
        <v>162</v>
      </c>
      <c r="B424">
        <v>2</v>
      </c>
      <c r="C424">
        <v>21</v>
      </c>
      <c r="D424">
        <v>2</v>
      </c>
      <c r="E424">
        <v>269.99</v>
      </c>
      <c r="F424">
        <v>0.1</v>
      </c>
      <c r="G424">
        <v>539.91</v>
      </c>
      <c r="H424" t="s">
        <v>18</v>
      </c>
      <c r="I424" t="s">
        <v>302</v>
      </c>
    </row>
    <row r="425" spans="1:9" x14ac:dyDescent="0.35">
      <c r="A425">
        <v>162</v>
      </c>
      <c r="B425">
        <v>3</v>
      </c>
      <c r="C425">
        <v>3</v>
      </c>
      <c r="D425">
        <v>2</v>
      </c>
      <c r="E425">
        <v>999.99</v>
      </c>
      <c r="F425">
        <v>0.1</v>
      </c>
      <c r="G425">
        <v>1999.88</v>
      </c>
      <c r="H425" t="s">
        <v>8</v>
      </c>
      <c r="I425" t="s">
        <v>299</v>
      </c>
    </row>
    <row r="426" spans="1:9" x14ac:dyDescent="0.35">
      <c r="A426">
        <v>163</v>
      </c>
      <c r="B426">
        <v>1</v>
      </c>
      <c r="C426">
        <v>12</v>
      </c>
      <c r="D426">
        <v>1</v>
      </c>
      <c r="E426">
        <v>549.99</v>
      </c>
      <c r="F426">
        <v>0.1</v>
      </c>
      <c r="G426">
        <v>549.89</v>
      </c>
      <c r="H426" t="s">
        <v>17</v>
      </c>
      <c r="I426" t="s">
        <v>300</v>
      </c>
    </row>
    <row r="427" spans="1:9" x14ac:dyDescent="0.35">
      <c r="A427">
        <v>163</v>
      </c>
      <c r="B427">
        <v>2</v>
      </c>
      <c r="C427">
        <v>18</v>
      </c>
      <c r="D427">
        <v>1</v>
      </c>
      <c r="E427">
        <v>449</v>
      </c>
      <c r="F427">
        <v>0.2</v>
      </c>
      <c r="G427">
        <v>448.8</v>
      </c>
      <c r="H427" t="s">
        <v>23</v>
      </c>
      <c r="I427" t="s">
        <v>303</v>
      </c>
    </row>
    <row r="428" spans="1:9" x14ac:dyDescent="0.35">
      <c r="A428">
        <v>164</v>
      </c>
      <c r="B428">
        <v>1</v>
      </c>
      <c r="C428">
        <v>4</v>
      </c>
      <c r="D428">
        <v>2</v>
      </c>
      <c r="E428">
        <v>2899.99</v>
      </c>
      <c r="F428">
        <v>0.1</v>
      </c>
      <c r="G428">
        <v>5799.93</v>
      </c>
      <c r="H428" t="s">
        <v>9</v>
      </c>
      <c r="I428" t="s">
        <v>301</v>
      </c>
    </row>
    <row r="429" spans="1:9" x14ac:dyDescent="0.35">
      <c r="A429">
        <v>164</v>
      </c>
      <c r="B429">
        <v>2</v>
      </c>
      <c r="C429">
        <v>10</v>
      </c>
      <c r="D429">
        <v>2</v>
      </c>
      <c r="E429">
        <v>1549</v>
      </c>
      <c r="F429">
        <v>0.1</v>
      </c>
      <c r="G429">
        <v>3097.95</v>
      </c>
      <c r="H429" t="s">
        <v>15</v>
      </c>
      <c r="I429" t="s">
        <v>300</v>
      </c>
    </row>
    <row r="430" spans="1:9" x14ac:dyDescent="0.35">
      <c r="A430">
        <v>164</v>
      </c>
      <c r="B430">
        <v>3</v>
      </c>
      <c r="C430">
        <v>14</v>
      </c>
      <c r="D430">
        <v>1</v>
      </c>
      <c r="E430">
        <v>269.99</v>
      </c>
      <c r="F430">
        <v>0.1</v>
      </c>
      <c r="G430">
        <v>269.89</v>
      </c>
      <c r="H430" t="s">
        <v>19</v>
      </c>
      <c r="I430" t="s">
        <v>304</v>
      </c>
    </row>
    <row r="431" spans="1:9" x14ac:dyDescent="0.35">
      <c r="A431">
        <v>165</v>
      </c>
      <c r="B431">
        <v>1</v>
      </c>
      <c r="C431">
        <v>4</v>
      </c>
      <c r="D431">
        <v>2</v>
      </c>
      <c r="E431">
        <v>2899.99</v>
      </c>
      <c r="F431">
        <v>0.1</v>
      </c>
      <c r="G431">
        <v>5799.93</v>
      </c>
      <c r="H431" t="s">
        <v>9</v>
      </c>
      <c r="I431" t="s">
        <v>302</v>
      </c>
    </row>
    <row r="432" spans="1:9" x14ac:dyDescent="0.35">
      <c r="A432">
        <v>165</v>
      </c>
      <c r="B432">
        <v>2</v>
      </c>
      <c r="C432">
        <v>23</v>
      </c>
      <c r="D432">
        <v>1</v>
      </c>
      <c r="E432">
        <v>299.99</v>
      </c>
      <c r="F432">
        <v>0.2</v>
      </c>
      <c r="G432">
        <v>299.79000000000002</v>
      </c>
      <c r="H432" t="s">
        <v>26</v>
      </c>
      <c r="I432" t="s">
        <v>301</v>
      </c>
    </row>
    <row r="433" spans="1:9" x14ac:dyDescent="0.35">
      <c r="A433">
        <v>165</v>
      </c>
      <c r="B433">
        <v>3</v>
      </c>
      <c r="C433">
        <v>2</v>
      </c>
      <c r="D433">
        <v>1</v>
      </c>
      <c r="E433">
        <v>749.99</v>
      </c>
      <c r="F433">
        <v>0.1</v>
      </c>
      <c r="G433">
        <v>749.94</v>
      </c>
      <c r="H433" t="s">
        <v>7</v>
      </c>
      <c r="I433" t="s">
        <v>301</v>
      </c>
    </row>
    <row r="434" spans="1:9" x14ac:dyDescent="0.35">
      <c r="A434">
        <v>166</v>
      </c>
      <c r="B434">
        <v>1</v>
      </c>
      <c r="C434">
        <v>10</v>
      </c>
      <c r="D434">
        <v>2</v>
      </c>
      <c r="E434">
        <v>1549</v>
      </c>
      <c r="F434">
        <v>0.1</v>
      </c>
      <c r="G434">
        <v>3097.9</v>
      </c>
      <c r="H434" t="s">
        <v>15</v>
      </c>
      <c r="I434" t="s">
        <v>301</v>
      </c>
    </row>
    <row r="435" spans="1:9" x14ac:dyDescent="0.35">
      <c r="A435">
        <v>166</v>
      </c>
      <c r="B435">
        <v>2</v>
      </c>
      <c r="C435">
        <v>11</v>
      </c>
      <c r="D435">
        <v>1</v>
      </c>
      <c r="E435">
        <v>1680.99</v>
      </c>
      <c r="F435">
        <v>0.2</v>
      </c>
      <c r="G435">
        <v>1680.79</v>
      </c>
      <c r="H435" t="s">
        <v>16</v>
      </c>
      <c r="I435" t="s">
        <v>301</v>
      </c>
    </row>
    <row r="436" spans="1:9" x14ac:dyDescent="0.35">
      <c r="A436">
        <v>167</v>
      </c>
      <c r="B436">
        <v>1</v>
      </c>
      <c r="C436">
        <v>12</v>
      </c>
      <c r="D436">
        <v>1</v>
      </c>
      <c r="E436">
        <v>549.99</v>
      </c>
      <c r="F436">
        <v>0.1</v>
      </c>
      <c r="G436">
        <v>549.94000000000005</v>
      </c>
      <c r="H436" t="s">
        <v>17</v>
      </c>
      <c r="I436" t="s">
        <v>304</v>
      </c>
    </row>
    <row r="437" spans="1:9" x14ac:dyDescent="0.35">
      <c r="A437">
        <v>167</v>
      </c>
      <c r="B437">
        <v>2</v>
      </c>
      <c r="C437">
        <v>10</v>
      </c>
      <c r="D437">
        <v>1</v>
      </c>
      <c r="E437">
        <v>1549</v>
      </c>
      <c r="F437">
        <v>0.2</v>
      </c>
      <c r="G437">
        <v>1548.8</v>
      </c>
      <c r="H437" t="s">
        <v>15</v>
      </c>
      <c r="I437" t="s">
        <v>304</v>
      </c>
    </row>
    <row r="438" spans="1:9" x14ac:dyDescent="0.35">
      <c r="A438">
        <v>167</v>
      </c>
      <c r="B438">
        <v>3</v>
      </c>
      <c r="C438">
        <v>13</v>
      </c>
      <c r="D438">
        <v>2</v>
      </c>
      <c r="E438">
        <v>269.99</v>
      </c>
      <c r="F438">
        <v>0.1</v>
      </c>
      <c r="G438">
        <v>539.92999999999995</v>
      </c>
      <c r="H438" t="s">
        <v>18</v>
      </c>
      <c r="I438" t="s">
        <v>301</v>
      </c>
    </row>
    <row r="439" spans="1:9" x14ac:dyDescent="0.35">
      <c r="A439">
        <v>167</v>
      </c>
      <c r="B439">
        <v>4</v>
      </c>
      <c r="C439">
        <v>7</v>
      </c>
      <c r="D439">
        <v>2</v>
      </c>
      <c r="E439">
        <v>3999.99</v>
      </c>
      <c r="F439">
        <v>0.1</v>
      </c>
      <c r="G439">
        <v>7999.93</v>
      </c>
      <c r="H439" t="s">
        <v>12</v>
      </c>
      <c r="I439" t="s">
        <v>301</v>
      </c>
    </row>
    <row r="440" spans="1:9" x14ac:dyDescent="0.35">
      <c r="A440">
        <v>168</v>
      </c>
      <c r="B440">
        <v>1</v>
      </c>
      <c r="C440">
        <v>6</v>
      </c>
      <c r="D440">
        <v>1</v>
      </c>
      <c r="E440">
        <v>469.99</v>
      </c>
      <c r="F440">
        <v>0.1</v>
      </c>
      <c r="G440">
        <v>469.89</v>
      </c>
      <c r="H440" t="s">
        <v>11</v>
      </c>
      <c r="I440" t="s">
        <v>301</v>
      </c>
    </row>
    <row r="441" spans="1:9" x14ac:dyDescent="0.35">
      <c r="A441">
        <v>168</v>
      </c>
      <c r="B441">
        <v>2</v>
      </c>
      <c r="C441">
        <v>11</v>
      </c>
      <c r="D441">
        <v>2</v>
      </c>
      <c r="E441">
        <v>1680.99</v>
      </c>
      <c r="F441">
        <v>0.1</v>
      </c>
      <c r="G441">
        <v>3361.91</v>
      </c>
      <c r="H441" t="s">
        <v>16</v>
      </c>
      <c r="I441" t="s">
        <v>304</v>
      </c>
    </row>
    <row r="442" spans="1:9" x14ac:dyDescent="0.35">
      <c r="A442">
        <v>168</v>
      </c>
      <c r="B442">
        <v>3</v>
      </c>
      <c r="C442">
        <v>12</v>
      </c>
      <c r="D442">
        <v>2</v>
      </c>
      <c r="E442">
        <v>549.99</v>
      </c>
      <c r="F442">
        <v>0.1</v>
      </c>
      <c r="G442">
        <v>1099.9100000000001</v>
      </c>
      <c r="H442" t="s">
        <v>17</v>
      </c>
      <c r="I442" t="s">
        <v>301</v>
      </c>
    </row>
    <row r="443" spans="1:9" x14ac:dyDescent="0.35">
      <c r="A443">
        <v>168</v>
      </c>
      <c r="B443">
        <v>4</v>
      </c>
      <c r="C443">
        <v>22</v>
      </c>
      <c r="D443">
        <v>2</v>
      </c>
      <c r="E443">
        <v>269.99</v>
      </c>
      <c r="F443">
        <v>0.2</v>
      </c>
      <c r="G443">
        <v>539.78</v>
      </c>
      <c r="H443" t="s">
        <v>19</v>
      </c>
      <c r="I443" t="s">
        <v>301</v>
      </c>
    </row>
    <row r="444" spans="1:9" x14ac:dyDescent="0.35">
      <c r="A444">
        <v>169</v>
      </c>
      <c r="B444">
        <v>1</v>
      </c>
      <c r="C444">
        <v>20</v>
      </c>
      <c r="D444">
        <v>2</v>
      </c>
      <c r="E444">
        <v>599.99</v>
      </c>
      <c r="F444">
        <v>0.1</v>
      </c>
      <c r="G444">
        <v>1199.8800000000001</v>
      </c>
      <c r="H444" t="s">
        <v>25</v>
      </c>
      <c r="I444" t="s">
        <v>301</v>
      </c>
    </row>
    <row r="445" spans="1:9" x14ac:dyDescent="0.35">
      <c r="A445">
        <v>169</v>
      </c>
      <c r="B445">
        <v>2</v>
      </c>
      <c r="C445">
        <v>5</v>
      </c>
      <c r="D445">
        <v>1</v>
      </c>
      <c r="E445">
        <v>1320.99</v>
      </c>
      <c r="F445">
        <v>0.1</v>
      </c>
      <c r="G445">
        <v>1320.94</v>
      </c>
      <c r="H445" t="s">
        <v>10</v>
      </c>
      <c r="I445" t="s">
        <v>300</v>
      </c>
    </row>
    <row r="446" spans="1:9" x14ac:dyDescent="0.35">
      <c r="A446">
        <v>169</v>
      </c>
      <c r="B446">
        <v>3</v>
      </c>
      <c r="C446">
        <v>10</v>
      </c>
      <c r="D446">
        <v>1</v>
      </c>
      <c r="E446">
        <v>1549</v>
      </c>
      <c r="F446">
        <v>0.2</v>
      </c>
      <c r="G446">
        <v>1548.8</v>
      </c>
      <c r="H446" t="s">
        <v>15</v>
      </c>
      <c r="I446" t="s">
        <v>301</v>
      </c>
    </row>
    <row r="447" spans="1:9" x14ac:dyDescent="0.35">
      <c r="A447">
        <v>169</v>
      </c>
      <c r="B447">
        <v>4</v>
      </c>
      <c r="C447">
        <v>11</v>
      </c>
      <c r="D447">
        <v>1</v>
      </c>
      <c r="E447">
        <v>1680.99</v>
      </c>
      <c r="F447">
        <v>0.2</v>
      </c>
      <c r="G447">
        <v>1680.79</v>
      </c>
      <c r="H447" t="s">
        <v>16</v>
      </c>
      <c r="I447" t="s">
        <v>301</v>
      </c>
    </row>
    <row r="448" spans="1:9" x14ac:dyDescent="0.35">
      <c r="A448">
        <v>169</v>
      </c>
      <c r="B448">
        <v>5</v>
      </c>
      <c r="C448">
        <v>14</v>
      </c>
      <c r="D448">
        <v>2</v>
      </c>
      <c r="E448">
        <v>269.99</v>
      </c>
      <c r="F448">
        <v>0.1</v>
      </c>
      <c r="G448">
        <v>539.92999999999995</v>
      </c>
      <c r="H448" t="s">
        <v>19</v>
      </c>
      <c r="I448" t="s">
        <v>299</v>
      </c>
    </row>
    <row r="449" spans="1:9" x14ac:dyDescent="0.35">
      <c r="A449">
        <v>170</v>
      </c>
      <c r="B449">
        <v>1</v>
      </c>
      <c r="C449">
        <v>12</v>
      </c>
      <c r="D449">
        <v>2</v>
      </c>
      <c r="E449">
        <v>549.99</v>
      </c>
      <c r="F449">
        <v>0.1</v>
      </c>
      <c r="G449">
        <v>1099.8800000000001</v>
      </c>
      <c r="H449" t="s">
        <v>17</v>
      </c>
      <c r="I449" t="s">
        <v>304</v>
      </c>
    </row>
    <row r="450" spans="1:9" x14ac:dyDescent="0.35">
      <c r="A450">
        <v>170</v>
      </c>
      <c r="B450">
        <v>2</v>
      </c>
      <c r="C450">
        <v>24</v>
      </c>
      <c r="D450">
        <v>1</v>
      </c>
      <c r="E450">
        <v>549.99</v>
      </c>
      <c r="F450">
        <v>0.1</v>
      </c>
      <c r="G450">
        <v>549.94000000000005</v>
      </c>
      <c r="H450" t="s">
        <v>17</v>
      </c>
      <c r="I450" t="s">
        <v>299</v>
      </c>
    </row>
    <row r="451" spans="1:9" x14ac:dyDescent="0.35">
      <c r="A451">
        <v>170</v>
      </c>
      <c r="B451">
        <v>3</v>
      </c>
      <c r="C451">
        <v>7</v>
      </c>
      <c r="D451">
        <v>1</v>
      </c>
      <c r="E451">
        <v>3999.99</v>
      </c>
      <c r="F451">
        <v>0.2</v>
      </c>
      <c r="G451">
        <v>3999.79</v>
      </c>
      <c r="H451" t="s">
        <v>12</v>
      </c>
      <c r="I451" t="s">
        <v>300</v>
      </c>
    </row>
    <row r="452" spans="1:9" x14ac:dyDescent="0.35">
      <c r="A452">
        <v>170</v>
      </c>
      <c r="B452">
        <v>4</v>
      </c>
      <c r="C452">
        <v>18</v>
      </c>
      <c r="D452">
        <v>2</v>
      </c>
      <c r="E452">
        <v>449</v>
      </c>
      <c r="F452">
        <v>0.1</v>
      </c>
      <c r="G452">
        <v>897.95</v>
      </c>
      <c r="H452" t="s">
        <v>23</v>
      </c>
      <c r="I452" t="s">
        <v>304</v>
      </c>
    </row>
    <row r="453" spans="1:9" x14ac:dyDescent="0.35">
      <c r="A453">
        <v>172</v>
      </c>
      <c r="B453">
        <v>1</v>
      </c>
      <c r="C453">
        <v>23</v>
      </c>
      <c r="D453">
        <v>1</v>
      </c>
      <c r="E453">
        <v>299.99</v>
      </c>
      <c r="F453">
        <v>0.1</v>
      </c>
      <c r="G453">
        <v>299.92</v>
      </c>
      <c r="H453" t="s">
        <v>26</v>
      </c>
      <c r="I453" t="s">
        <v>301</v>
      </c>
    </row>
    <row r="454" spans="1:9" x14ac:dyDescent="0.35">
      <c r="A454">
        <v>172</v>
      </c>
      <c r="B454">
        <v>2</v>
      </c>
      <c r="C454">
        <v>16</v>
      </c>
      <c r="D454">
        <v>1</v>
      </c>
      <c r="E454">
        <v>599.99</v>
      </c>
      <c r="F454">
        <v>0.2</v>
      </c>
      <c r="G454">
        <v>599.79</v>
      </c>
      <c r="H454" t="s">
        <v>21</v>
      </c>
      <c r="I454" t="s">
        <v>301</v>
      </c>
    </row>
    <row r="455" spans="1:9" x14ac:dyDescent="0.35">
      <c r="A455">
        <v>173</v>
      </c>
      <c r="B455">
        <v>1</v>
      </c>
      <c r="C455">
        <v>14</v>
      </c>
      <c r="D455">
        <v>1</v>
      </c>
      <c r="E455">
        <v>269.99</v>
      </c>
      <c r="F455">
        <v>0.1</v>
      </c>
      <c r="G455">
        <v>269.94</v>
      </c>
      <c r="H455" t="s">
        <v>19</v>
      </c>
      <c r="I455" t="s">
        <v>304</v>
      </c>
    </row>
    <row r="456" spans="1:9" x14ac:dyDescent="0.35">
      <c r="A456">
        <v>173</v>
      </c>
      <c r="B456">
        <v>2</v>
      </c>
      <c r="C456">
        <v>16</v>
      </c>
      <c r="D456">
        <v>1</v>
      </c>
      <c r="E456">
        <v>599.99</v>
      </c>
      <c r="F456">
        <v>0.2</v>
      </c>
      <c r="G456">
        <v>599.79</v>
      </c>
      <c r="H456" t="s">
        <v>21</v>
      </c>
      <c r="I456" t="s">
        <v>301</v>
      </c>
    </row>
    <row r="457" spans="1:9" x14ac:dyDescent="0.35">
      <c r="A457">
        <v>173</v>
      </c>
      <c r="B457">
        <v>3</v>
      </c>
      <c r="C457">
        <v>20</v>
      </c>
      <c r="D457">
        <v>2</v>
      </c>
      <c r="E457">
        <v>599.99</v>
      </c>
      <c r="F457">
        <v>0.1</v>
      </c>
      <c r="G457">
        <v>1199.93</v>
      </c>
      <c r="H457" t="s">
        <v>25</v>
      </c>
      <c r="I457" t="s">
        <v>303</v>
      </c>
    </row>
    <row r="458" spans="1:9" x14ac:dyDescent="0.35">
      <c r="A458">
        <v>174</v>
      </c>
      <c r="B458">
        <v>1</v>
      </c>
      <c r="C458">
        <v>22</v>
      </c>
      <c r="D458">
        <v>2</v>
      </c>
      <c r="E458">
        <v>269.99</v>
      </c>
      <c r="F458">
        <v>0.2</v>
      </c>
      <c r="G458">
        <v>539.78</v>
      </c>
      <c r="H458" t="s">
        <v>19</v>
      </c>
      <c r="I458" t="s">
        <v>304</v>
      </c>
    </row>
    <row r="459" spans="1:9" x14ac:dyDescent="0.35">
      <c r="A459">
        <v>174</v>
      </c>
      <c r="B459">
        <v>2</v>
      </c>
      <c r="C459">
        <v>19</v>
      </c>
      <c r="D459">
        <v>2</v>
      </c>
      <c r="E459">
        <v>449</v>
      </c>
      <c r="F459">
        <v>0.1</v>
      </c>
      <c r="G459">
        <v>897.9</v>
      </c>
      <c r="H459" t="s">
        <v>24</v>
      </c>
      <c r="I459" t="s">
        <v>301</v>
      </c>
    </row>
    <row r="460" spans="1:9" x14ac:dyDescent="0.35">
      <c r="A460">
        <v>175</v>
      </c>
      <c r="B460">
        <v>1</v>
      </c>
      <c r="C460">
        <v>5</v>
      </c>
      <c r="D460">
        <v>1</v>
      </c>
      <c r="E460">
        <v>1320.99</v>
      </c>
      <c r="F460">
        <v>0.1</v>
      </c>
      <c r="G460">
        <v>1320.89</v>
      </c>
      <c r="H460" t="s">
        <v>10</v>
      </c>
      <c r="I460" t="s">
        <v>304</v>
      </c>
    </row>
    <row r="461" spans="1:9" x14ac:dyDescent="0.35">
      <c r="A461">
        <v>175</v>
      </c>
      <c r="B461">
        <v>2</v>
      </c>
      <c r="C461">
        <v>2</v>
      </c>
      <c r="D461">
        <v>2</v>
      </c>
      <c r="E461">
        <v>749.99</v>
      </c>
      <c r="F461">
        <v>0.2</v>
      </c>
      <c r="G461">
        <v>1499.78</v>
      </c>
      <c r="H461" t="s">
        <v>7</v>
      </c>
      <c r="I461" t="s">
        <v>301</v>
      </c>
    </row>
    <row r="462" spans="1:9" x14ac:dyDescent="0.35">
      <c r="A462">
        <v>175</v>
      </c>
      <c r="B462">
        <v>3</v>
      </c>
      <c r="C462">
        <v>21</v>
      </c>
      <c r="D462">
        <v>2</v>
      </c>
      <c r="E462">
        <v>269.99</v>
      </c>
      <c r="F462">
        <v>0.1</v>
      </c>
      <c r="G462">
        <v>539.88</v>
      </c>
      <c r="H462" t="s">
        <v>18</v>
      </c>
      <c r="I462" t="s">
        <v>303</v>
      </c>
    </row>
    <row r="463" spans="1:9" x14ac:dyDescent="0.35">
      <c r="A463">
        <v>175</v>
      </c>
      <c r="B463">
        <v>4</v>
      </c>
      <c r="C463">
        <v>19</v>
      </c>
      <c r="D463">
        <v>1</v>
      </c>
      <c r="E463">
        <v>449</v>
      </c>
      <c r="F463">
        <v>0.1</v>
      </c>
      <c r="G463">
        <v>448.93</v>
      </c>
      <c r="H463" t="s">
        <v>24</v>
      </c>
      <c r="I463" t="s">
        <v>304</v>
      </c>
    </row>
    <row r="464" spans="1:9" x14ac:dyDescent="0.35">
      <c r="A464">
        <v>176</v>
      </c>
      <c r="B464">
        <v>1</v>
      </c>
      <c r="C464">
        <v>2</v>
      </c>
      <c r="D464">
        <v>2</v>
      </c>
      <c r="E464">
        <v>749.99</v>
      </c>
      <c r="F464">
        <v>0.1</v>
      </c>
      <c r="G464">
        <v>1499.91</v>
      </c>
      <c r="H464" t="s">
        <v>7</v>
      </c>
      <c r="I464" t="s">
        <v>301</v>
      </c>
    </row>
    <row r="465" spans="1:9" x14ac:dyDescent="0.35">
      <c r="A465">
        <v>176</v>
      </c>
      <c r="B465">
        <v>2</v>
      </c>
      <c r="C465">
        <v>11</v>
      </c>
      <c r="D465">
        <v>2</v>
      </c>
      <c r="E465">
        <v>1680.99</v>
      </c>
      <c r="F465">
        <v>0.2</v>
      </c>
      <c r="G465">
        <v>3361.78</v>
      </c>
      <c r="H465" t="s">
        <v>16</v>
      </c>
      <c r="I465" t="s">
        <v>299</v>
      </c>
    </row>
    <row r="466" spans="1:9" x14ac:dyDescent="0.35">
      <c r="A466">
        <v>176</v>
      </c>
      <c r="B466">
        <v>3</v>
      </c>
      <c r="C466">
        <v>16</v>
      </c>
      <c r="D466">
        <v>2</v>
      </c>
      <c r="E466">
        <v>599.99</v>
      </c>
      <c r="F466">
        <v>0.1</v>
      </c>
      <c r="G466">
        <v>1199.93</v>
      </c>
      <c r="H466" t="s">
        <v>21</v>
      </c>
      <c r="I466" t="s">
        <v>299</v>
      </c>
    </row>
    <row r="467" spans="1:9" x14ac:dyDescent="0.35">
      <c r="A467">
        <v>178</v>
      </c>
      <c r="B467">
        <v>1</v>
      </c>
      <c r="C467">
        <v>10</v>
      </c>
      <c r="D467">
        <v>2</v>
      </c>
      <c r="E467">
        <v>1549</v>
      </c>
      <c r="F467">
        <v>0.2</v>
      </c>
      <c r="G467">
        <v>3097.8</v>
      </c>
      <c r="H467" t="s">
        <v>15</v>
      </c>
      <c r="I467" t="s">
        <v>300</v>
      </c>
    </row>
    <row r="468" spans="1:9" x14ac:dyDescent="0.35">
      <c r="A468">
        <v>178</v>
      </c>
      <c r="B468">
        <v>2</v>
      </c>
      <c r="C468">
        <v>12</v>
      </c>
      <c r="D468">
        <v>1</v>
      </c>
      <c r="E468">
        <v>549.99</v>
      </c>
      <c r="F468">
        <v>0.1</v>
      </c>
      <c r="G468">
        <v>549.94000000000005</v>
      </c>
      <c r="H468" t="s">
        <v>17</v>
      </c>
      <c r="I468" t="s">
        <v>300</v>
      </c>
    </row>
    <row r="469" spans="1:9" x14ac:dyDescent="0.35">
      <c r="A469">
        <v>178</v>
      </c>
      <c r="B469">
        <v>3</v>
      </c>
      <c r="C469">
        <v>3</v>
      </c>
      <c r="D469">
        <v>1</v>
      </c>
      <c r="E469">
        <v>999.99</v>
      </c>
      <c r="F469">
        <v>0.1</v>
      </c>
      <c r="G469">
        <v>999.89</v>
      </c>
      <c r="H469" t="s">
        <v>8</v>
      </c>
      <c r="I469" t="s">
        <v>302</v>
      </c>
    </row>
    <row r="470" spans="1:9" x14ac:dyDescent="0.35">
      <c r="A470">
        <v>178</v>
      </c>
      <c r="B470">
        <v>4</v>
      </c>
      <c r="C470">
        <v>18</v>
      </c>
      <c r="D470">
        <v>1</v>
      </c>
      <c r="E470">
        <v>449</v>
      </c>
      <c r="F470">
        <v>0.1</v>
      </c>
      <c r="G470">
        <v>448.93</v>
      </c>
      <c r="H470" t="s">
        <v>23</v>
      </c>
      <c r="I470" t="s">
        <v>301</v>
      </c>
    </row>
    <row r="471" spans="1:9" x14ac:dyDescent="0.35">
      <c r="A471">
        <v>179</v>
      </c>
      <c r="B471">
        <v>1</v>
      </c>
      <c r="C471">
        <v>13</v>
      </c>
      <c r="D471">
        <v>2</v>
      </c>
      <c r="E471">
        <v>269.99</v>
      </c>
      <c r="F471">
        <v>0.1</v>
      </c>
      <c r="G471">
        <v>539.92999999999995</v>
      </c>
      <c r="H471" t="s">
        <v>18</v>
      </c>
      <c r="I471" t="s">
        <v>301</v>
      </c>
    </row>
    <row r="472" spans="1:9" x14ac:dyDescent="0.35">
      <c r="A472">
        <v>179</v>
      </c>
      <c r="B472">
        <v>2</v>
      </c>
      <c r="C472">
        <v>26</v>
      </c>
      <c r="D472">
        <v>1</v>
      </c>
      <c r="E472">
        <v>599.99</v>
      </c>
      <c r="F472">
        <v>0.1</v>
      </c>
      <c r="G472">
        <v>599.89</v>
      </c>
      <c r="H472" t="s">
        <v>21</v>
      </c>
      <c r="I472" t="s">
        <v>301</v>
      </c>
    </row>
    <row r="473" spans="1:9" x14ac:dyDescent="0.35">
      <c r="A473">
        <v>179</v>
      </c>
      <c r="B473">
        <v>3</v>
      </c>
      <c r="C473">
        <v>18</v>
      </c>
      <c r="D473">
        <v>1</v>
      </c>
      <c r="E473">
        <v>449</v>
      </c>
      <c r="F473">
        <v>0.2</v>
      </c>
      <c r="G473">
        <v>448.8</v>
      </c>
      <c r="H473" t="s">
        <v>23</v>
      </c>
      <c r="I473" t="s">
        <v>301</v>
      </c>
    </row>
    <row r="474" spans="1:9" x14ac:dyDescent="0.35">
      <c r="A474">
        <v>179</v>
      </c>
      <c r="B474">
        <v>4</v>
      </c>
      <c r="C474">
        <v>12</v>
      </c>
      <c r="D474">
        <v>2</v>
      </c>
      <c r="E474">
        <v>549.99</v>
      </c>
      <c r="F474">
        <v>0.2</v>
      </c>
      <c r="G474">
        <v>1099.78</v>
      </c>
      <c r="H474" t="s">
        <v>17</v>
      </c>
      <c r="I474" t="s">
        <v>300</v>
      </c>
    </row>
    <row r="475" spans="1:9" x14ac:dyDescent="0.35">
      <c r="A475">
        <v>179</v>
      </c>
      <c r="B475">
        <v>5</v>
      </c>
      <c r="C475">
        <v>20</v>
      </c>
      <c r="D475">
        <v>2</v>
      </c>
      <c r="E475">
        <v>599.99</v>
      </c>
      <c r="F475">
        <v>0.1</v>
      </c>
      <c r="G475">
        <v>1199.8800000000001</v>
      </c>
      <c r="H475" t="s">
        <v>25</v>
      </c>
      <c r="I475" t="s">
        <v>300</v>
      </c>
    </row>
    <row r="476" spans="1:9" x14ac:dyDescent="0.35">
      <c r="A476">
        <v>181</v>
      </c>
      <c r="B476">
        <v>1</v>
      </c>
      <c r="C476">
        <v>10</v>
      </c>
      <c r="D476">
        <v>1</v>
      </c>
      <c r="E476">
        <v>1549</v>
      </c>
      <c r="F476">
        <v>0.1</v>
      </c>
      <c r="G476">
        <v>1548.95</v>
      </c>
      <c r="H476" t="s">
        <v>15</v>
      </c>
      <c r="I476" t="s">
        <v>302</v>
      </c>
    </row>
    <row r="477" spans="1:9" x14ac:dyDescent="0.35">
      <c r="A477">
        <v>181</v>
      </c>
      <c r="B477">
        <v>2</v>
      </c>
      <c r="C477">
        <v>11</v>
      </c>
      <c r="D477">
        <v>1</v>
      </c>
      <c r="E477">
        <v>1680.99</v>
      </c>
      <c r="F477">
        <v>0.1</v>
      </c>
      <c r="G477">
        <v>1680.89</v>
      </c>
      <c r="H477" t="s">
        <v>16</v>
      </c>
      <c r="I477" t="s">
        <v>304</v>
      </c>
    </row>
    <row r="478" spans="1:9" x14ac:dyDescent="0.35">
      <c r="A478">
        <v>181</v>
      </c>
      <c r="B478">
        <v>3</v>
      </c>
      <c r="C478">
        <v>15</v>
      </c>
      <c r="D478">
        <v>2</v>
      </c>
      <c r="E478">
        <v>529.99</v>
      </c>
      <c r="F478">
        <v>0.2</v>
      </c>
      <c r="G478">
        <v>1059.78</v>
      </c>
      <c r="H478" t="s">
        <v>20</v>
      </c>
      <c r="I478" t="s">
        <v>299</v>
      </c>
    </row>
    <row r="479" spans="1:9" x14ac:dyDescent="0.35">
      <c r="A479">
        <v>181</v>
      </c>
      <c r="B479">
        <v>4</v>
      </c>
      <c r="C479">
        <v>24</v>
      </c>
      <c r="D479">
        <v>2</v>
      </c>
      <c r="E479">
        <v>549.99</v>
      </c>
      <c r="F479">
        <v>0.1</v>
      </c>
      <c r="G479">
        <v>1099.93</v>
      </c>
      <c r="H479" t="s">
        <v>17</v>
      </c>
      <c r="I479" t="s">
        <v>301</v>
      </c>
    </row>
    <row r="480" spans="1:9" x14ac:dyDescent="0.35">
      <c r="A480">
        <v>182</v>
      </c>
      <c r="B480">
        <v>1</v>
      </c>
      <c r="C480">
        <v>25</v>
      </c>
      <c r="D480">
        <v>2</v>
      </c>
      <c r="E480">
        <v>499.99</v>
      </c>
      <c r="F480">
        <v>0.1</v>
      </c>
      <c r="G480">
        <v>999.93</v>
      </c>
      <c r="H480" t="s">
        <v>27</v>
      </c>
      <c r="I480" t="s">
        <v>299</v>
      </c>
    </row>
    <row r="481" spans="1:9" x14ac:dyDescent="0.35">
      <c r="A481">
        <v>182</v>
      </c>
      <c r="B481">
        <v>2</v>
      </c>
      <c r="C481">
        <v>24</v>
      </c>
      <c r="D481">
        <v>2</v>
      </c>
      <c r="E481">
        <v>549.99</v>
      </c>
      <c r="F481">
        <v>0.1</v>
      </c>
      <c r="G481">
        <v>1099.9100000000001</v>
      </c>
      <c r="H481" t="s">
        <v>17</v>
      </c>
      <c r="I481" t="s">
        <v>299</v>
      </c>
    </row>
    <row r="482" spans="1:9" x14ac:dyDescent="0.35">
      <c r="A482">
        <v>183</v>
      </c>
      <c r="B482">
        <v>1</v>
      </c>
      <c r="C482">
        <v>11</v>
      </c>
      <c r="D482">
        <v>2</v>
      </c>
      <c r="E482">
        <v>1680.99</v>
      </c>
      <c r="F482">
        <v>0.2</v>
      </c>
      <c r="G482">
        <v>3361.78</v>
      </c>
      <c r="H482" t="s">
        <v>16</v>
      </c>
      <c r="I482" t="s">
        <v>304</v>
      </c>
    </row>
    <row r="483" spans="1:9" x14ac:dyDescent="0.35">
      <c r="A483">
        <v>183</v>
      </c>
      <c r="B483">
        <v>2</v>
      </c>
      <c r="C483">
        <v>12</v>
      </c>
      <c r="D483">
        <v>2</v>
      </c>
      <c r="E483">
        <v>549.99</v>
      </c>
      <c r="F483">
        <v>0.1</v>
      </c>
      <c r="G483">
        <v>1099.93</v>
      </c>
      <c r="H483" t="s">
        <v>17</v>
      </c>
      <c r="I483" t="s">
        <v>301</v>
      </c>
    </row>
    <row r="484" spans="1:9" x14ac:dyDescent="0.35">
      <c r="A484">
        <v>183</v>
      </c>
      <c r="B484">
        <v>3</v>
      </c>
      <c r="C484">
        <v>19</v>
      </c>
      <c r="D484">
        <v>1</v>
      </c>
      <c r="E484">
        <v>449</v>
      </c>
      <c r="F484">
        <v>0.1</v>
      </c>
      <c r="G484">
        <v>448.93</v>
      </c>
      <c r="H484" t="s">
        <v>24</v>
      </c>
      <c r="I484" t="s">
        <v>304</v>
      </c>
    </row>
    <row r="485" spans="1:9" x14ac:dyDescent="0.35">
      <c r="A485">
        <v>183</v>
      </c>
      <c r="B485">
        <v>4</v>
      </c>
      <c r="C485">
        <v>17</v>
      </c>
      <c r="D485">
        <v>1</v>
      </c>
      <c r="E485">
        <v>429</v>
      </c>
      <c r="F485">
        <v>0.1</v>
      </c>
      <c r="G485">
        <v>428.93</v>
      </c>
      <c r="H485" t="s">
        <v>22</v>
      </c>
      <c r="I485" t="s">
        <v>304</v>
      </c>
    </row>
    <row r="486" spans="1:9" x14ac:dyDescent="0.35">
      <c r="A486">
        <v>184</v>
      </c>
      <c r="B486">
        <v>1</v>
      </c>
      <c r="C486">
        <v>4</v>
      </c>
      <c r="D486">
        <v>1</v>
      </c>
      <c r="E486">
        <v>2899.99</v>
      </c>
      <c r="F486">
        <v>0.2</v>
      </c>
      <c r="G486">
        <v>2899.79</v>
      </c>
      <c r="H486" t="s">
        <v>9</v>
      </c>
      <c r="I486" t="s">
        <v>299</v>
      </c>
    </row>
    <row r="487" spans="1:9" x14ac:dyDescent="0.35">
      <c r="A487">
        <v>184</v>
      </c>
      <c r="B487">
        <v>2</v>
      </c>
      <c r="C487">
        <v>5</v>
      </c>
      <c r="D487">
        <v>1</v>
      </c>
      <c r="E487">
        <v>1320.99</v>
      </c>
      <c r="F487">
        <v>0.1</v>
      </c>
      <c r="G487">
        <v>1320.89</v>
      </c>
      <c r="H487" t="s">
        <v>10</v>
      </c>
      <c r="I487" t="s">
        <v>301</v>
      </c>
    </row>
    <row r="488" spans="1:9" x14ac:dyDescent="0.35">
      <c r="A488">
        <v>184</v>
      </c>
      <c r="B488">
        <v>3</v>
      </c>
      <c r="C488">
        <v>14</v>
      </c>
      <c r="D488">
        <v>1</v>
      </c>
      <c r="E488">
        <v>269.99</v>
      </c>
      <c r="F488">
        <v>0.1</v>
      </c>
      <c r="G488">
        <v>269.89</v>
      </c>
      <c r="H488" t="s">
        <v>19</v>
      </c>
      <c r="I488" t="s">
        <v>304</v>
      </c>
    </row>
    <row r="489" spans="1:9" x14ac:dyDescent="0.35">
      <c r="A489">
        <v>185</v>
      </c>
      <c r="B489">
        <v>1</v>
      </c>
      <c r="C489">
        <v>20</v>
      </c>
      <c r="D489">
        <v>1</v>
      </c>
      <c r="E489">
        <v>599.99</v>
      </c>
      <c r="F489">
        <v>0.1</v>
      </c>
      <c r="G489">
        <v>599.89</v>
      </c>
      <c r="H489" t="s">
        <v>25</v>
      </c>
      <c r="I489" t="s">
        <v>300</v>
      </c>
    </row>
    <row r="490" spans="1:9" x14ac:dyDescent="0.35">
      <c r="A490">
        <v>185</v>
      </c>
      <c r="B490">
        <v>2</v>
      </c>
      <c r="C490">
        <v>8</v>
      </c>
      <c r="D490">
        <v>1</v>
      </c>
      <c r="E490">
        <v>1799.99</v>
      </c>
      <c r="F490">
        <v>0.1</v>
      </c>
      <c r="G490">
        <v>1799.94</v>
      </c>
      <c r="H490" t="s">
        <v>13</v>
      </c>
      <c r="I490" t="s">
        <v>304</v>
      </c>
    </row>
    <row r="491" spans="1:9" x14ac:dyDescent="0.35">
      <c r="A491">
        <v>186</v>
      </c>
      <c r="B491">
        <v>1</v>
      </c>
      <c r="C491">
        <v>4</v>
      </c>
      <c r="D491">
        <v>1</v>
      </c>
      <c r="E491">
        <v>2899.99</v>
      </c>
      <c r="F491">
        <v>0.1</v>
      </c>
      <c r="G491">
        <v>2899.89</v>
      </c>
      <c r="H491" t="s">
        <v>9</v>
      </c>
      <c r="I491" t="s">
        <v>304</v>
      </c>
    </row>
    <row r="492" spans="1:9" x14ac:dyDescent="0.35">
      <c r="A492">
        <v>186</v>
      </c>
      <c r="B492">
        <v>2</v>
      </c>
      <c r="C492">
        <v>6</v>
      </c>
      <c r="D492">
        <v>1</v>
      </c>
      <c r="E492">
        <v>469.99</v>
      </c>
      <c r="F492">
        <v>0.1</v>
      </c>
      <c r="G492">
        <v>469.89</v>
      </c>
      <c r="H492" t="s">
        <v>11</v>
      </c>
      <c r="I492" t="s">
        <v>301</v>
      </c>
    </row>
    <row r="493" spans="1:9" x14ac:dyDescent="0.35">
      <c r="A493">
        <v>190</v>
      </c>
      <c r="B493">
        <v>1</v>
      </c>
      <c r="C493">
        <v>24</v>
      </c>
      <c r="D493">
        <v>1</v>
      </c>
      <c r="E493">
        <v>549.99</v>
      </c>
      <c r="F493">
        <v>0.1</v>
      </c>
      <c r="G493">
        <v>549.94000000000005</v>
      </c>
      <c r="H493" t="s">
        <v>17</v>
      </c>
      <c r="I493" t="s">
        <v>301</v>
      </c>
    </row>
    <row r="494" spans="1:9" x14ac:dyDescent="0.35">
      <c r="A494">
        <v>190</v>
      </c>
      <c r="B494">
        <v>2</v>
      </c>
      <c r="C494">
        <v>15</v>
      </c>
      <c r="D494">
        <v>1</v>
      </c>
      <c r="E494">
        <v>529.99</v>
      </c>
      <c r="F494">
        <v>0.2</v>
      </c>
      <c r="G494">
        <v>529.79</v>
      </c>
      <c r="H494" t="s">
        <v>20</v>
      </c>
      <c r="I494" t="s">
        <v>299</v>
      </c>
    </row>
    <row r="495" spans="1:9" x14ac:dyDescent="0.35">
      <c r="A495">
        <v>190</v>
      </c>
      <c r="B495">
        <v>3</v>
      </c>
      <c r="C495">
        <v>3</v>
      </c>
      <c r="D495">
        <v>2</v>
      </c>
      <c r="E495">
        <v>999.99</v>
      </c>
      <c r="F495">
        <v>0.2</v>
      </c>
      <c r="G495">
        <v>1999.78</v>
      </c>
      <c r="H495" t="s">
        <v>8</v>
      </c>
      <c r="I495" t="s">
        <v>301</v>
      </c>
    </row>
    <row r="496" spans="1:9" x14ac:dyDescent="0.35">
      <c r="A496">
        <v>191</v>
      </c>
      <c r="B496">
        <v>1</v>
      </c>
      <c r="C496">
        <v>25</v>
      </c>
      <c r="D496">
        <v>1</v>
      </c>
      <c r="E496">
        <v>499.99</v>
      </c>
      <c r="F496">
        <v>0.1</v>
      </c>
      <c r="G496">
        <v>499.94</v>
      </c>
      <c r="H496" t="s">
        <v>27</v>
      </c>
      <c r="I496" t="s">
        <v>304</v>
      </c>
    </row>
    <row r="497" spans="1:9" x14ac:dyDescent="0.35">
      <c r="A497">
        <v>191</v>
      </c>
      <c r="B497">
        <v>2</v>
      </c>
      <c r="C497">
        <v>12</v>
      </c>
      <c r="D497">
        <v>2</v>
      </c>
      <c r="E497">
        <v>549.99</v>
      </c>
      <c r="F497">
        <v>0.2</v>
      </c>
      <c r="G497">
        <v>1099.78</v>
      </c>
      <c r="H497" t="s">
        <v>17</v>
      </c>
      <c r="I497" t="s">
        <v>304</v>
      </c>
    </row>
    <row r="498" spans="1:9" x14ac:dyDescent="0.35">
      <c r="A498">
        <v>191</v>
      </c>
      <c r="B498">
        <v>3</v>
      </c>
      <c r="C498">
        <v>3</v>
      </c>
      <c r="D498">
        <v>1</v>
      </c>
      <c r="E498">
        <v>999.99</v>
      </c>
      <c r="F498">
        <v>0.1</v>
      </c>
      <c r="G498">
        <v>999.92</v>
      </c>
      <c r="H498" t="s">
        <v>8</v>
      </c>
      <c r="I498" t="s">
        <v>301</v>
      </c>
    </row>
    <row r="499" spans="1:9" x14ac:dyDescent="0.35">
      <c r="A499">
        <v>191</v>
      </c>
      <c r="B499">
        <v>4</v>
      </c>
      <c r="C499">
        <v>8</v>
      </c>
      <c r="D499">
        <v>2</v>
      </c>
      <c r="E499">
        <v>1799.99</v>
      </c>
      <c r="F499">
        <v>0.1</v>
      </c>
      <c r="G499">
        <v>3599.93</v>
      </c>
      <c r="H499" t="s">
        <v>13</v>
      </c>
      <c r="I499" t="s">
        <v>304</v>
      </c>
    </row>
    <row r="500" spans="1:9" x14ac:dyDescent="0.35">
      <c r="A500">
        <v>191</v>
      </c>
      <c r="B500">
        <v>5</v>
      </c>
      <c r="C500">
        <v>23</v>
      </c>
      <c r="D500">
        <v>1</v>
      </c>
      <c r="E500">
        <v>299.99</v>
      </c>
      <c r="F500">
        <v>0.1</v>
      </c>
      <c r="G500">
        <v>299.94</v>
      </c>
      <c r="H500" t="s">
        <v>26</v>
      </c>
      <c r="I500" t="s">
        <v>299</v>
      </c>
    </row>
    <row r="501" spans="1:9" x14ac:dyDescent="0.35">
      <c r="A501">
        <v>192</v>
      </c>
      <c r="B501">
        <v>1</v>
      </c>
      <c r="C501">
        <v>8</v>
      </c>
      <c r="D501">
        <v>2</v>
      </c>
      <c r="E501">
        <v>1799.99</v>
      </c>
      <c r="F501">
        <v>0.1</v>
      </c>
      <c r="G501">
        <v>3599.88</v>
      </c>
      <c r="H501" t="s">
        <v>13</v>
      </c>
      <c r="I501" t="s">
        <v>300</v>
      </c>
    </row>
    <row r="502" spans="1:9" x14ac:dyDescent="0.35">
      <c r="A502">
        <v>192</v>
      </c>
      <c r="B502">
        <v>2</v>
      </c>
      <c r="C502">
        <v>25</v>
      </c>
      <c r="D502">
        <v>1</v>
      </c>
      <c r="E502">
        <v>499.99</v>
      </c>
      <c r="F502">
        <v>0.1</v>
      </c>
      <c r="G502">
        <v>499.92</v>
      </c>
      <c r="H502" t="s">
        <v>27</v>
      </c>
      <c r="I502" t="s">
        <v>299</v>
      </c>
    </row>
    <row r="503" spans="1:9" x14ac:dyDescent="0.35">
      <c r="A503">
        <v>192</v>
      </c>
      <c r="B503">
        <v>3</v>
      </c>
      <c r="C503">
        <v>2</v>
      </c>
      <c r="D503">
        <v>1</v>
      </c>
      <c r="E503">
        <v>749.99</v>
      </c>
      <c r="F503">
        <v>0.1</v>
      </c>
      <c r="G503">
        <v>749.94</v>
      </c>
      <c r="H503" t="s">
        <v>7</v>
      </c>
      <c r="I503" t="s">
        <v>302</v>
      </c>
    </row>
    <row r="504" spans="1:9" x14ac:dyDescent="0.35">
      <c r="A504">
        <v>192</v>
      </c>
      <c r="B504">
        <v>4</v>
      </c>
      <c r="C504">
        <v>24</v>
      </c>
      <c r="D504">
        <v>2</v>
      </c>
      <c r="E504">
        <v>549.99</v>
      </c>
      <c r="F504">
        <v>0.1</v>
      </c>
      <c r="G504">
        <v>1099.9100000000001</v>
      </c>
      <c r="H504" t="s">
        <v>17</v>
      </c>
      <c r="I504" t="s">
        <v>304</v>
      </c>
    </row>
    <row r="505" spans="1:9" x14ac:dyDescent="0.35">
      <c r="A505">
        <v>192</v>
      </c>
      <c r="B505">
        <v>5</v>
      </c>
      <c r="C505">
        <v>10</v>
      </c>
      <c r="D505">
        <v>2</v>
      </c>
      <c r="E505">
        <v>1549</v>
      </c>
      <c r="F505">
        <v>0.2</v>
      </c>
      <c r="G505">
        <v>3097.8</v>
      </c>
      <c r="H505" t="s">
        <v>15</v>
      </c>
      <c r="I505" t="s">
        <v>303</v>
      </c>
    </row>
    <row r="506" spans="1:9" x14ac:dyDescent="0.35">
      <c r="A506">
        <v>195</v>
      </c>
      <c r="B506">
        <v>1</v>
      </c>
      <c r="C506">
        <v>18</v>
      </c>
      <c r="D506">
        <v>1</v>
      </c>
      <c r="E506">
        <v>449</v>
      </c>
      <c r="F506">
        <v>0.2</v>
      </c>
      <c r="G506">
        <v>448.8</v>
      </c>
      <c r="H506" t="s">
        <v>23</v>
      </c>
      <c r="I506" t="s">
        <v>301</v>
      </c>
    </row>
    <row r="507" spans="1:9" x14ac:dyDescent="0.35">
      <c r="A507">
        <v>195</v>
      </c>
      <c r="B507">
        <v>2</v>
      </c>
      <c r="C507">
        <v>14</v>
      </c>
      <c r="D507">
        <v>1</v>
      </c>
      <c r="E507">
        <v>269.99</v>
      </c>
      <c r="F507">
        <v>0.1</v>
      </c>
      <c r="G507">
        <v>269.94</v>
      </c>
      <c r="H507" t="s">
        <v>19</v>
      </c>
      <c r="I507" t="s">
        <v>300</v>
      </c>
    </row>
    <row r="508" spans="1:9" x14ac:dyDescent="0.35">
      <c r="A508">
        <v>195</v>
      </c>
      <c r="B508">
        <v>3</v>
      </c>
      <c r="C508">
        <v>5</v>
      </c>
      <c r="D508">
        <v>2</v>
      </c>
      <c r="E508">
        <v>1320.99</v>
      </c>
      <c r="F508">
        <v>0.2</v>
      </c>
      <c r="G508">
        <v>2641.78</v>
      </c>
      <c r="H508" t="s">
        <v>10</v>
      </c>
      <c r="I508" t="s">
        <v>301</v>
      </c>
    </row>
    <row r="509" spans="1:9" x14ac:dyDescent="0.35">
      <c r="A509">
        <v>195</v>
      </c>
      <c r="B509">
        <v>4</v>
      </c>
      <c r="C509">
        <v>4</v>
      </c>
      <c r="D509">
        <v>2</v>
      </c>
      <c r="E509">
        <v>2899.99</v>
      </c>
      <c r="F509">
        <v>0.2</v>
      </c>
      <c r="G509">
        <v>5799.78</v>
      </c>
      <c r="H509" t="s">
        <v>9</v>
      </c>
      <c r="I509" t="s">
        <v>300</v>
      </c>
    </row>
    <row r="510" spans="1:9" x14ac:dyDescent="0.35">
      <c r="A510">
        <v>195</v>
      </c>
      <c r="B510">
        <v>5</v>
      </c>
      <c r="C510">
        <v>21</v>
      </c>
      <c r="D510">
        <v>2</v>
      </c>
      <c r="E510">
        <v>269.99</v>
      </c>
      <c r="F510">
        <v>0.1</v>
      </c>
      <c r="G510">
        <v>539.88</v>
      </c>
      <c r="H510" t="s">
        <v>18</v>
      </c>
      <c r="I510" t="s">
        <v>301</v>
      </c>
    </row>
    <row r="511" spans="1:9" x14ac:dyDescent="0.35">
      <c r="A511">
        <v>196</v>
      </c>
      <c r="B511">
        <v>1</v>
      </c>
      <c r="C511">
        <v>6</v>
      </c>
      <c r="D511">
        <v>1</v>
      </c>
      <c r="E511">
        <v>469.99</v>
      </c>
      <c r="F511">
        <v>0.1</v>
      </c>
      <c r="G511">
        <v>469.94</v>
      </c>
      <c r="H511" t="s">
        <v>11</v>
      </c>
      <c r="I511" t="s">
        <v>302</v>
      </c>
    </row>
    <row r="512" spans="1:9" x14ac:dyDescent="0.35">
      <c r="A512">
        <v>196</v>
      </c>
      <c r="B512">
        <v>2</v>
      </c>
      <c r="C512">
        <v>3</v>
      </c>
      <c r="D512">
        <v>2</v>
      </c>
      <c r="E512">
        <v>999.99</v>
      </c>
      <c r="F512">
        <v>0.1</v>
      </c>
      <c r="G512">
        <v>1999.91</v>
      </c>
      <c r="H512" t="s">
        <v>8</v>
      </c>
      <c r="I512" t="s">
        <v>304</v>
      </c>
    </row>
    <row r="513" spans="1:9" x14ac:dyDescent="0.35">
      <c r="A513">
        <v>196</v>
      </c>
      <c r="B513">
        <v>3</v>
      </c>
      <c r="C513">
        <v>10</v>
      </c>
      <c r="D513">
        <v>2</v>
      </c>
      <c r="E513">
        <v>1549</v>
      </c>
      <c r="F513">
        <v>0.1</v>
      </c>
      <c r="G513">
        <v>3097.93</v>
      </c>
      <c r="H513" t="s">
        <v>15</v>
      </c>
      <c r="I513" t="s">
        <v>301</v>
      </c>
    </row>
    <row r="514" spans="1:9" x14ac:dyDescent="0.35">
      <c r="A514">
        <v>196</v>
      </c>
      <c r="B514">
        <v>4</v>
      </c>
      <c r="C514">
        <v>12</v>
      </c>
      <c r="D514">
        <v>1</v>
      </c>
      <c r="E514">
        <v>549.99</v>
      </c>
      <c r="F514">
        <v>0.1</v>
      </c>
      <c r="G514">
        <v>549.91999999999996</v>
      </c>
      <c r="H514" t="s">
        <v>17</v>
      </c>
      <c r="I514" t="s">
        <v>304</v>
      </c>
    </row>
    <row r="515" spans="1:9" x14ac:dyDescent="0.35">
      <c r="A515">
        <v>196</v>
      </c>
      <c r="B515">
        <v>5</v>
      </c>
      <c r="C515">
        <v>20</v>
      </c>
      <c r="D515">
        <v>1</v>
      </c>
      <c r="E515">
        <v>599.99</v>
      </c>
      <c r="F515">
        <v>0.1</v>
      </c>
      <c r="G515">
        <v>599.89</v>
      </c>
      <c r="H515" t="s">
        <v>25</v>
      </c>
      <c r="I515" t="s">
        <v>301</v>
      </c>
    </row>
    <row r="516" spans="1:9" x14ac:dyDescent="0.35">
      <c r="A516">
        <v>197</v>
      </c>
      <c r="B516">
        <v>1</v>
      </c>
      <c r="C516">
        <v>4</v>
      </c>
      <c r="D516">
        <v>2</v>
      </c>
      <c r="E516">
        <v>2899.99</v>
      </c>
      <c r="F516">
        <v>0.2</v>
      </c>
      <c r="G516">
        <v>5799.78</v>
      </c>
      <c r="H516" t="s">
        <v>9</v>
      </c>
      <c r="I516" t="s">
        <v>299</v>
      </c>
    </row>
    <row r="517" spans="1:9" x14ac:dyDescent="0.35">
      <c r="A517">
        <v>197</v>
      </c>
      <c r="B517">
        <v>2</v>
      </c>
      <c r="C517">
        <v>2</v>
      </c>
      <c r="D517">
        <v>2</v>
      </c>
      <c r="E517">
        <v>749.99</v>
      </c>
      <c r="F517">
        <v>0.1</v>
      </c>
      <c r="G517">
        <v>1499.91</v>
      </c>
      <c r="H517" t="s">
        <v>7</v>
      </c>
      <c r="I517" t="s">
        <v>300</v>
      </c>
    </row>
    <row r="518" spans="1:9" x14ac:dyDescent="0.35">
      <c r="A518">
        <v>198</v>
      </c>
      <c r="B518">
        <v>1</v>
      </c>
      <c r="C518">
        <v>6</v>
      </c>
      <c r="D518">
        <v>2</v>
      </c>
      <c r="E518">
        <v>469.99</v>
      </c>
      <c r="F518">
        <v>0.1</v>
      </c>
      <c r="G518">
        <v>939.93</v>
      </c>
      <c r="H518" t="s">
        <v>11</v>
      </c>
      <c r="I518" t="s">
        <v>304</v>
      </c>
    </row>
    <row r="519" spans="1:9" x14ac:dyDescent="0.35">
      <c r="A519">
        <v>198</v>
      </c>
      <c r="B519">
        <v>2</v>
      </c>
      <c r="C519">
        <v>20</v>
      </c>
      <c r="D519">
        <v>2</v>
      </c>
      <c r="E519">
        <v>599.99</v>
      </c>
      <c r="F519">
        <v>0.1</v>
      </c>
      <c r="G519">
        <v>1199.9100000000001</v>
      </c>
      <c r="H519" t="s">
        <v>25</v>
      </c>
      <c r="I519" t="s">
        <v>304</v>
      </c>
    </row>
    <row r="520" spans="1:9" x14ac:dyDescent="0.35">
      <c r="A520">
        <v>198</v>
      </c>
      <c r="B520">
        <v>3</v>
      </c>
      <c r="C520">
        <v>8</v>
      </c>
      <c r="D520">
        <v>2</v>
      </c>
      <c r="E520">
        <v>1799.99</v>
      </c>
      <c r="F520">
        <v>0.2</v>
      </c>
      <c r="G520">
        <v>3599.78</v>
      </c>
      <c r="H520" t="s">
        <v>13</v>
      </c>
      <c r="I520" t="s">
        <v>301</v>
      </c>
    </row>
    <row r="521" spans="1:9" x14ac:dyDescent="0.35">
      <c r="A521">
        <v>198</v>
      </c>
      <c r="B521">
        <v>4</v>
      </c>
      <c r="C521">
        <v>13</v>
      </c>
      <c r="D521">
        <v>2</v>
      </c>
      <c r="E521">
        <v>269.99</v>
      </c>
      <c r="F521">
        <v>0.1</v>
      </c>
      <c r="G521">
        <v>539.92999999999995</v>
      </c>
      <c r="H521" t="s">
        <v>18</v>
      </c>
      <c r="I521" t="s">
        <v>303</v>
      </c>
    </row>
    <row r="522" spans="1:9" x14ac:dyDescent="0.35">
      <c r="A522">
        <v>198</v>
      </c>
      <c r="B522">
        <v>5</v>
      </c>
      <c r="C522">
        <v>17</v>
      </c>
      <c r="D522">
        <v>1</v>
      </c>
      <c r="E522">
        <v>429</v>
      </c>
      <c r="F522">
        <v>0.1</v>
      </c>
      <c r="G522">
        <v>428.95</v>
      </c>
      <c r="H522" t="s">
        <v>22</v>
      </c>
      <c r="I522" t="s">
        <v>304</v>
      </c>
    </row>
    <row r="523" spans="1:9" x14ac:dyDescent="0.35">
      <c r="A523">
        <v>199</v>
      </c>
      <c r="B523">
        <v>1</v>
      </c>
      <c r="C523">
        <v>25</v>
      </c>
      <c r="D523">
        <v>2</v>
      </c>
      <c r="E523">
        <v>499.99</v>
      </c>
      <c r="F523">
        <v>0.1</v>
      </c>
      <c r="G523">
        <v>999.93</v>
      </c>
      <c r="H523" t="s">
        <v>27</v>
      </c>
      <c r="I523" t="s">
        <v>301</v>
      </c>
    </row>
    <row r="524" spans="1:9" x14ac:dyDescent="0.35">
      <c r="A524">
        <v>199</v>
      </c>
      <c r="B524">
        <v>2</v>
      </c>
      <c r="C524">
        <v>18</v>
      </c>
      <c r="D524">
        <v>2</v>
      </c>
      <c r="E524">
        <v>449</v>
      </c>
      <c r="F524">
        <v>0.1</v>
      </c>
      <c r="G524">
        <v>897.93</v>
      </c>
      <c r="H524" t="s">
        <v>23</v>
      </c>
      <c r="I524" t="s">
        <v>301</v>
      </c>
    </row>
    <row r="525" spans="1:9" x14ac:dyDescent="0.35">
      <c r="A525">
        <v>199</v>
      </c>
      <c r="B525">
        <v>3</v>
      </c>
      <c r="C525">
        <v>4</v>
      </c>
      <c r="D525">
        <v>1</v>
      </c>
      <c r="E525">
        <v>2899.99</v>
      </c>
      <c r="F525">
        <v>0.2</v>
      </c>
      <c r="G525">
        <v>2899.79</v>
      </c>
      <c r="H525" t="s">
        <v>9</v>
      </c>
      <c r="I525" t="s">
        <v>301</v>
      </c>
    </row>
    <row r="526" spans="1:9" x14ac:dyDescent="0.35">
      <c r="A526">
        <v>200</v>
      </c>
      <c r="B526">
        <v>1</v>
      </c>
      <c r="C526">
        <v>23</v>
      </c>
      <c r="D526">
        <v>2</v>
      </c>
      <c r="E526">
        <v>299.99</v>
      </c>
      <c r="F526">
        <v>0.1</v>
      </c>
      <c r="G526">
        <v>599.92999999999995</v>
      </c>
      <c r="H526" t="s">
        <v>26</v>
      </c>
      <c r="I526" t="s">
        <v>300</v>
      </c>
    </row>
    <row r="527" spans="1:9" x14ac:dyDescent="0.35">
      <c r="A527">
        <v>200</v>
      </c>
      <c r="B527">
        <v>2</v>
      </c>
      <c r="C527">
        <v>22</v>
      </c>
      <c r="D527">
        <v>2</v>
      </c>
      <c r="E527">
        <v>269.99</v>
      </c>
      <c r="F527">
        <v>0.1</v>
      </c>
      <c r="G527">
        <v>539.91</v>
      </c>
      <c r="H527" t="s">
        <v>19</v>
      </c>
      <c r="I527" t="s">
        <v>304</v>
      </c>
    </row>
    <row r="528" spans="1:9" x14ac:dyDescent="0.35">
      <c r="A528">
        <v>201</v>
      </c>
      <c r="B528">
        <v>1</v>
      </c>
      <c r="C528">
        <v>24</v>
      </c>
      <c r="D528">
        <v>1</v>
      </c>
      <c r="E528">
        <v>549.99</v>
      </c>
      <c r="F528">
        <v>0.1</v>
      </c>
      <c r="G528">
        <v>549.94000000000005</v>
      </c>
      <c r="H528" t="s">
        <v>17</v>
      </c>
      <c r="I528" t="s">
        <v>304</v>
      </c>
    </row>
    <row r="529" spans="1:9" x14ac:dyDescent="0.35">
      <c r="A529">
        <v>201</v>
      </c>
      <c r="B529">
        <v>2</v>
      </c>
      <c r="C529">
        <v>7</v>
      </c>
      <c r="D529">
        <v>1</v>
      </c>
      <c r="E529">
        <v>3999.99</v>
      </c>
      <c r="F529">
        <v>0.2</v>
      </c>
      <c r="G529">
        <v>3999.79</v>
      </c>
      <c r="H529" t="s">
        <v>12</v>
      </c>
      <c r="I529" t="s">
        <v>301</v>
      </c>
    </row>
    <row r="530" spans="1:9" x14ac:dyDescent="0.35">
      <c r="A530">
        <v>201</v>
      </c>
      <c r="B530">
        <v>3</v>
      </c>
      <c r="C530">
        <v>14</v>
      </c>
      <c r="D530">
        <v>2</v>
      </c>
      <c r="E530">
        <v>269.99</v>
      </c>
      <c r="F530">
        <v>0.1</v>
      </c>
      <c r="G530">
        <v>539.88</v>
      </c>
      <c r="H530" t="s">
        <v>19</v>
      </c>
      <c r="I530" t="s">
        <v>300</v>
      </c>
    </row>
    <row r="531" spans="1:9" x14ac:dyDescent="0.35">
      <c r="A531">
        <v>201</v>
      </c>
      <c r="B531">
        <v>4</v>
      </c>
      <c r="C531">
        <v>17</v>
      </c>
      <c r="D531">
        <v>1</v>
      </c>
      <c r="E531">
        <v>429</v>
      </c>
      <c r="F531">
        <v>0.1</v>
      </c>
      <c r="G531">
        <v>428.95</v>
      </c>
      <c r="H531" t="s">
        <v>22</v>
      </c>
      <c r="I531" t="s">
        <v>303</v>
      </c>
    </row>
    <row r="532" spans="1:9" x14ac:dyDescent="0.35">
      <c r="A532">
        <v>202</v>
      </c>
      <c r="B532">
        <v>1</v>
      </c>
      <c r="C532">
        <v>8</v>
      </c>
      <c r="D532">
        <v>1</v>
      </c>
      <c r="E532">
        <v>1799.99</v>
      </c>
      <c r="F532">
        <v>0.1</v>
      </c>
      <c r="G532">
        <v>1799.92</v>
      </c>
      <c r="H532" t="s">
        <v>13</v>
      </c>
      <c r="I532" t="s">
        <v>304</v>
      </c>
    </row>
    <row r="533" spans="1:9" x14ac:dyDescent="0.35">
      <c r="A533">
        <v>202</v>
      </c>
      <c r="B533">
        <v>2</v>
      </c>
      <c r="C533">
        <v>17</v>
      </c>
      <c r="D533">
        <v>1</v>
      </c>
      <c r="E533">
        <v>429</v>
      </c>
      <c r="F533">
        <v>0.1</v>
      </c>
      <c r="G533">
        <v>428.95</v>
      </c>
      <c r="H533" t="s">
        <v>22</v>
      </c>
      <c r="I533" t="s">
        <v>301</v>
      </c>
    </row>
    <row r="534" spans="1:9" x14ac:dyDescent="0.35">
      <c r="A534">
        <v>202</v>
      </c>
      <c r="B534">
        <v>3</v>
      </c>
      <c r="C534">
        <v>15</v>
      </c>
      <c r="D534">
        <v>2</v>
      </c>
      <c r="E534">
        <v>529.99</v>
      </c>
      <c r="F534">
        <v>0.1</v>
      </c>
      <c r="G534">
        <v>1059.93</v>
      </c>
      <c r="H534" t="s">
        <v>20</v>
      </c>
      <c r="I534" t="s">
        <v>301</v>
      </c>
    </row>
    <row r="535" spans="1:9" x14ac:dyDescent="0.35">
      <c r="A535">
        <v>202</v>
      </c>
      <c r="B535">
        <v>4</v>
      </c>
      <c r="C535">
        <v>25</v>
      </c>
      <c r="D535">
        <v>2</v>
      </c>
      <c r="E535">
        <v>499.99</v>
      </c>
      <c r="F535">
        <v>0.1</v>
      </c>
      <c r="G535">
        <v>999.93</v>
      </c>
      <c r="H535" t="s">
        <v>27</v>
      </c>
      <c r="I535" t="s">
        <v>304</v>
      </c>
    </row>
    <row r="536" spans="1:9" x14ac:dyDescent="0.35">
      <c r="A536">
        <v>203</v>
      </c>
      <c r="B536">
        <v>1</v>
      </c>
      <c r="C536">
        <v>26</v>
      </c>
      <c r="D536">
        <v>1</v>
      </c>
      <c r="E536">
        <v>599.99</v>
      </c>
      <c r="F536">
        <v>0.1</v>
      </c>
      <c r="G536">
        <v>599.94000000000005</v>
      </c>
      <c r="H536" t="s">
        <v>21</v>
      </c>
      <c r="I536" t="s">
        <v>304</v>
      </c>
    </row>
    <row r="537" spans="1:9" x14ac:dyDescent="0.35">
      <c r="A537">
        <v>203</v>
      </c>
      <c r="B537">
        <v>2</v>
      </c>
      <c r="C537">
        <v>3</v>
      </c>
      <c r="D537">
        <v>2</v>
      </c>
      <c r="E537">
        <v>999.99</v>
      </c>
      <c r="F537">
        <v>0.1</v>
      </c>
      <c r="G537">
        <v>1999.88</v>
      </c>
      <c r="H537" t="s">
        <v>8</v>
      </c>
      <c r="I537" t="s">
        <v>304</v>
      </c>
    </row>
    <row r="538" spans="1:9" x14ac:dyDescent="0.35">
      <c r="A538">
        <v>203</v>
      </c>
      <c r="B538">
        <v>3</v>
      </c>
      <c r="C538">
        <v>17</v>
      </c>
      <c r="D538">
        <v>2</v>
      </c>
      <c r="E538">
        <v>429</v>
      </c>
      <c r="F538">
        <v>0.2</v>
      </c>
      <c r="G538">
        <v>857.8</v>
      </c>
      <c r="H538" t="s">
        <v>22</v>
      </c>
      <c r="I538" t="s">
        <v>300</v>
      </c>
    </row>
    <row r="539" spans="1:9" x14ac:dyDescent="0.35">
      <c r="A539">
        <v>203</v>
      </c>
      <c r="B539">
        <v>4</v>
      </c>
      <c r="C539">
        <v>19</v>
      </c>
      <c r="D539">
        <v>2</v>
      </c>
      <c r="E539">
        <v>449</v>
      </c>
      <c r="F539">
        <v>0.1</v>
      </c>
      <c r="G539">
        <v>897.93</v>
      </c>
      <c r="H539" t="s">
        <v>24</v>
      </c>
      <c r="I539" t="s">
        <v>304</v>
      </c>
    </row>
    <row r="540" spans="1:9" x14ac:dyDescent="0.35">
      <c r="A540">
        <v>204</v>
      </c>
      <c r="B540">
        <v>1</v>
      </c>
      <c r="C540">
        <v>6</v>
      </c>
      <c r="D540">
        <v>2</v>
      </c>
      <c r="E540">
        <v>469.99</v>
      </c>
      <c r="F540">
        <v>0.1</v>
      </c>
      <c r="G540">
        <v>939.91</v>
      </c>
      <c r="H540" t="s">
        <v>11</v>
      </c>
      <c r="I540" t="s">
        <v>303</v>
      </c>
    </row>
    <row r="541" spans="1:9" x14ac:dyDescent="0.35">
      <c r="A541">
        <v>204</v>
      </c>
      <c r="B541">
        <v>2</v>
      </c>
      <c r="C541">
        <v>17</v>
      </c>
      <c r="D541">
        <v>2</v>
      </c>
      <c r="E541">
        <v>429</v>
      </c>
      <c r="F541">
        <v>0.1</v>
      </c>
      <c r="G541">
        <v>857.9</v>
      </c>
      <c r="H541" t="s">
        <v>22</v>
      </c>
      <c r="I541" t="s">
        <v>304</v>
      </c>
    </row>
    <row r="542" spans="1:9" x14ac:dyDescent="0.35">
      <c r="A542">
        <v>205</v>
      </c>
      <c r="B542">
        <v>1</v>
      </c>
      <c r="C542">
        <v>22</v>
      </c>
      <c r="D542">
        <v>2</v>
      </c>
      <c r="E542">
        <v>269.99</v>
      </c>
      <c r="F542">
        <v>0.1</v>
      </c>
      <c r="G542">
        <v>539.92999999999995</v>
      </c>
      <c r="H542" t="s">
        <v>19</v>
      </c>
      <c r="I542" t="s">
        <v>299</v>
      </c>
    </row>
    <row r="543" spans="1:9" x14ac:dyDescent="0.35">
      <c r="A543">
        <v>205</v>
      </c>
      <c r="B543">
        <v>2</v>
      </c>
      <c r="C543">
        <v>24</v>
      </c>
      <c r="D543">
        <v>2</v>
      </c>
      <c r="E543">
        <v>549.99</v>
      </c>
      <c r="F543">
        <v>0.1</v>
      </c>
      <c r="G543">
        <v>1099.8800000000001</v>
      </c>
      <c r="H543" t="s">
        <v>17</v>
      </c>
      <c r="I543" t="s">
        <v>304</v>
      </c>
    </row>
    <row r="544" spans="1:9" x14ac:dyDescent="0.35">
      <c r="A544">
        <v>206</v>
      </c>
      <c r="B544">
        <v>1</v>
      </c>
      <c r="C544">
        <v>25</v>
      </c>
      <c r="D544">
        <v>1</v>
      </c>
      <c r="E544">
        <v>499.99</v>
      </c>
      <c r="F544">
        <v>0.1</v>
      </c>
      <c r="G544">
        <v>499.94</v>
      </c>
      <c r="H544" t="s">
        <v>27</v>
      </c>
      <c r="I544" t="s">
        <v>301</v>
      </c>
    </row>
    <row r="545" spans="1:9" x14ac:dyDescent="0.35">
      <c r="A545">
        <v>206</v>
      </c>
      <c r="B545">
        <v>2</v>
      </c>
      <c r="C545">
        <v>20</v>
      </c>
      <c r="D545">
        <v>1</v>
      </c>
      <c r="E545">
        <v>599.99</v>
      </c>
      <c r="F545">
        <v>0.2</v>
      </c>
      <c r="G545">
        <v>599.79</v>
      </c>
      <c r="H545" t="s">
        <v>25</v>
      </c>
      <c r="I545" t="s">
        <v>304</v>
      </c>
    </row>
    <row r="546" spans="1:9" x14ac:dyDescent="0.35">
      <c r="A546">
        <v>207</v>
      </c>
      <c r="B546">
        <v>1</v>
      </c>
      <c r="C546">
        <v>12</v>
      </c>
      <c r="D546">
        <v>2</v>
      </c>
      <c r="E546">
        <v>549.99</v>
      </c>
      <c r="F546">
        <v>0.2</v>
      </c>
      <c r="G546">
        <v>1099.78</v>
      </c>
      <c r="H546" t="s">
        <v>17</v>
      </c>
      <c r="I546" t="s">
        <v>302</v>
      </c>
    </row>
    <row r="547" spans="1:9" x14ac:dyDescent="0.35">
      <c r="A547">
        <v>207</v>
      </c>
      <c r="B547">
        <v>2</v>
      </c>
      <c r="C547">
        <v>5</v>
      </c>
      <c r="D547">
        <v>1</v>
      </c>
      <c r="E547">
        <v>1320.99</v>
      </c>
      <c r="F547">
        <v>0.1</v>
      </c>
      <c r="G547">
        <v>1320.94</v>
      </c>
      <c r="H547" t="s">
        <v>10</v>
      </c>
      <c r="I547" t="s">
        <v>301</v>
      </c>
    </row>
    <row r="548" spans="1:9" x14ac:dyDescent="0.35">
      <c r="A548">
        <v>207</v>
      </c>
      <c r="B548">
        <v>3</v>
      </c>
      <c r="C548">
        <v>11</v>
      </c>
      <c r="D548">
        <v>2</v>
      </c>
      <c r="E548">
        <v>1680.99</v>
      </c>
      <c r="F548">
        <v>0.1</v>
      </c>
      <c r="G548">
        <v>3361.91</v>
      </c>
      <c r="H548" t="s">
        <v>16</v>
      </c>
      <c r="I548" t="s">
        <v>301</v>
      </c>
    </row>
    <row r="549" spans="1:9" x14ac:dyDescent="0.35">
      <c r="A549">
        <v>207</v>
      </c>
      <c r="B549">
        <v>4</v>
      </c>
      <c r="C549">
        <v>7</v>
      </c>
      <c r="D549">
        <v>2</v>
      </c>
      <c r="E549">
        <v>3999.99</v>
      </c>
      <c r="F549">
        <v>0.1</v>
      </c>
      <c r="G549">
        <v>7999.88</v>
      </c>
      <c r="H549" t="s">
        <v>12</v>
      </c>
      <c r="I549" t="s">
        <v>302</v>
      </c>
    </row>
    <row r="550" spans="1:9" x14ac:dyDescent="0.35">
      <c r="A550">
        <v>208</v>
      </c>
      <c r="B550">
        <v>1</v>
      </c>
      <c r="C550">
        <v>6</v>
      </c>
      <c r="D550">
        <v>2</v>
      </c>
      <c r="E550">
        <v>469.99</v>
      </c>
      <c r="F550">
        <v>0.1</v>
      </c>
      <c r="G550">
        <v>939.93</v>
      </c>
      <c r="H550" t="s">
        <v>11</v>
      </c>
      <c r="I550" t="s">
        <v>302</v>
      </c>
    </row>
    <row r="551" spans="1:9" x14ac:dyDescent="0.35">
      <c r="A551">
        <v>208</v>
      </c>
      <c r="B551">
        <v>2</v>
      </c>
      <c r="C551">
        <v>4</v>
      </c>
      <c r="D551">
        <v>2</v>
      </c>
      <c r="E551">
        <v>2899.99</v>
      </c>
      <c r="F551">
        <v>0.1</v>
      </c>
      <c r="G551">
        <v>5799.91</v>
      </c>
      <c r="H551" t="s">
        <v>9</v>
      </c>
      <c r="I551" t="s">
        <v>300</v>
      </c>
    </row>
    <row r="552" spans="1:9" x14ac:dyDescent="0.35">
      <c r="A552">
        <v>208</v>
      </c>
      <c r="B552">
        <v>3</v>
      </c>
      <c r="C552">
        <v>3</v>
      </c>
      <c r="D552">
        <v>1</v>
      </c>
      <c r="E552">
        <v>999.99</v>
      </c>
      <c r="F552">
        <v>0.1</v>
      </c>
      <c r="G552">
        <v>999.94</v>
      </c>
      <c r="H552" t="s">
        <v>8</v>
      </c>
      <c r="I552" t="s">
        <v>302</v>
      </c>
    </row>
    <row r="553" spans="1:9" x14ac:dyDescent="0.35">
      <c r="A553">
        <v>208</v>
      </c>
      <c r="B553">
        <v>4</v>
      </c>
      <c r="C553">
        <v>12</v>
      </c>
      <c r="D553">
        <v>1</v>
      </c>
      <c r="E553">
        <v>549.99</v>
      </c>
      <c r="F553">
        <v>0.2</v>
      </c>
      <c r="G553">
        <v>549.79</v>
      </c>
      <c r="H553" t="s">
        <v>17</v>
      </c>
      <c r="I553" t="s">
        <v>301</v>
      </c>
    </row>
    <row r="554" spans="1:9" x14ac:dyDescent="0.35">
      <c r="A554">
        <v>208</v>
      </c>
      <c r="B554">
        <v>5</v>
      </c>
      <c r="C554">
        <v>10</v>
      </c>
      <c r="D554">
        <v>2</v>
      </c>
      <c r="E554">
        <v>1549</v>
      </c>
      <c r="F554">
        <v>0.1</v>
      </c>
      <c r="G554">
        <v>3097.95</v>
      </c>
      <c r="H554" t="s">
        <v>15</v>
      </c>
      <c r="I554" t="s">
        <v>304</v>
      </c>
    </row>
    <row r="555" spans="1:9" x14ac:dyDescent="0.35">
      <c r="A555">
        <v>210</v>
      </c>
      <c r="B555">
        <v>1</v>
      </c>
      <c r="C555">
        <v>14</v>
      </c>
      <c r="D555">
        <v>1</v>
      </c>
      <c r="E555">
        <v>269.99</v>
      </c>
      <c r="F555">
        <v>0.1</v>
      </c>
      <c r="G555">
        <v>269.92</v>
      </c>
      <c r="H555" t="s">
        <v>19</v>
      </c>
      <c r="I555" t="s">
        <v>299</v>
      </c>
    </row>
    <row r="556" spans="1:9" x14ac:dyDescent="0.35">
      <c r="A556">
        <v>210</v>
      </c>
      <c r="B556">
        <v>2</v>
      </c>
      <c r="C556">
        <v>13</v>
      </c>
      <c r="D556">
        <v>2</v>
      </c>
      <c r="E556">
        <v>269.99</v>
      </c>
      <c r="F556">
        <v>0.2</v>
      </c>
      <c r="G556">
        <v>539.78</v>
      </c>
      <c r="H556" t="s">
        <v>18</v>
      </c>
      <c r="I556" t="s">
        <v>304</v>
      </c>
    </row>
    <row r="557" spans="1:9" x14ac:dyDescent="0.35">
      <c r="A557">
        <v>211</v>
      </c>
      <c r="B557">
        <v>1</v>
      </c>
      <c r="C557">
        <v>10</v>
      </c>
      <c r="D557">
        <v>1</v>
      </c>
      <c r="E557">
        <v>1549</v>
      </c>
      <c r="F557">
        <v>0.1</v>
      </c>
      <c r="G557">
        <v>1548.93</v>
      </c>
      <c r="H557" t="s">
        <v>15</v>
      </c>
      <c r="I557" t="s">
        <v>300</v>
      </c>
    </row>
    <row r="558" spans="1:9" x14ac:dyDescent="0.35">
      <c r="A558">
        <v>211</v>
      </c>
      <c r="B558">
        <v>2</v>
      </c>
      <c r="C558">
        <v>2</v>
      </c>
      <c r="D558">
        <v>2</v>
      </c>
      <c r="E558">
        <v>749.99</v>
      </c>
      <c r="F558">
        <v>0.1</v>
      </c>
      <c r="G558">
        <v>1499.91</v>
      </c>
      <c r="H558" t="s">
        <v>7</v>
      </c>
      <c r="I558" t="s">
        <v>304</v>
      </c>
    </row>
    <row r="559" spans="1:9" x14ac:dyDescent="0.35">
      <c r="A559">
        <v>212</v>
      </c>
      <c r="B559">
        <v>1</v>
      </c>
      <c r="C559">
        <v>16</v>
      </c>
      <c r="D559">
        <v>2</v>
      </c>
      <c r="E559">
        <v>599.99</v>
      </c>
      <c r="F559">
        <v>0.1</v>
      </c>
      <c r="G559">
        <v>1199.9100000000001</v>
      </c>
      <c r="H559" t="s">
        <v>21</v>
      </c>
      <c r="I559" t="s">
        <v>304</v>
      </c>
    </row>
    <row r="560" spans="1:9" x14ac:dyDescent="0.35">
      <c r="A560">
        <v>212</v>
      </c>
      <c r="B560">
        <v>2</v>
      </c>
      <c r="C560">
        <v>12</v>
      </c>
      <c r="D560">
        <v>2</v>
      </c>
      <c r="E560">
        <v>549.99</v>
      </c>
      <c r="F560">
        <v>0.2</v>
      </c>
      <c r="G560">
        <v>1099.78</v>
      </c>
      <c r="H560" t="s">
        <v>17</v>
      </c>
      <c r="I560" t="s">
        <v>301</v>
      </c>
    </row>
    <row r="561" spans="1:9" x14ac:dyDescent="0.35">
      <c r="A561">
        <v>212</v>
      </c>
      <c r="B561">
        <v>3</v>
      </c>
      <c r="C561">
        <v>19</v>
      </c>
      <c r="D561">
        <v>1</v>
      </c>
      <c r="E561">
        <v>449</v>
      </c>
      <c r="F561">
        <v>0.1</v>
      </c>
      <c r="G561">
        <v>448.9</v>
      </c>
      <c r="H561" t="s">
        <v>24</v>
      </c>
      <c r="I561" t="s">
        <v>304</v>
      </c>
    </row>
    <row r="562" spans="1:9" x14ac:dyDescent="0.35">
      <c r="A562">
        <v>212</v>
      </c>
      <c r="B562">
        <v>4</v>
      </c>
      <c r="C562">
        <v>7</v>
      </c>
      <c r="D562">
        <v>1</v>
      </c>
      <c r="E562">
        <v>3999.99</v>
      </c>
      <c r="F562">
        <v>0.2</v>
      </c>
      <c r="G562">
        <v>3999.79</v>
      </c>
      <c r="H562" t="s">
        <v>12</v>
      </c>
      <c r="I562" t="s">
        <v>303</v>
      </c>
    </row>
    <row r="563" spans="1:9" x14ac:dyDescent="0.35">
      <c r="A563">
        <v>215</v>
      </c>
      <c r="B563">
        <v>1</v>
      </c>
      <c r="C563">
        <v>19</v>
      </c>
      <c r="D563">
        <v>1</v>
      </c>
      <c r="E563">
        <v>449</v>
      </c>
      <c r="F563">
        <v>0.1</v>
      </c>
      <c r="G563">
        <v>448.93</v>
      </c>
      <c r="H563" t="s">
        <v>24</v>
      </c>
      <c r="I563" t="s">
        <v>301</v>
      </c>
    </row>
    <row r="564" spans="1:9" x14ac:dyDescent="0.35">
      <c r="A564">
        <v>215</v>
      </c>
      <c r="B564">
        <v>2</v>
      </c>
      <c r="C564">
        <v>12</v>
      </c>
      <c r="D564">
        <v>2</v>
      </c>
      <c r="E564">
        <v>549.99</v>
      </c>
      <c r="F564">
        <v>0.1</v>
      </c>
      <c r="G564">
        <v>1099.8800000000001</v>
      </c>
      <c r="H564" t="s">
        <v>17</v>
      </c>
      <c r="I564" t="s">
        <v>301</v>
      </c>
    </row>
    <row r="565" spans="1:9" x14ac:dyDescent="0.35">
      <c r="A565">
        <v>216</v>
      </c>
      <c r="B565">
        <v>1</v>
      </c>
      <c r="C565">
        <v>22</v>
      </c>
      <c r="D565">
        <v>2</v>
      </c>
      <c r="E565">
        <v>269.99</v>
      </c>
      <c r="F565">
        <v>0.1</v>
      </c>
      <c r="G565">
        <v>539.88</v>
      </c>
      <c r="H565" t="s">
        <v>19</v>
      </c>
      <c r="I565" t="s">
        <v>302</v>
      </c>
    </row>
    <row r="566" spans="1:9" x14ac:dyDescent="0.35">
      <c r="A566">
        <v>216</v>
      </c>
      <c r="B566">
        <v>2</v>
      </c>
      <c r="C566">
        <v>16</v>
      </c>
      <c r="D566">
        <v>2</v>
      </c>
      <c r="E566">
        <v>599.99</v>
      </c>
      <c r="F566">
        <v>0.1</v>
      </c>
      <c r="G566">
        <v>1199.93</v>
      </c>
      <c r="H566" t="s">
        <v>21</v>
      </c>
      <c r="I566" t="s">
        <v>301</v>
      </c>
    </row>
    <row r="567" spans="1:9" x14ac:dyDescent="0.35">
      <c r="A567">
        <v>217</v>
      </c>
      <c r="B567">
        <v>1</v>
      </c>
      <c r="C567">
        <v>18</v>
      </c>
      <c r="D567">
        <v>1</v>
      </c>
      <c r="E567">
        <v>449</v>
      </c>
      <c r="F567">
        <v>0.1</v>
      </c>
      <c r="G567">
        <v>448.9</v>
      </c>
      <c r="H567" t="s">
        <v>23</v>
      </c>
      <c r="I567" t="s">
        <v>304</v>
      </c>
    </row>
    <row r="568" spans="1:9" x14ac:dyDescent="0.35">
      <c r="A568">
        <v>217</v>
      </c>
      <c r="B568">
        <v>2</v>
      </c>
      <c r="C568">
        <v>10</v>
      </c>
      <c r="D568">
        <v>2</v>
      </c>
      <c r="E568">
        <v>1549</v>
      </c>
      <c r="F568">
        <v>0.1</v>
      </c>
      <c r="G568">
        <v>3097.9</v>
      </c>
      <c r="H568" t="s">
        <v>15</v>
      </c>
      <c r="I568" t="s">
        <v>302</v>
      </c>
    </row>
    <row r="569" spans="1:9" x14ac:dyDescent="0.35">
      <c r="A569">
        <v>217</v>
      </c>
      <c r="B569">
        <v>3</v>
      </c>
      <c r="C569">
        <v>17</v>
      </c>
      <c r="D569">
        <v>1</v>
      </c>
      <c r="E569">
        <v>429</v>
      </c>
      <c r="F569">
        <v>0.1</v>
      </c>
      <c r="G569">
        <v>428.93</v>
      </c>
      <c r="H569" t="s">
        <v>22</v>
      </c>
      <c r="I569" t="s">
        <v>304</v>
      </c>
    </row>
    <row r="570" spans="1:9" x14ac:dyDescent="0.35">
      <c r="A570">
        <v>218</v>
      </c>
      <c r="B570">
        <v>1</v>
      </c>
      <c r="C570">
        <v>2</v>
      </c>
      <c r="D570">
        <v>2</v>
      </c>
      <c r="E570">
        <v>749.99</v>
      </c>
      <c r="F570">
        <v>0.1</v>
      </c>
      <c r="G570">
        <v>1499.88</v>
      </c>
      <c r="H570" t="s">
        <v>7</v>
      </c>
      <c r="I570" t="s">
        <v>302</v>
      </c>
    </row>
    <row r="571" spans="1:9" x14ac:dyDescent="0.35">
      <c r="A571">
        <v>218</v>
      </c>
      <c r="B571">
        <v>2</v>
      </c>
      <c r="C571">
        <v>13</v>
      </c>
      <c r="D571">
        <v>1</v>
      </c>
      <c r="E571">
        <v>269.99</v>
      </c>
      <c r="F571">
        <v>0.1</v>
      </c>
      <c r="G571">
        <v>269.92</v>
      </c>
      <c r="H571" t="s">
        <v>18</v>
      </c>
      <c r="I571" t="s">
        <v>300</v>
      </c>
    </row>
    <row r="572" spans="1:9" x14ac:dyDescent="0.35">
      <c r="A572">
        <v>218</v>
      </c>
      <c r="B572">
        <v>3</v>
      </c>
      <c r="C572">
        <v>12</v>
      </c>
      <c r="D572">
        <v>1</v>
      </c>
      <c r="E572">
        <v>549.99</v>
      </c>
      <c r="F572">
        <v>0.1</v>
      </c>
      <c r="G572">
        <v>549.94000000000005</v>
      </c>
      <c r="H572" t="s">
        <v>17</v>
      </c>
      <c r="I572" t="s">
        <v>301</v>
      </c>
    </row>
    <row r="573" spans="1:9" x14ac:dyDescent="0.35">
      <c r="A573">
        <v>219</v>
      </c>
      <c r="B573">
        <v>1</v>
      </c>
      <c r="C573">
        <v>26</v>
      </c>
      <c r="D573">
        <v>1</v>
      </c>
      <c r="E573">
        <v>599.99</v>
      </c>
      <c r="F573">
        <v>0.1</v>
      </c>
      <c r="G573">
        <v>599.94000000000005</v>
      </c>
      <c r="H573" t="s">
        <v>21</v>
      </c>
      <c r="I573" t="s">
        <v>301</v>
      </c>
    </row>
    <row r="574" spans="1:9" x14ac:dyDescent="0.35">
      <c r="A574">
        <v>219</v>
      </c>
      <c r="B574">
        <v>2</v>
      </c>
      <c r="C574">
        <v>5</v>
      </c>
      <c r="D574">
        <v>1</v>
      </c>
      <c r="E574">
        <v>1320.99</v>
      </c>
      <c r="F574">
        <v>0.2</v>
      </c>
      <c r="G574">
        <v>1320.79</v>
      </c>
      <c r="H574" t="s">
        <v>10</v>
      </c>
      <c r="I574" t="s">
        <v>303</v>
      </c>
    </row>
    <row r="575" spans="1:9" x14ac:dyDescent="0.35">
      <c r="A575">
        <v>220</v>
      </c>
      <c r="B575">
        <v>1</v>
      </c>
      <c r="C575">
        <v>6</v>
      </c>
      <c r="D575">
        <v>2</v>
      </c>
      <c r="E575">
        <v>469.99</v>
      </c>
      <c r="F575">
        <v>0.1</v>
      </c>
      <c r="G575">
        <v>939.93</v>
      </c>
      <c r="H575" t="s">
        <v>11</v>
      </c>
      <c r="I575" t="s">
        <v>301</v>
      </c>
    </row>
    <row r="576" spans="1:9" x14ac:dyDescent="0.35">
      <c r="A576">
        <v>220</v>
      </c>
      <c r="B576">
        <v>2</v>
      </c>
      <c r="C576">
        <v>25</v>
      </c>
      <c r="D576">
        <v>1</v>
      </c>
      <c r="E576">
        <v>499.99</v>
      </c>
      <c r="F576">
        <v>0.1</v>
      </c>
      <c r="G576">
        <v>499.92</v>
      </c>
      <c r="H576" t="s">
        <v>27</v>
      </c>
      <c r="I576" t="s">
        <v>302</v>
      </c>
    </row>
    <row r="577" spans="1:9" x14ac:dyDescent="0.35">
      <c r="A577">
        <v>220</v>
      </c>
      <c r="B577">
        <v>3</v>
      </c>
      <c r="C577">
        <v>22</v>
      </c>
      <c r="D577">
        <v>2</v>
      </c>
      <c r="E577">
        <v>269.99</v>
      </c>
      <c r="F577">
        <v>0.1</v>
      </c>
      <c r="G577">
        <v>539.88</v>
      </c>
      <c r="H577" t="s">
        <v>19</v>
      </c>
      <c r="I577" t="s">
        <v>300</v>
      </c>
    </row>
    <row r="578" spans="1:9" x14ac:dyDescent="0.35">
      <c r="A578">
        <v>220</v>
      </c>
      <c r="B578">
        <v>4</v>
      </c>
      <c r="C578">
        <v>3</v>
      </c>
      <c r="D578">
        <v>2</v>
      </c>
      <c r="E578">
        <v>999.99</v>
      </c>
      <c r="F578">
        <v>0.2</v>
      </c>
      <c r="G578">
        <v>1999.78</v>
      </c>
      <c r="H578" t="s">
        <v>8</v>
      </c>
      <c r="I578" t="s">
        <v>301</v>
      </c>
    </row>
    <row r="579" spans="1:9" x14ac:dyDescent="0.35">
      <c r="A579">
        <v>222</v>
      </c>
      <c r="B579">
        <v>1</v>
      </c>
      <c r="C579">
        <v>10</v>
      </c>
      <c r="D579">
        <v>1</v>
      </c>
      <c r="E579">
        <v>1549</v>
      </c>
      <c r="F579">
        <v>0.1</v>
      </c>
      <c r="G579">
        <v>1548.9</v>
      </c>
      <c r="H579" t="s">
        <v>15</v>
      </c>
      <c r="I579" t="s">
        <v>300</v>
      </c>
    </row>
    <row r="580" spans="1:9" x14ac:dyDescent="0.35">
      <c r="A580">
        <v>222</v>
      </c>
      <c r="B580">
        <v>2</v>
      </c>
      <c r="C580">
        <v>2</v>
      </c>
      <c r="D580">
        <v>2</v>
      </c>
      <c r="E580">
        <v>749.99</v>
      </c>
      <c r="F580">
        <v>0.1</v>
      </c>
      <c r="G580">
        <v>1499.88</v>
      </c>
      <c r="H580" t="s">
        <v>7</v>
      </c>
      <c r="I580" t="s">
        <v>304</v>
      </c>
    </row>
    <row r="581" spans="1:9" x14ac:dyDescent="0.35">
      <c r="A581">
        <v>223</v>
      </c>
      <c r="B581">
        <v>1</v>
      </c>
      <c r="C581">
        <v>7</v>
      </c>
      <c r="D581">
        <v>2</v>
      </c>
      <c r="E581">
        <v>3999.99</v>
      </c>
      <c r="F581">
        <v>0.1</v>
      </c>
      <c r="G581">
        <v>7999.93</v>
      </c>
      <c r="H581" t="s">
        <v>12</v>
      </c>
      <c r="I581" t="s">
        <v>301</v>
      </c>
    </row>
    <row r="582" spans="1:9" x14ac:dyDescent="0.35">
      <c r="A582">
        <v>223</v>
      </c>
      <c r="B582">
        <v>2</v>
      </c>
      <c r="C582">
        <v>5</v>
      </c>
      <c r="D582">
        <v>1</v>
      </c>
      <c r="E582">
        <v>1320.99</v>
      </c>
      <c r="F582">
        <v>0.2</v>
      </c>
      <c r="G582">
        <v>1320.79</v>
      </c>
      <c r="H582" t="s">
        <v>10</v>
      </c>
      <c r="I582" t="s">
        <v>303</v>
      </c>
    </row>
    <row r="583" spans="1:9" x14ac:dyDescent="0.35">
      <c r="A583">
        <v>223</v>
      </c>
      <c r="B583">
        <v>3</v>
      </c>
      <c r="C583">
        <v>21</v>
      </c>
      <c r="D583">
        <v>2</v>
      </c>
      <c r="E583">
        <v>269.99</v>
      </c>
      <c r="F583">
        <v>0.1</v>
      </c>
      <c r="G583">
        <v>539.88</v>
      </c>
      <c r="H583" t="s">
        <v>18</v>
      </c>
      <c r="I583" t="s">
        <v>304</v>
      </c>
    </row>
    <row r="584" spans="1:9" x14ac:dyDescent="0.35">
      <c r="A584">
        <v>223</v>
      </c>
      <c r="B584">
        <v>4</v>
      </c>
      <c r="C584">
        <v>20</v>
      </c>
      <c r="D584">
        <v>1</v>
      </c>
      <c r="E584">
        <v>599.99</v>
      </c>
      <c r="F584">
        <v>0.1</v>
      </c>
      <c r="G584">
        <v>599.94000000000005</v>
      </c>
      <c r="H584" t="s">
        <v>25</v>
      </c>
      <c r="I584" t="s">
        <v>299</v>
      </c>
    </row>
    <row r="585" spans="1:9" x14ac:dyDescent="0.35">
      <c r="A585">
        <v>223</v>
      </c>
      <c r="B585">
        <v>5</v>
      </c>
      <c r="C585">
        <v>15</v>
      </c>
      <c r="D585">
        <v>1</v>
      </c>
      <c r="E585">
        <v>529.99</v>
      </c>
      <c r="F585">
        <v>0.1</v>
      </c>
      <c r="G585">
        <v>529.94000000000005</v>
      </c>
      <c r="H585" t="s">
        <v>20</v>
      </c>
      <c r="I585" t="s">
        <v>301</v>
      </c>
    </row>
    <row r="586" spans="1:9" x14ac:dyDescent="0.35">
      <c r="A586">
        <v>224</v>
      </c>
      <c r="B586">
        <v>1</v>
      </c>
      <c r="C586">
        <v>6</v>
      </c>
      <c r="D586">
        <v>1</v>
      </c>
      <c r="E586">
        <v>469.99</v>
      </c>
      <c r="F586">
        <v>0.1</v>
      </c>
      <c r="G586">
        <v>469.92</v>
      </c>
      <c r="H586" t="s">
        <v>11</v>
      </c>
      <c r="I586" t="s">
        <v>301</v>
      </c>
    </row>
    <row r="587" spans="1:9" x14ac:dyDescent="0.35">
      <c r="A587">
        <v>224</v>
      </c>
      <c r="B587">
        <v>2</v>
      </c>
      <c r="C587">
        <v>11</v>
      </c>
      <c r="D587">
        <v>2</v>
      </c>
      <c r="E587">
        <v>1680.99</v>
      </c>
      <c r="F587">
        <v>0.1</v>
      </c>
      <c r="G587">
        <v>3361.88</v>
      </c>
      <c r="H587" t="s">
        <v>16</v>
      </c>
      <c r="I587" t="s">
        <v>301</v>
      </c>
    </row>
    <row r="588" spans="1:9" x14ac:dyDescent="0.35">
      <c r="A588">
        <v>224</v>
      </c>
      <c r="B588">
        <v>3</v>
      </c>
      <c r="C588">
        <v>10</v>
      </c>
      <c r="D588">
        <v>2</v>
      </c>
      <c r="E588">
        <v>1549</v>
      </c>
      <c r="F588">
        <v>0.2</v>
      </c>
      <c r="G588">
        <v>3097.8</v>
      </c>
      <c r="H588" t="s">
        <v>15</v>
      </c>
      <c r="I588" t="s">
        <v>301</v>
      </c>
    </row>
    <row r="589" spans="1:9" x14ac:dyDescent="0.35">
      <c r="A589">
        <v>224</v>
      </c>
      <c r="B589">
        <v>4</v>
      </c>
      <c r="C589">
        <v>25</v>
      </c>
      <c r="D589">
        <v>1</v>
      </c>
      <c r="E589">
        <v>499.99</v>
      </c>
      <c r="F589">
        <v>0.1</v>
      </c>
      <c r="G589">
        <v>499.94</v>
      </c>
      <c r="H589" t="s">
        <v>27</v>
      </c>
      <c r="I589" t="s">
        <v>301</v>
      </c>
    </row>
    <row r="590" spans="1:9" x14ac:dyDescent="0.35">
      <c r="A590">
        <v>225</v>
      </c>
      <c r="B590">
        <v>1</v>
      </c>
      <c r="C590">
        <v>21</v>
      </c>
      <c r="D590">
        <v>1</v>
      </c>
      <c r="E590">
        <v>269.99</v>
      </c>
      <c r="F590">
        <v>0.1</v>
      </c>
      <c r="G590">
        <v>269.89</v>
      </c>
      <c r="H590" t="s">
        <v>18</v>
      </c>
      <c r="I590" t="s">
        <v>304</v>
      </c>
    </row>
    <row r="591" spans="1:9" x14ac:dyDescent="0.35">
      <c r="A591">
        <v>225</v>
      </c>
      <c r="B591">
        <v>2</v>
      </c>
      <c r="C591">
        <v>9</v>
      </c>
      <c r="D591">
        <v>1</v>
      </c>
      <c r="E591">
        <v>2999.99</v>
      </c>
      <c r="F591">
        <v>0.1</v>
      </c>
      <c r="G591">
        <v>2999.89</v>
      </c>
      <c r="H591" t="s">
        <v>14</v>
      </c>
      <c r="I591" t="s">
        <v>300</v>
      </c>
    </row>
    <row r="592" spans="1:9" x14ac:dyDescent="0.35">
      <c r="A592">
        <v>227</v>
      </c>
      <c r="B592">
        <v>1</v>
      </c>
      <c r="C592">
        <v>3</v>
      </c>
      <c r="D592">
        <v>2</v>
      </c>
      <c r="E592">
        <v>999.99</v>
      </c>
      <c r="F592">
        <v>0.1</v>
      </c>
      <c r="G592">
        <v>1999.93</v>
      </c>
      <c r="H592" t="s">
        <v>8</v>
      </c>
      <c r="I592" t="s">
        <v>301</v>
      </c>
    </row>
    <row r="593" spans="1:9" x14ac:dyDescent="0.35">
      <c r="A593">
        <v>227</v>
      </c>
      <c r="B593">
        <v>2</v>
      </c>
      <c r="C593">
        <v>15</v>
      </c>
      <c r="D593">
        <v>2</v>
      </c>
      <c r="E593">
        <v>529.99</v>
      </c>
      <c r="F593">
        <v>0.1</v>
      </c>
      <c r="G593">
        <v>1059.8800000000001</v>
      </c>
      <c r="H593" t="s">
        <v>20</v>
      </c>
      <c r="I593" t="s">
        <v>304</v>
      </c>
    </row>
    <row r="594" spans="1:9" x14ac:dyDescent="0.35">
      <c r="A594">
        <v>228</v>
      </c>
      <c r="B594">
        <v>1</v>
      </c>
      <c r="C594">
        <v>25</v>
      </c>
      <c r="D594">
        <v>1</v>
      </c>
      <c r="E594">
        <v>499.99</v>
      </c>
      <c r="F594">
        <v>0.2</v>
      </c>
      <c r="G594">
        <v>499.79</v>
      </c>
      <c r="H594" t="s">
        <v>27</v>
      </c>
      <c r="I594" t="s">
        <v>304</v>
      </c>
    </row>
    <row r="595" spans="1:9" x14ac:dyDescent="0.35">
      <c r="A595">
        <v>228</v>
      </c>
      <c r="B595">
        <v>2</v>
      </c>
      <c r="C595">
        <v>2</v>
      </c>
      <c r="D595">
        <v>2</v>
      </c>
      <c r="E595">
        <v>749.99</v>
      </c>
      <c r="F595">
        <v>0.1</v>
      </c>
      <c r="G595">
        <v>1499.91</v>
      </c>
      <c r="H595" t="s">
        <v>7</v>
      </c>
      <c r="I595" t="s">
        <v>299</v>
      </c>
    </row>
    <row r="596" spans="1:9" x14ac:dyDescent="0.35">
      <c r="A596">
        <v>228</v>
      </c>
      <c r="B596">
        <v>3</v>
      </c>
      <c r="C596">
        <v>23</v>
      </c>
      <c r="D596">
        <v>2</v>
      </c>
      <c r="E596">
        <v>299.99</v>
      </c>
      <c r="F596">
        <v>0.1</v>
      </c>
      <c r="G596">
        <v>599.88</v>
      </c>
      <c r="H596" t="s">
        <v>26</v>
      </c>
      <c r="I596" t="s">
        <v>303</v>
      </c>
    </row>
    <row r="597" spans="1:9" x14ac:dyDescent="0.35">
      <c r="A597">
        <v>228</v>
      </c>
      <c r="B597">
        <v>4</v>
      </c>
      <c r="C597">
        <v>4</v>
      </c>
      <c r="D597">
        <v>1</v>
      </c>
      <c r="E597">
        <v>2899.99</v>
      </c>
      <c r="F597">
        <v>0.2</v>
      </c>
      <c r="G597">
        <v>2899.79</v>
      </c>
      <c r="H597" t="s">
        <v>9</v>
      </c>
      <c r="I597" t="s">
        <v>300</v>
      </c>
    </row>
    <row r="598" spans="1:9" x14ac:dyDescent="0.35">
      <c r="A598">
        <v>228</v>
      </c>
      <c r="B598">
        <v>5</v>
      </c>
      <c r="C598">
        <v>22</v>
      </c>
      <c r="D598">
        <v>1</v>
      </c>
      <c r="E598">
        <v>269.99</v>
      </c>
      <c r="F598">
        <v>0.1</v>
      </c>
      <c r="G598">
        <v>269.94</v>
      </c>
      <c r="H598" t="s">
        <v>19</v>
      </c>
      <c r="I598" t="s">
        <v>301</v>
      </c>
    </row>
    <row r="599" spans="1:9" x14ac:dyDescent="0.35">
      <c r="A599">
        <v>229</v>
      </c>
      <c r="B599">
        <v>1</v>
      </c>
      <c r="C599">
        <v>25</v>
      </c>
      <c r="D599">
        <v>2</v>
      </c>
      <c r="E599">
        <v>499.99</v>
      </c>
      <c r="F599">
        <v>0.2</v>
      </c>
      <c r="G599">
        <v>999.78</v>
      </c>
      <c r="H599" t="s">
        <v>27</v>
      </c>
      <c r="I599" t="s">
        <v>300</v>
      </c>
    </row>
    <row r="600" spans="1:9" x14ac:dyDescent="0.35">
      <c r="A600">
        <v>229</v>
      </c>
      <c r="B600">
        <v>2</v>
      </c>
      <c r="C600">
        <v>5</v>
      </c>
      <c r="D600">
        <v>2</v>
      </c>
      <c r="E600">
        <v>1320.99</v>
      </c>
      <c r="F600">
        <v>0.1</v>
      </c>
      <c r="G600">
        <v>2641.88</v>
      </c>
      <c r="H600" t="s">
        <v>10</v>
      </c>
      <c r="I600" t="s">
        <v>301</v>
      </c>
    </row>
    <row r="601" spans="1:9" x14ac:dyDescent="0.35">
      <c r="A601">
        <v>229</v>
      </c>
      <c r="B601">
        <v>3</v>
      </c>
      <c r="C601">
        <v>8</v>
      </c>
      <c r="D601">
        <v>1</v>
      </c>
      <c r="E601">
        <v>1799.99</v>
      </c>
      <c r="F601">
        <v>0.2</v>
      </c>
      <c r="G601">
        <v>1799.79</v>
      </c>
      <c r="H601" t="s">
        <v>13</v>
      </c>
      <c r="I601" t="s">
        <v>301</v>
      </c>
    </row>
    <row r="602" spans="1:9" x14ac:dyDescent="0.35">
      <c r="A602">
        <v>231</v>
      </c>
      <c r="B602">
        <v>1</v>
      </c>
      <c r="C602">
        <v>8</v>
      </c>
      <c r="D602">
        <v>2</v>
      </c>
      <c r="E602">
        <v>1799.99</v>
      </c>
      <c r="F602">
        <v>0.1</v>
      </c>
      <c r="G602">
        <v>3599.91</v>
      </c>
      <c r="H602" t="s">
        <v>13</v>
      </c>
      <c r="I602" t="s">
        <v>303</v>
      </c>
    </row>
    <row r="603" spans="1:9" x14ac:dyDescent="0.35">
      <c r="A603">
        <v>231</v>
      </c>
      <c r="B603">
        <v>2</v>
      </c>
      <c r="C603">
        <v>14</v>
      </c>
      <c r="D603">
        <v>2</v>
      </c>
      <c r="E603">
        <v>269.99</v>
      </c>
      <c r="F603">
        <v>0.2</v>
      </c>
      <c r="G603">
        <v>539.78</v>
      </c>
      <c r="H603" t="s">
        <v>19</v>
      </c>
      <c r="I603" t="s">
        <v>299</v>
      </c>
    </row>
    <row r="604" spans="1:9" x14ac:dyDescent="0.35">
      <c r="A604">
        <v>231</v>
      </c>
      <c r="B604">
        <v>3</v>
      </c>
      <c r="C604">
        <v>5</v>
      </c>
      <c r="D604">
        <v>2</v>
      </c>
      <c r="E604">
        <v>1320.99</v>
      </c>
      <c r="F604">
        <v>0.2</v>
      </c>
      <c r="G604">
        <v>2641.78</v>
      </c>
      <c r="H604" t="s">
        <v>10</v>
      </c>
      <c r="I604" t="s">
        <v>301</v>
      </c>
    </row>
    <row r="605" spans="1:9" x14ac:dyDescent="0.35">
      <c r="A605">
        <v>232</v>
      </c>
      <c r="B605">
        <v>1</v>
      </c>
      <c r="C605">
        <v>18</v>
      </c>
      <c r="D605">
        <v>1</v>
      </c>
      <c r="E605">
        <v>449</v>
      </c>
      <c r="F605">
        <v>0.1</v>
      </c>
      <c r="G605">
        <v>448.93</v>
      </c>
      <c r="H605" t="s">
        <v>23</v>
      </c>
      <c r="I605" t="s">
        <v>300</v>
      </c>
    </row>
    <row r="606" spans="1:9" x14ac:dyDescent="0.35">
      <c r="A606">
        <v>232</v>
      </c>
      <c r="B606">
        <v>2</v>
      </c>
      <c r="C606">
        <v>11</v>
      </c>
      <c r="D606">
        <v>2</v>
      </c>
      <c r="E606">
        <v>1680.99</v>
      </c>
      <c r="F606">
        <v>0.1</v>
      </c>
      <c r="G606">
        <v>3361.93</v>
      </c>
      <c r="H606" t="s">
        <v>16</v>
      </c>
      <c r="I606" t="s">
        <v>300</v>
      </c>
    </row>
    <row r="607" spans="1:9" x14ac:dyDescent="0.35">
      <c r="A607">
        <v>232</v>
      </c>
      <c r="B607">
        <v>3</v>
      </c>
      <c r="C607">
        <v>26</v>
      </c>
      <c r="D607">
        <v>2</v>
      </c>
      <c r="E607">
        <v>599.99</v>
      </c>
      <c r="F607">
        <v>0.1</v>
      </c>
      <c r="G607">
        <v>1199.9100000000001</v>
      </c>
      <c r="H607" t="s">
        <v>21</v>
      </c>
      <c r="I607" t="s">
        <v>299</v>
      </c>
    </row>
    <row r="608" spans="1:9" x14ac:dyDescent="0.35">
      <c r="A608">
        <v>232</v>
      </c>
      <c r="B608">
        <v>4</v>
      </c>
      <c r="C608">
        <v>8</v>
      </c>
      <c r="D608">
        <v>2</v>
      </c>
      <c r="E608">
        <v>1799.99</v>
      </c>
      <c r="F608">
        <v>0.1</v>
      </c>
      <c r="G608">
        <v>3599.88</v>
      </c>
      <c r="H608" t="s">
        <v>13</v>
      </c>
      <c r="I608" t="s">
        <v>304</v>
      </c>
    </row>
    <row r="609" spans="1:9" x14ac:dyDescent="0.35">
      <c r="A609">
        <v>233</v>
      </c>
      <c r="B609">
        <v>1</v>
      </c>
      <c r="C609">
        <v>14</v>
      </c>
      <c r="D609">
        <v>1</v>
      </c>
      <c r="E609">
        <v>269.99</v>
      </c>
      <c r="F609">
        <v>0.1</v>
      </c>
      <c r="G609">
        <v>269.89</v>
      </c>
      <c r="H609" t="s">
        <v>19</v>
      </c>
      <c r="I609" t="s">
        <v>301</v>
      </c>
    </row>
    <row r="610" spans="1:9" x14ac:dyDescent="0.35">
      <c r="A610">
        <v>233</v>
      </c>
      <c r="B610">
        <v>2</v>
      </c>
      <c r="C610">
        <v>16</v>
      </c>
      <c r="D610">
        <v>2</v>
      </c>
      <c r="E610">
        <v>599.99</v>
      </c>
      <c r="F610">
        <v>0.1</v>
      </c>
      <c r="G610">
        <v>1199.8800000000001</v>
      </c>
      <c r="H610" t="s">
        <v>21</v>
      </c>
      <c r="I610" t="s">
        <v>300</v>
      </c>
    </row>
    <row r="611" spans="1:9" x14ac:dyDescent="0.35">
      <c r="A611">
        <v>233</v>
      </c>
      <c r="B611">
        <v>3</v>
      </c>
      <c r="C611">
        <v>12</v>
      </c>
      <c r="D611">
        <v>1</v>
      </c>
      <c r="E611">
        <v>549.99</v>
      </c>
      <c r="F611">
        <v>0.2</v>
      </c>
      <c r="G611">
        <v>549.79</v>
      </c>
      <c r="H611" t="s">
        <v>17</v>
      </c>
      <c r="I611" t="s">
        <v>304</v>
      </c>
    </row>
    <row r="612" spans="1:9" x14ac:dyDescent="0.35">
      <c r="A612">
        <v>233</v>
      </c>
      <c r="B612">
        <v>4</v>
      </c>
      <c r="C612">
        <v>15</v>
      </c>
      <c r="D612">
        <v>2</v>
      </c>
      <c r="E612">
        <v>529.99</v>
      </c>
      <c r="F612">
        <v>0.1</v>
      </c>
      <c r="G612">
        <v>1059.9100000000001</v>
      </c>
      <c r="H612" t="s">
        <v>20</v>
      </c>
      <c r="I612" t="s">
        <v>303</v>
      </c>
    </row>
    <row r="613" spans="1:9" x14ac:dyDescent="0.35">
      <c r="A613">
        <v>234</v>
      </c>
      <c r="B613">
        <v>1</v>
      </c>
      <c r="C613">
        <v>11</v>
      </c>
      <c r="D613">
        <v>2</v>
      </c>
      <c r="E613">
        <v>1680.99</v>
      </c>
      <c r="F613">
        <v>0.2</v>
      </c>
      <c r="G613">
        <v>3361.78</v>
      </c>
      <c r="H613" t="s">
        <v>16</v>
      </c>
      <c r="I613" t="s">
        <v>301</v>
      </c>
    </row>
    <row r="614" spans="1:9" x14ac:dyDescent="0.35">
      <c r="A614">
        <v>234</v>
      </c>
      <c r="B614">
        <v>2</v>
      </c>
      <c r="C614">
        <v>17</v>
      </c>
      <c r="D614">
        <v>2</v>
      </c>
      <c r="E614">
        <v>429</v>
      </c>
      <c r="F614">
        <v>0.1</v>
      </c>
      <c r="G614">
        <v>857.95</v>
      </c>
      <c r="H614" t="s">
        <v>22</v>
      </c>
      <c r="I614" t="s">
        <v>299</v>
      </c>
    </row>
    <row r="615" spans="1:9" x14ac:dyDescent="0.35">
      <c r="A615">
        <v>234</v>
      </c>
      <c r="B615">
        <v>3</v>
      </c>
      <c r="C615">
        <v>12</v>
      </c>
      <c r="D615">
        <v>1</v>
      </c>
      <c r="E615">
        <v>549.99</v>
      </c>
      <c r="F615">
        <v>0.1</v>
      </c>
      <c r="G615">
        <v>549.89</v>
      </c>
      <c r="H615" t="s">
        <v>17</v>
      </c>
      <c r="I615" t="s">
        <v>305</v>
      </c>
    </row>
    <row r="616" spans="1:9" x14ac:dyDescent="0.35">
      <c r="A616">
        <v>234</v>
      </c>
      <c r="B616">
        <v>4</v>
      </c>
      <c r="C616">
        <v>7</v>
      </c>
      <c r="D616">
        <v>1</v>
      </c>
      <c r="E616">
        <v>3999.99</v>
      </c>
      <c r="F616">
        <v>0.1</v>
      </c>
      <c r="G616">
        <v>3999.94</v>
      </c>
      <c r="H616" t="s">
        <v>12</v>
      </c>
      <c r="I616" t="s">
        <v>305</v>
      </c>
    </row>
    <row r="617" spans="1:9" x14ac:dyDescent="0.35">
      <c r="A617">
        <v>234</v>
      </c>
      <c r="B617">
        <v>5</v>
      </c>
      <c r="C617">
        <v>23</v>
      </c>
      <c r="D617">
        <v>1</v>
      </c>
      <c r="E617">
        <v>299.99</v>
      </c>
      <c r="F617">
        <v>0.1</v>
      </c>
      <c r="G617">
        <v>299.89</v>
      </c>
      <c r="H617" t="s">
        <v>26</v>
      </c>
      <c r="I617" t="s">
        <v>304</v>
      </c>
    </row>
    <row r="618" spans="1:9" x14ac:dyDescent="0.35">
      <c r="A618">
        <v>235</v>
      </c>
      <c r="B618">
        <v>1</v>
      </c>
      <c r="C618">
        <v>6</v>
      </c>
      <c r="D618">
        <v>1</v>
      </c>
      <c r="E618">
        <v>469.99</v>
      </c>
      <c r="F618">
        <v>0.1</v>
      </c>
      <c r="G618">
        <v>469.92</v>
      </c>
      <c r="H618" t="s">
        <v>11</v>
      </c>
      <c r="I618" t="s">
        <v>304</v>
      </c>
    </row>
    <row r="619" spans="1:9" x14ac:dyDescent="0.35">
      <c r="A619">
        <v>235</v>
      </c>
      <c r="B619">
        <v>2</v>
      </c>
      <c r="C619">
        <v>13</v>
      </c>
      <c r="D619">
        <v>2</v>
      </c>
      <c r="E619">
        <v>269.99</v>
      </c>
      <c r="F619">
        <v>0.1</v>
      </c>
      <c r="G619">
        <v>539.92999999999995</v>
      </c>
      <c r="H619" t="s">
        <v>18</v>
      </c>
      <c r="I619" t="s">
        <v>302</v>
      </c>
    </row>
    <row r="620" spans="1:9" x14ac:dyDescent="0.35">
      <c r="A620">
        <v>235</v>
      </c>
      <c r="B620">
        <v>3</v>
      </c>
      <c r="C620">
        <v>7</v>
      </c>
      <c r="D620">
        <v>2</v>
      </c>
      <c r="E620">
        <v>3999.99</v>
      </c>
      <c r="F620">
        <v>0.1</v>
      </c>
      <c r="G620">
        <v>7999.93</v>
      </c>
      <c r="H620" t="s">
        <v>12</v>
      </c>
      <c r="I620" t="s">
        <v>305</v>
      </c>
    </row>
    <row r="621" spans="1:9" x14ac:dyDescent="0.35">
      <c r="A621">
        <v>236</v>
      </c>
      <c r="B621">
        <v>1</v>
      </c>
      <c r="C621">
        <v>3</v>
      </c>
      <c r="D621">
        <v>2</v>
      </c>
      <c r="E621">
        <v>999.99</v>
      </c>
      <c r="F621">
        <v>0.1</v>
      </c>
      <c r="G621">
        <v>1999.91</v>
      </c>
      <c r="H621" t="s">
        <v>8</v>
      </c>
      <c r="I621" t="s">
        <v>304</v>
      </c>
    </row>
    <row r="622" spans="1:9" x14ac:dyDescent="0.35">
      <c r="A622">
        <v>236</v>
      </c>
      <c r="B622">
        <v>2</v>
      </c>
      <c r="C622">
        <v>2</v>
      </c>
      <c r="D622">
        <v>2</v>
      </c>
      <c r="E622">
        <v>749.99</v>
      </c>
      <c r="F622">
        <v>0.1</v>
      </c>
      <c r="G622">
        <v>1499.88</v>
      </c>
      <c r="H622" t="s">
        <v>7</v>
      </c>
      <c r="I622" t="s">
        <v>305</v>
      </c>
    </row>
    <row r="623" spans="1:9" x14ac:dyDescent="0.35">
      <c r="A623">
        <v>236</v>
      </c>
      <c r="B623">
        <v>3</v>
      </c>
      <c r="C623">
        <v>4</v>
      </c>
      <c r="D623">
        <v>2</v>
      </c>
      <c r="E623">
        <v>2899.99</v>
      </c>
      <c r="F623">
        <v>0.1</v>
      </c>
      <c r="G623">
        <v>5799.88</v>
      </c>
      <c r="H623" t="s">
        <v>9</v>
      </c>
      <c r="I623" t="s">
        <v>305</v>
      </c>
    </row>
    <row r="624" spans="1:9" x14ac:dyDescent="0.35">
      <c r="A624">
        <v>237</v>
      </c>
      <c r="B624">
        <v>1</v>
      </c>
      <c r="C624">
        <v>15</v>
      </c>
      <c r="D624">
        <v>1</v>
      </c>
      <c r="E624">
        <v>529.99</v>
      </c>
      <c r="F624">
        <v>0.2</v>
      </c>
      <c r="G624">
        <v>529.79</v>
      </c>
      <c r="H624" t="s">
        <v>20</v>
      </c>
      <c r="I624" t="s">
        <v>299</v>
      </c>
    </row>
    <row r="625" spans="1:9" x14ac:dyDescent="0.35">
      <c r="A625">
        <v>237</v>
      </c>
      <c r="B625">
        <v>2</v>
      </c>
      <c r="C625">
        <v>24</v>
      </c>
      <c r="D625">
        <v>1</v>
      </c>
      <c r="E625">
        <v>549.99</v>
      </c>
      <c r="F625">
        <v>0.1</v>
      </c>
      <c r="G625">
        <v>549.91999999999996</v>
      </c>
      <c r="H625" t="s">
        <v>17</v>
      </c>
      <c r="I625" t="s">
        <v>301</v>
      </c>
    </row>
    <row r="626" spans="1:9" x14ac:dyDescent="0.35">
      <c r="A626">
        <v>237</v>
      </c>
      <c r="B626">
        <v>3</v>
      </c>
      <c r="C626">
        <v>20</v>
      </c>
      <c r="D626">
        <v>2</v>
      </c>
      <c r="E626">
        <v>599.99</v>
      </c>
      <c r="F626">
        <v>0.2</v>
      </c>
      <c r="G626">
        <v>1199.78</v>
      </c>
      <c r="H626" t="s">
        <v>25</v>
      </c>
      <c r="I626" t="s">
        <v>305</v>
      </c>
    </row>
    <row r="627" spans="1:9" x14ac:dyDescent="0.35">
      <c r="A627">
        <v>237</v>
      </c>
      <c r="B627">
        <v>4</v>
      </c>
      <c r="C627">
        <v>26</v>
      </c>
      <c r="D627">
        <v>1</v>
      </c>
      <c r="E627">
        <v>599.99</v>
      </c>
      <c r="F627">
        <v>0.1</v>
      </c>
      <c r="G627">
        <v>599.94000000000005</v>
      </c>
      <c r="H627" t="s">
        <v>21</v>
      </c>
      <c r="I627" t="s">
        <v>301</v>
      </c>
    </row>
    <row r="628" spans="1:9" x14ac:dyDescent="0.35">
      <c r="A628">
        <v>238</v>
      </c>
      <c r="B628">
        <v>1</v>
      </c>
      <c r="C628">
        <v>20</v>
      </c>
      <c r="D628">
        <v>2</v>
      </c>
      <c r="E628">
        <v>599.99</v>
      </c>
      <c r="F628">
        <v>0.2</v>
      </c>
      <c r="G628">
        <v>1199.78</v>
      </c>
      <c r="H628" t="s">
        <v>25</v>
      </c>
      <c r="I628" t="s">
        <v>300</v>
      </c>
    </row>
    <row r="629" spans="1:9" x14ac:dyDescent="0.35">
      <c r="A629">
        <v>238</v>
      </c>
      <c r="B629">
        <v>2</v>
      </c>
      <c r="C629">
        <v>25</v>
      </c>
      <c r="D629">
        <v>1</v>
      </c>
      <c r="E629">
        <v>499.99</v>
      </c>
      <c r="F629">
        <v>0.1</v>
      </c>
      <c r="G629">
        <v>499.92</v>
      </c>
      <c r="H629" t="s">
        <v>27</v>
      </c>
      <c r="I629" t="s">
        <v>304</v>
      </c>
    </row>
    <row r="630" spans="1:9" x14ac:dyDescent="0.35">
      <c r="A630">
        <v>238</v>
      </c>
      <c r="B630">
        <v>3</v>
      </c>
      <c r="C630">
        <v>13</v>
      </c>
      <c r="D630">
        <v>2</v>
      </c>
      <c r="E630">
        <v>269.99</v>
      </c>
      <c r="F630">
        <v>0.2</v>
      </c>
      <c r="G630">
        <v>539.78</v>
      </c>
      <c r="H630" t="s">
        <v>18</v>
      </c>
      <c r="I630" t="s">
        <v>305</v>
      </c>
    </row>
    <row r="631" spans="1:9" x14ac:dyDescent="0.35">
      <c r="A631">
        <v>238</v>
      </c>
      <c r="B631">
        <v>4</v>
      </c>
      <c r="C631">
        <v>22</v>
      </c>
      <c r="D631">
        <v>2</v>
      </c>
      <c r="E631">
        <v>269.99</v>
      </c>
      <c r="F631">
        <v>0.1</v>
      </c>
      <c r="G631">
        <v>539.92999999999995</v>
      </c>
      <c r="H631" t="s">
        <v>19</v>
      </c>
      <c r="I631" t="s">
        <v>301</v>
      </c>
    </row>
    <row r="632" spans="1:9" x14ac:dyDescent="0.35">
      <c r="A632">
        <v>238</v>
      </c>
      <c r="B632">
        <v>5</v>
      </c>
      <c r="C632">
        <v>7</v>
      </c>
      <c r="D632">
        <v>1</v>
      </c>
      <c r="E632">
        <v>3999.99</v>
      </c>
      <c r="F632">
        <v>0.1</v>
      </c>
      <c r="G632">
        <v>3999.92</v>
      </c>
      <c r="H632" t="s">
        <v>12</v>
      </c>
      <c r="I632" t="s">
        <v>300</v>
      </c>
    </row>
    <row r="633" spans="1:9" x14ac:dyDescent="0.35">
      <c r="A633">
        <v>239</v>
      </c>
      <c r="B633">
        <v>1</v>
      </c>
      <c r="C633">
        <v>16</v>
      </c>
      <c r="D633">
        <v>2</v>
      </c>
      <c r="E633">
        <v>599.99</v>
      </c>
      <c r="F633">
        <v>0.1</v>
      </c>
      <c r="G633">
        <v>1199.8800000000001</v>
      </c>
      <c r="H633" t="s">
        <v>21</v>
      </c>
      <c r="I633" t="s">
        <v>301</v>
      </c>
    </row>
    <row r="634" spans="1:9" x14ac:dyDescent="0.35">
      <c r="A634">
        <v>239</v>
      </c>
      <c r="B634">
        <v>2</v>
      </c>
      <c r="C634">
        <v>21</v>
      </c>
      <c r="D634">
        <v>2</v>
      </c>
      <c r="E634">
        <v>269.99</v>
      </c>
      <c r="F634">
        <v>0.1</v>
      </c>
      <c r="G634">
        <v>539.92999999999995</v>
      </c>
      <c r="H634" t="s">
        <v>18</v>
      </c>
      <c r="I634" t="s">
        <v>301</v>
      </c>
    </row>
    <row r="635" spans="1:9" x14ac:dyDescent="0.35">
      <c r="A635">
        <v>239</v>
      </c>
      <c r="B635">
        <v>3</v>
      </c>
      <c r="C635">
        <v>18</v>
      </c>
      <c r="D635">
        <v>1</v>
      </c>
      <c r="E635">
        <v>449</v>
      </c>
      <c r="F635">
        <v>0.1</v>
      </c>
      <c r="G635">
        <v>448.93</v>
      </c>
      <c r="H635" t="s">
        <v>23</v>
      </c>
      <c r="I635" t="s">
        <v>301</v>
      </c>
    </row>
    <row r="636" spans="1:9" x14ac:dyDescent="0.35">
      <c r="A636">
        <v>239</v>
      </c>
      <c r="B636">
        <v>4</v>
      </c>
      <c r="C636">
        <v>4</v>
      </c>
      <c r="D636">
        <v>2</v>
      </c>
      <c r="E636">
        <v>2899.99</v>
      </c>
      <c r="F636">
        <v>0.1</v>
      </c>
      <c r="G636">
        <v>5799.91</v>
      </c>
      <c r="H636" t="s">
        <v>9</v>
      </c>
      <c r="I636" t="s">
        <v>305</v>
      </c>
    </row>
    <row r="637" spans="1:9" x14ac:dyDescent="0.35">
      <c r="A637">
        <v>240</v>
      </c>
      <c r="B637">
        <v>1</v>
      </c>
      <c r="C637">
        <v>9</v>
      </c>
      <c r="D637">
        <v>1</v>
      </c>
      <c r="E637">
        <v>2999.99</v>
      </c>
      <c r="F637">
        <v>0.1</v>
      </c>
      <c r="G637">
        <v>2999.92</v>
      </c>
      <c r="H637" t="s">
        <v>14</v>
      </c>
      <c r="I637" t="s">
        <v>301</v>
      </c>
    </row>
    <row r="638" spans="1:9" x14ac:dyDescent="0.35">
      <c r="A638">
        <v>240</v>
      </c>
      <c r="B638">
        <v>2</v>
      </c>
      <c r="C638">
        <v>8</v>
      </c>
      <c r="D638">
        <v>1</v>
      </c>
      <c r="E638">
        <v>1799.99</v>
      </c>
      <c r="F638">
        <v>0.1</v>
      </c>
      <c r="G638">
        <v>1799.92</v>
      </c>
      <c r="H638" t="s">
        <v>13</v>
      </c>
      <c r="I638" t="s">
        <v>301</v>
      </c>
    </row>
    <row r="639" spans="1:9" x14ac:dyDescent="0.35">
      <c r="A639">
        <v>240</v>
      </c>
      <c r="B639">
        <v>3</v>
      </c>
      <c r="C639">
        <v>5</v>
      </c>
      <c r="D639">
        <v>1</v>
      </c>
      <c r="E639">
        <v>1320.99</v>
      </c>
      <c r="F639">
        <v>0.1</v>
      </c>
      <c r="G639">
        <v>1320.92</v>
      </c>
      <c r="H639" t="s">
        <v>10</v>
      </c>
      <c r="I639" t="s">
        <v>301</v>
      </c>
    </row>
    <row r="640" spans="1:9" x14ac:dyDescent="0.35">
      <c r="A640">
        <v>240</v>
      </c>
      <c r="B640">
        <v>4</v>
      </c>
      <c r="C640">
        <v>18</v>
      </c>
      <c r="D640">
        <v>2</v>
      </c>
      <c r="E640">
        <v>449</v>
      </c>
      <c r="F640">
        <v>0.1</v>
      </c>
      <c r="G640">
        <v>897.93</v>
      </c>
      <c r="H640" t="s">
        <v>23</v>
      </c>
      <c r="I640" t="s">
        <v>304</v>
      </c>
    </row>
    <row r="641" spans="1:9" x14ac:dyDescent="0.35">
      <c r="A641">
        <v>243</v>
      </c>
      <c r="B641">
        <v>1</v>
      </c>
      <c r="C641">
        <v>25</v>
      </c>
      <c r="D641">
        <v>2</v>
      </c>
      <c r="E641">
        <v>499.99</v>
      </c>
      <c r="F641">
        <v>0.1</v>
      </c>
      <c r="G641">
        <v>999.93</v>
      </c>
      <c r="H641" t="s">
        <v>27</v>
      </c>
      <c r="I641" t="s">
        <v>305</v>
      </c>
    </row>
    <row r="642" spans="1:9" x14ac:dyDescent="0.35">
      <c r="A642">
        <v>243</v>
      </c>
      <c r="B642">
        <v>2</v>
      </c>
      <c r="C642">
        <v>19</v>
      </c>
      <c r="D642">
        <v>2</v>
      </c>
      <c r="E642">
        <v>449</v>
      </c>
      <c r="F642">
        <v>0.1</v>
      </c>
      <c r="G642">
        <v>897.93</v>
      </c>
      <c r="H642" t="s">
        <v>24</v>
      </c>
      <c r="I642" t="s">
        <v>301</v>
      </c>
    </row>
    <row r="643" spans="1:9" x14ac:dyDescent="0.35">
      <c r="A643">
        <v>243</v>
      </c>
      <c r="B643">
        <v>3</v>
      </c>
      <c r="C643">
        <v>7</v>
      </c>
      <c r="D643">
        <v>2</v>
      </c>
      <c r="E643">
        <v>3999.99</v>
      </c>
      <c r="F643">
        <v>0.1</v>
      </c>
      <c r="G643">
        <v>7999.93</v>
      </c>
      <c r="H643" t="s">
        <v>12</v>
      </c>
      <c r="I643" t="s">
        <v>305</v>
      </c>
    </row>
    <row r="644" spans="1:9" x14ac:dyDescent="0.35">
      <c r="A644">
        <v>244</v>
      </c>
      <c r="B644">
        <v>1</v>
      </c>
      <c r="C644">
        <v>19</v>
      </c>
      <c r="D644">
        <v>1</v>
      </c>
      <c r="E644">
        <v>449</v>
      </c>
      <c r="F644">
        <v>0.1</v>
      </c>
      <c r="G644">
        <v>448.93</v>
      </c>
      <c r="H644" t="s">
        <v>24</v>
      </c>
      <c r="I644" t="s">
        <v>304</v>
      </c>
    </row>
    <row r="645" spans="1:9" x14ac:dyDescent="0.35">
      <c r="A645">
        <v>244</v>
      </c>
      <c r="B645">
        <v>2</v>
      </c>
      <c r="C645">
        <v>25</v>
      </c>
      <c r="D645">
        <v>1</v>
      </c>
      <c r="E645">
        <v>499.99</v>
      </c>
      <c r="F645">
        <v>0.2</v>
      </c>
      <c r="G645">
        <v>499.79</v>
      </c>
      <c r="H645" t="s">
        <v>27</v>
      </c>
      <c r="I645" t="s">
        <v>304</v>
      </c>
    </row>
    <row r="646" spans="1:9" x14ac:dyDescent="0.35">
      <c r="A646">
        <v>244</v>
      </c>
      <c r="B646">
        <v>3</v>
      </c>
      <c r="C646">
        <v>22</v>
      </c>
      <c r="D646">
        <v>1</v>
      </c>
      <c r="E646">
        <v>269.99</v>
      </c>
      <c r="F646">
        <v>0.1</v>
      </c>
      <c r="G646">
        <v>269.89</v>
      </c>
      <c r="H646" t="s">
        <v>19</v>
      </c>
      <c r="I646" t="s">
        <v>299</v>
      </c>
    </row>
    <row r="647" spans="1:9" x14ac:dyDescent="0.35">
      <c r="A647">
        <v>245</v>
      </c>
      <c r="B647">
        <v>1</v>
      </c>
      <c r="C647">
        <v>10</v>
      </c>
      <c r="D647">
        <v>2</v>
      </c>
      <c r="E647">
        <v>1549</v>
      </c>
      <c r="F647">
        <v>0.1</v>
      </c>
      <c r="G647">
        <v>3097.95</v>
      </c>
      <c r="H647" t="s">
        <v>15</v>
      </c>
      <c r="I647" t="s">
        <v>299</v>
      </c>
    </row>
    <row r="648" spans="1:9" x14ac:dyDescent="0.35">
      <c r="A648">
        <v>245</v>
      </c>
      <c r="B648">
        <v>2</v>
      </c>
      <c r="C648">
        <v>8</v>
      </c>
      <c r="D648">
        <v>1</v>
      </c>
      <c r="E648">
        <v>1799.99</v>
      </c>
      <c r="F648">
        <v>0.1</v>
      </c>
      <c r="G648">
        <v>1799.89</v>
      </c>
      <c r="H648" t="s">
        <v>13</v>
      </c>
      <c r="I648" t="s">
        <v>305</v>
      </c>
    </row>
    <row r="649" spans="1:9" x14ac:dyDescent="0.35">
      <c r="A649">
        <v>247</v>
      </c>
      <c r="B649">
        <v>1</v>
      </c>
      <c r="C649">
        <v>25</v>
      </c>
      <c r="D649">
        <v>1</v>
      </c>
      <c r="E649">
        <v>499.99</v>
      </c>
      <c r="F649">
        <v>0.1</v>
      </c>
      <c r="G649">
        <v>499.92</v>
      </c>
      <c r="H649" t="s">
        <v>27</v>
      </c>
      <c r="I649" t="s">
        <v>305</v>
      </c>
    </row>
    <row r="650" spans="1:9" x14ac:dyDescent="0.35">
      <c r="A650">
        <v>247</v>
      </c>
      <c r="B650">
        <v>2</v>
      </c>
      <c r="C650">
        <v>3</v>
      </c>
      <c r="D650">
        <v>1</v>
      </c>
      <c r="E650">
        <v>999.99</v>
      </c>
      <c r="F650">
        <v>0.2</v>
      </c>
      <c r="G650">
        <v>999.79</v>
      </c>
      <c r="H650" t="s">
        <v>8</v>
      </c>
      <c r="I650" t="s">
        <v>301</v>
      </c>
    </row>
    <row r="651" spans="1:9" x14ac:dyDescent="0.35">
      <c r="A651">
        <v>248</v>
      </c>
      <c r="B651">
        <v>1</v>
      </c>
      <c r="C651">
        <v>13</v>
      </c>
      <c r="D651">
        <v>1</v>
      </c>
      <c r="E651">
        <v>269.99</v>
      </c>
      <c r="F651">
        <v>0.1</v>
      </c>
      <c r="G651">
        <v>269.89</v>
      </c>
      <c r="H651" t="s">
        <v>18</v>
      </c>
      <c r="I651" t="s">
        <v>299</v>
      </c>
    </row>
    <row r="652" spans="1:9" x14ac:dyDescent="0.35">
      <c r="A652">
        <v>248</v>
      </c>
      <c r="B652">
        <v>2</v>
      </c>
      <c r="C652">
        <v>26</v>
      </c>
      <c r="D652">
        <v>2</v>
      </c>
      <c r="E652">
        <v>599.99</v>
      </c>
      <c r="F652">
        <v>0.1</v>
      </c>
      <c r="G652">
        <v>1199.8800000000001</v>
      </c>
      <c r="H652" t="s">
        <v>21</v>
      </c>
      <c r="I652" t="s">
        <v>304</v>
      </c>
    </row>
    <row r="653" spans="1:9" x14ac:dyDescent="0.35">
      <c r="A653">
        <v>248</v>
      </c>
      <c r="B653">
        <v>3</v>
      </c>
      <c r="C653">
        <v>17</v>
      </c>
      <c r="D653">
        <v>1</v>
      </c>
      <c r="E653">
        <v>429</v>
      </c>
      <c r="F653">
        <v>0.1</v>
      </c>
      <c r="G653">
        <v>428.9</v>
      </c>
      <c r="H653" t="s">
        <v>22</v>
      </c>
      <c r="I653" t="s">
        <v>299</v>
      </c>
    </row>
    <row r="654" spans="1:9" x14ac:dyDescent="0.35">
      <c r="A654">
        <v>248</v>
      </c>
      <c r="B654">
        <v>4</v>
      </c>
      <c r="C654">
        <v>9</v>
      </c>
      <c r="D654">
        <v>1</v>
      </c>
      <c r="E654">
        <v>2999.99</v>
      </c>
      <c r="F654">
        <v>0.2</v>
      </c>
      <c r="G654">
        <v>2999.79</v>
      </c>
      <c r="H654" t="s">
        <v>14</v>
      </c>
      <c r="I654" t="s">
        <v>300</v>
      </c>
    </row>
    <row r="655" spans="1:9" x14ac:dyDescent="0.35">
      <c r="A655">
        <v>249</v>
      </c>
      <c r="B655">
        <v>1</v>
      </c>
      <c r="C655">
        <v>7</v>
      </c>
      <c r="D655">
        <v>2</v>
      </c>
      <c r="E655">
        <v>3999.99</v>
      </c>
      <c r="F655">
        <v>0.1</v>
      </c>
      <c r="G655">
        <v>7999.93</v>
      </c>
      <c r="H655" t="s">
        <v>12</v>
      </c>
      <c r="I655" t="s">
        <v>304</v>
      </c>
    </row>
    <row r="656" spans="1:9" x14ac:dyDescent="0.35">
      <c r="A656">
        <v>249</v>
      </c>
      <c r="B656">
        <v>2</v>
      </c>
      <c r="C656">
        <v>18</v>
      </c>
      <c r="D656">
        <v>2</v>
      </c>
      <c r="E656">
        <v>449</v>
      </c>
      <c r="F656">
        <v>0.1</v>
      </c>
      <c r="G656">
        <v>897.95</v>
      </c>
      <c r="H656" t="s">
        <v>23</v>
      </c>
      <c r="I656" t="s">
        <v>299</v>
      </c>
    </row>
    <row r="657" spans="1:9" x14ac:dyDescent="0.35">
      <c r="A657">
        <v>249</v>
      </c>
      <c r="B657">
        <v>3</v>
      </c>
      <c r="C657">
        <v>22</v>
      </c>
      <c r="D657">
        <v>1</v>
      </c>
      <c r="E657">
        <v>269.99</v>
      </c>
      <c r="F657">
        <v>0.1</v>
      </c>
      <c r="G657">
        <v>269.89</v>
      </c>
      <c r="H657" t="s">
        <v>19</v>
      </c>
      <c r="I657" t="s">
        <v>300</v>
      </c>
    </row>
    <row r="658" spans="1:9" x14ac:dyDescent="0.35">
      <c r="A658">
        <v>250</v>
      </c>
      <c r="B658">
        <v>1</v>
      </c>
      <c r="C658">
        <v>17</v>
      </c>
      <c r="D658">
        <v>2</v>
      </c>
      <c r="E658">
        <v>429</v>
      </c>
      <c r="F658">
        <v>0.1</v>
      </c>
      <c r="G658">
        <v>857.95</v>
      </c>
      <c r="H658" t="s">
        <v>22</v>
      </c>
      <c r="I658" t="s">
        <v>304</v>
      </c>
    </row>
    <row r="659" spans="1:9" x14ac:dyDescent="0.35">
      <c r="A659">
        <v>250</v>
      </c>
      <c r="B659">
        <v>2</v>
      </c>
      <c r="C659">
        <v>11</v>
      </c>
      <c r="D659">
        <v>2</v>
      </c>
      <c r="E659">
        <v>1680.99</v>
      </c>
      <c r="F659">
        <v>0.1</v>
      </c>
      <c r="G659">
        <v>3361.88</v>
      </c>
      <c r="H659" t="s">
        <v>16</v>
      </c>
      <c r="I659" t="s">
        <v>302</v>
      </c>
    </row>
    <row r="660" spans="1:9" x14ac:dyDescent="0.35">
      <c r="A660">
        <v>251</v>
      </c>
      <c r="B660">
        <v>1</v>
      </c>
      <c r="C660">
        <v>23</v>
      </c>
      <c r="D660">
        <v>2</v>
      </c>
      <c r="E660">
        <v>299.99</v>
      </c>
      <c r="F660">
        <v>0.2</v>
      </c>
      <c r="G660">
        <v>599.78</v>
      </c>
      <c r="H660" t="s">
        <v>26</v>
      </c>
      <c r="I660" t="s">
        <v>303</v>
      </c>
    </row>
    <row r="661" spans="1:9" x14ac:dyDescent="0.35">
      <c r="A661">
        <v>251</v>
      </c>
      <c r="B661">
        <v>2</v>
      </c>
      <c r="C661">
        <v>22</v>
      </c>
      <c r="D661">
        <v>2</v>
      </c>
      <c r="E661">
        <v>269.99</v>
      </c>
      <c r="F661">
        <v>0.1</v>
      </c>
      <c r="G661">
        <v>539.92999999999995</v>
      </c>
      <c r="H661" t="s">
        <v>19</v>
      </c>
      <c r="I661" t="s">
        <v>304</v>
      </c>
    </row>
    <row r="662" spans="1:9" x14ac:dyDescent="0.35">
      <c r="A662">
        <v>252</v>
      </c>
      <c r="B662">
        <v>1</v>
      </c>
      <c r="C662">
        <v>11</v>
      </c>
      <c r="D662">
        <v>2</v>
      </c>
      <c r="E662">
        <v>1680.99</v>
      </c>
      <c r="F662">
        <v>0.1</v>
      </c>
      <c r="G662">
        <v>3361.88</v>
      </c>
      <c r="H662" t="s">
        <v>16</v>
      </c>
      <c r="I662" t="s">
        <v>300</v>
      </c>
    </row>
    <row r="663" spans="1:9" x14ac:dyDescent="0.35">
      <c r="A663">
        <v>252</v>
      </c>
      <c r="B663">
        <v>2</v>
      </c>
      <c r="C663">
        <v>4</v>
      </c>
      <c r="D663">
        <v>1</v>
      </c>
      <c r="E663">
        <v>2899.99</v>
      </c>
      <c r="F663">
        <v>0.1</v>
      </c>
      <c r="G663">
        <v>2899.92</v>
      </c>
      <c r="H663" t="s">
        <v>9</v>
      </c>
      <c r="I663" t="s">
        <v>304</v>
      </c>
    </row>
    <row r="664" spans="1:9" x14ac:dyDescent="0.35">
      <c r="A664">
        <v>252</v>
      </c>
      <c r="B664">
        <v>3</v>
      </c>
      <c r="C664">
        <v>19</v>
      </c>
      <c r="D664">
        <v>1</v>
      </c>
      <c r="E664">
        <v>449</v>
      </c>
      <c r="F664">
        <v>0.1</v>
      </c>
      <c r="G664">
        <v>448.9</v>
      </c>
      <c r="H664" t="s">
        <v>24</v>
      </c>
      <c r="I664" t="s">
        <v>305</v>
      </c>
    </row>
    <row r="665" spans="1:9" x14ac:dyDescent="0.35">
      <c r="A665">
        <v>254</v>
      </c>
      <c r="B665">
        <v>1</v>
      </c>
      <c r="C665">
        <v>6</v>
      </c>
      <c r="D665">
        <v>2</v>
      </c>
      <c r="E665">
        <v>469.99</v>
      </c>
      <c r="F665">
        <v>0.1</v>
      </c>
      <c r="G665">
        <v>939.91</v>
      </c>
      <c r="H665" t="s">
        <v>11</v>
      </c>
      <c r="I665" t="s">
        <v>304</v>
      </c>
    </row>
    <row r="666" spans="1:9" x14ac:dyDescent="0.35">
      <c r="A666">
        <v>254</v>
      </c>
      <c r="B666">
        <v>2</v>
      </c>
      <c r="C666">
        <v>3</v>
      </c>
      <c r="D666">
        <v>1</v>
      </c>
      <c r="E666">
        <v>999.99</v>
      </c>
      <c r="F666">
        <v>0.1</v>
      </c>
      <c r="G666">
        <v>999.94</v>
      </c>
      <c r="H666" t="s">
        <v>8</v>
      </c>
      <c r="I666" t="s">
        <v>304</v>
      </c>
    </row>
    <row r="667" spans="1:9" x14ac:dyDescent="0.35">
      <c r="A667">
        <v>254</v>
      </c>
      <c r="B667">
        <v>3</v>
      </c>
      <c r="C667">
        <v>12</v>
      </c>
      <c r="D667">
        <v>1</v>
      </c>
      <c r="E667">
        <v>549.99</v>
      </c>
      <c r="F667">
        <v>0.1</v>
      </c>
      <c r="G667">
        <v>549.94000000000005</v>
      </c>
      <c r="H667" t="s">
        <v>17</v>
      </c>
      <c r="I667" t="s">
        <v>299</v>
      </c>
    </row>
    <row r="668" spans="1:9" x14ac:dyDescent="0.35">
      <c r="A668">
        <v>255</v>
      </c>
      <c r="B668">
        <v>1</v>
      </c>
      <c r="C668">
        <v>5</v>
      </c>
      <c r="D668">
        <v>2</v>
      </c>
      <c r="E668">
        <v>1320.99</v>
      </c>
      <c r="F668">
        <v>0.1</v>
      </c>
      <c r="G668">
        <v>2641.88</v>
      </c>
      <c r="H668" t="s">
        <v>10</v>
      </c>
      <c r="I668" t="s">
        <v>299</v>
      </c>
    </row>
    <row r="669" spans="1:9" x14ac:dyDescent="0.35">
      <c r="A669">
        <v>255</v>
      </c>
      <c r="B669">
        <v>2</v>
      </c>
      <c r="C669">
        <v>14</v>
      </c>
      <c r="D669">
        <v>1</v>
      </c>
      <c r="E669">
        <v>269.99</v>
      </c>
      <c r="F669">
        <v>0.2</v>
      </c>
      <c r="G669">
        <v>269.79000000000002</v>
      </c>
      <c r="H669" t="s">
        <v>19</v>
      </c>
      <c r="I669" t="s">
        <v>303</v>
      </c>
    </row>
    <row r="670" spans="1:9" x14ac:dyDescent="0.35">
      <c r="A670">
        <v>255</v>
      </c>
      <c r="B670">
        <v>3</v>
      </c>
      <c r="C670">
        <v>2</v>
      </c>
      <c r="D670">
        <v>2</v>
      </c>
      <c r="E670">
        <v>749.99</v>
      </c>
      <c r="F670">
        <v>0.2</v>
      </c>
      <c r="G670">
        <v>1499.78</v>
      </c>
      <c r="H670" t="s">
        <v>7</v>
      </c>
      <c r="I670" t="s">
        <v>300</v>
      </c>
    </row>
    <row r="671" spans="1:9" x14ac:dyDescent="0.35">
      <c r="A671">
        <v>255</v>
      </c>
      <c r="B671">
        <v>4</v>
      </c>
      <c r="C671">
        <v>21</v>
      </c>
      <c r="D671">
        <v>1</v>
      </c>
      <c r="E671">
        <v>269.99</v>
      </c>
      <c r="F671">
        <v>0.1</v>
      </c>
      <c r="G671">
        <v>269.92</v>
      </c>
      <c r="H671" t="s">
        <v>18</v>
      </c>
      <c r="I671" t="s">
        <v>305</v>
      </c>
    </row>
    <row r="672" spans="1:9" x14ac:dyDescent="0.35">
      <c r="A672">
        <v>256</v>
      </c>
      <c r="B672">
        <v>1</v>
      </c>
      <c r="C672">
        <v>11</v>
      </c>
      <c r="D672">
        <v>1</v>
      </c>
      <c r="E672">
        <v>1680.99</v>
      </c>
      <c r="F672">
        <v>0.1</v>
      </c>
      <c r="G672">
        <v>1680.89</v>
      </c>
      <c r="H672" t="s">
        <v>16</v>
      </c>
      <c r="I672" t="s">
        <v>299</v>
      </c>
    </row>
    <row r="673" spans="1:9" x14ac:dyDescent="0.35">
      <c r="A673">
        <v>256</v>
      </c>
      <c r="B673">
        <v>2</v>
      </c>
      <c r="C673">
        <v>21</v>
      </c>
      <c r="D673">
        <v>1</v>
      </c>
      <c r="E673">
        <v>269.99</v>
      </c>
      <c r="F673">
        <v>0.1</v>
      </c>
      <c r="G673">
        <v>269.94</v>
      </c>
      <c r="H673" t="s">
        <v>18</v>
      </c>
      <c r="I673" t="s">
        <v>299</v>
      </c>
    </row>
    <row r="674" spans="1:9" x14ac:dyDescent="0.35">
      <c r="A674">
        <v>257</v>
      </c>
      <c r="B674">
        <v>1</v>
      </c>
      <c r="C674">
        <v>8</v>
      </c>
      <c r="D674">
        <v>2</v>
      </c>
      <c r="E674">
        <v>1799.99</v>
      </c>
      <c r="F674">
        <v>0.1</v>
      </c>
      <c r="G674">
        <v>3599.91</v>
      </c>
      <c r="H674" t="s">
        <v>13</v>
      </c>
      <c r="I674" t="s">
        <v>300</v>
      </c>
    </row>
    <row r="675" spans="1:9" x14ac:dyDescent="0.35">
      <c r="A675">
        <v>257</v>
      </c>
      <c r="B675">
        <v>2</v>
      </c>
      <c r="C675">
        <v>13</v>
      </c>
      <c r="D675">
        <v>2</v>
      </c>
      <c r="E675">
        <v>269.99</v>
      </c>
      <c r="F675">
        <v>0.2</v>
      </c>
      <c r="G675">
        <v>539.78</v>
      </c>
      <c r="H675" t="s">
        <v>18</v>
      </c>
      <c r="I675" t="s">
        <v>304</v>
      </c>
    </row>
    <row r="676" spans="1:9" x14ac:dyDescent="0.35">
      <c r="A676">
        <v>257</v>
      </c>
      <c r="B676">
        <v>3</v>
      </c>
      <c r="C676">
        <v>10</v>
      </c>
      <c r="D676">
        <v>2</v>
      </c>
      <c r="E676">
        <v>1549</v>
      </c>
      <c r="F676">
        <v>0.1</v>
      </c>
      <c r="G676">
        <v>3097.9</v>
      </c>
      <c r="H676" t="s">
        <v>15</v>
      </c>
      <c r="I676" t="s">
        <v>299</v>
      </c>
    </row>
    <row r="677" spans="1:9" x14ac:dyDescent="0.35">
      <c r="A677">
        <v>257</v>
      </c>
      <c r="B677">
        <v>4</v>
      </c>
      <c r="C677">
        <v>15</v>
      </c>
      <c r="D677">
        <v>1</v>
      </c>
      <c r="E677">
        <v>529.99</v>
      </c>
      <c r="F677">
        <v>0.1</v>
      </c>
      <c r="G677">
        <v>529.89</v>
      </c>
      <c r="H677" t="s">
        <v>20</v>
      </c>
      <c r="I677" t="s">
        <v>300</v>
      </c>
    </row>
    <row r="678" spans="1:9" x14ac:dyDescent="0.35">
      <c r="A678">
        <v>258</v>
      </c>
      <c r="B678">
        <v>1</v>
      </c>
      <c r="C678">
        <v>8</v>
      </c>
      <c r="D678">
        <v>2</v>
      </c>
      <c r="E678">
        <v>1799.99</v>
      </c>
      <c r="F678">
        <v>0.1</v>
      </c>
      <c r="G678">
        <v>3599.93</v>
      </c>
      <c r="H678" t="s">
        <v>13</v>
      </c>
      <c r="I678" t="s">
        <v>299</v>
      </c>
    </row>
    <row r="679" spans="1:9" x14ac:dyDescent="0.35">
      <c r="A679">
        <v>258</v>
      </c>
      <c r="B679">
        <v>2</v>
      </c>
      <c r="C679">
        <v>4</v>
      </c>
      <c r="D679">
        <v>1</v>
      </c>
      <c r="E679">
        <v>2899.99</v>
      </c>
      <c r="F679">
        <v>0.1</v>
      </c>
      <c r="G679">
        <v>2899.92</v>
      </c>
      <c r="H679" t="s">
        <v>9</v>
      </c>
      <c r="I679" t="s">
        <v>299</v>
      </c>
    </row>
    <row r="680" spans="1:9" x14ac:dyDescent="0.35">
      <c r="A680">
        <v>258</v>
      </c>
      <c r="B680">
        <v>3</v>
      </c>
      <c r="C680">
        <v>19</v>
      </c>
      <c r="D680">
        <v>1</v>
      </c>
      <c r="E680">
        <v>449</v>
      </c>
      <c r="F680">
        <v>0.1</v>
      </c>
      <c r="G680">
        <v>448.93</v>
      </c>
      <c r="H680" t="s">
        <v>24</v>
      </c>
      <c r="I680" t="s">
        <v>301</v>
      </c>
    </row>
    <row r="681" spans="1:9" x14ac:dyDescent="0.35">
      <c r="A681">
        <v>258</v>
      </c>
      <c r="B681">
        <v>4</v>
      </c>
      <c r="C681">
        <v>18</v>
      </c>
      <c r="D681">
        <v>1</v>
      </c>
      <c r="E681">
        <v>449</v>
      </c>
      <c r="F681">
        <v>0.1</v>
      </c>
      <c r="G681">
        <v>448.95</v>
      </c>
      <c r="H681" t="s">
        <v>23</v>
      </c>
      <c r="I681" t="s">
        <v>301</v>
      </c>
    </row>
    <row r="682" spans="1:9" x14ac:dyDescent="0.35">
      <c r="A682">
        <v>259</v>
      </c>
      <c r="B682">
        <v>1</v>
      </c>
      <c r="C682">
        <v>26</v>
      </c>
      <c r="D682">
        <v>1</v>
      </c>
      <c r="E682">
        <v>599.99</v>
      </c>
      <c r="F682">
        <v>0.1</v>
      </c>
      <c r="G682">
        <v>599.94000000000005</v>
      </c>
      <c r="H682" t="s">
        <v>21</v>
      </c>
      <c r="I682" t="s">
        <v>301</v>
      </c>
    </row>
    <row r="683" spans="1:9" x14ac:dyDescent="0.35">
      <c r="A683">
        <v>259</v>
      </c>
      <c r="B683">
        <v>2</v>
      </c>
      <c r="C683">
        <v>6</v>
      </c>
      <c r="D683">
        <v>2</v>
      </c>
      <c r="E683">
        <v>469.99</v>
      </c>
      <c r="F683">
        <v>0.1</v>
      </c>
      <c r="G683">
        <v>939.88</v>
      </c>
      <c r="H683" t="s">
        <v>11</v>
      </c>
      <c r="I683" t="s">
        <v>299</v>
      </c>
    </row>
    <row r="684" spans="1:9" x14ac:dyDescent="0.35">
      <c r="A684">
        <v>259</v>
      </c>
      <c r="B684">
        <v>3</v>
      </c>
      <c r="C684">
        <v>2</v>
      </c>
      <c r="D684">
        <v>2</v>
      </c>
      <c r="E684">
        <v>749.99</v>
      </c>
      <c r="F684">
        <v>0.2</v>
      </c>
      <c r="G684">
        <v>1499.78</v>
      </c>
      <c r="H684" t="s">
        <v>7</v>
      </c>
      <c r="I684" t="s">
        <v>305</v>
      </c>
    </row>
    <row r="685" spans="1:9" x14ac:dyDescent="0.35">
      <c r="A685">
        <v>259</v>
      </c>
      <c r="B685">
        <v>4</v>
      </c>
      <c r="C685">
        <v>4</v>
      </c>
      <c r="D685">
        <v>1</v>
      </c>
      <c r="E685">
        <v>2899.99</v>
      </c>
      <c r="F685">
        <v>0.1</v>
      </c>
      <c r="G685">
        <v>2899.89</v>
      </c>
      <c r="H685" t="s">
        <v>9</v>
      </c>
      <c r="I685" t="s">
        <v>299</v>
      </c>
    </row>
    <row r="686" spans="1:9" x14ac:dyDescent="0.35">
      <c r="A686">
        <v>260</v>
      </c>
      <c r="B686">
        <v>1</v>
      </c>
      <c r="C686">
        <v>23</v>
      </c>
      <c r="D686">
        <v>2</v>
      </c>
      <c r="E686">
        <v>299.99</v>
      </c>
      <c r="F686">
        <v>0.2</v>
      </c>
      <c r="G686">
        <v>599.78</v>
      </c>
      <c r="H686" t="s">
        <v>26</v>
      </c>
      <c r="I686" t="s">
        <v>304</v>
      </c>
    </row>
    <row r="687" spans="1:9" x14ac:dyDescent="0.35">
      <c r="A687">
        <v>260</v>
      </c>
      <c r="B687">
        <v>2</v>
      </c>
      <c r="C687">
        <v>10</v>
      </c>
      <c r="D687">
        <v>1</v>
      </c>
      <c r="E687">
        <v>1549</v>
      </c>
      <c r="F687">
        <v>0.2</v>
      </c>
      <c r="G687">
        <v>1548.8</v>
      </c>
      <c r="H687" t="s">
        <v>15</v>
      </c>
      <c r="I687" t="s">
        <v>299</v>
      </c>
    </row>
    <row r="688" spans="1:9" x14ac:dyDescent="0.35">
      <c r="A688">
        <v>260</v>
      </c>
      <c r="B688">
        <v>3</v>
      </c>
      <c r="C688">
        <v>24</v>
      </c>
      <c r="D688">
        <v>2</v>
      </c>
      <c r="E688">
        <v>549.99</v>
      </c>
      <c r="F688">
        <v>0.2</v>
      </c>
      <c r="G688">
        <v>1099.78</v>
      </c>
      <c r="H688" t="s">
        <v>17</v>
      </c>
      <c r="I688" t="s">
        <v>300</v>
      </c>
    </row>
    <row r="689" spans="1:9" x14ac:dyDescent="0.35">
      <c r="A689">
        <v>261</v>
      </c>
      <c r="B689">
        <v>1</v>
      </c>
      <c r="C689">
        <v>16</v>
      </c>
      <c r="D689">
        <v>2</v>
      </c>
      <c r="E689">
        <v>599.99</v>
      </c>
      <c r="F689">
        <v>0.1</v>
      </c>
      <c r="G689">
        <v>1199.93</v>
      </c>
      <c r="H689" t="s">
        <v>21</v>
      </c>
      <c r="I689" t="s">
        <v>301</v>
      </c>
    </row>
    <row r="690" spans="1:9" x14ac:dyDescent="0.35">
      <c r="A690">
        <v>261</v>
      </c>
      <c r="B690">
        <v>2</v>
      </c>
      <c r="C690">
        <v>14</v>
      </c>
      <c r="D690">
        <v>1</v>
      </c>
      <c r="E690">
        <v>269.99</v>
      </c>
      <c r="F690">
        <v>0.1</v>
      </c>
      <c r="G690">
        <v>269.89</v>
      </c>
      <c r="H690" t="s">
        <v>19</v>
      </c>
      <c r="I690" t="s">
        <v>305</v>
      </c>
    </row>
    <row r="691" spans="1:9" x14ac:dyDescent="0.35">
      <c r="A691">
        <v>261</v>
      </c>
      <c r="B691">
        <v>3</v>
      </c>
      <c r="C691">
        <v>17</v>
      </c>
      <c r="D691">
        <v>2</v>
      </c>
      <c r="E691">
        <v>429</v>
      </c>
      <c r="F691">
        <v>0.1</v>
      </c>
      <c r="G691">
        <v>857.9</v>
      </c>
      <c r="H691" t="s">
        <v>22</v>
      </c>
      <c r="I691" t="s">
        <v>305</v>
      </c>
    </row>
    <row r="692" spans="1:9" x14ac:dyDescent="0.35">
      <c r="A692">
        <v>262</v>
      </c>
      <c r="B692">
        <v>1</v>
      </c>
      <c r="C692">
        <v>2</v>
      </c>
      <c r="D692">
        <v>1</v>
      </c>
      <c r="E692">
        <v>749.99</v>
      </c>
      <c r="F692">
        <v>0.1</v>
      </c>
      <c r="G692">
        <v>749.92</v>
      </c>
      <c r="H692" t="s">
        <v>7</v>
      </c>
      <c r="I692" t="s">
        <v>301</v>
      </c>
    </row>
    <row r="693" spans="1:9" x14ac:dyDescent="0.35">
      <c r="A693">
        <v>262</v>
      </c>
      <c r="B693">
        <v>2</v>
      </c>
      <c r="C693">
        <v>9</v>
      </c>
      <c r="D693">
        <v>2</v>
      </c>
      <c r="E693">
        <v>2999.99</v>
      </c>
      <c r="F693">
        <v>0.1</v>
      </c>
      <c r="G693">
        <v>5999.93</v>
      </c>
      <c r="H693" t="s">
        <v>14</v>
      </c>
      <c r="I693" t="s">
        <v>304</v>
      </c>
    </row>
    <row r="694" spans="1:9" x14ac:dyDescent="0.35">
      <c r="A694">
        <v>263</v>
      </c>
      <c r="B694">
        <v>1</v>
      </c>
      <c r="C694">
        <v>9</v>
      </c>
      <c r="D694">
        <v>1</v>
      </c>
      <c r="E694">
        <v>2999.99</v>
      </c>
      <c r="F694">
        <v>0.1</v>
      </c>
      <c r="G694">
        <v>2999.92</v>
      </c>
      <c r="H694" t="s">
        <v>14</v>
      </c>
      <c r="I694" t="s">
        <v>301</v>
      </c>
    </row>
    <row r="695" spans="1:9" x14ac:dyDescent="0.35">
      <c r="A695">
        <v>263</v>
      </c>
      <c r="B695">
        <v>2</v>
      </c>
      <c r="C695">
        <v>3</v>
      </c>
      <c r="D695">
        <v>1</v>
      </c>
      <c r="E695">
        <v>999.99</v>
      </c>
      <c r="F695">
        <v>0.2</v>
      </c>
      <c r="G695">
        <v>999.79</v>
      </c>
      <c r="H695" t="s">
        <v>8</v>
      </c>
      <c r="I695" t="s">
        <v>305</v>
      </c>
    </row>
    <row r="696" spans="1:9" x14ac:dyDescent="0.35">
      <c r="A696">
        <v>263</v>
      </c>
      <c r="B696">
        <v>3</v>
      </c>
      <c r="C696">
        <v>2</v>
      </c>
      <c r="D696">
        <v>2</v>
      </c>
      <c r="E696">
        <v>749.99</v>
      </c>
      <c r="F696">
        <v>0.1</v>
      </c>
      <c r="G696">
        <v>1499.93</v>
      </c>
      <c r="H696" t="s">
        <v>7</v>
      </c>
      <c r="I696" t="s">
        <v>300</v>
      </c>
    </row>
    <row r="697" spans="1:9" x14ac:dyDescent="0.35">
      <c r="A697">
        <v>264</v>
      </c>
      <c r="B697">
        <v>1</v>
      </c>
      <c r="C697">
        <v>10</v>
      </c>
      <c r="D697">
        <v>1</v>
      </c>
      <c r="E697">
        <v>1549</v>
      </c>
      <c r="F697">
        <v>0.2</v>
      </c>
      <c r="G697">
        <v>1548.8</v>
      </c>
      <c r="H697" t="s">
        <v>15</v>
      </c>
      <c r="I697" t="s">
        <v>301</v>
      </c>
    </row>
    <row r="698" spans="1:9" x14ac:dyDescent="0.35">
      <c r="A698">
        <v>264</v>
      </c>
      <c r="B698">
        <v>2</v>
      </c>
      <c r="C698">
        <v>24</v>
      </c>
      <c r="D698">
        <v>2</v>
      </c>
      <c r="E698">
        <v>549.99</v>
      </c>
      <c r="F698">
        <v>0.1</v>
      </c>
      <c r="G698">
        <v>1099.93</v>
      </c>
      <c r="H698" t="s">
        <v>17</v>
      </c>
      <c r="I698" t="s">
        <v>304</v>
      </c>
    </row>
    <row r="699" spans="1:9" x14ac:dyDescent="0.35">
      <c r="A699">
        <v>264</v>
      </c>
      <c r="B699">
        <v>3</v>
      </c>
      <c r="C699">
        <v>15</v>
      </c>
      <c r="D699">
        <v>2</v>
      </c>
      <c r="E699">
        <v>529.99</v>
      </c>
      <c r="F699">
        <v>0.1</v>
      </c>
      <c r="G699">
        <v>1059.8800000000001</v>
      </c>
      <c r="H699" t="s">
        <v>20</v>
      </c>
      <c r="I699" t="s">
        <v>299</v>
      </c>
    </row>
    <row r="700" spans="1:9" x14ac:dyDescent="0.35">
      <c r="A700">
        <v>264</v>
      </c>
      <c r="B700">
        <v>4</v>
      </c>
      <c r="C700">
        <v>3</v>
      </c>
      <c r="D700">
        <v>2</v>
      </c>
      <c r="E700">
        <v>999.99</v>
      </c>
      <c r="F700">
        <v>0.1</v>
      </c>
      <c r="G700">
        <v>1999.91</v>
      </c>
      <c r="H700" t="s">
        <v>8</v>
      </c>
      <c r="I700" t="s">
        <v>299</v>
      </c>
    </row>
    <row r="701" spans="1:9" x14ac:dyDescent="0.35">
      <c r="A701">
        <v>266</v>
      </c>
      <c r="B701">
        <v>1</v>
      </c>
      <c r="C701">
        <v>6</v>
      </c>
      <c r="D701">
        <v>2</v>
      </c>
      <c r="E701">
        <v>469.99</v>
      </c>
      <c r="F701">
        <v>0.1</v>
      </c>
      <c r="G701">
        <v>939.91</v>
      </c>
      <c r="H701" t="s">
        <v>11</v>
      </c>
      <c r="I701" t="s">
        <v>301</v>
      </c>
    </row>
    <row r="702" spans="1:9" x14ac:dyDescent="0.35">
      <c r="A702">
        <v>266</v>
      </c>
      <c r="B702">
        <v>2</v>
      </c>
      <c r="C702">
        <v>19</v>
      </c>
      <c r="D702">
        <v>1</v>
      </c>
      <c r="E702">
        <v>449</v>
      </c>
      <c r="F702">
        <v>0.2</v>
      </c>
      <c r="G702">
        <v>448.8</v>
      </c>
      <c r="H702" t="s">
        <v>24</v>
      </c>
      <c r="I702" t="s">
        <v>303</v>
      </c>
    </row>
    <row r="703" spans="1:9" x14ac:dyDescent="0.35">
      <c r="A703">
        <v>266</v>
      </c>
      <c r="B703">
        <v>3</v>
      </c>
      <c r="C703">
        <v>25</v>
      </c>
      <c r="D703">
        <v>1</v>
      </c>
      <c r="E703">
        <v>499.99</v>
      </c>
      <c r="F703">
        <v>0.1</v>
      </c>
      <c r="G703">
        <v>499.94</v>
      </c>
      <c r="H703" t="s">
        <v>27</v>
      </c>
      <c r="I703" t="s">
        <v>301</v>
      </c>
    </row>
    <row r="704" spans="1:9" x14ac:dyDescent="0.35">
      <c r="A704">
        <v>267</v>
      </c>
      <c r="B704">
        <v>1</v>
      </c>
      <c r="C704">
        <v>22</v>
      </c>
      <c r="D704">
        <v>2</v>
      </c>
      <c r="E704">
        <v>269.99</v>
      </c>
      <c r="F704">
        <v>0.2</v>
      </c>
      <c r="G704">
        <v>539.78</v>
      </c>
      <c r="H704" t="s">
        <v>19</v>
      </c>
      <c r="I704" t="s">
        <v>304</v>
      </c>
    </row>
    <row r="705" spans="1:9" x14ac:dyDescent="0.35">
      <c r="A705">
        <v>267</v>
      </c>
      <c r="B705">
        <v>2</v>
      </c>
      <c r="C705">
        <v>23</v>
      </c>
      <c r="D705">
        <v>2</v>
      </c>
      <c r="E705">
        <v>299.99</v>
      </c>
      <c r="F705">
        <v>0.1</v>
      </c>
      <c r="G705">
        <v>599.88</v>
      </c>
      <c r="H705" t="s">
        <v>26</v>
      </c>
      <c r="I705" t="s">
        <v>301</v>
      </c>
    </row>
    <row r="706" spans="1:9" x14ac:dyDescent="0.35">
      <c r="A706">
        <v>267</v>
      </c>
      <c r="B706">
        <v>3</v>
      </c>
      <c r="C706">
        <v>24</v>
      </c>
      <c r="D706">
        <v>1</v>
      </c>
      <c r="E706">
        <v>549.99</v>
      </c>
      <c r="F706">
        <v>0.1</v>
      </c>
      <c r="G706">
        <v>549.89</v>
      </c>
      <c r="H706" t="s">
        <v>17</v>
      </c>
      <c r="I706" t="s">
        <v>300</v>
      </c>
    </row>
    <row r="707" spans="1:9" x14ac:dyDescent="0.35">
      <c r="A707">
        <v>267</v>
      </c>
      <c r="B707">
        <v>4</v>
      </c>
      <c r="C707">
        <v>7</v>
      </c>
      <c r="D707">
        <v>2</v>
      </c>
      <c r="E707">
        <v>3999.99</v>
      </c>
      <c r="F707">
        <v>0.1</v>
      </c>
      <c r="G707">
        <v>7999.91</v>
      </c>
      <c r="H707" t="s">
        <v>12</v>
      </c>
      <c r="I707" t="s">
        <v>301</v>
      </c>
    </row>
    <row r="708" spans="1:9" x14ac:dyDescent="0.35">
      <c r="A708">
        <v>267</v>
      </c>
      <c r="B708">
        <v>5</v>
      </c>
      <c r="C708">
        <v>21</v>
      </c>
      <c r="D708">
        <v>1</v>
      </c>
      <c r="E708">
        <v>269.99</v>
      </c>
      <c r="F708">
        <v>0.1</v>
      </c>
      <c r="G708">
        <v>269.94</v>
      </c>
      <c r="H708" t="s">
        <v>18</v>
      </c>
      <c r="I708" t="s">
        <v>301</v>
      </c>
    </row>
    <row r="709" spans="1:9" x14ac:dyDescent="0.35">
      <c r="A709">
        <v>268</v>
      </c>
      <c r="B709">
        <v>1</v>
      </c>
      <c r="C709">
        <v>7</v>
      </c>
      <c r="D709">
        <v>1</v>
      </c>
      <c r="E709">
        <v>3999.99</v>
      </c>
      <c r="F709">
        <v>0.1</v>
      </c>
      <c r="G709">
        <v>3999.94</v>
      </c>
      <c r="H709" t="s">
        <v>12</v>
      </c>
      <c r="I709" t="s">
        <v>301</v>
      </c>
    </row>
    <row r="710" spans="1:9" x14ac:dyDescent="0.35">
      <c r="A710">
        <v>268</v>
      </c>
      <c r="B710">
        <v>2</v>
      </c>
      <c r="C710">
        <v>6</v>
      </c>
      <c r="D710">
        <v>2</v>
      </c>
      <c r="E710">
        <v>469.99</v>
      </c>
      <c r="F710">
        <v>0.2</v>
      </c>
      <c r="G710">
        <v>939.78</v>
      </c>
      <c r="H710" t="s">
        <v>11</v>
      </c>
      <c r="I710" t="s">
        <v>299</v>
      </c>
    </row>
    <row r="711" spans="1:9" x14ac:dyDescent="0.35">
      <c r="A711">
        <v>268</v>
      </c>
      <c r="B711">
        <v>3</v>
      </c>
      <c r="C711">
        <v>9</v>
      </c>
      <c r="D711">
        <v>1</v>
      </c>
      <c r="E711">
        <v>2999.99</v>
      </c>
      <c r="F711">
        <v>0.1</v>
      </c>
      <c r="G711">
        <v>2999.89</v>
      </c>
      <c r="H711" t="s">
        <v>14</v>
      </c>
      <c r="I711" t="s">
        <v>299</v>
      </c>
    </row>
    <row r="712" spans="1:9" x14ac:dyDescent="0.35">
      <c r="A712">
        <v>269</v>
      </c>
      <c r="B712">
        <v>1</v>
      </c>
      <c r="C712">
        <v>5</v>
      </c>
      <c r="D712">
        <v>1</v>
      </c>
      <c r="E712">
        <v>1320.99</v>
      </c>
      <c r="F712">
        <v>0.1</v>
      </c>
      <c r="G712">
        <v>1320.92</v>
      </c>
      <c r="H712" t="s">
        <v>10</v>
      </c>
      <c r="I712" t="s">
        <v>299</v>
      </c>
    </row>
    <row r="713" spans="1:9" x14ac:dyDescent="0.35">
      <c r="A713">
        <v>269</v>
      </c>
      <c r="B713">
        <v>2</v>
      </c>
      <c r="C713">
        <v>23</v>
      </c>
      <c r="D713">
        <v>2</v>
      </c>
      <c r="E713">
        <v>299.99</v>
      </c>
      <c r="F713">
        <v>0.1</v>
      </c>
      <c r="G713">
        <v>599.91</v>
      </c>
      <c r="H713" t="s">
        <v>26</v>
      </c>
      <c r="I713" t="s">
        <v>299</v>
      </c>
    </row>
    <row r="714" spans="1:9" x14ac:dyDescent="0.35">
      <c r="A714">
        <v>269</v>
      </c>
      <c r="B714">
        <v>3</v>
      </c>
      <c r="C714">
        <v>18</v>
      </c>
      <c r="D714">
        <v>1</v>
      </c>
      <c r="E714">
        <v>449</v>
      </c>
      <c r="F714">
        <v>0.1</v>
      </c>
      <c r="G714">
        <v>448.95</v>
      </c>
      <c r="H714" t="s">
        <v>23</v>
      </c>
      <c r="I714" t="s">
        <v>304</v>
      </c>
    </row>
    <row r="715" spans="1:9" x14ac:dyDescent="0.35">
      <c r="A715">
        <v>269</v>
      </c>
      <c r="B715">
        <v>4</v>
      </c>
      <c r="C715">
        <v>3</v>
      </c>
      <c r="D715">
        <v>1</v>
      </c>
      <c r="E715">
        <v>999.99</v>
      </c>
      <c r="F715">
        <v>0.1</v>
      </c>
      <c r="G715">
        <v>999.94</v>
      </c>
      <c r="H715" t="s">
        <v>8</v>
      </c>
      <c r="I715" t="s">
        <v>300</v>
      </c>
    </row>
    <row r="716" spans="1:9" x14ac:dyDescent="0.35">
      <c r="A716">
        <v>270</v>
      </c>
      <c r="B716">
        <v>1</v>
      </c>
      <c r="C716">
        <v>25</v>
      </c>
      <c r="D716">
        <v>2</v>
      </c>
      <c r="E716">
        <v>499.99</v>
      </c>
      <c r="F716">
        <v>0.2</v>
      </c>
      <c r="G716">
        <v>999.78</v>
      </c>
      <c r="H716" t="s">
        <v>27</v>
      </c>
      <c r="I716" t="s">
        <v>299</v>
      </c>
    </row>
    <row r="717" spans="1:9" x14ac:dyDescent="0.35">
      <c r="A717">
        <v>270</v>
      </c>
      <c r="B717">
        <v>2</v>
      </c>
      <c r="C717">
        <v>15</v>
      </c>
      <c r="D717">
        <v>1</v>
      </c>
      <c r="E717">
        <v>529.99</v>
      </c>
      <c r="F717">
        <v>0.1</v>
      </c>
      <c r="G717">
        <v>529.89</v>
      </c>
      <c r="H717" t="s">
        <v>20</v>
      </c>
      <c r="I717" t="s">
        <v>305</v>
      </c>
    </row>
    <row r="718" spans="1:9" x14ac:dyDescent="0.35">
      <c r="A718">
        <v>271</v>
      </c>
      <c r="B718">
        <v>1</v>
      </c>
      <c r="C718">
        <v>11</v>
      </c>
      <c r="D718">
        <v>2</v>
      </c>
      <c r="E718">
        <v>1680.99</v>
      </c>
      <c r="F718">
        <v>0.1</v>
      </c>
      <c r="G718">
        <v>3361.91</v>
      </c>
      <c r="H718" t="s">
        <v>16</v>
      </c>
      <c r="I718" t="s">
        <v>304</v>
      </c>
    </row>
    <row r="719" spans="1:9" x14ac:dyDescent="0.35">
      <c r="A719">
        <v>271</v>
      </c>
      <c r="B719">
        <v>2</v>
      </c>
      <c r="C719">
        <v>6</v>
      </c>
      <c r="D719">
        <v>2</v>
      </c>
      <c r="E719">
        <v>469.99</v>
      </c>
      <c r="F719">
        <v>0.1</v>
      </c>
      <c r="G719">
        <v>939.93</v>
      </c>
      <c r="H719" t="s">
        <v>11</v>
      </c>
      <c r="I719" t="s">
        <v>300</v>
      </c>
    </row>
    <row r="720" spans="1:9" x14ac:dyDescent="0.35">
      <c r="A720">
        <v>271</v>
      </c>
      <c r="B720">
        <v>3</v>
      </c>
      <c r="C720">
        <v>13</v>
      </c>
      <c r="D720">
        <v>1</v>
      </c>
      <c r="E720">
        <v>269.99</v>
      </c>
      <c r="F720">
        <v>0.1</v>
      </c>
      <c r="G720">
        <v>269.89</v>
      </c>
      <c r="H720" t="s">
        <v>18</v>
      </c>
      <c r="I720" t="s">
        <v>302</v>
      </c>
    </row>
    <row r="721" spans="1:9" x14ac:dyDescent="0.35">
      <c r="A721">
        <v>271</v>
      </c>
      <c r="B721">
        <v>4</v>
      </c>
      <c r="C721">
        <v>7</v>
      </c>
      <c r="D721">
        <v>2</v>
      </c>
      <c r="E721">
        <v>3999.99</v>
      </c>
      <c r="F721">
        <v>0.1</v>
      </c>
      <c r="G721">
        <v>7999.88</v>
      </c>
      <c r="H721" t="s">
        <v>12</v>
      </c>
      <c r="I721" t="s">
        <v>304</v>
      </c>
    </row>
    <row r="722" spans="1:9" x14ac:dyDescent="0.35">
      <c r="A722">
        <v>272</v>
      </c>
      <c r="B722">
        <v>1</v>
      </c>
      <c r="C722">
        <v>2</v>
      </c>
      <c r="D722">
        <v>2</v>
      </c>
      <c r="E722">
        <v>749.99</v>
      </c>
      <c r="F722">
        <v>0.1</v>
      </c>
      <c r="G722">
        <v>1499.91</v>
      </c>
      <c r="H722" t="s">
        <v>7</v>
      </c>
      <c r="I722" t="s">
        <v>304</v>
      </c>
    </row>
    <row r="723" spans="1:9" x14ac:dyDescent="0.35">
      <c r="A723">
        <v>272</v>
      </c>
      <c r="B723">
        <v>2</v>
      </c>
      <c r="C723">
        <v>11</v>
      </c>
      <c r="D723">
        <v>1</v>
      </c>
      <c r="E723">
        <v>1680.99</v>
      </c>
      <c r="F723">
        <v>0.1</v>
      </c>
      <c r="G723">
        <v>1680.92</v>
      </c>
      <c r="H723" t="s">
        <v>16</v>
      </c>
      <c r="I723" t="s">
        <v>300</v>
      </c>
    </row>
    <row r="724" spans="1:9" x14ac:dyDescent="0.35">
      <c r="A724">
        <v>274</v>
      </c>
      <c r="B724">
        <v>1</v>
      </c>
      <c r="C724">
        <v>11</v>
      </c>
      <c r="D724">
        <v>2</v>
      </c>
      <c r="E724">
        <v>1680.99</v>
      </c>
      <c r="F724">
        <v>0.1</v>
      </c>
      <c r="G724">
        <v>3361.93</v>
      </c>
      <c r="H724" t="s">
        <v>16</v>
      </c>
      <c r="I724" t="s">
        <v>300</v>
      </c>
    </row>
    <row r="725" spans="1:9" x14ac:dyDescent="0.35">
      <c r="A725">
        <v>274</v>
      </c>
      <c r="B725">
        <v>2</v>
      </c>
      <c r="C725">
        <v>25</v>
      </c>
      <c r="D725">
        <v>2</v>
      </c>
      <c r="E725">
        <v>499.99</v>
      </c>
      <c r="F725">
        <v>0.1</v>
      </c>
      <c r="G725">
        <v>999.88</v>
      </c>
      <c r="H725" t="s">
        <v>27</v>
      </c>
      <c r="I725" t="s">
        <v>299</v>
      </c>
    </row>
    <row r="726" spans="1:9" x14ac:dyDescent="0.35">
      <c r="A726">
        <v>274</v>
      </c>
      <c r="B726">
        <v>3</v>
      </c>
      <c r="C726">
        <v>9</v>
      </c>
      <c r="D726">
        <v>2</v>
      </c>
      <c r="E726">
        <v>2999.99</v>
      </c>
      <c r="F726">
        <v>0.1</v>
      </c>
      <c r="G726">
        <v>5999.91</v>
      </c>
      <c r="H726" t="s">
        <v>14</v>
      </c>
      <c r="I726" t="s">
        <v>301</v>
      </c>
    </row>
    <row r="727" spans="1:9" x14ac:dyDescent="0.35">
      <c r="A727">
        <v>275</v>
      </c>
      <c r="B727">
        <v>1</v>
      </c>
      <c r="C727">
        <v>18</v>
      </c>
      <c r="D727">
        <v>1</v>
      </c>
      <c r="E727">
        <v>449</v>
      </c>
      <c r="F727">
        <v>0.1</v>
      </c>
      <c r="G727">
        <v>448.95</v>
      </c>
      <c r="H727" t="s">
        <v>23</v>
      </c>
      <c r="I727" t="s">
        <v>304</v>
      </c>
    </row>
    <row r="728" spans="1:9" x14ac:dyDescent="0.35">
      <c r="A728">
        <v>275</v>
      </c>
      <c r="B728">
        <v>2</v>
      </c>
      <c r="C728">
        <v>25</v>
      </c>
      <c r="D728">
        <v>1</v>
      </c>
      <c r="E728">
        <v>499.99</v>
      </c>
      <c r="F728">
        <v>0.1</v>
      </c>
      <c r="G728">
        <v>499.89</v>
      </c>
      <c r="H728" t="s">
        <v>27</v>
      </c>
      <c r="I728" t="s">
        <v>304</v>
      </c>
    </row>
    <row r="729" spans="1:9" x14ac:dyDescent="0.35">
      <c r="A729">
        <v>275</v>
      </c>
      <c r="B729">
        <v>3</v>
      </c>
      <c r="C729">
        <v>7</v>
      </c>
      <c r="D729">
        <v>2</v>
      </c>
      <c r="E729">
        <v>3999.99</v>
      </c>
      <c r="F729">
        <v>0.1</v>
      </c>
      <c r="G729">
        <v>7999.93</v>
      </c>
      <c r="H729" t="s">
        <v>12</v>
      </c>
      <c r="I729" t="s">
        <v>304</v>
      </c>
    </row>
    <row r="730" spans="1:9" x14ac:dyDescent="0.35">
      <c r="A730">
        <v>276</v>
      </c>
      <c r="B730">
        <v>1</v>
      </c>
      <c r="C730">
        <v>3</v>
      </c>
      <c r="D730">
        <v>2</v>
      </c>
      <c r="E730">
        <v>999.99</v>
      </c>
      <c r="F730">
        <v>0.2</v>
      </c>
      <c r="G730">
        <v>1999.78</v>
      </c>
      <c r="H730" t="s">
        <v>8</v>
      </c>
      <c r="I730" t="s">
        <v>301</v>
      </c>
    </row>
    <row r="731" spans="1:9" x14ac:dyDescent="0.35">
      <c r="A731">
        <v>276</v>
      </c>
      <c r="B731">
        <v>2</v>
      </c>
      <c r="C731">
        <v>17</v>
      </c>
      <c r="D731">
        <v>1</v>
      </c>
      <c r="E731">
        <v>429</v>
      </c>
      <c r="F731">
        <v>0.1</v>
      </c>
      <c r="G731">
        <v>428.95</v>
      </c>
      <c r="H731" t="s">
        <v>22</v>
      </c>
      <c r="I731" t="s">
        <v>299</v>
      </c>
    </row>
    <row r="732" spans="1:9" x14ac:dyDescent="0.35">
      <c r="A732">
        <v>276</v>
      </c>
      <c r="B732">
        <v>3</v>
      </c>
      <c r="C732">
        <v>9</v>
      </c>
      <c r="D732">
        <v>2</v>
      </c>
      <c r="E732">
        <v>2999.99</v>
      </c>
      <c r="F732">
        <v>0.1</v>
      </c>
      <c r="G732">
        <v>5999.91</v>
      </c>
      <c r="H732" t="s">
        <v>14</v>
      </c>
      <c r="I732" t="s">
        <v>304</v>
      </c>
    </row>
    <row r="733" spans="1:9" x14ac:dyDescent="0.35">
      <c r="A733">
        <v>277</v>
      </c>
      <c r="B733">
        <v>1</v>
      </c>
      <c r="C733">
        <v>20</v>
      </c>
      <c r="D733">
        <v>2</v>
      </c>
      <c r="E733">
        <v>599.99</v>
      </c>
      <c r="F733">
        <v>0.2</v>
      </c>
      <c r="G733">
        <v>1199.78</v>
      </c>
      <c r="H733" t="s">
        <v>25</v>
      </c>
      <c r="I733" t="s">
        <v>300</v>
      </c>
    </row>
    <row r="734" spans="1:9" x14ac:dyDescent="0.35">
      <c r="A734">
        <v>277</v>
      </c>
      <c r="B734">
        <v>2</v>
      </c>
      <c r="C734">
        <v>6</v>
      </c>
      <c r="D734">
        <v>2</v>
      </c>
      <c r="E734">
        <v>469.99</v>
      </c>
      <c r="F734">
        <v>0.2</v>
      </c>
      <c r="G734">
        <v>939.78</v>
      </c>
      <c r="H734" t="s">
        <v>11</v>
      </c>
      <c r="I734" t="s">
        <v>301</v>
      </c>
    </row>
    <row r="735" spans="1:9" x14ac:dyDescent="0.35">
      <c r="A735">
        <v>277</v>
      </c>
      <c r="B735">
        <v>3</v>
      </c>
      <c r="C735">
        <v>13</v>
      </c>
      <c r="D735">
        <v>2</v>
      </c>
      <c r="E735">
        <v>269.99</v>
      </c>
      <c r="F735">
        <v>0.1</v>
      </c>
      <c r="G735">
        <v>539.88</v>
      </c>
      <c r="H735" t="s">
        <v>18</v>
      </c>
      <c r="I735" t="s">
        <v>299</v>
      </c>
    </row>
    <row r="736" spans="1:9" x14ac:dyDescent="0.35">
      <c r="A736">
        <v>278</v>
      </c>
      <c r="B736">
        <v>1</v>
      </c>
      <c r="C736">
        <v>16</v>
      </c>
      <c r="D736">
        <v>1</v>
      </c>
      <c r="E736">
        <v>599.99</v>
      </c>
      <c r="F736">
        <v>0.2</v>
      </c>
      <c r="G736">
        <v>599.79</v>
      </c>
      <c r="H736" t="s">
        <v>21</v>
      </c>
      <c r="I736" t="s">
        <v>299</v>
      </c>
    </row>
    <row r="737" spans="1:9" x14ac:dyDescent="0.35">
      <c r="A737">
        <v>278</v>
      </c>
      <c r="B737">
        <v>2</v>
      </c>
      <c r="C737">
        <v>19</v>
      </c>
      <c r="D737">
        <v>2</v>
      </c>
      <c r="E737">
        <v>449</v>
      </c>
      <c r="F737">
        <v>0.1</v>
      </c>
      <c r="G737">
        <v>897.93</v>
      </c>
      <c r="H737" t="s">
        <v>24</v>
      </c>
      <c r="I737" t="s">
        <v>305</v>
      </c>
    </row>
    <row r="738" spans="1:9" x14ac:dyDescent="0.35">
      <c r="A738">
        <v>278</v>
      </c>
      <c r="B738">
        <v>3</v>
      </c>
      <c r="C738">
        <v>13</v>
      </c>
      <c r="D738">
        <v>1</v>
      </c>
      <c r="E738">
        <v>269.99</v>
      </c>
      <c r="F738">
        <v>0.1</v>
      </c>
      <c r="G738">
        <v>269.92</v>
      </c>
      <c r="H738" t="s">
        <v>18</v>
      </c>
      <c r="I738" t="s">
        <v>301</v>
      </c>
    </row>
    <row r="739" spans="1:9" x14ac:dyDescent="0.35">
      <c r="A739">
        <v>278</v>
      </c>
      <c r="B739">
        <v>4</v>
      </c>
      <c r="C739">
        <v>11</v>
      </c>
      <c r="D739">
        <v>2</v>
      </c>
      <c r="E739">
        <v>1680.99</v>
      </c>
      <c r="F739">
        <v>0.1</v>
      </c>
      <c r="G739">
        <v>3361.91</v>
      </c>
      <c r="H739" t="s">
        <v>16</v>
      </c>
      <c r="I739" t="s">
        <v>305</v>
      </c>
    </row>
    <row r="740" spans="1:9" x14ac:dyDescent="0.35">
      <c r="A740">
        <v>280</v>
      </c>
      <c r="B740">
        <v>1</v>
      </c>
      <c r="C740">
        <v>25</v>
      </c>
      <c r="D740">
        <v>1</v>
      </c>
      <c r="E740">
        <v>499.99</v>
      </c>
      <c r="F740">
        <v>0.1</v>
      </c>
      <c r="G740">
        <v>499.92</v>
      </c>
      <c r="H740" t="s">
        <v>27</v>
      </c>
      <c r="I740" t="s">
        <v>299</v>
      </c>
    </row>
    <row r="741" spans="1:9" x14ac:dyDescent="0.35">
      <c r="A741">
        <v>280</v>
      </c>
      <c r="B741">
        <v>2</v>
      </c>
      <c r="C741">
        <v>26</v>
      </c>
      <c r="D741">
        <v>2</v>
      </c>
      <c r="E741">
        <v>599.99</v>
      </c>
      <c r="F741">
        <v>0.1</v>
      </c>
      <c r="G741">
        <v>1199.9100000000001</v>
      </c>
      <c r="H741" t="s">
        <v>21</v>
      </c>
      <c r="I741" t="s">
        <v>302</v>
      </c>
    </row>
    <row r="742" spans="1:9" x14ac:dyDescent="0.35">
      <c r="A742">
        <v>280</v>
      </c>
      <c r="B742">
        <v>3</v>
      </c>
      <c r="C742">
        <v>13</v>
      </c>
      <c r="D742">
        <v>1</v>
      </c>
      <c r="E742">
        <v>269.99</v>
      </c>
      <c r="F742">
        <v>0.1</v>
      </c>
      <c r="G742">
        <v>269.92</v>
      </c>
      <c r="H742" t="s">
        <v>18</v>
      </c>
      <c r="I742" t="s">
        <v>305</v>
      </c>
    </row>
    <row r="743" spans="1:9" x14ac:dyDescent="0.35">
      <c r="A743">
        <v>281</v>
      </c>
      <c r="B743">
        <v>1</v>
      </c>
      <c r="C743">
        <v>22</v>
      </c>
      <c r="D743">
        <v>1</v>
      </c>
      <c r="E743">
        <v>269.99</v>
      </c>
      <c r="F743">
        <v>0.1</v>
      </c>
      <c r="G743">
        <v>269.92</v>
      </c>
      <c r="H743" t="s">
        <v>19</v>
      </c>
      <c r="I743" t="s">
        <v>301</v>
      </c>
    </row>
    <row r="744" spans="1:9" x14ac:dyDescent="0.35">
      <c r="A744">
        <v>281</v>
      </c>
      <c r="B744">
        <v>2</v>
      </c>
      <c r="C744">
        <v>14</v>
      </c>
      <c r="D744">
        <v>2</v>
      </c>
      <c r="E744">
        <v>269.99</v>
      </c>
      <c r="F744">
        <v>0.1</v>
      </c>
      <c r="G744">
        <v>539.88</v>
      </c>
      <c r="H744" t="s">
        <v>19</v>
      </c>
      <c r="I744" t="s">
        <v>303</v>
      </c>
    </row>
    <row r="745" spans="1:9" x14ac:dyDescent="0.35">
      <c r="A745">
        <v>281</v>
      </c>
      <c r="B745">
        <v>3</v>
      </c>
      <c r="C745">
        <v>7</v>
      </c>
      <c r="D745">
        <v>2</v>
      </c>
      <c r="E745">
        <v>3999.99</v>
      </c>
      <c r="F745">
        <v>0.1</v>
      </c>
      <c r="G745">
        <v>7999.91</v>
      </c>
      <c r="H745" t="s">
        <v>12</v>
      </c>
      <c r="I745" t="s">
        <v>304</v>
      </c>
    </row>
    <row r="746" spans="1:9" x14ac:dyDescent="0.35">
      <c r="A746">
        <v>282</v>
      </c>
      <c r="B746">
        <v>1</v>
      </c>
      <c r="C746">
        <v>20</v>
      </c>
      <c r="D746">
        <v>1</v>
      </c>
      <c r="E746">
        <v>599.99</v>
      </c>
      <c r="F746">
        <v>0.1</v>
      </c>
      <c r="G746">
        <v>599.91999999999996</v>
      </c>
      <c r="H746" t="s">
        <v>25</v>
      </c>
      <c r="I746" t="s">
        <v>299</v>
      </c>
    </row>
    <row r="747" spans="1:9" x14ac:dyDescent="0.35">
      <c r="A747">
        <v>282</v>
      </c>
      <c r="B747">
        <v>2</v>
      </c>
      <c r="C747">
        <v>7</v>
      </c>
      <c r="D747">
        <v>2</v>
      </c>
      <c r="E747">
        <v>3999.99</v>
      </c>
      <c r="F747">
        <v>0.1</v>
      </c>
      <c r="G747">
        <v>7999.91</v>
      </c>
      <c r="H747" t="s">
        <v>12</v>
      </c>
      <c r="I747" t="s">
        <v>304</v>
      </c>
    </row>
    <row r="748" spans="1:9" x14ac:dyDescent="0.35">
      <c r="A748">
        <v>282</v>
      </c>
      <c r="B748">
        <v>3</v>
      </c>
      <c r="C748">
        <v>3</v>
      </c>
      <c r="D748">
        <v>2</v>
      </c>
      <c r="E748">
        <v>999.99</v>
      </c>
      <c r="F748">
        <v>0.1</v>
      </c>
      <c r="G748">
        <v>1999.93</v>
      </c>
      <c r="H748" t="s">
        <v>8</v>
      </c>
      <c r="I748" t="s">
        <v>302</v>
      </c>
    </row>
    <row r="749" spans="1:9" x14ac:dyDescent="0.35">
      <c r="A749">
        <v>282</v>
      </c>
      <c r="B749">
        <v>4</v>
      </c>
      <c r="C749">
        <v>16</v>
      </c>
      <c r="D749">
        <v>2</v>
      </c>
      <c r="E749">
        <v>599.99</v>
      </c>
      <c r="F749">
        <v>0.1</v>
      </c>
      <c r="G749">
        <v>1199.9100000000001</v>
      </c>
      <c r="H749" t="s">
        <v>21</v>
      </c>
      <c r="I749" t="s">
        <v>299</v>
      </c>
    </row>
    <row r="750" spans="1:9" x14ac:dyDescent="0.35">
      <c r="A750">
        <v>283</v>
      </c>
      <c r="B750">
        <v>1</v>
      </c>
      <c r="C750">
        <v>9</v>
      </c>
      <c r="D750">
        <v>1</v>
      </c>
      <c r="E750">
        <v>2999.99</v>
      </c>
      <c r="F750">
        <v>0.1</v>
      </c>
      <c r="G750">
        <v>2999.94</v>
      </c>
      <c r="H750" t="s">
        <v>14</v>
      </c>
      <c r="I750" t="s">
        <v>304</v>
      </c>
    </row>
    <row r="751" spans="1:9" x14ac:dyDescent="0.35">
      <c r="A751">
        <v>283</v>
      </c>
      <c r="B751">
        <v>2</v>
      </c>
      <c r="C751">
        <v>16</v>
      </c>
      <c r="D751">
        <v>2</v>
      </c>
      <c r="E751">
        <v>599.99</v>
      </c>
      <c r="F751">
        <v>0.2</v>
      </c>
      <c r="G751">
        <v>1199.78</v>
      </c>
      <c r="H751" t="s">
        <v>21</v>
      </c>
      <c r="I751" t="s">
        <v>301</v>
      </c>
    </row>
    <row r="752" spans="1:9" x14ac:dyDescent="0.35">
      <c r="A752">
        <v>284</v>
      </c>
      <c r="B752">
        <v>1</v>
      </c>
      <c r="C752">
        <v>24</v>
      </c>
      <c r="D752">
        <v>2</v>
      </c>
      <c r="E752">
        <v>549.99</v>
      </c>
      <c r="F752">
        <v>0.2</v>
      </c>
      <c r="G752">
        <v>1099.78</v>
      </c>
      <c r="H752" t="s">
        <v>17</v>
      </c>
      <c r="I752" t="s">
        <v>299</v>
      </c>
    </row>
    <row r="753" spans="1:9" x14ac:dyDescent="0.35">
      <c r="A753">
        <v>284</v>
      </c>
      <c r="B753">
        <v>2</v>
      </c>
      <c r="C753">
        <v>20</v>
      </c>
      <c r="D753">
        <v>1</v>
      </c>
      <c r="E753">
        <v>599.99</v>
      </c>
      <c r="F753">
        <v>0.2</v>
      </c>
      <c r="G753">
        <v>599.79</v>
      </c>
      <c r="H753" t="s">
        <v>25</v>
      </c>
      <c r="I753" t="s">
        <v>304</v>
      </c>
    </row>
    <row r="754" spans="1:9" x14ac:dyDescent="0.35">
      <c r="A754">
        <v>285</v>
      </c>
      <c r="B754">
        <v>1</v>
      </c>
      <c r="C754">
        <v>16</v>
      </c>
      <c r="D754">
        <v>2</v>
      </c>
      <c r="E754">
        <v>599.99</v>
      </c>
      <c r="F754">
        <v>0.1</v>
      </c>
      <c r="G754">
        <v>1199.93</v>
      </c>
      <c r="H754" t="s">
        <v>21</v>
      </c>
      <c r="I754" t="s">
        <v>300</v>
      </c>
    </row>
    <row r="755" spans="1:9" x14ac:dyDescent="0.35">
      <c r="A755">
        <v>285</v>
      </c>
      <c r="B755">
        <v>2</v>
      </c>
      <c r="C755">
        <v>12</v>
      </c>
      <c r="D755">
        <v>1</v>
      </c>
      <c r="E755">
        <v>549.99</v>
      </c>
      <c r="F755">
        <v>0.1</v>
      </c>
      <c r="G755">
        <v>549.94000000000005</v>
      </c>
      <c r="H755" t="s">
        <v>17</v>
      </c>
      <c r="I755" t="s">
        <v>299</v>
      </c>
    </row>
    <row r="756" spans="1:9" x14ac:dyDescent="0.35">
      <c r="A756">
        <v>285</v>
      </c>
      <c r="B756">
        <v>3</v>
      </c>
      <c r="C756">
        <v>2</v>
      </c>
      <c r="D756">
        <v>1</v>
      </c>
      <c r="E756">
        <v>749.99</v>
      </c>
      <c r="F756">
        <v>0.1</v>
      </c>
      <c r="G756">
        <v>749.89</v>
      </c>
      <c r="H756" t="s">
        <v>7</v>
      </c>
      <c r="I756" t="s">
        <v>300</v>
      </c>
    </row>
    <row r="757" spans="1:9" x14ac:dyDescent="0.35">
      <c r="A757">
        <v>286</v>
      </c>
      <c r="B757">
        <v>1</v>
      </c>
      <c r="C757">
        <v>26</v>
      </c>
      <c r="D757">
        <v>2</v>
      </c>
      <c r="E757">
        <v>599.99</v>
      </c>
      <c r="F757">
        <v>0.2</v>
      </c>
      <c r="G757">
        <v>1199.78</v>
      </c>
      <c r="H757" t="s">
        <v>21</v>
      </c>
      <c r="I757" t="s">
        <v>299</v>
      </c>
    </row>
    <row r="758" spans="1:9" x14ac:dyDescent="0.35">
      <c r="A758">
        <v>286</v>
      </c>
      <c r="B758">
        <v>2</v>
      </c>
      <c r="C758">
        <v>21</v>
      </c>
      <c r="D758">
        <v>2</v>
      </c>
      <c r="E758">
        <v>269.99</v>
      </c>
      <c r="F758">
        <v>0.1</v>
      </c>
      <c r="G758">
        <v>539.91</v>
      </c>
      <c r="H758" t="s">
        <v>18</v>
      </c>
      <c r="I758" t="s">
        <v>299</v>
      </c>
    </row>
    <row r="759" spans="1:9" x14ac:dyDescent="0.35">
      <c r="A759">
        <v>286</v>
      </c>
      <c r="B759">
        <v>3</v>
      </c>
      <c r="C759">
        <v>16</v>
      </c>
      <c r="D759">
        <v>2</v>
      </c>
      <c r="E759">
        <v>599.99</v>
      </c>
      <c r="F759">
        <v>0.1</v>
      </c>
      <c r="G759">
        <v>1199.8800000000001</v>
      </c>
      <c r="H759" t="s">
        <v>21</v>
      </c>
      <c r="I759" t="s">
        <v>299</v>
      </c>
    </row>
    <row r="760" spans="1:9" x14ac:dyDescent="0.35">
      <c r="A760">
        <v>286</v>
      </c>
      <c r="B760">
        <v>4</v>
      </c>
      <c r="C760">
        <v>7</v>
      </c>
      <c r="D760">
        <v>1</v>
      </c>
      <c r="E760">
        <v>3999.99</v>
      </c>
      <c r="F760">
        <v>0.1</v>
      </c>
      <c r="G760">
        <v>3999.89</v>
      </c>
      <c r="H760" t="s">
        <v>12</v>
      </c>
      <c r="I760" t="s">
        <v>301</v>
      </c>
    </row>
    <row r="761" spans="1:9" x14ac:dyDescent="0.35">
      <c r="A761">
        <v>287</v>
      </c>
      <c r="B761">
        <v>1</v>
      </c>
      <c r="C761">
        <v>5</v>
      </c>
      <c r="D761">
        <v>1</v>
      </c>
      <c r="E761">
        <v>1320.99</v>
      </c>
      <c r="F761">
        <v>0.2</v>
      </c>
      <c r="G761">
        <v>1320.79</v>
      </c>
      <c r="H761" t="s">
        <v>10</v>
      </c>
      <c r="I761" t="s">
        <v>300</v>
      </c>
    </row>
    <row r="762" spans="1:9" x14ac:dyDescent="0.35">
      <c r="A762">
        <v>287</v>
      </c>
      <c r="B762">
        <v>2</v>
      </c>
      <c r="C762">
        <v>10</v>
      </c>
      <c r="D762">
        <v>1</v>
      </c>
      <c r="E762">
        <v>1549</v>
      </c>
      <c r="F762">
        <v>0.1</v>
      </c>
      <c r="G762">
        <v>1548.95</v>
      </c>
      <c r="H762" t="s">
        <v>15</v>
      </c>
      <c r="I762" t="s">
        <v>304</v>
      </c>
    </row>
    <row r="763" spans="1:9" x14ac:dyDescent="0.35">
      <c r="A763">
        <v>287</v>
      </c>
      <c r="B763">
        <v>3</v>
      </c>
      <c r="C763">
        <v>2</v>
      </c>
      <c r="D763">
        <v>1</v>
      </c>
      <c r="E763">
        <v>749.99</v>
      </c>
      <c r="F763">
        <v>0.1</v>
      </c>
      <c r="G763">
        <v>749.94</v>
      </c>
      <c r="H763" t="s">
        <v>7</v>
      </c>
      <c r="I763" t="s">
        <v>301</v>
      </c>
    </row>
    <row r="764" spans="1:9" x14ac:dyDescent="0.35">
      <c r="A764">
        <v>287</v>
      </c>
      <c r="B764">
        <v>4</v>
      </c>
      <c r="C764">
        <v>20</v>
      </c>
      <c r="D764">
        <v>1</v>
      </c>
      <c r="E764">
        <v>599.99</v>
      </c>
      <c r="F764">
        <v>0.1</v>
      </c>
      <c r="G764">
        <v>599.94000000000005</v>
      </c>
      <c r="H764" t="s">
        <v>25</v>
      </c>
      <c r="I764" t="s">
        <v>299</v>
      </c>
    </row>
    <row r="765" spans="1:9" x14ac:dyDescent="0.35">
      <c r="A765">
        <v>288</v>
      </c>
      <c r="B765">
        <v>1</v>
      </c>
      <c r="C765">
        <v>4</v>
      </c>
      <c r="D765">
        <v>1</v>
      </c>
      <c r="E765">
        <v>2899.99</v>
      </c>
      <c r="F765">
        <v>0.2</v>
      </c>
      <c r="G765">
        <v>2899.79</v>
      </c>
      <c r="H765" t="s">
        <v>9</v>
      </c>
      <c r="I765" t="s">
        <v>301</v>
      </c>
    </row>
    <row r="766" spans="1:9" x14ac:dyDescent="0.35">
      <c r="A766">
        <v>288</v>
      </c>
      <c r="B766">
        <v>2</v>
      </c>
      <c r="C766">
        <v>10</v>
      </c>
      <c r="D766">
        <v>1</v>
      </c>
      <c r="E766">
        <v>1549</v>
      </c>
      <c r="F766">
        <v>0.1</v>
      </c>
      <c r="G766">
        <v>1548.9</v>
      </c>
      <c r="H766" t="s">
        <v>15</v>
      </c>
      <c r="I766" t="s">
        <v>300</v>
      </c>
    </row>
    <row r="767" spans="1:9" x14ac:dyDescent="0.35">
      <c r="A767">
        <v>288</v>
      </c>
      <c r="B767">
        <v>3</v>
      </c>
      <c r="C767">
        <v>7</v>
      </c>
      <c r="D767">
        <v>2</v>
      </c>
      <c r="E767">
        <v>3999.99</v>
      </c>
      <c r="F767">
        <v>0.1</v>
      </c>
      <c r="G767">
        <v>7999.93</v>
      </c>
      <c r="H767" t="s">
        <v>12</v>
      </c>
      <c r="I767" t="s">
        <v>301</v>
      </c>
    </row>
    <row r="768" spans="1:9" x14ac:dyDescent="0.35">
      <c r="A768">
        <v>289</v>
      </c>
      <c r="B768">
        <v>1</v>
      </c>
      <c r="C768">
        <v>13</v>
      </c>
      <c r="D768">
        <v>1</v>
      </c>
      <c r="E768">
        <v>269.99</v>
      </c>
      <c r="F768">
        <v>0.1</v>
      </c>
      <c r="G768">
        <v>269.92</v>
      </c>
      <c r="H768" t="s">
        <v>18</v>
      </c>
      <c r="I768" t="s">
        <v>299</v>
      </c>
    </row>
    <row r="769" spans="1:9" x14ac:dyDescent="0.35">
      <c r="A769">
        <v>289</v>
      </c>
      <c r="B769">
        <v>2</v>
      </c>
      <c r="C769">
        <v>24</v>
      </c>
      <c r="D769">
        <v>1</v>
      </c>
      <c r="E769">
        <v>549.99</v>
      </c>
      <c r="F769">
        <v>0.2</v>
      </c>
      <c r="G769">
        <v>549.79</v>
      </c>
      <c r="H769" t="s">
        <v>17</v>
      </c>
      <c r="I769" t="s">
        <v>300</v>
      </c>
    </row>
    <row r="770" spans="1:9" x14ac:dyDescent="0.35">
      <c r="A770">
        <v>289</v>
      </c>
      <c r="B770">
        <v>3</v>
      </c>
      <c r="C770">
        <v>17</v>
      </c>
      <c r="D770">
        <v>1</v>
      </c>
      <c r="E770">
        <v>429</v>
      </c>
      <c r="F770">
        <v>0.2</v>
      </c>
      <c r="G770">
        <v>428.8</v>
      </c>
      <c r="H770" t="s">
        <v>22</v>
      </c>
      <c r="I770" t="s">
        <v>299</v>
      </c>
    </row>
    <row r="771" spans="1:9" x14ac:dyDescent="0.35">
      <c r="A771">
        <v>290</v>
      </c>
      <c r="B771">
        <v>1</v>
      </c>
      <c r="C771">
        <v>2</v>
      </c>
      <c r="D771">
        <v>2</v>
      </c>
      <c r="E771">
        <v>749.99</v>
      </c>
      <c r="F771">
        <v>0.1</v>
      </c>
      <c r="G771">
        <v>1499.91</v>
      </c>
      <c r="H771" t="s">
        <v>7</v>
      </c>
      <c r="I771" t="s">
        <v>300</v>
      </c>
    </row>
    <row r="772" spans="1:9" x14ac:dyDescent="0.35">
      <c r="A772">
        <v>290</v>
      </c>
      <c r="B772">
        <v>2</v>
      </c>
      <c r="C772">
        <v>5</v>
      </c>
      <c r="D772">
        <v>2</v>
      </c>
      <c r="E772">
        <v>1320.99</v>
      </c>
      <c r="F772">
        <v>0.1</v>
      </c>
      <c r="G772">
        <v>2641.91</v>
      </c>
      <c r="H772" t="s">
        <v>10</v>
      </c>
      <c r="I772" t="s">
        <v>300</v>
      </c>
    </row>
    <row r="773" spans="1:9" x14ac:dyDescent="0.35">
      <c r="A773">
        <v>290</v>
      </c>
      <c r="B773">
        <v>3</v>
      </c>
      <c r="C773">
        <v>21</v>
      </c>
      <c r="D773">
        <v>1</v>
      </c>
      <c r="E773">
        <v>269.99</v>
      </c>
      <c r="F773">
        <v>0.1</v>
      </c>
      <c r="G773">
        <v>269.89</v>
      </c>
      <c r="H773" t="s">
        <v>18</v>
      </c>
      <c r="I773" t="s">
        <v>305</v>
      </c>
    </row>
    <row r="774" spans="1:9" x14ac:dyDescent="0.35">
      <c r="A774">
        <v>291</v>
      </c>
      <c r="B774">
        <v>1</v>
      </c>
      <c r="C774">
        <v>6</v>
      </c>
      <c r="D774">
        <v>2</v>
      </c>
      <c r="E774">
        <v>469.99</v>
      </c>
      <c r="F774">
        <v>0.1</v>
      </c>
      <c r="G774">
        <v>939.93</v>
      </c>
      <c r="H774" t="s">
        <v>11</v>
      </c>
      <c r="I774" t="s">
        <v>305</v>
      </c>
    </row>
    <row r="775" spans="1:9" x14ac:dyDescent="0.35">
      <c r="A775">
        <v>291</v>
      </c>
      <c r="B775">
        <v>2</v>
      </c>
      <c r="C775">
        <v>21</v>
      </c>
      <c r="D775">
        <v>2</v>
      </c>
      <c r="E775">
        <v>269.99</v>
      </c>
      <c r="F775">
        <v>0.1</v>
      </c>
      <c r="G775">
        <v>539.91</v>
      </c>
      <c r="H775" t="s">
        <v>18</v>
      </c>
      <c r="I775" t="s">
        <v>299</v>
      </c>
    </row>
    <row r="776" spans="1:9" x14ac:dyDescent="0.35">
      <c r="A776">
        <v>292</v>
      </c>
      <c r="B776">
        <v>1</v>
      </c>
      <c r="C776">
        <v>18</v>
      </c>
      <c r="D776">
        <v>2</v>
      </c>
      <c r="E776">
        <v>449</v>
      </c>
      <c r="F776">
        <v>0.1</v>
      </c>
      <c r="G776">
        <v>897.9</v>
      </c>
      <c r="H776" t="s">
        <v>23</v>
      </c>
      <c r="I776" t="s">
        <v>301</v>
      </c>
    </row>
    <row r="777" spans="1:9" x14ac:dyDescent="0.35">
      <c r="A777">
        <v>292</v>
      </c>
      <c r="B777">
        <v>2</v>
      </c>
      <c r="C777">
        <v>4</v>
      </c>
      <c r="D777">
        <v>1</v>
      </c>
      <c r="E777">
        <v>2899.99</v>
      </c>
      <c r="F777">
        <v>0.1</v>
      </c>
      <c r="G777">
        <v>2899.92</v>
      </c>
      <c r="H777" t="s">
        <v>9</v>
      </c>
      <c r="I777" t="s">
        <v>304</v>
      </c>
    </row>
    <row r="778" spans="1:9" x14ac:dyDescent="0.35">
      <c r="A778">
        <v>292</v>
      </c>
      <c r="B778">
        <v>3</v>
      </c>
      <c r="C778">
        <v>10</v>
      </c>
      <c r="D778">
        <v>2</v>
      </c>
      <c r="E778">
        <v>1549</v>
      </c>
      <c r="F778">
        <v>0.1</v>
      </c>
      <c r="G778">
        <v>3097.95</v>
      </c>
      <c r="H778" t="s">
        <v>15</v>
      </c>
      <c r="I778" t="s">
        <v>304</v>
      </c>
    </row>
    <row r="779" spans="1:9" x14ac:dyDescent="0.35">
      <c r="A779">
        <v>293</v>
      </c>
      <c r="B779">
        <v>1</v>
      </c>
      <c r="C779">
        <v>19</v>
      </c>
      <c r="D779">
        <v>2</v>
      </c>
      <c r="E779">
        <v>449</v>
      </c>
      <c r="F779">
        <v>0.1</v>
      </c>
      <c r="G779">
        <v>897.95</v>
      </c>
      <c r="H779" t="s">
        <v>24</v>
      </c>
      <c r="I779" t="s">
        <v>300</v>
      </c>
    </row>
    <row r="780" spans="1:9" x14ac:dyDescent="0.35">
      <c r="A780">
        <v>293</v>
      </c>
      <c r="B780">
        <v>2</v>
      </c>
      <c r="C780">
        <v>6</v>
      </c>
      <c r="D780">
        <v>1</v>
      </c>
      <c r="E780">
        <v>469.99</v>
      </c>
      <c r="F780">
        <v>0.2</v>
      </c>
      <c r="G780">
        <v>469.79</v>
      </c>
      <c r="H780" t="s">
        <v>11</v>
      </c>
      <c r="I780" t="s">
        <v>300</v>
      </c>
    </row>
    <row r="781" spans="1:9" x14ac:dyDescent="0.35">
      <c r="A781">
        <v>294</v>
      </c>
      <c r="B781">
        <v>1</v>
      </c>
      <c r="C781">
        <v>18</v>
      </c>
      <c r="D781">
        <v>1</v>
      </c>
      <c r="E781">
        <v>449</v>
      </c>
      <c r="F781">
        <v>0.2</v>
      </c>
      <c r="G781">
        <v>448.8</v>
      </c>
      <c r="H781" t="s">
        <v>23</v>
      </c>
      <c r="I781" t="s">
        <v>299</v>
      </c>
    </row>
    <row r="782" spans="1:9" x14ac:dyDescent="0.35">
      <c r="A782">
        <v>294</v>
      </c>
      <c r="B782">
        <v>2</v>
      </c>
      <c r="C782">
        <v>14</v>
      </c>
      <c r="D782">
        <v>1</v>
      </c>
      <c r="E782">
        <v>269.99</v>
      </c>
      <c r="F782">
        <v>0.2</v>
      </c>
      <c r="G782">
        <v>269.79000000000002</v>
      </c>
      <c r="H782" t="s">
        <v>19</v>
      </c>
      <c r="I782" t="s">
        <v>301</v>
      </c>
    </row>
    <row r="783" spans="1:9" x14ac:dyDescent="0.35">
      <c r="A783">
        <v>294</v>
      </c>
      <c r="B783">
        <v>3</v>
      </c>
      <c r="C783">
        <v>7</v>
      </c>
      <c r="D783">
        <v>2</v>
      </c>
      <c r="E783">
        <v>3999.99</v>
      </c>
      <c r="F783">
        <v>0.1</v>
      </c>
      <c r="G783">
        <v>7999.93</v>
      </c>
      <c r="H783" t="s">
        <v>12</v>
      </c>
      <c r="I783" t="s">
        <v>305</v>
      </c>
    </row>
    <row r="784" spans="1:9" x14ac:dyDescent="0.35">
      <c r="A784">
        <v>294</v>
      </c>
      <c r="B784">
        <v>4</v>
      </c>
      <c r="C784">
        <v>25</v>
      </c>
      <c r="D784">
        <v>2</v>
      </c>
      <c r="E784">
        <v>499.99</v>
      </c>
      <c r="F784">
        <v>0.2</v>
      </c>
      <c r="G784">
        <v>999.78</v>
      </c>
      <c r="H784" t="s">
        <v>27</v>
      </c>
      <c r="I784" t="s">
        <v>301</v>
      </c>
    </row>
    <row r="785" spans="1:9" x14ac:dyDescent="0.35">
      <c r="A785">
        <v>296</v>
      </c>
      <c r="B785">
        <v>1</v>
      </c>
      <c r="C785">
        <v>25</v>
      </c>
      <c r="D785">
        <v>2</v>
      </c>
      <c r="E785">
        <v>499.99</v>
      </c>
      <c r="F785">
        <v>0.1</v>
      </c>
      <c r="G785">
        <v>999.91</v>
      </c>
      <c r="H785" t="s">
        <v>27</v>
      </c>
      <c r="I785" t="s">
        <v>301</v>
      </c>
    </row>
    <row r="786" spans="1:9" x14ac:dyDescent="0.35">
      <c r="A786">
        <v>296</v>
      </c>
      <c r="B786">
        <v>2</v>
      </c>
      <c r="C786">
        <v>12</v>
      </c>
      <c r="D786">
        <v>2</v>
      </c>
      <c r="E786">
        <v>549.99</v>
      </c>
      <c r="F786">
        <v>0.1</v>
      </c>
      <c r="G786">
        <v>1099.8800000000001</v>
      </c>
      <c r="H786" t="s">
        <v>17</v>
      </c>
      <c r="I786" t="s">
        <v>300</v>
      </c>
    </row>
    <row r="787" spans="1:9" x14ac:dyDescent="0.35">
      <c r="A787">
        <v>296</v>
      </c>
      <c r="B787">
        <v>3</v>
      </c>
      <c r="C787">
        <v>11</v>
      </c>
      <c r="D787">
        <v>2</v>
      </c>
      <c r="E787">
        <v>1680.99</v>
      </c>
      <c r="F787">
        <v>0.1</v>
      </c>
      <c r="G787">
        <v>3361.88</v>
      </c>
      <c r="H787" t="s">
        <v>16</v>
      </c>
      <c r="I787" t="s">
        <v>305</v>
      </c>
    </row>
    <row r="788" spans="1:9" x14ac:dyDescent="0.35">
      <c r="A788">
        <v>296</v>
      </c>
      <c r="B788">
        <v>4</v>
      </c>
      <c r="C788">
        <v>9</v>
      </c>
      <c r="D788">
        <v>1</v>
      </c>
      <c r="E788">
        <v>2999.99</v>
      </c>
      <c r="F788">
        <v>0.2</v>
      </c>
      <c r="G788">
        <v>2999.79</v>
      </c>
      <c r="H788" t="s">
        <v>14</v>
      </c>
      <c r="I788" t="s">
        <v>304</v>
      </c>
    </row>
    <row r="789" spans="1:9" x14ac:dyDescent="0.35">
      <c r="A789">
        <v>298</v>
      </c>
      <c r="B789">
        <v>1</v>
      </c>
      <c r="C789">
        <v>23</v>
      </c>
      <c r="D789">
        <v>1</v>
      </c>
      <c r="E789">
        <v>299.99</v>
      </c>
      <c r="F789">
        <v>0.2</v>
      </c>
      <c r="G789">
        <v>299.79000000000002</v>
      </c>
      <c r="H789" t="s">
        <v>26</v>
      </c>
      <c r="I789" t="s">
        <v>304</v>
      </c>
    </row>
    <row r="790" spans="1:9" x14ac:dyDescent="0.35">
      <c r="A790">
        <v>298</v>
      </c>
      <c r="B790">
        <v>2</v>
      </c>
      <c r="C790">
        <v>6</v>
      </c>
      <c r="D790">
        <v>2</v>
      </c>
      <c r="E790">
        <v>469.99</v>
      </c>
      <c r="F790">
        <v>0.1</v>
      </c>
      <c r="G790">
        <v>939.93</v>
      </c>
      <c r="H790" t="s">
        <v>11</v>
      </c>
      <c r="I790" t="s">
        <v>299</v>
      </c>
    </row>
    <row r="791" spans="1:9" x14ac:dyDescent="0.35">
      <c r="A791">
        <v>298</v>
      </c>
      <c r="B791">
        <v>3</v>
      </c>
      <c r="C791">
        <v>22</v>
      </c>
      <c r="D791">
        <v>1</v>
      </c>
      <c r="E791">
        <v>269.99</v>
      </c>
      <c r="F791">
        <v>0.2</v>
      </c>
      <c r="G791">
        <v>269.79000000000002</v>
      </c>
      <c r="H791" t="s">
        <v>19</v>
      </c>
      <c r="I791" t="s">
        <v>301</v>
      </c>
    </row>
    <row r="792" spans="1:9" x14ac:dyDescent="0.35">
      <c r="A792">
        <v>298</v>
      </c>
      <c r="B792">
        <v>4</v>
      </c>
      <c r="C792">
        <v>9</v>
      </c>
      <c r="D792">
        <v>1</v>
      </c>
      <c r="E792">
        <v>2999.99</v>
      </c>
      <c r="F792">
        <v>0.1</v>
      </c>
      <c r="G792">
        <v>2999.92</v>
      </c>
      <c r="H792" t="s">
        <v>14</v>
      </c>
      <c r="I792" t="s">
        <v>301</v>
      </c>
    </row>
    <row r="793" spans="1:9" x14ac:dyDescent="0.35">
      <c r="A793">
        <v>298</v>
      </c>
      <c r="B793">
        <v>5</v>
      </c>
      <c r="C793">
        <v>14</v>
      </c>
      <c r="D793">
        <v>2</v>
      </c>
      <c r="E793">
        <v>269.99</v>
      </c>
      <c r="F793">
        <v>0.1</v>
      </c>
      <c r="G793">
        <v>539.88</v>
      </c>
      <c r="H793" t="s">
        <v>19</v>
      </c>
      <c r="I793" t="s">
        <v>301</v>
      </c>
    </row>
    <row r="794" spans="1:9" x14ac:dyDescent="0.35">
      <c r="A794">
        <v>299</v>
      </c>
      <c r="B794">
        <v>1</v>
      </c>
      <c r="C794">
        <v>11</v>
      </c>
      <c r="D794">
        <v>2</v>
      </c>
      <c r="E794">
        <v>1680.99</v>
      </c>
      <c r="F794">
        <v>0.1</v>
      </c>
      <c r="G794">
        <v>3361.93</v>
      </c>
      <c r="H794" t="s">
        <v>16</v>
      </c>
      <c r="I794" t="s">
        <v>301</v>
      </c>
    </row>
    <row r="795" spans="1:9" x14ac:dyDescent="0.35">
      <c r="A795">
        <v>299</v>
      </c>
      <c r="B795">
        <v>2</v>
      </c>
      <c r="C795">
        <v>10</v>
      </c>
      <c r="D795">
        <v>2</v>
      </c>
      <c r="E795">
        <v>1549</v>
      </c>
      <c r="F795">
        <v>0.2</v>
      </c>
      <c r="G795">
        <v>3097.8</v>
      </c>
      <c r="H795" t="s">
        <v>15</v>
      </c>
      <c r="I795" t="s">
        <v>304</v>
      </c>
    </row>
    <row r="796" spans="1:9" x14ac:dyDescent="0.35">
      <c r="A796">
        <v>300</v>
      </c>
      <c r="B796">
        <v>1</v>
      </c>
      <c r="C796">
        <v>16</v>
      </c>
      <c r="D796">
        <v>2</v>
      </c>
      <c r="E796">
        <v>599.99</v>
      </c>
      <c r="F796">
        <v>0.1</v>
      </c>
      <c r="G796">
        <v>1199.8800000000001</v>
      </c>
      <c r="H796" t="s">
        <v>21</v>
      </c>
      <c r="I796" t="s">
        <v>303</v>
      </c>
    </row>
    <row r="797" spans="1:9" x14ac:dyDescent="0.35">
      <c r="A797">
        <v>300</v>
      </c>
      <c r="B797">
        <v>2</v>
      </c>
      <c r="C797">
        <v>9</v>
      </c>
      <c r="D797">
        <v>2</v>
      </c>
      <c r="E797">
        <v>2999.99</v>
      </c>
      <c r="F797">
        <v>0.1</v>
      </c>
      <c r="G797">
        <v>5999.88</v>
      </c>
      <c r="H797" t="s">
        <v>14</v>
      </c>
      <c r="I797" t="s">
        <v>299</v>
      </c>
    </row>
    <row r="798" spans="1:9" x14ac:dyDescent="0.35">
      <c r="A798">
        <v>300</v>
      </c>
      <c r="B798">
        <v>3</v>
      </c>
      <c r="C798">
        <v>10</v>
      </c>
      <c r="D798">
        <v>1</v>
      </c>
      <c r="E798">
        <v>1549</v>
      </c>
      <c r="F798">
        <v>0.1</v>
      </c>
      <c r="G798">
        <v>1548.9</v>
      </c>
      <c r="H798" t="s">
        <v>15</v>
      </c>
      <c r="I798" t="s">
        <v>300</v>
      </c>
    </row>
    <row r="799" spans="1:9" x14ac:dyDescent="0.35">
      <c r="A799">
        <v>300</v>
      </c>
      <c r="B799">
        <v>4</v>
      </c>
      <c r="C799">
        <v>11</v>
      </c>
      <c r="D799">
        <v>2</v>
      </c>
      <c r="E799">
        <v>1680.99</v>
      </c>
      <c r="F799">
        <v>0.2</v>
      </c>
      <c r="G799">
        <v>3361.78</v>
      </c>
      <c r="H799" t="s">
        <v>16</v>
      </c>
      <c r="I799" t="s">
        <v>299</v>
      </c>
    </row>
    <row r="800" spans="1:9" x14ac:dyDescent="0.35">
      <c r="A800">
        <v>301</v>
      </c>
      <c r="B800">
        <v>1</v>
      </c>
      <c r="C800">
        <v>6</v>
      </c>
      <c r="D800">
        <v>1</v>
      </c>
      <c r="E800">
        <v>469.99</v>
      </c>
      <c r="F800">
        <v>0.1</v>
      </c>
      <c r="G800">
        <v>469.94</v>
      </c>
      <c r="H800" t="s">
        <v>11</v>
      </c>
      <c r="I800" t="s">
        <v>304</v>
      </c>
    </row>
    <row r="801" spans="1:9" x14ac:dyDescent="0.35">
      <c r="A801">
        <v>301</v>
      </c>
      <c r="B801">
        <v>2</v>
      </c>
      <c r="C801">
        <v>22</v>
      </c>
      <c r="D801">
        <v>1</v>
      </c>
      <c r="E801">
        <v>269.99</v>
      </c>
      <c r="F801">
        <v>0.1</v>
      </c>
      <c r="G801">
        <v>269.89</v>
      </c>
      <c r="H801" t="s">
        <v>19</v>
      </c>
      <c r="I801" t="s">
        <v>304</v>
      </c>
    </row>
    <row r="802" spans="1:9" x14ac:dyDescent="0.35">
      <c r="A802">
        <v>302</v>
      </c>
      <c r="B802">
        <v>1</v>
      </c>
      <c r="C802">
        <v>24</v>
      </c>
      <c r="D802">
        <v>2</v>
      </c>
      <c r="E802">
        <v>549.99</v>
      </c>
      <c r="F802">
        <v>0.2</v>
      </c>
      <c r="G802">
        <v>1099.78</v>
      </c>
      <c r="H802" t="s">
        <v>17</v>
      </c>
      <c r="I802" t="s">
        <v>299</v>
      </c>
    </row>
    <row r="803" spans="1:9" x14ac:dyDescent="0.35">
      <c r="A803">
        <v>302</v>
      </c>
      <c r="B803">
        <v>2</v>
      </c>
      <c r="C803">
        <v>18</v>
      </c>
      <c r="D803">
        <v>2</v>
      </c>
      <c r="E803">
        <v>449</v>
      </c>
      <c r="F803">
        <v>0.1</v>
      </c>
      <c r="G803">
        <v>897.93</v>
      </c>
      <c r="H803" t="s">
        <v>23</v>
      </c>
      <c r="I803" t="s">
        <v>299</v>
      </c>
    </row>
    <row r="804" spans="1:9" x14ac:dyDescent="0.35">
      <c r="A804">
        <v>302</v>
      </c>
      <c r="B804">
        <v>3</v>
      </c>
      <c r="C804">
        <v>2</v>
      </c>
      <c r="D804">
        <v>2</v>
      </c>
      <c r="E804">
        <v>749.99</v>
      </c>
      <c r="F804">
        <v>0.2</v>
      </c>
      <c r="G804">
        <v>1499.78</v>
      </c>
      <c r="H804" t="s">
        <v>7</v>
      </c>
      <c r="I804" t="s">
        <v>301</v>
      </c>
    </row>
    <row r="805" spans="1:9" x14ac:dyDescent="0.35">
      <c r="A805">
        <v>303</v>
      </c>
      <c r="B805">
        <v>1</v>
      </c>
      <c r="C805">
        <v>8</v>
      </c>
      <c r="D805">
        <v>2</v>
      </c>
      <c r="E805">
        <v>1799.99</v>
      </c>
      <c r="F805">
        <v>0.1</v>
      </c>
      <c r="G805">
        <v>3599.93</v>
      </c>
      <c r="H805" t="s">
        <v>13</v>
      </c>
      <c r="I805" t="s">
        <v>304</v>
      </c>
    </row>
    <row r="806" spans="1:9" x14ac:dyDescent="0.35">
      <c r="A806">
        <v>303</v>
      </c>
      <c r="B806">
        <v>2</v>
      </c>
      <c r="C806">
        <v>24</v>
      </c>
      <c r="D806">
        <v>2</v>
      </c>
      <c r="E806">
        <v>549.99</v>
      </c>
      <c r="F806">
        <v>0.1</v>
      </c>
      <c r="G806">
        <v>1099.93</v>
      </c>
      <c r="H806" t="s">
        <v>17</v>
      </c>
      <c r="I806" t="s">
        <v>304</v>
      </c>
    </row>
    <row r="807" spans="1:9" x14ac:dyDescent="0.35">
      <c r="A807">
        <v>304</v>
      </c>
      <c r="B807">
        <v>1</v>
      </c>
      <c r="C807">
        <v>10</v>
      </c>
      <c r="D807">
        <v>1</v>
      </c>
      <c r="E807">
        <v>1549</v>
      </c>
      <c r="F807">
        <v>0.1</v>
      </c>
      <c r="G807">
        <v>1548.95</v>
      </c>
      <c r="H807" t="s">
        <v>15</v>
      </c>
      <c r="I807" t="s">
        <v>304</v>
      </c>
    </row>
    <row r="808" spans="1:9" x14ac:dyDescent="0.35">
      <c r="A808">
        <v>304</v>
      </c>
      <c r="B808">
        <v>2</v>
      </c>
      <c r="C808">
        <v>7</v>
      </c>
      <c r="D808">
        <v>2</v>
      </c>
      <c r="E808">
        <v>3999.99</v>
      </c>
      <c r="F808">
        <v>0.1</v>
      </c>
      <c r="G808">
        <v>7999.88</v>
      </c>
      <c r="H808" t="s">
        <v>12</v>
      </c>
      <c r="I808" t="s">
        <v>304</v>
      </c>
    </row>
    <row r="809" spans="1:9" x14ac:dyDescent="0.35">
      <c r="A809">
        <v>304</v>
      </c>
      <c r="B809">
        <v>3</v>
      </c>
      <c r="C809">
        <v>20</v>
      </c>
      <c r="D809">
        <v>1</v>
      </c>
      <c r="E809">
        <v>599.99</v>
      </c>
      <c r="F809">
        <v>0.1</v>
      </c>
      <c r="G809">
        <v>599.89</v>
      </c>
      <c r="H809" t="s">
        <v>25</v>
      </c>
      <c r="I809" t="s">
        <v>304</v>
      </c>
    </row>
    <row r="810" spans="1:9" x14ac:dyDescent="0.35">
      <c r="A810">
        <v>305</v>
      </c>
      <c r="B810">
        <v>1</v>
      </c>
      <c r="C810">
        <v>10</v>
      </c>
      <c r="D810">
        <v>1</v>
      </c>
      <c r="E810">
        <v>1549</v>
      </c>
      <c r="F810">
        <v>0.1</v>
      </c>
      <c r="G810">
        <v>1548.93</v>
      </c>
      <c r="H810" t="s">
        <v>15</v>
      </c>
      <c r="I810" t="s">
        <v>301</v>
      </c>
    </row>
    <row r="811" spans="1:9" x14ac:dyDescent="0.35">
      <c r="A811">
        <v>305</v>
      </c>
      <c r="B811">
        <v>2</v>
      </c>
      <c r="C811">
        <v>6</v>
      </c>
      <c r="D811">
        <v>1</v>
      </c>
      <c r="E811">
        <v>469.99</v>
      </c>
      <c r="F811">
        <v>0.1</v>
      </c>
      <c r="G811">
        <v>469.89</v>
      </c>
      <c r="H811" t="s">
        <v>11</v>
      </c>
      <c r="I811" t="s">
        <v>299</v>
      </c>
    </row>
    <row r="812" spans="1:9" x14ac:dyDescent="0.35">
      <c r="A812">
        <v>305</v>
      </c>
      <c r="B812">
        <v>3</v>
      </c>
      <c r="C812">
        <v>3</v>
      </c>
      <c r="D812">
        <v>2</v>
      </c>
      <c r="E812">
        <v>999.99</v>
      </c>
      <c r="F812">
        <v>0.2</v>
      </c>
      <c r="G812">
        <v>1999.78</v>
      </c>
      <c r="H812" t="s">
        <v>8</v>
      </c>
      <c r="I812" t="s">
        <v>299</v>
      </c>
    </row>
    <row r="813" spans="1:9" x14ac:dyDescent="0.35">
      <c r="A813">
        <v>306</v>
      </c>
      <c r="B813">
        <v>1</v>
      </c>
      <c r="C813">
        <v>10</v>
      </c>
      <c r="D813">
        <v>1</v>
      </c>
      <c r="E813">
        <v>1549</v>
      </c>
      <c r="F813">
        <v>0.2</v>
      </c>
      <c r="G813">
        <v>1548.8</v>
      </c>
      <c r="H813" t="s">
        <v>15</v>
      </c>
      <c r="I813" t="s">
        <v>304</v>
      </c>
    </row>
    <row r="814" spans="1:9" x14ac:dyDescent="0.35">
      <c r="A814">
        <v>306</v>
      </c>
      <c r="B814">
        <v>2</v>
      </c>
      <c r="C814">
        <v>22</v>
      </c>
      <c r="D814">
        <v>1</v>
      </c>
      <c r="E814">
        <v>269.99</v>
      </c>
      <c r="F814">
        <v>0.1</v>
      </c>
      <c r="G814">
        <v>269.92</v>
      </c>
      <c r="H814" t="s">
        <v>19</v>
      </c>
      <c r="I814" t="s">
        <v>300</v>
      </c>
    </row>
    <row r="815" spans="1:9" x14ac:dyDescent="0.35">
      <c r="A815">
        <v>308</v>
      </c>
      <c r="B815">
        <v>1</v>
      </c>
      <c r="C815">
        <v>7</v>
      </c>
      <c r="D815">
        <v>1</v>
      </c>
      <c r="E815">
        <v>3999.99</v>
      </c>
      <c r="F815">
        <v>0.1</v>
      </c>
      <c r="G815">
        <v>3999.89</v>
      </c>
      <c r="H815" t="s">
        <v>12</v>
      </c>
      <c r="I815" t="s">
        <v>299</v>
      </c>
    </row>
    <row r="816" spans="1:9" x14ac:dyDescent="0.35">
      <c r="A816">
        <v>308</v>
      </c>
      <c r="B816">
        <v>2</v>
      </c>
      <c r="C816">
        <v>18</v>
      </c>
      <c r="D816">
        <v>2</v>
      </c>
      <c r="E816">
        <v>449</v>
      </c>
      <c r="F816">
        <v>0.2</v>
      </c>
      <c r="G816">
        <v>897.8</v>
      </c>
      <c r="H816" t="s">
        <v>23</v>
      </c>
      <c r="I816" t="s">
        <v>304</v>
      </c>
    </row>
    <row r="817" spans="1:9" x14ac:dyDescent="0.35">
      <c r="A817">
        <v>308</v>
      </c>
      <c r="B817">
        <v>3</v>
      </c>
      <c r="C817">
        <v>14</v>
      </c>
      <c r="D817">
        <v>1</v>
      </c>
      <c r="E817">
        <v>269.99</v>
      </c>
      <c r="F817">
        <v>0.2</v>
      </c>
      <c r="G817">
        <v>269.79000000000002</v>
      </c>
      <c r="H817" t="s">
        <v>19</v>
      </c>
      <c r="I817" t="s">
        <v>304</v>
      </c>
    </row>
    <row r="818" spans="1:9" x14ac:dyDescent="0.35">
      <c r="A818">
        <v>309</v>
      </c>
      <c r="B818">
        <v>1</v>
      </c>
      <c r="C818">
        <v>3</v>
      </c>
      <c r="D818">
        <v>1</v>
      </c>
      <c r="E818">
        <v>999.99</v>
      </c>
      <c r="F818">
        <v>0.1</v>
      </c>
      <c r="G818">
        <v>999.94</v>
      </c>
      <c r="H818" t="s">
        <v>8</v>
      </c>
      <c r="I818" t="s">
        <v>302</v>
      </c>
    </row>
    <row r="819" spans="1:9" x14ac:dyDescent="0.35">
      <c r="A819">
        <v>309</v>
      </c>
      <c r="B819">
        <v>2</v>
      </c>
      <c r="C819">
        <v>12</v>
      </c>
      <c r="D819">
        <v>1</v>
      </c>
      <c r="E819">
        <v>549.99</v>
      </c>
      <c r="F819">
        <v>0.1</v>
      </c>
      <c r="G819">
        <v>549.94000000000005</v>
      </c>
      <c r="H819" t="s">
        <v>17</v>
      </c>
      <c r="I819" t="s">
        <v>300</v>
      </c>
    </row>
    <row r="820" spans="1:9" x14ac:dyDescent="0.35">
      <c r="A820">
        <v>310</v>
      </c>
      <c r="B820">
        <v>1</v>
      </c>
      <c r="C820">
        <v>7</v>
      </c>
      <c r="D820">
        <v>2</v>
      </c>
      <c r="E820">
        <v>3999.99</v>
      </c>
      <c r="F820">
        <v>0.1</v>
      </c>
      <c r="G820">
        <v>7999.91</v>
      </c>
      <c r="H820" t="s">
        <v>12</v>
      </c>
      <c r="I820" t="s">
        <v>302</v>
      </c>
    </row>
    <row r="821" spans="1:9" x14ac:dyDescent="0.35">
      <c r="A821">
        <v>310</v>
      </c>
      <c r="B821">
        <v>2</v>
      </c>
      <c r="C821">
        <v>14</v>
      </c>
      <c r="D821">
        <v>2</v>
      </c>
      <c r="E821">
        <v>269.99</v>
      </c>
      <c r="F821">
        <v>0.1</v>
      </c>
      <c r="G821">
        <v>539.88</v>
      </c>
      <c r="H821" t="s">
        <v>19</v>
      </c>
      <c r="I821" t="s">
        <v>304</v>
      </c>
    </row>
    <row r="822" spans="1:9" x14ac:dyDescent="0.35">
      <c r="A822">
        <v>310</v>
      </c>
      <c r="B822">
        <v>3</v>
      </c>
      <c r="C822">
        <v>5</v>
      </c>
      <c r="D822">
        <v>2</v>
      </c>
      <c r="E822">
        <v>1320.99</v>
      </c>
      <c r="F822">
        <v>0.2</v>
      </c>
      <c r="G822">
        <v>2641.78</v>
      </c>
      <c r="H822" t="s">
        <v>10</v>
      </c>
      <c r="I822" t="s">
        <v>305</v>
      </c>
    </row>
    <row r="823" spans="1:9" x14ac:dyDescent="0.35">
      <c r="A823">
        <v>310</v>
      </c>
      <c r="B823">
        <v>4</v>
      </c>
      <c r="C823">
        <v>8</v>
      </c>
      <c r="D823">
        <v>1</v>
      </c>
      <c r="E823">
        <v>1799.99</v>
      </c>
      <c r="F823">
        <v>0.2</v>
      </c>
      <c r="G823">
        <v>1799.79</v>
      </c>
      <c r="H823" t="s">
        <v>13</v>
      </c>
      <c r="I823" t="s">
        <v>304</v>
      </c>
    </row>
    <row r="824" spans="1:9" x14ac:dyDescent="0.35">
      <c r="A824">
        <v>311</v>
      </c>
      <c r="B824">
        <v>1</v>
      </c>
      <c r="C824">
        <v>17</v>
      </c>
      <c r="D824">
        <v>2</v>
      </c>
      <c r="E824">
        <v>429</v>
      </c>
      <c r="F824">
        <v>0.1</v>
      </c>
      <c r="G824">
        <v>857.95</v>
      </c>
      <c r="H824" t="s">
        <v>22</v>
      </c>
      <c r="I824" t="s">
        <v>301</v>
      </c>
    </row>
    <row r="825" spans="1:9" x14ac:dyDescent="0.35">
      <c r="A825">
        <v>311</v>
      </c>
      <c r="B825">
        <v>2</v>
      </c>
      <c r="C825">
        <v>5</v>
      </c>
      <c r="D825">
        <v>2</v>
      </c>
      <c r="E825">
        <v>1320.99</v>
      </c>
      <c r="F825">
        <v>0.2</v>
      </c>
      <c r="G825">
        <v>2641.78</v>
      </c>
      <c r="H825" t="s">
        <v>10</v>
      </c>
      <c r="I825" t="s">
        <v>301</v>
      </c>
    </row>
    <row r="826" spans="1:9" x14ac:dyDescent="0.35">
      <c r="A826">
        <v>312</v>
      </c>
      <c r="B826">
        <v>1</v>
      </c>
      <c r="C826">
        <v>24</v>
      </c>
      <c r="D826">
        <v>2</v>
      </c>
      <c r="E826">
        <v>549.99</v>
      </c>
      <c r="F826">
        <v>0.1</v>
      </c>
      <c r="G826">
        <v>1099.93</v>
      </c>
      <c r="H826" t="s">
        <v>17</v>
      </c>
      <c r="I826" t="s">
        <v>300</v>
      </c>
    </row>
    <row r="827" spans="1:9" x14ac:dyDescent="0.35">
      <c r="A827">
        <v>312</v>
      </c>
      <c r="B827">
        <v>2</v>
      </c>
      <c r="C827">
        <v>14</v>
      </c>
      <c r="D827">
        <v>2</v>
      </c>
      <c r="E827">
        <v>269.99</v>
      </c>
      <c r="F827">
        <v>0.1</v>
      </c>
      <c r="G827">
        <v>539.91</v>
      </c>
      <c r="H827" t="s">
        <v>19</v>
      </c>
      <c r="I827" t="s">
        <v>299</v>
      </c>
    </row>
    <row r="828" spans="1:9" x14ac:dyDescent="0.35">
      <c r="A828">
        <v>312</v>
      </c>
      <c r="B828">
        <v>3</v>
      </c>
      <c r="C828">
        <v>16</v>
      </c>
      <c r="D828">
        <v>2</v>
      </c>
      <c r="E828">
        <v>599.99</v>
      </c>
      <c r="F828">
        <v>0.1</v>
      </c>
      <c r="G828">
        <v>1199.93</v>
      </c>
      <c r="H828" t="s">
        <v>21</v>
      </c>
      <c r="I828" t="s">
        <v>304</v>
      </c>
    </row>
    <row r="829" spans="1:9" x14ac:dyDescent="0.35">
      <c r="A829">
        <v>313</v>
      </c>
      <c r="B829">
        <v>1</v>
      </c>
      <c r="C829">
        <v>4</v>
      </c>
      <c r="D829">
        <v>1</v>
      </c>
      <c r="E829">
        <v>2899.99</v>
      </c>
      <c r="F829">
        <v>0.1</v>
      </c>
      <c r="G829">
        <v>2899.92</v>
      </c>
      <c r="H829" t="s">
        <v>9</v>
      </c>
      <c r="I829" t="s">
        <v>299</v>
      </c>
    </row>
    <row r="830" spans="1:9" x14ac:dyDescent="0.35">
      <c r="A830">
        <v>313</v>
      </c>
      <c r="B830">
        <v>2</v>
      </c>
      <c r="C830">
        <v>10</v>
      </c>
      <c r="D830">
        <v>2</v>
      </c>
      <c r="E830">
        <v>1549</v>
      </c>
      <c r="F830">
        <v>0.1</v>
      </c>
      <c r="G830">
        <v>3097.93</v>
      </c>
      <c r="H830" t="s">
        <v>15</v>
      </c>
      <c r="I830" t="s">
        <v>302</v>
      </c>
    </row>
    <row r="831" spans="1:9" x14ac:dyDescent="0.35">
      <c r="A831">
        <v>314</v>
      </c>
      <c r="B831">
        <v>1</v>
      </c>
      <c r="C831">
        <v>5</v>
      </c>
      <c r="D831">
        <v>1</v>
      </c>
      <c r="E831">
        <v>1320.99</v>
      </c>
      <c r="F831">
        <v>0.1</v>
      </c>
      <c r="G831">
        <v>1320.92</v>
      </c>
      <c r="H831" t="s">
        <v>10</v>
      </c>
      <c r="I831" t="s">
        <v>304</v>
      </c>
    </row>
    <row r="832" spans="1:9" x14ac:dyDescent="0.35">
      <c r="A832">
        <v>314</v>
      </c>
      <c r="B832">
        <v>2</v>
      </c>
      <c r="C832">
        <v>9</v>
      </c>
      <c r="D832">
        <v>1</v>
      </c>
      <c r="E832">
        <v>2999.99</v>
      </c>
      <c r="F832">
        <v>0.1</v>
      </c>
      <c r="G832">
        <v>2999.94</v>
      </c>
      <c r="H832" t="s">
        <v>14</v>
      </c>
      <c r="I832" t="s">
        <v>305</v>
      </c>
    </row>
    <row r="833" spans="1:9" x14ac:dyDescent="0.35">
      <c r="A833">
        <v>314</v>
      </c>
      <c r="B833">
        <v>3</v>
      </c>
      <c r="C833">
        <v>22</v>
      </c>
      <c r="D833">
        <v>2</v>
      </c>
      <c r="E833">
        <v>269.99</v>
      </c>
      <c r="F833">
        <v>0.2</v>
      </c>
      <c r="G833">
        <v>539.78</v>
      </c>
      <c r="H833" t="s">
        <v>19</v>
      </c>
      <c r="I833" t="s">
        <v>300</v>
      </c>
    </row>
    <row r="834" spans="1:9" x14ac:dyDescent="0.35">
      <c r="A834">
        <v>314</v>
      </c>
      <c r="B834">
        <v>4</v>
      </c>
      <c r="C834">
        <v>7</v>
      </c>
      <c r="D834">
        <v>2</v>
      </c>
      <c r="E834">
        <v>3999.99</v>
      </c>
      <c r="F834">
        <v>0.1</v>
      </c>
      <c r="G834">
        <v>7999.91</v>
      </c>
      <c r="H834" t="s">
        <v>12</v>
      </c>
      <c r="I834" t="s">
        <v>304</v>
      </c>
    </row>
    <row r="835" spans="1:9" x14ac:dyDescent="0.35">
      <c r="A835">
        <v>315</v>
      </c>
      <c r="B835">
        <v>1</v>
      </c>
      <c r="C835">
        <v>11</v>
      </c>
      <c r="D835">
        <v>1</v>
      </c>
      <c r="E835">
        <v>1680.99</v>
      </c>
      <c r="F835">
        <v>0.2</v>
      </c>
      <c r="G835">
        <v>1680.79</v>
      </c>
      <c r="H835" t="s">
        <v>16</v>
      </c>
      <c r="I835" t="s">
        <v>305</v>
      </c>
    </row>
    <row r="836" spans="1:9" x14ac:dyDescent="0.35">
      <c r="A836">
        <v>315</v>
      </c>
      <c r="B836">
        <v>2</v>
      </c>
      <c r="C836">
        <v>9</v>
      </c>
      <c r="D836">
        <v>1</v>
      </c>
      <c r="E836">
        <v>2999.99</v>
      </c>
      <c r="F836">
        <v>0.1</v>
      </c>
      <c r="G836">
        <v>2999.89</v>
      </c>
      <c r="H836" t="s">
        <v>14</v>
      </c>
      <c r="I836" t="s">
        <v>304</v>
      </c>
    </row>
    <row r="837" spans="1:9" x14ac:dyDescent="0.35">
      <c r="A837">
        <v>316</v>
      </c>
      <c r="B837">
        <v>1</v>
      </c>
      <c r="C837">
        <v>2</v>
      </c>
      <c r="D837">
        <v>2</v>
      </c>
      <c r="E837">
        <v>749.99</v>
      </c>
      <c r="F837">
        <v>0.2</v>
      </c>
      <c r="G837">
        <v>1499.78</v>
      </c>
      <c r="H837" t="s">
        <v>7</v>
      </c>
      <c r="I837" t="s">
        <v>301</v>
      </c>
    </row>
    <row r="838" spans="1:9" x14ac:dyDescent="0.35">
      <c r="A838">
        <v>316</v>
      </c>
      <c r="B838">
        <v>2</v>
      </c>
      <c r="C838">
        <v>16</v>
      </c>
      <c r="D838">
        <v>2</v>
      </c>
      <c r="E838">
        <v>599.99</v>
      </c>
      <c r="F838">
        <v>0.1</v>
      </c>
      <c r="G838">
        <v>1199.8800000000001</v>
      </c>
      <c r="H838" t="s">
        <v>21</v>
      </c>
      <c r="I838" t="s">
        <v>301</v>
      </c>
    </row>
    <row r="839" spans="1:9" x14ac:dyDescent="0.35">
      <c r="A839">
        <v>316</v>
      </c>
      <c r="B839">
        <v>3</v>
      </c>
      <c r="C839">
        <v>20</v>
      </c>
      <c r="D839">
        <v>1</v>
      </c>
      <c r="E839">
        <v>599.99</v>
      </c>
      <c r="F839">
        <v>0.1</v>
      </c>
      <c r="G839">
        <v>599.89</v>
      </c>
      <c r="H839" t="s">
        <v>25</v>
      </c>
      <c r="I839" t="s">
        <v>300</v>
      </c>
    </row>
    <row r="840" spans="1:9" x14ac:dyDescent="0.35">
      <c r="A840">
        <v>316</v>
      </c>
      <c r="B840">
        <v>4</v>
      </c>
      <c r="C840">
        <v>19</v>
      </c>
      <c r="D840">
        <v>1</v>
      </c>
      <c r="E840">
        <v>449</v>
      </c>
      <c r="F840">
        <v>0.2</v>
      </c>
      <c r="G840">
        <v>448.8</v>
      </c>
      <c r="H840" t="s">
        <v>24</v>
      </c>
      <c r="I840" t="s">
        <v>304</v>
      </c>
    </row>
    <row r="841" spans="1:9" x14ac:dyDescent="0.35">
      <c r="A841">
        <v>316</v>
      </c>
      <c r="B841">
        <v>5</v>
      </c>
      <c r="C841">
        <v>17</v>
      </c>
      <c r="D841">
        <v>1</v>
      </c>
      <c r="E841">
        <v>429</v>
      </c>
      <c r="F841">
        <v>0.1</v>
      </c>
      <c r="G841">
        <v>428.95</v>
      </c>
      <c r="H841" t="s">
        <v>22</v>
      </c>
      <c r="I841" t="s">
        <v>301</v>
      </c>
    </row>
    <row r="842" spans="1:9" x14ac:dyDescent="0.35">
      <c r="A842">
        <v>317</v>
      </c>
      <c r="B842">
        <v>1</v>
      </c>
      <c r="C842">
        <v>10</v>
      </c>
      <c r="D842">
        <v>1</v>
      </c>
      <c r="E842">
        <v>1549</v>
      </c>
      <c r="F842">
        <v>0.2</v>
      </c>
      <c r="G842">
        <v>1548.8</v>
      </c>
      <c r="H842" t="s">
        <v>15</v>
      </c>
      <c r="I842" t="s">
        <v>299</v>
      </c>
    </row>
    <row r="843" spans="1:9" x14ac:dyDescent="0.35">
      <c r="A843">
        <v>317</v>
      </c>
      <c r="B843">
        <v>2</v>
      </c>
      <c r="C843">
        <v>22</v>
      </c>
      <c r="D843">
        <v>1</v>
      </c>
      <c r="E843">
        <v>269.99</v>
      </c>
      <c r="F843">
        <v>0.1</v>
      </c>
      <c r="G843">
        <v>269.94</v>
      </c>
      <c r="H843" t="s">
        <v>19</v>
      </c>
      <c r="I843" t="s">
        <v>300</v>
      </c>
    </row>
    <row r="844" spans="1:9" x14ac:dyDescent="0.35">
      <c r="A844">
        <v>317</v>
      </c>
      <c r="B844">
        <v>3</v>
      </c>
      <c r="C844">
        <v>15</v>
      </c>
      <c r="D844">
        <v>1</v>
      </c>
      <c r="E844">
        <v>529.99</v>
      </c>
      <c r="F844">
        <v>0.1</v>
      </c>
      <c r="G844">
        <v>529.94000000000005</v>
      </c>
      <c r="H844" t="s">
        <v>20</v>
      </c>
      <c r="I844" t="s">
        <v>299</v>
      </c>
    </row>
    <row r="845" spans="1:9" x14ac:dyDescent="0.35">
      <c r="A845">
        <v>317</v>
      </c>
      <c r="B845">
        <v>4</v>
      </c>
      <c r="C845">
        <v>13</v>
      </c>
      <c r="D845">
        <v>2</v>
      </c>
      <c r="E845">
        <v>269.99</v>
      </c>
      <c r="F845">
        <v>0.2</v>
      </c>
      <c r="G845">
        <v>539.78</v>
      </c>
      <c r="H845" t="s">
        <v>18</v>
      </c>
      <c r="I845" t="s">
        <v>300</v>
      </c>
    </row>
    <row r="846" spans="1:9" x14ac:dyDescent="0.35">
      <c r="A846">
        <v>318</v>
      </c>
      <c r="B846">
        <v>1</v>
      </c>
      <c r="C846">
        <v>13</v>
      </c>
      <c r="D846">
        <v>2</v>
      </c>
      <c r="E846">
        <v>269.99</v>
      </c>
      <c r="F846">
        <v>0.1</v>
      </c>
      <c r="G846">
        <v>539.88</v>
      </c>
      <c r="H846" t="s">
        <v>18</v>
      </c>
      <c r="I846" t="s">
        <v>304</v>
      </c>
    </row>
    <row r="847" spans="1:9" x14ac:dyDescent="0.35">
      <c r="A847">
        <v>318</v>
      </c>
      <c r="B847">
        <v>2</v>
      </c>
      <c r="C847">
        <v>25</v>
      </c>
      <c r="D847">
        <v>2</v>
      </c>
      <c r="E847">
        <v>499.99</v>
      </c>
      <c r="F847">
        <v>0.2</v>
      </c>
      <c r="G847">
        <v>999.78</v>
      </c>
      <c r="H847" t="s">
        <v>27</v>
      </c>
      <c r="I847" t="s">
        <v>305</v>
      </c>
    </row>
    <row r="848" spans="1:9" x14ac:dyDescent="0.35">
      <c r="A848">
        <v>318</v>
      </c>
      <c r="B848">
        <v>3</v>
      </c>
      <c r="C848">
        <v>9</v>
      </c>
      <c r="D848">
        <v>1</v>
      </c>
      <c r="E848">
        <v>2999.99</v>
      </c>
      <c r="F848">
        <v>0.1</v>
      </c>
      <c r="G848">
        <v>2999.94</v>
      </c>
      <c r="H848" t="s">
        <v>14</v>
      </c>
      <c r="I848" t="s">
        <v>300</v>
      </c>
    </row>
    <row r="849" spans="1:9" x14ac:dyDescent="0.35">
      <c r="A849">
        <v>319</v>
      </c>
      <c r="B849">
        <v>1</v>
      </c>
      <c r="C849">
        <v>11</v>
      </c>
      <c r="D849">
        <v>1</v>
      </c>
      <c r="E849">
        <v>1680.99</v>
      </c>
      <c r="F849">
        <v>0.1</v>
      </c>
      <c r="G849">
        <v>1680.92</v>
      </c>
      <c r="H849" t="s">
        <v>16</v>
      </c>
      <c r="I849" t="s">
        <v>305</v>
      </c>
    </row>
    <row r="850" spans="1:9" x14ac:dyDescent="0.35">
      <c r="A850">
        <v>319</v>
      </c>
      <c r="B850">
        <v>2</v>
      </c>
      <c r="C850">
        <v>21</v>
      </c>
      <c r="D850">
        <v>1</v>
      </c>
      <c r="E850">
        <v>269.99</v>
      </c>
      <c r="F850">
        <v>0.2</v>
      </c>
      <c r="G850">
        <v>269.79000000000002</v>
      </c>
      <c r="H850" t="s">
        <v>18</v>
      </c>
      <c r="I850" t="s">
        <v>304</v>
      </c>
    </row>
    <row r="851" spans="1:9" x14ac:dyDescent="0.35">
      <c r="A851">
        <v>319</v>
      </c>
      <c r="B851">
        <v>3</v>
      </c>
      <c r="C851">
        <v>15</v>
      </c>
      <c r="D851">
        <v>2</v>
      </c>
      <c r="E851">
        <v>529.99</v>
      </c>
      <c r="F851">
        <v>0.1</v>
      </c>
      <c r="G851">
        <v>1059.8800000000001</v>
      </c>
      <c r="H851" t="s">
        <v>20</v>
      </c>
      <c r="I851" t="s">
        <v>304</v>
      </c>
    </row>
    <row r="852" spans="1:9" x14ac:dyDescent="0.35">
      <c r="A852">
        <v>319</v>
      </c>
      <c r="B852">
        <v>4</v>
      </c>
      <c r="C852">
        <v>23</v>
      </c>
      <c r="D852">
        <v>1</v>
      </c>
      <c r="E852">
        <v>299.99</v>
      </c>
      <c r="F852">
        <v>0.1</v>
      </c>
      <c r="G852">
        <v>299.94</v>
      </c>
      <c r="H852" t="s">
        <v>26</v>
      </c>
      <c r="I852" t="s">
        <v>304</v>
      </c>
    </row>
    <row r="853" spans="1:9" x14ac:dyDescent="0.35">
      <c r="A853">
        <v>321</v>
      </c>
      <c r="B853">
        <v>1</v>
      </c>
      <c r="C853">
        <v>4</v>
      </c>
      <c r="D853">
        <v>2</v>
      </c>
      <c r="E853">
        <v>2899.99</v>
      </c>
      <c r="F853">
        <v>0.2</v>
      </c>
      <c r="G853">
        <v>5799.78</v>
      </c>
      <c r="H853" t="s">
        <v>9</v>
      </c>
      <c r="I853" t="s">
        <v>299</v>
      </c>
    </row>
    <row r="854" spans="1:9" x14ac:dyDescent="0.35">
      <c r="A854">
        <v>321</v>
      </c>
      <c r="B854">
        <v>2</v>
      </c>
      <c r="C854">
        <v>12</v>
      </c>
      <c r="D854">
        <v>2</v>
      </c>
      <c r="E854">
        <v>549.99</v>
      </c>
      <c r="F854">
        <v>0.2</v>
      </c>
      <c r="G854">
        <v>1099.78</v>
      </c>
      <c r="H854" t="s">
        <v>17</v>
      </c>
      <c r="I854" t="s">
        <v>299</v>
      </c>
    </row>
    <row r="855" spans="1:9" x14ac:dyDescent="0.35">
      <c r="A855">
        <v>321</v>
      </c>
      <c r="B855">
        <v>3</v>
      </c>
      <c r="C855">
        <v>26</v>
      </c>
      <c r="D855">
        <v>1</v>
      </c>
      <c r="E855">
        <v>599.99</v>
      </c>
      <c r="F855">
        <v>0.2</v>
      </c>
      <c r="G855">
        <v>599.79</v>
      </c>
      <c r="H855" t="s">
        <v>21</v>
      </c>
      <c r="I855" t="s">
        <v>304</v>
      </c>
    </row>
    <row r="856" spans="1:9" x14ac:dyDescent="0.35">
      <c r="A856">
        <v>321</v>
      </c>
      <c r="B856">
        <v>4</v>
      </c>
      <c r="C856">
        <v>23</v>
      </c>
      <c r="D856">
        <v>2</v>
      </c>
      <c r="E856">
        <v>299.99</v>
      </c>
      <c r="F856">
        <v>0.2</v>
      </c>
      <c r="G856">
        <v>599.78</v>
      </c>
      <c r="H856" t="s">
        <v>26</v>
      </c>
      <c r="I856" t="s">
        <v>304</v>
      </c>
    </row>
    <row r="857" spans="1:9" x14ac:dyDescent="0.35">
      <c r="A857">
        <v>322</v>
      </c>
      <c r="B857">
        <v>1</v>
      </c>
      <c r="C857">
        <v>13</v>
      </c>
      <c r="D857">
        <v>2</v>
      </c>
      <c r="E857">
        <v>269.99</v>
      </c>
      <c r="F857">
        <v>0.2</v>
      </c>
      <c r="G857">
        <v>539.78</v>
      </c>
      <c r="H857" t="s">
        <v>18</v>
      </c>
      <c r="I857" t="s">
        <v>299</v>
      </c>
    </row>
    <row r="858" spans="1:9" x14ac:dyDescent="0.35">
      <c r="A858">
        <v>322</v>
      </c>
      <c r="B858">
        <v>2</v>
      </c>
      <c r="C858">
        <v>21</v>
      </c>
      <c r="D858">
        <v>1</v>
      </c>
      <c r="E858">
        <v>269.99</v>
      </c>
      <c r="F858">
        <v>0.1</v>
      </c>
      <c r="G858">
        <v>269.92</v>
      </c>
      <c r="H858" t="s">
        <v>18</v>
      </c>
      <c r="I858" t="s">
        <v>301</v>
      </c>
    </row>
    <row r="859" spans="1:9" x14ac:dyDescent="0.35">
      <c r="A859">
        <v>323</v>
      </c>
      <c r="B859">
        <v>1</v>
      </c>
      <c r="C859">
        <v>13</v>
      </c>
      <c r="D859">
        <v>2</v>
      </c>
      <c r="E859">
        <v>269.99</v>
      </c>
      <c r="F859">
        <v>0.1</v>
      </c>
      <c r="G859">
        <v>539.91</v>
      </c>
      <c r="H859" t="s">
        <v>18</v>
      </c>
      <c r="I859" t="s">
        <v>299</v>
      </c>
    </row>
    <row r="860" spans="1:9" x14ac:dyDescent="0.35">
      <c r="A860">
        <v>323</v>
      </c>
      <c r="B860">
        <v>2</v>
      </c>
      <c r="C860">
        <v>26</v>
      </c>
      <c r="D860">
        <v>2</v>
      </c>
      <c r="E860">
        <v>599.99</v>
      </c>
      <c r="F860">
        <v>0.1</v>
      </c>
      <c r="G860">
        <v>1199.8800000000001</v>
      </c>
      <c r="H860" t="s">
        <v>21</v>
      </c>
      <c r="I860" t="s">
        <v>299</v>
      </c>
    </row>
    <row r="861" spans="1:9" x14ac:dyDescent="0.35">
      <c r="A861">
        <v>324</v>
      </c>
      <c r="B861">
        <v>1</v>
      </c>
      <c r="C861">
        <v>2</v>
      </c>
      <c r="D861">
        <v>2</v>
      </c>
      <c r="E861">
        <v>749.99</v>
      </c>
      <c r="F861">
        <v>0.1</v>
      </c>
      <c r="G861">
        <v>1499.88</v>
      </c>
      <c r="H861" t="s">
        <v>7</v>
      </c>
      <c r="I861" t="s">
        <v>304</v>
      </c>
    </row>
    <row r="862" spans="1:9" x14ac:dyDescent="0.35">
      <c r="A862">
        <v>324</v>
      </c>
      <c r="B862">
        <v>2</v>
      </c>
      <c r="C862">
        <v>17</v>
      </c>
      <c r="D862">
        <v>1</v>
      </c>
      <c r="E862">
        <v>429</v>
      </c>
      <c r="F862">
        <v>0.2</v>
      </c>
      <c r="G862">
        <v>428.8</v>
      </c>
      <c r="H862" t="s">
        <v>22</v>
      </c>
      <c r="I862" t="s">
        <v>301</v>
      </c>
    </row>
    <row r="863" spans="1:9" x14ac:dyDescent="0.35">
      <c r="A863">
        <v>324</v>
      </c>
      <c r="B863">
        <v>3</v>
      </c>
      <c r="C863">
        <v>22</v>
      </c>
      <c r="D863">
        <v>2</v>
      </c>
      <c r="E863">
        <v>269.99</v>
      </c>
      <c r="F863">
        <v>0.2</v>
      </c>
      <c r="G863">
        <v>539.78</v>
      </c>
      <c r="H863" t="s">
        <v>19</v>
      </c>
      <c r="I863" t="s">
        <v>299</v>
      </c>
    </row>
    <row r="864" spans="1:9" x14ac:dyDescent="0.35">
      <c r="A864">
        <v>324</v>
      </c>
      <c r="B864">
        <v>4</v>
      </c>
      <c r="C864">
        <v>19</v>
      </c>
      <c r="D864">
        <v>1</v>
      </c>
      <c r="E864">
        <v>449</v>
      </c>
      <c r="F864">
        <v>0.1</v>
      </c>
      <c r="G864">
        <v>448.95</v>
      </c>
      <c r="H864" t="s">
        <v>24</v>
      </c>
      <c r="I864" t="s">
        <v>304</v>
      </c>
    </row>
    <row r="865" spans="1:9" x14ac:dyDescent="0.35">
      <c r="A865">
        <v>324</v>
      </c>
      <c r="B865">
        <v>5</v>
      </c>
      <c r="C865">
        <v>12</v>
      </c>
      <c r="D865">
        <v>1</v>
      </c>
      <c r="E865">
        <v>549.99</v>
      </c>
      <c r="F865">
        <v>0.1</v>
      </c>
      <c r="G865">
        <v>549.94000000000005</v>
      </c>
      <c r="H865" t="s">
        <v>17</v>
      </c>
      <c r="I865" t="s">
        <v>299</v>
      </c>
    </row>
    <row r="866" spans="1:9" x14ac:dyDescent="0.35">
      <c r="A866">
        <v>325</v>
      </c>
      <c r="B866">
        <v>1</v>
      </c>
      <c r="C866">
        <v>7</v>
      </c>
      <c r="D866">
        <v>1</v>
      </c>
      <c r="E866">
        <v>3999.99</v>
      </c>
      <c r="F866">
        <v>0.1</v>
      </c>
      <c r="G866">
        <v>3999.94</v>
      </c>
      <c r="H866" t="s">
        <v>12</v>
      </c>
      <c r="I866" t="s">
        <v>304</v>
      </c>
    </row>
    <row r="867" spans="1:9" x14ac:dyDescent="0.35">
      <c r="A867">
        <v>325</v>
      </c>
      <c r="B867">
        <v>2</v>
      </c>
      <c r="C867">
        <v>12</v>
      </c>
      <c r="D867">
        <v>1</v>
      </c>
      <c r="E867">
        <v>549.99</v>
      </c>
      <c r="F867">
        <v>0.2</v>
      </c>
      <c r="G867">
        <v>549.79</v>
      </c>
      <c r="H867" t="s">
        <v>17</v>
      </c>
      <c r="I867" t="s">
        <v>301</v>
      </c>
    </row>
    <row r="868" spans="1:9" x14ac:dyDescent="0.35">
      <c r="A868">
        <v>325</v>
      </c>
      <c r="B868">
        <v>3</v>
      </c>
      <c r="C868">
        <v>6</v>
      </c>
      <c r="D868">
        <v>2</v>
      </c>
      <c r="E868">
        <v>469.99</v>
      </c>
      <c r="F868">
        <v>0.2</v>
      </c>
      <c r="G868">
        <v>939.78</v>
      </c>
      <c r="H868" t="s">
        <v>11</v>
      </c>
      <c r="I868" t="s">
        <v>301</v>
      </c>
    </row>
    <row r="869" spans="1:9" x14ac:dyDescent="0.35">
      <c r="A869">
        <v>326</v>
      </c>
      <c r="B869">
        <v>1</v>
      </c>
      <c r="C869">
        <v>12</v>
      </c>
      <c r="D869">
        <v>1</v>
      </c>
      <c r="E869">
        <v>549.99</v>
      </c>
      <c r="F869">
        <v>0.1</v>
      </c>
      <c r="G869">
        <v>549.89</v>
      </c>
      <c r="H869" t="s">
        <v>17</v>
      </c>
      <c r="I869" t="s">
        <v>301</v>
      </c>
    </row>
    <row r="870" spans="1:9" x14ac:dyDescent="0.35">
      <c r="A870">
        <v>326</v>
      </c>
      <c r="B870">
        <v>2</v>
      </c>
      <c r="C870">
        <v>23</v>
      </c>
      <c r="D870">
        <v>1</v>
      </c>
      <c r="E870">
        <v>299.99</v>
      </c>
      <c r="F870">
        <v>0.1</v>
      </c>
      <c r="G870">
        <v>299.92</v>
      </c>
      <c r="H870" t="s">
        <v>26</v>
      </c>
      <c r="I870" t="s">
        <v>301</v>
      </c>
    </row>
    <row r="871" spans="1:9" x14ac:dyDescent="0.35">
      <c r="A871">
        <v>327</v>
      </c>
      <c r="B871">
        <v>1</v>
      </c>
      <c r="C871">
        <v>12</v>
      </c>
      <c r="D871">
        <v>2</v>
      </c>
      <c r="E871">
        <v>549.99</v>
      </c>
      <c r="F871">
        <v>0.1</v>
      </c>
      <c r="G871">
        <v>1099.9100000000001</v>
      </c>
      <c r="H871" t="s">
        <v>17</v>
      </c>
      <c r="I871" t="s">
        <v>299</v>
      </c>
    </row>
    <row r="872" spans="1:9" x14ac:dyDescent="0.35">
      <c r="A872">
        <v>327</v>
      </c>
      <c r="B872">
        <v>2</v>
      </c>
      <c r="C872">
        <v>13</v>
      </c>
      <c r="D872">
        <v>1</v>
      </c>
      <c r="E872">
        <v>269.99</v>
      </c>
      <c r="F872">
        <v>0.1</v>
      </c>
      <c r="G872">
        <v>269.92</v>
      </c>
      <c r="H872" t="s">
        <v>18</v>
      </c>
      <c r="I872" t="s">
        <v>299</v>
      </c>
    </row>
    <row r="873" spans="1:9" x14ac:dyDescent="0.35">
      <c r="A873">
        <v>327</v>
      </c>
      <c r="B873">
        <v>3</v>
      </c>
      <c r="C873">
        <v>4</v>
      </c>
      <c r="D873">
        <v>1</v>
      </c>
      <c r="E873">
        <v>2899.99</v>
      </c>
      <c r="F873">
        <v>0.1</v>
      </c>
      <c r="G873">
        <v>2899.94</v>
      </c>
      <c r="H873" t="s">
        <v>9</v>
      </c>
      <c r="I873" t="s">
        <v>304</v>
      </c>
    </row>
    <row r="874" spans="1:9" x14ac:dyDescent="0.35">
      <c r="A874">
        <v>329</v>
      </c>
      <c r="B874">
        <v>1</v>
      </c>
      <c r="C874">
        <v>14</v>
      </c>
      <c r="D874">
        <v>2</v>
      </c>
      <c r="E874">
        <v>269.99</v>
      </c>
      <c r="F874">
        <v>0.1</v>
      </c>
      <c r="G874">
        <v>539.91</v>
      </c>
      <c r="H874" t="s">
        <v>19</v>
      </c>
      <c r="I874" t="s">
        <v>301</v>
      </c>
    </row>
    <row r="875" spans="1:9" x14ac:dyDescent="0.35">
      <c r="A875">
        <v>329</v>
      </c>
      <c r="B875">
        <v>2</v>
      </c>
      <c r="C875">
        <v>8</v>
      </c>
      <c r="D875">
        <v>2</v>
      </c>
      <c r="E875">
        <v>1799.99</v>
      </c>
      <c r="F875">
        <v>0.1</v>
      </c>
      <c r="G875">
        <v>3599.93</v>
      </c>
      <c r="H875" t="s">
        <v>13</v>
      </c>
      <c r="I875" t="s">
        <v>301</v>
      </c>
    </row>
    <row r="876" spans="1:9" x14ac:dyDescent="0.35">
      <c r="A876">
        <v>329</v>
      </c>
      <c r="B876">
        <v>3</v>
      </c>
      <c r="C876">
        <v>23</v>
      </c>
      <c r="D876">
        <v>1</v>
      </c>
      <c r="E876">
        <v>299.99</v>
      </c>
      <c r="F876">
        <v>0.2</v>
      </c>
      <c r="G876">
        <v>299.79000000000002</v>
      </c>
      <c r="H876" t="s">
        <v>26</v>
      </c>
      <c r="I876" t="s">
        <v>305</v>
      </c>
    </row>
    <row r="877" spans="1:9" x14ac:dyDescent="0.35">
      <c r="A877">
        <v>329</v>
      </c>
      <c r="B877">
        <v>4</v>
      </c>
      <c r="C877">
        <v>17</v>
      </c>
      <c r="D877">
        <v>1</v>
      </c>
      <c r="E877">
        <v>429</v>
      </c>
      <c r="F877">
        <v>0.1</v>
      </c>
      <c r="G877">
        <v>428.93</v>
      </c>
      <c r="H877" t="s">
        <v>22</v>
      </c>
      <c r="I877" t="s">
        <v>305</v>
      </c>
    </row>
    <row r="878" spans="1:9" x14ac:dyDescent="0.35">
      <c r="A878">
        <v>329</v>
      </c>
      <c r="B878">
        <v>5</v>
      </c>
      <c r="C878">
        <v>26</v>
      </c>
      <c r="D878">
        <v>2</v>
      </c>
      <c r="E878">
        <v>599.99</v>
      </c>
      <c r="F878">
        <v>0.1</v>
      </c>
      <c r="G878">
        <v>1199.93</v>
      </c>
      <c r="H878" t="s">
        <v>21</v>
      </c>
      <c r="I878" t="s">
        <v>301</v>
      </c>
    </row>
    <row r="879" spans="1:9" x14ac:dyDescent="0.35">
      <c r="A879">
        <v>333</v>
      </c>
      <c r="B879">
        <v>1</v>
      </c>
      <c r="C879">
        <v>18</v>
      </c>
      <c r="D879">
        <v>2</v>
      </c>
      <c r="E879">
        <v>449</v>
      </c>
      <c r="F879">
        <v>0.1</v>
      </c>
      <c r="G879">
        <v>897.93</v>
      </c>
      <c r="H879" t="s">
        <v>23</v>
      </c>
      <c r="I879" t="s">
        <v>301</v>
      </c>
    </row>
    <row r="880" spans="1:9" x14ac:dyDescent="0.35">
      <c r="A880">
        <v>333</v>
      </c>
      <c r="B880">
        <v>2</v>
      </c>
      <c r="C880">
        <v>8</v>
      </c>
      <c r="D880">
        <v>2</v>
      </c>
      <c r="E880">
        <v>1799.99</v>
      </c>
      <c r="F880">
        <v>0.1</v>
      </c>
      <c r="G880">
        <v>3599.93</v>
      </c>
      <c r="H880" t="s">
        <v>13</v>
      </c>
      <c r="I880" t="s">
        <v>300</v>
      </c>
    </row>
    <row r="881" spans="1:9" x14ac:dyDescent="0.35">
      <c r="A881">
        <v>333</v>
      </c>
      <c r="B881">
        <v>3</v>
      </c>
      <c r="C881">
        <v>3</v>
      </c>
      <c r="D881">
        <v>1</v>
      </c>
      <c r="E881">
        <v>999.99</v>
      </c>
      <c r="F881">
        <v>0.2</v>
      </c>
      <c r="G881">
        <v>999.79</v>
      </c>
      <c r="H881" t="s">
        <v>8</v>
      </c>
      <c r="I881" t="s">
        <v>304</v>
      </c>
    </row>
    <row r="882" spans="1:9" x14ac:dyDescent="0.35">
      <c r="A882">
        <v>334</v>
      </c>
      <c r="B882">
        <v>1</v>
      </c>
      <c r="C882">
        <v>16</v>
      </c>
      <c r="D882">
        <v>2</v>
      </c>
      <c r="E882">
        <v>599.99</v>
      </c>
      <c r="F882">
        <v>0.2</v>
      </c>
      <c r="G882">
        <v>1199.78</v>
      </c>
      <c r="H882" t="s">
        <v>21</v>
      </c>
      <c r="I882" t="s">
        <v>304</v>
      </c>
    </row>
    <row r="883" spans="1:9" x14ac:dyDescent="0.35">
      <c r="A883">
        <v>334</v>
      </c>
      <c r="B883">
        <v>2</v>
      </c>
      <c r="C883">
        <v>9</v>
      </c>
      <c r="D883">
        <v>1</v>
      </c>
      <c r="E883">
        <v>2999.99</v>
      </c>
      <c r="F883">
        <v>0.1</v>
      </c>
      <c r="G883">
        <v>2999.94</v>
      </c>
      <c r="H883" t="s">
        <v>14</v>
      </c>
      <c r="I883" t="s">
        <v>301</v>
      </c>
    </row>
    <row r="884" spans="1:9" x14ac:dyDescent="0.35">
      <c r="A884">
        <v>334</v>
      </c>
      <c r="B884">
        <v>3</v>
      </c>
      <c r="C884">
        <v>3</v>
      </c>
      <c r="D884">
        <v>2</v>
      </c>
      <c r="E884">
        <v>999.99</v>
      </c>
      <c r="F884">
        <v>0.1</v>
      </c>
      <c r="G884">
        <v>1999.93</v>
      </c>
      <c r="H884" t="s">
        <v>8</v>
      </c>
      <c r="I884" t="s">
        <v>300</v>
      </c>
    </row>
    <row r="885" spans="1:9" x14ac:dyDescent="0.35">
      <c r="A885">
        <v>335</v>
      </c>
      <c r="B885">
        <v>1</v>
      </c>
      <c r="C885">
        <v>6</v>
      </c>
      <c r="D885">
        <v>1</v>
      </c>
      <c r="E885">
        <v>469.99</v>
      </c>
      <c r="F885">
        <v>0.1</v>
      </c>
      <c r="G885">
        <v>469.89</v>
      </c>
      <c r="H885" t="s">
        <v>11</v>
      </c>
      <c r="I885" t="s">
        <v>299</v>
      </c>
    </row>
    <row r="886" spans="1:9" x14ac:dyDescent="0.35">
      <c r="A886">
        <v>335</v>
      </c>
      <c r="B886">
        <v>2</v>
      </c>
      <c r="C886">
        <v>2</v>
      </c>
      <c r="D886">
        <v>2</v>
      </c>
      <c r="E886">
        <v>749.99</v>
      </c>
      <c r="F886">
        <v>0.1</v>
      </c>
      <c r="G886">
        <v>1499.88</v>
      </c>
      <c r="H886" t="s">
        <v>7</v>
      </c>
      <c r="I886" t="s">
        <v>300</v>
      </c>
    </row>
    <row r="887" spans="1:9" x14ac:dyDescent="0.35">
      <c r="A887">
        <v>335</v>
      </c>
      <c r="B887">
        <v>3</v>
      </c>
      <c r="C887">
        <v>21</v>
      </c>
      <c r="D887">
        <v>1</v>
      </c>
      <c r="E887">
        <v>269.99</v>
      </c>
      <c r="F887">
        <v>0.1</v>
      </c>
      <c r="G887">
        <v>269.92</v>
      </c>
      <c r="H887" t="s">
        <v>18</v>
      </c>
      <c r="I887" t="s">
        <v>304</v>
      </c>
    </row>
    <row r="888" spans="1:9" x14ac:dyDescent="0.35">
      <c r="A888">
        <v>336</v>
      </c>
      <c r="B888">
        <v>1</v>
      </c>
      <c r="C888">
        <v>4</v>
      </c>
      <c r="D888">
        <v>1</v>
      </c>
      <c r="E888">
        <v>2899.99</v>
      </c>
      <c r="F888">
        <v>0.1</v>
      </c>
      <c r="G888">
        <v>2899.89</v>
      </c>
      <c r="H888" t="s">
        <v>9</v>
      </c>
      <c r="I888" t="s">
        <v>300</v>
      </c>
    </row>
    <row r="889" spans="1:9" x14ac:dyDescent="0.35">
      <c r="A889">
        <v>336</v>
      </c>
      <c r="B889">
        <v>2</v>
      </c>
      <c r="C889">
        <v>12</v>
      </c>
      <c r="D889">
        <v>1</v>
      </c>
      <c r="E889">
        <v>549.99</v>
      </c>
      <c r="F889">
        <v>0.2</v>
      </c>
      <c r="G889">
        <v>549.79</v>
      </c>
      <c r="H889" t="s">
        <v>17</v>
      </c>
      <c r="I889" t="s">
        <v>304</v>
      </c>
    </row>
    <row r="890" spans="1:9" x14ac:dyDescent="0.35">
      <c r="A890">
        <v>337</v>
      </c>
      <c r="B890">
        <v>1</v>
      </c>
      <c r="C890">
        <v>18</v>
      </c>
      <c r="D890">
        <v>1</v>
      </c>
      <c r="E890">
        <v>449</v>
      </c>
      <c r="F890">
        <v>0.1</v>
      </c>
      <c r="G890">
        <v>448.95</v>
      </c>
      <c r="H890" t="s">
        <v>23</v>
      </c>
      <c r="I890" t="s">
        <v>304</v>
      </c>
    </row>
    <row r="891" spans="1:9" x14ac:dyDescent="0.35">
      <c r="A891">
        <v>337</v>
      </c>
      <c r="B891">
        <v>2</v>
      </c>
      <c r="C891">
        <v>4</v>
      </c>
      <c r="D891">
        <v>1</v>
      </c>
      <c r="E891">
        <v>2899.99</v>
      </c>
      <c r="F891">
        <v>0.1</v>
      </c>
      <c r="G891">
        <v>2899.94</v>
      </c>
      <c r="H891" t="s">
        <v>9</v>
      </c>
      <c r="I891" t="s">
        <v>299</v>
      </c>
    </row>
    <row r="892" spans="1:9" x14ac:dyDescent="0.35">
      <c r="A892">
        <v>338</v>
      </c>
      <c r="B892">
        <v>1</v>
      </c>
      <c r="C892">
        <v>6</v>
      </c>
      <c r="D892">
        <v>2</v>
      </c>
      <c r="E892">
        <v>469.99</v>
      </c>
      <c r="F892">
        <v>0.1</v>
      </c>
      <c r="G892">
        <v>939.91</v>
      </c>
      <c r="H892" t="s">
        <v>11</v>
      </c>
      <c r="I892" t="s">
        <v>303</v>
      </c>
    </row>
    <row r="893" spans="1:9" x14ac:dyDescent="0.35">
      <c r="A893">
        <v>338</v>
      </c>
      <c r="B893">
        <v>2</v>
      </c>
      <c r="C893">
        <v>10</v>
      </c>
      <c r="D893">
        <v>1</v>
      </c>
      <c r="E893">
        <v>1549</v>
      </c>
      <c r="F893">
        <v>0.1</v>
      </c>
      <c r="G893">
        <v>1548.93</v>
      </c>
      <c r="H893" t="s">
        <v>15</v>
      </c>
      <c r="I893" t="s">
        <v>305</v>
      </c>
    </row>
    <row r="894" spans="1:9" x14ac:dyDescent="0.35">
      <c r="A894">
        <v>338</v>
      </c>
      <c r="B894">
        <v>3</v>
      </c>
      <c r="C894">
        <v>22</v>
      </c>
      <c r="D894">
        <v>1</v>
      </c>
      <c r="E894">
        <v>269.99</v>
      </c>
      <c r="F894">
        <v>0.1</v>
      </c>
      <c r="G894">
        <v>269.89</v>
      </c>
      <c r="H894" t="s">
        <v>19</v>
      </c>
      <c r="I894" t="s">
        <v>305</v>
      </c>
    </row>
    <row r="895" spans="1:9" x14ac:dyDescent="0.35">
      <c r="A895">
        <v>338</v>
      </c>
      <c r="B895">
        <v>4</v>
      </c>
      <c r="C895">
        <v>11</v>
      </c>
      <c r="D895">
        <v>2</v>
      </c>
      <c r="E895">
        <v>1680.99</v>
      </c>
      <c r="F895">
        <v>0.1</v>
      </c>
      <c r="G895">
        <v>3361.91</v>
      </c>
      <c r="H895" t="s">
        <v>16</v>
      </c>
      <c r="I895" t="s">
        <v>301</v>
      </c>
    </row>
    <row r="896" spans="1:9" x14ac:dyDescent="0.35">
      <c r="A896">
        <v>338</v>
      </c>
      <c r="B896">
        <v>5</v>
      </c>
      <c r="C896">
        <v>9</v>
      </c>
      <c r="D896">
        <v>1</v>
      </c>
      <c r="E896">
        <v>2999.99</v>
      </c>
      <c r="F896">
        <v>0.1</v>
      </c>
      <c r="G896">
        <v>2999.94</v>
      </c>
      <c r="H896" t="s">
        <v>14</v>
      </c>
      <c r="I896" t="s">
        <v>299</v>
      </c>
    </row>
    <row r="897" spans="1:9" x14ac:dyDescent="0.35">
      <c r="A897">
        <v>339</v>
      </c>
      <c r="B897">
        <v>1</v>
      </c>
      <c r="C897">
        <v>13</v>
      </c>
      <c r="D897">
        <v>1</v>
      </c>
      <c r="E897">
        <v>269.99</v>
      </c>
      <c r="F897">
        <v>0.1</v>
      </c>
      <c r="G897">
        <v>269.89</v>
      </c>
      <c r="H897" t="s">
        <v>18</v>
      </c>
      <c r="I897" t="s">
        <v>304</v>
      </c>
    </row>
    <row r="898" spans="1:9" x14ac:dyDescent="0.35">
      <c r="A898">
        <v>339</v>
      </c>
      <c r="B898">
        <v>2</v>
      </c>
      <c r="C898">
        <v>15</v>
      </c>
      <c r="D898">
        <v>2</v>
      </c>
      <c r="E898">
        <v>529.99</v>
      </c>
      <c r="F898">
        <v>0.1</v>
      </c>
      <c r="G898">
        <v>1059.93</v>
      </c>
      <c r="H898" t="s">
        <v>20</v>
      </c>
      <c r="I898" t="s">
        <v>304</v>
      </c>
    </row>
    <row r="899" spans="1:9" x14ac:dyDescent="0.35">
      <c r="A899">
        <v>340</v>
      </c>
      <c r="B899">
        <v>1</v>
      </c>
      <c r="C899">
        <v>11</v>
      </c>
      <c r="D899">
        <v>1</v>
      </c>
      <c r="E899">
        <v>1680.99</v>
      </c>
      <c r="F899">
        <v>0.1</v>
      </c>
      <c r="G899">
        <v>1680.94</v>
      </c>
      <c r="H899" t="s">
        <v>16</v>
      </c>
      <c r="I899" t="s">
        <v>301</v>
      </c>
    </row>
    <row r="900" spans="1:9" x14ac:dyDescent="0.35">
      <c r="A900">
        <v>340</v>
      </c>
      <c r="B900">
        <v>2</v>
      </c>
      <c r="C900">
        <v>24</v>
      </c>
      <c r="D900">
        <v>1</v>
      </c>
      <c r="E900">
        <v>549.99</v>
      </c>
      <c r="F900">
        <v>0.1</v>
      </c>
      <c r="G900">
        <v>549.94000000000005</v>
      </c>
      <c r="H900" t="s">
        <v>17</v>
      </c>
      <c r="I900" t="s">
        <v>300</v>
      </c>
    </row>
    <row r="901" spans="1:9" x14ac:dyDescent="0.35">
      <c r="A901">
        <v>340</v>
      </c>
      <c r="B901">
        <v>3</v>
      </c>
      <c r="C901">
        <v>13</v>
      </c>
      <c r="D901">
        <v>2</v>
      </c>
      <c r="E901">
        <v>269.99</v>
      </c>
      <c r="F901">
        <v>0.1</v>
      </c>
      <c r="G901">
        <v>539.88</v>
      </c>
      <c r="H901" t="s">
        <v>18</v>
      </c>
      <c r="I901" t="s">
        <v>305</v>
      </c>
    </row>
    <row r="902" spans="1:9" x14ac:dyDescent="0.35">
      <c r="A902">
        <v>340</v>
      </c>
      <c r="B902">
        <v>4</v>
      </c>
      <c r="C902">
        <v>12</v>
      </c>
      <c r="D902">
        <v>2</v>
      </c>
      <c r="E902">
        <v>549.99</v>
      </c>
      <c r="F902">
        <v>0.1</v>
      </c>
      <c r="G902">
        <v>1099.9100000000001</v>
      </c>
      <c r="H902" t="s">
        <v>17</v>
      </c>
      <c r="I902" t="s">
        <v>301</v>
      </c>
    </row>
    <row r="903" spans="1:9" x14ac:dyDescent="0.35">
      <c r="A903">
        <v>340</v>
      </c>
      <c r="B903">
        <v>5</v>
      </c>
      <c r="C903">
        <v>10</v>
      </c>
      <c r="D903">
        <v>2</v>
      </c>
      <c r="E903">
        <v>1549</v>
      </c>
      <c r="F903">
        <v>0.1</v>
      </c>
      <c r="G903">
        <v>3097.9</v>
      </c>
      <c r="H903" t="s">
        <v>15</v>
      </c>
      <c r="I903" t="s">
        <v>301</v>
      </c>
    </row>
    <row r="904" spans="1:9" x14ac:dyDescent="0.35">
      <c r="A904">
        <v>342</v>
      </c>
      <c r="B904">
        <v>1</v>
      </c>
      <c r="C904">
        <v>26</v>
      </c>
      <c r="D904">
        <v>1</v>
      </c>
      <c r="E904">
        <v>599.99</v>
      </c>
      <c r="F904">
        <v>0.1</v>
      </c>
      <c r="G904">
        <v>599.91999999999996</v>
      </c>
      <c r="H904" t="s">
        <v>21</v>
      </c>
      <c r="I904" t="s">
        <v>301</v>
      </c>
    </row>
    <row r="905" spans="1:9" x14ac:dyDescent="0.35">
      <c r="A905">
        <v>342</v>
      </c>
      <c r="B905">
        <v>2</v>
      </c>
      <c r="C905">
        <v>9</v>
      </c>
      <c r="D905">
        <v>1</v>
      </c>
      <c r="E905">
        <v>2999.99</v>
      </c>
      <c r="F905">
        <v>0.2</v>
      </c>
      <c r="G905">
        <v>2999.79</v>
      </c>
      <c r="H905" t="s">
        <v>14</v>
      </c>
      <c r="I905" t="s">
        <v>304</v>
      </c>
    </row>
    <row r="906" spans="1:9" x14ac:dyDescent="0.35">
      <c r="A906">
        <v>342</v>
      </c>
      <c r="B906">
        <v>3</v>
      </c>
      <c r="C906">
        <v>16</v>
      </c>
      <c r="D906">
        <v>2</v>
      </c>
      <c r="E906">
        <v>599.99</v>
      </c>
      <c r="F906">
        <v>0.1</v>
      </c>
      <c r="G906">
        <v>1199.8800000000001</v>
      </c>
      <c r="H906" t="s">
        <v>21</v>
      </c>
      <c r="I906" t="s">
        <v>299</v>
      </c>
    </row>
    <row r="907" spans="1:9" x14ac:dyDescent="0.35">
      <c r="A907">
        <v>343</v>
      </c>
      <c r="B907">
        <v>1</v>
      </c>
      <c r="C907">
        <v>20</v>
      </c>
      <c r="D907">
        <v>2</v>
      </c>
      <c r="E907">
        <v>599.99</v>
      </c>
      <c r="F907">
        <v>0.2</v>
      </c>
      <c r="G907">
        <v>1199.78</v>
      </c>
      <c r="H907" t="s">
        <v>25</v>
      </c>
      <c r="I907" t="s">
        <v>299</v>
      </c>
    </row>
    <row r="908" spans="1:9" x14ac:dyDescent="0.35">
      <c r="A908">
        <v>343</v>
      </c>
      <c r="B908">
        <v>2</v>
      </c>
      <c r="C908">
        <v>25</v>
      </c>
      <c r="D908">
        <v>1</v>
      </c>
      <c r="E908">
        <v>499.99</v>
      </c>
      <c r="F908">
        <v>0.1</v>
      </c>
      <c r="G908">
        <v>499.94</v>
      </c>
      <c r="H908" t="s">
        <v>27</v>
      </c>
      <c r="I908" t="s">
        <v>299</v>
      </c>
    </row>
    <row r="909" spans="1:9" x14ac:dyDescent="0.35">
      <c r="A909">
        <v>343</v>
      </c>
      <c r="B909">
        <v>3</v>
      </c>
      <c r="C909">
        <v>5</v>
      </c>
      <c r="D909">
        <v>2</v>
      </c>
      <c r="E909">
        <v>1320.99</v>
      </c>
      <c r="F909">
        <v>0.1</v>
      </c>
      <c r="G909">
        <v>2641.93</v>
      </c>
      <c r="H909" t="s">
        <v>10</v>
      </c>
      <c r="I909" t="s">
        <v>301</v>
      </c>
    </row>
    <row r="910" spans="1:9" x14ac:dyDescent="0.35">
      <c r="A910">
        <v>343</v>
      </c>
      <c r="B910">
        <v>4</v>
      </c>
      <c r="C910">
        <v>10</v>
      </c>
      <c r="D910">
        <v>1</v>
      </c>
      <c r="E910">
        <v>1549</v>
      </c>
      <c r="F910">
        <v>0.1</v>
      </c>
      <c r="G910">
        <v>1548.9</v>
      </c>
      <c r="H910" t="s">
        <v>15</v>
      </c>
      <c r="I910" t="s">
        <v>299</v>
      </c>
    </row>
    <row r="911" spans="1:9" x14ac:dyDescent="0.35">
      <c r="A911">
        <v>344</v>
      </c>
      <c r="B911">
        <v>1</v>
      </c>
      <c r="C911">
        <v>22</v>
      </c>
      <c r="D911">
        <v>1</v>
      </c>
      <c r="E911">
        <v>269.99</v>
      </c>
      <c r="F911">
        <v>0.1</v>
      </c>
      <c r="G911">
        <v>269.94</v>
      </c>
      <c r="H911" t="s">
        <v>19</v>
      </c>
      <c r="I911" t="s">
        <v>301</v>
      </c>
    </row>
    <row r="912" spans="1:9" x14ac:dyDescent="0.35">
      <c r="A912">
        <v>344</v>
      </c>
      <c r="B912">
        <v>2</v>
      </c>
      <c r="C912">
        <v>18</v>
      </c>
      <c r="D912">
        <v>2</v>
      </c>
      <c r="E912">
        <v>449</v>
      </c>
      <c r="F912">
        <v>0.1</v>
      </c>
      <c r="G912">
        <v>897.93</v>
      </c>
      <c r="H912" t="s">
        <v>23</v>
      </c>
      <c r="I912" t="s">
        <v>299</v>
      </c>
    </row>
    <row r="913" spans="1:9" x14ac:dyDescent="0.35">
      <c r="A913">
        <v>344</v>
      </c>
      <c r="B913">
        <v>3</v>
      </c>
      <c r="C913">
        <v>14</v>
      </c>
      <c r="D913">
        <v>1</v>
      </c>
      <c r="E913">
        <v>269.99</v>
      </c>
      <c r="F913">
        <v>0.2</v>
      </c>
      <c r="G913">
        <v>269.79000000000002</v>
      </c>
      <c r="H913" t="s">
        <v>19</v>
      </c>
      <c r="I913" t="s">
        <v>301</v>
      </c>
    </row>
    <row r="914" spans="1:9" x14ac:dyDescent="0.35">
      <c r="A914">
        <v>345</v>
      </c>
      <c r="B914">
        <v>1</v>
      </c>
      <c r="C914">
        <v>18</v>
      </c>
      <c r="D914">
        <v>2</v>
      </c>
      <c r="E914">
        <v>449</v>
      </c>
      <c r="F914">
        <v>0.1</v>
      </c>
      <c r="G914">
        <v>897.9</v>
      </c>
      <c r="H914" t="s">
        <v>23</v>
      </c>
      <c r="I914" t="s">
        <v>299</v>
      </c>
    </row>
    <row r="915" spans="1:9" x14ac:dyDescent="0.35">
      <c r="A915">
        <v>345</v>
      </c>
      <c r="B915">
        <v>2</v>
      </c>
      <c r="C915">
        <v>24</v>
      </c>
      <c r="D915">
        <v>2</v>
      </c>
      <c r="E915">
        <v>549.99</v>
      </c>
      <c r="F915">
        <v>0.1</v>
      </c>
      <c r="G915">
        <v>1099.9100000000001</v>
      </c>
      <c r="H915" t="s">
        <v>17</v>
      </c>
      <c r="I915" t="s">
        <v>304</v>
      </c>
    </row>
    <row r="916" spans="1:9" x14ac:dyDescent="0.35">
      <c r="A916">
        <v>346</v>
      </c>
      <c r="B916">
        <v>1</v>
      </c>
      <c r="C916">
        <v>13</v>
      </c>
      <c r="D916">
        <v>1</v>
      </c>
      <c r="E916">
        <v>269.99</v>
      </c>
      <c r="F916">
        <v>0.1</v>
      </c>
      <c r="G916">
        <v>269.92</v>
      </c>
      <c r="H916" t="s">
        <v>18</v>
      </c>
      <c r="I916" t="s">
        <v>304</v>
      </c>
    </row>
    <row r="917" spans="1:9" x14ac:dyDescent="0.35">
      <c r="A917">
        <v>346</v>
      </c>
      <c r="B917">
        <v>2</v>
      </c>
      <c r="C917">
        <v>23</v>
      </c>
      <c r="D917">
        <v>1</v>
      </c>
      <c r="E917">
        <v>299.99</v>
      </c>
      <c r="F917">
        <v>0.2</v>
      </c>
      <c r="G917">
        <v>299.79000000000002</v>
      </c>
      <c r="H917" t="s">
        <v>26</v>
      </c>
      <c r="I917" t="s">
        <v>300</v>
      </c>
    </row>
    <row r="918" spans="1:9" x14ac:dyDescent="0.35">
      <c r="A918">
        <v>346</v>
      </c>
      <c r="B918">
        <v>3</v>
      </c>
      <c r="C918">
        <v>21</v>
      </c>
      <c r="D918">
        <v>1</v>
      </c>
      <c r="E918">
        <v>269.99</v>
      </c>
      <c r="F918">
        <v>0.1</v>
      </c>
      <c r="G918">
        <v>269.89</v>
      </c>
      <c r="H918" t="s">
        <v>18</v>
      </c>
      <c r="I918" t="s">
        <v>300</v>
      </c>
    </row>
    <row r="919" spans="1:9" x14ac:dyDescent="0.35">
      <c r="A919">
        <v>346</v>
      </c>
      <c r="B919">
        <v>4</v>
      </c>
      <c r="C919">
        <v>15</v>
      </c>
      <c r="D919">
        <v>1</v>
      </c>
      <c r="E919">
        <v>529.99</v>
      </c>
      <c r="F919">
        <v>0.1</v>
      </c>
      <c r="G919">
        <v>529.94000000000005</v>
      </c>
      <c r="H919" t="s">
        <v>20</v>
      </c>
      <c r="I919" t="s">
        <v>305</v>
      </c>
    </row>
    <row r="920" spans="1:9" x14ac:dyDescent="0.35">
      <c r="A920">
        <v>346</v>
      </c>
      <c r="B920">
        <v>5</v>
      </c>
      <c r="C920">
        <v>18</v>
      </c>
      <c r="D920">
        <v>2</v>
      </c>
      <c r="E920">
        <v>449</v>
      </c>
      <c r="F920">
        <v>0.1</v>
      </c>
      <c r="G920">
        <v>897.95</v>
      </c>
      <c r="H920" t="s">
        <v>23</v>
      </c>
      <c r="I920" t="s">
        <v>300</v>
      </c>
    </row>
    <row r="921" spans="1:9" x14ac:dyDescent="0.35">
      <c r="A921">
        <v>348</v>
      </c>
      <c r="B921">
        <v>1</v>
      </c>
      <c r="C921">
        <v>5</v>
      </c>
      <c r="D921">
        <v>2</v>
      </c>
      <c r="E921">
        <v>1320.99</v>
      </c>
      <c r="F921">
        <v>0.1</v>
      </c>
      <c r="G921">
        <v>2641.93</v>
      </c>
      <c r="H921" t="s">
        <v>10</v>
      </c>
      <c r="I921" t="s">
        <v>305</v>
      </c>
    </row>
    <row r="922" spans="1:9" x14ac:dyDescent="0.35">
      <c r="A922">
        <v>348</v>
      </c>
      <c r="B922">
        <v>2</v>
      </c>
      <c r="C922">
        <v>15</v>
      </c>
      <c r="D922">
        <v>2</v>
      </c>
      <c r="E922">
        <v>529.99</v>
      </c>
      <c r="F922">
        <v>0.1</v>
      </c>
      <c r="G922">
        <v>1059.9100000000001</v>
      </c>
      <c r="H922" t="s">
        <v>20</v>
      </c>
      <c r="I922" t="s">
        <v>304</v>
      </c>
    </row>
    <row r="923" spans="1:9" x14ac:dyDescent="0.35">
      <c r="A923">
        <v>350</v>
      </c>
      <c r="B923">
        <v>1</v>
      </c>
      <c r="C923">
        <v>6</v>
      </c>
      <c r="D923">
        <v>2</v>
      </c>
      <c r="E923">
        <v>469.99</v>
      </c>
      <c r="F923">
        <v>0.1</v>
      </c>
      <c r="G923">
        <v>939.93</v>
      </c>
      <c r="H923" t="s">
        <v>11</v>
      </c>
      <c r="I923" t="s">
        <v>302</v>
      </c>
    </row>
    <row r="924" spans="1:9" x14ac:dyDescent="0.35">
      <c r="A924">
        <v>350</v>
      </c>
      <c r="B924">
        <v>2</v>
      </c>
      <c r="C924">
        <v>20</v>
      </c>
      <c r="D924">
        <v>1</v>
      </c>
      <c r="E924">
        <v>599.99</v>
      </c>
      <c r="F924">
        <v>0.1</v>
      </c>
      <c r="G924">
        <v>599.91999999999996</v>
      </c>
      <c r="H924" t="s">
        <v>25</v>
      </c>
      <c r="I924" t="s">
        <v>301</v>
      </c>
    </row>
    <row r="925" spans="1:9" x14ac:dyDescent="0.35">
      <c r="A925">
        <v>350</v>
      </c>
      <c r="B925">
        <v>3</v>
      </c>
      <c r="C925">
        <v>3</v>
      </c>
      <c r="D925">
        <v>1</v>
      </c>
      <c r="E925">
        <v>999.99</v>
      </c>
      <c r="F925">
        <v>0.1</v>
      </c>
      <c r="G925">
        <v>999.92</v>
      </c>
      <c r="H925" t="s">
        <v>8</v>
      </c>
      <c r="I925" t="s">
        <v>304</v>
      </c>
    </row>
    <row r="926" spans="1:9" x14ac:dyDescent="0.35">
      <c r="A926">
        <v>351</v>
      </c>
      <c r="B926">
        <v>1</v>
      </c>
      <c r="C926">
        <v>4</v>
      </c>
      <c r="D926">
        <v>2</v>
      </c>
      <c r="E926">
        <v>2899.99</v>
      </c>
      <c r="F926">
        <v>0.1</v>
      </c>
      <c r="G926">
        <v>5799.93</v>
      </c>
      <c r="H926" t="s">
        <v>9</v>
      </c>
      <c r="I926" t="s">
        <v>299</v>
      </c>
    </row>
    <row r="927" spans="1:9" x14ac:dyDescent="0.35">
      <c r="A927">
        <v>351</v>
      </c>
      <c r="B927">
        <v>2</v>
      </c>
      <c r="C927">
        <v>24</v>
      </c>
      <c r="D927">
        <v>2</v>
      </c>
      <c r="E927">
        <v>549.99</v>
      </c>
      <c r="F927">
        <v>0.1</v>
      </c>
      <c r="G927">
        <v>1099.8800000000001</v>
      </c>
      <c r="H927" t="s">
        <v>17</v>
      </c>
      <c r="I927" t="s">
        <v>305</v>
      </c>
    </row>
    <row r="928" spans="1:9" x14ac:dyDescent="0.35">
      <c r="A928">
        <v>351</v>
      </c>
      <c r="B928">
        <v>3</v>
      </c>
      <c r="C928">
        <v>20</v>
      </c>
      <c r="D928">
        <v>1</v>
      </c>
      <c r="E928">
        <v>599.99</v>
      </c>
      <c r="F928">
        <v>0.2</v>
      </c>
      <c r="G928">
        <v>599.79</v>
      </c>
      <c r="H928" t="s">
        <v>25</v>
      </c>
      <c r="I928" t="s">
        <v>304</v>
      </c>
    </row>
    <row r="929" spans="1:9" x14ac:dyDescent="0.35">
      <c r="A929">
        <v>351</v>
      </c>
      <c r="B929">
        <v>4</v>
      </c>
      <c r="C929">
        <v>22</v>
      </c>
      <c r="D929">
        <v>2</v>
      </c>
      <c r="E929">
        <v>269.99</v>
      </c>
      <c r="F929">
        <v>0.1</v>
      </c>
      <c r="G929">
        <v>539.91</v>
      </c>
      <c r="H929" t="s">
        <v>19</v>
      </c>
      <c r="I929" t="s">
        <v>299</v>
      </c>
    </row>
    <row r="930" spans="1:9" x14ac:dyDescent="0.35">
      <c r="A930">
        <v>352</v>
      </c>
      <c r="B930">
        <v>1</v>
      </c>
      <c r="C930">
        <v>11</v>
      </c>
      <c r="D930">
        <v>1</v>
      </c>
      <c r="E930">
        <v>1680.99</v>
      </c>
      <c r="F930">
        <v>0.2</v>
      </c>
      <c r="G930">
        <v>1680.79</v>
      </c>
      <c r="H930" t="s">
        <v>16</v>
      </c>
      <c r="I930" t="s">
        <v>304</v>
      </c>
    </row>
    <row r="931" spans="1:9" x14ac:dyDescent="0.35">
      <c r="A931">
        <v>352</v>
      </c>
      <c r="B931">
        <v>2</v>
      </c>
      <c r="C931">
        <v>14</v>
      </c>
      <c r="D931">
        <v>1</v>
      </c>
      <c r="E931">
        <v>269.99</v>
      </c>
      <c r="F931">
        <v>0.2</v>
      </c>
      <c r="G931">
        <v>269.79000000000002</v>
      </c>
      <c r="H931" t="s">
        <v>19</v>
      </c>
      <c r="I931" t="s">
        <v>303</v>
      </c>
    </row>
    <row r="932" spans="1:9" x14ac:dyDescent="0.35">
      <c r="A932">
        <v>354</v>
      </c>
      <c r="B932">
        <v>1</v>
      </c>
      <c r="C932">
        <v>21</v>
      </c>
      <c r="D932">
        <v>1</v>
      </c>
      <c r="E932">
        <v>269.99</v>
      </c>
      <c r="F932">
        <v>0.2</v>
      </c>
      <c r="G932">
        <v>269.79000000000002</v>
      </c>
      <c r="H932" t="s">
        <v>18</v>
      </c>
      <c r="I932" t="s">
        <v>305</v>
      </c>
    </row>
    <row r="933" spans="1:9" x14ac:dyDescent="0.35">
      <c r="A933">
        <v>354</v>
      </c>
      <c r="B933">
        <v>2</v>
      </c>
      <c r="C933">
        <v>19</v>
      </c>
      <c r="D933">
        <v>1</v>
      </c>
      <c r="E933">
        <v>449</v>
      </c>
      <c r="F933">
        <v>0.1</v>
      </c>
      <c r="G933">
        <v>448.95</v>
      </c>
      <c r="H933" t="s">
        <v>24</v>
      </c>
      <c r="I933" t="s">
        <v>304</v>
      </c>
    </row>
    <row r="934" spans="1:9" x14ac:dyDescent="0.35">
      <c r="A934">
        <v>355</v>
      </c>
      <c r="B934">
        <v>1</v>
      </c>
      <c r="C934">
        <v>16</v>
      </c>
      <c r="D934">
        <v>1</v>
      </c>
      <c r="E934">
        <v>599.99</v>
      </c>
      <c r="F934">
        <v>0.1</v>
      </c>
      <c r="G934">
        <v>599.89</v>
      </c>
      <c r="H934" t="s">
        <v>21</v>
      </c>
      <c r="I934" t="s">
        <v>301</v>
      </c>
    </row>
    <row r="935" spans="1:9" x14ac:dyDescent="0.35">
      <c r="A935">
        <v>355</v>
      </c>
      <c r="B935">
        <v>2</v>
      </c>
      <c r="C935">
        <v>14</v>
      </c>
      <c r="D935">
        <v>2</v>
      </c>
      <c r="E935">
        <v>269.99</v>
      </c>
      <c r="F935">
        <v>0.1</v>
      </c>
      <c r="G935">
        <v>539.91</v>
      </c>
      <c r="H935" t="s">
        <v>19</v>
      </c>
      <c r="I935" t="s">
        <v>301</v>
      </c>
    </row>
    <row r="936" spans="1:9" x14ac:dyDescent="0.35">
      <c r="A936">
        <v>356</v>
      </c>
      <c r="B936">
        <v>1</v>
      </c>
      <c r="C936">
        <v>23</v>
      </c>
      <c r="D936">
        <v>2</v>
      </c>
      <c r="E936">
        <v>299.99</v>
      </c>
      <c r="F936">
        <v>0.1</v>
      </c>
      <c r="G936">
        <v>599.92999999999995</v>
      </c>
      <c r="H936" t="s">
        <v>26</v>
      </c>
      <c r="I936" t="s">
        <v>299</v>
      </c>
    </row>
    <row r="937" spans="1:9" x14ac:dyDescent="0.35">
      <c r="A937">
        <v>356</v>
      </c>
      <c r="B937">
        <v>2</v>
      </c>
      <c r="C937">
        <v>4</v>
      </c>
      <c r="D937">
        <v>1</v>
      </c>
      <c r="E937">
        <v>2899.99</v>
      </c>
      <c r="F937">
        <v>0.1</v>
      </c>
      <c r="G937">
        <v>2899.94</v>
      </c>
      <c r="H937" t="s">
        <v>9</v>
      </c>
      <c r="I937" t="s">
        <v>300</v>
      </c>
    </row>
    <row r="938" spans="1:9" x14ac:dyDescent="0.35">
      <c r="A938">
        <v>356</v>
      </c>
      <c r="B938">
        <v>3</v>
      </c>
      <c r="C938">
        <v>13</v>
      </c>
      <c r="D938">
        <v>1</v>
      </c>
      <c r="E938">
        <v>269.99</v>
      </c>
      <c r="F938">
        <v>0.1</v>
      </c>
      <c r="G938">
        <v>269.94</v>
      </c>
      <c r="H938" t="s">
        <v>18</v>
      </c>
      <c r="I938" t="s">
        <v>301</v>
      </c>
    </row>
    <row r="939" spans="1:9" x14ac:dyDescent="0.35">
      <c r="A939">
        <v>357</v>
      </c>
      <c r="B939">
        <v>1</v>
      </c>
      <c r="C939">
        <v>17</v>
      </c>
      <c r="D939">
        <v>2</v>
      </c>
      <c r="E939">
        <v>429</v>
      </c>
      <c r="F939">
        <v>0.1</v>
      </c>
      <c r="G939">
        <v>857.95</v>
      </c>
      <c r="H939" t="s">
        <v>22</v>
      </c>
      <c r="I939" t="s">
        <v>301</v>
      </c>
    </row>
    <row r="940" spans="1:9" x14ac:dyDescent="0.35">
      <c r="A940">
        <v>357</v>
      </c>
      <c r="B940">
        <v>2</v>
      </c>
      <c r="C940">
        <v>21</v>
      </c>
      <c r="D940">
        <v>2</v>
      </c>
      <c r="E940">
        <v>269.99</v>
      </c>
      <c r="F940">
        <v>0.1</v>
      </c>
      <c r="G940">
        <v>539.91</v>
      </c>
      <c r="H940" t="s">
        <v>18</v>
      </c>
      <c r="I940" t="s">
        <v>301</v>
      </c>
    </row>
    <row r="941" spans="1:9" x14ac:dyDescent="0.35">
      <c r="A941">
        <v>357</v>
      </c>
      <c r="B941">
        <v>3</v>
      </c>
      <c r="C941">
        <v>24</v>
      </c>
      <c r="D941">
        <v>1</v>
      </c>
      <c r="E941">
        <v>549.99</v>
      </c>
      <c r="F941">
        <v>0.1</v>
      </c>
      <c r="G941">
        <v>549.91999999999996</v>
      </c>
      <c r="H941" t="s">
        <v>17</v>
      </c>
      <c r="I941" t="s">
        <v>299</v>
      </c>
    </row>
    <row r="942" spans="1:9" x14ac:dyDescent="0.35">
      <c r="A942">
        <v>357</v>
      </c>
      <c r="B942">
        <v>4</v>
      </c>
      <c r="C942">
        <v>9</v>
      </c>
      <c r="D942">
        <v>1</v>
      </c>
      <c r="E942">
        <v>2999.99</v>
      </c>
      <c r="F942">
        <v>0.1</v>
      </c>
      <c r="G942">
        <v>2999.94</v>
      </c>
      <c r="H942" t="s">
        <v>14</v>
      </c>
      <c r="I942" t="s">
        <v>304</v>
      </c>
    </row>
    <row r="943" spans="1:9" x14ac:dyDescent="0.35">
      <c r="A943">
        <v>358</v>
      </c>
      <c r="B943">
        <v>1</v>
      </c>
      <c r="C943">
        <v>21</v>
      </c>
      <c r="D943">
        <v>2</v>
      </c>
      <c r="E943">
        <v>269.99</v>
      </c>
      <c r="F943">
        <v>0.1</v>
      </c>
      <c r="G943">
        <v>539.88</v>
      </c>
      <c r="H943" t="s">
        <v>18</v>
      </c>
      <c r="I943" t="s">
        <v>304</v>
      </c>
    </row>
    <row r="944" spans="1:9" x14ac:dyDescent="0.35">
      <c r="A944">
        <v>358</v>
      </c>
      <c r="B944">
        <v>2</v>
      </c>
      <c r="C944">
        <v>6</v>
      </c>
      <c r="D944">
        <v>2</v>
      </c>
      <c r="E944">
        <v>469.99</v>
      </c>
      <c r="F944">
        <v>0.1</v>
      </c>
      <c r="G944">
        <v>939.91</v>
      </c>
      <c r="H944" t="s">
        <v>11</v>
      </c>
      <c r="I944" t="s">
        <v>301</v>
      </c>
    </row>
    <row r="945" spans="1:9" x14ac:dyDescent="0.35">
      <c r="A945">
        <v>358</v>
      </c>
      <c r="B945">
        <v>3</v>
      </c>
      <c r="C945">
        <v>8</v>
      </c>
      <c r="D945">
        <v>2</v>
      </c>
      <c r="E945">
        <v>1799.99</v>
      </c>
      <c r="F945">
        <v>0.1</v>
      </c>
      <c r="G945">
        <v>3599.93</v>
      </c>
      <c r="H945" t="s">
        <v>13</v>
      </c>
      <c r="I945" t="s">
        <v>301</v>
      </c>
    </row>
    <row r="946" spans="1:9" x14ac:dyDescent="0.35">
      <c r="A946">
        <v>358</v>
      </c>
      <c r="B946">
        <v>4</v>
      </c>
      <c r="C946">
        <v>18</v>
      </c>
      <c r="D946">
        <v>2</v>
      </c>
      <c r="E946">
        <v>449</v>
      </c>
      <c r="F946">
        <v>0.1</v>
      </c>
      <c r="G946">
        <v>897.9</v>
      </c>
      <c r="H946" t="s">
        <v>23</v>
      </c>
      <c r="I946" t="s">
        <v>300</v>
      </c>
    </row>
    <row r="947" spans="1:9" x14ac:dyDescent="0.35">
      <c r="A947">
        <v>359</v>
      </c>
      <c r="B947">
        <v>1</v>
      </c>
      <c r="C947">
        <v>15</v>
      </c>
      <c r="D947">
        <v>2</v>
      </c>
      <c r="E947">
        <v>529.99</v>
      </c>
      <c r="F947">
        <v>0.1</v>
      </c>
      <c r="G947">
        <v>1059.9100000000001</v>
      </c>
      <c r="H947" t="s">
        <v>20</v>
      </c>
      <c r="I947" t="s">
        <v>301</v>
      </c>
    </row>
    <row r="948" spans="1:9" x14ac:dyDescent="0.35">
      <c r="A948">
        <v>359</v>
      </c>
      <c r="B948">
        <v>2</v>
      </c>
      <c r="C948">
        <v>9</v>
      </c>
      <c r="D948">
        <v>2</v>
      </c>
      <c r="E948">
        <v>2999.99</v>
      </c>
      <c r="F948">
        <v>0.1</v>
      </c>
      <c r="G948">
        <v>5999.91</v>
      </c>
      <c r="H948" t="s">
        <v>14</v>
      </c>
      <c r="I948" t="s">
        <v>299</v>
      </c>
    </row>
    <row r="949" spans="1:9" x14ac:dyDescent="0.35">
      <c r="A949">
        <v>359</v>
      </c>
      <c r="B949">
        <v>3</v>
      </c>
      <c r="C949">
        <v>7</v>
      </c>
      <c r="D949">
        <v>2</v>
      </c>
      <c r="E949">
        <v>3999.99</v>
      </c>
      <c r="F949">
        <v>0.2</v>
      </c>
      <c r="G949">
        <v>7999.78</v>
      </c>
      <c r="H949" t="s">
        <v>12</v>
      </c>
      <c r="I949" t="s">
        <v>300</v>
      </c>
    </row>
    <row r="950" spans="1:9" x14ac:dyDescent="0.35">
      <c r="A950">
        <v>360</v>
      </c>
      <c r="B950">
        <v>1</v>
      </c>
      <c r="C950">
        <v>26</v>
      </c>
      <c r="D950">
        <v>1</v>
      </c>
      <c r="E950">
        <v>599.99</v>
      </c>
      <c r="F950">
        <v>0.1</v>
      </c>
      <c r="G950">
        <v>599.94000000000005</v>
      </c>
      <c r="H950" t="s">
        <v>21</v>
      </c>
      <c r="I950" t="s">
        <v>299</v>
      </c>
    </row>
    <row r="951" spans="1:9" x14ac:dyDescent="0.35">
      <c r="A951">
        <v>360</v>
      </c>
      <c r="B951">
        <v>2</v>
      </c>
      <c r="C951">
        <v>7</v>
      </c>
      <c r="D951">
        <v>2</v>
      </c>
      <c r="E951">
        <v>3999.99</v>
      </c>
      <c r="F951">
        <v>0.2</v>
      </c>
      <c r="G951">
        <v>7999.78</v>
      </c>
      <c r="H951" t="s">
        <v>12</v>
      </c>
      <c r="I951" t="s">
        <v>304</v>
      </c>
    </row>
    <row r="952" spans="1:9" x14ac:dyDescent="0.35">
      <c r="A952">
        <v>360</v>
      </c>
      <c r="B952">
        <v>3</v>
      </c>
      <c r="C952">
        <v>13</v>
      </c>
      <c r="D952">
        <v>2</v>
      </c>
      <c r="E952">
        <v>269.99</v>
      </c>
      <c r="F952">
        <v>0.1</v>
      </c>
      <c r="G952">
        <v>539.92999999999995</v>
      </c>
      <c r="H952" t="s">
        <v>18</v>
      </c>
      <c r="I952" t="s">
        <v>303</v>
      </c>
    </row>
    <row r="953" spans="1:9" x14ac:dyDescent="0.35">
      <c r="A953">
        <v>360</v>
      </c>
      <c r="B953">
        <v>4</v>
      </c>
      <c r="C953">
        <v>25</v>
      </c>
      <c r="D953">
        <v>1</v>
      </c>
      <c r="E953">
        <v>499.99</v>
      </c>
      <c r="F953">
        <v>0.1</v>
      </c>
      <c r="G953">
        <v>499.89</v>
      </c>
      <c r="H953" t="s">
        <v>27</v>
      </c>
      <c r="I953" t="s">
        <v>299</v>
      </c>
    </row>
    <row r="954" spans="1:9" x14ac:dyDescent="0.35">
      <c r="A954">
        <v>361</v>
      </c>
      <c r="B954">
        <v>1</v>
      </c>
      <c r="C954">
        <v>24</v>
      </c>
      <c r="D954">
        <v>2</v>
      </c>
      <c r="E954">
        <v>549.99</v>
      </c>
      <c r="F954">
        <v>0.1</v>
      </c>
      <c r="G954">
        <v>1099.93</v>
      </c>
      <c r="H954" t="s">
        <v>17</v>
      </c>
      <c r="I954" t="s">
        <v>304</v>
      </c>
    </row>
    <row r="955" spans="1:9" x14ac:dyDescent="0.35">
      <c r="A955">
        <v>361</v>
      </c>
      <c r="B955">
        <v>2</v>
      </c>
      <c r="C955">
        <v>6</v>
      </c>
      <c r="D955">
        <v>2</v>
      </c>
      <c r="E955">
        <v>469.99</v>
      </c>
      <c r="F955">
        <v>0.1</v>
      </c>
      <c r="G955">
        <v>939.88</v>
      </c>
      <c r="H955" t="s">
        <v>11</v>
      </c>
      <c r="I955" t="s">
        <v>301</v>
      </c>
    </row>
    <row r="956" spans="1:9" x14ac:dyDescent="0.35">
      <c r="A956">
        <v>361</v>
      </c>
      <c r="B956">
        <v>3</v>
      </c>
      <c r="C956">
        <v>11</v>
      </c>
      <c r="D956">
        <v>1</v>
      </c>
      <c r="E956">
        <v>1680.99</v>
      </c>
      <c r="F956">
        <v>0.1</v>
      </c>
      <c r="G956">
        <v>1680.89</v>
      </c>
      <c r="H956" t="s">
        <v>16</v>
      </c>
      <c r="I956" t="s">
        <v>299</v>
      </c>
    </row>
    <row r="957" spans="1:9" x14ac:dyDescent="0.35">
      <c r="A957">
        <v>363</v>
      </c>
      <c r="B957">
        <v>1</v>
      </c>
      <c r="C957">
        <v>21</v>
      </c>
      <c r="D957">
        <v>2</v>
      </c>
      <c r="E957">
        <v>269.99</v>
      </c>
      <c r="F957">
        <v>0.1</v>
      </c>
      <c r="G957">
        <v>539.88</v>
      </c>
      <c r="H957" t="s">
        <v>18</v>
      </c>
      <c r="I957" t="s">
        <v>304</v>
      </c>
    </row>
    <row r="958" spans="1:9" x14ac:dyDescent="0.35">
      <c r="A958">
        <v>363</v>
      </c>
      <c r="B958">
        <v>2</v>
      </c>
      <c r="C958">
        <v>14</v>
      </c>
      <c r="D958">
        <v>1</v>
      </c>
      <c r="E958">
        <v>269.99</v>
      </c>
      <c r="F958">
        <v>0.1</v>
      </c>
      <c r="G958">
        <v>269.92</v>
      </c>
      <c r="H958" t="s">
        <v>19</v>
      </c>
      <c r="I958" t="s">
        <v>301</v>
      </c>
    </row>
    <row r="959" spans="1:9" x14ac:dyDescent="0.35">
      <c r="A959">
        <v>363</v>
      </c>
      <c r="B959">
        <v>3</v>
      </c>
      <c r="C959">
        <v>15</v>
      </c>
      <c r="D959">
        <v>1</v>
      </c>
      <c r="E959">
        <v>529.99</v>
      </c>
      <c r="F959">
        <v>0.1</v>
      </c>
      <c r="G959">
        <v>529.89</v>
      </c>
      <c r="H959" t="s">
        <v>20</v>
      </c>
      <c r="I959" t="s">
        <v>305</v>
      </c>
    </row>
    <row r="960" spans="1:9" x14ac:dyDescent="0.35">
      <c r="A960">
        <v>363</v>
      </c>
      <c r="B960">
        <v>4</v>
      </c>
      <c r="C960">
        <v>20</v>
      </c>
      <c r="D960">
        <v>1</v>
      </c>
      <c r="E960">
        <v>599.99</v>
      </c>
      <c r="F960">
        <v>0.2</v>
      </c>
      <c r="G960">
        <v>599.79</v>
      </c>
      <c r="H960" t="s">
        <v>25</v>
      </c>
      <c r="I960" t="s">
        <v>304</v>
      </c>
    </row>
    <row r="961" spans="1:9" x14ac:dyDescent="0.35">
      <c r="A961">
        <v>366</v>
      </c>
      <c r="B961">
        <v>1</v>
      </c>
      <c r="C961">
        <v>21</v>
      </c>
      <c r="D961">
        <v>1</v>
      </c>
      <c r="E961">
        <v>269.99</v>
      </c>
      <c r="F961">
        <v>0.1</v>
      </c>
      <c r="G961">
        <v>269.89</v>
      </c>
      <c r="H961" t="s">
        <v>18</v>
      </c>
      <c r="I961" t="s">
        <v>299</v>
      </c>
    </row>
    <row r="962" spans="1:9" x14ac:dyDescent="0.35">
      <c r="A962">
        <v>366</v>
      </c>
      <c r="B962">
        <v>2</v>
      </c>
      <c r="C962">
        <v>4</v>
      </c>
      <c r="D962">
        <v>1</v>
      </c>
      <c r="E962">
        <v>2899.99</v>
      </c>
      <c r="F962">
        <v>0.1</v>
      </c>
      <c r="G962">
        <v>2899.92</v>
      </c>
      <c r="H962" t="s">
        <v>9</v>
      </c>
      <c r="I962" t="s">
        <v>304</v>
      </c>
    </row>
    <row r="963" spans="1:9" x14ac:dyDescent="0.35">
      <c r="A963">
        <v>366</v>
      </c>
      <c r="B963">
        <v>3</v>
      </c>
      <c r="C963">
        <v>16</v>
      </c>
      <c r="D963">
        <v>2</v>
      </c>
      <c r="E963">
        <v>599.99</v>
      </c>
      <c r="F963">
        <v>0.2</v>
      </c>
      <c r="G963">
        <v>1199.78</v>
      </c>
      <c r="H963" t="s">
        <v>21</v>
      </c>
      <c r="I963" t="s">
        <v>299</v>
      </c>
    </row>
    <row r="964" spans="1:9" x14ac:dyDescent="0.35">
      <c r="A964">
        <v>367</v>
      </c>
      <c r="B964">
        <v>1</v>
      </c>
      <c r="C964">
        <v>26</v>
      </c>
      <c r="D964">
        <v>2</v>
      </c>
      <c r="E964">
        <v>599.99</v>
      </c>
      <c r="F964">
        <v>0.1</v>
      </c>
      <c r="G964">
        <v>1199.8800000000001</v>
      </c>
      <c r="H964" t="s">
        <v>21</v>
      </c>
      <c r="I964" t="s">
        <v>300</v>
      </c>
    </row>
    <row r="965" spans="1:9" x14ac:dyDescent="0.35">
      <c r="A965">
        <v>367</v>
      </c>
      <c r="B965">
        <v>2</v>
      </c>
      <c r="C965">
        <v>14</v>
      </c>
      <c r="D965">
        <v>1</v>
      </c>
      <c r="E965">
        <v>269.99</v>
      </c>
      <c r="F965">
        <v>0.1</v>
      </c>
      <c r="G965">
        <v>269.94</v>
      </c>
      <c r="H965" t="s">
        <v>19</v>
      </c>
      <c r="I965" t="s">
        <v>301</v>
      </c>
    </row>
    <row r="966" spans="1:9" x14ac:dyDescent="0.35">
      <c r="A966">
        <v>367</v>
      </c>
      <c r="B966">
        <v>3</v>
      </c>
      <c r="C966">
        <v>10</v>
      </c>
      <c r="D966">
        <v>2</v>
      </c>
      <c r="E966">
        <v>1549</v>
      </c>
      <c r="F966">
        <v>0.1</v>
      </c>
      <c r="G966">
        <v>3097.95</v>
      </c>
      <c r="H966" t="s">
        <v>15</v>
      </c>
      <c r="I966" t="s">
        <v>304</v>
      </c>
    </row>
    <row r="967" spans="1:9" x14ac:dyDescent="0.35">
      <c r="A967">
        <v>368</v>
      </c>
      <c r="B967">
        <v>1</v>
      </c>
      <c r="C967">
        <v>5</v>
      </c>
      <c r="D967">
        <v>1</v>
      </c>
      <c r="E967">
        <v>1320.99</v>
      </c>
      <c r="F967">
        <v>0.2</v>
      </c>
      <c r="G967">
        <v>1320.79</v>
      </c>
      <c r="H967" t="s">
        <v>10</v>
      </c>
      <c r="I967" t="s">
        <v>304</v>
      </c>
    </row>
    <row r="968" spans="1:9" x14ac:dyDescent="0.35">
      <c r="A968">
        <v>368</v>
      </c>
      <c r="B968">
        <v>2</v>
      </c>
      <c r="C968">
        <v>10</v>
      </c>
      <c r="D968">
        <v>2</v>
      </c>
      <c r="E968">
        <v>1549</v>
      </c>
      <c r="F968">
        <v>0.2</v>
      </c>
      <c r="G968">
        <v>3097.8</v>
      </c>
      <c r="H968" t="s">
        <v>15</v>
      </c>
      <c r="I968" t="s">
        <v>303</v>
      </c>
    </row>
    <row r="969" spans="1:9" x14ac:dyDescent="0.35">
      <c r="A969">
        <v>368</v>
      </c>
      <c r="B969">
        <v>3</v>
      </c>
      <c r="C969">
        <v>21</v>
      </c>
      <c r="D969">
        <v>2</v>
      </c>
      <c r="E969">
        <v>269.99</v>
      </c>
      <c r="F969">
        <v>0.1</v>
      </c>
      <c r="G969">
        <v>539.88</v>
      </c>
      <c r="H969" t="s">
        <v>18</v>
      </c>
      <c r="I969" t="s">
        <v>300</v>
      </c>
    </row>
    <row r="970" spans="1:9" x14ac:dyDescent="0.35">
      <c r="A970">
        <v>368</v>
      </c>
      <c r="B970">
        <v>4</v>
      </c>
      <c r="C970">
        <v>19</v>
      </c>
      <c r="D970">
        <v>1</v>
      </c>
      <c r="E970">
        <v>449</v>
      </c>
      <c r="F970">
        <v>0.1</v>
      </c>
      <c r="G970">
        <v>448.95</v>
      </c>
      <c r="H970" t="s">
        <v>24</v>
      </c>
      <c r="I970" t="s">
        <v>299</v>
      </c>
    </row>
    <row r="971" spans="1:9" x14ac:dyDescent="0.35">
      <c r="A971">
        <v>370</v>
      </c>
      <c r="B971">
        <v>1</v>
      </c>
      <c r="C971">
        <v>25</v>
      </c>
      <c r="D971">
        <v>2</v>
      </c>
      <c r="E971">
        <v>499.99</v>
      </c>
      <c r="F971">
        <v>0.1</v>
      </c>
      <c r="G971">
        <v>999.93</v>
      </c>
      <c r="H971" t="s">
        <v>27</v>
      </c>
      <c r="I971" t="s">
        <v>305</v>
      </c>
    </row>
    <row r="972" spans="1:9" x14ac:dyDescent="0.35">
      <c r="A972">
        <v>370</v>
      </c>
      <c r="B972">
        <v>2</v>
      </c>
      <c r="C972">
        <v>4</v>
      </c>
      <c r="D972">
        <v>2</v>
      </c>
      <c r="E972">
        <v>2899.99</v>
      </c>
      <c r="F972">
        <v>0.1</v>
      </c>
      <c r="G972">
        <v>5799.88</v>
      </c>
      <c r="H972" t="s">
        <v>9</v>
      </c>
      <c r="I972" t="s">
        <v>301</v>
      </c>
    </row>
    <row r="973" spans="1:9" x14ac:dyDescent="0.35">
      <c r="A973">
        <v>371</v>
      </c>
      <c r="B973">
        <v>1</v>
      </c>
      <c r="C973">
        <v>14</v>
      </c>
      <c r="D973">
        <v>1</v>
      </c>
      <c r="E973">
        <v>269.99</v>
      </c>
      <c r="F973">
        <v>0.2</v>
      </c>
      <c r="G973">
        <v>269.79000000000002</v>
      </c>
      <c r="H973" t="s">
        <v>19</v>
      </c>
      <c r="I973" t="s">
        <v>299</v>
      </c>
    </row>
    <row r="974" spans="1:9" x14ac:dyDescent="0.35">
      <c r="A974">
        <v>371</v>
      </c>
      <c r="B974">
        <v>2</v>
      </c>
      <c r="C974">
        <v>12</v>
      </c>
      <c r="D974">
        <v>1</v>
      </c>
      <c r="E974">
        <v>549.99</v>
      </c>
      <c r="F974">
        <v>0.2</v>
      </c>
      <c r="G974">
        <v>549.79</v>
      </c>
      <c r="H974" t="s">
        <v>17</v>
      </c>
      <c r="I974" t="s">
        <v>301</v>
      </c>
    </row>
    <row r="975" spans="1:9" x14ac:dyDescent="0.35">
      <c r="A975">
        <v>372</v>
      </c>
      <c r="B975">
        <v>1</v>
      </c>
      <c r="C975">
        <v>11</v>
      </c>
      <c r="D975">
        <v>1</v>
      </c>
      <c r="E975">
        <v>1680.99</v>
      </c>
      <c r="F975">
        <v>0.1</v>
      </c>
      <c r="G975">
        <v>1680.94</v>
      </c>
      <c r="H975" t="s">
        <v>16</v>
      </c>
      <c r="I975" t="s">
        <v>299</v>
      </c>
    </row>
    <row r="976" spans="1:9" x14ac:dyDescent="0.35">
      <c r="A976">
        <v>372</v>
      </c>
      <c r="B976">
        <v>2</v>
      </c>
      <c r="C976">
        <v>14</v>
      </c>
      <c r="D976">
        <v>2</v>
      </c>
      <c r="E976">
        <v>269.99</v>
      </c>
      <c r="F976">
        <v>0.1</v>
      </c>
      <c r="G976">
        <v>539.88</v>
      </c>
      <c r="H976" t="s">
        <v>19</v>
      </c>
      <c r="I976" t="s">
        <v>299</v>
      </c>
    </row>
    <row r="977" spans="1:9" x14ac:dyDescent="0.35">
      <c r="A977">
        <v>372</v>
      </c>
      <c r="B977">
        <v>3</v>
      </c>
      <c r="C977">
        <v>5</v>
      </c>
      <c r="D977">
        <v>1</v>
      </c>
      <c r="E977">
        <v>1320.99</v>
      </c>
      <c r="F977">
        <v>0.1</v>
      </c>
      <c r="G977">
        <v>1320.89</v>
      </c>
      <c r="H977" t="s">
        <v>10</v>
      </c>
      <c r="I977" t="s">
        <v>299</v>
      </c>
    </row>
    <row r="978" spans="1:9" x14ac:dyDescent="0.35">
      <c r="A978">
        <v>373</v>
      </c>
      <c r="B978">
        <v>1</v>
      </c>
      <c r="C978">
        <v>8</v>
      </c>
      <c r="D978">
        <v>2</v>
      </c>
      <c r="E978">
        <v>1799.99</v>
      </c>
      <c r="F978">
        <v>0.1</v>
      </c>
      <c r="G978">
        <v>3599.93</v>
      </c>
      <c r="H978" t="s">
        <v>13</v>
      </c>
      <c r="I978" t="s">
        <v>305</v>
      </c>
    </row>
    <row r="979" spans="1:9" x14ac:dyDescent="0.35">
      <c r="A979">
        <v>373</v>
      </c>
      <c r="B979">
        <v>2</v>
      </c>
      <c r="C979">
        <v>22</v>
      </c>
      <c r="D979">
        <v>1</v>
      </c>
      <c r="E979">
        <v>269.99</v>
      </c>
      <c r="F979">
        <v>0.1</v>
      </c>
      <c r="G979">
        <v>269.89</v>
      </c>
      <c r="H979" t="s">
        <v>19</v>
      </c>
      <c r="I979" t="s">
        <v>299</v>
      </c>
    </row>
    <row r="980" spans="1:9" x14ac:dyDescent="0.35">
      <c r="A980">
        <v>373</v>
      </c>
      <c r="B980">
        <v>3</v>
      </c>
      <c r="C980">
        <v>19</v>
      </c>
      <c r="D980">
        <v>2</v>
      </c>
      <c r="E980">
        <v>449</v>
      </c>
      <c r="F980">
        <v>0.2</v>
      </c>
      <c r="G980">
        <v>897.8</v>
      </c>
      <c r="H980" t="s">
        <v>24</v>
      </c>
      <c r="I980" t="s">
        <v>304</v>
      </c>
    </row>
    <row r="981" spans="1:9" x14ac:dyDescent="0.35">
      <c r="A981">
        <v>373</v>
      </c>
      <c r="B981">
        <v>4</v>
      </c>
      <c r="C981">
        <v>12</v>
      </c>
      <c r="D981">
        <v>1</v>
      </c>
      <c r="E981">
        <v>549.99</v>
      </c>
      <c r="F981">
        <v>0.1</v>
      </c>
      <c r="G981">
        <v>549.89</v>
      </c>
      <c r="H981" t="s">
        <v>17</v>
      </c>
      <c r="I981" t="s">
        <v>303</v>
      </c>
    </row>
    <row r="982" spans="1:9" x14ac:dyDescent="0.35">
      <c r="A982">
        <v>373</v>
      </c>
      <c r="B982">
        <v>5</v>
      </c>
      <c r="C982">
        <v>13</v>
      </c>
      <c r="D982">
        <v>1</v>
      </c>
      <c r="E982">
        <v>269.99</v>
      </c>
      <c r="F982">
        <v>0.1</v>
      </c>
      <c r="G982">
        <v>269.89</v>
      </c>
      <c r="H982" t="s">
        <v>18</v>
      </c>
      <c r="I982" t="s">
        <v>304</v>
      </c>
    </row>
    <row r="983" spans="1:9" x14ac:dyDescent="0.35">
      <c r="A983">
        <v>374</v>
      </c>
      <c r="B983">
        <v>1</v>
      </c>
      <c r="C983">
        <v>10</v>
      </c>
      <c r="D983">
        <v>1</v>
      </c>
      <c r="E983">
        <v>1549</v>
      </c>
      <c r="F983">
        <v>0.1</v>
      </c>
      <c r="G983">
        <v>1548.9</v>
      </c>
      <c r="H983" t="s">
        <v>15</v>
      </c>
      <c r="I983" t="s">
        <v>304</v>
      </c>
    </row>
    <row r="984" spans="1:9" x14ac:dyDescent="0.35">
      <c r="A984">
        <v>374</v>
      </c>
      <c r="B984">
        <v>2</v>
      </c>
      <c r="C984">
        <v>7</v>
      </c>
      <c r="D984">
        <v>1</v>
      </c>
      <c r="E984">
        <v>3999.99</v>
      </c>
      <c r="F984">
        <v>0.1</v>
      </c>
      <c r="G984">
        <v>3999.92</v>
      </c>
      <c r="H984" t="s">
        <v>12</v>
      </c>
      <c r="I984" t="s">
        <v>303</v>
      </c>
    </row>
    <row r="985" spans="1:9" x14ac:dyDescent="0.35">
      <c r="A985">
        <v>375</v>
      </c>
      <c r="B985">
        <v>1</v>
      </c>
      <c r="C985">
        <v>21</v>
      </c>
      <c r="D985">
        <v>2</v>
      </c>
      <c r="E985">
        <v>269.99</v>
      </c>
      <c r="F985">
        <v>0.1</v>
      </c>
      <c r="G985">
        <v>539.92999999999995</v>
      </c>
      <c r="H985" t="s">
        <v>18</v>
      </c>
      <c r="I985" t="s">
        <v>299</v>
      </c>
    </row>
    <row r="986" spans="1:9" x14ac:dyDescent="0.35">
      <c r="A986">
        <v>375</v>
      </c>
      <c r="B986">
        <v>2</v>
      </c>
      <c r="C986">
        <v>2</v>
      </c>
      <c r="D986">
        <v>2</v>
      </c>
      <c r="E986">
        <v>749.99</v>
      </c>
      <c r="F986">
        <v>0.1</v>
      </c>
      <c r="G986">
        <v>1499.93</v>
      </c>
      <c r="H986" t="s">
        <v>7</v>
      </c>
      <c r="I986" t="s">
        <v>304</v>
      </c>
    </row>
    <row r="987" spans="1:9" x14ac:dyDescent="0.35">
      <c r="A987">
        <v>375</v>
      </c>
      <c r="B987">
        <v>3</v>
      </c>
      <c r="C987">
        <v>4</v>
      </c>
      <c r="D987">
        <v>2</v>
      </c>
      <c r="E987">
        <v>2899.99</v>
      </c>
      <c r="F987">
        <v>0.1</v>
      </c>
      <c r="G987">
        <v>5799.91</v>
      </c>
      <c r="H987" t="s">
        <v>9</v>
      </c>
      <c r="I987" t="s">
        <v>304</v>
      </c>
    </row>
    <row r="988" spans="1:9" x14ac:dyDescent="0.35">
      <c r="A988">
        <v>375</v>
      </c>
      <c r="B988">
        <v>4</v>
      </c>
      <c r="C988">
        <v>12</v>
      </c>
      <c r="D988">
        <v>2</v>
      </c>
      <c r="E988">
        <v>549.99</v>
      </c>
      <c r="F988">
        <v>0.1</v>
      </c>
      <c r="G988">
        <v>1099.93</v>
      </c>
      <c r="H988" t="s">
        <v>17</v>
      </c>
      <c r="I988" t="s">
        <v>305</v>
      </c>
    </row>
    <row r="989" spans="1:9" x14ac:dyDescent="0.35">
      <c r="A989">
        <v>376</v>
      </c>
      <c r="B989">
        <v>1</v>
      </c>
      <c r="C989">
        <v>2</v>
      </c>
      <c r="D989">
        <v>2</v>
      </c>
      <c r="E989">
        <v>749.99</v>
      </c>
      <c r="F989">
        <v>0.1</v>
      </c>
      <c r="G989">
        <v>1499.91</v>
      </c>
      <c r="H989" t="s">
        <v>7</v>
      </c>
      <c r="I989" t="s">
        <v>304</v>
      </c>
    </row>
    <row r="990" spans="1:9" x14ac:dyDescent="0.35">
      <c r="A990">
        <v>376</v>
      </c>
      <c r="B990">
        <v>2</v>
      </c>
      <c r="C990">
        <v>23</v>
      </c>
      <c r="D990">
        <v>2</v>
      </c>
      <c r="E990">
        <v>299.99</v>
      </c>
      <c r="F990">
        <v>0.1</v>
      </c>
      <c r="G990">
        <v>599.88</v>
      </c>
      <c r="H990" t="s">
        <v>26</v>
      </c>
      <c r="I990" t="s">
        <v>304</v>
      </c>
    </row>
    <row r="991" spans="1:9" x14ac:dyDescent="0.35">
      <c r="A991">
        <v>377</v>
      </c>
      <c r="B991">
        <v>1</v>
      </c>
      <c r="C991">
        <v>8</v>
      </c>
      <c r="D991">
        <v>1</v>
      </c>
      <c r="E991">
        <v>1799.99</v>
      </c>
      <c r="F991">
        <v>0.1</v>
      </c>
      <c r="G991">
        <v>1799.94</v>
      </c>
      <c r="H991" t="s">
        <v>13</v>
      </c>
      <c r="I991" t="s">
        <v>304</v>
      </c>
    </row>
    <row r="992" spans="1:9" x14ac:dyDescent="0.35">
      <c r="A992">
        <v>377</v>
      </c>
      <c r="B992">
        <v>2</v>
      </c>
      <c r="C992">
        <v>14</v>
      </c>
      <c r="D992">
        <v>1</v>
      </c>
      <c r="E992">
        <v>269.99</v>
      </c>
      <c r="F992">
        <v>0.1</v>
      </c>
      <c r="G992">
        <v>269.92</v>
      </c>
      <c r="H992" t="s">
        <v>19</v>
      </c>
      <c r="I992" t="s">
        <v>300</v>
      </c>
    </row>
    <row r="993" spans="1:9" x14ac:dyDescent="0.35">
      <c r="A993">
        <v>379</v>
      </c>
      <c r="B993">
        <v>1</v>
      </c>
      <c r="C993">
        <v>9</v>
      </c>
      <c r="D993">
        <v>1</v>
      </c>
      <c r="E993">
        <v>2999.99</v>
      </c>
      <c r="F993">
        <v>0.1</v>
      </c>
      <c r="G993">
        <v>2999.92</v>
      </c>
      <c r="H993" t="s">
        <v>14</v>
      </c>
      <c r="I993" t="s">
        <v>304</v>
      </c>
    </row>
    <row r="994" spans="1:9" x14ac:dyDescent="0.35">
      <c r="A994">
        <v>379</v>
      </c>
      <c r="B994">
        <v>2</v>
      </c>
      <c r="C994">
        <v>16</v>
      </c>
      <c r="D994">
        <v>1</v>
      </c>
      <c r="E994">
        <v>599.99</v>
      </c>
      <c r="F994">
        <v>0.2</v>
      </c>
      <c r="G994">
        <v>599.79</v>
      </c>
      <c r="H994" t="s">
        <v>21</v>
      </c>
      <c r="I994" t="s">
        <v>304</v>
      </c>
    </row>
    <row r="995" spans="1:9" x14ac:dyDescent="0.35">
      <c r="A995">
        <v>380</v>
      </c>
      <c r="B995">
        <v>1</v>
      </c>
      <c r="C995">
        <v>16</v>
      </c>
      <c r="D995">
        <v>1</v>
      </c>
      <c r="E995">
        <v>599.99</v>
      </c>
      <c r="F995">
        <v>0.1</v>
      </c>
      <c r="G995">
        <v>599.94000000000005</v>
      </c>
      <c r="H995" t="s">
        <v>21</v>
      </c>
      <c r="I995" t="s">
        <v>301</v>
      </c>
    </row>
    <row r="996" spans="1:9" x14ac:dyDescent="0.35">
      <c r="A996">
        <v>380</v>
      </c>
      <c r="B996">
        <v>2</v>
      </c>
      <c r="C996">
        <v>11</v>
      </c>
      <c r="D996">
        <v>2</v>
      </c>
      <c r="E996">
        <v>1680.99</v>
      </c>
      <c r="F996">
        <v>0.1</v>
      </c>
      <c r="G996">
        <v>3361.93</v>
      </c>
      <c r="H996" t="s">
        <v>16</v>
      </c>
      <c r="I996" t="s">
        <v>301</v>
      </c>
    </row>
    <row r="997" spans="1:9" x14ac:dyDescent="0.35">
      <c r="A997">
        <v>382</v>
      </c>
      <c r="B997">
        <v>1</v>
      </c>
      <c r="C997">
        <v>8</v>
      </c>
      <c r="D997">
        <v>1</v>
      </c>
      <c r="E997">
        <v>1799.99</v>
      </c>
      <c r="F997">
        <v>0.1</v>
      </c>
      <c r="G997">
        <v>1799.89</v>
      </c>
      <c r="H997" t="s">
        <v>13</v>
      </c>
      <c r="I997" t="s">
        <v>301</v>
      </c>
    </row>
    <row r="998" spans="1:9" x14ac:dyDescent="0.35">
      <c r="A998">
        <v>382</v>
      </c>
      <c r="B998">
        <v>2</v>
      </c>
      <c r="C998">
        <v>9</v>
      </c>
      <c r="D998">
        <v>1</v>
      </c>
      <c r="E998">
        <v>2999.99</v>
      </c>
      <c r="F998">
        <v>0.1</v>
      </c>
      <c r="G998">
        <v>2999.89</v>
      </c>
      <c r="H998" t="s">
        <v>14</v>
      </c>
      <c r="I998" t="s">
        <v>305</v>
      </c>
    </row>
    <row r="999" spans="1:9" x14ac:dyDescent="0.35">
      <c r="A999">
        <v>382</v>
      </c>
      <c r="B999">
        <v>3</v>
      </c>
      <c r="C999">
        <v>13</v>
      </c>
      <c r="D999">
        <v>1</v>
      </c>
      <c r="E999">
        <v>269.99</v>
      </c>
      <c r="F999">
        <v>0.1</v>
      </c>
      <c r="G999">
        <v>269.92</v>
      </c>
      <c r="H999" t="s">
        <v>18</v>
      </c>
      <c r="I999" t="s">
        <v>301</v>
      </c>
    </row>
    <row r="1000" spans="1:9" x14ac:dyDescent="0.35">
      <c r="A1000">
        <v>383</v>
      </c>
      <c r="B1000">
        <v>1</v>
      </c>
      <c r="C1000">
        <v>19</v>
      </c>
      <c r="D1000">
        <v>1</v>
      </c>
      <c r="E1000">
        <v>449</v>
      </c>
      <c r="F1000">
        <v>0.1</v>
      </c>
      <c r="G1000">
        <v>448.93</v>
      </c>
      <c r="H1000" t="s">
        <v>24</v>
      </c>
      <c r="I1000" t="s">
        <v>301</v>
      </c>
    </row>
    <row r="1001" spans="1:9" x14ac:dyDescent="0.35">
      <c r="A1001">
        <v>383</v>
      </c>
      <c r="B1001">
        <v>2</v>
      </c>
      <c r="C1001">
        <v>22</v>
      </c>
      <c r="D1001">
        <v>2</v>
      </c>
      <c r="E1001">
        <v>269.99</v>
      </c>
      <c r="F1001">
        <v>0.1</v>
      </c>
      <c r="G1001">
        <v>539.92999999999995</v>
      </c>
      <c r="H1001" t="s">
        <v>19</v>
      </c>
      <c r="I1001" t="s">
        <v>299</v>
      </c>
    </row>
    <row r="1002" spans="1:9" x14ac:dyDescent="0.35">
      <c r="A1002">
        <v>383</v>
      </c>
      <c r="B1002">
        <v>3</v>
      </c>
      <c r="C1002">
        <v>13</v>
      </c>
      <c r="D1002">
        <v>1</v>
      </c>
      <c r="E1002">
        <v>269.99</v>
      </c>
      <c r="F1002">
        <v>0.1</v>
      </c>
      <c r="G1002">
        <v>269.89</v>
      </c>
      <c r="H1002" t="s">
        <v>18</v>
      </c>
      <c r="I1002" t="s">
        <v>300</v>
      </c>
    </row>
    <row r="1003" spans="1:9" x14ac:dyDescent="0.35">
      <c r="A1003">
        <v>383</v>
      </c>
      <c r="B1003">
        <v>4</v>
      </c>
      <c r="C1003">
        <v>21</v>
      </c>
      <c r="D1003">
        <v>2</v>
      </c>
      <c r="E1003">
        <v>269.99</v>
      </c>
      <c r="F1003">
        <v>0.1</v>
      </c>
      <c r="G1003">
        <v>539.92999999999995</v>
      </c>
      <c r="H1003" t="s">
        <v>18</v>
      </c>
      <c r="I1003" t="s">
        <v>300</v>
      </c>
    </row>
    <row r="1004" spans="1:9" x14ac:dyDescent="0.35">
      <c r="A1004">
        <v>383</v>
      </c>
      <c r="B1004">
        <v>5</v>
      </c>
      <c r="C1004">
        <v>14</v>
      </c>
      <c r="D1004">
        <v>1</v>
      </c>
      <c r="E1004">
        <v>269.99</v>
      </c>
      <c r="F1004">
        <v>0.1</v>
      </c>
      <c r="G1004">
        <v>269.89</v>
      </c>
      <c r="H1004" t="s">
        <v>19</v>
      </c>
      <c r="I1004" t="s">
        <v>300</v>
      </c>
    </row>
    <row r="1005" spans="1:9" x14ac:dyDescent="0.35">
      <c r="A1005">
        <v>384</v>
      </c>
      <c r="B1005">
        <v>1</v>
      </c>
      <c r="C1005">
        <v>20</v>
      </c>
      <c r="D1005">
        <v>1</v>
      </c>
      <c r="E1005">
        <v>599.99</v>
      </c>
      <c r="F1005">
        <v>0.1</v>
      </c>
      <c r="G1005">
        <v>599.89</v>
      </c>
      <c r="H1005" t="s">
        <v>25</v>
      </c>
      <c r="I1005" t="s">
        <v>299</v>
      </c>
    </row>
    <row r="1006" spans="1:9" x14ac:dyDescent="0.35">
      <c r="A1006">
        <v>384</v>
      </c>
      <c r="B1006">
        <v>2</v>
      </c>
      <c r="C1006">
        <v>21</v>
      </c>
      <c r="D1006">
        <v>2</v>
      </c>
      <c r="E1006">
        <v>269.99</v>
      </c>
      <c r="F1006">
        <v>0.2</v>
      </c>
      <c r="G1006">
        <v>539.78</v>
      </c>
      <c r="H1006" t="s">
        <v>18</v>
      </c>
      <c r="I1006" t="s">
        <v>301</v>
      </c>
    </row>
    <row r="1007" spans="1:9" x14ac:dyDescent="0.35">
      <c r="A1007">
        <v>384</v>
      </c>
      <c r="B1007">
        <v>3</v>
      </c>
      <c r="C1007">
        <v>8</v>
      </c>
      <c r="D1007">
        <v>1</v>
      </c>
      <c r="E1007">
        <v>1799.99</v>
      </c>
      <c r="F1007">
        <v>0.1</v>
      </c>
      <c r="G1007">
        <v>1799.94</v>
      </c>
      <c r="H1007" t="s">
        <v>13</v>
      </c>
      <c r="I1007" t="s">
        <v>305</v>
      </c>
    </row>
    <row r="1008" spans="1:9" x14ac:dyDescent="0.35">
      <c r="A1008">
        <v>384</v>
      </c>
      <c r="B1008">
        <v>4</v>
      </c>
      <c r="C1008">
        <v>15</v>
      </c>
      <c r="D1008">
        <v>1</v>
      </c>
      <c r="E1008">
        <v>529.99</v>
      </c>
      <c r="F1008">
        <v>0.1</v>
      </c>
      <c r="G1008">
        <v>529.89</v>
      </c>
      <c r="H1008" t="s">
        <v>20</v>
      </c>
      <c r="I1008" t="s">
        <v>305</v>
      </c>
    </row>
    <row r="1009" spans="1:9" x14ac:dyDescent="0.35">
      <c r="A1009">
        <v>384</v>
      </c>
      <c r="B1009">
        <v>5</v>
      </c>
      <c r="C1009">
        <v>4</v>
      </c>
      <c r="D1009">
        <v>1</v>
      </c>
      <c r="E1009">
        <v>2899.99</v>
      </c>
      <c r="F1009">
        <v>0.2</v>
      </c>
      <c r="G1009">
        <v>2899.79</v>
      </c>
      <c r="H1009" t="s">
        <v>9</v>
      </c>
      <c r="I1009" t="s">
        <v>299</v>
      </c>
    </row>
    <row r="1010" spans="1:9" x14ac:dyDescent="0.35">
      <c r="A1010">
        <v>385</v>
      </c>
      <c r="B1010">
        <v>1</v>
      </c>
      <c r="C1010">
        <v>21</v>
      </c>
      <c r="D1010">
        <v>1</v>
      </c>
      <c r="E1010">
        <v>269.99</v>
      </c>
      <c r="F1010">
        <v>0.1</v>
      </c>
      <c r="G1010">
        <v>269.92</v>
      </c>
      <c r="H1010" t="s">
        <v>18</v>
      </c>
      <c r="I1010" t="s">
        <v>303</v>
      </c>
    </row>
    <row r="1011" spans="1:9" x14ac:dyDescent="0.35">
      <c r="A1011">
        <v>385</v>
      </c>
      <c r="B1011">
        <v>2</v>
      </c>
      <c r="C1011">
        <v>7</v>
      </c>
      <c r="D1011">
        <v>2</v>
      </c>
      <c r="E1011">
        <v>3999.99</v>
      </c>
      <c r="F1011">
        <v>0.2</v>
      </c>
      <c r="G1011">
        <v>7999.78</v>
      </c>
      <c r="H1011" t="s">
        <v>12</v>
      </c>
      <c r="I1011" t="s">
        <v>301</v>
      </c>
    </row>
    <row r="1012" spans="1:9" x14ac:dyDescent="0.35">
      <c r="A1012">
        <v>385</v>
      </c>
      <c r="B1012">
        <v>3</v>
      </c>
      <c r="C1012">
        <v>26</v>
      </c>
      <c r="D1012">
        <v>2</v>
      </c>
      <c r="E1012">
        <v>599.99</v>
      </c>
      <c r="F1012">
        <v>0.1</v>
      </c>
      <c r="G1012">
        <v>1199.93</v>
      </c>
      <c r="H1012" t="s">
        <v>21</v>
      </c>
      <c r="I1012" t="s">
        <v>301</v>
      </c>
    </row>
    <row r="1013" spans="1:9" x14ac:dyDescent="0.35">
      <c r="A1013">
        <v>386</v>
      </c>
      <c r="B1013">
        <v>1</v>
      </c>
      <c r="C1013">
        <v>8</v>
      </c>
      <c r="D1013">
        <v>1</v>
      </c>
      <c r="E1013">
        <v>1799.99</v>
      </c>
      <c r="F1013">
        <v>0.2</v>
      </c>
      <c r="G1013">
        <v>1799.79</v>
      </c>
      <c r="H1013" t="s">
        <v>13</v>
      </c>
      <c r="I1013" t="s">
        <v>304</v>
      </c>
    </row>
    <row r="1014" spans="1:9" x14ac:dyDescent="0.35">
      <c r="A1014">
        <v>386</v>
      </c>
      <c r="B1014">
        <v>2</v>
      </c>
      <c r="C1014">
        <v>3</v>
      </c>
      <c r="D1014">
        <v>2</v>
      </c>
      <c r="E1014">
        <v>999.99</v>
      </c>
      <c r="F1014">
        <v>0.1</v>
      </c>
      <c r="G1014">
        <v>1999.93</v>
      </c>
      <c r="H1014" t="s">
        <v>8</v>
      </c>
      <c r="I1014" t="s">
        <v>305</v>
      </c>
    </row>
    <row r="1015" spans="1:9" x14ac:dyDescent="0.35">
      <c r="A1015">
        <v>386</v>
      </c>
      <c r="B1015">
        <v>3</v>
      </c>
      <c r="C1015">
        <v>16</v>
      </c>
      <c r="D1015">
        <v>2</v>
      </c>
      <c r="E1015">
        <v>599.99</v>
      </c>
      <c r="F1015">
        <v>0.2</v>
      </c>
      <c r="G1015">
        <v>1199.78</v>
      </c>
      <c r="H1015" t="s">
        <v>21</v>
      </c>
      <c r="I1015" t="s">
        <v>304</v>
      </c>
    </row>
    <row r="1016" spans="1:9" x14ac:dyDescent="0.35">
      <c r="A1016">
        <v>388</v>
      </c>
      <c r="B1016">
        <v>1</v>
      </c>
      <c r="C1016">
        <v>19</v>
      </c>
      <c r="D1016">
        <v>2</v>
      </c>
      <c r="E1016">
        <v>449</v>
      </c>
      <c r="F1016">
        <v>0.2</v>
      </c>
      <c r="G1016">
        <v>897.8</v>
      </c>
      <c r="H1016" t="s">
        <v>24</v>
      </c>
      <c r="I1016" t="s">
        <v>304</v>
      </c>
    </row>
    <row r="1017" spans="1:9" x14ac:dyDescent="0.35">
      <c r="A1017">
        <v>388</v>
      </c>
      <c r="B1017">
        <v>2</v>
      </c>
      <c r="C1017">
        <v>13</v>
      </c>
      <c r="D1017">
        <v>2</v>
      </c>
      <c r="E1017">
        <v>269.99</v>
      </c>
      <c r="F1017">
        <v>0.1</v>
      </c>
      <c r="G1017">
        <v>539.91</v>
      </c>
      <c r="H1017" t="s">
        <v>18</v>
      </c>
      <c r="I1017" t="s">
        <v>301</v>
      </c>
    </row>
    <row r="1018" spans="1:9" x14ac:dyDescent="0.35">
      <c r="A1018">
        <v>388</v>
      </c>
      <c r="B1018">
        <v>3</v>
      </c>
      <c r="C1018">
        <v>2</v>
      </c>
      <c r="D1018">
        <v>1</v>
      </c>
      <c r="E1018">
        <v>749.99</v>
      </c>
      <c r="F1018">
        <v>0.1</v>
      </c>
      <c r="G1018">
        <v>749.92</v>
      </c>
      <c r="H1018" t="s">
        <v>7</v>
      </c>
      <c r="I1018" t="s">
        <v>300</v>
      </c>
    </row>
    <row r="1019" spans="1:9" x14ac:dyDescent="0.35">
      <c r="A1019">
        <v>388</v>
      </c>
      <c r="B1019">
        <v>4</v>
      </c>
      <c r="C1019">
        <v>11</v>
      </c>
      <c r="D1019">
        <v>1</v>
      </c>
      <c r="E1019">
        <v>1680.99</v>
      </c>
      <c r="F1019">
        <v>0.1</v>
      </c>
      <c r="G1019">
        <v>1680.89</v>
      </c>
      <c r="H1019" t="s">
        <v>16</v>
      </c>
      <c r="I1019" t="s">
        <v>301</v>
      </c>
    </row>
    <row r="1020" spans="1:9" x14ac:dyDescent="0.35">
      <c r="A1020">
        <v>389</v>
      </c>
      <c r="B1020">
        <v>1</v>
      </c>
      <c r="C1020">
        <v>2</v>
      </c>
      <c r="D1020">
        <v>1</v>
      </c>
      <c r="E1020">
        <v>749.99</v>
      </c>
      <c r="F1020">
        <v>0.1</v>
      </c>
      <c r="G1020">
        <v>749.92</v>
      </c>
      <c r="H1020" t="s">
        <v>7</v>
      </c>
      <c r="I1020" t="s">
        <v>301</v>
      </c>
    </row>
    <row r="1021" spans="1:9" x14ac:dyDescent="0.35">
      <c r="A1021">
        <v>389</v>
      </c>
      <c r="B1021">
        <v>2</v>
      </c>
      <c r="C1021">
        <v>15</v>
      </c>
      <c r="D1021">
        <v>2</v>
      </c>
      <c r="E1021">
        <v>529.99</v>
      </c>
      <c r="F1021">
        <v>0.1</v>
      </c>
      <c r="G1021">
        <v>1059.9100000000001</v>
      </c>
      <c r="H1021" t="s">
        <v>20</v>
      </c>
      <c r="I1021" t="s">
        <v>301</v>
      </c>
    </row>
    <row r="1022" spans="1:9" x14ac:dyDescent="0.35">
      <c r="A1022">
        <v>389</v>
      </c>
      <c r="B1022">
        <v>3</v>
      </c>
      <c r="C1022">
        <v>10</v>
      </c>
      <c r="D1022">
        <v>2</v>
      </c>
      <c r="E1022">
        <v>1549</v>
      </c>
      <c r="F1022">
        <v>0.1</v>
      </c>
      <c r="G1022">
        <v>3097.95</v>
      </c>
      <c r="H1022" t="s">
        <v>15</v>
      </c>
      <c r="I1022" t="s">
        <v>301</v>
      </c>
    </row>
    <row r="1023" spans="1:9" x14ac:dyDescent="0.35">
      <c r="A1023">
        <v>389</v>
      </c>
      <c r="B1023">
        <v>4</v>
      </c>
      <c r="C1023">
        <v>5</v>
      </c>
      <c r="D1023">
        <v>1</v>
      </c>
      <c r="E1023">
        <v>1320.99</v>
      </c>
      <c r="F1023">
        <v>0.1</v>
      </c>
      <c r="G1023">
        <v>1320.94</v>
      </c>
      <c r="H1023" t="s">
        <v>10</v>
      </c>
      <c r="I1023" t="s">
        <v>299</v>
      </c>
    </row>
    <row r="1024" spans="1:9" x14ac:dyDescent="0.35">
      <c r="A1024">
        <v>389</v>
      </c>
      <c r="B1024">
        <v>5</v>
      </c>
      <c r="C1024">
        <v>9</v>
      </c>
      <c r="D1024">
        <v>1</v>
      </c>
      <c r="E1024">
        <v>2999.99</v>
      </c>
      <c r="F1024">
        <v>0.2</v>
      </c>
      <c r="G1024">
        <v>2999.79</v>
      </c>
      <c r="H1024" t="s">
        <v>14</v>
      </c>
      <c r="I1024" t="s">
        <v>304</v>
      </c>
    </row>
    <row r="1025" spans="1:9" x14ac:dyDescent="0.35">
      <c r="A1025">
        <v>390</v>
      </c>
      <c r="B1025">
        <v>1</v>
      </c>
      <c r="C1025">
        <v>23</v>
      </c>
      <c r="D1025">
        <v>1</v>
      </c>
      <c r="E1025">
        <v>299.99</v>
      </c>
      <c r="F1025">
        <v>0.1</v>
      </c>
      <c r="G1025">
        <v>299.94</v>
      </c>
      <c r="H1025" t="s">
        <v>26</v>
      </c>
      <c r="I1025" t="s">
        <v>304</v>
      </c>
    </row>
    <row r="1026" spans="1:9" x14ac:dyDescent="0.35">
      <c r="A1026">
        <v>390</v>
      </c>
      <c r="B1026">
        <v>2</v>
      </c>
      <c r="C1026">
        <v>7</v>
      </c>
      <c r="D1026">
        <v>2</v>
      </c>
      <c r="E1026">
        <v>3999.99</v>
      </c>
      <c r="F1026">
        <v>0.1</v>
      </c>
      <c r="G1026">
        <v>7999.91</v>
      </c>
      <c r="H1026" t="s">
        <v>12</v>
      </c>
      <c r="I1026" t="s">
        <v>301</v>
      </c>
    </row>
    <row r="1027" spans="1:9" x14ac:dyDescent="0.35">
      <c r="A1027">
        <v>390</v>
      </c>
      <c r="B1027">
        <v>3</v>
      </c>
      <c r="C1027">
        <v>9</v>
      </c>
      <c r="D1027">
        <v>1</v>
      </c>
      <c r="E1027">
        <v>2999.99</v>
      </c>
      <c r="F1027">
        <v>0.1</v>
      </c>
      <c r="G1027">
        <v>2999.94</v>
      </c>
      <c r="H1027" t="s">
        <v>14</v>
      </c>
      <c r="I1027" t="s">
        <v>301</v>
      </c>
    </row>
    <row r="1028" spans="1:9" x14ac:dyDescent="0.35">
      <c r="A1028">
        <v>391</v>
      </c>
      <c r="B1028">
        <v>1</v>
      </c>
      <c r="C1028">
        <v>8</v>
      </c>
      <c r="D1028">
        <v>1</v>
      </c>
      <c r="E1028">
        <v>1799.99</v>
      </c>
      <c r="F1028">
        <v>0.1</v>
      </c>
      <c r="G1028">
        <v>1799.92</v>
      </c>
      <c r="H1028" t="s">
        <v>13</v>
      </c>
      <c r="I1028" t="s">
        <v>302</v>
      </c>
    </row>
    <row r="1029" spans="1:9" x14ac:dyDescent="0.35">
      <c r="A1029">
        <v>391</v>
      </c>
      <c r="B1029">
        <v>2</v>
      </c>
      <c r="C1029">
        <v>5</v>
      </c>
      <c r="D1029">
        <v>2</v>
      </c>
      <c r="E1029">
        <v>1320.99</v>
      </c>
      <c r="F1029">
        <v>0.2</v>
      </c>
      <c r="G1029">
        <v>2641.78</v>
      </c>
      <c r="H1029" t="s">
        <v>10</v>
      </c>
      <c r="I1029" t="s">
        <v>299</v>
      </c>
    </row>
    <row r="1030" spans="1:9" x14ac:dyDescent="0.35">
      <c r="A1030">
        <v>391</v>
      </c>
      <c r="B1030">
        <v>3</v>
      </c>
      <c r="C1030">
        <v>24</v>
      </c>
      <c r="D1030">
        <v>2</v>
      </c>
      <c r="E1030">
        <v>549.99</v>
      </c>
      <c r="F1030">
        <v>0.1</v>
      </c>
      <c r="G1030">
        <v>1099.9100000000001</v>
      </c>
      <c r="H1030" t="s">
        <v>17</v>
      </c>
      <c r="I1030" t="s">
        <v>299</v>
      </c>
    </row>
    <row r="1031" spans="1:9" x14ac:dyDescent="0.35">
      <c r="A1031">
        <v>392</v>
      </c>
      <c r="B1031">
        <v>1</v>
      </c>
      <c r="C1031">
        <v>14</v>
      </c>
      <c r="D1031">
        <v>2</v>
      </c>
      <c r="E1031">
        <v>269.99</v>
      </c>
      <c r="F1031">
        <v>0.1</v>
      </c>
      <c r="G1031">
        <v>539.88</v>
      </c>
      <c r="H1031" t="s">
        <v>19</v>
      </c>
      <c r="I1031" t="s">
        <v>301</v>
      </c>
    </row>
    <row r="1032" spans="1:9" x14ac:dyDescent="0.35">
      <c r="A1032">
        <v>392</v>
      </c>
      <c r="B1032">
        <v>2</v>
      </c>
      <c r="C1032">
        <v>3</v>
      </c>
      <c r="D1032">
        <v>2</v>
      </c>
      <c r="E1032">
        <v>999.99</v>
      </c>
      <c r="F1032">
        <v>0.1</v>
      </c>
      <c r="G1032">
        <v>1999.93</v>
      </c>
      <c r="H1032" t="s">
        <v>8</v>
      </c>
      <c r="I1032" t="s">
        <v>301</v>
      </c>
    </row>
    <row r="1033" spans="1:9" x14ac:dyDescent="0.35">
      <c r="A1033">
        <v>394</v>
      </c>
      <c r="B1033">
        <v>1</v>
      </c>
      <c r="C1033">
        <v>23</v>
      </c>
      <c r="D1033">
        <v>1</v>
      </c>
      <c r="E1033">
        <v>299.99</v>
      </c>
      <c r="F1033">
        <v>0.1</v>
      </c>
      <c r="G1033">
        <v>299.94</v>
      </c>
      <c r="H1033" t="s">
        <v>26</v>
      </c>
      <c r="I1033" t="s">
        <v>299</v>
      </c>
    </row>
    <row r="1034" spans="1:9" x14ac:dyDescent="0.35">
      <c r="A1034">
        <v>394</v>
      </c>
      <c r="B1034">
        <v>2</v>
      </c>
      <c r="C1034">
        <v>16</v>
      </c>
      <c r="D1034">
        <v>1</v>
      </c>
      <c r="E1034">
        <v>599.99</v>
      </c>
      <c r="F1034">
        <v>0.2</v>
      </c>
      <c r="G1034">
        <v>599.79</v>
      </c>
      <c r="H1034" t="s">
        <v>21</v>
      </c>
      <c r="I1034" t="s">
        <v>300</v>
      </c>
    </row>
    <row r="1035" spans="1:9" x14ac:dyDescent="0.35">
      <c r="A1035">
        <v>394</v>
      </c>
      <c r="B1035">
        <v>3</v>
      </c>
      <c r="C1035">
        <v>14</v>
      </c>
      <c r="D1035">
        <v>2</v>
      </c>
      <c r="E1035">
        <v>269.99</v>
      </c>
      <c r="F1035">
        <v>0.2</v>
      </c>
      <c r="G1035">
        <v>539.78</v>
      </c>
      <c r="H1035" t="s">
        <v>19</v>
      </c>
      <c r="I1035" t="s">
        <v>301</v>
      </c>
    </row>
    <row r="1036" spans="1:9" x14ac:dyDescent="0.35">
      <c r="A1036">
        <v>396</v>
      </c>
      <c r="B1036">
        <v>1</v>
      </c>
      <c r="C1036">
        <v>12</v>
      </c>
      <c r="D1036">
        <v>1</v>
      </c>
      <c r="E1036">
        <v>549.99</v>
      </c>
      <c r="F1036">
        <v>0.1</v>
      </c>
      <c r="G1036">
        <v>549.89</v>
      </c>
      <c r="H1036" t="s">
        <v>17</v>
      </c>
      <c r="I1036" t="s">
        <v>299</v>
      </c>
    </row>
    <row r="1037" spans="1:9" x14ac:dyDescent="0.35">
      <c r="A1037">
        <v>396</v>
      </c>
      <c r="B1037">
        <v>2</v>
      </c>
      <c r="C1037">
        <v>25</v>
      </c>
      <c r="D1037">
        <v>2</v>
      </c>
      <c r="E1037">
        <v>499.99</v>
      </c>
      <c r="F1037">
        <v>0.1</v>
      </c>
      <c r="G1037">
        <v>999.93</v>
      </c>
      <c r="H1037" t="s">
        <v>27</v>
      </c>
      <c r="I1037" t="s">
        <v>304</v>
      </c>
    </row>
    <row r="1038" spans="1:9" x14ac:dyDescent="0.35">
      <c r="A1038">
        <v>396</v>
      </c>
      <c r="B1038">
        <v>3</v>
      </c>
      <c r="C1038">
        <v>5</v>
      </c>
      <c r="D1038">
        <v>1</v>
      </c>
      <c r="E1038">
        <v>1320.99</v>
      </c>
      <c r="F1038">
        <v>0.2</v>
      </c>
      <c r="G1038">
        <v>1320.79</v>
      </c>
      <c r="H1038" t="s">
        <v>10</v>
      </c>
      <c r="I1038" t="s">
        <v>304</v>
      </c>
    </row>
    <row r="1039" spans="1:9" x14ac:dyDescent="0.35">
      <c r="A1039">
        <v>398</v>
      </c>
      <c r="B1039">
        <v>1</v>
      </c>
      <c r="C1039">
        <v>8</v>
      </c>
      <c r="D1039">
        <v>2</v>
      </c>
      <c r="E1039">
        <v>1799.99</v>
      </c>
      <c r="F1039">
        <v>0.1</v>
      </c>
      <c r="G1039">
        <v>3599.93</v>
      </c>
      <c r="H1039" t="s">
        <v>13</v>
      </c>
      <c r="I1039" t="s">
        <v>305</v>
      </c>
    </row>
    <row r="1040" spans="1:9" x14ac:dyDescent="0.35">
      <c r="A1040">
        <v>398</v>
      </c>
      <c r="B1040">
        <v>2</v>
      </c>
      <c r="C1040">
        <v>18</v>
      </c>
      <c r="D1040">
        <v>2</v>
      </c>
      <c r="E1040">
        <v>449</v>
      </c>
      <c r="F1040">
        <v>0.1</v>
      </c>
      <c r="G1040">
        <v>897.95</v>
      </c>
      <c r="H1040" t="s">
        <v>23</v>
      </c>
      <c r="I1040" t="s">
        <v>299</v>
      </c>
    </row>
    <row r="1041" spans="1:9" x14ac:dyDescent="0.35">
      <c r="A1041">
        <v>398</v>
      </c>
      <c r="B1041">
        <v>3</v>
      </c>
      <c r="C1041">
        <v>25</v>
      </c>
      <c r="D1041">
        <v>1</v>
      </c>
      <c r="E1041">
        <v>499.99</v>
      </c>
      <c r="F1041">
        <v>0.2</v>
      </c>
      <c r="G1041">
        <v>499.79</v>
      </c>
      <c r="H1041" t="s">
        <v>27</v>
      </c>
      <c r="I1041" t="s">
        <v>301</v>
      </c>
    </row>
    <row r="1042" spans="1:9" x14ac:dyDescent="0.35">
      <c r="A1042">
        <v>398</v>
      </c>
      <c r="B1042">
        <v>4</v>
      </c>
      <c r="C1042">
        <v>17</v>
      </c>
      <c r="D1042">
        <v>1</v>
      </c>
      <c r="E1042">
        <v>429</v>
      </c>
      <c r="F1042">
        <v>0.1</v>
      </c>
      <c r="G1042">
        <v>428.95</v>
      </c>
      <c r="H1042" t="s">
        <v>22</v>
      </c>
      <c r="I1042" t="s">
        <v>300</v>
      </c>
    </row>
    <row r="1043" spans="1:9" x14ac:dyDescent="0.35">
      <c r="A1043">
        <v>399</v>
      </c>
      <c r="B1043">
        <v>1</v>
      </c>
      <c r="C1043">
        <v>25</v>
      </c>
      <c r="D1043">
        <v>1</v>
      </c>
      <c r="E1043">
        <v>499.99</v>
      </c>
      <c r="F1043">
        <v>0.1</v>
      </c>
      <c r="G1043">
        <v>499.94</v>
      </c>
      <c r="H1043" t="s">
        <v>27</v>
      </c>
      <c r="I1043" t="s">
        <v>305</v>
      </c>
    </row>
    <row r="1044" spans="1:9" x14ac:dyDescent="0.35">
      <c r="A1044">
        <v>399</v>
      </c>
      <c r="B1044">
        <v>2</v>
      </c>
      <c r="C1044">
        <v>11</v>
      </c>
      <c r="D1044">
        <v>2</v>
      </c>
      <c r="E1044">
        <v>1680.99</v>
      </c>
      <c r="F1044">
        <v>0.1</v>
      </c>
      <c r="G1044">
        <v>3361.93</v>
      </c>
      <c r="H1044" t="s">
        <v>16</v>
      </c>
      <c r="I1044" t="s">
        <v>299</v>
      </c>
    </row>
    <row r="1045" spans="1:9" x14ac:dyDescent="0.35">
      <c r="A1045">
        <v>399</v>
      </c>
      <c r="B1045">
        <v>3</v>
      </c>
      <c r="C1045">
        <v>14</v>
      </c>
      <c r="D1045">
        <v>1</v>
      </c>
      <c r="E1045">
        <v>269.99</v>
      </c>
      <c r="F1045">
        <v>0.1</v>
      </c>
      <c r="G1045">
        <v>269.89</v>
      </c>
      <c r="H1045" t="s">
        <v>19</v>
      </c>
      <c r="I1045" t="s">
        <v>302</v>
      </c>
    </row>
    <row r="1046" spans="1:9" x14ac:dyDescent="0.35">
      <c r="A1046">
        <v>400</v>
      </c>
      <c r="B1046">
        <v>1</v>
      </c>
      <c r="C1046">
        <v>24</v>
      </c>
      <c r="D1046">
        <v>2</v>
      </c>
      <c r="E1046">
        <v>549.99</v>
      </c>
      <c r="F1046">
        <v>0.1</v>
      </c>
      <c r="G1046">
        <v>1099.9100000000001</v>
      </c>
      <c r="H1046" t="s">
        <v>17</v>
      </c>
      <c r="I1046" t="s">
        <v>304</v>
      </c>
    </row>
    <row r="1047" spans="1:9" x14ac:dyDescent="0.35">
      <c r="A1047">
        <v>400</v>
      </c>
      <c r="B1047">
        <v>2</v>
      </c>
      <c r="C1047">
        <v>9</v>
      </c>
      <c r="D1047">
        <v>1</v>
      </c>
      <c r="E1047">
        <v>2999.99</v>
      </c>
      <c r="F1047">
        <v>0.2</v>
      </c>
      <c r="G1047">
        <v>2999.79</v>
      </c>
      <c r="H1047" t="s">
        <v>14</v>
      </c>
      <c r="I1047" t="s">
        <v>305</v>
      </c>
    </row>
    <row r="1048" spans="1:9" x14ac:dyDescent="0.35">
      <c r="A1048">
        <v>400</v>
      </c>
      <c r="B1048">
        <v>3</v>
      </c>
      <c r="C1048">
        <v>3</v>
      </c>
      <c r="D1048">
        <v>2</v>
      </c>
      <c r="E1048">
        <v>999.99</v>
      </c>
      <c r="F1048">
        <v>0.2</v>
      </c>
      <c r="G1048">
        <v>1999.78</v>
      </c>
      <c r="H1048" t="s">
        <v>8</v>
      </c>
      <c r="I1048" t="s">
        <v>299</v>
      </c>
    </row>
    <row r="1049" spans="1:9" x14ac:dyDescent="0.35">
      <c r="A1049">
        <v>401</v>
      </c>
      <c r="B1049">
        <v>1</v>
      </c>
      <c r="C1049">
        <v>23</v>
      </c>
      <c r="D1049">
        <v>1</v>
      </c>
      <c r="E1049">
        <v>299.99</v>
      </c>
      <c r="F1049">
        <v>0.2</v>
      </c>
      <c r="G1049">
        <v>299.79000000000002</v>
      </c>
      <c r="H1049" t="s">
        <v>26</v>
      </c>
      <c r="I1049" t="s">
        <v>299</v>
      </c>
    </row>
    <row r="1050" spans="1:9" x14ac:dyDescent="0.35">
      <c r="A1050">
        <v>401</v>
      </c>
      <c r="B1050">
        <v>2</v>
      </c>
      <c r="C1050">
        <v>10</v>
      </c>
      <c r="D1050">
        <v>2</v>
      </c>
      <c r="E1050">
        <v>1549</v>
      </c>
      <c r="F1050">
        <v>0.2</v>
      </c>
      <c r="G1050">
        <v>3097.8</v>
      </c>
      <c r="H1050" t="s">
        <v>15</v>
      </c>
      <c r="I1050" t="s">
        <v>302</v>
      </c>
    </row>
    <row r="1051" spans="1:9" x14ac:dyDescent="0.35">
      <c r="A1051">
        <v>402</v>
      </c>
      <c r="B1051">
        <v>1</v>
      </c>
      <c r="C1051">
        <v>6</v>
      </c>
      <c r="D1051">
        <v>2</v>
      </c>
      <c r="E1051">
        <v>469.99</v>
      </c>
      <c r="F1051">
        <v>0.1</v>
      </c>
      <c r="G1051">
        <v>939.91</v>
      </c>
      <c r="H1051" t="s">
        <v>11</v>
      </c>
      <c r="I1051" t="s">
        <v>303</v>
      </c>
    </row>
    <row r="1052" spans="1:9" x14ac:dyDescent="0.35">
      <c r="A1052">
        <v>402</v>
      </c>
      <c r="B1052">
        <v>2</v>
      </c>
      <c r="C1052">
        <v>5</v>
      </c>
      <c r="D1052">
        <v>1</v>
      </c>
      <c r="E1052">
        <v>1320.99</v>
      </c>
      <c r="F1052">
        <v>0.1</v>
      </c>
      <c r="G1052">
        <v>1320.92</v>
      </c>
      <c r="H1052" t="s">
        <v>10</v>
      </c>
      <c r="I1052" t="s">
        <v>301</v>
      </c>
    </row>
    <row r="1053" spans="1:9" x14ac:dyDescent="0.35">
      <c r="A1053">
        <v>402</v>
      </c>
      <c r="B1053">
        <v>3</v>
      </c>
      <c r="C1053">
        <v>26</v>
      </c>
      <c r="D1053">
        <v>1</v>
      </c>
      <c r="E1053">
        <v>599.99</v>
      </c>
      <c r="F1053">
        <v>0.1</v>
      </c>
      <c r="G1053">
        <v>599.94000000000005</v>
      </c>
      <c r="H1053" t="s">
        <v>21</v>
      </c>
      <c r="I1053" t="s">
        <v>304</v>
      </c>
    </row>
    <row r="1054" spans="1:9" x14ac:dyDescent="0.35">
      <c r="A1054">
        <v>403</v>
      </c>
      <c r="B1054">
        <v>1</v>
      </c>
      <c r="C1054">
        <v>12</v>
      </c>
      <c r="D1054">
        <v>2</v>
      </c>
      <c r="E1054">
        <v>549.99</v>
      </c>
      <c r="F1054">
        <v>0.1</v>
      </c>
      <c r="G1054">
        <v>1099.8800000000001</v>
      </c>
      <c r="H1054" t="s">
        <v>17</v>
      </c>
      <c r="I1054" t="s">
        <v>301</v>
      </c>
    </row>
    <row r="1055" spans="1:9" x14ac:dyDescent="0.35">
      <c r="A1055">
        <v>403</v>
      </c>
      <c r="B1055">
        <v>2</v>
      </c>
      <c r="C1055">
        <v>7</v>
      </c>
      <c r="D1055">
        <v>2</v>
      </c>
      <c r="E1055">
        <v>3999.99</v>
      </c>
      <c r="F1055">
        <v>0.2</v>
      </c>
      <c r="G1055">
        <v>7999.78</v>
      </c>
      <c r="H1055" t="s">
        <v>12</v>
      </c>
      <c r="I1055" t="s">
        <v>304</v>
      </c>
    </row>
    <row r="1056" spans="1:9" x14ac:dyDescent="0.35">
      <c r="A1056">
        <v>403</v>
      </c>
      <c r="B1056">
        <v>3</v>
      </c>
      <c r="C1056">
        <v>22</v>
      </c>
      <c r="D1056">
        <v>2</v>
      </c>
      <c r="E1056">
        <v>269.99</v>
      </c>
      <c r="F1056">
        <v>0.1</v>
      </c>
      <c r="G1056">
        <v>539.92999999999995</v>
      </c>
      <c r="H1056" t="s">
        <v>19</v>
      </c>
      <c r="I1056" t="s">
        <v>299</v>
      </c>
    </row>
    <row r="1057" spans="1:9" x14ac:dyDescent="0.35">
      <c r="A1057">
        <v>403</v>
      </c>
      <c r="B1057">
        <v>4</v>
      </c>
      <c r="C1057">
        <v>24</v>
      </c>
      <c r="D1057">
        <v>1</v>
      </c>
      <c r="E1057">
        <v>549.99</v>
      </c>
      <c r="F1057">
        <v>0.2</v>
      </c>
      <c r="G1057">
        <v>549.79</v>
      </c>
      <c r="H1057" t="s">
        <v>17</v>
      </c>
      <c r="I1057" t="s">
        <v>304</v>
      </c>
    </row>
    <row r="1058" spans="1:9" x14ac:dyDescent="0.35">
      <c r="A1058">
        <v>404</v>
      </c>
      <c r="B1058">
        <v>1</v>
      </c>
      <c r="C1058">
        <v>9</v>
      </c>
      <c r="D1058">
        <v>1</v>
      </c>
      <c r="E1058">
        <v>2999.99</v>
      </c>
      <c r="F1058">
        <v>0.1</v>
      </c>
      <c r="G1058">
        <v>2999.92</v>
      </c>
      <c r="H1058" t="s">
        <v>14</v>
      </c>
      <c r="I1058" t="s">
        <v>301</v>
      </c>
    </row>
    <row r="1059" spans="1:9" x14ac:dyDescent="0.35">
      <c r="A1059">
        <v>404</v>
      </c>
      <c r="B1059">
        <v>2</v>
      </c>
      <c r="C1059">
        <v>25</v>
      </c>
      <c r="D1059">
        <v>2</v>
      </c>
      <c r="E1059">
        <v>499.99</v>
      </c>
      <c r="F1059">
        <v>0.1</v>
      </c>
      <c r="G1059">
        <v>999.93</v>
      </c>
      <c r="H1059" t="s">
        <v>27</v>
      </c>
      <c r="I1059" t="s">
        <v>305</v>
      </c>
    </row>
    <row r="1060" spans="1:9" x14ac:dyDescent="0.35">
      <c r="A1060">
        <v>404</v>
      </c>
      <c r="B1060">
        <v>3</v>
      </c>
      <c r="C1060">
        <v>16</v>
      </c>
      <c r="D1060">
        <v>2</v>
      </c>
      <c r="E1060">
        <v>599.99</v>
      </c>
      <c r="F1060">
        <v>0.2</v>
      </c>
      <c r="G1060">
        <v>1199.78</v>
      </c>
      <c r="H1060" t="s">
        <v>21</v>
      </c>
      <c r="I1060" t="s">
        <v>303</v>
      </c>
    </row>
    <row r="1061" spans="1:9" x14ac:dyDescent="0.35">
      <c r="A1061">
        <v>405</v>
      </c>
      <c r="B1061">
        <v>1</v>
      </c>
      <c r="C1061">
        <v>3</v>
      </c>
      <c r="D1061">
        <v>2</v>
      </c>
      <c r="E1061">
        <v>999.99</v>
      </c>
      <c r="F1061">
        <v>0.2</v>
      </c>
      <c r="G1061">
        <v>1999.78</v>
      </c>
      <c r="H1061" t="s">
        <v>8</v>
      </c>
      <c r="I1061" t="s">
        <v>304</v>
      </c>
    </row>
    <row r="1062" spans="1:9" x14ac:dyDescent="0.35">
      <c r="A1062">
        <v>405</v>
      </c>
      <c r="B1062">
        <v>2</v>
      </c>
      <c r="C1062">
        <v>10</v>
      </c>
      <c r="D1062">
        <v>2</v>
      </c>
      <c r="E1062">
        <v>1549</v>
      </c>
      <c r="F1062">
        <v>0.1</v>
      </c>
      <c r="G1062">
        <v>3097.9</v>
      </c>
      <c r="H1062" t="s">
        <v>15</v>
      </c>
      <c r="I1062" t="s">
        <v>304</v>
      </c>
    </row>
    <row r="1063" spans="1:9" x14ac:dyDescent="0.35">
      <c r="A1063">
        <v>405</v>
      </c>
      <c r="B1063">
        <v>3</v>
      </c>
      <c r="C1063">
        <v>14</v>
      </c>
      <c r="D1063">
        <v>2</v>
      </c>
      <c r="E1063">
        <v>269.99</v>
      </c>
      <c r="F1063">
        <v>0.1</v>
      </c>
      <c r="G1063">
        <v>539.91</v>
      </c>
      <c r="H1063" t="s">
        <v>19</v>
      </c>
      <c r="I1063" t="s">
        <v>299</v>
      </c>
    </row>
    <row r="1064" spans="1:9" x14ac:dyDescent="0.35">
      <c r="A1064">
        <v>407</v>
      </c>
      <c r="B1064">
        <v>1</v>
      </c>
      <c r="C1064">
        <v>20</v>
      </c>
      <c r="D1064">
        <v>1</v>
      </c>
      <c r="E1064">
        <v>599.99</v>
      </c>
      <c r="F1064">
        <v>0.2</v>
      </c>
      <c r="G1064">
        <v>599.79</v>
      </c>
      <c r="H1064" t="s">
        <v>25</v>
      </c>
      <c r="I1064" t="s">
        <v>300</v>
      </c>
    </row>
    <row r="1065" spans="1:9" x14ac:dyDescent="0.35">
      <c r="A1065">
        <v>407</v>
      </c>
      <c r="B1065">
        <v>2</v>
      </c>
      <c r="C1065">
        <v>5</v>
      </c>
      <c r="D1065">
        <v>1</v>
      </c>
      <c r="E1065">
        <v>1320.99</v>
      </c>
      <c r="F1065">
        <v>0.1</v>
      </c>
      <c r="G1065">
        <v>1320.94</v>
      </c>
      <c r="H1065" t="s">
        <v>10</v>
      </c>
      <c r="I1065" t="s">
        <v>304</v>
      </c>
    </row>
    <row r="1066" spans="1:9" x14ac:dyDescent="0.35">
      <c r="A1066">
        <v>408</v>
      </c>
      <c r="B1066">
        <v>1</v>
      </c>
      <c r="C1066">
        <v>18</v>
      </c>
      <c r="D1066">
        <v>1</v>
      </c>
      <c r="E1066">
        <v>449</v>
      </c>
      <c r="F1066">
        <v>0.2</v>
      </c>
      <c r="G1066">
        <v>448.8</v>
      </c>
      <c r="H1066" t="s">
        <v>23</v>
      </c>
      <c r="I1066" t="s">
        <v>301</v>
      </c>
    </row>
    <row r="1067" spans="1:9" x14ac:dyDescent="0.35">
      <c r="A1067">
        <v>408</v>
      </c>
      <c r="B1067">
        <v>2</v>
      </c>
      <c r="C1067">
        <v>3</v>
      </c>
      <c r="D1067">
        <v>1</v>
      </c>
      <c r="E1067">
        <v>999.99</v>
      </c>
      <c r="F1067">
        <v>0.1</v>
      </c>
      <c r="G1067">
        <v>999.92</v>
      </c>
      <c r="H1067" t="s">
        <v>8</v>
      </c>
      <c r="I1067" t="s">
        <v>300</v>
      </c>
    </row>
    <row r="1068" spans="1:9" x14ac:dyDescent="0.35">
      <c r="A1068">
        <v>408</v>
      </c>
      <c r="B1068">
        <v>3</v>
      </c>
      <c r="C1068">
        <v>2</v>
      </c>
      <c r="D1068">
        <v>2</v>
      </c>
      <c r="E1068">
        <v>749.99</v>
      </c>
      <c r="F1068">
        <v>0.1</v>
      </c>
      <c r="G1068">
        <v>1499.91</v>
      </c>
      <c r="H1068" t="s">
        <v>7</v>
      </c>
      <c r="I1068" t="s">
        <v>304</v>
      </c>
    </row>
    <row r="1069" spans="1:9" x14ac:dyDescent="0.35">
      <c r="A1069">
        <v>408</v>
      </c>
      <c r="B1069">
        <v>4</v>
      </c>
      <c r="C1069">
        <v>17</v>
      </c>
      <c r="D1069">
        <v>2</v>
      </c>
      <c r="E1069">
        <v>429</v>
      </c>
      <c r="F1069">
        <v>0.2</v>
      </c>
      <c r="G1069">
        <v>857.8</v>
      </c>
      <c r="H1069" t="s">
        <v>22</v>
      </c>
      <c r="I1069" t="s">
        <v>304</v>
      </c>
    </row>
    <row r="1070" spans="1:9" x14ac:dyDescent="0.35">
      <c r="A1070">
        <v>409</v>
      </c>
      <c r="B1070">
        <v>1</v>
      </c>
      <c r="C1070">
        <v>15</v>
      </c>
      <c r="D1070">
        <v>1</v>
      </c>
      <c r="E1070">
        <v>529.99</v>
      </c>
      <c r="F1070">
        <v>0.1</v>
      </c>
      <c r="G1070">
        <v>529.91999999999996</v>
      </c>
      <c r="H1070" t="s">
        <v>20</v>
      </c>
      <c r="I1070" t="s">
        <v>301</v>
      </c>
    </row>
    <row r="1071" spans="1:9" x14ac:dyDescent="0.35">
      <c r="A1071">
        <v>409</v>
      </c>
      <c r="B1071">
        <v>2</v>
      </c>
      <c r="C1071">
        <v>16</v>
      </c>
      <c r="D1071">
        <v>2</v>
      </c>
      <c r="E1071">
        <v>599.99</v>
      </c>
      <c r="F1071">
        <v>0.2</v>
      </c>
      <c r="G1071">
        <v>1199.78</v>
      </c>
      <c r="H1071" t="s">
        <v>21</v>
      </c>
      <c r="I1071" t="s">
        <v>299</v>
      </c>
    </row>
    <row r="1072" spans="1:9" x14ac:dyDescent="0.35">
      <c r="A1072">
        <v>409</v>
      </c>
      <c r="B1072">
        <v>3</v>
      </c>
      <c r="C1072">
        <v>21</v>
      </c>
      <c r="D1072">
        <v>1</v>
      </c>
      <c r="E1072">
        <v>269.99</v>
      </c>
      <c r="F1072">
        <v>0.1</v>
      </c>
      <c r="G1072">
        <v>269.94</v>
      </c>
      <c r="H1072" t="s">
        <v>18</v>
      </c>
      <c r="I1072" t="s">
        <v>299</v>
      </c>
    </row>
    <row r="1073" spans="1:9" x14ac:dyDescent="0.35">
      <c r="A1073">
        <v>410</v>
      </c>
      <c r="B1073">
        <v>1</v>
      </c>
      <c r="C1073">
        <v>25</v>
      </c>
      <c r="D1073">
        <v>1</v>
      </c>
      <c r="E1073">
        <v>499.99</v>
      </c>
      <c r="F1073">
        <v>0.1</v>
      </c>
      <c r="G1073">
        <v>499.89</v>
      </c>
      <c r="H1073" t="s">
        <v>27</v>
      </c>
      <c r="I1073" t="s">
        <v>300</v>
      </c>
    </row>
    <row r="1074" spans="1:9" x14ac:dyDescent="0.35">
      <c r="A1074">
        <v>410</v>
      </c>
      <c r="B1074">
        <v>2</v>
      </c>
      <c r="C1074">
        <v>9</v>
      </c>
      <c r="D1074">
        <v>2</v>
      </c>
      <c r="E1074">
        <v>2999.99</v>
      </c>
      <c r="F1074">
        <v>0.1</v>
      </c>
      <c r="G1074">
        <v>5999.93</v>
      </c>
      <c r="H1074" t="s">
        <v>14</v>
      </c>
      <c r="I1074" t="s">
        <v>304</v>
      </c>
    </row>
    <row r="1075" spans="1:9" x14ac:dyDescent="0.35">
      <c r="A1075">
        <v>410</v>
      </c>
      <c r="B1075">
        <v>3</v>
      </c>
      <c r="C1075">
        <v>24</v>
      </c>
      <c r="D1075">
        <v>2</v>
      </c>
      <c r="E1075">
        <v>549.99</v>
      </c>
      <c r="F1075">
        <v>0.1</v>
      </c>
      <c r="G1075">
        <v>1099.8800000000001</v>
      </c>
      <c r="H1075" t="s">
        <v>17</v>
      </c>
      <c r="I1075" t="s">
        <v>301</v>
      </c>
    </row>
    <row r="1076" spans="1:9" x14ac:dyDescent="0.35">
      <c r="A1076">
        <v>411</v>
      </c>
      <c r="B1076">
        <v>1</v>
      </c>
      <c r="C1076">
        <v>2</v>
      </c>
      <c r="D1076">
        <v>1</v>
      </c>
      <c r="E1076">
        <v>749.99</v>
      </c>
      <c r="F1076">
        <v>0.1</v>
      </c>
      <c r="G1076">
        <v>749.92</v>
      </c>
      <c r="H1076" t="s">
        <v>7</v>
      </c>
      <c r="I1076" t="s">
        <v>301</v>
      </c>
    </row>
    <row r="1077" spans="1:9" x14ac:dyDescent="0.35">
      <c r="A1077">
        <v>411</v>
      </c>
      <c r="B1077">
        <v>2</v>
      </c>
      <c r="C1077">
        <v>26</v>
      </c>
      <c r="D1077">
        <v>2</v>
      </c>
      <c r="E1077">
        <v>599.99</v>
      </c>
      <c r="F1077">
        <v>0.1</v>
      </c>
      <c r="G1077">
        <v>1199.93</v>
      </c>
      <c r="H1077" t="s">
        <v>21</v>
      </c>
      <c r="I1077" t="s">
        <v>299</v>
      </c>
    </row>
    <row r="1078" spans="1:9" x14ac:dyDescent="0.35">
      <c r="A1078">
        <v>412</v>
      </c>
      <c r="B1078">
        <v>1</v>
      </c>
      <c r="C1078">
        <v>7</v>
      </c>
      <c r="D1078">
        <v>1</v>
      </c>
      <c r="E1078">
        <v>3999.99</v>
      </c>
      <c r="F1078">
        <v>0.1</v>
      </c>
      <c r="G1078">
        <v>3999.89</v>
      </c>
      <c r="H1078" t="s">
        <v>12</v>
      </c>
      <c r="I1078" t="s">
        <v>304</v>
      </c>
    </row>
    <row r="1079" spans="1:9" x14ac:dyDescent="0.35">
      <c r="A1079">
        <v>412</v>
      </c>
      <c r="B1079">
        <v>2</v>
      </c>
      <c r="C1079">
        <v>24</v>
      </c>
      <c r="D1079">
        <v>1</v>
      </c>
      <c r="E1079">
        <v>549.99</v>
      </c>
      <c r="F1079">
        <v>0.1</v>
      </c>
      <c r="G1079">
        <v>549.91999999999996</v>
      </c>
      <c r="H1079" t="s">
        <v>17</v>
      </c>
      <c r="I1079" t="s">
        <v>304</v>
      </c>
    </row>
    <row r="1080" spans="1:9" x14ac:dyDescent="0.35">
      <c r="A1080">
        <v>412</v>
      </c>
      <c r="B1080">
        <v>3</v>
      </c>
      <c r="C1080">
        <v>17</v>
      </c>
      <c r="D1080">
        <v>1</v>
      </c>
      <c r="E1080">
        <v>429</v>
      </c>
      <c r="F1080">
        <v>0.1</v>
      </c>
      <c r="G1080">
        <v>428.9</v>
      </c>
      <c r="H1080" t="s">
        <v>22</v>
      </c>
      <c r="I1080" t="s">
        <v>305</v>
      </c>
    </row>
    <row r="1081" spans="1:9" x14ac:dyDescent="0.35">
      <c r="A1081">
        <v>413</v>
      </c>
      <c r="B1081">
        <v>1</v>
      </c>
      <c r="C1081">
        <v>8</v>
      </c>
      <c r="D1081">
        <v>2</v>
      </c>
      <c r="E1081">
        <v>1799.99</v>
      </c>
      <c r="F1081">
        <v>0.1</v>
      </c>
      <c r="G1081">
        <v>3599.93</v>
      </c>
      <c r="H1081" t="s">
        <v>13</v>
      </c>
      <c r="I1081" t="s">
        <v>300</v>
      </c>
    </row>
    <row r="1082" spans="1:9" x14ac:dyDescent="0.35">
      <c r="A1082">
        <v>413</v>
      </c>
      <c r="B1082">
        <v>2</v>
      </c>
      <c r="C1082">
        <v>25</v>
      </c>
      <c r="D1082">
        <v>1</v>
      </c>
      <c r="E1082">
        <v>499.99</v>
      </c>
      <c r="F1082">
        <v>0.1</v>
      </c>
      <c r="G1082">
        <v>499.89</v>
      </c>
      <c r="H1082" t="s">
        <v>27</v>
      </c>
      <c r="I1082" t="s">
        <v>301</v>
      </c>
    </row>
    <row r="1083" spans="1:9" x14ac:dyDescent="0.35">
      <c r="A1083">
        <v>413</v>
      </c>
      <c r="B1083">
        <v>3</v>
      </c>
      <c r="C1083">
        <v>9</v>
      </c>
      <c r="D1083">
        <v>1</v>
      </c>
      <c r="E1083">
        <v>2999.99</v>
      </c>
      <c r="F1083">
        <v>0.1</v>
      </c>
      <c r="G1083">
        <v>2999.92</v>
      </c>
      <c r="H1083" t="s">
        <v>14</v>
      </c>
      <c r="I1083" t="s">
        <v>301</v>
      </c>
    </row>
    <row r="1084" spans="1:9" x14ac:dyDescent="0.35">
      <c r="A1084">
        <v>415</v>
      </c>
      <c r="B1084">
        <v>1</v>
      </c>
      <c r="C1084">
        <v>3</v>
      </c>
      <c r="D1084">
        <v>1</v>
      </c>
      <c r="E1084">
        <v>999.99</v>
      </c>
      <c r="F1084">
        <v>0.1</v>
      </c>
      <c r="G1084">
        <v>999.92</v>
      </c>
      <c r="H1084" t="s">
        <v>8</v>
      </c>
      <c r="I1084" t="s">
        <v>301</v>
      </c>
    </row>
    <row r="1085" spans="1:9" x14ac:dyDescent="0.35">
      <c r="A1085">
        <v>415</v>
      </c>
      <c r="B1085">
        <v>2</v>
      </c>
      <c r="C1085">
        <v>23</v>
      </c>
      <c r="D1085">
        <v>2</v>
      </c>
      <c r="E1085">
        <v>299.99</v>
      </c>
      <c r="F1085">
        <v>0.2</v>
      </c>
      <c r="G1085">
        <v>599.78</v>
      </c>
      <c r="H1085" t="s">
        <v>26</v>
      </c>
      <c r="I1085" t="s">
        <v>299</v>
      </c>
    </row>
    <row r="1086" spans="1:9" x14ac:dyDescent="0.35">
      <c r="A1086">
        <v>415</v>
      </c>
      <c r="B1086">
        <v>3</v>
      </c>
      <c r="C1086">
        <v>5</v>
      </c>
      <c r="D1086">
        <v>1</v>
      </c>
      <c r="E1086">
        <v>1320.99</v>
      </c>
      <c r="F1086">
        <v>0.2</v>
      </c>
      <c r="G1086">
        <v>1320.79</v>
      </c>
      <c r="H1086" t="s">
        <v>10</v>
      </c>
      <c r="I1086" t="s">
        <v>301</v>
      </c>
    </row>
    <row r="1087" spans="1:9" x14ac:dyDescent="0.35">
      <c r="A1087">
        <v>415</v>
      </c>
      <c r="B1087">
        <v>4</v>
      </c>
      <c r="C1087">
        <v>6</v>
      </c>
      <c r="D1087">
        <v>2</v>
      </c>
      <c r="E1087">
        <v>469.99</v>
      </c>
      <c r="F1087">
        <v>0.1</v>
      </c>
      <c r="G1087">
        <v>939.93</v>
      </c>
      <c r="H1087" t="s">
        <v>11</v>
      </c>
      <c r="I1087" t="s">
        <v>304</v>
      </c>
    </row>
    <row r="1088" spans="1:9" x14ac:dyDescent="0.35">
      <c r="A1088">
        <v>416</v>
      </c>
      <c r="B1088">
        <v>1</v>
      </c>
      <c r="C1088">
        <v>22</v>
      </c>
      <c r="D1088">
        <v>1</v>
      </c>
      <c r="E1088">
        <v>269.99</v>
      </c>
      <c r="F1088">
        <v>0.1</v>
      </c>
      <c r="G1088">
        <v>269.92</v>
      </c>
      <c r="H1088" t="s">
        <v>19</v>
      </c>
      <c r="I1088" t="s">
        <v>301</v>
      </c>
    </row>
    <row r="1089" spans="1:9" x14ac:dyDescent="0.35">
      <c r="A1089">
        <v>416</v>
      </c>
      <c r="B1089">
        <v>2</v>
      </c>
      <c r="C1089">
        <v>14</v>
      </c>
      <c r="D1089">
        <v>1</v>
      </c>
      <c r="E1089">
        <v>269.99</v>
      </c>
      <c r="F1089">
        <v>0.1</v>
      </c>
      <c r="G1089">
        <v>269.92</v>
      </c>
      <c r="H1089" t="s">
        <v>19</v>
      </c>
      <c r="I1089" t="s">
        <v>299</v>
      </c>
    </row>
    <row r="1090" spans="1:9" x14ac:dyDescent="0.35">
      <c r="A1090">
        <v>416</v>
      </c>
      <c r="B1090">
        <v>3</v>
      </c>
      <c r="C1090">
        <v>24</v>
      </c>
      <c r="D1090">
        <v>1</v>
      </c>
      <c r="E1090">
        <v>549.99</v>
      </c>
      <c r="F1090">
        <v>0.1</v>
      </c>
      <c r="G1090">
        <v>549.89</v>
      </c>
      <c r="H1090" t="s">
        <v>17</v>
      </c>
      <c r="I1090" t="s">
        <v>302</v>
      </c>
    </row>
    <row r="1091" spans="1:9" x14ac:dyDescent="0.35">
      <c r="A1091">
        <v>417</v>
      </c>
      <c r="B1091">
        <v>1</v>
      </c>
      <c r="C1091">
        <v>26</v>
      </c>
      <c r="D1091">
        <v>2</v>
      </c>
      <c r="E1091">
        <v>599.99</v>
      </c>
      <c r="F1091">
        <v>0.1</v>
      </c>
      <c r="G1091">
        <v>1199.9100000000001</v>
      </c>
      <c r="H1091" t="s">
        <v>21</v>
      </c>
      <c r="I1091" t="s">
        <v>304</v>
      </c>
    </row>
    <row r="1092" spans="1:9" x14ac:dyDescent="0.35">
      <c r="A1092">
        <v>417</v>
      </c>
      <c r="B1092">
        <v>2</v>
      </c>
      <c r="C1092">
        <v>6</v>
      </c>
      <c r="D1092">
        <v>2</v>
      </c>
      <c r="E1092">
        <v>469.99</v>
      </c>
      <c r="F1092">
        <v>0.1</v>
      </c>
      <c r="G1092">
        <v>939.91</v>
      </c>
      <c r="H1092" t="s">
        <v>11</v>
      </c>
      <c r="I1092" t="s">
        <v>301</v>
      </c>
    </row>
    <row r="1093" spans="1:9" x14ac:dyDescent="0.35">
      <c r="A1093">
        <v>418</v>
      </c>
      <c r="B1093">
        <v>1</v>
      </c>
      <c r="C1093">
        <v>12</v>
      </c>
      <c r="D1093">
        <v>1</v>
      </c>
      <c r="E1093">
        <v>549.99</v>
      </c>
      <c r="F1093">
        <v>0.1</v>
      </c>
      <c r="G1093">
        <v>549.94000000000005</v>
      </c>
      <c r="H1093" t="s">
        <v>17</v>
      </c>
      <c r="I1093" t="s">
        <v>300</v>
      </c>
    </row>
    <row r="1094" spans="1:9" x14ac:dyDescent="0.35">
      <c r="A1094">
        <v>418</v>
      </c>
      <c r="B1094">
        <v>2</v>
      </c>
      <c r="C1094">
        <v>20</v>
      </c>
      <c r="D1094">
        <v>1</v>
      </c>
      <c r="E1094">
        <v>599.99</v>
      </c>
      <c r="F1094">
        <v>0.1</v>
      </c>
      <c r="G1094">
        <v>599.94000000000005</v>
      </c>
      <c r="H1094" t="s">
        <v>25</v>
      </c>
      <c r="I1094" t="s">
        <v>304</v>
      </c>
    </row>
    <row r="1095" spans="1:9" x14ac:dyDescent="0.35">
      <c r="A1095">
        <v>420</v>
      </c>
      <c r="B1095">
        <v>1</v>
      </c>
      <c r="C1095">
        <v>17</v>
      </c>
      <c r="D1095">
        <v>2</v>
      </c>
      <c r="E1095">
        <v>429</v>
      </c>
      <c r="F1095">
        <v>0.2</v>
      </c>
      <c r="G1095">
        <v>857.8</v>
      </c>
      <c r="H1095" t="s">
        <v>22</v>
      </c>
      <c r="I1095" t="s">
        <v>299</v>
      </c>
    </row>
    <row r="1096" spans="1:9" x14ac:dyDescent="0.35">
      <c r="A1096">
        <v>420</v>
      </c>
      <c r="B1096">
        <v>2</v>
      </c>
      <c r="C1096">
        <v>15</v>
      </c>
      <c r="D1096">
        <v>2</v>
      </c>
      <c r="E1096">
        <v>529.99</v>
      </c>
      <c r="F1096">
        <v>0.1</v>
      </c>
      <c r="G1096">
        <v>1059.8800000000001</v>
      </c>
      <c r="H1096" t="s">
        <v>20</v>
      </c>
      <c r="I1096" t="s">
        <v>301</v>
      </c>
    </row>
    <row r="1097" spans="1:9" x14ac:dyDescent="0.35">
      <c r="A1097">
        <v>420</v>
      </c>
      <c r="B1097">
        <v>3</v>
      </c>
      <c r="C1097">
        <v>3</v>
      </c>
      <c r="D1097">
        <v>2</v>
      </c>
      <c r="E1097">
        <v>999.99</v>
      </c>
      <c r="F1097">
        <v>0.1</v>
      </c>
      <c r="G1097">
        <v>1999.93</v>
      </c>
      <c r="H1097" t="s">
        <v>8</v>
      </c>
      <c r="I1097" t="s">
        <v>299</v>
      </c>
    </row>
    <row r="1098" spans="1:9" x14ac:dyDescent="0.35">
      <c r="A1098">
        <v>421</v>
      </c>
      <c r="B1098">
        <v>1</v>
      </c>
      <c r="C1098">
        <v>6</v>
      </c>
      <c r="D1098">
        <v>2</v>
      </c>
      <c r="E1098">
        <v>469.99</v>
      </c>
      <c r="F1098">
        <v>0.1</v>
      </c>
      <c r="G1098">
        <v>939.91</v>
      </c>
      <c r="H1098" t="s">
        <v>11</v>
      </c>
      <c r="I1098" t="s">
        <v>301</v>
      </c>
    </row>
    <row r="1099" spans="1:9" x14ac:dyDescent="0.35">
      <c r="A1099">
        <v>421</v>
      </c>
      <c r="B1099">
        <v>2</v>
      </c>
      <c r="C1099">
        <v>3</v>
      </c>
      <c r="D1099">
        <v>2</v>
      </c>
      <c r="E1099">
        <v>999.99</v>
      </c>
      <c r="F1099">
        <v>0.2</v>
      </c>
      <c r="G1099">
        <v>1999.78</v>
      </c>
      <c r="H1099" t="s">
        <v>8</v>
      </c>
      <c r="I1099" t="s">
        <v>299</v>
      </c>
    </row>
    <row r="1100" spans="1:9" x14ac:dyDescent="0.35">
      <c r="A1100">
        <v>421</v>
      </c>
      <c r="B1100">
        <v>3</v>
      </c>
      <c r="C1100">
        <v>20</v>
      </c>
      <c r="D1100">
        <v>2</v>
      </c>
      <c r="E1100">
        <v>599.99</v>
      </c>
      <c r="F1100">
        <v>0.2</v>
      </c>
      <c r="G1100">
        <v>1199.78</v>
      </c>
      <c r="H1100" t="s">
        <v>25</v>
      </c>
      <c r="I1100" t="s">
        <v>300</v>
      </c>
    </row>
    <row r="1101" spans="1:9" x14ac:dyDescent="0.35">
      <c r="A1101">
        <v>421</v>
      </c>
      <c r="B1101">
        <v>4</v>
      </c>
      <c r="C1101">
        <v>4</v>
      </c>
      <c r="D1101">
        <v>1</v>
      </c>
      <c r="E1101">
        <v>2899.99</v>
      </c>
      <c r="F1101">
        <v>0.1</v>
      </c>
      <c r="G1101">
        <v>2899.92</v>
      </c>
      <c r="H1101" t="s">
        <v>9</v>
      </c>
      <c r="I1101" t="s">
        <v>305</v>
      </c>
    </row>
    <row r="1102" spans="1:9" x14ac:dyDescent="0.35">
      <c r="A1102">
        <v>421</v>
      </c>
      <c r="B1102">
        <v>5</v>
      </c>
      <c r="C1102">
        <v>23</v>
      </c>
      <c r="D1102">
        <v>2</v>
      </c>
      <c r="E1102">
        <v>299.99</v>
      </c>
      <c r="F1102">
        <v>0.2</v>
      </c>
      <c r="G1102">
        <v>599.78</v>
      </c>
      <c r="H1102" t="s">
        <v>26</v>
      </c>
      <c r="I1102" t="s">
        <v>299</v>
      </c>
    </row>
    <row r="1103" spans="1:9" x14ac:dyDescent="0.35">
      <c r="A1103">
        <v>423</v>
      </c>
      <c r="B1103">
        <v>1</v>
      </c>
      <c r="C1103">
        <v>8</v>
      </c>
      <c r="D1103">
        <v>2</v>
      </c>
      <c r="E1103">
        <v>1799.99</v>
      </c>
      <c r="F1103">
        <v>0.1</v>
      </c>
      <c r="G1103">
        <v>3599.93</v>
      </c>
      <c r="H1103" t="s">
        <v>13</v>
      </c>
      <c r="I1103" t="s">
        <v>304</v>
      </c>
    </row>
    <row r="1104" spans="1:9" x14ac:dyDescent="0.35">
      <c r="A1104">
        <v>423</v>
      </c>
      <c r="B1104">
        <v>2</v>
      </c>
      <c r="C1104">
        <v>17</v>
      </c>
      <c r="D1104">
        <v>1</v>
      </c>
      <c r="E1104">
        <v>429</v>
      </c>
      <c r="F1104">
        <v>0.2</v>
      </c>
      <c r="G1104">
        <v>428.8</v>
      </c>
      <c r="H1104" t="s">
        <v>22</v>
      </c>
      <c r="I1104" t="s">
        <v>299</v>
      </c>
    </row>
    <row r="1105" spans="1:9" x14ac:dyDescent="0.35">
      <c r="A1105">
        <v>423</v>
      </c>
      <c r="B1105">
        <v>3</v>
      </c>
      <c r="C1105">
        <v>23</v>
      </c>
      <c r="D1105">
        <v>2</v>
      </c>
      <c r="E1105">
        <v>299.99</v>
      </c>
      <c r="F1105">
        <v>0.1</v>
      </c>
      <c r="G1105">
        <v>599.91</v>
      </c>
      <c r="H1105" t="s">
        <v>26</v>
      </c>
      <c r="I1105" t="s">
        <v>301</v>
      </c>
    </row>
    <row r="1106" spans="1:9" x14ac:dyDescent="0.35">
      <c r="A1106">
        <v>423</v>
      </c>
      <c r="B1106">
        <v>4</v>
      </c>
      <c r="C1106">
        <v>2</v>
      </c>
      <c r="D1106">
        <v>1</v>
      </c>
      <c r="E1106">
        <v>749.99</v>
      </c>
      <c r="F1106">
        <v>0.2</v>
      </c>
      <c r="G1106">
        <v>749.79</v>
      </c>
      <c r="H1106" t="s">
        <v>7</v>
      </c>
      <c r="I1106" t="s">
        <v>299</v>
      </c>
    </row>
    <row r="1107" spans="1:9" x14ac:dyDescent="0.35">
      <c r="A1107">
        <v>424</v>
      </c>
      <c r="B1107">
        <v>1</v>
      </c>
      <c r="C1107">
        <v>22</v>
      </c>
      <c r="D1107">
        <v>1</v>
      </c>
      <c r="E1107">
        <v>269.99</v>
      </c>
      <c r="F1107">
        <v>0.1</v>
      </c>
      <c r="G1107">
        <v>269.89</v>
      </c>
      <c r="H1107" t="s">
        <v>19</v>
      </c>
      <c r="I1107" t="s">
        <v>304</v>
      </c>
    </row>
    <row r="1108" spans="1:9" x14ac:dyDescent="0.35">
      <c r="A1108">
        <v>424</v>
      </c>
      <c r="B1108">
        <v>2</v>
      </c>
      <c r="C1108">
        <v>6</v>
      </c>
      <c r="D1108">
        <v>1</v>
      </c>
      <c r="E1108">
        <v>469.99</v>
      </c>
      <c r="F1108">
        <v>0.1</v>
      </c>
      <c r="G1108">
        <v>469.94</v>
      </c>
      <c r="H1108" t="s">
        <v>11</v>
      </c>
      <c r="I1108" t="s">
        <v>302</v>
      </c>
    </row>
    <row r="1109" spans="1:9" x14ac:dyDescent="0.35">
      <c r="A1109">
        <v>425</v>
      </c>
      <c r="B1109">
        <v>1</v>
      </c>
      <c r="C1109">
        <v>6</v>
      </c>
      <c r="D1109">
        <v>1</v>
      </c>
      <c r="E1109">
        <v>469.99</v>
      </c>
      <c r="F1109">
        <v>0.1</v>
      </c>
      <c r="G1109">
        <v>469.89</v>
      </c>
      <c r="H1109" t="s">
        <v>11</v>
      </c>
      <c r="I1109" t="s">
        <v>301</v>
      </c>
    </row>
    <row r="1110" spans="1:9" x14ac:dyDescent="0.35">
      <c r="A1110">
        <v>425</v>
      </c>
      <c r="B1110">
        <v>2</v>
      </c>
      <c r="C1110">
        <v>21</v>
      </c>
      <c r="D1110">
        <v>2</v>
      </c>
      <c r="E1110">
        <v>269.99</v>
      </c>
      <c r="F1110">
        <v>0.1</v>
      </c>
      <c r="G1110">
        <v>539.91</v>
      </c>
      <c r="H1110" t="s">
        <v>18</v>
      </c>
      <c r="I1110" t="s">
        <v>301</v>
      </c>
    </row>
    <row r="1111" spans="1:9" x14ac:dyDescent="0.35">
      <c r="A1111">
        <v>425</v>
      </c>
      <c r="B1111">
        <v>3</v>
      </c>
      <c r="C1111">
        <v>19</v>
      </c>
      <c r="D1111">
        <v>1</v>
      </c>
      <c r="E1111">
        <v>449</v>
      </c>
      <c r="F1111">
        <v>0.1</v>
      </c>
      <c r="G1111">
        <v>448.95</v>
      </c>
      <c r="H1111" t="s">
        <v>24</v>
      </c>
      <c r="I1111" t="s">
        <v>305</v>
      </c>
    </row>
    <row r="1112" spans="1:9" x14ac:dyDescent="0.35">
      <c r="A1112">
        <v>426</v>
      </c>
      <c r="B1112">
        <v>1</v>
      </c>
      <c r="C1112">
        <v>10</v>
      </c>
      <c r="D1112">
        <v>1</v>
      </c>
      <c r="E1112">
        <v>1549</v>
      </c>
      <c r="F1112">
        <v>0.1</v>
      </c>
      <c r="G1112">
        <v>1548.9</v>
      </c>
      <c r="H1112" t="s">
        <v>15</v>
      </c>
      <c r="I1112" t="s">
        <v>304</v>
      </c>
    </row>
    <row r="1113" spans="1:9" x14ac:dyDescent="0.35">
      <c r="A1113">
        <v>426</v>
      </c>
      <c r="B1113">
        <v>2</v>
      </c>
      <c r="C1113">
        <v>23</v>
      </c>
      <c r="D1113">
        <v>2</v>
      </c>
      <c r="E1113">
        <v>299.99</v>
      </c>
      <c r="F1113">
        <v>0.1</v>
      </c>
      <c r="G1113">
        <v>599.92999999999995</v>
      </c>
      <c r="H1113" t="s">
        <v>26</v>
      </c>
      <c r="I1113" t="s">
        <v>301</v>
      </c>
    </row>
    <row r="1114" spans="1:9" x14ac:dyDescent="0.35">
      <c r="A1114">
        <v>427</v>
      </c>
      <c r="B1114">
        <v>1</v>
      </c>
      <c r="C1114">
        <v>12</v>
      </c>
      <c r="D1114">
        <v>2</v>
      </c>
      <c r="E1114">
        <v>549.99</v>
      </c>
      <c r="F1114">
        <v>0.1</v>
      </c>
      <c r="G1114">
        <v>1099.9100000000001</v>
      </c>
      <c r="H1114" t="s">
        <v>17</v>
      </c>
      <c r="I1114" t="s">
        <v>305</v>
      </c>
    </row>
    <row r="1115" spans="1:9" x14ac:dyDescent="0.35">
      <c r="A1115">
        <v>427</v>
      </c>
      <c r="B1115">
        <v>2</v>
      </c>
      <c r="C1115">
        <v>15</v>
      </c>
      <c r="D1115">
        <v>2</v>
      </c>
      <c r="E1115">
        <v>529.99</v>
      </c>
      <c r="F1115">
        <v>0.1</v>
      </c>
      <c r="G1115">
        <v>1059.8800000000001</v>
      </c>
      <c r="H1115" t="s">
        <v>20</v>
      </c>
      <c r="I1115" t="s">
        <v>301</v>
      </c>
    </row>
    <row r="1116" spans="1:9" x14ac:dyDescent="0.35">
      <c r="A1116">
        <v>427</v>
      </c>
      <c r="B1116">
        <v>3</v>
      </c>
      <c r="C1116">
        <v>26</v>
      </c>
      <c r="D1116">
        <v>2</v>
      </c>
      <c r="E1116">
        <v>599.99</v>
      </c>
      <c r="F1116">
        <v>0.1</v>
      </c>
      <c r="G1116">
        <v>1199.9100000000001</v>
      </c>
      <c r="H1116" t="s">
        <v>21</v>
      </c>
      <c r="I1116" t="s">
        <v>304</v>
      </c>
    </row>
    <row r="1117" spans="1:9" x14ac:dyDescent="0.35">
      <c r="A1117">
        <v>428</v>
      </c>
      <c r="B1117">
        <v>1</v>
      </c>
      <c r="C1117">
        <v>5</v>
      </c>
      <c r="D1117">
        <v>2</v>
      </c>
      <c r="E1117">
        <v>1320.99</v>
      </c>
      <c r="F1117">
        <v>0.2</v>
      </c>
      <c r="G1117">
        <v>2641.78</v>
      </c>
      <c r="H1117" t="s">
        <v>10</v>
      </c>
      <c r="I1117" t="s">
        <v>300</v>
      </c>
    </row>
    <row r="1118" spans="1:9" x14ac:dyDescent="0.35">
      <c r="A1118">
        <v>428</v>
      </c>
      <c r="B1118">
        <v>2</v>
      </c>
      <c r="C1118">
        <v>14</v>
      </c>
      <c r="D1118">
        <v>1</v>
      </c>
      <c r="E1118">
        <v>269.99</v>
      </c>
      <c r="F1118">
        <v>0.2</v>
      </c>
      <c r="G1118">
        <v>269.79000000000002</v>
      </c>
      <c r="H1118" t="s">
        <v>19</v>
      </c>
      <c r="I1118" t="s">
        <v>299</v>
      </c>
    </row>
    <row r="1119" spans="1:9" x14ac:dyDescent="0.35">
      <c r="A1119">
        <v>429</v>
      </c>
      <c r="B1119">
        <v>1</v>
      </c>
      <c r="C1119">
        <v>11</v>
      </c>
      <c r="D1119">
        <v>1</v>
      </c>
      <c r="E1119">
        <v>1680.99</v>
      </c>
      <c r="F1119">
        <v>0.2</v>
      </c>
      <c r="G1119">
        <v>1680.79</v>
      </c>
      <c r="H1119" t="s">
        <v>16</v>
      </c>
      <c r="I1119" t="s">
        <v>301</v>
      </c>
    </row>
    <row r="1120" spans="1:9" x14ac:dyDescent="0.35">
      <c r="A1120">
        <v>429</v>
      </c>
      <c r="B1120">
        <v>2</v>
      </c>
      <c r="C1120">
        <v>4</v>
      </c>
      <c r="D1120">
        <v>2</v>
      </c>
      <c r="E1120">
        <v>2899.99</v>
      </c>
      <c r="F1120">
        <v>0.1</v>
      </c>
      <c r="G1120">
        <v>5799.88</v>
      </c>
      <c r="H1120" t="s">
        <v>9</v>
      </c>
      <c r="I1120" t="s">
        <v>305</v>
      </c>
    </row>
    <row r="1121" spans="1:9" x14ac:dyDescent="0.35">
      <c r="A1121">
        <v>429</v>
      </c>
      <c r="B1121">
        <v>3</v>
      </c>
      <c r="C1121">
        <v>5</v>
      </c>
      <c r="D1121">
        <v>2</v>
      </c>
      <c r="E1121">
        <v>1320.99</v>
      </c>
      <c r="F1121">
        <v>0.1</v>
      </c>
      <c r="G1121">
        <v>2641.93</v>
      </c>
      <c r="H1121" t="s">
        <v>10</v>
      </c>
      <c r="I1121" t="s">
        <v>305</v>
      </c>
    </row>
    <row r="1122" spans="1:9" x14ac:dyDescent="0.35">
      <c r="A1122">
        <v>429</v>
      </c>
      <c r="B1122">
        <v>4</v>
      </c>
      <c r="C1122">
        <v>6</v>
      </c>
      <c r="D1122">
        <v>1</v>
      </c>
      <c r="E1122">
        <v>469.99</v>
      </c>
      <c r="F1122">
        <v>0.1</v>
      </c>
      <c r="G1122">
        <v>469.92</v>
      </c>
      <c r="H1122" t="s">
        <v>11</v>
      </c>
      <c r="I1122" t="s">
        <v>301</v>
      </c>
    </row>
    <row r="1123" spans="1:9" x14ac:dyDescent="0.35">
      <c r="A1123">
        <v>429</v>
      </c>
      <c r="B1123">
        <v>5</v>
      </c>
      <c r="C1123">
        <v>2</v>
      </c>
      <c r="D1123">
        <v>1</v>
      </c>
      <c r="E1123">
        <v>749.99</v>
      </c>
      <c r="F1123">
        <v>0.1</v>
      </c>
      <c r="G1123">
        <v>749.89</v>
      </c>
      <c r="H1123" t="s">
        <v>7</v>
      </c>
      <c r="I1123" t="s">
        <v>300</v>
      </c>
    </row>
    <row r="1124" spans="1:9" x14ac:dyDescent="0.35">
      <c r="A1124">
        <v>430</v>
      </c>
      <c r="B1124">
        <v>1</v>
      </c>
      <c r="C1124">
        <v>22</v>
      </c>
      <c r="D1124">
        <v>2</v>
      </c>
      <c r="E1124">
        <v>269.99</v>
      </c>
      <c r="F1124">
        <v>0.1</v>
      </c>
      <c r="G1124">
        <v>539.88</v>
      </c>
      <c r="H1124" t="s">
        <v>19</v>
      </c>
      <c r="I1124" t="s">
        <v>304</v>
      </c>
    </row>
    <row r="1125" spans="1:9" x14ac:dyDescent="0.35">
      <c r="A1125">
        <v>430</v>
      </c>
      <c r="B1125">
        <v>2</v>
      </c>
      <c r="C1125">
        <v>11</v>
      </c>
      <c r="D1125">
        <v>1</v>
      </c>
      <c r="E1125">
        <v>1680.99</v>
      </c>
      <c r="F1125">
        <v>0.1</v>
      </c>
      <c r="G1125">
        <v>1680.92</v>
      </c>
      <c r="H1125" t="s">
        <v>16</v>
      </c>
      <c r="I1125" t="s">
        <v>304</v>
      </c>
    </row>
    <row r="1126" spans="1:9" x14ac:dyDescent="0.35">
      <c r="A1126">
        <v>430</v>
      </c>
      <c r="B1126">
        <v>3</v>
      </c>
      <c r="C1126">
        <v>4</v>
      </c>
      <c r="D1126">
        <v>2</v>
      </c>
      <c r="E1126">
        <v>2899.99</v>
      </c>
      <c r="F1126">
        <v>0.2</v>
      </c>
      <c r="G1126">
        <v>5799.78</v>
      </c>
      <c r="H1126" t="s">
        <v>9</v>
      </c>
      <c r="I1126" t="s">
        <v>299</v>
      </c>
    </row>
    <row r="1127" spans="1:9" x14ac:dyDescent="0.35">
      <c r="A1127">
        <v>430</v>
      </c>
      <c r="B1127">
        <v>4</v>
      </c>
      <c r="C1127">
        <v>13</v>
      </c>
      <c r="D1127">
        <v>2</v>
      </c>
      <c r="E1127">
        <v>269.99</v>
      </c>
      <c r="F1127">
        <v>0.2</v>
      </c>
      <c r="G1127">
        <v>539.78</v>
      </c>
      <c r="H1127" t="s">
        <v>18</v>
      </c>
      <c r="I1127" t="s">
        <v>299</v>
      </c>
    </row>
    <row r="1128" spans="1:9" x14ac:dyDescent="0.35">
      <c r="A1128">
        <v>430</v>
      </c>
      <c r="B1128">
        <v>5</v>
      </c>
      <c r="C1128">
        <v>8</v>
      </c>
      <c r="D1128">
        <v>1</v>
      </c>
      <c r="E1128">
        <v>1799.99</v>
      </c>
      <c r="F1128">
        <v>0.2</v>
      </c>
      <c r="G1128">
        <v>1799.79</v>
      </c>
      <c r="H1128" t="s">
        <v>13</v>
      </c>
      <c r="I1128" t="s">
        <v>304</v>
      </c>
    </row>
    <row r="1129" spans="1:9" x14ac:dyDescent="0.35">
      <c r="A1129">
        <v>431</v>
      </c>
      <c r="B1129">
        <v>1</v>
      </c>
      <c r="C1129">
        <v>14</v>
      </c>
      <c r="D1129">
        <v>2</v>
      </c>
      <c r="E1129">
        <v>269.99</v>
      </c>
      <c r="F1129">
        <v>0.2</v>
      </c>
      <c r="G1129">
        <v>539.78</v>
      </c>
      <c r="H1129" t="s">
        <v>19</v>
      </c>
      <c r="I1129" t="s">
        <v>304</v>
      </c>
    </row>
    <row r="1130" spans="1:9" x14ac:dyDescent="0.35">
      <c r="A1130">
        <v>431</v>
      </c>
      <c r="B1130">
        <v>2</v>
      </c>
      <c r="C1130">
        <v>6</v>
      </c>
      <c r="D1130">
        <v>1</v>
      </c>
      <c r="E1130">
        <v>469.99</v>
      </c>
      <c r="F1130">
        <v>0.1</v>
      </c>
      <c r="G1130">
        <v>469.89</v>
      </c>
      <c r="H1130" t="s">
        <v>11</v>
      </c>
      <c r="I1130" t="s">
        <v>300</v>
      </c>
    </row>
    <row r="1131" spans="1:9" x14ac:dyDescent="0.35">
      <c r="A1131">
        <v>431</v>
      </c>
      <c r="B1131">
        <v>3</v>
      </c>
      <c r="C1131">
        <v>18</v>
      </c>
      <c r="D1131">
        <v>1</v>
      </c>
      <c r="E1131">
        <v>449</v>
      </c>
      <c r="F1131">
        <v>0.2</v>
      </c>
      <c r="G1131">
        <v>448.8</v>
      </c>
      <c r="H1131" t="s">
        <v>23</v>
      </c>
      <c r="I1131" t="s">
        <v>301</v>
      </c>
    </row>
    <row r="1132" spans="1:9" x14ac:dyDescent="0.35">
      <c r="A1132">
        <v>431</v>
      </c>
      <c r="B1132">
        <v>4</v>
      </c>
      <c r="C1132">
        <v>13</v>
      </c>
      <c r="D1132">
        <v>2</v>
      </c>
      <c r="E1132">
        <v>269.99</v>
      </c>
      <c r="F1132">
        <v>0.1</v>
      </c>
      <c r="G1132">
        <v>539.91</v>
      </c>
      <c r="H1132" t="s">
        <v>18</v>
      </c>
      <c r="I1132" t="s">
        <v>300</v>
      </c>
    </row>
    <row r="1133" spans="1:9" x14ac:dyDescent="0.35">
      <c r="A1133">
        <v>431</v>
      </c>
      <c r="B1133">
        <v>5</v>
      </c>
      <c r="C1133">
        <v>19</v>
      </c>
      <c r="D1133">
        <v>1</v>
      </c>
      <c r="E1133">
        <v>449</v>
      </c>
      <c r="F1133">
        <v>0.1</v>
      </c>
      <c r="G1133">
        <v>448.93</v>
      </c>
      <c r="H1133" t="s">
        <v>24</v>
      </c>
      <c r="I1133" t="s">
        <v>301</v>
      </c>
    </row>
    <row r="1134" spans="1:9" x14ac:dyDescent="0.35">
      <c r="A1134">
        <v>432</v>
      </c>
      <c r="B1134">
        <v>1</v>
      </c>
      <c r="C1134">
        <v>10</v>
      </c>
      <c r="D1134">
        <v>2</v>
      </c>
      <c r="E1134">
        <v>1549</v>
      </c>
      <c r="F1134">
        <v>0.2</v>
      </c>
      <c r="G1134">
        <v>3097.8</v>
      </c>
      <c r="H1134" t="s">
        <v>15</v>
      </c>
      <c r="I1134" t="s">
        <v>299</v>
      </c>
    </row>
    <row r="1135" spans="1:9" x14ac:dyDescent="0.35">
      <c r="A1135">
        <v>432</v>
      </c>
      <c r="B1135">
        <v>2</v>
      </c>
      <c r="C1135">
        <v>7</v>
      </c>
      <c r="D1135">
        <v>2</v>
      </c>
      <c r="E1135">
        <v>3999.99</v>
      </c>
      <c r="F1135">
        <v>0.1</v>
      </c>
      <c r="G1135">
        <v>7999.93</v>
      </c>
      <c r="H1135" t="s">
        <v>12</v>
      </c>
      <c r="I1135" t="s">
        <v>300</v>
      </c>
    </row>
    <row r="1136" spans="1:9" x14ac:dyDescent="0.35">
      <c r="A1136">
        <v>433</v>
      </c>
      <c r="B1136">
        <v>1</v>
      </c>
      <c r="C1136">
        <v>6</v>
      </c>
      <c r="D1136">
        <v>1</v>
      </c>
      <c r="E1136">
        <v>469.99</v>
      </c>
      <c r="F1136">
        <v>0.1</v>
      </c>
      <c r="G1136">
        <v>469.89</v>
      </c>
      <c r="H1136" t="s">
        <v>11</v>
      </c>
      <c r="I1136" t="s">
        <v>301</v>
      </c>
    </row>
    <row r="1137" spans="1:9" x14ac:dyDescent="0.35">
      <c r="A1137">
        <v>433</v>
      </c>
      <c r="B1137">
        <v>2</v>
      </c>
      <c r="C1137">
        <v>10</v>
      </c>
      <c r="D1137">
        <v>1</v>
      </c>
      <c r="E1137">
        <v>1549</v>
      </c>
      <c r="F1137">
        <v>0.2</v>
      </c>
      <c r="G1137">
        <v>1548.8</v>
      </c>
      <c r="H1137" t="s">
        <v>15</v>
      </c>
      <c r="I1137" t="s">
        <v>301</v>
      </c>
    </row>
    <row r="1138" spans="1:9" x14ac:dyDescent="0.35">
      <c r="A1138">
        <v>433</v>
      </c>
      <c r="B1138">
        <v>3</v>
      </c>
      <c r="C1138">
        <v>24</v>
      </c>
      <c r="D1138">
        <v>1</v>
      </c>
      <c r="E1138">
        <v>549.99</v>
      </c>
      <c r="F1138">
        <v>0.1</v>
      </c>
      <c r="G1138">
        <v>549.89</v>
      </c>
      <c r="H1138" t="s">
        <v>17</v>
      </c>
      <c r="I1138" t="s">
        <v>301</v>
      </c>
    </row>
    <row r="1139" spans="1:9" x14ac:dyDescent="0.35">
      <c r="A1139">
        <v>433</v>
      </c>
      <c r="B1139">
        <v>4</v>
      </c>
      <c r="C1139">
        <v>4</v>
      </c>
      <c r="D1139">
        <v>1</v>
      </c>
      <c r="E1139">
        <v>2899.99</v>
      </c>
      <c r="F1139">
        <v>0.2</v>
      </c>
      <c r="G1139">
        <v>2899.79</v>
      </c>
      <c r="H1139" t="s">
        <v>9</v>
      </c>
      <c r="I1139" t="s">
        <v>303</v>
      </c>
    </row>
    <row r="1140" spans="1:9" x14ac:dyDescent="0.35">
      <c r="A1140">
        <v>434</v>
      </c>
      <c r="B1140">
        <v>1</v>
      </c>
      <c r="C1140">
        <v>21</v>
      </c>
      <c r="D1140">
        <v>1</v>
      </c>
      <c r="E1140">
        <v>269.99</v>
      </c>
      <c r="F1140">
        <v>0.1</v>
      </c>
      <c r="G1140">
        <v>269.94</v>
      </c>
      <c r="H1140" t="s">
        <v>18</v>
      </c>
      <c r="I1140" t="s">
        <v>301</v>
      </c>
    </row>
    <row r="1141" spans="1:9" x14ac:dyDescent="0.35">
      <c r="A1141">
        <v>434</v>
      </c>
      <c r="B1141">
        <v>2</v>
      </c>
      <c r="C1141">
        <v>20</v>
      </c>
      <c r="D1141">
        <v>1</v>
      </c>
      <c r="E1141">
        <v>599.99</v>
      </c>
      <c r="F1141">
        <v>0.1</v>
      </c>
      <c r="G1141">
        <v>599.89</v>
      </c>
      <c r="H1141" t="s">
        <v>25</v>
      </c>
      <c r="I1141" t="s">
        <v>301</v>
      </c>
    </row>
    <row r="1142" spans="1:9" x14ac:dyDescent="0.35">
      <c r="A1142">
        <v>434</v>
      </c>
      <c r="B1142">
        <v>3</v>
      </c>
      <c r="C1142">
        <v>9</v>
      </c>
      <c r="D1142">
        <v>1</v>
      </c>
      <c r="E1142">
        <v>2999.99</v>
      </c>
      <c r="F1142">
        <v>0.2</v>
      </c>
      <c r="G1142">
        <v>2999.79</v>
      </c>
      <c r="H1142" t="s">
        <v>14</v>
      </c>
      <c r="I1142" t="s">
        <v>301</v>
      </c>
    </row>
    <row r="1143" spans="1:9" x14ac:dyDescent="0.35">
      <c r="A1143">
        <v>434</v>
      </c>
      <c r="B1143">
        <v>4</v>
      </c>
      <c r="C1143">
        <v>11</v>
      </c>
      <c r="D1143">
        <v>2</v>
      </c>
      <c r="E1143">
        <v>1680.99</v>
      </c>
      <c r="F1143">
        <v>0.1</v>
      </c>
      <c r="G1143">
        <v>3361.91</v>
      </c>
      <c r="H1143" t="s">
        <v>16</v>
      </c>
      <c r="I1143" t="s">
        <v>304</v>
      </c>
    </row>
    <row r="1144" spans="1:9" x14ac:dyDescent="0.35">
      <c r="A1144">
        <v>434</v>
      </c>
      <c r="B1144">
        <v>5</v>
      </c>
      <c r="C1144">
        <v>18</v>
      </c>
      <c r="D1144">
        <v>2</v>
      </c>
      <c r="E1144">
        <v>449</v>
      </c>
      <c r="F1144">
        <v>0.1</v>
      </c>
      <c r="G1144">
        <v>897.95</v>
      </c>
      <c r="H1144" t="s">
        <v>23</v>
      </c>
      <c r="I1144" t="s">
        <v>301</v>
      </c>
    </row>
    <row r="1145" spans="1:9" x14ac:dyDescent="0.35">
      <c r="A1145">
        <v>435</v>
      </c>
      <c r="B1145">
        <v>1</v>
      </c>
      <c r="C1145">
        <v>22</v>
      </c>
      <c r="D1145">
        <v>1</v>
      </c>
      <c r="E1145">
        <v>269.99</v>
      </c>
      <c r="F1145">
        <v>0.1</v>
      </c>
      <c r="G1145">
        <v>269.94</v>
      </c>
      <c r="H1145" t="s">
        <v>19</v>
      </c>
      <c r="I1145" t="s">
        <v>304</v>
      </c>
    </row>
    <row r="1146" spans="1:9" x14ac:dyDescent="0.35">
      <c r="A1146">
        <v>435</v>
      </c>
      <c r="B1146">
        <v>2</v>
      </c>
      <c r="C1146">
        <v>9</v>
      </c>
      <c r="D1146">
        <v>1</v>
      </c>
      <c r="E1146">
        <v>2999.99</v>
      </c>
      <c r="F1146">
        <v>0.1</v>
      </c>
      <c r="G1146">
        <v>2999.94</v>
      </c>
      <c r="H1146" t="s">
        <v>14</v>
      </c>
      <c r="I1146" t="s">
        <v>299</v>
      </c>
    </row>
    <row r="1147" spans="1:9" x14ac:dyDescent="0.35">
      <c r="A1147">
        <v>435</v>
      </c>
      <c r="B1147">
        <v>3</v>
      </c>
      <c r="C1147">
        <v>18</v>
      </c>
      <c r="D1147">
        <v>1</v>
      </c>
      <c r="E1147">
        <v>449</v>
      </c>
      <c r="F1147">
        <v>0.1</v>
      </c>
      <c r="G1147">
        <v>448.95</v>
      </c>
      <c r="H1147" t="s">
        <v>23</v>
      </c>
      <c r="I1147" t="s">
        <v>299</v>
      </c>
    </row>
    <row r="1148" spans="1:9" x14ac:dyDescent="0.35">
      <c r="A1148">
        <v>436</v>
      </c>
      <c r="B1148">
        <v>1</v>
      </c>
      <c r="C1148">
        <v>3</v>
      </c>
      <c r="D1148">
        <v>1</v>
      </c>
      <c r="E1148">
        <v>999.99</v>
      </c>
      <c r="F1148">
        <v>0.1</v>
      </c>
      <c r="G1148">
        <v>999.94</v>
      </c>
      <c r="H1148" t="s">
        <v>8</v>
      </c>
      <c r="I1148" t="s">
        <v>300</v>
      </c>
    </row>
    <row r="1149" spans="1:9" x14ac:dyDescent="0.35">
      <c r="A1149">
        <v>436</v>
      </c>
      <c r="B1149">
        <v>2</v>
      </c>
      <c r="C1149">
        <v>23</v>
      </c>
      <c r="D1149">
        <v>1</v>
      </c>
      <c r="E1149">
        <v>299.99</v>
      </c>
      <c r="F1149">
        <v>0.2</v>
      </c>
      <c r="G1149">
        <v>299.79000000000002</v>
      </c>
      <c r="H1149" t="s">
        <v>26</v>
      </c>
      <c r="I1149" t="s">
        <v>302</v>
      </c>
    </row>
    <row r="1150" spans="1:9" x14ac:dyDescent="0.35">
      <c r="A1150">
        <v>437</v>
      </c>
      <c r="B1150">
        <v>1</v>
      </c>
      <c r="C1150">
        <v>3</v>
      </c>
      <c r="D1150">
        <v>1</v>
      </c>
      <c r="E1150">
        <v>999.99</v>
      </c>
      <c r="F1150">
        <v>0.1</v>
      </c>
      <c r="G1150">
        <v>999.94</v>
      </c>
      <c r="H1150" t="s">
        <v>8</v>
      </c>
      <c r="I1150" t="s">
        <v>301</v>
      </c>
    </row>
    <row r="1151" spans="1:9" x14ac:dyDescent="0.35">
      <c r="A1151">
        <v>437</v>
      </c>
      <c r="B1151">
        <v>2</v>
      </c>
      <c r="C1151">
        <v>10</v>
      </c>
      <c r="D1151">
        <v>1</v>
      </c>
      <c r="E1151">
        <v>1549</v>
      </c>
      <c r="F1151">
        <v>0.1</v>
      </c>
      <c r="G1151">
        <v>1548.95</v>
      </c>
      <c r="H1151" t="s">
        <v>15</v>
      </c>
      <c r="I1151" t="s">
        <v>301</v>
      </c>
    </row>
    <row r="1152" spans="1:9" x14ac:dyDescent="0.35">
      <c r="A1152">
        <v>437</v>
      </c>
      <c r="B1152">
        <v>3</v>
      </c>
      <c r="C1152">
        <v>8</v>
      </c>
      <c r="D1152">
        <v>2</v>
      </c>
      <c r="E1152">
        <v>1799.99</v>
      </c>
      <c r="F1152">
        <v>0.1</v>
      </c>
      <c r="G1152">
        <v>3599.93</v>
      </c>
      <c r="H1152" t="s">
        <v>13</v>
      </c>
      <c r="I1152" t="s">
        <v>299</v>
      </c>
    </row>
    <row r="1153" spans="1:9" x14ac:dyDescent="0.35">
      <c r="A1153">
        <v>438</v>
      </c>
      <c r="B1153">
        <v>1</v>
      </c>
      <c r="C1153">
        <v>4</v>
      </c>
      <c r="D1153">
        <v>1</v>
      </c>
      <c r="E1153">
        <v>2899.99</v>
      </c>
      <c r="F1153">
        <v>0.1</v>
      </c>
      <c r="G1153">
        <v>2899.92</v>
      </c>
      <c r="H1153" t="s">
        <v>9</v>
      </c>
      <c r="I1153" t="s">
        <v>299</v>
      </c>
    </row>
    <row r="1154" spans="1:9" x14ac:dyDescent="0.35">
      <c r="A1154">
        <v>438</v>
      </c>
      <c r="B1154">
        <v>2</v>
      </c>
      <c r="C1154">
        <v>22</v>
      </c>
      <c r="D1154">
        <v>1</v>
      </c>
      <c r="E1154">
        <v>269.99</v>
      </c>
      <c r="F1154">
        <v>0.1</v>
      </c>
      <c r="G1154">
        <v>269.89</v>
      </c>
      <c r="H1154" t="s">
        <v>19</v>
      </c>
      <c r="I1154" t="s">
        <v>304</v>
      </c>
    </row>
    <row r="1155" spans="1:9" x14ac:dyDescent="0.35">
      <c r="A1155">
        <v>438</v>
      </c>
      <c r="B1155">
        <v>3</v>
      </c>
      <c r="C1155">
        <v>8</v>
      </c>
      <c r="D1155">
        <v>2</v>
      </c>
      <c r="E1155">
        <v>1799.99</v>
      </c>
      <c r="F1155">
        <v>0.1</v>
      </c>
      <c r="G1155">
        <v>3599.93</v>
      </c>
      <c r="H1155" t="s">
        <v>13</v>
      </c>
      <c r="I1155" t="s">
        <v>304</v>
      </c>
    </row>
    <row r="1156" spans="1:9" x14ac:dyDescent="0.35">
      <c r="A1156">
        <v>438</v>
      </c>
      <c r="B1156">
        <v>4</v>
      </c>
      <c r="C1156">
        <v>13</v>
      </c>
      <c r="D1156">
        <v>2</v>
      </c>
      <c r="E1156">
        <v>269.99</v>
      </c>
      <c r="F1156">
        <v>0.1</v>
      </c>
      <c r="G1156">
        <v>539.92999999999995</v>
      </c>
      <c r="H1156" t="s">
        <v>18</v>
      </c>
      <c r="I1156" t="s">
        <v>301</v>
      </c>
    </row>
    <row r="1157" spans="1:9" x14ac:dyDescent="0.35">
      <c r="A1157">
        <v>439</v>
      </c>
      <c r="B1157">
        <v>1</v>
      </c>
      <c r="C1157">
        <v>6</v>
      </c>
      <c r="D1157">
        <v>2</v>
      </c>
      <c r="E1157">
        <v>469.99</v>
      </c>
      <c r="F1157">
        <v>0.1</v>
      </c>
      <c r="G1157">
        <v>939.91</v>
      </c>
      <c r="H1157" t="s">
        <v>11</v>
      </c>
      <c r="I1157" t="s">
        <v>304</v>
      </c>
    </row>
    <row r="1158" spans="1:9" x14ac:dyDescent="0.35">
      <c r="A1158">
        <v>439</v>
      </c>
      <c r="B1158">
        <v>2</v>
      </c>
      <c r="C1158">
        <v>7</v>
      </c>
      <c r="D1158">
        <v>2</v>
      </c>
      <c r="E1158">
        <v>3999.99</v>
      </c>
      <c r="F1158">
        <v>0.1</v>
      </c>
      <c r="G1158">
        <v>7999.93</v>
      </c>
      <c r="H1158" t="s">
        <v>12</v>
      </c>
      <c r="I1158" t="s">
        <v>299</v>
      </c>
    </row>
    <row r="1159" spans="1:9" x14ac:dyDescent="0.35">
      <c r="A1159">
        <v>440</v>
      </c>
      <c r="B1159">
        <v>1</v>
      </c>
      <c r="C1159">
        <v>19</v>
      </c>
      <c r="D1159">
        <v>2</v>
      </c>
      <c r="E1159">
        <v>449</v>
      </c>
      <c r="F1159">
        <v>0.1</v>
      </c>
      <c r="G1159">
        <v>897.93</v>
      </c>
      <c r="H1159" t="s">
        <v>24</v>
      </c>
      <c r="I1159" t="s">
        <v>305</v>
      </c>
    </row>
    <row r="1160" spans="1:9" x14ac:dyDescent="0.35">
      <c r="A1160">
        <v>440</v>
      </c>
      <c r="B1160">
        <v>2</v>
      </c>
      <c r="C1160">
        <v>4</v>
      </c>
      <c r="D1160">
        <v>2</v>
      </c>
      <c r="E1160">
        <v>2899.99</v>
      </c>
      <c r="F1160">
        <v>0.1</v>
      </c>
      <c r="G1160">
        <v>5799.91</v>
      </c>
      <c r="H1160" t="s">
        <v>9</v>
      </c>
      <c r="I1160" t="s">
        <v>304</v>
      </c>
    </row>
    <row r="1161" spans="1:9" x14ac:dyDescent="0.35">
      <c r="A1161">
        <v>441</v>
      </c>
      <c r="B1161">
        <v>1</v>
      </c>
      <c r="C1161">
        <v>12</v>
      </c>
      <c r="D1161">
        <v>1</v>
      </c>
      <c r="E1161">
        <v>549.99</v>
      </c>
      <c r="F1161">
        <v>0.1</v>
      </c>
      <c r="G1161">
        <v>549.91999999999996</v>
      </c>
      <c r="H1161" t="s">
        <v>17</v>
      </c>
      <c r="I1161" t="s">
        <v>303</v>
      </c>
    </row>
    <row r="1162" spans="1:9" x14ac:dyDescent="0.35">
      <c r="A1162">
        <v>441</v>
      </c>
      <c r="B1162">
        <v>2</v>
      </c>
      <c r="C1162">
        <v>15</v>
      </c>
      <c r="D1162">
        <v>1</v>
      </c>
      <c r="E1162">
        <v>529.99</v>
      </c>
      <c r="F1162">
        <v>0.1</v>
      </c>
      <c r="G1162">
        <v>529.89</v>
      </c>
      <c r="H1162" t="s">
        <v>20</v>
      </c>
      <c r="I1162" t="s">
        <v>299</v>
      </c>
    </row>
    <row r="1163" spans="1:9" x14ac:dyDescent="0.35">
      <c r="A1163">
        <v>442</v>
      </c>
      <c r="B1163">
        <v>1</v>
      </c>
      <c r="C1163">
        <v>16</v>
      </c>
      <c r="D1163">
        <v>2</v>
      </c>
      <c r="E1163">
        <v>599.99</v>
      </c>
      <c r="F1163">
        <v>0.1</v>
      </c>
      <c r="G1163">
        <v>1199.9100000000001</v>
      </c>
      <c r="H1163" t="s">
        <v>21</v>
      </c>
      <c r="I1163" t="s">
        <v>304</v>
      </c>
    </row>
    <row r="1164" spans="1:9" x14ac:dyDescent="0.35">
      <c r="A1164">
        <v>442</v>
      </c>
      <c r="B1164">
        <v>2</v>
      </c>
      <c r="C1164">
        <v>26</v>
      </c>
      <c r="D1164">
        <v>2</v>
      </c>
      <c r="E1164">
        <v>599.99</v>
      </c>
      <c r="F1164">
        <v>0.2</v>
      </c>
      <c r="G1164">
        <v>1199.78</v>
      </c>
      <c r="H1164" t="s">
        <v>21</v>
      </c>
      <c r="I1164" t="s">
        <v>301</v>
      </c>
    </row>
    <row r="1165" spans="1:9" x14ac:dyDescent="0.35">
      <c r="A1165">
        <v>442</v>
      </c>
      <c r="B1165">
        <v>3</v>
      </c>
      <c r="C1165">
        <v>6</v>
      </c>
      <c r="D1165">
        <v>2</v>
      </c>
      <c r="E1165">
        <v>469.99</v>
      </c>
      <c r="F1165">
        <v>0.2</v>
      </c>
      <c r="G1165">
        <v>939.78</v>
      </c>
      <c r="H1165" t="s">
        <v>11</v>
      </c>
      <c r="I1165" t="s">
        <v>300</v>
      </c>
    </row>
    <row r="1166" spans="1:9" x14ac:dyDescent="0.35">
      <c r="A1166">
        <v>443</v>
      </c>
      <c r="B1166">
        <v>1</v>
      </c>
      <c r="C1166">
        <v>5</v>
      </c>
      <c r="D1166">
        <v>1</v>
      </c>
      <c r="E1166">
        <v>1320.99</v>
      </c>
      <c r="F1166">
        <v>0.1</v>
      </c>
      <c r="G1166">
        <v>1320.94</v>
      </c>
      <c r="H1166" t="s">
        <v>10</v>
      </c>
      <c r="I1166" t="s">
        <v>301</v>
      </c>
    </row>
    <row r="1167" spans="1:9" x14ac:dyDescent="0.35">
      <c r="A1167">
        <v>443</v>
      </c>
      <c r="B1167">
        <v>2</v>
      </c>
      <c r="C1167">
        <v>26</v>
      </c>
      <c r="D1167">
        <v>1</v>
      </c>
      <c r="E1167">
        <v>599.99</v>
      </c>
      <c r="F1167">
        <v>0.2</v>
      </c>
      <c r="G1167">
        <v>599.79</v>
      </c>
      <c r="H1167" t="s">
        <v>21</v>
      </c>
      <c r="I1167" t="s">
        <v>299</v>
      </c>
    </row>
    <row r="1168" spans="1:9" x14ac:dyDescent="0.35">
      <c r="A1168">
        <v>444</v>
      </c>
      <c r="B1168">
        <v>1</v>
      </c>
      <c r="C1168">
        <v>22</v>
      </c>
      <c r="D1168">
        <v>1</v>
      </c>
      <c r="E1168">
        <v>269.99</v>
      </c>
      <c r="F1168">
        <v>0.1</v>
      </c>
      <c r="G1168">
        <v>269.92</v>
      </c>
      <c r="H1168" t="s">
        <v>19</v>
      </c>
      <c r="I1168" t="s">
        <v>304</v>
      </c>
    </row>
    <row r="1169" spans="1:9" x14ac:dyDescent="0.35">
      <c r="A1169">
        <v>444</v>
      </c>
      <c r="B1169">
        <v>2</v>
      </c>
      <c r="C1169">
        <v>15</v>
      </c>
      <c r="D1169">
        <v>2</v>
      </c>
      <c r="E1169">
        <v>529.99</v>
      </c>
      <c r="F1169">
        <v>0.1</v>
      </c>
      <c r="G1169">
        <v>1059.9100000000001</v>
      </c>
      <c r="H1169" t="s">
        <v>20</v>
      </c>
      <c r="I1169" t="s">
        <v>304</v>
      </c>
    </row>
    <row r="1170" spans="1:9" x14ac:dyDescent="0.35">
      <c r="A1170">
        <v>444</v>
      </c>
      <c r="B1170">
        <v>3</v>
      </c>
      <c r="C1170">
        <v>20</v>
      </c>
      <c r="D1170">
        <v>2</v>
      </c>
      <c r="E1170">
        <v>599.99</v>
      </c>
      <c r="F1170">
        <v>0.1</v>
      </c>
      <c r="G1170">
        <v>1199.93</v>
      </c>
      <c r="H1170" t="s">
        <v>25</v>
      </c>
      <c r="I1170" t="s">
        <v>301</v>
      </c>
    </row>
    <row r="1171" spans="1:9" x14ac:dyDescent="0.35">
      <c r="A1171">
        <v>444</v>
      </c>
      <c r="B1171">
        <v>4</v>
      </c>
      <c r="C1171">
        <v>16</v>
      </c>
      <c r="D1171">
        <v>1</v>
      </c>
      <c r="E1171">
        <v>599.99</v>
      </c>
      <c r="F1171">
        <v>0.1</v>
      </c>
      <c r="G1171">
        <v>599.89</v>
      </c>
      <c r="H1171" t="s">
        <v>21</v>
      </c>
      <c r="I1171" t="s">
        <v>301</v>
      </c>
    </row>
    <row r="1172" spans="1:9" x14ac:dyDescent="0.35">
      <c r="A1172">
        <v>444</v>
      </c>
      <c r="B1172">
        <v>5</v>
      </c>
      <c r="C1172">
        <v>10</v>
      </c>
      <c r="D1172">
        <v>2</v>
      </c>
      <c r="E1172">
        <v>1549</v>
      </c>
      <c r="F1172">
        <v>0.2</v>
      </c>
      <c r="G1172">
        <v>3097.8</v>
      </c>
      <c r="H1172" t="s">
        <v>15</v>
      </c>
      <c r="I1172" t="s">
        <v>301</v>
      </c>
    </row>
    <row r="1173" spans="1:9" x14ac:dyDescent="0.35">
      <c r="A1173">
        <v>445</v>
      </c>
      <c r="B1173">
        <v>1</v>
      </c>
      <c r="C1173">
        <v>7</v>
      </c>
      <c r="D1173">
        <v>1</v>
      </c>
      <c r="E1173">
        <v>3999.99</v>
      </c>
      <c r="F1173">
        <v>0.2</v>
      </c>
      <c r="G1173">
        <v>3999.79</v>
      </c>
      <c r="H1173" t="s">
        <v>12</v>
      </c>
      <c r="I1173" t="s">
        <v>299</v>
      </c>
    </row>
    <row r="1174" spans="1:9" x14ac:dyDescent="0.35">
      <c r="A1174">
        <v>445</v>
      </c>
      <c r="B1174">
        <v>2</v>
      </c>
      <c r="C1174">
        <v>16</v>
      </c>
      <c r="D1174">
        <v>1</v>
      </c>
      <c r="E1174">
        <v>599.99</v>
      </c>
      <c r="F1174">
        <v>0.1</v>
      </c>
      <c r="G1174">
        <v>599.91999999999996</v>
      </c>
      <c r="H1174" t="s">
        <v>21</v>
      </c>
      <c r="I1174" t="s">
        <v>302</v>
      </c>
    </row>
    <row r="1175" spans="1:9" x14ac:dyDescent="0.35">
      <c r="A1175">
        <v>445</v>
      </c>
      <c r="B1175">
        <v>3</v>
      </c>
      <c r="C1175">
        <v>23</v>
      </c>
      <c r="D1175">
        <v>1</v>
      </c>
      <c r="E1175">
        <v>299.99</v>
      </c>
      <c r="F1175">
        <v>0.2</v>
      </c>
      <c r="G1175">
        <v>299.79000000000002</v>
      </c>
      <c r="H1175" t="s">
        <v>26</v>
      </c>
      <c r="I1175" t="s">
        <v>301</v>
      </c>
    </row>
    <row r="1176" spans="1:9" x14ac:dyDescent="0.35">
      <c r="A1176">
        <v>446</v>
      </c>
      <c r="B1176">
        <v>1</v>
      </c>
      <c r="C1176">
        <v>22</v>
      </c>
      <c r="D1176">
        <v>1</v>
      </c>
      <c r="E1176">
        <v>269.99</v>
      </c>
      <c r="F1176">
        <v>0.2</v>
      </c>
      <c r="G1176">
        <v>269.79000000000002</v>
      </c>
      <c r="H1176" t="s">
        <v>19</v>
      </c>
      <c r="I1176" t="s">
        <v>304</v>
      </c>
    </row>
    <row r="1177" spans="1:9" x14ac:dyDescent="0.35">
      <c r="A1177">
        <v>446</v>
      </c>
      <c r="B1177">
        <v>2</v>
      </c>
      <c r="C1177">
        <v>16</v>
      </c>
      <c r="D1177">
        <v>2</v>
      </c>
      <c r="E1177">
        <v>599.99</v>
      </c>
      <c r="F1177">
        <v>0.1</v>
      </c>
      <c r="G1177">
        <v>1199.9100000000001</v>
      </c>
      <c r="H1177" t="s">
        <v>21</v>
      </c>
      <c r="I1177" t="s">
        <v>301</v>
      </c>
    </row>
    <row r="1178" spans="1:9" x14ac:dyDescent="0.35">
      <c r="A1178">
        <v>447</v>
      </c>
      <c r="B1178">
        <v>1</v>
      </c>
      <c r="C1178">
        <v>4</v>
      </c>
      <c r="D1178">
        <v>2</v>
      </c>
      <c r="E1178">
        <v>2899.99</v>
      </c>
      <c r="F1178">
        <v>0.1</v>
      </c>
      <c r="G1178">
        <v>5799.93</v>
      </c>
      <c r="H1178" t="s">
        <v>9</v>
      </c>
      <c r="I1178" t="s">
        <v>300</v>
      </c>
    </row>
    <row r="1179" spans="1:9" x14ac:dyDescent="0.35">
      <c r="A1179">
        <v>447</v>
      </c>
      <c r="B1179">
        <v>2</v>
      </c>
      <c r="C1179">
        <v>3</v>
      </c>
      <c r="D1179">
        <v>1</v>
      </c>
      <c r="E1179">
        <v>999.99</v>
      </c>
      <c r="F1179">
        <v>0.1</v>
      </c>
      <c r="G1179">
        <v>999.89</v>
      </c>
      <c r="H1179" t="s">
        <v>8</v>
      </c>
      <c r="I1179" t="s">
        <v>301</v>
      </c>
    </row>
    <row r="1180" spans="1:9" x14ac:dyDescent="0.35">
      <c r="A1180">
        <v>447</v>
      </c>
      <c r="B1180">
        <v>3</v>
      </c>
      <c r="C1180">
        <v>8</v>
      </c>
      <c r="D1180">
        <v>1</v>
      </c>
      <c r="E1180">
        <v>1799.99</v>
      </c>
      <c r="F1180">
        <v>0.1</v>
      </c>
      <c r="G1180">
        <v>1799.92</v>
      </c>
      <c r="H1180" t="s">
        <v>13</v>
      </c>
      <c r="I1180" t="s">
        <v>304</v>
      </c>
    </row>
    <row r="1181" spans="1:9" x14ac:dyDescent="0.35">
      <c r="A1181">
        <v>448</v>
      </c>
      <c r="B1181">
        <v>1</v>
      </c>
      <c r="C1181">
        <v>13</v>
      </c>
      <c r="D1181">
        <v>2</v>
      </c>
      <c r="E1181">
        <v>269.99</v>
      </c>
      <c r="F1181">
        <v>0.1</v>
      </c>
      <c r="G1181">
        <v>539.92999999999995</v>
      </c>
      <c r="H1181" t="s">
        <v>18</v>
      </c>
      <c r="I1181" t="s">
        <v>304</v>
      </c>
    </row>
    <row r="1182" spans="1:9" x14ac:dyDescent="0.35">
      <c r="A1182">
        <v>448</v>
      </c>
      <c r="B1182">
        <v>2</v>
      </c>
      <c r="C1182">
        <v>6</v>
      </c>
      <c r="D1182">
        <v>2</v>
      </c>
      <c r="E1182">
        <v>469.99</v>
      </c>
      <c r="F1182">
        <v>0.1</v>
      </c>
      <c r="G1182">
        <v>939.93</v>
      </c>
      <c r="H1182" t="s">
        <v>11</v>
      </c>
      <c r="I1182" t="s">
        <v>304</v>
      </c>
    </row>
    <row r="1183" spans="1:9" x14ac:dyDescent="0.35">
      <c r="A1183">
        <v>449</v>
      </c>
      <c r="B1183">
        <v>1</v>
      </c>
      <c r="C1183">
        <v>17</v>
      </c>
      <c r="D1183">
        <v>2</v>
      </c>
      <c r="E1183">
        <v>429</v>
      </c>
      <c r="F1183">
        <v>0.1</v>
      </c>
      <c r="G1183">
        <v>857.95</v>
      </c>
      <c r="H1183" t="s">
        <v>22</v>
      </c>
      <c r="I1183" t="s">
        <v>299</v>
      </c>
    </row>
    <row r="1184" spans="1:9" x14ac:dyDescent="0.35">
      <c r="A1184">
        <v>449</v>
      </c>
      <c r="B1184">
        <v>2</v>
      </c>
      <c r="C1184">
        <v>2</v>
      </c>
      <c r="D1184">
        <v>1</v>
      </c>
      <c r="E1184">
        <v>749.99</v>
      </c>
      <c r="F1184">
        <v>0.1</v>
      </c>
      <c r="G1184">
        <v>749.94</v>
      </c>
      <c r="H1184" t="s">
        <v>7</v>
      </c>
      <c r="I1184" t="s">
        <v>303</v>
      </c>
    </row>
    <row r="1185" spans="1:9" x14ac:dyDescent="0.35">
      <c r="A1185">
        <v>449</v>
      </c>
      <c r="B1185">
        <v>3</v>
      </c>
      <c r="C1185">
        <v>7</v>
      </c>
      <c r="D1185">
        <v>2</v>
      </c>
      <c r="E1185">
        <v>3999.99</v>
      </c>
      <c r="F1185">
        <v>0.1</v>
      </c>
      <c r="G1185">
        <v>7999.91</v>
      </c>
      <c r="H1185" t="s">
        <v>12</v>
      </c>
      <c r="I1185" t="s">
        <v>304</v>
      </c>
    </row>
    <row r="1186" spans="1:9" x14ac:dyDescent="0.35">
      <c r="A1186">
        <v>449</v>
      </c>
      <c r="B1186">
        <v>4</v>
      </c>
      <c r="C1186">
        <v>26</v>
      </c>
      <c r="D1186">
        <v>2</v>
      </c>
      <c r="E1186">
        <v>599.99</v>
      </c>
      <c r="F1186">
        <v>0.2</v>
      </c>
      <c r="G1186">
        <v>1199.78</v>
      </c>
      <c r="H1186" t="s">
        <v>21</v>
      </c>
      <c r="I1186" t="s">
        <v>301</v>
      </c>
    </row>
    <row r="1187" spans="1:9" x14ac:dyDescent="0.35">
      <c r="A1187">
        <v>450</v>
      </c>
      <c r="B1187">
        <v>1</v>
      </c>
      <c r="C1187">
        <v>24</v>
      </c>
      <c r="D1187">
        <v>1</v>
      </c>
      <c r="E1187">
        <v>549.99</v>
      </c>
      <c r="F1187">
        <v>0.1</v>
      </c>
      <c r="G1187">
        <v>549.94000000000005</v>
      </c>
      <c r="H1187" t="s">
        <v>17</v>
      </c>
      <c r="I1187" t="s">
        <v>304</v>
      </c>
    </row>
    <row r="1188" spans="1:9" x14ac:dyDescent="0.35">
      <c r="A1188">
        <v>450</v>
      </c>
      <c r="B1188">
        <v>2</v>
      </c>
      <c r="C1188">
        <v>12</v>
      </c>
      <c r="D1188">
        <v>1</v>
      </c>
      <c r="E1188">
        <v>549.99</v>
      </c>
      <c r="F1188">
        <v>0.1</v>
      </c>
      <c r="G1188">
        <v>549.91999999999996</v>
      </c>
      <c r="H1188" t="s">
        <v>17</v>
      </c>
      <c r="I1188" t="s">
        <v>304</v>
      </c>
    </row>
    <row r="1189" spans="1:9" x14ac:dyDescent="0.35">
      <c r="A1189">
        <v>450</v>
      </c>
      <c r="B1189">
        <v>3</v>
      </c>
      <c r="C1189">
        <v>5</v>
      </c>
      <c r="D1189">
        <v>1</v>
      </c>
      <c r="E1189">
        <v>1320.99</v>
      </c>
      <c r="F1189">
        <v>0.1</v>
      </c>
      <c r="G1189">
        <v>1320.89</v>
      </c>
      <c r="H1189" t="s">
        <v>10</v>
      </c>
      <c r="I1189" t="s">
        <v>299</v>
      </c>
    </row>
    <row r="1190" spans="1:9" x14ac:dyDescent="0.35">
      <c r="A1190">
        <v>452</v>
      </c>
      <c r="B1190">
        <v>1</v>
      </c>
      <c r="C1190">
        <v>11</v>
      </c>
      <c r="D1190">
        <v>1</v>
      </c>
      <c r="E1190">
        <v>1680.99</v>
      </c>
      <c r="F1190">
        <v>0.1</v>
      </c>
      <c r="G1190">
        <v>1680.94</v>
      </c>
      <c r="H1190" t="s">
        <v>16</v>
      </c>
      <c r="I1190" t="s">
        <v>299</v>
      </c>
    </row>
    <row r="1191" spans="1:9" x14ac:dyDescent="0.35">
      <c r="A1191">
        <v>452</v>
      </c>
      <c r="B1191">
        <v>2</v>
      </c>
      <c r="C1191">
        <v>16</v>
      </c>
      <c r="D1191">
        <v>1</v>
      </c>
      <c r="E1191">
        <v>599.99</v>
      </c>
      <c r="F1191">
        <v>0.1</v>
      </c>
      <c r="G1191">
        <v>599.94000000000005</v>
      </c>
      <c r="H1191" t="s">
        <v>21</v>
      </c>
      <c r="I1191" t="s">
        <v>304</v>
      </c>
    </row>
    <row r="1192" spans="1:9" x14ac:dyDescent="0.35">
      <c r="A1192">
        <v>452</v>
      </c>
      <c r="B1192">
        <v>3</v>
      </c>
      <c r="C1192">
        <v>7</v>
      </c>
      <c r="D1192">
        <v>2</v>
      </c>
      <c r="E1192">
        <v>3999.99</v>
      </c>
      <c r="F1192">
        <v>0.1</v>
      </c>
      <c r="G1192">
        <v>7999.88</v>
      </c>
      <c r="H1192" t="s">
        <v>12</v>
      </c>
      <c r="I1192" t="s">
        <v>301</v>
      </c>
    </row>
    <row r="1193" spans="1:9" x14ac:dyDescent="0.35">
      <c r="A1193">
        <v>452</v>
      </c>
      <c r="B1193">
        <v>4</v>
      </c>
      <c r="C1193">
        <v>8</v>
      </c>
      <c r="D1193">
        <v>1</v>
      </c>
      <c r="E1193">
        <v>1799.99</v>
      </c>
      <c r="F1193">
        <v>0.1</v>
      </c>
      <c r="G1193">
        <v>1799.89</v>
      </c>
      <c r="H1193" t="s">
        <v>13</v>
      </c>
      <c r="I1193" t="s">
        <v>304</v>
      </c>
    </row>
    <row r="1194" spans="1:9" x14ac:dyDescent="0.35">
      <c r="A1194">
        <v>453</v>
      </c>
      <c r="B1194">
        <v>1</v>
      </c>
      <c r="C1194">
        <v>23</v>
      </c>
      <c r="D1194">
        <v>1</v>
      </c>
      <c r="E1194">
        <v>299.99</v>
      </c>
      <c r="F1194">
        <v>0.1</v>
      </c>
      <c r="G1194">
        <v>299.94</v>
      </c>
      <c r="H1194" t="s">
        <v>26</v>
      </c>
      <c r="I1194" t="s">
        <v>305</v>
      </c>
    </row>
    <row r="1195" spans="1:9" x14ac:dyDescent="0.35">
      <c r="A1195">
        <v>453</v>
      </c>
      <c r="B1195">
        <v>2</v>
      </c>
      <c r="C1195">
        <v>20</v>
      </c>
      <c r="D1195">
        <v>2</v>
      </c>
      <c r="E1195">
        <v>599.99</v>
      </c>
      <c r="F1195">
        <v>0.2</v>
      </c>
      <c r="G1195">
        <v>1199.78</v>
      </c>
      <c r="H1195" t="s">
        <v>25</v>
      </c>
      <c r="I1195" t="s">
        <v>300</v>
      </c>
    </row>
    <row r="1196" spans="1:9" x14ac:dyDescent="0.35">
      <c r="A1196">
        <v>453</v>
      </c>
      <c r="B1196">
        <v>3</v>
      </c>
      <c r="C1196">
        <v>4</v>
      </c>
      <c r="D1196">
        <v>1</v>
      </c>
      <c r="E1196">
        <v>2899.99</v>
      </c>
      <c r="F1196">
        <v>0.2</v>
      </c>
      <c r="G1196">
        <v>2899.79</v>
      </c>
      <c r="H1196" t="s">
        <v>9</v>
      </c>
      <c r="I1196" t="s">
        <v>301</v>
      </c>
    </row>
    <row r="1197" spans="1:9" x14ac:dyDescent="0.35">
      <c r="A1197">
        <v>454</v>
      </c>
      <c r="B1197">
        <v>1</v>
      </c>
      <c r="C1197">
        <v>25</v>
      </c>
      <c r="D1197">
        <v>2</v>
      </c>
      <c r="E1197">
        <v>499.99</v>
      </c>
      <c r="F1197">
        <v>0.1</v>
      </c>
      <c r="G1197">
        <v>999.91</v>
      </c>
      <c r="H1197" t="s">
        <v>27</v>
      </c>
      <c r="I1197" t="s">
        <v>299</v>
      </c>
    </row>
    <row r="1198" spans="1:9" x14ac:dyDescent="0.35">
      <c r="A1198">
        <v>454</v>
      </c>
      <c r="B1198">
        <v>2</v>
      </c>
      <c r="C1198">
        <v>13</v>
      </c>
      <c r="D1198">
        <v>2</v>
      </c>
      <c r="E1198">
        <v>269.99</v>
      </c>
      <c r="F1198">
        <v>0.1</v>
      </c>
      <c r="G1198">
        <v>539.92999999999995</v>
      </c>
      <c r="H1198" t="s">
        <v>18</v>
      </c>
      <c r="I1198" t="s">
        <v>301</v>
      </c>
    </row>
    <row r="1199" spans="1:9" x14ac:dyDescent="0.35">
      <c r="A1199">
        <v>454</v>
      </c>
      <c r="B1199">
        <v>3</v>
      </c>
      <c r="C1199">
        <v>24</v>
      </c>
      <c r="D1199">
        <v>2</v>
      </c>
      <c r="E1199">
        <v>549.99</v>
      </c>
      <c r="F1199">
        <v>0.1</v>
      </c>
      <c r="G1199">
        <v>1099.8800000000001</v>
      </c>
      <c r="H1199" t="s">
        <v>17</v>
      </c>
      <c r="I1199" t="s">
        <v>305</v>
      </c>
    </row>
    <row r="1200" spans="1:9" x14ac:dyDescent="0.35">
      <c r="A1200">
        <v>456</v>
      </c>
      <c r="B1200">
        <v>1</v>
      </c>
      <c r="C1200">
        <v>17</v>
      </c>
      <c r="D1200">
        <v>2</v>
      </c>
      <c r="E1200">
        <v>429</v>
      </c>
      <c r="F1200">
        <v>0.1</v>
      </c>
      <c r="G1200">
        <v>857.93</v>
      </c>
      <c r="H1200" t="s">
        <v>22</v>
      </c>
      <c r="I1200" t="s">
        <v>305</v>
      </c>
    </row>
    <row r="1201" spans="1:9" x14ac:dyDescent="0.35">
      <c r="A1201">
        <v>456</v>
      </c>
      <c r="B1201">
        <v>2</v>
      </c>
      <c r="C1201">
        <v>23</v>
      </c>
      <c r="D1201">
        <v>1</v>
      </c>
      <c r="E1201">
        <v>299.99</v>
      </c>
      <c r="F1201">
        <v>0.1</v>
      </c>
      <c r="G1201">
        <v>299.92</v>
      </c>
      <c r="H1201" t="s">
        <v>26</v>
      </c>
      <c r="I1201" t="s">
        <v>300</v>
      </c>
    </row>
    <row r="1202" spans="1:9" x14ac:dyDescent="0.35">
      <c r="A1202">
        <v>457</v>
      </c>
      <c r="B1202">
        <v>1</v>
      </c>
      <c r="C1202">
        <v>24</v>
      </c>
      <c r="D1202">
        <v>2</v>
      </c>
      <c r="E1202">
        <v>549.99</v>
      </c>
      <c r="F1202">
        <v>0.1</v>
      </c>
      <c r="G1202">
        <v>1099.9100000000001</v>
      </c>
      <c r="H1202" t="s">
        <v>17</v>
      </c>
      <c r="I1202" t="s">
        <v>303</v>
      </c>
    </row>
    <row r="1203" spans="1:9" x14ac:dyDescent="0.35">
      <c r="A1203">
        <v>457</v>
      </c>
      <c r="B1203">
        <v>2</v>
      </c>
      <c r="C1203">
        <v>2</v>
      </c>
      <c r="D1203">
        <v>1</v>
      </c>
      <c r="E1203">
        <v>749.99</v>
      </c>
      <c r="F1203">
        <v>0.1</v>
      </c>
      <c r="G1203">
        <v>749.94</v>
      </c>
      <c r="H1203" t="s">
        <v>7</v>
      </c>
      <c r="I1203" t="s">
        <v>301</v>
      </c>
    </row>
    <row r="1204" spans="1:9" x14ac:dyDescent="0.35">
      <c r="A1204">
        <v>457</v>
      </c>
      <c r="B1204">
        <v>3</v>
      </c>
      <c r="C1204">
        <v>7</v>
      </c>
      <c r="D1204">
        <v>2</v>
      </c>
      <c r="E1204">
        <v>3999.99</v>
      </c>
      <c r="F1204">
        <v>0.1</v>
      </c>
      <c r="G1204">
        <v>7999.88</v>
      </c>
      <c r="H1204" t="s">
        <v>12</v>
      </c>
      <c r="I1204" t="s">
        <v>304</v>
      </c>
    </row>
    <row r="1205" spans="1:9" x14ac:dyDescent="0.35">
      <c r="A1205">
        <v>457</v>
      </c>
      <c r="B1205">
        <v>4</v>
      </c>
      <c r="C1205">
        <v>17</v>
      </c>
      <c r="D1205">
        <v>1</v>
      </c>
      <c r="E1205">
        <v>429</v>
      </c>
      <c r="F1205">
        <v>0.2</v>
      </c>
      <c r="G1205">
        <v>428.8</v>
      </c>
      <c r="H1205" t="s">
        <v>22</v>
      </c>
      <c r="I1205" t="s">
        <v>300</v>
      </c>
    </row>
    <row r="1206" spans="1:9" x14ac:dyDescent="0.35">
      <c r="A1206">
        <v>458</v>
      </c>
      <c r="B1206">
        <v>1</v>
      </c>
      <c r="C1206">
        <v>2</v>
      </c>
      <c r="D1206">
        <v>1</v>
      </c>
      <c r="E1206">
        <v>749.99</v>
      </c>
      <c r="F1206">
        <v>0.2</v>
      </c>
      <c r="G1206">
        <v>749.79</v>
      </c>
      <c r="H1206" t="s">
        <v>7</v>
      </c>
      <c r="I1206" t="s">
        <v>303</v>
      </c>
    </row>
    <row r="1207" spans="1:9" x14ac:dyDescent="0.35">
      <c r="A1207">
        <v>458</v>
      </c>
      <c r="B1207">
        <v>2</v>
      </c>
      <c r="C1207">
        <v>21</v>
      </c>
      <c r="D1207">
        <v>2</v>
      </c>
      <c r="E1207">
        <v>269.99</v>
      </c>
      <c r="F1207">
        <v>0.1</v>
      </c>
      <c r="G1207">
        <v>539.91</v>
      </c>
      <c r="H1207" t="s">
        <v>18</v>
      </c>
      <c r="I1207" t="s">
        <v>299</v>
      </c>
    </row>
    <row r="1208" spans="1:9" x14ac:dyDescent="0.35">
      <c r="A1208">
        <v>458</v>
      </c>
      <c r="B1208">
        <v>3</v>
      </c>
      <c r="C1208">
        <v>11</v>
      </c>
      <c r="D1208">
        <v>1</v>
      </c>
      <c r="E1208">
        <v>1680.99</v>
      </c>
      <c r="F1208">
        <v>0.1</v>
      </c>
      <c r="G1208">
        <v>1680.89</v>
      </c>
      <c r="H1208" t="s">
        <v>16</v>
      </c>
      <c r="I1208" t="s">
        <v>301</v>
      </c>
    </row>
    <row r="1209" spans="1:9" x14ac:dyDescent="0.35">
      <c r="A1209">
        <v>458</v>
      </c>
      <c r="B1209">
        <v>4</v>
      </c>
      <c r="C1209">
        <v>24</v>
      </c>
      <c r="D1209">
        <v>1</v>
      </c>
      <c r="E1209">
        <v>549.99</v>
      </c>
      <c r="F1209">
        <v>0.2</v>
      </c>
      <c r="G1209">
        <v>549.79</v>
      </c>
      <c r="H1209" t="s">
        <v>17</v>
      </c>
      <c r="I1209" t="s">
        <v>300</v>
      </c>
    </row>
    <row r="1210" spans="1:9" x14ac:dyDescent="0.35">
      <c r="A1210">
        <v>458</v>
      </c>
      <c r="B1210">
        <v>5</v>
      </c>
      <c r="C1210">
        <v>3</v>
      </c>
      <c r="D1210">
        <v>2</v>
      </c>
      <c r="E1210">
        <v>999.99</v>
      </c>
      <c r="F1210">
        <v>0.2</v>
      </c>
      <c r="G1210">
        <v>1999.78</v>
      </c>
      <c r="H1210" t="s">
        <v>8</v>
      </c>
      <c r="I1210" t="s">
        <v>304</v>
      </c>
    </row>
    <row r="1211" spans="1:9" x14ac:dyDescent="0.35">
      <c r="A1211">
        <v>460</v>
      </c>
      <c r="B1211">
        <v>1</v>
      </c>
      <c r="C1211">
        <v>19</v>
      </c>
      <c r="D1211">
        <v>1</v>
      </c>
      <c r="E1211">
        <v>449</v>
      </c>
      <c r="F1211">
        <v>0.1</v>
      </c>
      <c r="G1211">
        <v>448.95</v>
      </c>
      <c r="H1211" t="s">
        <v>24</v>
      </c>
      <c r="I1211" t="s">
        <v>299</v>
      </c>
    </row>
    <row r="1212" spans="1:9" x14ac:dyDescent="0.35">
      <c r="A1212">
        <v>460</v>
      </c>
      <c r="B1212">
        <v>2</v>
      </c>
      <c r="C1212">
        <v>18</v>
      </c>
      <c r="D1212">
        <v>2</v>
      </c>
      <c r="E1212">
        <v>449</v>
      </c>
      <c r="F1212">
        <v>0.1</v>
      </c>
      <c r="G1212">
        <v>897.93</v>
      </c>
      <c r="H1212" t="s">
        <v>23</v>
      </c>
      <c r="I1212" t="s">
        <v>301</v>
      </c>
    </row>
    <row r="1213" spans="1:9" x14ac:dyDescent="0.35">
      <c r="A1213">
        <v>460</v>
      </c>
      <c r="B1213">
        <v>3</v>
      </c>
      <c r="C1213">
        <v>4</v>
      </c>
      <c r="D1213">
        <v>1</v>
      </c>
      <c r="E1213">
        <v>2899.99</v>
      </c>
      <c r="F1213">
        <v>0.2</v>
      </c>
      <c r="G1213">
        <v>2899.79</v>
      </c>
      <c r="H1213" t="s">
        <v>9</v>
      </c>
      <c r="I1213" t="s">
        <v>305</v>
      </c>
    </row>
    <row r="1214" spans="1:9" x14ac:dyDescent="0.35">
      <c r="A1214">
        <v>460</v>
      </c>
      <c r="B1214">
        <v>4</v>
      </c>
      <c r="C1214">
        <v>22</v>
      </c>
      <c r="D1214">
        <v>2</v>
      </c>
      <c r="E1214">
        <v>269.99</v>
      </c>
      <c r="F1214">
        <v>0.1</v>
      </c>
      <c r="G1214">
        <v>539.88</v>
      </c>
      <c r="H1214" t="s">
        <v>19</v>
      </c>
      <c r="I1214" t="s">
        <v>301</v>
      </c>
    </row>
    <row r="1215" spans="1:9" x14ac:dyDescent="0.35">
      <c r="A1215">
        <v>461</v>
      </c>
      <c r="B1215">
        <v>1</v>
      </c>
      <c r="C1215">
        <v>16</v>
      </c>
      <c r="D1215">
        <v>1</v>
      </c>
      <c r="E1215">
        <v>599.99</v>
      </c>
      <c r="F1215">
        <v>0.1</v>
      </c>
      <c r="G1215">
        <v>599.91999999999996</v>
      </c>
      <c r="H1215" t="s">
        <v>21</v>
      </c>
      <c r="I1215" t="s">
        <v>299</v>
      </c>
    </row>
    <row r="1216" spans="1:9" x14ac:dyDescent="0.35">
      <c r="A1216">
        <v>461</v>
      </c>
      <c r="B1216">
        <v>2</v>
      </c>
      <c r="C1216">
        <v>4</v>
      </c>
      <c r="D1216">
        <v>1</v>
      </c>
      <c r="E1216">
        <v>2899.99</v>
      </c>
      <c r="F1216">
        <v>0.2</v>
      </c>
      <c r="G1216">
        <v>2899.79</v>
      </c>
      <c r="H1216" t="s">
        <v>9</v>
      </c>
      <c r="I1216" t="s">
        <v>299</v>
      </c>
    </row>
    <row r="1217" spans="1:9" x14ac:dyDescent="0.35">
      <c r="A1217">
        <v>461</v>
      </c>
      <c r="B1217">
        <v>3</v>
      </c>
      <c r="C1217">
        <v>8</v>
      </c>
      <c r="D1217">
        <v>2</v>
      </c>
      <c r="E1217">
        <v>1799.99</v>
      </c>
      <c r="F1217">
        <v>0.1</v>
      </c>
      <c r="G1217">
        <v>3599.93</v>
      </c>
      <c r="H1217" t="s">
        <v>13</v>
      </c>
      <c r="I1217" t="s">
        <v>304</v>
      </c>
    </row>
    <row r="1218" spans="1:9" x14ac:dyDescent="0.35">
      <c r="A1218">
        <v>461</v>
      </c>
      <c r="B1218">
        <v>4</v>
      </c>
      <c r="C1218">
        <v>24</v>
      </c>
      <c r="D1218">
        <v>1</v>
      </c>
      <c r="E1218">
        <v>549.99</v>
      </c>
      <c r="F1218">
        <v>0.1</v>
      </c>
      <c r="G1218">
        <v>549.89</v>
      </c>
      <c r="H1218" t="s">
        <v>17</v>
      </c>
      <c r="I1218" t="s">
        <v>300</v>
      </c>
    </row>
    <row r="1219" spans="1:9" x14ac:dyDescent="0.35">
      <c r="A1219">
        <v>461</v>
      </c>
      <c r="B1219">
        <v>5</v>
      </c>
      <c r="C1219">
        <v>18</v>
      </c>
      <c r="D1219">
        <v>2</v>
      </c>
      <c r="E1219">
        <v>449</v>
      </c>
      <c r="F1219">
        <v>0.1</v>
      </c>
      <c r="G1219">
        <v>897.9</v>
      </c>
      <c r="H1219" t="s">
        <v>23</v>
      </c>
      <c r="I1219" t="s">
        <v>300</v>
      </c>
    </row>
    <row r="1220" spans="1:9" x14ac:dyDescent="0.35">
      <c r="A1220">
        <v>465</v>
      </c>
      <c r="B1220">
        <v>1</v>
      </c>
      <c r="C1220">
        <v>6</v>
      </c>
      <c r="D1220">
        <v>2</v>
      </c>
      <c r="E1220">
        <v>469.99</v>
      </c>
      <c r="F1220">
        <v>0.1</v>
      </c>
      <c r="G1220">
        <v>939.88</v>
      </c>
      <c r="H1220" t="s">
        <v>11</v>
      </c>
      <c r="I1220" t="s">
        <v>304</v>
      </c>
    </row>
    <row r="1221" spans="1:9" x14ac:dyDescent="0.35">
      <c r="A1221">
        <v>465</v>
      </c>
      <c r="B1221">
        <v>2</v>
      </c>
      <c r="C1221">
        <v>25</v>
      </c>
      <c r="D1221">
        <v>2</v>
      </c>
      <c r="E1221">
        <v>499.99</v>
      </c>
      <c r="F1221">
        <v>0.1</v>
      </c>
      <c r="G1221">
        <v>999.88</v>
      </c>
      <c r="H1221" t="s">
        <v>27</v>
      </c>
      <c r="I1221" t="s">
        <v>304</v>
      </c>
    </row>
    <row r="1222" spans="1:9" x14ac:dyDescent="0.35">
      <c r="A1222">
        <v>466</v>
      </c>
      <c r="B1222">
        <v>1</v>
      </c>
      <c r="C1222">
        <v>19</v>
      </c>
      <c r="D1222">
        <v>2</v>
      </c>
      <c r="E1222">
        <v>449</v>
      </c>
      <c r="F1222">
        <v>0.2</v>
      </c>
      <c r="G1222">
        <v>897.8</v>
      </c>
      <c r="H1222" t="s">
        <v>24</v>
      </c>
      <c r="I1222" t="s">
        <v>299</v>
      </c>
    </row>
    <row r="1223" spans="1:9" x14ac:dyDescent="0.35">
      <c r="A1223">
        <v>466</v>
      </c>
      <c r="B1223">
        <v>2</v>
      </c>
      <c r="C1223">
        <v>6</v>
      </c>
      <c r="D1223">
        <v>1</v>
      </c>
      <c r="E1223">
        <v>469.99</v>
      </c>
      <c r="F1223">
        <v>0.2</v>
      </c>
      <c r="G1223">
        <v>469.79</v>
      </c>
      <c r="H1223" t="s">
        <v>11</v>
      </c>
      <c r="I1223" t="s">
        <v>301</v>
      </c>
    </row>
    <row r="1224" spans="1:9" x14ac:dyDescent="0.35">
      <c r="A1224">
        <v>466</v>
      </c>
      <c r="B1224">
        <v>3</v>
      </c>
      <c r="C1224">
        <v>7</v>
      </c>
      <c r="D1224">
        <v>2</v>
      </c>
      <c r="E1224">
        <v>3999.99</v>
      </c>
      <c r="F1224">
        <v>0.1</v>
      </c>
      <c r="G1224">
        <v>7999.93</v>
      </c>
      <c r="H1224" t="s">
        <v>12</v>
      </c>
      <c r="I1224" t="s">
        <v>299</v>
      </c>
    </row>
    <row r="1225" spans="1:9" x14ac:dyDescent="0.35">
      <c r="A1225">
        <v>466</v>
      </c>
      <c r="B1225">
        <v>4</v>
      </c>
      <c r="C1225">
        <v>15</v>
      </c>
      <c r="D1225">
        <v>1</v>
      </c>
      <c r="E1225">
        <v>529.99</v>
      </c>
      <c r="F1225">
        <v>0.1</v>
      </c>
      <c r="G1225">
        <v>529.89</v>
      </c>
      <c r="H1225" t="s">
        <v>20</v>
      </c>
      <c r="I1225" t="s">
        <v>300</v>
      </c>
    </row>
    <row r="1226" spans="1:9" x14ac:dyDescent="0.35">
      <c r="A1226">
        <v>466</v>
      </c>
      <c r="B1226">
        <v>5</v>
      </c>
      <c r="C1226">
        <v>5</v>
      </c>
      <c r="D1226">
        <v>1</v>
      </c>
      <c r="E1226">
        <v>1320.99</v>
      </c>
      <c r="F1226">
        <v>0.1</v>
      </c>
      <c r="G1226">
        <v>1320.89</v>
      </c>
      <c r="H1226" t="s">
        <v>10</v>
      </c>
      <c r="I1226" t="s">
        <v>299</v>
      </c>
    </row>
    <row r="1227" spans="1:9" x14ac:dyDescent="0.35">
      <c r="A1227">
        <v>467</v>
      </c>
      <c r="B1227">
        <v>1</v>
      </c>
      <c r="C1227">
        <v>19</v>
      </c>
      <c r="D1227">
        <v>1</v>
      </c>
      <c r="E1227">
        <v>449</v>
      </c>
      <c r="F1227">
        <v>0.1</v>
      </c>
      <c r="G1227">
        <v>448.93</v>
      </c>
      <c r="H1227" t="s">
        <v>24</v>
      </c>
      <c r="I1227" t="s">
        <v>305</v>
      </c>
    </row>
    <row r="1228" spans="1:9" x14ac:dyDescent="0.35">
      <c r="A1228">
        <v>467</v>
      </c>
      <c r="B1228">
        <v>2</v>
      </c>
      <c r="C1228">
        <v>10</v>
      </c>
      <c r="D1228">
        <v>1</v>
      </c>
      <c r="E1228">
        <v>1549</v>
      </c>
      <c r="F1228">
        <v>0.1</v>
      </c>
      <c r="G1228">
        <v>1548.93</v>
      </c>
      <c r="H1228" t="s">
        <v>15</v>
      </c>
      <c r="I1228" t="s">
        <v>301</v>
      </c>
    </row>
    <row r="1229" spans="1:9" x14ac:dyDescent="0.35">
      <c r="A1229">
        <v>467</v>
      </c>
      <c r="B1229">
        <v>3</v>
      </c>
      <c r="C1229">
        <v>22</v>
      </c>
      <c r="D1229">
        <v>2</v>
      </c>
      <c r="E1229">
        <v>269.99</v>
      </c>
      <c r="F1229">
        <v>0.1</v>
      </c>
      <c r="G1229">
        <v>539.88</v>
      </c>
      <c r="H1229" t="s">
        <v>19</v>
      </c>
      <c r="I1229" t="s">
        <v>305</v>
      </c>
    </row>
    <row r="1230" spans="1:9" x14ac:dyDescent="0.35">
      <c r="A1230">
        <v>467</v>
      </c>
      <c r="B1230">
        <v>4</v>
      </c>
      <c r="C1230">
        <v>17</v>
      </c>
      <c r="D1230">
        <v>2</v>
      </c>
      <c r="E1230">
        <v>429</v>
      </c>
      <c r="F1230">
        <v>0.1</v>
      </c>
      <c r="G1230">
        <v>857.93</v>
      </c>
      <c r="H1230" t="s">
        <v>22</v>
      </c>
      <c r="I1230" t="s">
        <v>301</v>
      </c>
    </row>
    <row r="1231" spans="1:9" x14ac:dyDescent="0.35">
      <c r="A1231">
        <v>467</v>
      </c>
      <c r="B1231">
        <v>5</v>
      </c>
      <c r="C1231">
        <v>11</v>
      </c>
      <c r="D1231">
        <v>1</v>
      </c>
      <c r="E1231">
        <v>1680.99</v>
      </c>
      <c r="F1231">
        <v>0.1</v>
      </c>
      <c r="G1231">
        <v>1680.89</v>
      </c>
      <c r="H1231" t="s">
        <v>16</v>
      </c>
      <c r="I1231" t="s">
        <v>301</v>
      </c>
    </row>
    <row r="1232" spans="1:9" x14ac:dyDescent="0.35">
      <c r="A1232">
        <v>468</v>
      </c>
      <c r="B1232">
        <v>1</v>
      </c>
      <c r="C1232">
        <v>19</v>
      </c>
      <c r="D1232">
        <v>1</v>
      </c>
      <c r="E1232">
        <v>449</v>
      </c>
      <c r="F1232">
        <v>0.1</v>
      </c>
      <c r="G1232">
        <v>448.9</v>
      </c>
      <c r="H1232" t="s">
        <v>24</v>
      </c>
      <c r="I1232" t="s">
        <v>301</v>
      </c>
    </row>
    <row r="1233" spans="1:9" x14ac:dyDescent="0.35">
      <c r="A1233">
        <v>468</v>
      </c>
      <c r="B1233">
        <v>2</v>
      </c>
      <c r="C1233">
        <v>9</v>
      </c>
      <c r="D1233">
        <v>2</v>
      </c>
      <c r="E1233">
        <v>2999.99</v>
      </c>
      <c r="F1233">
        <v>0.1</v>
      </c>
      <c r="G1233">
        <v>5999.93</v>
      </c>
      <c r="H1233" t="s">
        <v>14</v>
      </c>
      <c r="I1233" t="s">
        <v>305</v>
      </c>
    </row>
    <row r="1234" spans="1:9" x14ac:dyDescent="0.35">
      <c r="A1234">
        <v>468</v>
      </c>
      <c r="B1234">
        <v>3</v>
      </c>
      <c r="C1234">
        <v>10</v>
      </c>
      <c r="D1234">
        <v>2</v>
      </c>
      <c r="E1234">
        <v>1549</v>
      </c>
      <c r="F1234">
        <v>0.1</v>
      </c>
      <c r="G1234">
        <v>3097.95</v>
      </c>
      <c r="H1234" t="s">
        <v>15</v>
      </c>
      <c r="I1234" t="s">
        <v>300</v>
      </c>
    </row>
    <row r="1235" spans="1:9" x14ac:dyDescent="0.35">
      <c r="A1235">
        <v>468</v>
      </c>
      <c r="B1235">
        <v>4</v>
      </c>
      <c r="C1235">
        <v>25</v>
      </c>
      <c r="D1235">
        <v>1</v>
      </c>
      <c r="E1235">
        <v>499.99</v>
      </c>
      <c r="F1235">
        <v>0.1</v>
      </c>
      <c r="G1235">
        <v>499.89</v>
      </c>
      <c r="H1235" t="s">
        <v>27</v>
      </c>
      <c r="I1235" t="s">
        <v>301</v>
      </c>
    </row>
    <row r="1236" spans="1:9" x14ac:dyDescent="0.35">
      <c r="A1236">
        <v>469</v>
      </c>
      <c r="B1236">
        <v>1</v>
      </c>
      <c r="C1236">
        <v>8</v>
      </c>
      <c r="D1236">
        <v>2</v>
      </c>
      <c r="E1236">
        <v>1799.99</v>
      </c>
      <c r="F1236">
        <v>0.1</v>
      </c>
      <c r="G1236">
        <v>3599.88</v>
      </c>
      <c r="H1236" t="s">
        <v>13</v>
      </c>
      <c r="I1236" t="s">
        <v>301</v>
      </c>
    </row>
    <row r="1237" spans="1:9" x14ac:dyDescent="0.35">
      <c r="A1237">
        <v>469</v>
      </c>
      <c r="B1237">
        <v>2</v>
      </c>
      <c r="C1237">
        <v>4</v>
      </c>
      <c r="D1237">
        <v>1</v>
      </c>
      <c r="E1237">
        <v>2899.99</v>
      </c>
      <c r="F1237">
        <v>0.1</v>
      </c>
      <c r="G1237">
        <v>2899.92</v>
      </c>
      <c r="H1237" t="s">
        <v>9</v>
      </c>
      <c r="I1237" t="s">
        <v>301</v>
      </c>
    </row>
    <row r="1238" spans="1:9" x14ac:dyDescent="0.35">
      <c r="A1238">
        <v>469</v>
      </c>
      <c r="B1238">
        <v>3</v>
      </c>
      <c r="C1238">
        <v>15</v>
      </c>
      <c r="D1238">
        <v>2</v>
      </c>
      <c r="E1238">
        <v>529.99</v>
      </c>
      <c r="F1238">
        <v>0.2</v>
      </c>
      <c r="G1238">
        <v>1059.78</v>
      </c>
      <c r="H1238" t="s">
        <v>20</v>
      </c>
      <c r="I1238" t="s">
        <v>301</v>
      </c>
    </row>
    <row r="1239" spans="1:9" x14ac:dyDescent="0.35">
      <c r="A1239">
        <v>470</v>
      </c>
      <c r="B1239">
        <v>1</v>
      </c>
      <c r="C1239">
        <v>18</v>
      </c>
      <c r="D1239">
        <v>1</v>
      </c>
      <c r="E1239">
        <v>449</v>
      </c>
      <c r="F1239">
        <v>0.1</v>
      </c>
      <c r="G1239">
        <v>448.95</v>
      </c>
      <c r="H1239" t="s">
        <v>23</v>
      </c>
      <c r="I1239" t="s">
        <v>300</v>
      </c>
    </row>
    <row r="1240" spans="1:9" x14ac:dyDescent="0.35">
      <c r="A1240">
        <v>470</v>
      </c>
      <c r="B1240">
        <v>2</v>
      </c>
      <c r="C1240">
        <v>13</v>
      </c>
      <c r="D1240">
        <v>1</v>
      </c>
      <c r="E1240">
        <v>269.99</v>
      </c>
      <c r="F1240">
        <v>0.1</v>
      </c>
      <c r="G1240">
        <v>269.94</v>
      </c>
      <c r="H1240" t="s">
        <v>18</v>
      </c>
      <c r="I1240" t="s">
        <v>304</v>
      </c>
    </row>
    <row r="1241" spans="1:9" x14ac:dyDescent="0.35">
      <c r="A1241">
        <v>470</v>
      </c>
      <c r="B1241">
        <v>3</v>
      </c>
      <c r="C1241">
        <v>8</v>
      </c>
      <c r="D1241">
        <v>2</v>
      </c>
      <c r="E1241">
        <v>1799.99</v>
      </c>
      <c r="F1241">
        <v>0.2</v>
      </c>
      <c r="G1241">
        <v>3599.78</v>
      </c>
      <c r="H1241" t="s">
        <v>13</v>
      </c>
      <c r="I1241" t="s">
        <v>304</v>
      </c>
    </row>
    <row r="1242" spans="1:9" x14ac:dyDescent="0.35">
      <c r="A1242">
        <v>471</v>
      </c>
      <c r="B1242">
        <v>1</v>
      </c>
      <c r="C1242">
        <v>14</v>
      </c>
      <c r="D1242">
        <v>1</v>
      </c>
      <c r="E1242">
        <v>269.99</v>
      </c>
      <c r="F1242">
        <v>0.2</v>
      </c>
      <c r="G1242">
        <v>269.79000000000002</v>
      </c>
      <c r="H1242" t="s">
        <v>19</v>
      </c>
      <c r="I1242" t="s">
        <v>304</v>
      </c>
    </row>
    <row r="1243" spans="1:9" x14ac:dyDescent="0.35">
      <c r="A1243">
        <v>471</v>
      </c>
      <c r="B1243">
        <v>2</v>
      </c>
      <c r="C1243">
        <v>13</v>
      </c>
      <c r="D1243">
        <v>2</v>
      </c>
      <c r="E1243">
        <v>269.99</v>
      </c>
      <c r="F1243">
        <v>0.1</v>
      </c>
      <c r="G1243">
        <v>539.92999999999995</v>
      </c>
      <c r="H1243" t="s">
        <v>18</v>
      </c>
      <c r="I1243" t="s">
        <v>301</v>
      </c>
    </row>
    <row r="1244" spans="1:9" x14ac:dyDescent="0.35">
      <c r="A1244">
        <v>472</v>
      </c>
      <c r="B1244">
        <v>1</v>
      </c>
      <c r="C1244">
        <v>15</v>
      </c>
      <c r="D1244">
        <v>1</v>
      </c>
      <c r="E1244">
        <v>529.99</v>
      </c>
      <c r="F1244">
        <v>0.1</v>
      </c>
      <c r="G1244">
        <v>529.89</v>
      </c>
      <c r="H1244" t="s">
        <v>20</v>
      </c>
      <c r="I1244" t="s">
        <v>304</v>
      </c>
    </row>
    <row r="1245" spans="1:9" x14ac:dyDescent="0.35">
      <c r="A1245">
        <v>472</v>
      </c>
      <c r="B1245">
        <v>2</v>
      </c>
      <c r="C1245">
        <v>21</v>
      </c>
      <c r="D1245">
        <v>2</v>
      </c>
      <c r="E1245">
        <v>269.99</v>
      </c>
      <c r="F1245">
        <v>0.1</v>
      </c>
      <c r="G1245">
        <v>539.88</v>
      </c>
      <c r="H1245" t="s">
        <v>18</v>
      </c>
      <c r="I1245" t="s">
        <v>303</v>
      </c>
    </row>
    <row r="1246" spans="1:9" x14ac:dyDescent="0.35">
      <c r="A1246">
        <v>474</v>
      </c>
      <c r="B1246">
        <v>1</v>
      </c>
      <c r="C1246">
        <v>19</v>
      </c>
      <c r="D1246">
        <v>2</v>
      </c>
      <c r="E1246">
        <v>449</v>
      </c>
      <c r="F1246">
        <v>0.1</v>
      </c>
      <c r="G1246">
        <v>897.95</v>
      </c>
      <c r="H1246" t="s">
        <v>24</v>
      </c>
      <c r="I1246" t="s">
        <v>301</v>
      </c>
    </row>
    <row r="1247" spans="1:9" x14ac:dyDescent="0.35">
      <c r="A1247">
        <v>474</v>
      </c>
      <c r="B1247">
        <v>2</v>
      </c>
      <c r="C1247">
        <v>11</v>
      </c>
      <c r="D1247">
        <v>1</v>
      </c>
      <c r="E1247">
        <v>1680.99</v>
      </c>
      <c r="F1247">
        <v>0.2</v>
      </c>
      <c r="G1247">
        <v>1680.79</v>
      </c>
      <c r="H1247" t="s">
        <v>16</v>
      </c>
      <c r="I1247" t="s">
        <v>305</v>
      </c>
    </row>
    <row r="1248" spans="1:9" x14ac:dyDescent="0.35">
      <c r="A1248">
        <v>475</v>
      </c>
      <c r="B1248">
        <v>1</v>
      </c>
      <c r="C1248">
        <v>17</v>
      </c>
      <c r="D1248">
        <v>2</v>
      </c>
      <c r="E1248">
        <v>429</v>
      </c>
      <c r="F1248">
        <v>0.1</v>
      </c>
      <c r="G1248">
        <v>857.93</v>
      </c>
      <c r="H1248" t="s">
        <v>22</v>
      </c>
      <c r="I1248" t="s">
        <v>301</v>
      </c>
    </row>
    <row r="1249" spans="1:9" x14ac:dyDescent="0.35">
      <c r="A1249">
        <v>475</v>
      </c>
      <c r="B1249">
        <v>2</v>
      </c>
      <c r="C1249">
        <v>26</v>
      </c>
      <c r="D1249">
        <v>2</v>
      </c>
      <c r="E1249">
        <v>599.99</v>
      </c>
      <c r="F1249">
        <v>0.2</v>
      </c>
      <c r="G1249">
        <v>1199.78</v>
      </c>
      <c r="H1249" t="s">
        <v>21</v>
      </c>
      <c r="I1249" t="s">
        <v>301</v>
      </c>
    </row>
    <row r="1250" spans="1:9" x14ac:dyDescent="0.35">
      <c r="A1250">
        <v>475</v>
      </c>
      <c r="B1250">
        <v>3</v>
      </c>
      <c r="C1250">
        <v>25</v>
      </c>
      <c r="D1250">
        <v>1</v>
      </c>
      <c r="E1250">
        <v>499.99</v>
      </c>
      <c r="F1250">
        <v>0.2</v>
      </c>
      <c r="G1250">
        <v>499.79</v>
      </c>
      <c r="H1250" t="s">
        <v>27</v>
      </c>
      <c r="I1250" t="s">
        <v>299</v>
      </c>
    </row>
    <row r="1251" spans="1:9" x14ac:dyDescent="0.35">
      <c r="A1251">
        <v>476</v>
      </c>
      <c r="B1251">
        <v>1</v>
      </c>
      <c r="C1251">
        <v>22</v>
      </c>
      <c r="D1251">
        <v>2</v>
      </c>
      <c r="E1251">
        <v>269.99</v>
      </c>
      <c r="F1251">
        <v>0.1</v>
      </c>
      <c r="G1251">
        <v>539.91</v>
      </c>
      <c r="H1251" t="s">
        <v>19</v>
      </c>
      <c r="I1251" t="s">
        <v>303</v>
      </c>
    </row>
    <row r="1252" spans="1:9" x14ac:dyDescent="0.35">
      <c r="A1252">
        <v>476</v>
      </c>
      <c r="B1252">
        <v>2</v>
      </c>
      <c r="C1252">
        <v>4</v>
      </c>
      <c r="D1252">
        <v>2</v>
      </c>
      <c r="E1252">
        <v>2899.99</v>
      </c>
      <c r="F1252">
        <v>0.2</v>
      </c>
      <c r="G1252">
        <v>5799.78</v>
      </c>
      <c r="H1252" t="s">
        <v>9</v>
      </c>
      <c r="I1252" t="s">
        <v>303</v>
      </c>
    </row>
    <row r="1253" spans="1:9" x14ac:dyDescent="0.35">
      <c r="A1253">
        <v>476</v>
      </c>
      <c r="B1253">
        <v>3</v>
      </c>
      <c r="C1253">
        <v>11</v>
      </c>
      <c r="D1253">
        <v>2</v>
      </c>
      <c r="E1253">
        <v>1680.99</v>
      </c>
      <c r="F1253">
        <v>0.1</v>
      </c>
      <c r="G1253">
        <v>3361.91</v>
      </c>
      <c r="H1253" t="s">
        <v>16</v>
      </c>
      <c r="I1253" t="s">
        <v>304</v>
      </c>
    </row>
    <row r="1254" spans="1:9" x14ac:dyDescent="0.35">
      <c r="A1254">
        <v>476</v>
      </c>
      <c r="B1254">
        <v>4</v>
      </c>
      <c r="C1254">
        <v>20</v>
      </c>
      <c r="D1254">
        <v>2</v>
      </c>
      <c r="E1254">
        <v>599.99</v>
      </c>
      <c r="F1254">
        <v>0.1</v>
      </c>
      <c r="G1254">
        <v>1199.93</v>
      </c>
      <c r="H1254" t="s">
        <v>25</v>
      </c>
      <c r="I1254" t="s">
        <v>304</v>
      </c>
    </row>
    <row r="1255" spans="1:9" x14ac:dyDescent="0.35">
      <c r="A1255">
        <v>477</v>
      </c>
      <c r="B1255">
        <v>1</v>
      </c>
      <c r="C1255">
        <v>6</v>
      </c>
      <c r="D1255">
        <v>1</v>
      </c>
      <c r="E1255">
        <v>469.99</v>
      </c>
      <c r="F1255">
        <v>0.1</v>
      </c>
      <c r="G1255">
        <v>469.89</v>
      </c>
      <c r="H1255" t="s">
        <v>11</v>
      </c>
      <c r="I1255" t="s">
        <v>305</v>
      </c>
    </row>
    <row r="1256" spans="1:9" x14ac:dyDescent="0.35">
      <c r="A1256">
        <v>477</v>
      </c>
      <c r="B1256">
        <v>2</v>
      </c>
      <c r="C1256">
        <v>10</v>
      </c>
      <c r="D1256">
        <v>1</v>
      </c>
      <c r="E1256">
        <v>1549</v>
      </c>
      <c r="F1256">
        <v>0.1</v>
      </c>
      <c r="G1256">
        <v>1548.95</v>
      </c>
      <c r="H1256" t="s">
        <v>15</v>
      </c>
      <c r="I1256" t="s">
        <v>305</v>
      </c>
    </row>
    <row r="1257" spans="1:9" x14ac:dyDescent="0.35">
      <c r="A1257">
        <v>479</v>
      </c>
      <c r="B1257">
        <v>1</v>
      </c>
      <c r="C1257">
        <v>26</v>
      </c>
      <c r="D1257">
        <v>1</v>
      </c>
      <c r="E1257">
        <v>599.99</v>
      </c>
      <c r="F1257">
        <v>0.1</v>
      </c>
      <c r="G1257">
        <v>599.91999999999996</v>
      </c>
      <c r="H1257" t="s">
        <v>21</v>
      </c>
      <c r="I1257" t="s">
        <v>301</v>
      </c>
    </row>
    <row r="1258" spans="1:9" x14ac:dyDescent="0.35">
      <c r="A1258">
        <v>479</v>
      </c>
      <c r="B1258">
        <v>2</v>
      </c>
      <c r="C1258">
        <v>12</v>
      </c>
      <c r="D1258">
        <v>1</v>
      </c>
      <c r="E1258">
        <v>549.99</v>
      </c>
      <c r="F1258">
        <v>0.1</v>
      </c>
      <c r="G1258">
        <v>549.94000000000005</v>
      </c>
      <c r="H1258" t="s">
        <v>17</v>
      </c>
      <c r="I1258" t="s">
        <v>301</v>
      </c>
    </row>
    <row r="1259" spans="1:9" x14ac:dyDescent="0.35">
      <c r="A1259">
        <v>479</v>
      </c>
      <c r="B1259">
        <v>3</v>
      </c>
      <c r="C1259">
        <v>21</v>
      </c>
      <c r="D1259">
        <v>1</v>
      </c>
      <c r="E1259">
        <v>269.99</v>
      </c>
      <c r="F1259">
        <v>0.2</v>
      </c>
      <c r="G1259">
        <v>269.79000000000002</v>
      </c>
      <c r="H1259" t="s">
        <v>18</v>
      </c>
      <c r="I1259" t="s">
        <v>303</v>
      </c>
    </row>
    <row r="1260" spans="1:9" x14ac:dyDescent="0.35">
      <c r="A1260">
        <v>479</v>
      </c>
      <c r="B1260">
        <v>4</v>
      </c>
      <c r="C1260">
        <v>7</v>
      </c>
      <c r="D1260">
        <v>1</v>
      </c>
      <c r="E1260">
        <v>3999.99</v>
      </c>
      <c r="F1260">
        <v>0.1</v>
      </c>
      <c r="G1260">
        <v>3999.94</v>
      </c>
      <c r="H1260" t="s">
        <v>12</v>
      </c>
      <c r="I1260" t="s">
        <v>301</v>
      </c>
    </row>
    <row r="1261" spans="1:9" x14ac:dyDescent="0.35">
      <c r="A1261">
        <v>479</v>
      </c>
      <c r="B1261">
        <v>5</v>
      </c>
      <c r="C1261">
        <v>10</v>
      </c>
      <c r="D1261">
        <v>1</v>
      </c>
      <c r="E1261">
        <v>1549</v>
      </c>
      <c r="F1261">
        <v>0.2</v>
      </c>
      <c r="G1261">
        <v>1548.8</v>
      </c>
      <c r="H1261" t="s">
        <v>15</v>
      </c>
      <c r="I1261" t="s">
        <v>301</v>
      </c>
    </row>
    <row r="1262" spans="1:9" x14ac:dyDescent="0.35">
      <c r="A1262">
        <v>480</v>
      </c>
      <c r="B1262">
        <v>1</v>
      </c>
      <c r="C1262">
        <v>4</v>
      </c>
      <c r="D1262">
        <v>1</v>
      </c>
      <c r="E1262">
        <v>2899.99</v>
      </c>
      <c r="F1262">
        <v>0.1</v>
      </c>
      <c r="G1262">
        <v>2899.94</v>
      </c>
      <c r="H1262" t="s">
        <v>9</v>
      </c>
      <c r="I1262" t="s">
        <v>304</v>
      </c>
    </row>
    <row r="1263" spans="1:9" x14ac:dyDescent="0.35">
      <c r="A1263">
        <v>480</v>
      </c>
      <c r="B1263">
        <v>2</v>
      </c>
      <c r="C1263">
        <v>15</v>
      </c>
      <c r="D1263">
        <v>1</v>
      </c>
      <c r="E1263">
        <v>529.99</v>
      </c>
      <c r="F1263">
        <v>0.1</v>
      </c>
      <c r="G1263">
        <v>529.94000000000005</v>
      </c>
      <c r="H1263" t="s">
        <v>20</v>
      </c>
      <c r="I1263" t="s">
        <v>304</v>
      </c>
    </row>
    <row r="1264" spans="1:9" x14ac:dyDescent="0.35">
      <c r="A1264">
        <v>480</v>
      </c>
      <c r="B1264">
        <v>3</v>
      </c>
      <c r="C1264">
        <v>23</v>
      </c>
      <c r="D1264">
        <v>2</v>
      </c>
      <c r="E1264">
        <v>299.99</v>
      </c>
      <c r="F1264">
        <v>0.1</v>
      </c>
      <c r="G1264">
        <v>599.91</v>
      </c>
      <c r="H1264" t="s">
        <v>26</v>
      </c>
      <c r="I1264" t="s">
        <v>304</v>
      </c>
    </row>
    <row r="1265" spans="1:9" x14ac:dyDescent="0.35">
      <c r="A1265">
        <v>481</v>
      </c>
      <c r="B1265">
        <v>1</v>
      </c>
      <c r="C1265">
        <v>13</v>
      </c>
      <c r="D1265">
        <v>2</v>
      </c>
      <c r="E1265">
        <v>269.99</v>
      </c>
      <c r="F1265">
        <v>0.2</v>
      </c>
      <c r="G1265">
        <v>539.78</v>
      </c>
      <c r="H1265" t="s">
        <v>18</v>
      </c>
      <c r="I1265" t="s">
        <v>303</v>
      </c>
    </row>
    <row r="1266" spans="1:9" x14ac:dyDescent="0.35">
      <c r="A1266">
        <v>481</v>
      </c>
      <c r="B1266">
        <v>2</v>
      </c>
      <c r="C1266">
        <v>16</v>
      </c>
      <c r="D1266">
        <v>2</v>
      </c>
      <c r="E1266">
        <v>599.99</v>
      </c>
      <c r="F1266">
        <v>0.1</v>
      </c>
      <c r="G1266">
        <v>1199.9100000000001</v>
      </c>
      <c r="H1266" t="s">
        <v>21</v>
      </c>
      <c r="I1266" t="s">
        <v>304</v>
      </c>
    </row>
    <row r="1267" spans="1:9" x14ac:dyDescent="0.35">
      <c r="A1267">
        <v>481</v>
      </c>
      <c r="B1267">
        <v>3</v>
      </c>
      <c r="C1267">
        <v>9</v>
      </c>
      <c r="D1267">
        <v>2</v>
      </c>
      <c r="E1267">
        <v>2999.99</v>
      </c>
      <c r="F1267">
        <v>0.1</v>
      </c>
      <c r="G1267">
        <v>5999.88</v>
      </c>
      <c r="H1267" t="s">
        <v>14</v>
      </c>
      <c r="I1267" t="s">
        <v>300</v>
      </c>
    </row>
    <row r="1268" spans="1:9" x14ac:dyDescent="0.35">
      <c r="A1268">
        <v>482</v>
      </c>
      <c r="B1268">
        <v>1</v>
      </c>
      <c r="C1268">
        <v>13</v>
      </c>
      <c r="D1268">
        <v>1</v>
      </c>
      <c r="E1268">
        <v>269.99</v>
      </c>
      <c r="F1268">
        <v>0.2</v>
      </c>
      <c r="G1268">
        <v>269.79000000000002</v>
      </c>
      <c r="H1268" t="s">
        <v>18</v>
      </c>
      <c r="I1268" t="s">
        <v>299</v>
      </c>
    </row>
    <row r="1269" spans="1:9" x14ac:dyDescent="0.35">
      <c r="A1269">
        <v>482</v>
      </c>
      <c r="B1269">
        <v>2</v>
      </c>
      <c r="C1269">
        <v>14</v>
      </c>
      <c r="D1269">
        <v>1</v>
      </c>
      <c r="E1269">
        <v>269.99</v>
      </c>
      <c r="F1269">
        <v>0.1</v>
      </c>
      <c r="G1269">
        <v>269.89</v>
      </c>
      <c r="H1269" t="s">
        <v>19</v>
      </c>
      <c r="I1269" t="s">
        <v>304</v>
      </c>
    </row>
    <row r="1270" spans="1:9" x14ac:dyDescent="0.35">
      <c r="A1270">
        <v>484</v>
      </c>
      <c r="B1270">
        <v>1</v>
      </c>
      <c r="C1270">
        <v>8</v>
      </c>
      <c r="D1270">
        <v>2</v>
      </c>
      <c r="E1270">
        <v>1799.99</v>
      </c>
      <c r="F1270">
        <v>0.1</v>
      </c>
      <c r="G1270">
        <v>3599.88</v>
      </c>
      <c r="H1270" t="s">
        <v>13</v>
      </c>
      <c r="I1270" t="s">
        <v>305</v>
      </c>
    </row>
    <row r="1271" spans="1:9" x14ac:dyDescent="0.35">
      <c r="A1271">
        <v>484</v>
      </c>
      <c r="B1271">
        <v>2</v>
      </c>
      <c r="C1271">
        <v>24</v>
      </c>
      <c r="D1271">
        <v>1</v>
      </c>
      <c r="E1271">
        <v>549.99</v>
      </c>
      <c r="F1271">
        <v>0.1</v>
      </c>
      <c r="G1271">
        <v>549.94000000000005</v>
      </c>
      <c r="H1271" t="s">
        <v>17</v>
      </c>
      <c r="I1271" t="s">
        <v>299</v>
      </c>
    </row>
    <row r="1272" spans="1:9" x14ac:dyDescent="0.35">
      <c r="A1272">
        <v>484</v>
      </c>
      <c r="B1272">
        <v>3</v>
      </c>
      <c r="C1272">
        <v>9</v>
      </c>
      <c r="D1272">
        <v>2</v>
      </c>
      <c r="E1272">
        <v>2999.99</v>
      </c>
      <c r="F1272">
        <v>0.1</v>
      </c>
      <c r="G1272">
        <v>5999.93</v>
      </c>
      <c r="H1272" t="s">
        <v>14</v>
      </c>
      <c r="I1272" t="s">
        <v>303</v>
      </c>
    </row>
    <row r="1273" spans="1:9" x14ac:dyDescent="0.35">
      <c r="A1273">
        <v>484</v>
      </c>
      <c r="B1273">
        <v>4</v>
      </c>
      <c r="C1273">
        <v>6</v>
      </c>
      <c r="D1273">
        <v>1</v>
      </c>
      <c r="E1273">
        <v>469.99</v>
      </c>
      <c r="F1273">
        <v>0.2</v>
      </c>
      <c r="G1273">
        <v>469.79</v>
      </c>
      <c r="H1273" t="s">
        <v>11</v>
      </c>
      <c r="I1273" t="s">
        <v>305</v>
      </c>
    </row>
    <row r="1274" spans="1:9" x14ac:dyDescent="0.35">
      <c r="A1274">
        <v>485</v>
      </c>
      <c r="B1274">
        <v>1</v>
      </c>
      <c r="C1274">
        <v>13</v>
      </c>
      <c r="D1274">
        <v>1</v>
      </c>
      <c r="E1274">
        <v>269.99</v>
      </c>
      <c r="F1274">
        <v>0.1</v>
      </c>
      <c r="G1274">
        <v>269.89</v>
      </c>
      <c r="H1274" t="s">
        <v>18</v>
      </c>
      <c r="I1274" t="s">
        <v>301</v>
      </c>
    </row>
    <row r="1275" spans="1:9" x14ac:dyDescent="0.35">
      <c r="A1275">
        <v>485</v>
      </c>
      <c r="B1275">
        <v>2</v>
      </c>
      <c r="C1275">
        <v>26</v>
      </c>
      <c r="D1275">
        <v>2</v>
      </c>
      <c r="E1275">
        <v>599.99</v>
      </c>
      <c r="F1275">
        <v>0.1</v>
      </c>
      <c r="G1275">
        <v>1199.93</v>
      </c>
      <c r="H1275" t="s">
        <v>21</v>
      </c>
      <c r="I1275" t="s">
        <v>299</v>
      </c>
    </row>
    <row r="1276" spans="1:9" x14ac:dyDescent="0.35">
      <c r="A1276">
        <v>486</v>
      </c>
      <c r="B1276">
        <v>1</v>
      </c>
      <c r="C1276">
        <v>9</v>
      </c>
      <c r="D1276">
        <v>1</v>
      </c>
      <c r="E1276">
        <v>2999.99</v>
      </c>
      <c r="F1276">
        <v>0.1</v>
      </c>
      <c r="G1276">
        <v>2999.92</v>
      </c>
      <c r="H1276" t="s">
        <v>14</v>
      </c>
      <c r="I1276" t="s">
        <v>304</v>
      </c>
    </row>
    <row r="1277" spans="1:9" x14ac:dyDescent="0.35">
      <c r="A1277">
        <v>486</v>
      </c>
      <c r="B1277">
        <v>2</v>
      </c>
      <c r="C1277">
        <v>23</v>
      </c>
      <c r="D1277">
        <v>2</v>
      </c>
      <c r="E1277">
        <v>299.99</v>
      </c>
      <c r="F1277">
        <v>0.1</v>
      </c>
      <c r="G1277">
        <v>599.92999999999995</v>
      </c>
      <c r="H1277" t="s">
        <v>26</v>
      </c>
      <c r="I1277" t="s">
        <v>300</v>
      </c>
    </row>
    <row r="1278" spans="1:9" x14ac:dyDescent="0.35">
      <c r="A1278">
        <v>488</v>
      </c>
      <c r="B1278">
        <v>1</v>
      </c>
      <c r="C1278">
        <v>13</v>
      </c>
      <c r="D1278">
        <v>2</v>
      </c>
      <c r="E1278">
        <v>269.99</v>
      </c>
      <c r="F1278">
        <v>0.1</v>
      </c>
      <c r="G1278">
        <v>539.91</v>
      </c>
      <c r="H1278" t="s">
        <v>18</v>
      </c>
      <c r="I1278" t="s">
        <v>301</v>
      </c>
    </row>
    <row r="1279" spans="1:9" x14ac:dyDescent="0.35">
      <c r="A1279">
        <v>488</v>
      </c>
      <c r="B1279">
        <v>2</v>
      </c>
      <c r="C1279">
        <v>23</v>
      </c>
      <c r="D1279">
        <v>2</v>
      </c>
      <c r="E1279">
        <v>299.99</v>
      </c>
      <c r="F1279">
        <v>0.1</v>
      </c>
      <c r="G1279">
        <v>599.92999999999995</v>
      </c>
      <c r="H1279" t="s">
        <v>26</v>
      </c>
      <c r="I1279" t="s">
        <v>301</v>
      </c>
    </row>
    <row r="1280" spans="1:9" x14ac:dyDescent="0.35">
      <c r="A1280">
        <v>488</v>
      </c>
      <c r="B1280">
        <v>3</v>
      </c>
      <c r="C1280">
        <v>22</v>
      </c>
      <c r="D1280">
        <v>1</v>
      </c>
      <c r="E1280">
        <v>269.99</v>
      </c>
      <c r="F1280">
        <v>0.1</v>
      </c>
      <c r="G1280">
        <v>269.94</v>
      </c>
      <c r="H1280" t="s">
        <v>19</v>
      </c>
      <c r="I1280" t="s">
        <v>305</v>
      </c>
    </row>
    <row r="1281" spans="1:9" x14ac:dyDescent="0.35">
      <c r="A1281">
        <v>490</v>
      </c>
      <c r="B1281">
        <v>1</v>
      </c>
      <c r="C1281">
        <v>12</v>
      </c>
      <c r="D1281">
        <v>1</v>
      </c>
      <c r="E1281">
        <v>549.99</v>
      </c>
      <c r="F1281">
        <v>0.1</v>
      </c>
      <c r="G1281">
        <v>549.89</v>
      </c>
      <c r="H1281" t="s">
        <v>17</v>
      </c>
      <c r="I1281" t="s">
        <v>304</v>
      </c>
    </row>
    <row r="1282" spans="1:9" x14ac:dyDescent="0.35">
      <c r="A1282">
        <v>490</v>
      </c>
      <c r="B1282">
        <v>2</v>
      </c>
      <c r="C1282">
        <v>23</v>
      </c>
      <c r="D1282">
        <v>1</v>
      </c>
      <c r="E1282">
        <v>299.99</v>
      </c>
      <c r="F1282">
        <v>0.1</v>
      </c>
      <c r="G1282">
        <v>299.94</v>
      </c>
      <c r="H1282" t="s">
        <v>26</v>
      </c>
      <c r="I1282" t="s">
        <v>301</v>
      </c>
    </row>
    <row r="1283" spans="1:9" x14ac:dyDescent="0.35">
      <c r="A1283">
        <v>490</v>
      </c>
      <c r="B1283">
        <v>3</v>
      </c>
      <c r="C1283">
        <v>14</v>
      </c>
      <c r="D1283">
        <v>1</v>
      </c>
      <c r="E1283">
        <v>269.99</v>
      </c>
      <c r="F1283">
        <v>0.1</v>
      </c>
      <c r="G1283">
        <v>269.89</v>
      </c>
      <c r="H1283" t="s">
        <v>19</v>
      </c>
      <c r="I1283" t="s">
        <v>301</v>
      </c>
    </row>
    <row r="1284" spans="1:9" x14ac:dyDescent="0.35">
      <c r="A1284">
        <v>490</v>
      </c>
      <c r="B1284">
        <v>4</v>
      </c>
      <c r="C1284">
        <v>13</v>
      </c>
      <c r="D1284">
        <v>2</v>
      </c>
      <c r="E1284">
        <v>269.99</v>
      </c>
      <c r="F1284">
        <v>0.1</v>
      </c>
      <c r="G1284">
        <v>539.91</v>
      </c>
      <c r="H1284" t="s">
        <v>18</v>
      </c>
      <c r="I1284" t="s">
        <v>304</v>
      </c>
    </row>
    <row r="1285" spans="1:9" x14ac:dyDescent="0.35">
      <c r="A1285">
        <v>491</v>
      </c>
      <c r="B1285">
        <v>1</v>
      </c>
      <c r="C1285">
        <v>9</v>
      </c>
      <c r="D1285">
        <v>2</v>
      </c>
      <c r="E1285">
        <v>2999.99</v>
      </c>
      <c r="F1285">
        <v>0.2</v>
      </c>
      <c r="G1285">
        <v>5999.78</v>
      </c>
      <c r="H1285" t="s">
        <v>14</v>
      </c>
      <c r="I1285" t="s">
        <v>301</v>
      </c>
    </row>
    <row r="1286" spans="1:9" x14ac:dyDescent="0.35">
      <c r="A1286">
        <v>491</v>
      </c>
      <c r="B1286">
        <v>2</v>
      </c>
      <c r="C1286">
        <v>21</v>
      </c>
      <c r="D1286">
        <v>2</v>
      </c>
      <c r="E1286">
        <v>269.99</v>
      </c>
      <c r="F1286">
        <v>0.1</v>
      </c>
      <c r="G1286">
        <v>539.92999999999995</v>
      </c>
      <c r="H1286" t="s">
        <v>18</v>
      </c>
      <c r="I1286" t="s">
        <v>300</v>
      </c>
    </row>
    <row r="1287" spans="1:9" x14ac:dyDescent="0.35">
      <c r="A1287">
        <v>491</v>
      </c>
      <c r="B1287">
        <v>3</v>
      </c>
      <c r="C1287">
        <v>15</v>
      </c>
      <c r="D1287">
        <v>2</v>
      </c>
      <c r="E1287">
        <v>529.99</v>
      </c>
      <c r="F1287">
        <v>0.1</v>
      </c>
      <c r="G1287">
        <v>1059.93</v>
      </c>
      <c r="H1287" t="s">
        <v>20</v>
      </c>
      <c r="I1287" t="s">
        <v>302</v>
      </c>
    </row>
    <row r="1288" spans="1:9" x14ac:dyDescent="0.35">
      <c r="A1288">
        <v>492</v>
      </c>
      <c r="B1288">
        <v>1</v>
      </c>
      <c r="C1288">
        <v>6</v>
      </c>
      <c r="D1288">
        <v>1</v>
      </c>
      <c r="E1288">
        <v>469.99</v>
      </c>
      <c r="F1288">
        <v>0.1</v>
      </c>
      <c r="G1288">
        <v>469.89</v>
      </c>
      <c r="H1288" t="s">
        <v>11</v>
      </c>
      <c r="I1288" t="s">
        <v>305</v>
      </c>
    </row>
    <row r="1289" spans="1:9" x14ac:dyDescent="0.35">
      <c r="A1289">
        <v>492</v>
      </c>
      <c r="B1289">
        <v>2</v>
      </c>
      <c r="C1289">
        <v>22</v>
      </c>
      <c r="D1289">
        <v>2</v>
      </c>
      <c r="E1289">
        <v>269.99</v>
      </c>
      <c r="F1289">
        <v>0.1</v>
      </c>
      <c r="G1289">
        <v>539.88</v>
      </c>
      <c r="H1289" t="s">
        <v>19</v>
      </c>
      <c r="I1289" t="s">
        <v>305</v>
      </c>
    </row>
    <row r="1290" spans="1:9" x14ac:dyDescent="0.35">
      <c r="A1290">
        <v>492</v>
      </c>
      <c r="B1290">
        <v>3</v>
      </c>
      <c r="C1290">
        <v>26</v>
      </c>
      <c r="D1290">
        <v>1</v>
      </c>
      <c r="E1290">
        <v>599.99</v>
      </c>
      <c r="F1290">
        <v>0.1</v>
      </c>
      <c r="G1290">
        <v>599.94000000000005</v>
      </c>
      <c r="H1290" t="s">
        <v>21</v>
      </c>
      <c r="I1290" t="s">
        <v>304</v>
      </c>
    </row>
    <row r="1291" spans="1:9" x14ac:dyDescent="0.35">
      <c r="A1291">
        <v>493</v>
      </c>
      <c r="B1291">
        <v>1</v>
      </c>
      <c r="C1291">
        <v>15</v>
      </c>
      <c r="D1291">
        <v>1</v>
      </c>
      <c r="E1291">
        <v>529.99</v>
      </c>
      <c r="F1291">
        <v>0.1</v>
      </c>
      <c r="G1291">
        <v>529.94000000000005</v>
      </c>
      <c r="H1291" t="s">
        <v>20</v>
      </c>
      <c r="I1291" t="s">
        <v>305</v>
      </c>
    </row>
    <row r="1292" spans="1:9" x14ac:dyDescent="0.35">
      <c r="A1292">
        <v>493</v>
      </c>
      <c r="B1292">
        <v>2</v>
      </c>
      <c r="C1292">
        <v>18</v>
      </c>
      <c r="D1292">
        <v>2</v>
      </c>
      <c r="E1292">
        <v>449</v>
      </c>
      <c r="F1292">
        <v>0.1</v>
      </c>
      <c r="G1292">
        <v>897.95</v>
      </c>
      <c r="H1292" t="s">
        <v>23</v>
      </c>
      <c r="I1292" t="s">
        <v>299</v>
      </c>
    </row>
    <row r="1293" spans="1:9" x14ac:dyDescent="0.35">
      <c r="A1293">
        <v>493</v>
      </c>
      <c r="B1293">
        <v>3</v>
      </c>
      <c r="C1293">
        <v>26</v>
      </c>
      <c r="D1293">
        <v>1</v>
      </c>
      <c r="E1293">
        <v>599.99</v>
      </c>
      <c r="F1293">
        <v>0.1</v>
      </c>
      <c r="G1293">
        <v>599.94000000000005</v>
      </c>
      <c r="H1293" t="s">
        <v>21</v>
      </c>
      <c r="I1293" t="s">
        <v>301</v>
      </c>
    </row>
    <row r="1294" spans="1:9" x14ac:dyDescent="0.35">
      <c r="A1294">
        <v>495</v>
      </c>
      <c r="B1294">
        <v>1</v>
      </c>
      <c r="C1294">
        <v>22</v>
      </c>
      <c r="D1294">
        <v>1</v>
      </c>
      <c r="E1294">
        <v>269.99</v>
      </c>
      <c r="F1294">
        <v>0.2</v>
      </c>
      <c r="G1294">
        <v>269.79000000000002</v>
      </c>
      <c r="H1294" t="s">
        <v>19</v>
      </c>
      <c r="I1294" t="s">
        <v>299</v>
      </c>
    </row>
    <row r="1295" spans="1:9" x14ac:dyDescent="0.35">
      <c r="A1295">
        <v>495</v>
      </c>
      <c r="B1295">
        <v>2</v>
      </c>
      <c r="C1295">
        <v>9</v>
      </c>
      <c r="D1295">
        <v>1</v>
      </c>
      <c r="E1295">
        <v>2999.99</v>
      </c>
      <c r="F1295">
        <v>0.1</v>
      </c>
      <c r="G1295">
        <v>2999.94</v>
      </c>
      <c r="H1295" t="s">
        <v>14</v>
      </c>
      <c r="I1295" t="s">
        <v>301</v>
      </c>
    </row>
    <row r="1296" spans="1:9" x14ac:dyDescent="0.35">
      <c r="A1296">
        <v>496</v>
      </c>
      <c r="B1296">
        <v>1</v>
      </c>
      <c r="C1296">
        <v>23</v>
      </c>
      <c r="D1296">
        <v>1</v>
      </c>
      <c r="E1296">
        <v>299.99</v>
      </c>
      <c r="F1296">
        <v>0.2</v>
      </c>
      <c r="G1296">
        <v>299.79000000000002</v>
      </c>
      <c r="H1296" t="s">
        <v>26</v>
      </c>
      <c r="I1296" t="s">
        <v>303</v>
      </c>
    </row>
    <row r="1297" spans="1:9" x14ac:dyDescent="0.35">
      <c r="A1297">
        <v>496</v>
      </c>
      <c r="B1297">
        <v>2</v>
      </c>
      <c r="C1297">
        <v>13</v>
      </c>
      <c r="D1297">
        <v>1</v>
      </c>
      <c r="E1297">
        <v>269.99</v>
      </c>
      <c r="F1297">
        <v>0.1</v>
      </c>
      <c r="G1297">
        <v>269.89</v>
      </c>
      <c r="H1297" t="s">
        <v>18</v>
      </c>
      <c r="I1297" t="s">
        <v>304</v>
      </c>
    </row>
    <row r="1298" spans="1:9" x14ac:dyDescent="0.35">
      <c r="A1298">
        <v>496</v>
      </c>
      <c r="B1298">
        <v>3</v>
      </c>
      <c r="C1298">
        <v>21</v>
      </c>
      <c r="D1298">
        <v>2</v>
      </c>
      <c r="E1298">
        <v>269.99</v>
      </c>
      <c r="F1298">
        <v>0.2</v>
      </c>
      <c r="G1298">
        <v>539.78</v>
      </c>
      <c r="H1298" t="s">
        <v>18</v>
      </c>
      <c r="I1298" t="s">
        <v>300</v>
      </c>
    </row>
    <row r="1299" spans="1:9" x14ac:dyDescent="0.35">
      <c r="A1299">
        <v>498</v>
      </c>
      <c r="B1299">
        <v>1</v>
      </c>
      <c r="C1299">
        <v>24</v>
      </c>
      <c r="D1299">
        <v>1</v>
      </c>
      <c r="E1299">
        <v>549.99</v>
      </c>
      <c r="F1299">
        <v>0.1</v>
      </c>
      <c r="G1299">
        <v>549.91999999999996</v>
      </c>
      <c r="H1299" t="s">
        <v>17</v>
      </c>
      <c r="I1299" t="s">
        <v>300</v>
      </c>
    </row>
    <row r="1300" spans="1:9" x14ac:dyDescent="0.35">
      <c r="A1300">
        <v>498</v>
      </c>
      <c r="B1300">
        <v>2</v>
      </c>
      <c r="C1300">
        <v>21</v>
      </c>
      <c r="D1300">
        <v>1</v>
      </c>
      <c r="E1300">
        <v>269.99</v>
      </c>
      <c r="F1300">
        <v>0.1</v>
      </c>
      <c r="G1300">
        <v>269.89</v>
      </c>
      <c r="H1300" t="s">
        <v>18</v>
      </c>
      <c r="I1300" t="s">
        <v>301</v>
      </c>
    </row>
    <row r="1301" spans="1:9" x14ac:dyDescent="0.35">
      <c r="A1301">
        <v>498</v>
      </c>
      <c r="B1301">
        <v>3</v>
      </c>
      <c r="C1301">
        <v>10</v>
      </c>
      <c r="D1301">
        <v>1</v>
      </c>
      <c r="E1301">
        <v>1549</v>
      </c>
      <c r="F1301">
        <v>0.1</v>
      </c>
      <c r="G1301">
        <v>1548.93</v>
      </c>
      <c r="H1301" t="s">
        <v>15</v>
      </c>
      <c r="I1301" t="s">
        <v>299</v>
      </c>
    </row>
    <row r="1302" spans="1:9" x14ac:dyDescent="0.35">
      <c r="A1302">
        <v>499</v>
      </c>
      <c r="B1302">
        <v>1</v>
      </c>
      <c r="C1302">
        <v>11</v>
      </c>
      <c r="D1302">
        <v>1</v>
      </c>
      <c r="E1302">
        <v>1680.99</v>
      </c>
      <c r="F1302">
        <v>0.2</v>
      </c>
      <c r="G1302">
        <v>1680.79</v>
      </c>
      <c r="H1302" t="s">
        <v>16</v>
      </c>
      <c r="I1302" t="s">
        <v>304</v>
      </c>
    </row>
    <row r="1303" spans="1:9" x14ac:dyDescent="0.35">
      <c r="A1303">
        <v>499</v>
      </c>
      <c r="B1303">
        <v>2</v>
      </c>
      <c r="C1303">
        <v>15</v>
      </c>
      <c r="D1303">
        <v>1</v>
      </c>
      <c r="E1303">
        <v>529.99</v>
      </c>
      <c r="F1303">
        <v>0.1</v>
      </c>
      <c r="G1303">
        <v>529.91999999999996</v>
      </c>
      <c r="H1303" t="s">
        <v>20</v>
      </c>
      <c r="I1303" t="s">
        <v>301</v>
      </c>
    </row>
    <row r="1304" spans="1:9" x14ac:dyDescent="0.35">
      <c r="A1304">
        <v>499</v>
      </c>
      <c r="B1304">
        <v>3</v>
      </c>
      <c r="C1304">
        <v>14</v>
      </c>
      <c r="D1304">
        <v>2</v>
      </c>
      <c r="E1304">
        <v>269.99</v>
      </c>
      <c r="F1304">
        <v>0.2</v>
      </c>
      <c r="G1304">
        <v>539.78</v>
      </c>
      <c r="H1304" t="s">
        <v>19</v>
      </c>
      <c r="I1304" t="s">
        <v>299</v>
      </c>
    </row>
    <row r="1305" spans="1:9" x14ac:dyDescent="0.35">
      <c r="A1305">
        <v>499</v>
      </c>
      <c r="B1305">
        <v>4</v>
      </c>
      <c r="C1305">
        <v>20</v>
      </c>
      <c r="D1305">
        <v>2</v>
      </c>
      <c r="E1305">
        <v>599.99</v>
      </c>
      <c r="F1305">
        <v>0.1</v>
      </c>
      <c r="G1305">
        <v>1199.8800000000001</v>
      </c>
      <c r="H1305" t="s">
        <v>25</v>
      </c>
      <c r="I1305" t="s">
        <v>299</v>
      </c>
    </row>
    <row r="1306" spans="1:9" x14ac:dyDescent="0.35">
      <c r="A1306">
        <v>500</v>
      </c>
      <c r="B1306">
        <v>1</v>
      </c>
      <c r="C1306">
        <v>12</v>
      </c>
      <c r="D1306">
        <v>2</v>
      </c>
      <c r="E1306">
        <v>549.99</v>
      </c>
      <c r="F1306">
        <v>0.1</v>
      </c>
      <c r="G1306">
        <v>1099.93</v>
      </c>
      <c r="H1306" t="s">
        <v>17</v>
      </c>
      <c r="I1306" t="s">
        <v>305</v>
      </c>
    </row>
    <row r="1307" spans="1:9" x14ac:dyDescent="0.35">
      <c r="A1307">
        <v>500</v>
      </c>
      <c r="B1307">
        <v>2</v>
      </c>
      <c r="C1307">
        <v>14</v>
      </c>
      <c r="D1307">
        <v>1</v>
      </c>
      <c r="E1307">
        <v>269.99</v>
      </c>
      <c r="F1307">
        <v>0.2</v>
      </c>
      <c r="G1307">
        <v>269.79000000000002</v>
      </c>
      <c r="H1307" t="s">
        <v>19</v>
      </c>
      <c r="I1307" t="s">
        <v>303</v>
      </c>
    </row>
    <row r="1308" spans="1:9" x14ac:dyDescent="0.35">
      <c r="A1308">
        <v>501</v>
      </c>
      <c r="B1308">
        <v>1</v>
      </c>
      <c r="C1308">
        <v>19</v>
      </c>
      <c r="D1308">
        <v>2</v>
      </c>
      <c r="E1308">
        <v>449</v>
      </c>
      <c r="F1308">
        <v>0.1</v>
      </c>
      <c r="G1308">
        <v>897.95</v>
      </c>
      <c r="H1308" t="s">
        <v>24</v>
      </c>
      <c r="I1308" t="s">
        <v>305</v>
      </c>
    </row>
    <row r="1309" spans="1:9" x14ac:dyDescent="0.35">
      <c r="A1309">
        <v>501</v>
      </c>
      <c r="B1309">
        <v>2</v>
      </c>
      <c r="C1309">
        <v>8</v>
      </c>
      <c r="D1309">
        <v>1</v>
      </c>
      <c r="E1309">
        <v>1799.99</v>
      </c>
      <c r="F1309">
        <v>0.1</v>
      </c>
      <c r="G1309">
        <v>1799.92</v>
      </c>
      <c r="H1309" t="s">
        <v>13</v>
      </c>
      <c r="I1309" t="s">
        <v>304</v>
      </c>
    </row>
    <row r="1310" spans="1:9" x14ac:dyDescent="0.35">
      <c r="A1310">
        <v>501</v>
      </c>
      <c r="B1310">
        <v>3</v>
      </c>
      <c r="C1310">
        <v>14</v>
      </c>
      <c r="D1310">
        <v>1</v>
      </c>
      <c r="E1310">
        <v>269.99</v>
      </c>
      <c r="F1310">
        <v>0.1</v>
      </c>
      <c r="G1310">
        <v>269.89</v>
      </c>
      <c r="H1310" t="s">
        <v>19</v>
      </c>
      <c r="I1310" t="s">
        <v>301</v>
      </c>
    </row>
    <row r="1311" spans="1:9" x14ac:dyDescent="0.35">
      <c r="A1311">
        <v>501</v>
      </c>
      <c r="B1311">
        <v>4</v>
      </c>
      <c r="C1311">
        <v>23</v>
      </c>
      <c r="D1311">
        <v>2</v>
      </c>
      <c r="E1311">
        <v>299.99</v>
      </c>
      <c r="F1311">
        <v>0.1</v>
      </c>
      <c r="G1311">
        <v>599.91</v>
      </c>
      <c r="H1311" t="s">
        <v>26</v>
      </c>
      <c r="I1311" t="s">
        <v>302</v>
      </c>
    </row>
    <row r="1312" spans="1:9" x14ac:dyDescent="0.35">
      <c r="A1312">
        <v>503</v>
      </c>
      <c r="B1312">
        <v>1</v>
      </c>
      <c r="C1312">
        <v>13</v>
      </c>
      <c r="D1312">
        <v>2</v>
      </c>
      <c r="E1312">
        <v>269.99</v>
      </c>
      <c r="F1312">
        <v>0.1</v>
      </c>
      <c r="G1312">
        <v>539.91</v>
      </c>
      <c r="H1312" t="s">
        <v>18</v>
      </c>
      <c r="I1312" t="s">
        <v>304</v>
      </c>
    </row>
    <row r="1313" spans="1:9" x14ac:dyDescent="0.35">
      <c r="A1313">
        <v>503</v>
      </c>
      <c r="B1313">
        <v>2</v>
      </c>
      <c r="C1313">
        <v>10</v>
      </c>
      <c r="D1313">
        <v>1</v>
      </c>
      <c r="E1313">
        <v>1549</v>
      </c>
      <c r="F1313">
        <v>0.1</v>
      </c>
      <c r="G1313">
        <v>1548.95</v>
      </c>
      <c r="H1313" t="s">
        <v>15</v>
      </c>
      <c r="I1313" t="s">
        <v>303</v>
      </c>
    </row>
    <row r="1314" spans="1:9" x14ac:dyDescent="0.35">
      <c r="A1314">
        <v>504</v>
      </c>
      <c r="B1314">
        <v>1</v>
      </c>
      <c r="C1314">
        <v>24</v>
      </c>
      <c r="D1314">
        <v>2</v>
      </c>
      <c r="E1314">
        <v>549.99</v>
      </c>
      <c r="F1314">
        <v>0.1</v>
      </c>
      <c r="G1314">
        <v>1099.8800000000001</v>
      </c>
      <c r="H1314" t="s">
        <v>17</v>
      </c>
      <c r="I1314" t="s">
        <v>299</v>
      </c>
    </row>
    <row r="1315" spans="1:9" x14ac:dyDescent="0.35">
      <c r="A1315">
        <v>504</v>
      </c>
      <c r="B1315">
        <v>2</v>
      </c>
      <c r="C1315">
        <v>2</v>
      </c>
      <c r="D1315">
        <v>2</v>
      </c>
      <c r="E1315">
        <v>749.99</v>
      </c>
      <c r="F1315">
        <v>0.1</v>
      </c>
      <c r="G1315">
        <v>1499.93</v>
      </c>
      <c r="H1315" t="s">
        <v>7</v>
      </c>
      <c r="I1315" t="s">
        <v>304</v>
      </c>
    </row>
    <row r="1316" spans="1:9" x14ac:dyDescent="0.35">
      <c r="A1316">
        <v>506</v>
      </c>
      <c r="B1316">
        <v>1</v>
      </c>
      <c r="C1316">
        <v>25</v>
      </c>
      <c r="D1316">
        <v>1</v>
      </c>
      <c r="E1316">
        <v>499.99</v>
      </c>
      <c r="F1316">
        <v>0.1</v>
      </c>
      <c r="G1316">
        <v>499.89</v>
      </c>
      <c r="H1316" t="s">
        <v>27</v>
      </c>
      <c r="I1316" t="s">
        <v>301</v>
      </c>
    </row>
    <row r="1317" spans="1:9" x14ac:dyDescent="0.35">
      <c r="A1317">
        <v>506</v>
      </c>
      <c r="B1317">
        <v>2</v>
      </c>
      <c r="C1317">
        <v>7</v>
      </c>
      <c r="D1317">
        <v>1</v>
      </c>
      <c r="E1317">
        <v>3999.99</v>
      </c>
      <c r="F1317">
        <v>0.1</v>
      </c>
      <c r="G1317">
        <v>3999.92</v>
      </c>
      <c r="H1317" t="s">
        <v>12</v>
      </c>
      <c r="I1317" t="s">
        <v>300</v>
      </c>
    </row>
    <row r="1318" spans="1:9" x14ac:dyDescent="0.35">
      <c r="A1318">
        <v>507</v>
      </c>
      <c r="B1318">
        <v>1</v>
      </c>
      <c r="C1318">
        <v>11</v>
      </c>
      <c r="D1318">
        <v>2</v>
      </c>
      <c r="E1318">
        <v>1680.99</v>
      </c>
      <c r="F1318">
        <v>0.1</v>
      </c>
      <c r="G1318">
        <v>3361.93</v>
      </c>
      <c r="H1318" t="s">
        <v>16</v>
      </c>
      <c r="I1318" t="s">
        <v>299</v>
      </c>
    </row>
    <row r="1319" spans="1:9" x14ac:dyDescent="0.35">
      <c r="A1319">
        <v>507</v>
      </c>
      <c r="B1319">
        <v>2</v>
      </c>
      <c r="C1319">
        <v>13</v>
      </c>
      <c r="D1319">
        <v>2</v>
      </c>
      <c r="E1319">
        <v>269.99</v>
      </c>
      <c r="F1319">
        <v>0.1</v>
      </c>
      <c r="G1319">
        <v>539.91</v>
      </c>
      <c r="H1319" t="s">
        <v>18</v>
      </c>
      <c r="I1319" t="s">
        <v>300</v>
      </c>
    </row>
    <row r="1320" spans="1:9" x14ac:dyDescent="0.35">
      <c r="A1320">
        <v>507</v>
      </c>
      <c r="B1320">
        <v>3</v>
      </c>
      <c r="C1320">
        <v>20</v>
      </c>
      <c r="D1320">
        <v>2</v>
      </c>
      <c r="E1320">
        <v>599.99</v>
      </c>
      <c r="F1320">
        <v>0.1</v>
      </c>
      <c r="G1320">
        <v>1199.8800000000001</v>
      </c>
      <c r="H1320" t="s">
        <v>25</v>
      </c>
      <c r="I1320" t="s">
        <v>303</v>
      </c>
    </row>
    <row r="1321" spans="1:9" x14ac:dyDescent="0.35">
      <c r="A1321">
        <v>508</v>
      </c>
      <c r="B1321">
        <v>1</v>
      </c>
      <c r="C1321">
        <v>8</v>
      </c>
      <c r="D1321">
        <v>1</v>
      </c>
      <c r="E1321">
        <v>1799.99</v>
      </c>
      <c r="F1321">
        <v>0.1</v>
      </c>
      <c r="G1321">
        <v>1799.94</v>
      </c>
      <c r="H1321" t="s">
        <v>13</v>
      </c>
      <c r="I1321" t="s">
        <v>303</v>
      </c>
    </row>
    <row r="1322" spans="1:9" x14ac:dyDescent="0.35">
      <c r="A1322">
        <v>508</v>
      </c>
      <c r="B1322">
        <v>2</v>
      </c>
      <c r="C1322">
        <v>2</v>
      </c>
      <c r="D1322">
        <v>2</v>
      </c>
      <c r="E1322">
        <v>749.99</v>
      </c>
      <c r="F1322">
        <v>0.1</v>
      </c>
      <c r="G1322">
        <v>1499.93</v>
      </c>
      <c r="H1322" t="s">
        <v>7</v>
      </c>
      <c r="I1322" t="s">
        <v>305</v>
      </c>
    </row>
    <row r="1323" spans="1:9" x14ac:dyDescent="0.35">
      <c r="A1323">
        <v>508</v>
      </c>
      <c r="B1323">
        <v>3</v>
      </c>
      <c r="C1323">
        <v>10</v>
      </c>
      <c r="D1323">
        <v>2</v>
      </c>
      <c r="E1323">
        <v>1549</v>
      </c>
      <c r="F1323">
        <v>0.1</v>
      </c>
      <c r="G1323">
        <v>3097.95</v>
      </c>
      <c r="H1323" t="s">
        <v>15</v>
      </c>
      <c r="I1323" t="s">
        <v>299</v>
      </c>
    </row>
    <row r="1324" spans="1:9" x14ac:dyDescent="0.35">
      <c r="A1324">
        <v>508</v>
      </c>
      <c r="B1324">
        <v>4</v>
      </c>
      <c r="C1324">
        <v>25</v>
      </c>
      <c r="D1324">
        <v>1</v>
      </c>
      <c r="E1324">
        <v>499.99</v>
      </c>
      <c r="F1324">
        <v>0.1</v>
      </c>
      <c r="G1324">
        <v>499.92</v>
      </c>
      <c r="H1324" t="s">
        <v>27</v>
      </c>
      <c r="I1324" t="s">
        <v>305</v>
      </c>
    </row>
    <row r="1325" spans="1:9" x14ac:dyDescent="0.35">
      <c r="A1325">
        <v>509</v>
      </c>
      <c r="B1325">
        <v>1</v>
      </c>
      <c r="C1325">
        <v>23</v>
      </c>
      <c r="D1325">
        <v>2</v>
      </c>
      <c r="E1325">
        <v>299.99</v>
      </c>
      <c r="F1325">
        <v>0.2</v>
      </c>
      <c r="G1325">
        <v>599.78</v>
      </c>
      <c r="H1325" t="s">
        <v>26</v>
      </c>
      <c r="I1325" t="s">
        <v>304</v>
      </c>
    </row>
    <row r="1326" spans="1:9" x14ac:dyDescent="0.35">
      <c r="A1326">
        <v>509</v>
      </c>
      <c r="B1326">
        <v>2</v>
      </c>
      <c r="C1326">
        <v>4</v>
      </c>
      <c r="D1326">
        <v>2</v>
      </c>
      <c r="E1326">
        <v>2899.99</v>
      </c>
      <c r="F1326">
        <v>0.1</v>
      </c>
      <c r="G1326">
        <v>5799.93</v>
      </c>
      <c r="H1326" t="s">
        <v>9</v>
      </c>
      <c r="I1326" t="s">
        <v>303</v>
      </c>
    </row>
    <row r="1327" spans="1:9" x14ac:dyDescent="0.35">
      <c r="A1327">
        <v>511</v>
      </c>
      <c r="B1327">
        <v>1</v>
      </c>
      <c r="C1327">
        <v>22</v>
      </c>
      <c r="D1327">
        <v>2</v>
      </c>
      <c r="E1327">
        <v>269.99</v>
      </c>
      <c r="F1327">
        <v>0.1</v>
      </c>
      <c r="G1327">
        <v>539.92999999999995</v>
      </c>
      <c r="H1327" t="s">
        <v>19</v>
      </c>
      <c r="I1327" t="s">
        <v>304</v>
      </c>
    </row>
    <row r="1328" spans="1:9" x14ac:dyDescent="0.35">
      <c r="A1328">
        <v>511</v>
      </c>
      <c r="B1328">
        <v>2</v>
      </c>
      <c r="C1328">
        <v>13</v>
      </c>
      <c r="D1328">
        <v>1</v>
      </c>
      <c r="E1328">
        <v>269.99</v>
      </c>
      <c r="F1328">
        <v>0.1</v>
      </c>
      <c r="G1328">
        <v>269.89</v>
      </c>
      <c r="H1328" t="s">
        <v>18</v>
      </c>
      <c r="I1328" t="s">
        <v>304</v>
      </c>
    </row>
    <row r="1329" spans="1:9" x14ac:dyDescent="0.35">
      <c r="A1329">
        <v>513</v>
      </c>
      <c r="B1329">
        <v>1</v>
      </c>
      <c r="C1329">
        <v>7</v>
      </c>
      <c r="D1329">
        <v>1</v>
      </c>
      <c r="E1329">
        <v>3999.99</v>
      </c>
      <c r="F1329">
        <v>0.1</v>
      </c>
      <c r="G1329">
        <v>3999.92</v>
      </c>
      <c r="H1329" t="s">
        <v>12</v>
      </c>
      <c r="I1329" t="s">
        <v>299</v>
      </c>
    </row>
    <row r="1330" spans="1:9" x14ac:dyDescent="0.35">
      <c r="A1330">
        <v>513</v>
      </c>
      <c r="B1330">
        <v>2</v>
      </c>
      <c r="C1330">
        <v>13</v>
      </c>
      <c r="D1330">
        <v>1</v>
      </c>
      <c r="E1330">
        <v>269.99</v>
      </c>
      <c r="F1330">
        <v>0.2</v>
      </c>
      <c r="G1330">
        <v>269.79000000000002</v>
      </c>
      <c r="H1330" t="s">
        <v>18</v>
      </c>
      <c r="I1330" t="s">
        <v>301</v>
      </c>
    </row>
    <row r="1331" spans="1:9" x14ac:dyDescent="0.35">
      <c r="A1331">
        <v>513</v>
      </c>
      <c r="B1331">
        <v>3</v>
      </c>
      <c r="C1331">
        <v>23</v>
      </c>
      <c r="D1331">
        <v>1</v>
      </c>
      <c r="E1331">
        <v>299.99</v>
      </c>
      <c r="F1331">
        <v>0.1</v>
      </c>
      <c r="G1331">
        <v>299.92</v>
      </c>
      <c r="H1331" t="s">
        <v>26</v>
      </c>
      <c r="I1331" t="s">
        <v>301</v>
      </c>
    </row>
    <row r="1332" spans="1:9" x14ac:dyDescent="0.35">
      <c r="A1332">
        <v>514</v>
      </c>
      <c r="B1332">
        <v>1</v>
      </c>
      <c r="C1332">
        <v>18</v>
      </c>
      <c r="D1332">
        <v>2</v>
      </c>
      <c r="E1332">
        <v>449</v>
      </c>
      <c r="F1332">
        <v>0.2</v>
      </c>
      <c r="G1332">
        <v>897.8</v>
      </c>
      <c r="H1332" t="s">
        <v>23</v>
      </c>
      <c r="I1332" t="s">
        <v>304</v>
      </c>
    </row>
    <row r="1333" spans="1:9" x14ac:dyDescent="0.35">
      <c r="A1333">
        <v>514</v>
      </c>
      <c r="B1333">
        <v>2</v>
      </c>
      <c r="C1333">
        <v>17</v>
      </c>
      <c r="D1333">
        <v>2</v>
      </c>
      <c r="E1333">
        <v>429</v>
      </c>
      <c r="F1333">
        <v>0.1</v>
      </c>
      <c r="G1333">
        <v>857.93</v>
      </c>
      <c r="H1333" t="s">
        <v>22</v>
      </c>
      <c r="I1333" t="s">
        <v>301</v>
      </c>
    </row>
    <row r="1334" spans="1:9" x14ac:dyDescent="0.35">
      <c r="A1334">
        <v>515</v>
      </c>
      <c r="B1334">
        <v>1</v>
      </c>
      <c r="C1334">
        <v>8</v>
      </c>
      <c r="D1334">
        <v>1</v>
      </c>
      <c r="E1334">
        <v>1799.99</v>
      </c>
      <c r="F1334">
        <v>0.1</v>
      </c>
      <c r="G1334">
        <v>1799.92</v>
      </c>
      <c r="H1334" t="s">
        <v>13</v>
      </c>
      <c r="I1334" t="s">
        <v>301</v>
      </c>
    </row>
    <row r="1335" spans="1:9" x14ac:dyDescent="0.35">
      <c r="A1335">
        <v>515</v>
      </c>
      <c r="B1335">
        <v>2</v>
      </c>
      <c r="C1335">
        <v>5</v>
      </c>
      <c r="D1335">
        <v>1</v>
      </c>
      <c r="E1335">
        <v>1320.99</v>
      </c>
      <c r="F1335">
        <v>0.1</v>
      </c>
      <c r="G1335">
        <v>1320.89</v>
      </c>
      <c r="H1335" t="s">
        <v>10</v>
      </c>
      <c r="I1335" t="s">
        <v>301</v>
      </c>
    </row>
    <row r="1336" spans="1:9" x14ac:dyDescent="0.35">
      <c r="A1336">
        <v>515</v>
      </c>
      <c r="B1336">
        <v>3</v>
      </c>
      <c r="C1336">
        <v>25</v>
      </c>
      <c r="D1336">
        <v>2</v>
      </c>
      <c r="E1336">
        <v>499.99</v>
      </c>
      <c r="F1336">
        <v>0.1</v>
      </c>
      <c r="G1336">
        <v>999.91</v>
      </c>
      <c r="H1336" t="s">
        <v>27</v>
      </c>
      <c r="I1336" t="s">
        <v>301</v>
      </c>
    </row>
    <row r="1337" spans="1:9" x14ac:dyDescent="0.35">
      <c r="A1337">
        <v>515</v>
      </c>
      <c r="B1337">
        <v>4</v>
      </c>
      <c r="C1337">
        <v>6</v>
      </c>
      <c r="D1337">
        <v>2</v>
      </c>
      <c r="E1337">
        <v>469.99</v>
      </c>
      <c r="F1337">
        <v>0.2</v>
      </c>
      <c r="G1337">
        <v>939.78</v>
      </c>
      <c r="H1337" t="s">
        <v>11</v>
      </c>
      <c r="I1337" t="s">
        <v>301</v>
      </c>
    </row>
    <row r="1338" spans="1:9" x14ac:dyDescent="0.35">
      <c r="A1338">
        <v>516</v>
      </c>
      <c r="B1338">
        <v>1</v>
      </c>
      <c r="C1338">
        <v>7</v>
      </c>
      <c r="D1338">
        <v>1</v>
      </c>
      <c r="E1338">
        <v>3999.99</v>
      </c>
      <c r="F1338">
        <v>0.1</v>
      </c>
      <c r="G1338">
        <v>3999.94</v>
      </c>
      <c r="H1338" t="s">
        <v>12</v>
      </c>
      <c r="I1338" t="s">
        <v>301</v>
      </c>
    </row>
    <row r="1339" spans="1:9" x14ac:dyDescent="0.35">
      <c r="A1339">
        <v>516</v>
      </c>
      <c r="B1339">
        <v>2</v>
      </c>
      <c r="C1339">
        <v>5</v>
      </c>
      <c r="D1339">
        <v>2</v>
      </c>
      <c r="E1339">
        <v>1320.99</v>
      </c>
      <c r="F1339">
        <v>0.1</v>
      </c>
      <c r="G1339">
        <v>2641.88</v>
      </c>
      <c r="H1339" t="s">
        <v>10</v>
      </c>
      <c r="I1339" t="s">
        <v>302</v>
      </c>
    </row>
    <row r="1340" spans="1:9" x14ac:dyDescent="0.35">
      <c r="A1340">
        <v>518</v>
      </c>
      <c r="B1340">
        <v>1</v>
      </c>
      <c r="C1340">
        <v>16</v>
      </c>
      <c r="D1340">
        <v>2</v>
      </c>
      <c r="E1340">
        <v>599.99</v>
      </c>
      <c r="F1340">
        <v>0.2</v>
      </c>
      <c r="G1340">
        <v>1199.78</v>
      </c>
      <c r="H1340" t="s">
        <v>21</v>
      </c>
      <c r="I1340" t="s">
        <v>299</v>
      </c>
    </row>
    <row r="1341" spans="1:9" x14ac:dyDescent="0.35">
      <c r="A1341">
        <v>518</v>
      </c>
      <c r="B1341">
        <v>2</v>
      </c>
      <c r="C1341">
        <v>5</v>
      </c>
      <c r="D1341">
        <v>2</v>
      </c>
      <c r="E1341">
        <v>1320.99</v>
      </c>
      <c r="F1341">
        <v>0.1</v>
      </c>
      <c r="G1341">
        <v>2641.93</v>
      </c>
      <c r="H1341" t="s">
        <v>10</v>
      </c>
      <c r="I1341" t="s">
        <v>301</v>
      </c>
    </row>
    <row r="1342" spans="1:9" x14ac:dyDescent="0.35">
      <c r="A1342">
        <v>518</v>
      </c>
      <c r="B1342">
        <v>3</v>
      </c>
      <c r="C1342">
        <v>25</v>
      </c>
      <c r="D1342">
        <v>2</v>
      </c>
      <c r="E1342">
        <v>499.99</v>
      </c>
      <c r="F1342">
        <v>0.1</v>
      </c>
      <c r="G1342">
        <v>999.93</v>
      </c>
      <c r="H1342" t="s">
        <v>27</v>
      </c>
      <c r="I1342" t="s">
        <v>304</v>
      </c>
    </row>
    <row r="1343" spans="1:9" x14ac:dyDescent="0.35">
      <c r="A1343">
        <v>518</v>
      </c>
      <c r="B1343">
        <v>4</v>
      </c>
      <c r="C1343">
        <v>15</v>
      </c>
      <c r="D1343">
        <v>2</v>
      </c>
      <c r="E1343">
        <v>529.99</v>
      </c>
      <c r="F1343">
        <v>0.2</v>
      </c>
      <c r="G1343">
        <v>1059.78</v>
      </c>
      <c r="H1343" t="s">
        <v>20</v>
      </c>
      <c r="I1343" t="s">
        <v>301</v>
      </c>
    </row>
    <row r="1344" spans="1:9" x14ac:dyDescent="0.35">
      <c r="A1344">
        <v>518</v>
      </c>
      <c r="B1344">
        <v>5</v>
      </c>
      <c r="C1344">
        <v>11</v>
      </c>
      <c r="D1344">
        <v>2</v>
      </c>
      <c r="E1344">
        <v>1680.99</v>
      </c>
      <c r="F1344">
        <v>0.1</v>
      </c>
      <c r="G1344">
        <v>3361.91</v>
      </c>
      <c r="H1344" t="s">
        <v>16</v>
      </c>
      <c r="I1344" t="s">
        <v>304</v>
      </c>
    </row>
    <row r="1345" spans="1:9" x14ac:dyDescent="0.35">
      <c r="A1345">
        <v>519</v>
      </c>
      <c r="B1345">
        <v>1</v>
      </c>
      <c r="C1345">
        <v>6</v>
      </c>
      <c r="D1345">
        <v>1</v>
      </c>
      <c r="E1345">
        <v>469.99</v>
      </c>
      <c r="F1345">
        <v>0.1</v>
      </c>
      <c r="G1345">
        <v>469.92</v>
      </c>
      <c r="H1345" t="s">
        <v>11</v>
      </c>
      <c r="I1345" t="s">
        <v>301</v>
      </c>
    </row>
    <row r="1346" spans="1:9" x14ac:dyDescent="0.35">
      <c r="A1346">
        <v>519</v>
      </c>
      <c r="B1346">
        <v>2</v>
      </c>
      <c r="C1346">
        <v>16</v>
      </c>
      <c r="D1346">
        <v>1</v>
      </c>
      <c r="E1346">
        <v>599.99</v>
      </c>
      <c r="F1346">
        <v>0.1</v>
      </c>
      <c r="G1346">
        <v>599.89</v>
      </c>
      <c r="H1346" t="s">
        <v>21</v>
      </c>
      <c r="I1346" t="s">
        <v>304</v>
      </c>
    </row>
    <row r="1347" spans="1:9" x14ac:dyDescent="0.35">
      <c r="A1347">
        <v>519</v>
      </c>
      <c r="B1347">
        <v>3</v>
      </c>
      <c r="C1347">
        <v>23</v>
      </c>
      <c r="D1347">
        <v>2</v>
      </c>
      <c r="E1347">
        <v>299.99</v>
      </c>
      <c r="F1347">
        <v>0.1</v>
      </c>
      <c r="G1347">
        <v>599.92999999999995</v>
      </c>
      <c r="H1347" t="s">
        <v>26</v>
      </c>
      <c r="I1347" t="s">
        <v>304</v>
      </c>
    </row>
    <row r="1348" spans="1:9" x14ac:dyDescent="0.35">
      <c r="A1348">
        <v>519</v>
      </c>
      <c r="B1348">
        <v>4</v>
      </c>
      <c r="C1348">
        <v>18</v>
      </c>
      <c r="D1348">
        <v>2</v>
      </c>
      <c r="E1348">
        <v>449</v>
      </c>
      <c r="F1348">
        <v>0.2</v>
      </c>
      <c r="G1348">
        <v>897.8</v>
      </c>
      <c r="H1348" t="s">
        <v>23</v>
      </c>
      <c r="I1348" t="s">
        <v>304</v>
      </c>
    </row>
    <row r="1349" spans="1:9" x14ac:dyDescent="0.35">
      <c r="A1349">
        <v>519</v>
      </c>
      <c r="B1349">
        <v>5</v>
      </c>
      <c r="C1349">
        <v>7</v>
      </c>
      <c r="D1349">
        <v>1</v>
      </c>
      <c r="E1349">
        <v>3999.99</v>
      </c>
      <c r="F1349">
        <v>0.1</v>
      </c>
      <c r="G1349">
        <v>3999.94</v>
      </c>
      <c r="H1349" t="s">
        <v>12</v>
      </c>
      <c r="I1349" t="s">
        <v>305</v>
      </c>
    </row>
    <row r="1350" spans="1:9" x14ac:dyDescent="0.35">
      <c r="A1350">
        <v>520</v>
      </c>
      <c r="B1350">
        <v>1</v>
      </c>
      <c r="C1350">
        <v>26</v>
      </c>
      <c r="D1350">
        <v>1</v>
      </c>
      <c r="E1350">
        <v>599.99</v>
      </c>
      <c r="F1350">
        <v>0.1</v>
      </c>
      <c r="G1350">
        <v>599.89</v>
      </c>
      <c r="H1350" t="s">
        <v>21</v>
      </c>
      <c r="I1350" t="s">
        <v>305</v>
      </c>
    </row>
    <row r="1351" spans="1:9" x14ac:dyDescent="0.35">
      <c r="A1351">
        <v>520</v>
      </c>
      <c r="B1351">
        <v>2</v>
      </c>
      <c r="C1351">
        <v>24</v>
      </c>
      <c r="D1351">
        <v>1</v>
      </c>
      <c r="E1351">
        <v>549.99</v>
      </c>
      <c r="F1351">
        <v>0.2</v>
      </c>
      <c r="G1351">
        <v>549.79</v>
      </c>
      <c r="H1351" t="s">
        <v>17</v>
      </c>
      <c r="I1351" t="s">
        <v>299</v>
      </c>
    </row>
    <row r="1352" spans="1:9" x14ac:dyDescent="0.35">
      <c r="A1352">
        <v>520</v>
      </c>
      <c r="B1352">
        <v>3</v>
      </c>
      <c r="C1352">
        <v>10</v>
      </c>
      <c r="D1352">
        <v>1</v>
      </c>
      <c r="E1352">
        <v>1549</v>
      </c>
      <c r="F1352">
        <v>0.1</v>
      </c>
      <c r="G1352">
        <v>1548.93</v>
      </c>
      <c r="H1352" t="s">
        <v>15</v>
      </c>
      <c r="I1352" t="s">
        <v>301</v>
      </c>
    </row>
    <row r="1353" spans="1:9" x14ac:dyDescent="0.35">
      <c r="A1353">
        <v>521</v>
      </c>
      <c r="B1353">
        <v>1</v>
      </c>
      <c r="C1353">
        <v>5</v>
      </c>
      <c r="D1353">
        <v>1</v>
      </c>
      <c r="E1353">
        <v>1320.99</v>
      </c>
      <c r="F1353">
        <v>0.2</v>
      </c>
      <c r="G1353">
        <v>1320.79</v>
      </c>
      <c r="H1353" t="s">
        <v>10</v>
      </c>
      <c r="I1353" t="s">
        <v>301</v>
      </c>
    </row>
    <row r="1354" spans="1:9" x14ac:dyDescent="0.35">
      <c r="A1354">
        <v>521</v>
      </c>
      <c r="B1354">
        <v>2</v>
      </c>
      <c r="C1354">
        <v>14</v>
      </c>
      <c r="D1354">
        <v>1</v>
      </c>
      <c r="E1354">
        <v>269.99</v>
      </c>
      <c r="F1354">
        <v>0.2</v>
      </c>
      <c r="G1354">
        <v>269.79000000000002</v>
      </c>
      <c r="H1354" t="s">
        <v>19</v>
      </c>
      <c r="I1354" t="s">
        <v>305</v>
      </c>
    </row>
    <row r="1355" spans="1:9" x14ac:dyDescent="0.35">
      <c r="A1355">
        <v>522</v>
      </c>
      <c r="B1355">
        <v>1</v>
      </c>
      <c r="C1355">
        <v>4</v>
      </c>
      <c r="D1355">
        <v>2</v>
      </c>
      <c r="E1355">
        <v>2899.99</v>
      </c>
      <c r="F1355">
        <v>0.1</v>
      </c>
      <c r="G1355">
        <v>5799.91</v>
      </c>
      <c r="H1355" t="s">
        <v>9</v>
      </c>
      <c r="I1355" t="s">
        <v>301</v>
      </c>
    </row>
    <row r="1356" spans="1:9" x14ac:dyDescent="0.35">
      <c r="A1356">
        <v>522</v>
      </c>
      <c r="B1356">
        <v>2</v>
      </c>
      <c r="C1356">
        <v>22</v>
      </c>
      <c r="D1356">
        <v>2</v>
      </c>
      <c r="E1356">
        <v>269.99</v>
      </c>
      <c r="F1356">
        <v>0.1</v>
      </c>
      <c r="G1356">
        <v>539.91</v>
      </c>
      <c r="H1356" t="s">
        <v>19</v>
      </c>
      <c r="I1356" t="s">
        <v>305</v>
      </c>
    </row>
    <row r="1357" spans="1:9" x14ac:dyDescent="0.35">
      <c r="A1357">
        <v>522</v>
      </c>
      <c r="B1357">
        <v>3</v>
      </c>
      <c r="C1357">
        <v>21</v>
      </c>
      <c r="D1357">
        <v>1</v>
      </c>
      <c r="E1357">
        <v>269.99</v>
      </c>
      <c r="F1357">
        <v>0.1</v>
      </c>
      <c r="G1357">
        <v>269.94</v>
      </c>
      <c r="H1357" t="s">
        <v>18</v>
      </c>
      <c r="I1357" t="s">
        <v>299</v>
      </c>
    </row>
    <row r="1358" spans="1:9" x14ac:dyDescent="0.35">
      <c r="A1358">
        <v>523</v>
      </c>
      <c r="B1358">
        <v>1</v>
      </c>
      <c r="C1358">
        <v>12</v>
      </c>
      <c r="D1358">
        <v>1</v>
      </c>
      <c r="E1358">
        <v>549.99</v>
      </c>
      <c r="F1358">
        <v>0.2</v>
      </c>
      <c r="G1358">
        <v>549.79</v>
      </c>
      <c r="H1358" t="s">
        <v>17</v>
      </c>
      <c r="I1358" t="s">
        <v>304</v>
      </c>
    </row>
    <row r="1359" spans="1:9" x14ac:dyDescent="0.35">
      <c r="A1359">
        <v>523</v>
      </c>
      <c r="B1359">
        <v>2</v>
      </c>
      <c r="C1359">
        <v>20</v>
      </c>
      <c r="D1359">
        <v>1</v>
      </c>
      <c r="E1359">
        <v>599.99</v>
      </c>
      <c r="F1359">
        <v>0.1</v>
      </c>
      <c r="G1359">
        <v>599.94000000000005</v>
      </c>
      <c r="H1359" t="s">
        <v>25</v>
      </c>
      <c r="I1359" t="s">
        <v>299</v>
      </c>
    </row>
    <row r="1360" spans="1:9" x14ac:dyDescent="0.35">
      <c r="A1360">
        <v>523</v>
      </c>
      <c r="B1360">
        <v>3</v>
      </c>
      <c r="C1360">
        <v>5</v>
      </c>
      <c r="D1360">
        <v>2</v>
      </c>
      <c r="E1360">
        <v>1320.99</v>
      </c>
      <c r="F1360">
        <v>0.1</v>
      </c>
      <c r="G1360">
        <v>2641.88</v>
      </c>
      <c r="H1360" t="s">
        <v>10</v>
      </c>
      <c r="I1360" t="s">
        <v>299</v>
      </c>
    </row>
    <row r="1361" spans="1:9" x14ac:dyDescent="0.35">
      <c r="A1361">
        <v>523</v>
      </c>
      <c r="B1361">
        <v>4</v>
      </c>
      <c r="C1361">
        <v>16</v>
      </c>
      <c r="D1361">
        <v>2</v>
      </c>
      <c r="E1361">
        <v>599.99</v>
      </c>
      <c r="F1361">
        <v>0.1</v>
      </c>
      <c r="G1361">
        <v>1199.9100000000001</v>
      </c>
      <c r="H1361" t="s">
        <v>21</v>
      </c>
      <c r="I1361" t="s">
        <v>299</v>
      </c>
    </row>
    <row r="1362" spans="1:9" x14ac:dyDescent="0.35">
      <c r="A1362">
        <v>524</v>
      </c>
      <c r="B1362">
        <v>1</v>
      </c>
      <c r="C1362">
        <v>11</v>
      </c>
      <c r="D1362">
        <v>1</v>
      </c>
      <c r="E1362">
        <v>1680.99</v>
      </c>
      <c r="F1362">
        <v>0.1</v>
      </c>
      <c r="G1362">
        <v>1680.92</v>
      </c>
      <c r="H1362" t="s">
        <v>16</v>
      </c>
      <c r="I1362" t="s">
        <v>299</v>
      </c>
    </row>
    <row r="1363" spans="1:9" x14ac:dyDescent="0.35">
      <c r="A1363">
        <v>524</v>
      </c>
      <c r="B1363">
        <v>2</v>
      </c>
      <c r="C1363">
        <v>2</v>
      </c>
      <c r="D1363">
        <v>1</v>
      </c>
      <c r="E1363">
        <v>749.99</v>
      </c>
      <c r="F1363">
        <v>0.1</v>
      </c>
      <c r="G1363">
        <v>749.94</v>
      </c>
      <c r="H1363" t="s">
        <v>7</v>
      </c>
      <c r="I1363" t="s">
        <v>303</v>
      </c>
    </row>
    <row r="1364" spans="1:9" x14ac:dyDescent="0.35">
      <c r="A1364">
        <v>524</v>
      </c>
      <c r="B1364">
        <v>3</v>
      </c>
      <c r="C1364">
        <v>9</v>
      </c>
      <c r="D1364">
        <v>1</v>
      </c>
      <c r="E1364">
        <v>2999.99</v>
      </c>
      <c r="F1364">
        <v>0.2</v>
      </c>
      <c r="G1364">
        <v>2999.79</v>
      </c>
      <c r="H1364" t="s">
        <v>14</v>
      </c>
      <c r="I1364" t="s">
        <v>304</v>
      </c>
    </row>
    <row r="1365" spans="1:9" x14ac:dyDescent="0.35">
      <c r="A1365">
        <v>524</v>
      </c>
      <c r="B1365">
        <v>4</v>
      </c>
      <c r="C1365">
        <v>3</v>
      </c>
      <c r="D1365">
        <v>2</v>
      </c>
      <c r="E1365">
        <v>999.99</v>
      </c>
      <c r="F1365">
        <v>0.1</v>
      </c>
      <c r="G1365">
        <v>1999.91</v>
      </c>
      <c r="H1365" t="s">
        <v>8</v>
      </c>
      <c r="I1365" t="s">
        <v>299</v>
      </c>
    </row>
    <row r="1366" spans="1:9" x14ac:dyDescent="0.35">
      <c r="A1366">
        <v>524</v>
      </c>
      <c r="B1366">
        <v>5</v>
      </c>
      <c r="C1366">
        <v>26</v>
      </c>
      <c r="D1366">
        <v>1</v>
      </c>
      <c r="E1366">
        <v>599.99</v>
      </c>
      <c r="F1366">
        <v>0.1</v>
      </c>
      <c r="G1366">
        <v>599.94000000000005</v>
      </c>
      <c r="H1366" t="s">
        <v>21</v>
      </c>
      <c r="I1366" t="s">
        <v>301</v>
      </c>
    </row>
    <row r="1367" spans="1:9" x14ac:dyDescent="0.35">
      <c r="A1367">
        <v>525</v>
      </c>
      <c r="B1367">
        <v>1</v>
      </c>
      <c r="C1367">
        <v>9</v>
      </c>
      <c r="D1367">
        <v>2</v>
      </c>
      <c r="E1367">
        <v>2999.99</v>
      </c>
      <c r="F1367">
        <v>0.1</v>
      </c>
      <c r="G1367">
        <v>5999.91</v>
      </c>
      <c r="H1367" t="s">
        <v>14</v>
      </c>
      <c r="I1367" t="s">
        <v>303</v>
      </c>
    </row>
    <row r="1368" spans="1:9" x14ac:dyDescent="0.35">
      <c r="A1368">
        <v>525</v>
      </c>
      <c r="B1368">
        <v>2</v>
      </c>
      <c r="C1368">
        <v>6</v>
      </c>
      <c r="D1368">
        <v>2</v>
      </c>
      <c r="E1368">
        <v>469.99</v>
      </c>
      <c r="F1368">
        <v>0.1</v>
      </c>
      <c r="G1368">
        <v>939.91</v>
      </c>
      <c r="H1368" t="s">
        <v>11</v>
      </c>
      <c r="I1368" t="s">
        <v>305</v>
      </c>
    </row>
    <row r="1369" spans="1:9" x14ac:dyDescent="0.35">
      <c r="A1369">
        <v>525</v>
      </c>
      <c r="B1369">
        <v>3</v>
      </c>
      <c r="C1369">
        <v>10</v>
      </c>
      <c r="D1369">
        <v>1</v>
      </c>
      <c r="E1369">
        <v>1549</v>
      </c>
      <c r="F1369">
        <v>0.1</v>
      </c>
      <c r="G1369">
        <v>1548.9</v>
      </c>
      <c r="H1369" t="s">
        <v>15</v>
      </c>
      <c r="I1369" t="s">
        <v>299</v>
      </c>
    </row>
    <row r="1370" spans="1:9" x14ac:dyDescent="0.35">
      <c r="A1370">
        <v>526</v>
      </c>
      <c r="B1370">
        <v>1</v>
      </c>
      <c r="C1370">
        <v>3</v>
      </c>
      <c r="D1370">
        <v>2</v>
      </c>
      <c r="E1370">
        <v>999.99</v>
      </c>
      <c r="F1370">
        <v>0.1</v>
      </c>
      <c r="G1370">
        <v>1999.88</v>
      </c>
      <c r="H1370" t="s">
        <v>8</v>
      </c>
      <c r="I1370" t="s">
        <v>305</v>
      </c>
    </row>
    <row r="1371" spans="1:9" x14ac:dyDescent="0.35">
      <c r="A1371">
        <v>526</v>
      </c>
      <c r="B1371">
        <v>2</v>
      </c>
      <c r="C1371">
        <v>8</v>
      </c>
      <c r="D1371">
        <v>1</v>
      </c>
      <c r="E1371">
        <v>1799.99</v>
      </c>
      <c r="F1371">
        <v>0.1</v>
      </c>
      <c r="G1371">
        <v>1799.89</v>
      </c>
      <c r="H1371" t="s">
        <v>13</v>
      </c>
      <c r="I1371" t="s">
        <v>300</v>
      </c>
    </row>
    <row r="1372" spans="1:9" x14ac:dyDescent="0.35">
      <c r="A1372">
        <v>526</v>
      </c>
      <c r="B1372">
        <v>3</v>
      </c>
      <c r="C1372">
        <v>21</v>
      </c>
      <c r="D1372">
        <v>1</v>
      </c>
      <c r="E1372">
        <v>269.99</v>
      </c>
      <c r="F1372">
        <v>0.1</v>
      </c>
      <c r="G1372">
        <v>269.94</v>
      </c>
      <c r="H1372" t="s">
        <v>18</v>
      </c>
      <c r="I1372" t="s">
        <v>301</v>
      </c>
    </row>
    <row r="1373" spans="1:9" x14ac:dyDescent="0.35">
      <c r="A1373">
        <v>526</v>
      </c>
      <c r="B1373">
        <v>4</v>
      </c>
      <c r="C1373">
        <v>15</v>
      </c>
      <c r="D1373">
        <v>1</v>
      </c>
      <c r="E1373">
        <v>529.99</v>
      </c>
      <c r="F1373">
        <v>0.1</v>
      </c>
      <c r="G1373">
        <v>529.91999999999996</v>
      </c>
      <c r="H1373" t="s">
        <v>20</v>
      </c>
      <c r="I1373" t="s">
        <v>300</v>
      </c>
    </row>
    <row r="1374" spans="1:9" x14ac:dyDescent="0.35">
      <c r="A1374">
        <v>527</v>
      </c>
      <c r="B1374">
        <v>1</v>
      </c>
      <c r="C1374">
        <v>18</v>
      </c>
      <c r="D1374">
        <v>2</v>
      </c>
      <c r="E1374">
        <v>449</v>
      </c>
      <c r="F1374">
        <v>0.1</v>
      </c>
      <c r="G1374">
        <v>897.93</v>
      </c>
      <c r="H1374" t="s">
        <v>23</v>
      </c>
      <c r="I1374" t="s">
        <v>301</v>
      </c>
    </row>
    <row r="1375" spans="1:9" x14ac:dyDescent="0.35">
      <c r="A1375">
        <v>527</v>
      </c>
      <c r="B1375">
        <v>2</v>
      </c>
      <c r="C1375">
        <v>4</v>
      </c>
      <c r="D1375">
        <v>1</v>
      </c>
      <c r="E1375">
        <v>2899.99</v>
      </c>
      <c r="F1375">
        <v>0.2</v>
      </c>
      <c r="G1375">
        <v>2899.79</v>
      </c>
      <c r="H1375" t="s">
        <v>9</v>
      </c>
      <c r="I1375" t="s">
        <v>299</v>
      </c>
    </row>
    <row r="1376" spans="1:9" x14ac:dyDescent="0.35">
      <c r="A1376">
        <v>527</v>
      </c>
      <c r="B1376">
        <v>3</v>
      </c>
      <c r="C1376">
        <v>19</v>
      </c>
      <c r="D1376">
        <v>1</v>
      </c>
      <c r="E1376">
        <v>449</v>
      </c>
      <c r="F1376">
        <v>0.1</v>
      </c>
      <c r="G1376">
        <v>448.9</v>
      </c>
      <c r="H1376" t="s">
        <v>24</v>
      </c>
      <c r="I1376" t="s">
        <v>301</v>
      </c>
    </row>
    <row r="1377" spans="1:9" x14ac:dyDescent="0.35">
      <c r="A1377">
        <v>527</v>
      </c>
      <c r="B1377">
        <v>4</v>
      </c>
      <c r="C1377">
        <v>9</v>
      </c>
      <c r="D1377">
        <v>2</v>
      </c>
      <c r="E1377">
        <v>2999.99</v>
      </c>
      <c r="F1377">
        <v>0.2</v>
      </c>
      <c r="G1377">
        <v>5999.78</v>
      </c>
      <c r="H1377" t="s">
        <v>14</v>
      </c>
      <c r="I1377" t="s">
        <v>300</v>
      </c>
    </row>
    <row r="1378" spans="1:9" x14ac:dyDescent="0.35">
      <c r="A1378">
        <v>530</v>
      </c>
      <c r="B1378">
        <v>1</v>
      </c>
      <c r="C1378">
        <v>2</v>
      </c>
      <c r="D1378">
        <v>2</v>
      </c>
      <c r="E1378">
        <v>749.99</v>
      </c>
      <c r="F1378">
        <v>0.1</v>
      </c>
      <c r="G1378">
        <v>1499.93</v>
      </c>
      <c r="H1378" t="s">
        <v>7</v>
      </c>
      <c r="I1378" t="s">
        <v>299</v>
      </c>
    </row>
    <row r="1379" spans="1:9" x14ac:dyDescent="0.35">
      <c r="A1379">
        <v>530</v>
      </c>
      <c r="B1379">
        <v>2</v>
      </c>
      <c r="C1379">
        <v>4</v>
      </c>
      <c r="D1379">
        <v>1</v>
      </c>
      <c r="E1379">
        <v>2899.99</v>
      </c>
      <c r="F1379">
        <v>0.1</v>
      </c>
      <c r="G1379">
        <v>2899.92</v>
      </c>
      <c r="H1379" t="s">
        <v>9</v>
      </c>
      <c r="I1379" t="s">
        <v>300</v>
      </c>
    </row>
    <row r="1380" spans="1:9" x14ac:dyDescent="0.35">
      <c r="A1380">
        <v>530</v>
      </c>
      <c r="B1380">
        <v>3</v>
      </c>
      <c r="C1380">
        <v>6</v>
      </c>
      <c r="D1380">
        <v>2</v>
      </c>
      <c r="E1380">
        <v>469.99</v>
      </c>
      <c r="F1380">
        <v>0.2</v>
      </c>
      <c r="G1380">
        <v>939.78</v>
      </c>
      <c r="H1380" t="s">
        <v>11</v>
      </c>
      <c r="I1380" t="s">
        <v>300</v>
      </c>
    </row>
    <row r="1381" spans="1:9" x14ac:dyDescent="0.35">
      <c r="A1381">
        <v>531</v>
      </c>
      <c r="B1381">
        <v>1</v>
      </c>
      <c r="C1381">
        <v>6</v>
      </c>
      <c r="D1381">
        <v>1</v>
      </c>
      <c r="E1381">
        <v>469.99</v>
      </c>
      <c r="F1381">
        <v>0.2</v>
      </c>
      <c r="G1381">
        <v>469.79</v>
      </c>
      <c r="H1381" t="s">
        <v>11</v>
      </c>
      <c r="I1381" t="s">
        <v>304</v>
      </c>
    </row>
    <row r="1382" spans="1:9" x14ac:dyDescent="0.35">
      <c r="A1382">
        <v>531</v>
      </c>
      <c r="B1382">
        <v>2</v>
      </c>
      <c r="C1382">
        <v>12</v>
      </c>
      <c r="D1382">
        <v>2</v>
      </c>
      <c r="E1382">
        <v>549.99</v>
      </c>
      <c r="F1382">
        <v>0.2</v>
      </c>
      <c r="G1382">
        <v>1099.78</v>
      </c>
      <c r="H1382" t="s">
        <v>17</v>
      </c>
      <c r="I1382" t="s">
        <v>302</v>
      </c>
    </row>
    <row r="1383" spans="1:9" x14ac:dyDescent="0.35">
      <c r="A1383">
        <v>531</v>
      </c>
      <c r="B1383">
        <v>3</v>
      </c>
      <c r="C1383">
        <v>25</v>
      </c>
      <c r="D1383">
        <v>1</v>
      </c>
      <c r="E1383">
        <v>499.99</v>
      </c>
      <c r="F1383">
        <v>0.1</v>
      </c>
      <c r="G1383">
        <v>499.92</v>
      </c>
      <c r="H1383" t="s">
        <v>27</v>
      </c>
      <c r="I1383" t="s">
        <v>299</v>
      </c>
    </row>
    <row r="1384" spans="1:9" x14ac:dyDescent="0.35">
      <c r="A1384">
        <v>532</v>
      </c>
      <c r="B1384">
        <v>1</v>
      </c>
      <c r="C1384">
        <v>17</v>
      </c>
      <c r="D1384">
        <v>2</v>
      </c>
      <c r="E1384">
        <v>429</v>
      </c>
      <c r="F1384">
        <v>0.1</v>
      </c>
      <c r="G1384">
        <v>857.93</v>
      </c>
      <c r="H1384" t="s">
        <v>22</v>
      </c>
      <c r="I1384" t="s">
        <v>301</v>
      </c>
    </row>
    <row r="1385" spans="1:9" x14ac:dyDescent="0.35">
      <c r="A1385">
        <v>532</v>
      </c>
      <c r="B1385">
        <v>2</v>
      </c>
      <c r="C1385">
        <v>16</v>
      </c>
      <c r="D1385">
        <v>2</v>
      </c>
      <c r="E1385">
        <v>599.99</v>
      </c>
      <c r="F1385">
        <v>0.2</v>
      </c>
      <c r="G1385">
        <v>1199.78</v>
      </c>
      <c r="H1385" t="s">
        <v>21</v>
      </c>
      <c r="I1385" t="s">
        <v>300</v>
      </c>
    </row>
    <row r="1386" spans="1:9" x14ac:dyDescent="0.35">
      <c r="A1386">
        <v>532</v>
      </c>
      <c r="B1386">
        <v>3</v>
      </c>
      <c r="C1386">
        <v>12</v>
      </c>
      <c r="D1386">
        <v>1</v>
      </c>
      <c r="E1386">
        <v>549.99</v>
      </c>
      <c r="F1386">
        <v>0.1</v>
      </c>
      <c r="G1386">
        <v>549.89</v>
      </c>
      <c r="H1386" t="s">
        <v>17</v>
      </c>
      <c r="I1386" t="s">
        <v>305</v>
      </c>
    </row>
    <row r="1387" spans="1:9" x14ac:dyDescent="0.35">
      <c r="A1387">
        <v>533</v>
      </c>
      <c r="B1387">
        <v>1</v>
      </c>
      <c r="C1387">
        <v>4</v>
      </c>
      <c r="D1387">
        <v>1</v>
      </c>
      <c r="E1387">
        <v>2899.99</v>
      </c>
      <c r="F1387">
        <v>0.2</v>
      </c>
      <c r="G1387">
        <v>2899.79</v>
      </c>
      <c r="H1387" t="s">
        <v>9</v>
      </c>
      <c r="I1387" t="s">
        <v>305</v>
      </c>
    </row>
    <row r="1388" spans="1:9" x14ac:dyDescent="0.35">
      <c r="A1388">
        <v>533</v>
      </c>
      <c r="B1388">
        <v>2</v>
      </c>
      <c r="C1388">
        <v>12</v>
      </c>
      <c r="D1388">
        <v>2</v>
      </c>
      <c r="E1388">
        <v>549.99</v>
      </c>
      <c r="F1388">
        <v>0.1</v>
      </c>
      <c r="G1388">
        <v>1099.8800000000001</v>
      </c>
      <c r="H1388" t="s">
        <v>17</v>
      </c>
      <c r="I1388" t="s">
        <v>299</v>
      </c>
    </row>
    <row r="1389" spans="1:9" x14ac:dyDescent="0.35">
      <c r="A1389">
        <v>533</v>
      </c>
      <c r="B1389">
        <v>3</v>
      </c>
      <c r="C1389">
        <v>10</v>
      </c>
      <c r="D1389">
        <v>1</v>
      </c>
      <c r="E1389">
        <v>1549</v>
      </c>
      <c r="F1389">
        <v>0.2</v>
      </c>
      <c r="G1389">
        <v>1548.8</v>
      </c>
      <c r="H1389" t="s">
        <v>15</v>
      </c>
      <c r="I1389" t="s">
        <v>299</v>
      </c>
    </row>
    <row r="1390" spans="1:9" x14ac:dyDescent="0.35">
      <c r="A1390">
        <v>533</v>
      </c>
      <c r="B1390">
        <v>4</v>
      </c>
      <c r="C1390">
        <v>25</v>
      </c>
      <c r="D1390">
        <v>1</v>
      </c>
      <c r="E1390">
        <v>499.99</v>
      </c>
      <c r="F1390">
        <v>0.1</v>
      </c>
      <c r="G1390">
        <v>499.94</v>
      </c>
      <c r="H1390" t="s">
        <v>27</v>
      </c>
      <c r="I1390" t="s">
        <v>304</v>
      </c>
    </row>
    <row r="1391" spans="1:9" x14ac:dyDescent="0.35">
      <c r="A1391">
        <v>534</v>
      </c>
      <c r="B1391">
        <v>1</v>
      </c>
      <c r="C1391">
        <v>21</v>
      </c>
      <c r="D1391">
        <v>2</v>
      </c>
      <c r="E1391">
        <v>269.99</v>
      </c>
      <c r="F1391">
        <v>0.1</v>
      </c>
      <c r="G1391">
        <v>539.92999999999995</v>
      </c>
      <c r="H1391" t="s">
        <v>18</v>
      </c>
      <c r="I1391" t="s">
        <v>303</v>
      </c>
    </row>
    <row r="1392" spans="1:9" x14ac:dyDescent="0.35">
      <c r="A1392">
        <v>534</v>
      </c>
      <c r="B1392">
        <v>2</v>
      </c>
      <c r="C1392">
        <v>9</v>
      </c>
      <c r="D1392">
        <v>2</v>
      </c>
      <c r="E1392">
        <v>2999.99</v>
      </c>
      <c r="F1392">
        <v>0.1</v>
      </c>
      <c r="G1392">
        <v>5999.93</v>
      </c>
      <c r="H1392" t="s">
        <v>14</v>
      </c>
      <c r="I1392" t="s">
        <v>305</v>
      </c>
    </row>
    <row r="1393" spans="1:9" x14ac:dyDescent="0.35">
      <c r="A1393">
        <v>534</v>
      </c>
      <c r="B1393">
        <v>3</v>
      </c>
      <c r="C1393">
        <v>2</v>
      </c>
      <c r="D1393">
        <v>1</v>
      </c>
      <c r="E1393">
        <v>749.99</v>
      </c>
      <c r="F1393">
        <v>0.1</v>
      </c>
      <c r="G1393">
        <v>749.92</v>
      </c>
      <c r="H1393" t="s">
        <v>7</v>
      </c>
      <c r="I1393" t="s">
        <v>304</v>
      </c>
    </row>
    <row r="1394" spans="1:9" x14ac:dyDescent="0.35">
      <c r="A1394">
        <v>534</v>
      </c>
      <c r="B1394">
        <v>4</v>
      </c>
      <c r="C1394">
        <v>24</v>
      </c>
      <c r="D1394">
        <v>2</v>
      </c>
      <c r="E1394">
        <v>549.99</v>
      </c>
      <c r="F1394">
        <v>0.1</v>
      </c>
      <c r="G1394">
        <v>1099.8800000000001</v>
      </c>
      <c r="H1394" t="s">
        <v>17</v>
      </c>
      <c r="I1394" t="s">
        <v>303</v>
      </c>
    </row>
    <row r="1395" spans="1:9" x14ac:dyDescent="0.35">
      <c r="A1395">
        <v>535</v>
      </c>
      <c r="B1395">
        <v>1</v>
      </c>
      <c r="C1395">
        <v>24</v>
      </c>
      <c r="D1395">
        <v>1</v>
      </c>
      <c r="E1395">
        <v>549.99</v>
      </c>
      <c r="F1395">
        <v>0.1</v>
      </c>
      <c r="G1395">
        <v>549.94000000000005</v>
      </c>
      <c r="H1395" t="s">
        <v>17</v>
      </c>
      <c r="I1395" t="s">
        <v>299</v>
      </c>
    </row>
    <row r="1396" spans="1:9" x14ac:dyDescent="0.35">
      <c r="A1396">
        <v>535</v>
      </c>
      <c r="B1396">
        <v>2</v>
      </c>
      <c r="C1396">
        <v>15</v>
      </c>
      <c r="D1396">
        <v>1</v>
      </c>
      <c r="E1396">
        <v>529.99</v>
      </c>
      <c r="F1396">
        <v>0.1</v>
      </c>
      <c r="G1396">
        <v>529.89</v>
      </c>
      <c r="H1396" t="s">
        <v>20</v>
      </c>
      <c r="I1396" t="s">
        <v>299</v>
      </c>
    </row>
    <row r="1397" spans="1:9" x14ac:dyDescent="0.35">
      <c r="A1397">
        <v>535</v>
      </c>
      <c r="B1397">
        <v>3</v>
      </c>
      <c r="C1397">
        <v>22</v>
      </c>
      <c r="D1397">
        <v>2</v>
      </c>
      <c r="E1397">
        <v>269.99</v>
      </c>
      <c r="F1397">
        <v>0.1</v>
      </c>
      <c r="G1397">
        <v>539.88</v>
      </c>
      <c r="H1397" t="s">
        <v>19</v>
      </c>
      <c r="I1397" t="s">
        <v>304</v>
      </c>
    </row>
    <row r="1398" spans="1:9" x14ac:dyDescent="0.35">
      <c r="A1398">
        <v>536</v>
      </c>
      <c r="B1398">
        <v>1</v>
      </c>
      <c r="C1398">
        <v>22</v>
      </c>
      <c r="D1398">
        <v>1</v>
      </c>
      <c r="E1398">
        <v>269.99</v>
      </c>
      <c r="F1398">
        <v>0.1</v>
      </c>
      <c r="G1398">
        <v>269.89</v>
      </c>
      <c r="H1398" t="s">
        <v>19</v>
      </c>
      <c r="I1398" t="s">
        <v>301</v>
      </c>
    </row>
    <row r="1399" spans="1:9" x14ac:dyDescent="0.35">
      <c r="A1399">
        <v>536</v>
      </c>
      <c r="B1399">
        <v>2</v>
      </c>
      <c r="C1399">
        <v>2</v>
      </c>
      <c r="D1399">
        <v>1</v>
      </c>
      <c r="E1399">
        <v>749.99</v>
      </c>
      <c r="F1399">
        <v>0.1</v>
      </c>
      <c r="G1399">
        <v>749.89</v>
      </c>
      <c r="H1399" t="s">
        <v>7</v>
      </c>
      <c r="I1399" t="s">
        <v>301</v>
      </c>
    </row>
    <row r="1400" spans="1:9" x14ac:dyDescent="0.35">
      <c r="A1400">
        <v>536</v>
      </c>
      <c r="B1400">
        <v>3</v>
      </c>
      <c r="C1400">
        <v>12</v>
      </c>
      <c r="D1400">
        <v>2</v>
      </c>
      <c r="E1400">
        <v>549.99</v>
      </c>
      <c r="F1400">
        <v>0.1</v>
      </c>
      <c r="G1400">
        <v>1099.93</v>
      </c>
      <c r="H1400" t="s">
        <v>17</v>
      </c>
      <c r="I1400" t="s">
        <v>299</v>
      </c>
    </row>
    <row r="1401" spans="1:9" x14ac:dyDescent="0.35">
      <c r="A1401">
        <v>536</v>
      </c>
      <c r="B1401">
        <v>4</v>
      </c>
      <c r="C1401">
        <v>14</v>
      </c>
      <c r="D1401">
        <v>1</v>
      </c>
      <c r="E1401">
        <v>269.99</v>
      </c>
      <c r="F1401">
        <v>0.1</v>
      </c>
      <c r="G1401">
        <v>269.92</v>
      </c>
      <c r="H1401" t="s">
        <v>19</v>
      </c>
      <c r="I1401" t="s">
        <v>301</v>
      </c>
    </row>
    <row r="1402" spans="1:9" x14ac:dyDescent="0.35">
      <c r="A1402">
        <v>537</v>
      </c>
      <c r="B1402">
        <v>1</v>
      </c>
      <c r="C1402">
        <v>10</v>
      </c>
      <c r="D1402">
        <v>1</v>
      </c>
      <c r="E1402">
        <v>1549</v>
      </c>
      <c r="F1402">
        <v>0.1</v>
      </c>
      <c r="G1402">
        <v>1548.95</v>
      </c>
      <c r="H1402" t="s">
        <v>15</v>
      </c>
      <c r="I1402" t="s">
        <v>304</v>
      </c>
    </row>
    <row r="1403" spans="1:9" x14ac:dyDescent="0.35">
      <c r="A1403">
        <v>537</v>
      </c>
      <c r="B1403">
        <v>2</v>
      </c>
      <c r="C1403">
        <v>26</v>
      </c>
      <c r="D1403">
        <v>1</v>
      </c>
      <c r="E1403">
        <v>599.99</v>
      </c>
      <c r="F1403">
        <v>0.1</v>
      </c>
      <c r="G1403">
        <v>599.94000000000005</v>
      </c>
      <c r="H1403" t="s">
        <v>21</v>
      </c>
      <c r="I1403" t="s">
        <v>305</v>
      </c>
    </row>
    <row r="1404" spans="1:9" x14ac:dyDescent="0.35">
      <c r="A1404">
        <v>537</v>
      </c>
      <c r="B1404">
        <v>3</v>
      </c>
      <c r="C1404">
        <v>17</v>
      </c>
      <c r="D1404">
        <v>2</v>
      </c>
      <c r="E1404">
        <v>429</v>
      </c>
      <c r="F1404">
        <v>0.1</v>
      </c>
      <c r="G1404">
        <v>857.9</v>
      </c>
      <c r="H1404" t="s">
        <v>22</v>
      </c>
      <c r="I1404" t="s">
        <v>300</v>
      </c>
    </row>
    <row r="1405" spans="1:9" x14ac:dyDescent="0.35">
      <c r="A1405">
        <v>537</v>
      </c>
      <c r="B1405">
        <v>4</v>
      </c>
      <c r="C1405">
        <v>25</v>
      </c>
      <c r="D1405">
        <v>2</v>
      </c>
      <c r="E1405">
        <v>499.99</v>
      </c>
      <c r="F1405">
        <v>0.2</v>
      </c>
      <c r="G1405">
        <v>999.78</v>
      </c>
      <c r="H1405" t="s">
        <v>27</v>
      </c>
      <c r="I1405" t="s">
        <v>304</v>
      </c>
    </row>
    <row r="1406" spans="1:9" x14ac:dyDescent="0.35">
      <c r="A1406">
        <v>539</v>
      </c>
      <c r="B1406">
        <v>1</v>
      </c>
      <c r="C1406">
        <v>9</v>
      </c>
      <c r="D1406">
        <v>2</v>
      </c>
      <c r="E1406">
        <v>2999.99</v>
      </c>
      <c r="F1406">
        <v>0.1</v>
      </c>
      <c r="G1406">
        <v>5999.88</v>
      </c>
      <c r="H1406" t="s">
        <v>14</v>
      </c>
      <c r="I1406" t="s">
        <v>301</v>
      </c>
    </row>
    <row r="1407" spans="1:9" x14ac:dyDescent="0.35">
      <c r="A1407">
        <v>539</v>
      </c>
      <c r="B1407">
        <v>2</v>
      </c>
      <c r="C1407">
        <v>23</v>
      </c>
      <c r="D1407">
        <v>1</v>
      </c>
      <c r="E1407">
        <v>299.99</v>
      </c>
      <c r="F1407">
        <v>0.1</v>
      </c>
      <c r="G1407">
        <v>299.94</v>
      </c>
      <c r="H1407" t="s">
        <v>26</v>
      </c>
      <c r="I1407" t="s">
        <v>301</v>
      </c>
    </row>
    <row r="1408" spans="1:9" x14ac:dyDescent="0.35">
      <c r="A1408">
        <v>539</v>
      </c>
      <c r="B1408">
        <v>3</v>
      </c>
      <c r="C1408">
        <v>21</v>
      </c>
      <c r="D1408">
        <v>2</v>
      </c>
      <c r="E1408">
        <v>269.99</v>
      </c>
      <c r="F1408">
        <v>0.1</v>
      </c>
      <c r="G1408">
        <v>539.91</v>
      </c>
      <c r="H1408" t="s">
        <v>18</v>
      </c>
      <c r="I1408" t="s">
        <v>299</v>
      </c>
    </row>
    <row r="1409" spans="1:9" x14ac:dyDescent="0.35">
      <c r="A1409">
        <v>540</v>
      </c>
      <c r="B1409">
        <v>1</v>
      </c>
      <c r="C1409">
        <v>19</v>
      </c>
      <c r="D1409">
        <v>1</v>
      </c>
      <c r="E1409">
        <v>449</v>
      </c>
      <c r="F1409">
        <v>0.1</v>
      </c>
      <c r="G1409">
        <v>448.9</v>
      </c>
      <c r="H1409" t="s">
        <v>24</v>
      </c>
      <c r="I1409" t="s">
        <v>301</v>
      </c>
    </row>
    <row r="1410" spans="1:9" x14ac:dyDescent="0.35">
      <c r="A1410">
        <v>540</v>
      </c>
      <c r="B1410">
        <v>2</v>
      </c>
      <c r="C1410">
        <v>26</v>
      </c>
      <c r="D1410">
        <v>2</v>
      </c>
      <c r="E1410">
        <v>599.99</v>
      </c>
      <c r="F1410">
        <v>0.1</v>
      </c>
      <c r="G1410">
        <v>1199.8800000000001</v>
      </c>
      <c r="H1410" t="s">
        <v>21</v>
      </c>
      <c r="I1410" t="s">
        <v>305</v>
      </c>
    </row>
    <row r="1411" spans="1:9" x14ac:dyDescent="0.35">
      <c r="A1411">
        <v>540</v>
      </c>
      <c r="B1411">
        <v>3</v>
      </c>
      <c r="C1411">
        <v>23</v>
      </c>
      <c r="D1411">
        <v>2</v>
      </c>
      <c r="E1411">
        <v>299.99</v>
      </c>
      <c r="F1411">
        <v>0.1</v>
      </c>
      <c r="G1411">
        <v>599.91</v>
      </c>
      <c r="H1411" t="s">
        <v>26</v>
      </c>
      <c r="I1411" t="s">
        <v>304</v>
      </c>
    </row>
    <row r="1412" spans="1:9" x14ac:dyDescent="0.35">
      <c r="A1412">
        <v>542</v>
      </c>
      <c r="B1412">
        <v>1</v>
      </c>
      <c r="C1412">
        <v>16</v>
      </c>
      <c r="D1412">
        <v>2</v>
      </c>
      <c r="E1412">
        <v>599.99</v>
      </c>
      <c r="F1412">
        <v>0.2</v>
      </c>
      <c r="G1412">
        <v>1199.78</v>
      </c>
      <c r="H1412" t="s">
        <v>21</v>
      </c>
      <c r="I1412" t="s">
        <v>301</v>
      </c>
    </row>
    <row r="1413" spans="1:9" x14ac:dyDescent="0.35">
      <c r="A1413">
        <v>542</v>
      </c>
      <c r="B1413">
        <v>2</v>
      </c>
      <c r="C1413">
        <v>9</v>
      </c>
      <c r="D1413">
        <v>1</v>
      </c>
      <c r="E1413">
        <v>2999.99</v>
      </c>
      <c r="F1413">
        <v>0.1</v>
      </c>
      <c r="G1413">
        <v>2999.89</v>
      </c>
      <c r="H1413" t="s">
        <v>14</v>
      </c>
      <c r="I1413" t="s">
        <v>304</v>
      </c>
    </row>
    <row r="1414" spans="1:9" x14ac:dyDescent="0.35">
      <c r="A1414">
        <v>542</v>
      </c>
      <c r="B1414">
        <v>3</v>
      </c>
      <c r="C1414">
        <v>20</v>
      </c>
      <c r="D1414">
        <v>1</v>
      </c>
      <c r="E1414">
        <v>599.99</v>
      </c>
      <c r="F1414">
        <v>0.1</v>
      </c>
      <c r="G1414">
        <v>599.89</v>
      </c>
      <c r="H1414" t="s">
        <v>25</v>
      </c>
      <c r="I1414" t="s">
        <v>305</v>
      </c>
    </row>
    <row r="1415" spans="1:9" x14ac:dyDescent="0.35">
      <c r="A1415">
        <v>542</v>
      </c>
      <c r="B1415">
        <v>4</v>
      </c>
      <c r="C1415">
        <v>19</v>
      </c>
      <c r="D1415">
        <v>2</v>
      </c>
      <c r="E1415">
        <v>449</v>
      </c>
      <c r="F1415">
        <v>0.2</v>
      </c>
      <c r="G1415">
        <v>897.8</v>
      </c>
      <c r="H1415" t="s">
        <v>24</v>
      </c>
      <c r="I1415" t="s">
        <v>301</v>
      </c>
    </row>
    <row r="1416" spans="1:9" x14ac:dyDescent="0.35">
      <c r="A1416">
        <v>543</v>
      </c>
      <c r="B1416">
        <v>1</v>
      </c>
      <c r="C1416">
        <v>25</v>
      </c>
      <c r="D1416">
        <v>1</v>
      </c>
      <c r="E1416">
        <v>499.99</v>
      </c>
      <c r="F1416">
        <v>0.2</v>
      </c>
      <c r="G1416">
        <v>499.79</v>
      </c>
      <c r="H1416" t="s">
        <v>27</v>
      </c>
      <c r="I1416" t="s">
        <v>305</v>
      </c>
    </row>
    <row r="1417" spans="1:9" x14ac:dyDescent="0.35">
      <c r="A1417">
        <v>543</v>
      </c>
      <c r="B1417">
        <v>2</v>
      </c>
      <c r="C1417">
        <v>18</v>
      </c>
      <c r="D1417">
        <v>1</v>
      </c>
      <c r="E1417">
        <v>449</v>
      </c>
      <c r="F1417">
        <v>0.2</v>
      </c>
      <c r="G1417">
        <v>448.8</v>
      </c>
      <c r="H1417" t="s">
        <v>23</v>
      </c>
      <c r="I1417" t="s">
        <v>301</v>
      </c>
    </row>
    <row r="1418" spans="1:9" x14ac:dyDescent="0.35">
      <c r="A1418">
        <v>543</v>
      </c>
      <c r="B1418">
        <v>3</v>
      </c>
      <c r="C1418">
        <v>26</v>
      </c>
      <c r="D1418">
        <v>2</v>
      </c>
      <c r="E1418">
        <v>599.99</v>
      </c>
      <c r="F1418">
        <v>0.1</v>
      </c>
      <c r="G1418">
        <v>1199.93</v>
      </c>
      <c r="H1418" t="s">
        <v>21</v>
      </c>
      <c r="I1418" t="s">
        <v>304</v>
      </c>
    </row>
    <row r="1419" spans="1:9" x14ac:dyDescent="0.35">
      <c r="A1419">
        <v>544</v>
      </c>
      <c r="B1419">
        <v>1</v>
      </c>
      <c r="C1419">
        <v>12</v>
      </c>
      <c r="D1419">
        <v>1</v>
      </c>
      <c r="E1419">
        <v>549.99</v>
      </c>
      <c r="F1419">
        <v>0.1</v>
      </c>
      <c r="G1419">
        <v>549.94000000000005</v>
      </c>
      <c r="H1419" t="s">
        <v>17</v>
      </c>
      <c r="I1419" t="s">
        <v>305</v>
      </c>
    </row>
    <row r="1420" spans="1:9" x14ac:dyDescent="0.35">
      <c r="A1420">
        <v>544</v>
      </c>
      <c r="B1420">
        <v>2</v>
      </c>
      <c r="C1420">
        <v>17</v>
      </c>
      <c r="D1420">
        <v>1</v>
      </c>
      <c r="E1420">
        <v>429</v>
      </c>
      <c r="F1420">
        <v>0.1</v>
      </c>
      <c r="G1420">
        <v>428.9</v>
      </c>
      <c r="H1420" t="s">
        <v>22</v>
      </c>
      <c r="I1420" t="s">
        <v>300</v>
      </c>
    </row>
    <row r="1421" spans="1:9" x14ac:dyDescent="0.35">
      <c r="A1421">
        <v>544</v>
      </c>
      <c r="B1421">
        <v>3</v>
      </c>
      <c r="C1421">
        <v>21</v>
      </c>
      <c r="D1421">
        <v>1</v>
      </c>
      <c r="E1421">
        <v>269.99</v>
      </c>
      <c r="F1421">
        <v>0.1</v>
      </c>
      <c r="G1421">
        <v>269.94</v>
      </c>
      <c r="H1421" t="s">
        <v>18</v>
      </c>
      <c r="I1421" t="s">
        <v>300</v>
      </c>
    </row>
    <row r="1422" spans="1:9" x14ac:dyDescent="0.35">
      <c r="A1422">
        <v>545</v>
      </c>
      <c r="B1422">
        <v>1</v>
      </c>
      <c r="C1422">
        <v>25</v>
      </c>
      <c r="D1422">
        <v>2</v>
      </c>
      <c r="E1422">
        <v>499.99</v>
      </c>
      <c r="F1422">
        <v>0.2</v>
      </c>
      <c r="G1422">
        <v>999.78</v>
      </c>
      <c r="H1422" t="s">
        <v>27</v>
      </c>
      <c r="I1422" t="s">
        <v>305</v>
      </c>
    </row>
    <row r="1423" spans="1:9" x14ac:dyDescent="0.35">
      <c r="A1423">
        <v>545</v>
      </c>
      <c r="B1423">
        <v>2</v>
      </c>
      <c r="C1423">
        <v>6</v>
      </c>
      <c r="D1423">
        <v>1</v>
      </c>
      <c r="E1423">
        <v>469.99</v>
      </c>
      <c r="F1423">
        <v>0.1</v>
      </c>
      <c r="G1423">
        <v>469.92</v>
      </c>
      <c r="H1423" t="s">
        <v>11</v>
      </c>
      <c r="I1423" t="s">
        <v>303</v>
      </c>
    </row>
    <row r="1424" spans="1:9" x14ac:dyDescent="0.35">
      <c r="A1424">
        <v>545</v>
      </c>
      <c r="B1424">
        <v>3</v>
      </c>
      <c r="C1424">
        <v>24</v>
      </c>
      <c r="D1424">
        <v>1</v>
      </c>
      <c r="E1424">
        <v>549.99</v>
      </c>
      <c r="F1424">
        <v>0.2</v>
      </c>
      <c r="G1424">
        <v>549.79</v>
      </c>
      <c r="H1424" t="s">
        <v>17</v>
      </c>
      <c r="I1424" t="s">
        <v>299</v>
      </c>
    </row>
    <row r="1425" spans="1:9" x14ac:dyDescent="0.35">
      <c r="A1425">
        <v>545</v>
      </c>
      <c r="B1425">
        <v>4</v>
      </c>
      <c r="C1425">
        <v>20</v>
      </c>
      <c r="D1425">
        <v>2</v>
      </c>
      <c r="E1425">
        <v>599.99</v>
      </c>
      <c r="F1425">
        <v>0.1</v>
      </c>
      <c r="G1425">
        <v>1199.9100000000001</v>
      </c>
      <c r="H1425" t="s">
        <v>25</v>
      </c>
      <c r="I1425" t="s">
        <v>299</v>
      </c>
    </row>
    <row r="1426" spans="1:9" x14ac:dyDescent="0.35">
      <c r="A1426">
        <v>546</v>
      </c>
      <c r="B1426">
        <v>1</v>
      </c>
      <c r="C1426">
        <v>17</v>
      </c>
      <c r="D1426">
        <v>2</v>
      </c>
      <c r="E1426">
        <v>429</v>
      </c>
      <c r="F1426">
        <v>0.1</v>
      </c>
      <c r="G1426">
        <v>857.95</v>
      </c>
      <c r="H1426" t="s">
        <v>22</v>
      </c>
      <c r="I1426" t="s">
        <v>300</v>
      </c>
    </row>
    <row r="1427" spans="1:9" x14ac:dyDescent="0.35">
      <c r="A1427">
        <v>546</v>
      </c>
      <c r="B1427">
        <v>2</v>
      </c>
      <c r="C1427">
        <v>8</v>
      </c>
      <c r="D1427">
        <v>1</v>
      </c>
      <c r="E1427">
        <v>1799.99</v>
      </c>
      <c r="F1427">
        <v>0.1</v>
      </c>
      <c r="G1427">
        <v>1799.89</v>
      </c>
      <c r="H1427" t="s">
        <v>13</v>
      </c>
      <c r="I1427" t="s">
        <v>305</v>
      </c>
    </row>
    <row r="1428" spans="1:9" x14ac:dyDescent="0.35">
      <c r="A1428">
        <v>546</v>
      </c>
      <c r="B1428">
        <v>3</v>
      </c>
      <c r="C1428">
        <v>18</v>
      </c>
      <c r="D1428">
        <v>2</v>
      </c>
      <c r="E1428">
        <v>449</v>
      </c>
      <c r="F1428">
        <v>0.1</v>
      </c>
      <c r="G1428">
        <v>897.93</v>
      </c>
      <c r="H1428" t="s">
        <v>23</v>
      </c>
      <c r="I1428" t="s">
        <v>305</v>
      </c>
    </row>
    <row r="1429" spans="1:9" x14ac:dyDescent="0.35">
      <c r="A1429">
        <v>547</v>
      </c>
      <c r="B1429">
        <v>1</v>
      </c>
      <c r="C1429">
        <v>11</v>
      </c>
      <c r="D1429">
        <v>2</v>
      </c>
      <c r="E1429">
        <v>1680.99</v>
      </c>
      <c r="F1429">
        <v>0.1</v>
      </c>
      <c r="G1429">
        <v>3361.93</v>
      </c>
      <c r="H1429" t="s">
        <v>16</v>
      </c>
      <c r="I1429" t="s">
        <v>305</v>
      </c>
    </row>
    <row r="1430" spans="1:9" x14ac:dyDescent="0.35">
      <c r="A1430">
        <v>547</v>
      </c>
      <c r="B1430">
        <v>2</v>
      </c>
      <c r="C1430">
        <v>9</v>
      </c>
      <c r="D1430">
        <v>1</v>
      </c>
      <c r="E1430">
        <v>2999.99</v>
      </c>
      <c r="F1430">
        <v>0.2</v>
      </c>
      <c r="G1430">
        <v>2999.79</v>
      </c>
      <c r="H1430" t="s">
        <v>14</v>
      </c>
      <c r="I1430" t="s">
        <v>304</v>
      </c>
    </row>
    <row r="1431" spans="1:9" x14ac:dyDescent="0.35">
      <c r="A1431">
        <v>547</v>
      </c>
      <c r="B1431">
        <v>3</v>
      </c>
      <c r="C1431">
        <v>5</v>
      </c>
      <c r="D1431">
        <v>1</v>
      </c>
      <c r="E1431">
        <v>1320.99</v>
      </c>
      <c r="F1431">
        <v>0.1</v>
      </c>
      <c r="G1431">
        <v>1320.89</v>
      </c>
      <c r="H1431" t="s">
        <v>10</v>
      </c>
      <c r="I1431" t="s">
        <v>301</v>
      </c>
    </row>
    <row r="1432" spans="1:9" x14ac:dyDescent="0.35">
      <c r="A1432">
        <v>548</v>
      </c>
      <c r="B1432">
        <v>1</v>
      </c>
      <c r="C1432">
        <v>8</v>
      </c>
      <c r="D1432">
        <v>1</v>
      </c>
      <c r="E1432">
        <v>1799.99</v>
      </c>
      <c r="F1432">
        <v>0.1</v>
      </c>
      <c r="G1432">
        <v>1799.89</v>
      </c>
      <c r="H1432" t="s">
        <v>13</v>
      </c>
      <c r="I1432" t="s">
        <v>299</v>
      </c>
    </row>
    <row r="1433" spans="1:9" x14ac:dyDescent="0.35">
      <c r="A1433">
        <v>548</v>
      </c>
      <c r="B1433">
        <v>2</v>
      </c>
      <c r="C1433">
        <v>11</v>
      </c>
      <c r="D1433">
        <v>2</v>
      </c>
      <c r="E1433">
        <v>1680.99</v>
      </c>
      <c r="F1433">
        <v>0.1</v>
      </c>
      <c r="G1433">
        <v>3361.91</v>
      </c>
      <c r="H1433" t="s">
        <v>16</v>
      </c>
      <c r="I1433" t="s">
        <v>301</v>
      </c>
    </row>
    <row r="1434" spans="1:9" x14ac:dyDescent="0.35">
      <c r="A1434">
        <v>549</v>
      </c>
      <c r="B1434">
        <v>1</v>
      </c>
      <c r="C1434">
        <v>15</v>
      </c>
      <c r="D1434">
        <v>1</v>
      </c>
      <c r="E1434">
        <v>529.99</v>
      </c>
      <c r="F1434">
        <v>0.1</v>
      </c>
      <c r="G1434">
        <v>529.91999999999996</v>
      </c>
      <c r="H1434" t="s">
        <v>20</v>
      </c>
      <c r="I1434" t="s">
        <v>304</v>
      </c>
    </row>
    <row r="1435" spans="1:9" x14ac:dyDescent="0.35">
      <c r="A1435">
        <v>549</v>
      </c>
      <c r="B1435">
        <v>2</v>
      </c>
      <c r="C1435">
        <v>16</v>
      </c>
      <c r="D1435">
        <v>1</v>
      </c>
      <c r="E1435">
        <v>599.99</v>
      </c>
      <c r="F1435">
        <v>0.1</v>
      </c>
      <c r="G1435">
        <v>599.94000000000005</v>
      </c>
      <c r="H1435" t="s">
        <v>21</v>
      </c>
      <c r="I1435" t="s">
        <v>302</v>
      </c>
    </row>
    <row r="1436" spans="1:9" x14ac:dyDescent="0.35">
      <c r="A1436">
        <v>549</v>
      </c>
      <c r="B1436">
        <v>3</v>
      </c>
      <c r="C1436">
        <v>3</v>
      </c>
      <c r="D1436">
        <v>1</v>
      </c>
      <c r="E1436">
        <v>999.99</v>
      </c>
      <c r="F1436">
        <v>0.1</v>
      </c>
      <c r="G1436">
        <v>999.92</v>
      </c>
      <c r="H1436" t="s">
        <v>8</v>
      </c>
      <c r="I1436" t="s">
        <v>299</v>
      </c>
    </row>
    <row r="1437" spans="1:9" x14ac:dyDescent="0.35">
      <c r="A1437">
        <v>549</v>
      </c>
      <c r="B1437">
        <v>4</v>
      </c>
      <c r="C1437">
        <v>7</v>
      </c>
      <c r="D1437">
        <v>1</v>
      </c>
      <c r="E1437">
        <v>3999.99</v>
      </c>
      <c r="F1437">
        <v>0.1</v>
      </c>
      <c r="G1437">
        <v>3999.94</v>
      </c>
      <c r="H1437" t="s">
        <v>12</v>
      </c>
      <c r="I1437" t="s">
        <v>303</v>
      </c>
    </row>
    <row r="1438" spans="1:9" x14ac:dyDescent="0.35">
      <c r="A1438">
        <v>549</v>
      </c>
      <c r="B1438">
        <v>5</v>
      </c>
      <c r="C1438">
        <v>13</v>
      </c>
      <c r="D1438">
        <v>2</v>
      </c>
      <c r="E1438">
        <v>269.99</v>
      </c>
      <c r="F1438">
        <v>0.1</v>
      </c>
      <c r="G1438">
        <v>539.88</v>
      </c>
      <c r="H1438" t="s">
        <v>18</v>
      </c>
      <c r="I1438" t="s">
        <v>299</v>
      </c>
    </row>
    <row r="1439" spans="1:9" x14ac:dyDescent="0.35">
      <c r="A1439">
        <v>551</v>
      </c>
      <c r="B1439">
        <v>1</v>
      </c>
      <c r="C1439">
        <v>16</v>
      </c>
      <c r="D1439">
        <v>1</v>
      </c>
      <c r="E1439">
        <v>599.99</v>
      </c>
      <c r="F1439">
        <v>0.1</v>
      </c>
      <c r="G1439">
        <v>599.94000000000005</v>
      </c>
      <c r="H1439" t="s">
        <v>21</v>
      </c>
      <c r="I1439" t="s">
        <v>301</v>
      </c>
    </row>
    <row r="1440" spans="1:9" x14ac:dyDescent="0.35">
      <c r="A1440">
        <v>551</v>
      </c>
      <c r="B1440">
        <v>2</v>
      </c>
      <c r="C1440">
        <v>26</v>
      </c>
      <c r="D1440">
        <v>1</v>
      </c>
      <c r="E1440">
        <v>599.99</v>
      </c>
      <c r="F1440">
        <v>0.1</v>
      </c>
      <c r="G1440">
        <v>599.91999999999996</v>
      </c>
      <c r="H1440" t="s">
        <v>21</v>
      </c>
      <c r="I1440" t="s">
        <v>302</v>
      </c>
    </row>
    <row r="1441" spans="1:9" x14ac:dyDescent="0.35">
      <c r="A1441">
        <v>551</v>
      </c>
      <c r="B1441">
        <v>3</v>
      </c>
      <c r="C1441">
        <v>11</v>
      </c>
      <c r="D1441">
        <v>2</v>
      </c>
      <c r="E1441">
        <v>1680.99</v>
      </c>
      <c r="F1441">
        <v>0.2</v>
      </c>
      <c r="G1441">
        <v>3361.78</v>
      </c>
      <c r="H1441" t="s">
        <v>16</v>
      </c>
      <c r="I1441" t="s">
        <v>304</v>
      </c>
    </row>
    <row r="1442" spans="1:9" x14ac:dyDescent="0.35">
      <c r="A1442">
        <v>551</v>
      </c>
      <c r="B1442">
        <v>4</v>
      </c>
      <c r="C1442">
        <v>15</v>
      </c>
      <c r="D1442">
        <v>2</v>
      </c>
      <c r="E1442">
        <v>529.99</v>
      </c>
      <c r="F1442">
        <v>0.2</v>
      </c>
      <c r="G1442">
        <v>1059.78</v>
      </c>
      <c r="H1442" t="s">
        <v>20</v>
      </c>
      <c r="I1442" t="s">
        <v>301</v>
      </c>
    </row>
    <row r="1443" spans="1:9" x14ac:dyDescent="0.35">
      <c r="A1443">
        <v>552</v>
      </c>
      <c r="B1443">
        <v>1</v>
      </c>
      <c r="C1443">
        <v>23</v>
      </c>
      <c r="D1443">
        <v>1</v>
      </c>
      <c r="E1443">
        <v>299.99</v>
      </c>
      <c r="F1443">
        <v>0.2</v>
      </c>
      <c r="G1443">
        <v>299.79000000000002</v>
      </c>
      <c r="H1443" t="s">
        <v>26</v>
      </c>
      <c r="I1443" t="s">
        <v>305</v>
      </c>
    </row>
    <row r="1444" spans="1:9" x14ac:dyDescent="0.35">
      <c r="A1444">
        <v>552</v>
      </c>
      <c r="B1444">
        <v>2</v>
      </c>
      <c r="C1444">
        <v>2</v>
      </c>
      <c r="D1444">
        <v>1</v>
      </c>
      <c r="E1444">
        <v>749.99</v>
      </c>
      <c r="F1444">
        <v>0.2</v>
      </c>
      <c r="G1444">
        <v>749.79</v>
      </c>
      <c r="H1444" t="s">
        <v>7</v>
      </c>
      <c r="I1444" t="s">
        <v>301</v>
      </c>
    </row>
    <row r="1445" spans="1:9" x14ac:dyDescent="0.35">
      <c r="A1445">
        <v>552</v>
      </c>
      <c r="B1445">
        <v>3</v>
      </c>
      <c r="C1445">
        <v>24</v>
      </c>
      <c r="D1445">
        <v>1</v>
      </c>
      <c r="E1445">
        <v>549.99</v>
      </c>
      <c r="F1445">
        <v>0.2</v>
      </c>
      <c r="G1445">
        <v>549.79</v>
      </c>
      <c r="H1445" t="s">
        <v>17</v>
      </c>
      <c r="I1445" t="s">
        <v>300</v>
      </c>
    </row>
    <row r="1446" spans="1:9" x14ac:dyDescent="0.35">
      <c r="A1446">
        <v>552</v>
      </c>
      <c r="B1446">
        <v>4</v>
      </c>
      <c r="C1446">
        <v>18</v>
      </c>
      <c r="D1446">
        <v>1</v>
      </c>
      <c r="E1446">
        <v>449</v>
      </c>
      <c r="F1446">
        <v>0.1</v>
      </c>
      <c r="G1446">
        <v>448.9</v>
      </c>
      <c r="H1446" t="s">
        <v>23</v>
      </c>
      <c r="I1446" t="s">
        <v>303</v>
      </c>
    </row>
    <row r="1447" spans="1:9" x14ac:dyDescent="0.35">
      <c r="A1447">
        <v>552</v>
      </c>
      <c r="B1447">
        <v>5</v>
      </c>
      <c r="C1447">
        <v>19</v>
      </c>
      <c r="D1447">
        <v>2</v>
      </c>
      <c r="E1447">
        <v>449</v>
      </c>
      <c r="F1447">
        <v>0.2</v>
      </c>
      <c r="G1447">
        <v>897.8</v>
      </c>
      <c r="H1447" t="s">
        <v>24</v>
      </c>
      <c r="I1447" t="s">
        <v>304</v>
      </c>
    </row>
    <row r="1448" spans="1:9" x14ac:dyDescent="0.35">
      <c r="A1448">
        <v>553</v>
      </c>
      <c r="B1448">
        <v>1</v>
      </c>
      <c r="C1448">
        <v>24</v>
      </c>
      <c r="D1448">
        <v>1</v>
      </c>
      <c r="E1448">
        <v>549.99</v>
      </c>
      <c r="F1448">
        <v>0.1</v>
      </c>
      <c r="G1448">
        <v>549.89</v>
      </c>
      <c r="H1448" t="s">
        <v>17</v>
      </c>
      <c r="I1448" t="s">
        <v>305</v>
      </c>
    </row>
    <row r="1449" spans="1:9" x14ac:dyDescent="0.35">
      <c r="A1449">
        <v>553</v>
      </c>
      <c r="B1449">
        <v>2</v>
      </c>
      <c r="C1449">
        <v>18</v>
      </c>
      <c r="D1449">
        <v>2</v>
      </c>
      <c r="E1449">
        <v>449</v>
      </c>
      <c r="F1449">
        <v>0.1</v>
      </c>
      <c r="G1449">
        <v>897.93</v>
      </c>
      <c r="H1449" t="s">
        <v>23</v>
      </c>
      <c r="I1449" t="s">
        <v>300</v>
      </c>
    </row>
    <row r="1450" spans="1:9" x14ac:dyDescent="0.35">
      <c r="A1450">
        <v>553</v>
      </c>
      <c r="B1450">
        <v>3</v>
      </c>
      <c r="C1450">
        <v>12</v>
      </c>
      <c r="D1450">
        <v>1</v>
      </c>
      <c r="E1450">
        <v>549.99</v>
      </c>
      <c r="F1450">
        <v>0.1</v>
      </c>
      <c r="G1450">
        <v>549.91999999999996</v>
      </c>
      <c r="H1450" t="s">
        <v>17</v>
      </c>
      <c r="I1450" t="s">
        <v>304</v>
      </c>
    </row>
    <row r="1451" spans="1:9" x14ac:dyDescent="0.35">
      <c r="A1451">
        <v>554</v>
      </c>
      <c r="B1451">
        <v>1</v>
      </c>
      <c r="C1451">
        <v>3</v>
      </c>
      <c r="D1451">
        <v>2</v>
      </c>
      <c r="E1451">
        <v>999.99</v>
      </c>
      <c r="F1451">
        <v>0.1</v>
      </c>
      <c r="G1451">
        <v>1999.91</v>
      </c>
      <c r="H1451" t="s">
        <v>8</v>
      </c>
      <c r="I1451" t="s">
        <v>305</v>
      </c>
    </row>
    <row r="1452" spans="1:9" x14ac:dyDescent="0.35">
      <c r="A1452">
        <v>554</v>
      </c>
      <c r="B1452">
        <v>2</v>
      </c>
      <c r="C1452">
        <v>22</v>
      </c>
      <c r="D1452">
        <v>1</v>
      </c>
      <c r="E1452">
        <v>269.99</v>
      </c>
      <c r="F1452">
        <v>0.1</v>
      </c>
      <c r="G1452">
        <v>269.94</v>
      </c>
      <c r="H1452" t="s">
        <v>19</v>
      </c>
      <c r="I1452" t="s">
        <v>300</v>
      </c>
    </row>
    <row r="1453" spans="1:9" x14ac:dyDescent="0.35">
      <c r="A1453">
        <v>554</v>
      </c>
      <c r="B1453">
        <v>3</v>
      </c>
      <c r="C1453">
        <v>4</v>
      </c>
      <c r="D1453">
        <v>2</v>
      </c>
      <c r="E1453">
        <v>2899.99</v>
      </c>
      <c r="F1453">
        <v>0.2</v>
      </c>
      <c r="G1453">
        <v>5799.78</v>
      </c>
      <c r="H1453" t="s">
        <v>9</v>
      </c>
      <c r="I1453" t="s">
        <v>302</v>
      </c>
    </row>
    <row r="1454" spans="1:9" x14ac:dyDescent="0.35">
      <c r="A1454">
        <v>555</v>
      </c>
      <c r="B1454">
        <v>1</v>
      </c>
      <c r="C1454">
        <v>8</v>
      </c>
      <c r="D1454">
        <v>1</v>
      </c>
      <c r="E1454">
        <v>1799.99</v>
      </c>
      <c r="F1454">
        <v>0.2</v>
      </c>
      <c r="G1454">
        <v>1799.79</v>
      </c>
      <c r="H1454" t="s">
        <v>13</v>
      </c>
      <c r="I1454" t="s">
        <v>303</v>
      </c>
    </row>
    <row r="1455" spans="1:9" x14ac:dyDescent="0.35">
      <c r="A1455">
        <v>555</v>
      </c>
      <c r="B1455">
        <v>2</v>
      </c>
      <c r="C1455">
        <v>7</v>
      </c>
      <c r="D1455">
        <v>1</v>
      </c>
      <c r="E1455">
        <v>3999.99</v>
      </c>
      <c r="F1455">
        <v>0.1</v>
      </c>
      <c r="G1455">
        <v>3999.89</v>
      </c>
      <c r="H1455" t="s">
        <v>12</v>
      </c>
      <c r="I1455" t="s">
        <v>300</v>
      </c>
    </row>
    <row r="1456" spans="1:9" x14ac:dyDescent="0.35">
      <c r="A1456">
        <v>555</v>
      </c>
      <c r="B1456">
        <v>3</v>
      </c>
      <c r="C1456">
        <v>20</v>
      </c>
      <c r="D1456">
        <v>2</v>
      </c>
      <c r="E1456">
        <v>599.99</v>
      </c>
      <c r="F1456">
        <v>0.1</v>
      </c>
      <c r="G1456">
        <v>1199.9100000000001</v>
      </c>
      <c r="H1456" t="s">
        <v>25</v>
      </c>
      <c r="I1456" t="s">
        <v>305</v>
      </c>
    </row>
    <row r="1457" spans="1:9" x14ac:dyDescent="0.35">
      <c r="A1457">
        <v>556</v>
      </c>
      <c r="B1457">
        <v>1</v>
      </c>
      <c r="C1457">
        <v>16</v>
      </c>
      <c r="D1457">
        <v>1</v>
      </c>
      <c r="E1457">
        <v>599.99</v>
      </c>
      <c r="F1457">
        <v>0.1</v>
      </c>
      <c r="G1457">
        <v>599.89</v>
      </c>
      <c r="H1457" t="s">
        <v>21</v>
      </c>
      <c r="I1457" t="s">
        <v>300</v>
      </c>
    </row>
    <row r="1458" spans="1:9" x14ac:dyDescent="0.35">
      <c r="A1458">
        <v>556</v>
      </c>
      <c r="B1458">
        <v>2</v>
      </c>
      <c r="C1458">
        <v>4</v>
      </c>
      <c r="D1458">
        <v>2</v>
      </c>
      <c r="E1458">
        <v>2899.99</v>
      </c>
      <c r="F1458">
        <v>0.2</v>
      </c>
      <c r="G1458">
        <v>5799.78</v>
      </c>
      <c r="H1458" t="s">
        <v>9</v>
      </c>
      <c r="I1458" t="s">
        <v>305</v>
      </c>
    </row>
    <row r="1459" spans="1:9" x14ac:dyDescent="0.35">
      <c r="A1459">
        <v>557</v>
      </c>
      <c r="B1459">
        <v>1</v>
      </c>
      <c r="C1459">
        <v>9</v>
      </c>
      <c r="D1459">
        <v>2</v>
      </c>
      <c r="E1459">
        <v>2999.99</v>
      </c>
      <c r="F1459">
        <v>0.1</v>
      </c>
      <c r="G1459">
        <v>5999.88</v>
      </c>
      <c r="H1459" t="s">
        <v>14</v>
      </c>
      <c r="I1459" t="s">
        <v>305</v>
      </c>
    </row>
    <row r="1460" spans="1:9" x14ac:dyDescent="0.35">
      <c r="A1460">
        <v>557</v>
      </c>
      <c r="B1460">
        <v>2</v>
      </c>
      <c r="C1460">
        <v>10</v>
      </c>
      <c r="D1460">
        <v>1</v>
      </c>
      <c r="E1460">
        <v>1549</v>
      </c>
      <c r="F1460">
        <v>0.1</v>
      </c>
      <c r="G1460">
        <v>1548.9</v>
      </c>
      <c r="H1460" t="s">
        <v>15</v>
      </c>
      <c r="I1460" t="s">
        <v>304</v>
      </c>
    </row>
    <row r="1461" spans="1:9" x14ac:dyDescent="0.35">
      <c r="A1461">
        <v>558</v>
      </c>
      <c r="B1461">
        <v>1</v>
      </c>
      <c r="C1461">
        <v>7</v>
      </c>
      <c r="D1461">
        <v>1</v>
      </c>
      <c r="E1461">
        <v>3999.99</v>
      </c>
      <c r="F1461">
        <v>0.1</v>
      </c>
      <c r="G1461">
        <v>3999.92</v>
      </c>
      <c r="H1461" t="s">
        <v>12</v>
      </c>
      <c r="I1461" t="s">
        <v>299</v>
      </c>
    </row>
    <row r="1462" spans="1:9" x14ac:dyDescent="0.35">
      <c r="A1462">
        <v>558</v>
      </c>
      <c r="B1462">
        <v>2</v>
      </c>
      <c r="C1462">
        <v>16</v>
      </c>
      <c r="D1462">
        <v>1</v>
      </c>
      <c r="E1462">
        <v>599.99</v>
      </c>
      <c r="F1462">
        <v>0.1</v>
      </c>
      <c r="G1462">
        <v>599.91999999999996</v>
      </c>
      <c r="H1462" t="s">
        <v>21</v>
      </c>
      <c r="I1462" t="s">
        <v>304</v>
      </c>
    </row>
    <row r="1463" spans="1:9" x14ac:dyDescent="0.35">
      <c r="A1463">
        <v>558</v>
      </c>
      <c r="B1463">
        <v>3</v>
      </c>
      <c r="C1463">
        <v>9</v>
      </c>
      <c r="D1463">
        <v>1</v>
      </c>
      <c r="E1463">
        <v>2999.99</v>
      </c>
      <c r="F1463">
        <v>0.1</v>
      </c>
      <c r="G1463">
        <v>2999.89</v>
      </c>
      <c r="H1463" t="s">
        <v>14</v>
      </c>
      <c r="I1463" t="s">
        <v>305</v>
      </c>
    </row>
    <row r="1464" spans="1:9" x14ac:dyDescent="0.35">
      <c r="A1464">
        <v>558</v>
      </c>
      <c r="B1464">
        <v>4</v>
      </c>
      <c r="C1464">
        <v>21</v>
      </c>
      <c r="D1464">
        <v>2</v>
      </c>
      <c r="E1464">
        <v>269.99</v>
      </c>
      <c r="F1464">
        <v>0.1</v>
      </c>
      <c r="G1464">
        <v>539.92999999999995</v>
      </c>
      <c r="H1464" t="s">
        <v>18</v>
      </c>
      <c r="I1464" t="s">
        <v>305</v>
      </c>
    </row>
    <row r="1465" spans="1:9" x14ac:dyDescent="0.35">
      <c r="A1465">
        <v>558</v>
      </c>
      <c r="B1465">
        <v>5</v>
      </c>
      <c r="C1465">
        <v>10</v>
      </c>
      <c r="D1465">
        <v>2</v>
      </c>
      <c r="E1465">
        <v>1549</v>
      </c>
      <c r="F1465">
        <v>0.1</v>
      </c>
      <c r="G1465">
        <v>3097.93</v>
      </c>
      <c r="H1465" t="s">
        <v>15</v>
      </c>
      <c r="I1465" t="s">
        <v>303</v>
      </c>
    </row>
    <row r="1466" spans="1:9" x14ac:dyDescent="0.35">
      <c r="A1466">
        <v>559</v>
      </c>
      <c r="B1466">
        <v>1</v>
      </c>
      <c r="C1466">
        <v>15</v>
      </c>
      <c r="D1466">
        <v>2</v>
      </c>
      <c r="E1466">
        <v>529.99</v>
      </c>
      <c r="F1466">
        <v>0.1</v>
      </c>
      <c r="G1466">
        <v>1059.8800000000001</v>
      </c>
      <c r="H1466" t="s">
        <v>20</v>
      </c>
      <c r="I1466" t="s">
        <v>300</v>
      </c>
    </row>
    <row r="1467" spans="1:9" x14ac:dyDescent="0.35">
      <c r="A1467">
        <v>559</v>
      </c>
      <c r="B1467">
        <v>2</v>
      </c>
      <c r="C1467">
        <v>6</v>
      </c>
      <c r="D1467">
        <v>1</v>
      </c>
      <c r="E1467">
        <v>469.99</v>
      </c>
      <c r="F1467">
        <v>0.1</v>
      </c>
      <c r="G1467">
        <v>469.89</v>
      </c>
      <c r="H1467" t="s">
        <v>11</v>
      </c>
      <c r="I1467" t="s">
        <v>304</v>
      </c>
    </row>
    <row r="1468" spans="1:9" x14ac:dyDescent="0.35">
      <c r="A1468">
        <v>559</v>
      </c>
      <c r="B1468">
        <v>3</v>
      </c>
      <c r="C1468">
        <v>7</v>
      </c>
      <c r="D1468">
        <v>2</v>
      </c>
      <c r="E1468">
        <v>3999.99</v>
      </c>
      <c r="F1468">
        <v>0.1</v>
      </c>
      <c r="G1468">
        <v>7999.91</v>
      </c>
      <c r="H1468" t="s">
        <v>12</v>
      </c>
      <c r="I1468" t="s">
        <v>305</v>
      </c>
    </row>
    <row r="1469" spans="1:9" x14ac:dyDescent="0.35">
      <c r="A1469">
        <v>560</v>
      </c>
      <c r="B1469">
        <v>1</v>
      </c>
      <c r="C1469">
        <v>16</v>
      </c>
      <c r="D1469">
        <v>1</v>
      </c>
      <c r="E1469">
        <v>599.99</v>
      </c>
      <c r="F1469">
        <v>0.1</v>
      </c>
      <c r="G1469">
        <v>599.94000000000005</v>
      </c>
      <c r="H1469" t="s">
        <v>21</v>
      </c>
      <c r="I1469" t="s">
        <v>299</v>
      </c>
    </row>
    <row r="1470" spans="1:9" x14ac:dyDescent="0.35">
      <c r="A1470">
        <v>560</v>
      </c>
      <c r="B1470">
        <v>2</v>
      </c>
      <c r="C1470">
        <v>26</v>
      </c>
      <c r="D1470">
        <v>2</v>
      </c>
      <c r="E1470">
        <v>599.99</v>
      </c>
      <c r="F1470">
        <v>0.1</v>
      </c>
      <c r="G1470">
        <v>1199.8800000000001</v>
      </c>
      <c r="H1470" t="s">
        <v>21</v>
      </c>
      <c r="I1470" t="s">
        <v>305</v>
      </c>
    </row>
    <row r="1471" spans="1:9" x14ac:dyDescent="0.35">
      <c r="A1471">
        <v>561</v>
      </c>
      <c r="B1471">
        <v>1</v>
      </c>
      <c r="C1471">
        <v>15</v>
      </c>
      <c r="D1471">
        <v>2</v>
      </c>
      <c r="E1471">
        <v>529.99</v>
      </c>
      <c r="F1471">
        <v>0.1</v>
      </c>
      <c r="G1471">
        <v>1059.93</v>
      </c>
      <c r="H1471" t="s">
        <v>20</v>
      </c>
      <c r="I1471" t="s">
        <v>301</v>
      </c>
    </row>
    <row r="1472" spans="1:9" x14ac:dyDescent="0.35">
      <c r="A1472">
        <v>561</v>
      </c>
      <c r="B1472">
        <v>2</v>
      </c>
      <c r="C1472">
        <v>18</v>
      </c>
      <c r="D1472">
        <v>1</v>
      </c>
      <c r="E1472">
        <v>449</v>
      </c>
      <c r="F1472">
        <v>0.1</v>
      </c>
      <c r="G1472">
        <v>448.95</v>
      </c>
      <c r="H1472" t="s">
        <v>23</v>
      </c>
      <c r="I1472" t="s">
        <v>305</v>
      </c>
    </row>
    <row r="1473" spans="1:9" x14ac:dyDescent="0.35">
      <c r="A1473">
        <v>561</v>
      </c>
      <c r="B1473">
        <v>3</v>
      </c>
      <c r="C1473">
        <v>5</v>
      </c>
      <c r="D1473">
        <v>1</v>
      </c>
      <c r="E1473">
        <v>1320.99</v>
      </c>
      <c r="F1473">
        <v>0.1</v>
      </c>
      <c r="G1473">
        <v>1320.94</v>
      </c>
      <c r="H1473" t="s">
        <v>10</v>
      </c>
      <c r="I1473" t="s">
        <v>300</v>
      </c>
    </row>
    <row r="1474" spans="1:9" x14ac:dyDescent="0.35">
      <c r="A1474">
        <v>561</v>
      </c>
      <c r="B1474">
        <v>4</v>
      </c>
      <c r="C1474">
        <v>17</v>
      </c>
      <c r="D1474">
        <v>2</v>
      </c>
      <c r="E1474">
        <v>429</v>
      </c>
      <c r="F1474">
        <v>0.1</v>
      </c>
      <c r="G1474">
        <v>857.93</v>
      </c>
      <c r="H1474" t="s">
        <v>22</v>
      </c>
      <c r="I1474" t="s">
        <v>301</v>
      </c>
    </row>
    <row r="1475" spans="1:9" x14ac:dyDescent="0.35">
      <c r="A1475">
        <v>562</v>
      </c>
      <c r="B1475">
        <v>1</v>
      </c>
      <c r="C1475">
        <v>25</v>
      </c>
      <c r="D1475">
        <v>2</v>
      </c>
      <c r="E1475">
        <v>499.99</v>
      </c>
      <c r="F1475">
        <v>0.1</v>
      </c>
      <c r="G1475">
        <v>999.91</v>
      </c>
      <c r="H1475" t="s">
        <v>27</v>
      </c>
      <c r="I1475" t="s">
        <v>303</v>
      </c>
    </row>
    <row r="1476" spans="1:9" x14ac:dyDescent="0.35">
      <c r="A1476">
        <v>562</v>
      </c>
      <c r="B1476">
        <v>2</v>
      </c>
      <c r="C1476">
        <v>26</v>
      </c>
      <c r="D1476">
        <v>1</v>
      </c>
      <c r="E1476">
        <v>599.99</v>
      </c>
      <c r="F1476">
        <v>0.1</v>
      </c>
      <c r="G1476">
        <v>599.94000000000005</v>
      </c>
      <c r="H1476" t="s">
        <v>21</v>
      </c>
      <c r="I1476" t="s">
        <v>304</v>
      </c>
    </row>
    <row r="1477" spans="1:9" x14ac:dyDescent="0.35">
      <c r="A1477">
        <v>563</v>
      </c>
      <c r="B1477">
        <v>1</v>
      </c>
      <c r="C1477">
        <v>6</v>
      </c>
      <c r="D1477">
        <v>2</v>
      </c>
      <c r="E1477">
        <v>469.99</v>
      </c>
      <c r="F1477">
        <v>0.1</v>
      </c>
      <c r="G1477">
        <v>939.88</v>
      </c>
      <c r="H1477" t="s">
        <v>11</v>
      </c>
      <c r="I1477" t="s">
        <v>304</v>
      </c>
    </row>
    <row r="1478" spans="1:9" x14ac:dyDescent="0.35">
      <c r="A1478">
        <v>563</v>
      </c>
      <c r="B1478">
        <v>2</v>
      </c>
      <c r="C1478">
        <v>19</v>
      </c>
      <c r="D1478">
        <v>1</v>
      </c>
      <c r="E1478">
        <v>449</v>
      </c>
      <c r="F1478">
        <v>0.1</v>
      </c>
      <c r="G1478">
        <v>448.95</v>
      </c>
      <c r="H1478" t="s">
        <v>24</v>
      </c>
      <c r="I1478" t="s">
        <v>301</v>
      </c>
    </row>
    <row r="1479" spans="1:9" x14ac:dyDescent="0.35">
      <c r="A1479">
        <v>563</v>
      </c>
      <c r="B1479">
        <v>3</v>
      </c>
      <c r="C1479">
        <v>13</v>
      </c>
      <c r="D1479">
        <v>2</v>
      </c>
      <c r="E1479">
        <v>269.99</v>
      </c>
      <c r="F1479">
        <v>0.1</v>
      </c>
      <c r="G1479">
        <v>539.88</v>
      </c>
      <c r="H1479" t="s">
        <v>18</v>
      </c>
      <c r="I1479" t="s">
        <v>299</v>
      </c>
    </row>
    <row r="1480" spans="1:9" x14ac:dyDescent="0.35">
      <c r="A1480">
        <v>564</v>
      </c>
      <c r="B1480">
        <v>1</v>
      </c>
      <c r="C1480">
        <v>4</v>
      </c>
      <c r="D1480">
        <v>1</v>
      </c>
      <c r="E1480">
        <v>2899.99</v>
      </c>
      <c r="F1480">
        <v>0.2</v>
      </c>
      <c r="G1480">
        <v>2899.79</v>
      </c>
      <c r="H1480" t="s">
        <v>9</v>
      </c>
      <c r="I1480" t="s">
        <v>303</v>
      </c>
    </row>
    <row r="1481" spans="1:9" x14ac:dyDescent="0.35">
      <c r="A1481">
        <v>564</v>
      </c>
      <c r="B1481">
        <v>2</v>
      </c>
      <c r="C1481">
        <v>15</v>
      </c>
      <c r="D1481">
        <v>1</v>
      </c>
      <c r="E1481">
        <v>529.99</v>
      </c>
      <c r="F1481">
        <v>0.2</v>
      </c>
      <c r="G1481">
        <v>529.79</v>
      </c>
      <c r="H1481" t="s">
        <v>20</v>
      </c>
      <c r="I1481" t="s">
        <v>305</v>
      </c>
    </row>
    <row r="1482" spans="1:9" x14ac:dyDescent="0.35">
      <c r="A1482">
        <v>565</v>
      </c>
      <c r="B1482">
        <v>1</v>
      </c>
      <c r="C1482">
        <v>18</v>
      </c>
      <c r="D1482">
        <v>1</v>
      </c>
      <c r="E1482">
        <v>449</v>
      </c>
      <c r="F1482">
        <v>0.2</v>
      </c>
      <c r="G1482">
        <v>448.8</v>
      </c>
      <c r="H1482" t="s">
        <v>23</v>
      </c>
      <c r="I1482" t="s">
        <v>304</v>
      </c>
    </row>
    <row r="1483" spans="1:9" x14ac:dyDescent="0.35">
      <c r="A1483">
        <v>565</v>
      </c>
      <c r="B1483">
        <v>2</v>
      </c>
      <c r="C1483">
        <v>25</v>
      </c>
      <c r="D1483">
        <v>2</v>
      </c>
      <c r="E1483">
        <v>499.99</v>
      </c>
      <c r="F1483">
        <v>0.1</v>
      </c>
      <c r="G1483">
        <v>999.88</v>
      </c>
      <c r="H1483" t="s">
        <v>27</v>
      </c>
      <c r="I1483" t="s">
        <v>301</v>
      </c>
    </row>
    <row r="1484" spans="1:9" x14ac:dyDescent="0.35">
      <c r="A1484">
        <v>565</v>
      </c>
      <c r="B1484">
        <v>3</v>
      </c>
      <c r="C1484">
        <v>9</v>
      </c>
      <c r="D1484">
        <v>1</v>
      </c>
      <c r="E1484">
        <v>2999.99</v>
      </c>
      <c r="F1484">
        <v>0.1</v>
      </c>
      <c r="G1484">
        <v>2999.94</v>
      </c>
      <c r="H1484" t="s">
        <v>14</v>
      </c>
      <c r="I1484" t="s">
        <v>301</v>
      </c>
    </row>
    <row r="1485" spans="1:9" x14ac:dyDescent="0.35">
      <c r="A1485">
        <v>565</v>
      </c>
      <c r="B1485">
        <v>4</v>
      </c>
      <c r="C1485">
        <v>17</v>
      </c>
      <c r="D1485">
        <v>1</v>
      </c>
      <c r="E1485">
        <v>429</v>
      </c>
      <c r="F1485">
        <v>0.1</v>
      </c>
      <c r="G1485">
        <v>428.9</v>
      </c>
      <c r="H1485" t="s">
        <v>22</v>
      </c>
      <c r="I1485" t="s">
        <v>301</v>
      </c>
    </row>
    <row r="1486" spans="1:9" x14ac:dyDescent="0.35">
      <c r="A1486">
        <v>566</v>
      </c>
      <c r="B1486">
        <v>1</v>
      </c>
      <c r="C1486">
        <v>24</v>
      </c>
      <c r="D1486">
        <v>2</v>
      </c>
      <c r="E1486">
        <v>549.99</v>
      </c>
      <c r="F1486">
        <v>0.1</v>
      </c>
      <c r="G1486">
        <v>1099.9100000000001</v>
      </c>
      <c r="H1486" t="s">
        <v>17</v>
      </c>
      <c r="I1486" t="s">
        <v>304</v>
      </c>
    </row>
    <row r="1487" spans="1:9" x14ac:dyDescent="0.35">
      <c r="A1487">
        <v>566</v>
      </c>
      <c r="B1487">
        <v>2</v>
      </c>
      <c r="C1487">
        <v>7</v>
      </c>
      <c r="D1487">
        <v>2</v>
      </c>
      <c r="E1487">
        <v>3999.99</v>
      </c>
      <c r="F1487">
        <v>0.2</v>
      </c>
      <c r="G1487">
        <v>7999.78</v>
      </c>
      <c r="H1487" t="s">
        <v>12</v>
      </c>
      <c r="I1487" t="s">
        <v>300</v>
      </c>
    </row>
    <row r="1488" spans="1:9" x14ac:dyDescent="0.35">
      <c r="A1488">
        <v>566</v>
      </c>
      <c r="B1488">
        <v>3</v>
      </c>
      <c r="C1488">
        <v>8</v>
      </c>
      <c r="D1488">
        <v>1</v>
      </c>
      <c r="E1488">
        <v>1799.99</v>
      </c>
      <c r="F1488">
        <v>0.1</v>
      </c>
      <c r="G1488">
        <v>1799.89</v>
      </c>
      <c r="H1488" t="s">
        <v>13</v>
      </c>
      <c r="I1488" t="s">
        <v>299</v>
      </c>
    </row>
    <row r="1489" spans="1:9" x14ac:dyDescent="0.35">
      <c r="A1489">
        <v>566</v>
      </c>
      <c r="B1489">
        <v>4</v>
      </c>
      <c r="C1489">
        <v>21</v>
      </c>
      <c r="D1489">
        <v>2</v>
      </c>
      <c r="E1489">
        <v>269.99</v>
      </c>
      <c r="F1489">
        <v>0.2</v>
      </c>
      <c r="G1489">
        <v>539.78</v>
      </c>
      <c r="H1489" t="s">
        <v>18</v>
      </c>
      <c r="I1489" t="s">
        <v>300</v>
      </c>
    </row>
    <row r="1490" spans="1:9" x14ac:dyDescent="0.35">
      <c r="A1490">
        <v>567</v>
      </c>
      <c r="B1490">
        <v>1</v>
      </c>
      <c r="C1490">
        <v>9</v>
      </c>
      <c r="D1490">
        <v>1</v>
      </c>
      <c r="E1490">
        <v>2999.99</v>
      </c>
      <c r="F1490">
        <v>0.2</v>
      </c>
      <c r="G1490">
        <v>2999.79</v>
      </c>
      <c r="H1490" t="s">
        <v>14</v>
      </c>
      <c r="I1490" t="s">
        <v>299</v>
      </c>
    </row>
    <row r="1491" spans="1:9" x14ac:dyDescent="0.35">
      <c r="A1491">
        <v>567</v>
      </c>
      <c r="B1491">
        <v>2</v>
      </c>
      <c r="C1491">
        <v>5</v>
      </c>
      <c r="D1491">
        <v>1</v>
      </c>
      <c r="E1491">
        <v>1320.99</v>
      </c>
      <c r="F1491">
        <v>0.1</v>
      </c>
      <c r="G1491">
        <v>1320.92</v>
      </c>
      <c r="H1491" t="s">
        <v>10</v>
      </c>
      <c r="I1491" t="s">
        <v>301</v>
      </c>
    </row>
    <row r="1492" spans="1:9" x14ac:dyDescent="0.35">
      <c r="A1492">
        <v>568</v>
      </c>
      <c r="B1492">
        <v>1</v>
      </c>
      <c r="C1492">
        <v>5</v>
      </c>
      <c r="D1492">
        <v>1</v>
      </c>
      <c r="E1492">
        <v>1320.99</v>
      </c>
      <c r="F1492">
        <v>0.1</v>
      </c>
      <c r="G1492">
        <v>1320.94</v>
      </c>
      <c r="H1492" t="s">
        <v>10</v>
      </c>
      <c r="I1492" t="s">
        <v>305</v>
      </c>
    </row>
    <row r="1493" spans="1:9" x14ac:dyDescent="0.35">
      <c r="A1493">
        <v>568</v>
      </c>
      <c r="B1493">
        <v>2</v>
      </c>
      <c r="C1493">
        <v>10</v>
      </c>
      <c r="D1493">
        <v>1</v>
      </c>
      <c r="E1493">
        <v>1549</v>
      </c>
      <c r="F1493">
        <v>0.1</v>
      </c>
      <c r="G1493">
        <v>1548.95</v>
      </c>
      <c r="H1493" t="s">
        <v>15</v>
      </c>
      <c r="I1493" t="s">
        <v>299</v>
      </c>
    </row>
    <row r="1494" spans="1:9" x14ac:dyDescent="0.35">
      <c r="A1494">
        <v>569</v>
      </c>
      <c r="B1494">
        <v>1</v>
      </c>
      <c r="C1494">
        <v>16</v>
      </c>
      <c r="D1494">
        <v>1</v>
      </c>
      <c r="E1494">
        <v>599.99</v>
      </c>
      <c r="F1494">
        <v>0.1</v>
      </c>
      <c r="G1494">
        <v>599.94000000000005</v>
      </c>
      <c r="H1494" t="s">
        <v>21</v>
      </c>
      <c r="I1494" t="s">
        <v>302</v>
      </c>
    </row>
    <row r="1495" spans="1:9" x14ac:dyDescent="0.35">
      <c r="A1495">
        <v>569</v>
      </c>
      <c r="B1495">
        <v>2</v>
      </c>
      <c r="C1495">
        <v>24</v>
      </c>
      <c r="D1495">
        <v>2</v>
      </c>
      <c r="E1495">
        <v>549.99</v>
      </c>
      <c r="F1495">
        <v>0.1</v>
      </c>
      <c r="G1495">
        <v>1099.8800000000001</v>
      </c>
      <c r="H1495" t="s">
        <v>17</v>
      </c>
      <c r="I1495" t="s">
        <v>299</v>
      </c>
    </row>
    <row r="1496" spans="1:9" x14ac:dyDescent="0.35">
      <c r="A1496">
        <v>570</v>
      </c>
      <c r="B1496">
        <v>1</v>
      </c>
      <c r="C1496">
        <v>18</v>
      </c>
      <c r="D1496">
        <v>1</v>
      </c>
      <c r="E1496">
        <v>449</v>
      </c>
      <c r="F1496">
        <v>0.1</v>
      </c>
      <c r="G1496">
        <v>448.93</v>
      </c>
      <c r="H1496" t="s">
        <v>23</v>
      </c>
      <c r="I1496" t="s">
        <v>301</v>
      </c>
    </row>
    <row r="1497" spans="1:9" x14ac:dyDescent="0.35">
      <c r="A1497">
        <v>570</v>
      </c>
      <c r="B1497">
        <v>2</v>
      </c>
      <c r="C1497">
        <v>24</v>
      </c>
      <c r="D1497">
        <v>2</v>
      </c>
      <c r="E1497">
        <v>549.99</v>
      </c>
      <c r="F1497">
        <v>0.1</v>
      </c>
      <c r="G1497">
        <v>1099.8800000000001</v>
      </c>
      <c r="H1497" t="s">
        <v>17</v>
      </c>
      <c r="I1497" t="s">
        <v>304</v>
      </c>
    </row>
    <row r="1498" spans="1:9" x14ac:dyDescent="0.35">
      <c r="A1498">
        <v>570</v>
      </c>
      <c r="B1498">
        <v>3</v>
      </c>
      <c r="C1498">
        <v>3</v>
      </c>
      <c r="D1498">
        <v>2</v>
      </c>
      <c r="E1498">
        <v>999.99</v>
      </c>
      <c r="F1498">
        <v>0.2</v>
      </c>
      <c r="G1498">
        <v>1999.78</v>
      </c>
      <c r="H1498" t="s">
        <v>8</v>
      </c>
      <c r="I1498" t="s">
        <v>299</v>
      </c>
    </row>
    <row r="1499" spans="1:9" x14ac:dyDescent="0.35">
      <c r="A1499">
        <v>570</v>
      </c>
      <c r="B1499">
        <v>4</v>
      </c>
      <c r="C1499">
        <v>11</v>
      </c>
      <c r="D1499">
        <v>1</v>
      </c>
      <c r="E1499">
        <v>1680.99</v>
      </c>
      <c r="F1499">
        <v>0.1</v>
      </c>
      <c r="G1499">
        <v>1680.89</v>
      </c>
      <c r="H1499" t="s">
        <v>16</v>
      </c>
      <c r="I1499" t="s">
        <v>305</v>
      </c>
    </row>
    <row r="1500" spans="1:9" x14ac:dyDescent="0.35">
      <c r="A1500">
        <v>570</v>
      </c>
      <c r="B1500">
        <v>5</v>
      </c>
      <c r="C1500">
        <v>16</v>
      </c>
      <c r="D1500">
        <v>1</v>
      </c>
      <c r="E1500">
        <v>599.99</v>
      </c>
      <c r="F1500">
        <v>0.1</v>
      </c>
      <c r="G1500">
        <v>599.94000000000005</v>
      </c>
      <c r="H1500" t="s">
        <v>21</v>
      </c>
      <c r="I1500" t="s">
        <v>301</v>
      </c>
    </row>
    <row r="1501" spans="1:9" x14ac:dyDescent="0.35">
      <c r="A1501">
        <v>571</v>
      </c>
      <c r="B1501">
        <v>1</v>
      </c>
      <c r="C1501">
        <v>4</v>
      </c>
      <c r="D1501">
        <v>1</v>
      </c>
      <c r="E1501">
        <v>2899.99</v>
      </c>
      <c r="F1501">
        <v>0.1</v>
      </c>
      <c r="G1501">
        <v>2899.94</v>
      </c>
      <c r="H1501" t="s">
        <v>9</v>
      </c>
      <c r="I1501" t="s">
        <v>300</v>
      </c>
    </row>
    <row r="1502" spans="1:9" x14ac:dyDescent="0.35">
      <c r="A1502">
        <v>571</v>
      </c>
      <c r="B1502">
        <v>2</v>
      </c>
      <c r="C1502">
        <v>9</v>
      </c>
      <c r="D1502">
        <v>1</v>
      </c>
      <c r="E1502">
        <v>2999.99</v>
      </c>
      <c r="F1502">
        <v>0.1</v>
      </c>
      <c r="G1502">
        <v>2999.89</v>
      </c>
      <c r="H1502" t="s">
        <v>14</v>
      </c>
      <c r="I1502" t="s">
        <v>305</v>
      </c>
    </row>
    <row r="1503" spans="1:9" x14ac:dyDescent="0.35">
      <c r="A1503">
        <v>572</v>
      </c>
      <c r="B1503">
        <v>1</v>
      </c>
      <c r="C1503">
        <v>3</v>
      </c>
      <c r="D1503">
        <v>1</v>
      </c>
      <c r="E1503">
        <v>999.99</v>
      </c>
      <c r="F1503">
        <v>0.1</v>
      </c>
      <c r="G1503">
        <v>999.94</v>
      </c>
      <c r="H1503" t="s">
        <v>8</v>
      </c>
      <c r="I1503" t="s">
        <v>304</v>
      </c>
    </row>
    <row r="1504" spans="1:9" x14ac:dyDescent="0.35">
      <c r="A1504">
        <v>572</v>
      </c>
      <c r="B1504">
        <v>2</v>
      </c>
      <c r="C1504">
        <v>13</v>
      </c>
      <c r="D1504">
        <v>2</v>
      </c>
      <c r="E1504">
        <v>269.99</v>
      </c>
      <c r="F1504">
        <v>0.1</v>
      </c>
      <c r="G1504">
        <v>539.88</v>
      </c>
      <c r="H1504" t="s">
        <v>18</v>
      </c>
      <c r="I1504" t="s">
        <v>301</v>
      </c>
    </row>
    <row r="1505" spans="1:9" x14ac:dyDescent="0.35">
      <c r="A1505">
        <v>572</v>
      </c>
      <c r="B1505">
        <v>3</v>
      </c>
      <c r="C1505">
        <v>11</v>
      </c>
      <c r="D1505">
        <v>2</v>
      </c>
      <c r="E1505">
        <v>1680.99</v>
      </c>
      <c r="F1505">
        <v>0.2</v>
      </c>
      <c r="G1505">
        <v>3361.78</v>
      </c>
      <c r="H1505" t="s">
        <v>16</v>
      </c>
      <c r="I1505" t="s">
        <v>299</v>
      </c>
    </row>
    <row r="1506" spans="1:9" x14ac:dyDescent="0.35">
      <c r="A1506">
        <v>574</v>
      </c>
      <c r="B1506">
        <v>1</v>
      </c>
      <c r="C1506">
        <v>26</v>
      </c>
      <c r="D1506">
        <v>1</v>
      </c>
      <c r="E1506">
        <v>599.99</v>
      </c>
      <c r="F1506">
        <v>0.1</v>
      </c>
      <c r="G1506">
        <v>599.94000000000005</v>
      </c>
      <c r="H1506" t="s">
        <v>21</v>
      </c>
      <c r="I1506" t="s">
        <v>301</v>
      </c>
    </row>
    <row r="1507" spans="1:9" x14ac:dyDescent="0.35">
      <c r="A1507">
        <v>574</v>
      </c>
      <c r="B1507">
        <v>2</v>
      </c>
      <c r="C1507">
        <v>13</v>
      </c>
      <c r="D1507">
        <v>2</v>
      </c>
      <c r="E1507">
        <v>269.99</v>
      </c>
      <c r="F1507">
        <v>0.1</v>
      </c>
      <c r="G1507">
        <v>539.88</v>
      </c>
      <c r="H1507" t="s">
        <v>18</v>
      </c>
      <c r="I1507" t="s">
        <v>301</v>
      </c>
    </row>
    <row r="1508" spans="1:9" x14ac:dyDescent="0.35">
      <c r="A1508">
        <v>574</v>
      </c>
      <c r="B1508">
        <v>3</v>
      </c>
      <c r="C1508">
        <v>12</v>
      </c>
      <c r="D1508">
        <v>2</v>
      </c>
      <c r="E1508">
        <v>549.99</v>
      </c>
      <c r="F1508">
        <v>0.1</v>
      </c>
      <c r="G1508">
        <v>1099.8800000000001</v>
      </c>
      <c r="H1508" t="s">
        <v>17</v>
      </c>
      <c r="I1508" t="s">
        <v>304</v>
      </c>
    </row>
    <row r="1509" spans="1:9" x14ac:dyDescent="0.35">
      <c r="A1509">
        <v>574</v>
      </c>
      <c r="B1509">
        <v>4</v>
      </c>
      <c r="C1509">
        <v>23</v>
      </c>
      <c r="D1509">
        <v>2</v>
      </c>
      <c r="E1509">
        <v>299.99</v>
      </c>
      <c r="F1509">
        <v>0.1</v>
      </c>
      <c r="G1509">
        <v>599.88</v>
      </c>
      <c r="H1509" t="s">
        <v>26</v>
      </c>
      <c r="I1509" t="s">
        <v>301</v>
      </c>
    </row>
    <row r="1510" spans="1:9" x14ac:dyDescent="0.35">
      <c r="A1510">
        <v>574</v>
      </c>
      <c r="B1510">
        <v>5</v>
      </c>
      <c r="C1510">
        <v>11</v>
      </c>
      <c r="D1510">
        <v>2</v>
      </c>
      <c r="E1510">
        <v>1680.99</v>
      </c>
      <c r="F1510">
        <v>0.1</v>
      </c>
      <c r="G1510">
        <v>3361.93</v>
      </c>
      <c r="H1510" t="s">
        <v>16</v>
      </c>
      <c r="I1510" t="s">
        <v>299</v>
      </c>
    </row>
    <row r="1511" spans="1:9" x14ac:dyDescent="0.35">
      <c r="A1511">
        <v>575</v>
      </c>
      <c r="B1511">
        <v>1</v>
      </c>
      <c r="C1511">
        <v>4</v>
      </c>
      <c r="D1511">
        <v>2</v>
      </c>
      <c r="E1511">
        <v>2899.99</v>
      </c>
      <c r="F1511">
        <v>0.1</v>
      </c>
      <c r="G1511">
        <v>5799.91</v>
      </c>
      <c r="H1511" t="s">
        <v>9</v>
      </c>
      <c r="I1511" t="s">
        <v>304</v>
      </c>
    </row>
    <row r="1512" spans="1:9" x14ac:dyDescent="0.35">
      <c r="A1512">
        <v>575</v>
      </c>
      <c r="B1512">
        <v>2</v>
      </c>
      <c r="C1512">
        <v>12</v>
      </c>
      <c r="D1512">
        <v>1</v>
      </c>
      <c r="E1512">
        <v>549.99</v>
      </c>
      <c r="F1512">
        <v>0.2</v>
      </c>
      <c r="G1512">
        <v>549.79</v>
      </c>
      <c r="H1512" t="s">
        <v>17</v>
      </c>
      <c r="I1512" t="s">
        <v>303</v>
      </c>
    </row>
    <row r="1513" spans="1:9" x14ac:dyDescent="0.35">
      <c r="A1513">
        <v>578</v>
      </c>
      <c r="B1513">
        <v>1</v>
      </c>
      <c r="C1513">
        <v>21</v>
      </c>
      <c r="D1513">
        <v>1</v>
      </c>
      <c r="E1513">
        <v>269.99</v>
      </c>
      <c r="F1513">
        <v>0.1</v>
      </c>
      <c r="G1513">
        <v>269.92</v>
      </c>
      <c r="H1513" t="s">
        <v>18</v>
      </c>
      <c r="I1513" t="s">
        <v>304</v>
      </c>
    </row>
    <row r="1514" spans="1:9" x14ac:dyDescent="0.35">
      <c r="A1514">
        <v>578</v>
      </c>
      <c r="B1514">
        <v>2</v>
      </c>
      <c r="C1514">
        <v>25</v>
      </c>
      <c r="D1514">
        <v>2</v>
      </c>
      <c r="E1514">
        <v>499.99</v>
      </c>
      <c r="F1514">
        <v>0.2</v>
      </c>
      <c r="G1514">
        <v>999.78</v>
      </c>
      <c r="H1514" t="s">
        <v>27</v>
      </c>
      <c r="I1514" t="s">
        <v>303</v>
      </c>
    </row>
    <row r="1515" spans="1:9" x14ac:dyDescent="0.35">
      <c r="A1515">
        <v>578</v>
      </c>
      <c r="B1515">
        <v>3</v>
      </c>
      <c r="C1515">
        <v>18</v>
      </c>
      <c r="D1515">
        <v>2</v>
      </c>
      <c r="E1515">
        <v>449</v>
      </c>
      <c r="F1515">
        <v>0.1</v>
      </c>
      <c r="G1515">
        <v>897.95</v>
      </c>
      <c r="H1515" t="s">
        <v>23</v>
      </c>
    </row>
    <row r="1516" spans="1:9" x14ac:dyDescent="0.35">
      <c r="A1516">
        <v>578</v>
      </c>
      <c r="B1516">
        <v>4</v>
      </c>
      <c r="C1516">
        <v>8</v>
      </c>
      <c r="D1516">
        <v>2</v>
      </c>
      <c r="E1516">
        <v>1799.99</v>
      </c>
      <c r="F1516">
        <v>0.2</v>
      </c>
      <c r="G1516">
        <v>3599.78</v>
      </c>
      <c r="H1516" t="s">
        <v>13</v>
      </c>
    </row>
    <row r="1517" spans="1:9" x14ac:dyDescent="0.35">
      <c r="A1517">
        <v>579</v>
      </c>
      <c r="B1517">
        <v>1</v>
      </c>
      <c r="C1517">
        <v>7</v>
      </c>
      <c r="D1517">
        <v>2</v>
      </c>
      <c r="E1517">
        <v>3999.99</v>
      </c>
      <c r="F1517">
        <v>0.1</v>
      </c>
      <c r="G1517">
        <v>7999.93</v>
      </c>
      <c r="H1517" t="s">
        <v>12</v>
      </c>
    </row>
    <row r="1518" spans="1:9" x14ac:dyDescent="0.35">
      <c r="A1518">
        <v>579</v>
      </c>
      <c r="B1518">
        <v>2</v>
      </c>
      <c r="C1518">
        <v>6</v>
      </c>
      <c r="D1518">
        <v>1</v>
      </c>
      <c r="E1518">
        <v>469.99</v>
      </c>
      <c r="F1518">
        <v>0.2</v>
      </c>
      <c r="G1518">
        <v>469.79</v>
      </c>
      <c r="H1518" t="s">
        <v>11</v>
      </c>
    </row>
    <row r="1519" spans="1:9" x14ac:dyDescent="0.35">
      <c r="A1519">
        <v>580</v>
      </c>
      <c r="B1519">
        <v>1</v>
      </c>
      <c r="C1519">
        <v>16</v>
      </c>
      <c r="D1519">
        <v>2</v>
      </c>
      <c r="E1519">
        <v>599.99</v>
      </c>
      <c r="F1519">
        <v>0.2</v>
      </c>
      <c r="G1519">
        <v>1199.78</v>
      </c>
      <c r="H1519" t="s">
        <v>21</v>
      </c>
    </row>
    <row r="1520" spans="1:9" x14ac:dyDescent="0.35">
      <c r="A1520">
        <v>580</v>
      </c>
      <c r="B1520">
        <v>2</v>
      </c>
      <c r="C1520">
        <v>15</v>
      </c>
      <c r="D1520">
        <v>1</v>
      </c>
      <c r="E1520">
        <v>529.99</v>
      </c>
      <c r="F1520">
        <v>0.1</v>
      </c>
      <c r="G1520">
        <v>529.91999999999996</v>
      </c>
      <c r="H1520" t="s">
        <v>20</v>
      </c>
    </row>
    <row r="1521" spans="1:8" x14ac:dyDescent="0.35">
      <c r="A1521">
        <v>580</v>
      </c>
      <c r="B1521">
        <v>3</v>
      </c>
      <c r="C1521">
        <v>21</v>
      </c>
      <c r="D1521">
        <v>2</v>
      </c>
      <c r="E1521">
        <v>269.99</v>
      </c>
      <c r="F1521">
        <v>0.2</v>
      </c>
      <c r="G1521">
        <v>539.78</v>
      </c>
      <c r="H1521" t="s">
        <v>18</v>
      </c>
    </row>
    <row r="1522" spans="1:8" x14ac:dyDescent="0.35">
      <c r="A1522">
        <v>580</v>
      </c>
      <c r="B1522">
        <v>4</v>
      </c>
      <c r="C1522">
        <v>9</v>
      </c>
      <c r="D1522">
        <v>2</v>
      </c>
      <c r="E1522">
        <v>2999.99</v>
      </c>
      <c r="F1522">
        <v>0.1</v>
      </c>
      <c r="G1522">
        <v>5999.91</v>
      </c>
      <c r="H1522" t="s">
        <v>14</v>
      </c>
    </row>
    <row r="1523" spans="1:8" x14ac:dyDescent="0.35">
      <c r="A1523">
        <v>580</v>
      </c>
      <c r="B1523">
        <v>5</v>
      </c>
      <c r="C1523">
        <v>19</v>
      </c>
      <c r="D1523">
        <v>1</v>
      </c>
      <c r="E1523">
        <v>449</v>
      </c>
      <c r="F1523">
        <v>0.2</v>
      </c>
      <c r="G1523">
        <v>448.8</v>
      </c>
      <c r="H1523" t="s">
        <v>24</v>
      </c>
    </row>
    <row r="1524" spans="1:8" x14ac:dyDescent="0.35">
      <c r="A1524">
        <v>582</v>
      </c>
      <c r="B1524">
        <v>1</v>
      </c>
      <c r="C1524">
        <v>10</v>
      </c>
      <c r="D1524">
        <v>2</v>
      </c>
      <c r="E1524">
        <v>1549</v>
      </c>
      <c r="F1524">
        <v>0.2</v>
      </c>
      <c r="G1524">
        <v>3097.8</v>
      </c>
      <c r="H1524" t="s">
        <v>15</v>
      </c>
    </row>
    <row r="1525" spans="1:8" x14ac:dyDescent="0.35">
      <c r="A1525">
        <v>582</v>
      </c>
      <c r="B1525">
        <v>2</v>
      </c>
      <c r="C1525">
        <v>17</v>
      </c>
      <c r="D1525">
        <v>2</v>
      </c>
      <c r="E1525">
        <v>429</v>
      </c>
      <c r="F1525">
        <v>0.1</v>
      </c>
      <c r="G1525">
        <v>857.93</v>
      </c>
      <c r="H1525" t="s">
        <v>22</v>
      </c>
    </row>
    <row r="1526" spans="1:8" x14ac:dyDescent="0.35">
      <c r="A1526">
        <v>584</v>
      </c>
      <c r="B1526">
        <v>1</v>
      </c>
      <c r="C1526">
        <v>19</v>
      </c>
      <c r="D1526">
        <v>1</v>
      </c>
      <c r="E1526">
        <v>449</v>
      </c>
      <c r="F1526">
        <v>0.1</v>
      </c>
      <c r="G1526">
        <v>448.93</v>
      </c>
      <c r="H1526" t="s">
        <v>24</v>
      </c>
    </row>
    <row r="1527" spans="1:8" x14ac:dyDescent="0.35">
      <c r="A1527">
        <v>584</v>
      </c>
      <c r="B1527">
        <v>2</v>
      </c>
      <c r="C1527">
        <v>23</v>
      </c>
      <c r="D1527">
        <v>1</v>
      </c>
      <c r="E1527">
        <v>299.99</v>
      </c>
      <c r="F1527">
        <v>0.1</v>
      </c>
      <c r="G1527">
        <v>299.92</v>
      </c>
      <c r="H1527" t="s">
        <v>26</v>
      </c>
    </row>
    <row r="1528" spans="1:8" x14ac:dyDescent="0.35">
      <c r="A1528">
        <v>584</v>
      </c>
      <c r="B1528">
        <v>3</v>
      </c>
      <c r="C1528">
        <v>15</v>
      </c>
      <c r="D1528">
        <v>1</v>
      </c>
      <c r="E1528">
        <v>529.99</v>
      </c>
      <c r="F1528">
        <v>0.1</v>
      </c>
      <c r="G1528">
        <v>529.89</v>
      </c>
      <c r="H1528" t="s">
        <v>20</v>
      </c>
    </row>
    <row r="1529" spans="1:8" x14ac:dyDescent="0.35">
      <c r="A1529">
        <v>584</v>
      </c>
      <c r="B1529">
        <v>4</v>
      </c>
      <c r="C1529">
        <v>22</v>
      </c>
      <c r="D1529">
        <v>1</v>
      </c>
      <c r="E1529">
        <v>269.99</v>
      </c>
      <c r="F1529">
        <v>0.1</v>
      </c>
      <c r="G1529">
        <v>269.94</v>
      </c>
      <c r="H1529" t="s">
        <v>19</v>
      </c>
    </row>
    <row r="1530" spans="1:8" x14ac:dyDescent="0.35">
      <c r="A1530">
        <v>584</v>
      </c>
      <c r="B1530">
        <v>5</v>
      </c>
      <c r="C1530">
        <v>8</v>
      </c>
      <c r="D1530">
        <v>2</v>
      </c>
      <c r="E1530">
        <v>1799.99</v>
      </c>
      <c r="F1530">
        <v>0.1</v>
      </c>
      <c r="G1530">
        <v>3599.91</v>
      </c>
      <c r="H1530" t="s">
        <v>13</v>
      </c>
    </row>
    <row r="1531" spans="1:8" x14ac:dyDescent="0.35">
      <c r="A1531">
        <v>585</v>
      </c>
      <c r="B1531">
        <v>1</v>
      </c>
      <c r="C1531">
        <v>10</v>
      </c>
      <c r="D1531">
        <v>1</v>
      </c>
      <c r="E1531">
        <v>1549</v>
      </c>
      <c r="F1531">
        <v>0.2</v>
      </c>
      <c r="G1531">
        <v>1548.8</v>
      </c>
      <c r="H1531" t="s">
        <v>15</v>
      </c>
    </row>
    <row r="1532" spans="1:8" x14ac:dyDescent="0.35">
      <c r="A1532">
        <v>585</v>
      </c>
      <c r="B1532">
        <v>2</v>
      </c>
      <c r="C1532">
        <v>18</v>
      </c>
      <c r="D1532">
        <v>2</v>
      </c>
      <c r="E1532">
        <v>449</v>
      </c>
      <c r="F1532">
        <v>0.2</v>
      </c>
      <c r="G1532">
        <v>897.8</v>
      </c>
      <c r="H1532" t="s">
        <v>23</v>
      </c>
    </row>
    <row r="1533" spans="1:8" x14ac:dyDescent="0.35">
      <c r="A1533">
        <v>585</v>
      </c>
      <c r="B1533">
        <v>3</v>
      </c>
      <c r="C1533">
        <v>15</v>
      </c>
      <c r="D1533">
        <v>1</v>
      </c>
      <c r="E1533">
        <v>529.99</v>
      </c>
      <c r="F1533">
        <v>0.1</v>
      </c>
      <c r="G1533">
        <v>529.94000000000005</v>
      </c>
      <c r="H1533" t="s">
        <v>20</v>
      </c>
    </row>
    <row r="1534" spans="1:8" x14ac:dyDescent="0.35">
      <c r="A1534">
        <v>585</v>
      </c>
      <c r="B1534">
        <v>4</v>
      </c>
      <c r="C1534">
        <v>12</v>
      </c>
      <c r="D1534">
        <v>2</v>
      </c>
      <c r="E1534">
        <v>549.99</v>
      </c>
      <c r="F1534">
        <v>0.1</v>
      </c>
      <c r="G1534">
        <v>1099.9100000000001</v>
      </c>
      <c r="H1534" t="s">
        <v>17</v>
      </c>
    </row>
    <row r="1535" spans="1:8" x14ac:dyDescent="0.35">
      <c r="A1535">
        <v>586</v>
      </c>
      <c r="B1535">
        <v>1</v>
      </c>
      <c r="C1535">
        <v>11</v>
      </c>
      <c r="D1535">
        <v>2</v>
      </c>
      <c r="E1535">
        <v>1680.99</v>
      </c>
      <c r="F1535">
        <v>0.1</v>
      </c>
      <c r="G1535">
        <v>3361.88</v>
      </c>
      <c r="H1535" t="s">
        <v>16</v>
      </c>
    </row>
    <row r="1536" spans="1:8" x14ac:dyDescent="0.35">
      <c r="A1536">
        <v>586</v>
      </c>
      <c r="B1536">
        <v>2</v>
      </c>
      <c r="C1536">
        <v>23</v>
      </c>
      <c r="D1536">
        <v>2</v>
      </c>
      <c r="E1536">
        <v>299.99</v>
      </c>
      <c r="F1536">
        <v>0.2</v>
      </c>
      <c r="G1536">
        <v>599.78</v>
      </c>
      <c r="H1536" t="s">
        <v>26</v>
      </c>
    </row>
    <row r="1537" spans="1:8" x14ac:dyDescent="0.35">
      <c r="A1537">
        <v>587</v>
      </c>
      <c r="B1537">
        <v>1</v>
      </c>
      <c r="C1537">
        <v>24</v>
      </c>
      <c r="D1537">
        <v>1</v>
      </c>
      <c r="E1537">
        <v>549.99</v>
      </c>
      <c r="F1537">
        <v>0.1</v>
      </c>
      <c r="G1537">
        <v>549.94000000000005</v>
      </c>
      <c r="H1537" t="s">
        <v>17</v>
      </c>
    </row>
    <row r="1538" spans="1:8" x14ac:dyDescent="0.35">
      <c r="A1538">
        <v>587</v>
      </c>
      <c r="B1538">
        <v>2</v>
      </c>
      <c r="C1538">
        <v>23</v>
      </c>
      <c r="D1538">
        <v>1</v>
      </c>
      <c r="E1538">
        <v>299.99</v>
      </c>
      <c r="F1538">
        <v>0.1</v>
      </c>
      <c r="G1538">
        <v>299.94</v>
      </c>
      <c r="H1538" t="s">
        <v>26</v>
      </c>
    </row>
    <row r="1539" spans="1:8" x14ac:dyDescent="0.35">
      <c r="A1539">
        <v>587</v>
      </c>
      <c r="B1539">
        <v>3</v>
      </c>
      <c r="C1539">
        <v>18</v>
      </c>
      <c r="D1539">
        <v>1</v>
      </c>
      <c r="E1539">
        <v>449</v>
      </c>
      <c r="F1539">
        <v>0.1</v>
      </c>
      <c r="G1539">
        <v>448.95</v>
      </c>
      <c r="H1539" t="s">
        <v>23</v>
      </c>
    </row>
    <row r="1540" spans="1:8" x14ac:dyDescent="0.35">
      <c r="A1540">
        <v>587</v>
      </c>
      <c r="B1540">
        <v>4</v>
      </c>
      <c r="C1540">
        <v>21</v>
      </c>
      <c r="D1540">
        <v>1</v>
      </c>
      <c r="E1540">
        <v>269.99</v>
      </c>
      <c r="F1540">
        <v>0.2</v>
      </c>
      <c r="G1540">
        <v>269.79000000000002</v>
      </c>
      <c r="H1540" t="s">
        <v>18</v>
      </c>
    </row>
    <row r="1541" spans="1:8" x14ac:dyDescent="0.35">
      <c r="A1541">
        <v>588</v>
      </c>
      <c r="B1541">
        <v>1</v>
      </c>
      <c r="C1541">
        <v>10</v>
      </c>
      <c r="D1541">
        <v>2</v>
      </c>
      <c r="E1541">
        <v>1549</v>
      </c>
      <c r="F1541">
        <v>0.1</v>
      </c>
      <c r="G1541">
        <v>3097.93</v>
      </c>
      <c r="H1541" t="s">
        <v>15</v>
      </c>
    </row>
    <row r="1542" spans="1:8" x14ac:dyDescent="0.35">
      <c r="A1542">
        <v>588</v>
      </c>
      <c r="B1542">
        <v>2</v>
      </c>
      <c r="C1542">
        <v>23</v>
      </c>
      <c r="D1542">
        <v>1</v>
      </c>
      <c r="E1542">
        <v>299.99</v>
      </c>
      <c r="F1542">
        <v>0.2</v>
      </c>
      <c r="G1542">
        <v>299.79000000000002</v>
      </c>
      <c r="H1542" t="s">
        <v>26</v>
      </c>
    </row>
    <row r="1543" spans="1:8" x14ac:dyDescent="0.35">
      <c r="A1543">
        <v>590</v>
      </c>
      <c r="B1543">
        <v>1</v>
      </c>
      <c r="C1543">
        <v>2</v>
      </c>
      <c r="D1543">
        <v>2</v>
      </c>
      <c r="E1543">
        <v>749.99</v>
      </c>
      <c r="F1543">
        <v>0.1</v>
      </c>
      <c r="G1543">
        <v>1499.88</v>
      </c>
      <c r="H1543" t="s">
        <v>7</v>
      </c>
    </row>
    <row r="1544" spans="1:8" x14ac:dyDescent="0.35">
      <c r="A1544">
        <v>590</v>
      </c>
      <c r="B1544">
        <v>2</v>
      </c>
      <c r="C1544">
        <v>20</v>
      </c>
      <c r="D1544">
        <v>1</v>
      </c>
      <c r="E1544">
        <v>599.99</v>
      </c>
      <c r="F1544">
        <v>0.1</v>
      </c>
      <c r="G1544">
        <v>599.91999999999996</v>
      </c>
      <c r="H1544" t="s">
        <v>25</v>
      </c>
    </row>
    <row r="1545" spans="1:8" x14ac:dyDescent="0.35">
      <c r="A1545">
        <v>590</v>
      </c>
      <c r="B1545">
        <v>3</v>
      </c>
      <c r="C1545">
        <v>8</v>
      </c>
      <c r="D1545">
        <v>2</v>
      </c>
      <c r="E1545">
        <v>1799.99</v>
      </c>
      <c r="F1545">
        <v>0.1</v>
      </c>
      <c r="G1545">
        <v>3599.93</v>
      </c>
      <c r="H1545" t="s">
        <v>13</v>
      </c>
    </row>
    <row r="1546" spans="1:8" x14ac:dyDescent="0.35">
      <c r="A1546">
        <v>590</v>
      </c>
      <c r="B1546">
        <v>4</v>
      </c>
      <c r="C1546">
        <v>5</v>
      </c>
      <c r="D1546">
        <v>2</v>
      </c>
      <c r="E1546">
        <v>1320.99</v>
      </c>
      <c r="F1546">
        <v>0.1</v>
      </c>
      <c r="G1546">
        <v>2641.88</v>
      </c>
      <c r="H1546" t="s">
        <v>10</v>
      </c>
    </row>
    <row r="1547" spans="1:8" x14ac:dyDescent="0.35">
      <c r="A1547">
        <v>590</v>
      </c>
      <c r="B1547">
        <v>5</v>
      </c>
      <c r="C1547">
        <v>24</v>
      </c>
      <c r="D1547">
        <v>1</v>
      </c>
      <c r="E1547">
        <v>549.99</v>
      </c>
      <c r="F1547">
        <v>0.1</v>
      </c>
      <c r="G1547">
        <v>549.89</v>
      </c>
      <c r="H1547" t="s">
        <v>17</v>
      </c>
    </row>
    <row r="1548" spans="1:8" x14ac:dyDescent="0.35">
      <c r="A1548">
        <v>591</v>
      </c>
      <c r="B1548">
        <v>1</v>
      </c>
      <c r="C1548">
        <v>16</v>
      </c>
      <c r="D1548">
        <v>2</v>
      </c>
      <c r="E1548">
        <v>599.99</v>
      </c>
      <c r="F1548">
        <v>0.1</v>
      </c>
      <c r="G1548">
        <v>1199.93</v>
      </c>
      <c r="H1548" t="s">
        <v>21</v>
      </c>
    </row>
    <row r="1549" spans="1:8" x14ac:dyDescent="0.35">
      <c r="A1549">
        <v>591</v>
      </c>
      <c r="B1549">
        <v>2</v>
      </c>
      <c r="C1549">
        <v>25</v>
      </c>
      <c r="D1549">
        <v>2</v>
      </c>
      <c r="E1549">
        <v>499.99</v>
      </c>
      <c r="F1549">
        <v>0.1</v>
      </c>
      <c r="G1549">
        <v>999.93</v>
      </c>
      <c r="H1549" t="s">
        <v>27</v>
      </c>
    </row>
    <row r="1550" spans="1:8" x14ac:dyDescent="0.35">
      <c r="A1550">
        <v>591</v>
      </c>
      <c r="B1550">
        <v>3</v>
      </c>
      <c r="C1550">
        <v>2</v>
      </c>
      <c r="D1550">
        <v>2</v>
      </c>
      <c r="E1550">
        <v>749.99</v>
      </c>
      <c r="F1550">
        <v>0.1</v>
      </c>
      <c r="G1550">
        <v>1499.88</v>
      </c>
      <c r="H1550" t="s">
        <v>7</v>
      </c>
    </row>
    <row r="1551" spans="1:8" x14ac:dyDescent="0.35">
      <c r="A1551">
        <v>592</v>
      </c>
      <c r="B1551">
        <v>1</v>
      </c>
      <c r="C1551">
        <v>21</v>
      </c>
      <c r="D1551">
        <v>2</v>
      </c>
      <c r="E1551">
        <v>269.99</v>
      </c>
      <c r="F1551">
        <v>0.1</v>
      </c>
      <c r="G1551">
        <v>539.88</v>
      </c>
      <c r="H1551" t="s">
        <v>18</v>
      </c>
    </row>
    <row r="1552" spans="1:8" x14ac:dyDescent="0.35">
      <c r="A1552">
        <v>592</v>
      </c>
      <c r="B1552">
        <v>2</v>
      </c>
      <c r="C1552">
        <v>16</v>
      </c>
      <c r="D1552">
        <v>1</v>
      </c>
      <c r="E1552">
        <v>599.99</v>
      </c>
      <c r="F1552">
        <v>0.1</v>
      </c>
      <c r="G1552">
        <v>599.94000000000005</v>
      </c>
      <c r="H1552" t="s">
        <v>21</v>
      </c>
    </row>
    <row r="1553" spans="1:8" x14ac:dyDescent="0.35">
      <c r="A1553">
        <v>592</v>
      </c>
      <c r="B1553">
        <v>3</v>
      </c>
      <c r="C1553">
        <v>18</v>
      </c>
      <c r="D1553">
        <v>2</v>
      </c>
      <c r="E1553">
        <v>449</v>
      </c>
      <c r="F1553">
        <v>0.1</v>
      </c>
      <c r="G1553">
        <v>897.93</v>
      </c>
      <c r="H1553" t="s">
        <v>23</v>
      </c>
    </row>
    <row r="1554" spans="1:8" x14ac:dyDescent="0.35">
      <c r="A1554">
        <v>593</v>
      </c>
      <c r="B1554">
        <v>1</v>
      </c>
      <c r="C1554">
        <v>3</v>
      </c>
      <c r="D1554">
        <v>2</v>
      </c>
      <c r="E1554">
        <v>999.99</v>
      </c>
      <c r="F1554">
        <v>0.1</v>
      </c>
      <c r="G1554">
        <v>1999.88</v>
      </c>
      <c r="H1554" t="s">
        <v>8</v>
      </c>
    </row>
    <row r="1555" spans="1:8" x14ac:dyDescent="0.35">
      <c r="A1555">
        <v>593</v>
      </c>
      <c r="B1555">
        <v>2</v>
      </c>
      <c r="C1555">
        <v>25</v>
      </c>
      <c r="D1555">
        <v>1</v>
      </c>
      <c r="E1555">
        <v>499.99</v>
      </c>
      <c r="F1555">
        <v>0.1</v>
      </c>
      <c r="G1555">
        <v>499.92</v>
      </c>
      <c r="H1555" t="s">
        <v>27</v>
      </c>
    </row>
    <row r="1556" spans="1:8" x14ac:dyDescent="0.35">
      <c r="A1556">
        <v>594</v>
      </c>
      <c r="B1556">
        <v>1</v>
      </c>
      <c r="C1556">
        <v>26</v>
      </c>
      <c r="D1556">
        <v>1</v>
      </c>
      <c r="E1556">
        <v>599.99</v>
      </c>
      <c r="F1556">
        <v>0.1</v>
      </c>
      <c r="G1556">
        <v>599.89</v>
      </c>
      <c r="H1556" t="s">
        <v>21</v>
      </c>
    </row>
    <row r="1557" spans="1:8" x14ac:dyDescent="0.35">
      <c r="A1557">
        <v>594</v>
      </c>
      <c r="B1557">
        <v>2</v>
      </c>
      <c r="C1557">
        <v>21</v>
      </c>
      <c r="D1557">
        <v>2</v>
      </c>
      <c r="E1557">
        <v>269.99</v>
      </c>
      <c r="F1557">
        <v>0.1</v>
      </c>
      <c r="G1557">
        <v>539.92999999999995</v>
      </c>
      <c r="H1557" t="s">
        <v>18</v>
      </c>
    </row>
    <row r="1558" spans="1:8" x14ac:dyDescent="0.35">
      <c r="A1558">
        <v>595</v>
      </c>
      <c r="B1558">
        <v>1</v>
      </c>
      <c r="C1558">
        <v>4</v>
      </c>
      <c r="D1558">
        <v>1</v>
      </c>
      <c r="E1558">
        <v>2899.99</v>
      </c>
      <c r="F1558">
        <v>0.1</v>
      </c>
      <c r="G1558">
        <v>2899.92</v>
      </c>
      <c r="H1558" t="s">
        <v>9</v>
      </c>
    </row>
    <row r="1559" spans="1:8" x14ac:dyDescent="0.35">
      <c r="A1559">
        <v>595</v>
      </c>
      <c r="B1559">
        <v>2</v>
      </c>
      <c r="C1559">
        <v>19</v>
      </c>
      <c r="D1559">
        <v>2</v>
      </c>
      <c r="E1559">
        <v>449</v>
      </c>
      <c r="F1559">
        <v>0.1</v>
      </c>
      <c r="G1559">
        <v>897.93</v>
      </c>
      <c r="H1559" t="s">
        <v>24</v>
      </c>
    </row>
    <row r="1560" spans="1:8" x14ac:dyDescent="0.35">
      <c r="A1560">
        <v>595</v>
      </c>
      <c r="B1560">
        <v>3</v>
      </c>
      <c r="C1560">
        <v>3</v>
      </c>
      <c r="D1560">
        <v>1</v>
      </c>
      <c r="E1560">
        <v>999.99</v>
      </c>
      <c r="F1560">
        <v>0.1</v>
      </c>
      <c r="G1560">
        <v>999.92</v>
      </c>
      <c r="H1560" t="s">
        <v>8</v>
      </c>
    </row>
    <row r="1561" spans="1:8" x14ac:dyDescent="0.35">
      <c r="A1561">
        <v>595</v>
      </c>
      <c r="B1561">
        <v>4</v>
      </c>
      <c r="C1561">
        <v>10</v>
      </c>
      <c r="D1561">
        <v>1</v>
      </c>
      <c r="E1561">
        <v>1549</v>
      </c>
      <c r="F1561">
        <v>0.1</v>
      </c>
      <c r="G1561">
        <v>1548.93</v>
      </c>
      <c r="H1561" t="s">
        <v>15</v>
      </c>
    </row>
    <row r="1562" spans="1:8" x14ac:dyDescent="0.35">
      <c r="A1562">
        <v>595</v>
      </c>
      <c r="B1562">
        <v>5</v>
      </c>
      <c r="C1562">
        <v>26</v>
      </c>
      <c r="D1562">
        <v>2</v>
      </c>
      <c r="E1562">
        <v>599.99</v>
      </c>
      <c r="F1562">
        <v>0.1</v>
      </c>
      <c r="G1562">
        <v>1199.93</v>
      </c>
      <c r="H1562" t="s">
        <v>21</v>
      </c>
    </row>
    <row r="1563" spans="1:8" x14ac:dyDescent="0.35">
      <c r="A1563">
        <v>596</v>
      </c>
      <c r="B1563">
        <v>1</v>
      </c>
      <c r="C1563">
        <v>5</v>
      </c>
      <c r="D1563">
        <v>1</v>
      </c>
      <c r="E1563">
        <v>1320.99</v>
      </c>
      <c r="F1563">
        <v>0.1</v>
      </c>
      <c r="G1563">
        <v>1320.94</v>
      </c>
      <c r="H1563" t="s">
        <v>10</v>
      </c>
    </row>
    <row r="1564" spans="1:8" x14ac:dyDescent="0.35">
      <c r="A1564">
        <v>596</v>
      </c>
      <c r="B1564">
        <v>2</v>
      </c>
      <c r="C1564">
        <v>23</v>
      </c>
      <c r="D1564">
        <v>2</v>
      </c>
      <c r="E1564">
        <v>299.99</v>
      </c>
      <c r="F1564">
        <v>0.1</v>
      </c>
      <c r="G1564">
        <v>599.88</v>
      </c>
      <c r="H1564" t="s">
        <v>26</v>
      </c>
    </row>
    <row r="1565" spans="1:8" x14ac:dyDescent="0.35">
      <c r="A1565">
        <v>596</v>
      </c>
      <c r="B1565">
        <v>3</v>
      </c>
      <c r="C1565">
        <v>9</v>
      </c>
      <c r="D1565">
        <v>1</v>
      </c>
      <c r="E1565">
        <v>2999.99</v>
      </c>
      <c r="F1565">
        <v>0.1</v>
      </c>
      <c r="G1565">
        <v>2999.94</v>
      </c>
      <c r="H1565" t="s">
        <v>14</v>
      </c>
    </row>
    <row r="1566" spans="1:8" x14ac:dyDescent="0.35">
      <c r="A1566">
        <v>597</v>
      </c>
      <c r="B1566">
        <v>1</v>
      </c>
      <c r="C1566">
        <v>17</v>
      </c>
      <c r="D1566">
        <v>2</v>
      </c>
      <c r="E1566">
        <v>429</v>
      </c>
      <c r="F1566">
        <v>0.2</v>
      </c>
      <c r="G1566">
        <v>857.8</v>
      </c>
      <c r="H1566" t="s">
        <v>22</v>
      </c>
    </row>
    <row r="1567" spans="1:8" x14ac:dyDescent="0.35">
      <c r="A1567">
        <v>597</v>
      </c>
      <c r="B1567">
        <v>2</v>
      </c>
      <c r="C1567">
        <v>8</v>
      </c>
      <c r="D1567">
        <v>1</v>
      </c>
      <c r="E1567">
        <v>1799.99</v>
      </c>
      <c r="F1567">
        <v>0.1</v>
      </c>
      <c r="G1567">
        <v>1799.92</v>
      </c>
      <c r="H1567" t="s">
        <v>13</v>
      </c>
    </row>
    <row r="1568" spans="1:8" x14ac:dyDescent="0.35">
      <c r="A1568">
        <v>598</v>
      </c>
      <c r="B1568">
        <v>1</v>
      </c>
      <c r="C1568">
        <v>4</v>
      </c>
      <c r="D1568">
        <v>2</v>
      </c>
      <c r="E1568">
        <v>2899.99</v>
      </c>
      <c r="F1568">
        <v>0.1</v>
      </c>
      <c r="G1568">
        <v>5799.93</v>
      </c>
      <c r="H1568" t="s">
        <v>9</v>
      </c>
    </row>
    <row r="1569" spans="1:8" x14ac:dyDescent="0.35">
      <c r="A1569">
        <v>598</v>
      </c>
      <c r="B1569">
        <v>2</v>
      </c>
      <c r="C1569">
        <v>16</v>
      </c>
      <c r="D1569">
        <v>2</v>
      </c>
      <c r="E1569">
        <v>599.99</v>
      </c>
      <c r="F1569">
        <v>0.1</v>
      </c>
      <c r="G1569">
        <v>1199.9100000000001</v>
      </c>
      <c r="H1569" t="s">
        <v>21</v>
      </c>
    </row>
    <row r="1570" spans="1:8" x14ac:dyDescent="0.35">
      <c r="A1570">
        <v>598</v>
      </c>
      <c r="B1570">
        <v>3</v>
      </c>
      <c r="C1570">
        <v>14</v>
      </c>
      <c r="D1570">
        <v>1</v>
      </c>
      <c r="E1570">
        <v>269.99</v>
      </c>
      <c r="F1570">
        <v>0.1</v>
      </c>
      <c r="G1570">
        <v>269.89</v>
      </c>
      <c r="H1570" t="s">
        <v>19</v>
      </c>
    </row>
    <row r="1571" spans="1:8" x14ac:dyDescent="0.35">
      <c r="A1571">
        <v>599</v>
      </c>
      <c r="B1571">
        <v>1</v>
      </c>
      <c r="C1571">
        <v>9</v>
      </c>
      <c r="D1571">
        <v>2</v>
      </c>
      <c r="E1571">
        <v>2999.99</v>
      </c>
      <c r="F1571">
        <v>0.1</v>
      </c>
      <c r="G1571">
        <v>5999.93</v>
      </c>
      <c r="H1571" t="s">
        <v>14</v>
      </c>
    </row>
    <row r="1572" spans="1:8" x14ac:dyDescent="0.35">
      <c r="A1572">
        <v>599</v>
      </c>
      <c r="B1572">
        <v>2</v>
      </c>
      <c r="C1572">
        <v>22</v>
      </c>
      <c r="D1572">
        <v>2</v>
      </c>
      <c r="E1572">
        <v>269.99</v>
      </c>
      <c r="F1572">
        <v>0.2</v>
      </c>
      <c r="G1572">
        <v>539.78</v>
      </c>
      <c r="H1572" t="s">
        <v>19</v>
      </c>
    </row>
    <row r="1573" spans="1:8" x14ac:dyDescent="0.35">
      <c r="A1573">
        <v>599</v>
      </c>
      <c r="B1573">
        <v>3</v>
      </c>
      <c r="C1573">
        <v>23</v>
      </c>
      <c r="D1573">
        <v>1</v>
      </c>
      <c r="E1573">
        <v>299.99</v>
      </c>
      <c r="F1573">
        <v>0.1</v>
      </c>
      <c r="G1573">
        <v>299.92</v>
      </c>
      <c r="H1573" t="s">
        <v>26</v>
      </c>
    </row>
    <row r="1574" spans="1:8" x14ac:dyDescent="0.35">
      <c r="A1574">
        <v>599</v>
      </c>
      <c r="B1574">
        <v>4</v>
      </c>
      <c r="C1574">
        <v>10</v>
      </c>
      <c r="D1574">
        <v>2</v>
      </c>
      <c r="E1574">
        <v>1549</v>
      </c>
      <c r="F1574">
        <v>0.1</v>
      </c>
      <c r="G1574">
        <v>3097.9</v>
      </c>
      <c r="H1574" t="s">
        <v>15</v>
      </c>
    </row>
    <row r="1575" spans="1:8" x14ac:dyDescent="0.35">
      <c r="A1575">
        <v>600</v>
      </c>
      <c r="B1575">
        <v>1</v>
      </c>
      <c r="C1575">
        <v>26</v>
      </c>
      <c r="D1575">
        <v>2</v>
      </c>
      <c r="E1575">
        <v>599.99</v>
      </c>
      <c r="F1575">
        <v>0.1</v>
      </c>
      <c r="G1575">
        <v>1199.9100000000001</v>
      </c>
      <c r="H1575" t="s">
        <v>21</v>
      </c>
    </row>
    <row r="1576" spans="1:8" x14ac:dyDescent="0.35">
      <c r="A1576">
        <v>600</v>
      </c>
      <c r="B1576">
        <v>2</v>
      </c>
      <c r="C1576">
        <v>4</v>
      </c>
      <c r="D1576">
        <v>1</v>
      </c>
      <c r="E1576">
        <v>2899.99</v>
      </c>
      <c r="F1576">
        <v>0.2</v>
      </c>
      <c r="G1576">
        <v>2899.79</v>
      </c>
      <c r="H1576" t="s">
        <v>9</v>
      </c>
    </row>
    <row r="1577" spans="1:8" x14ac:dyDescent="0.35">
      <c r="A1577">
        <v>600</v>
      </c>
      <c r="B1577">
        <v>3</v>
      </c>
      <c r="C1577">
        <v>18</v>
      </c>
      <c r="D1577">
        <v>2</v>
      </c>
      <c r="E1577">
        <v>449</v>
      </c>
      <c r="F1577">
        <v>0.1</v>
      </c>
      <c r="G1577">
        <v>897.93</v>
      </c>
      <c r="H1577" t="s">
        <v>23</v>
      </c>
    </row>
    <row r="1578" spans="1:8" x14ac:dyDescent="0.35">
      <c r="A1578">
        <v>602</v>
      </c>
      <c r="B1578">
        <v>1</v>
      </c>
      <c r="C1578">
        <v>15</v>
      </c>
      <c r="D1578">
        <v>2</v>
      </c>
      <c r="E1578">
        <v>529.99</v>
      </c>
      <c r="F1578">
        <v>0.1</v>
      </c>
      <c r="G1578">
        <v>1059.93</v>
      </c>
      <c r="H1578" t="s">
        <v>20</v>
      </c>
    </row>
    <row r="1579" spans="1:8" x14ac:dyDescent="0.35">
      <c r="A1579">
        <v>602</v>
      </c>
      <c r="B1579">
        <v>2</v>
      </c>
      <c r="C1579">
        <v>5</v>
      </c>
      <c r="D1579">
        <v>2</v>
      </c>
      <c r="E1579">
        <v>1320.99</v>
      </c>
      <c r="F1579">
        <v>0.1</v>
      </c>
      <c r="G1579">
        <v>2641.91</v>
      </c>
      <c r="H1579" t="s">
        <v>10</v>
      </c>
    </row>
    <row r="1580" spans="1:8" x14ac:dyDescent="0.35">
      <c r="A1580">
        <v>603</v>
      </c>
      <c r="B1580">
        <v>1</v>
      </c>
      <c r="C1580">
        <v>12</v>
      </c>
      <c r="D1580">
        <v>1</v>
      </c>
      <c r="E1580">
        <v>549.99</v>
      </c>
      <c r="F1580">
        <v>0.1</v>
      </c>
      <c r="G1580">
        <v>549.91999999999996</v>
      </c>
      <c r="H1580" t="s">
        <v>17</v>
      </c>
    </row>
    <row r="1581" spans="1:8" x14ac:dyDescent="0.35">
      <c r="A1581">
        <v>603</v>
      </c>
      <c r="B1581">
        <v>2</v>
      </c>
      <c r="C1581">
        <v>4</v>
      </c>
      <c r="D1581">
        <v>1</v>
      </c>
      <c r="E1581">
        <v>2899.99</v>
      </c>
      <c r="F1581">
        <v>0.1</v>
      </c>
      <c r="G1581">
        <v>2899.89</v>
      </c>
      <c r="H1581" t="s">
        <v>9</v>
      </c>
    </row>
    <row r="1582" spans="1:8" x14ac:dyDescent="0.35">
      <c r="A1582">
        <v>604</v>
      </c>
      <c r="B1582">
        <v>1</v>
      </c>
      <c r="C1582">
        <v>10</v>
      </c>
      <c r="D1582">
        <v>2</v>
      </c>
      <c r="E1582">
        <v>1549</v>
      </c>
      <c r="F1582">
        <v>0.1</v>
      </c>
      <c r="G1582">
        <v>3097.93</v>
      </c>
      <c r="H1582" t="s">
        <v>15</v>
      </c>
    </row>
    <row r="1583" spans="1:8" x14ac:dyDescent="0.35">
      <c r="A1583">
        <v>604</v>
      </c>
      <c r="B1583">
        <v>2</v>
      </c>
      <c r="C1583">
        <v>9</v>
      </c>
      <c r="D1583">
        <v>2</v>
      </c>
      <c r="E1583">
        <v>2999.99</v>
      </c>
      <c r="F1583">
        <v>0.2</v>
      </c>
      <c r="G1583">
        <v>5999.78</v>
      </c>
      <c r="H1583" t="s">
        <v>14</v>
      </c>
    </row>
    <row r="1584" spans="1:8" x14ac:dyDescent="0.35">
      <c r="A1584">
        <v>605</v>
      </c>
      <c r="B1584">
        <v>1</v>
      </c>
      <c r="C1584">
        <v>19</v>
      </c>
      <c r="D1584">
        <v>1</v>
      </c>
      <c r="E1584">
        <v>449</v>
      </c>
      <c r="F1584">
        <v>0.1</v>
      </c>
      <c r="G1584">
        <v>448.93</v>
      </c>
      <c r="H1584" t="s">
        <v>24</v>
      </c>
    </row>
    <row r="1585" spans="1:8" x14ac:dyDescent="0.35">
      <c r="A1585">
        <v>605</v>
      </c>
      <c r="B1585">
        <v>2</v>
      </c>
      <c r="C1585">
        <v>25</v>
      </c>
      <c r="D1585">
        <v>2</v>
      </c>
      <c r="E1585">
        <v>499.99</v>
      </c>
      <c r="F1585">
        <v>0.1</v>
      </c>
      <c r="G1585">
        <v>999.93</v>
      </c>
      <c r="H1585" t="s">
        <v>27</v>
      </c>
    </row>
    <row r="1586" spans="1:8" x14ac:dyDescent="0.35">
      <c r="A1586">
        <v>605</v>
      </c>
      <c r="B1586">
        <v>3</v>
      </c>
      <c r="C1586">
        <v>13</v>
      </c>
      <c r="D1586">
        <v>2</v>
      </c>
      <c r="E1586">
        <v>269.99</v>
      </c>
      <c r="F1586">
        <v>0.2</v>
      </c>
      <c r="G1586">
        <v>539.78</v>
      </c>
      <c r="H1586" t="s">
        <v>18</v>
      </c>
    </row>
    <row r="1587" spans="1:8" x14ac:dyDescent="0.35">
      <c r="A1587">
        <v>605</v>
      </c>
      <c r="B1587">
        <v>4</v>
      </c>
      <c r="C1587">
        <v>11</v>
      </c>
      <c r="D1587">
        <v>1</v>
      </c>
      <c r="E1587">
        <v>1680.99</v>
      </c>
      <c r="F1587">
        <v>0.2</v>
      </c>
      <c r="G1587">
        <v>1680.79</v>
      </c>
      <c r="H1587" t="s">
        <v>16</v>
      </c>
    </row>
    <row r="1588" spans="1:8" x14ac:dyDescent="0.35">
      <c r="A1588">
        <v>606</v>
      </c>
      <c r="B1588">
        <v>1</v>
      </c>
      <c r="C1588">
        <v>6</v>
      </c>
      <c r="D1588">
        <v>2</v>
      </c>
      <c r="E1588">
        <v>469.99</v>
      </c>
      <c r="F1588">
        <v>0.2</v>
      </c>
      <c r="G1588">
        <v>939.78</v>
      </c>
      <c r="H1588" t="s">
        <v>11</v>
      </c>
    </row>
    <row r="1589" spans="1:8" x14ac:dyDescent="0.35">
      <c r="A1589">
        <v>606</v>
      </c>
      <c r="B1589">
        <v>2</v>
      </c>
      <c r="C1589">
        <v>18</v>
      </c>
      <c r="D1589">
        <v>2</v>
      </c>
      <c r="E1589">
        <v>449</v>
      </c>
      <c r="F1589">
        <v>0.1</v>
      </c>
      <c r="G1589">
        <v>897.95</v>
      </c>
      <c r="H1589" t="s">
        <v>23</v>
      </c>
    </row>
    <row r="1590" spans="1:8" x14ac:dyDescent="0.35">
      <c r="A1590">
        <v>607</v>
      </c>
      <c r="B1590">
        <v>1</v>
      </c>
      <c r="C1590">
        <v>11</v>
      </c>
      <c r="D1590">
        <v>2</v>
      </c>
      <c r="E1590">
        <v>1680.99</v>
      </c>
      <c r="F1590">
        <v>0.2</v>
      </c>
      <c r="G1590">
        <v>3361.78</v>
      </c>
      <c r="H1590" t="s">
        <v>16</v>
      </c>
    </row>
    <row r="1591" spans="1:8" x14ac:dyDescent="0.35">
      <c r="A1591">
        <v>607</v>
      </c>
      <c r="B1591">
        <v>2</v>
      </c>
      <c r="C1591">
        <v>26</v>
      </c>
      <c r="D1591">
        <v>2</v>
      </c>
      <c r="E1591">
        <v>599.99</v>
      </c>
      <c r="F1591">
        <v>0.2</v>
      </c>
      <c r="G1591">
        <v>1199.78</v>
      </c>
      <c r="H1591" t="s">
        <v>21</v>
      </c>
    </row>
    <row r="1592" spans="1:8" x14ac:dyDescent="0.35">
      <c r="A1592">
        <v>607</v>
      </c>
      <c r="B1592">
        <v>3</v>
      </c>
      <c r="C1592">
        <v>14</v>
      </c>
      <c r="D1592">
        <v>1</v>
      </c>
      <c r="E1592">
        <v>269.99</v>
      </c>
      <c r="F1592">
        <v>0.1</v>
      </c>
      <c r="G1592">
        <v>269.92</v>
      </c>
      <c r="H1592" t="s">
        <v>19</v>
      </c>
    </row>
    <row r="1593" spans="1:8" x14ac:dyDescent="0.35">
      <c r="A1593">
        <v>608</v>
      </c>
      <c r="B1593">
        <v>1</v>
      </c>
      <c r="C1593">
        <v>4</v>
      </c>
      <c r="D1593">
        <v>2</v>
      </c>
      <c r="E1593">
        <v>2899.99</v>
      </c>
      <c r="F1593">
        <v>0.2</v>
      </c>
      <c r="G1593">
        <v>5799.78</v>
      </c>
      <c r="H1593" t="s">
        <v>9</v>
      </c>
    </row>
    <row r="1594" spans="1:8" x14ac:dyDescent="0.35">
      <c r="A1594">
        <v>608</v>
      </c>
      <c r="B1594">
        <v>2</v>
      </c>
      <c r="C1594">
        <v>7</v>
      </c>
      <c r="D1594">
        <v>2</v>
      </c>
      <c r="E1594">
        <v>3999.99</v>
      </c>
      <c r="F1594">
        <v>0.1</v>
      </c>
      <c r="G1594">
        <v>7999.88</v>
      </c>
      <c r="H1594" t="s">
        <v>12</v>
      </c>
    </row>
    <row r="1595" spans="1:8" x14ac:dyDescent="0.35">
      <c r="A1595">
        <v>608</v>
      </c>
      <c r="B1595">
        <v>3</v>
      </c>
      <c r="C1595">
        <v>24</v>
      </c>
      <c r="D1595">
        <v>1</v>
      </c>
      <c r="E1595">
        <v>549.99</v>
      </c>
      <c r="F1595">
        <v>0.1</v>
      </c>
      <c r="G1595">
        <v>549.89</v>
      </c>
      <c r="H1595" t="s">
        <v>17</v>
      </c>
    </row>
    <row r="1596" spans="1:8" x14ac:dyDescent="0.35">
      <c r="A1596">
        <v>609</v>
      </c>
      <c r="B1596">
        <v>1</v>
      </c>
      <c r="C1596">
        <v>10</v>
      </c>
      <c r="D1596">
        <v>1</v>
      </c>
      <c r="E1596">
        <v>1549</v>
      </c>
      <c r="F1596">
        <v>0.1</v>
      </c>
      <c r="G1596">
        <v>1548.93</v>
      </c>
      <c r="H1596" t="s">
        <v>15</v>
      </c>
    </row>
    <row r="1597" spans="1:8" x14ac:dyDescent="0.35">
      <c r="A1597">
        <v>609</v>
      </c>
      <c r="B1597">
        <v>2</v>
      </c>
      <c r="C1597">
        <v>7</v>
      </c>
      <c r="D1597">
        <v>1</v>
      </c>
      <c r="E1597">
        <v>3999.99</v>
      </c>
      <c r="F1597">
        <v>0.1</v>
      </c>
      <c r="G1597">
        <v>3999.89</v>
      </c>
      <c r="H1597" t="s">
        <v>12</v>
      </c>
    </row>
    <row r="1598" spans="1:8" x14ac:dyDescent="0.35">
      <c r="A1598">
        <v>609</v>
      </c>
      <c r="B1598">
        <v>3</v>
      </c>
      <c r="C1598">
        <v>22</v>
      </c>
      <c r="D1598">
        <v>2</v>
      </c>
      <c r="E1598">
        <v>269.99</v>
      </c>
      <c r="F1598">
        <v>0.1</v>
      </c>
      <c r="G1598">
        <v>539.88</v>
      </c>
      <c r="H1598" t="s">
        <v>19</v>
      </c>
    </row>
    <row r="1599" spans="1:8" x14ac:dyDescent="0.35">
      <c r="A1599">
        <v>609</v>
      </c>
      <c r="B1599">
        <v>4</v>
      </c>
      <c r="C1599">
        <v>5</v>
      </c>
      <c r="D1599">
        <v>1</v>
      </c>
      <c r="E1599">
        <v>1320.99</v>
      </c>
      <c r="F1599">
        <v>0.1</v>
      </c>
      <c r="G1599">
        <v>1320.89</v>
      </c>
      <c r="H1599" t="s">
        <v>10</v>
      </c>
    </row>
    <row r="1600" spans="1:8" x14ac:dyDescent="0.35">
      <c r="A1600">
        <v>610</v>
      </c>
      <c r="B1600">
        <v>1</v>
      </c>
      <c r="C1600">
        <v>26</v>
      </c>
      <c r="D1600">
        <v>1</v>
      </c>
      <c r="E1600">
        <v>599.99</v>
      </c>
      <c r="F1600">
        <v>0.1</v>
      </c>
      <c r="G1600">
        <v>599.89</v>
      </c>
      <c r="H1600" t="s">
        <v>21</v>
      </c>
    </row>
    <row r="1601" spans="1:8" x14ac:dyDescent="0.35">
      <c r="A1601">
        <v>610</v>
      </c>
      <c r="B1601">
        <v>2</v>
      </c>
      <c r="C1601">
        <v>24</v>
      </c>
      <c r="D1601">
        <v>1</v>
      </c>
      <c r="E1601">
        <v>549.99</v>
      </c>
      <c r="F1601">
        <v>0.1</v>
      </c>
      <c r="G1601">
        <v>549.91999999999996</v>
      </c>
      <c r="H1601" t="s">
        <v>17</v>
      </c>
    </row>
    <row r="1602" spans="1:8" x14ac:dyDescent="0.35">
      <c r="A1602">
        <v>610</v>
      </c>
      <c r="B1602">
        <v>3</v>
      </c>
      <c r="C1602">
        <v>18</v>
      </c>
      <c r="D1602">
        <v>2</v>
      </c>
      <c r="E1602">
        <v>449</v>
      </c>
      <c r="F1602">
        <v>0.1</v>
      </c>
      <c r="G1602">
        <v>897.93</v>
      </c>
      <c r="H1602" t="s">
        <v>23</v>
      </c>
    </row>
    <row r="1603" spans="1:8" x14ac:dyDescent="0.35">
      <c r="A1603">
        <v>610</v>
      </c>
      <c r="B1603">
        <v>4</v>
      </c>
      <c r="C1603">
        <v>3</v>
      </c>
      <c r="D1603">
        <v>1</v>
      </c>
      <c r="E1603">
        <v>999.99</v>
      </c>
      <c r="F1603">
        <v>0.1</v>
      </c>
      <c r="G1603">
        <v>999.92</v>
      </c>
      <c r="H1603" t="s">
        <v>8</v>
      </c>
    </row>
    <row r="1604" spans="1:8" x14ac:dyDescent="0.35">
      <c r="A1604">
        <v>610</v>
      </c>
      <c r="B1604">
        <v>5</v>
      </c>
      <c r="C1604">
        <v>8</v>
      </c>
      <c r="D1604">
        <v>1</v>
      </c>
      <c r="E1604">
        <v>1799.99</v>
      </c>
      <c r="F1604">
        <v>0.1</v>
      </c>
      <c r="G1604">
        <v>1799.89</v>
      </c>
      <c r="H1604" t="s">
        <v>13</v>
      </c>
    </row>
    <row r="1605" spans="1:8" x14ac:dyDescent="0.35">
      <c r="A1605">
        <v>612</v>
      </c>
      <c r="B1605">
        <v>1</v>
      </c>
      <c r="C1605">
        <v>13</v>
      </c>
      <c r="D1605">
        <v>1</v>
      </c>
      <c r="E1605">
        <v>269.99</v>
      </c>
      <c r="F1605">
        <v>0.1</v>
      </c>
      <c r="G1605">
        <v>269.89</v>
      </c>
      <c r="H1605" t="s">
        <v>18</v>
      </c>
    </row>
    <row r="1606" spans="1:8" x14ac:dyDescent="0.35">
      <c r="A1606">
        <v>612</v>
      </c>
      <c r="B1606">
        <v>2</v>
      </c>
      <c r="C1606">
        <v>14</v>
      </c>
      <c r="D1606">
        <v>1</v>
      </c>
      <c r="E1606">
        <v>269.99</v>
      </c>
      <c r="F1606">
        <v>0.1</v>
      </c>
      <c r="G1606">
        <v>269.89</v>
      </c>
      <c r="H1606" t="s">
        <v>19</v>
      </c>
    </row>
    <row r="1607" spans="1:8" x14ac:dyDescent="0.35">
      <c r="A1607">
        <v>612</v>
      </c>
      <c r="B1607">
        <v>3</v>
      </c>
      <c r="C1607">
        <v>17</v>
      </c>
      <c r="D1607">
        <v>1</v>
      </c>
      <c r="E1607">
        <v>429</v>
      </c>
      <c r="F1607">
        <v>0.1</v>
      </c>
      <c r="G1607">
        <v>428.93</v>
      </c>
      <c r="H1607" t="s">
        <v>22</v>
      </c>
    </row>
    <row r="1608" spans="1:8" x14ac:dyDescent="0.35">
      <c r="A1608">
        <v>612</v>
      </c>
      <c r="B1608">
        <v>4</v>
      </c>
      <c r="C1608">
        <v>20</v>
      </c>
      <c r="D1608">
        <v>1</v>
      </c>
      <c r="E1608">
        <v>599.99</v>
      </c>
      <c r="F1608">
        <v>0.2</v>
      </c>
      <c r="G1608">
        <v>599.79</v>
      </c>
      <c r="H1608" t="s">
        <v>25</v>
      </c>
    </row>
    <row r="1609" spans="1:8" x14ac:dyDescent="0.35">
      <c r="A1609">
        <v>613</v>
      </c>
      <c r="B1609">
        <v>1</v>
      </c>
      <c r="C1609">
        <v>9</v>
      </c>
      <c r="D1609">
        <v>2</v>
      </c>
      <c r="E1609">
        <v>2999.99</v>
      </c>
      <c r="F1609">
        <v>0.1</v>
      </c>
      <c r="G1609">
        <v>5999.88</v>
      </c>
      <c r="H1609" t="s">
        <v>14</v>
      </c>
    </row>
    <row r="1610" spans="1:8" x14ac:dyDescent="0.35">
      <c r="A1610">
        <v>613</v>
      </c>
      <c r="B1610">
        <v>2</v>
      </c>
      <c r="C1610">
        <v>18</v>
      </c>
      <c r="D1610">
        <v>2</v>
      </c>
      <c r="E1610">
        <v>449</v>
      </c>
      <c r="F1610">
        <v>0.1</v>
      </c>
      <c r="G1610">
        <v>897.95</v>
      </c>
      <c r="H1610" t="s">
        <v>23</v>
      </c>
    </row>
    <row r="1611" spans="1:8" x14ac:dyDescent="0.35">
      <c r="A1611">
        <v>613</v>
      </c>
      <c r="B1611">
        <v>3</v>
      </c>
      <c r="C1611">
        <v>12</v>
      </c>
      <c r="D1611">
        <v>1</v>
      </c>
      <c r="E1611">
        <v>549.99</v>
      </c>
      <c r="F1611">
        <v>0.1</v>
      </c>
      <c r="G1611">
        <v>549.91999999999996</v>
      </c>
      <c r="H1611" t="s">
        <v>17</v>
      </c>
    </row>
    <row r="1612" spans="1:8" x14ac:dyDescent="0.35">
      <c r="A1612">
        <v>614</v>
      </c>
      <c r="B1612">
        <v>1</v>
      </c>
      <c r="C1612">
        <v>18</v>
      </c>
      <c r="D1612">
        <v>1</v>
      </c>
      <c r="E1612">
        <v>449</v>
      </c>
      <c r="F1612">
        <v>0.1</v>
      </c>
      <c r="G1612">
        <v>448.9</v>
      </c>
      <c r="H1612" t="s">
        <v>23</v>
      </c>
    </row>
    <row r="1613" spans="1:8" x14ac:dyDescent="0.35">
      <c r="A1613">
        <v>614</v>
      </c>
      <c r="B1613">
        <v>2</v>
      </c>
      <c r="C1613">
        <v>21</v>
      </c>
      <c r="D1613">
        <v>1</v>
      </c>
      <c r="E1613">
        <v>269.99</v>
      </c>
      <c r="F1613">
        <v>0.1</v>
      </c>
      <c r="G1613">
        <v>269.94</v>
      </c>
      <c r="H1613" t="s">
        <v>18</v>
      </c>
    </row>
    <row r="1614" spans="1:8" x14ac:dyDescent="0.35">
      <c r="A1614">
        <v>615</v>
      </c>
      <c r="B1614">
        <v>1</v>
      </c>
      <c r="C1614">
        <v>11</v>
      </c>
      <c r="D1614">
        <v>1</v>
      </c>
      <c r="E1614">
        <v>1680.99</v>
      </c>
      <c r="F1614">
        <v>0.1</v>
      </c>
      <c r="G1614">
        <v>1680.92</v>
      </c>
      <c r="H1614" t="s">
        <v>16</v>
      </c>
    </row>
    <row r="1615" spans="1:8" x14ac:dyDescent="0.35">
      <c r="A1615">
        <v>615</v>
      </c>
      <c r="B1615">
        <v>2</v>
      </c>
      <c r="C1615">
        <v>23</v>
      </c>
      <c r="D1615">
        <v>1</v>
      </c>
      <c r="E1615">
        <v>299.99</v>
      </c>
      <c r="F1615">
        <v>0.1</v>
      </c>
      <c r="G1615">
        <v>299.94</v>
      </c>
      <c r="H1615" t="s">
        <v>26</v>
      </c>
    </row>
    <row r="1616" spans="1:8" x14ac:dyDescent="0.35">
      <c r="A1616">
        <v>615</v>
      </c>
      <c r="B1616">
        <v>3</v>
      </c>
      <c r="C1616">
        <v>6</v>
      </c>
      <c r="D1616">
        <v>2</v>
      </c>
      <c r="E1616">
        <v>469.99</v>
      </c>
      <c r="F1616">
        <v>0.1</v>
      </c>
      <c r="G1616">
        <v>939.88</v>
      </c>
      <c r="H1616" t="s">
        <v>11</v>
      </c>
    </row>
    <row r="1617" spans="1:8" x14ac:dyDescent="0.35">
      <c r="A1617">
        <v>615</v>
      </c>
      <c r="B1617">
        <v>4</v>
      </c>
      <c r="C1617">
        <v>19</v>
      </c>
      <c r="D1617">
        <v>2</v>
      </c>
      <c r="E1617">
        <v>449</v>
      </c>
      <c r="F1617">
        <v>0.1</v>
      </c>
      <c r="G1617">
        <v>897.9</v>
      </c>
      <c r="H1617" t="s">
        <v>24</v>
      </c>
    </row>
    <row r="1618" spans="1:8" x14ac:dyDescent="0.35">
      <c r="A1618">
        <v>616</v>
      </c>
      <c r="B1618">
        <v>1</v>
      </c>
      <c r="C1618">
        <v>24</v>
      </c>
      <c r="D1618">
        <v>1</v>
      </c>
      <c r="E1618">
        <v>549.99</v>
      </c>
      <c r="F1618">
        <v>0.2</v>
      </c>
      <c r="G1618">
        <v>549.79</v>
      </c>
      <c r="H1618" t="s">
        <v>17</v>
      </c>
    </row>
    <row r="1619" spans="1:8" x14ac:dyDescent="0.35">
      <c r="A1619">
        <v>616</v>
      </c>
      <c r="B1619">
        <v>2</v>
      </c>
      <c r="C1619">
        <v>16</v>
      </c>
      <c r="D1619">
        <v>2</v>
      </c>
      <c r="E1619">
        <v>599.99</v>
      </c>
      <c r="F1619">
        <v>0.2</v>
      </c>
      <c r="G1619">
        <v>1199.78</v>
      </c>
      <c r="H1619" t="s">
        <v>21</v>
      </c>
    </row>
    <row r="1620" spans="1:8" x14ac:dyDescent="0.35">
      <c r="A1620">
        <v>617</v>
      </c>
      <c r="B1620">
        <v>1</v>
      </c>
      <c r="C1620">
        <v>15</v>
      </c>
      <c r="D1620">
        <v>2</v>
      </c>
      <c r="E1620">
        <v>529.99</v>
      </c>
      <c r="F1620">
        <v>0.2</v>
      </c>
      <c r="G1620">
        <v>1059.78</v>
      </c>
      <c r="H1620" t="s">
        <v>20</v>
      </c>
    </row>
    <row r="1621" spans="1:8" x14ac:dyDescent="0.35">
      <c r="A1621">
        <v>617</v>
      </c>
      <c r="B1621">
        <v>2</v>
      </c>
      <c r="C1621">
        <v>11</v>
      </c>
      <c r="D1621">
        <v>2</v>
      </c>
      <c r="E1621">
        <v>1680.99</v>
      </c>
      <c r="F1621">
        <v>0.1</v>
      </c>
      <c r="G1621">
        <v>3361.91</v>
      </c>
      <c r="H1621" t="s">
        <v>16</v>
      </c>
    </row>
    <row r="1622" spans="1:8" x14ac:dyDescent="0.35">
      <c r="A1622">
        <v>618</v>
      </c>
      <c r="B1622">
        <v>1</v>
      </c>
      <c r="C1622">
        <v>17</v>
      </c>
      <c r="D1622">
        <v>2</v>
      </c>
      <c r="E1622">
        <v>429</v>
      </c>
      <c r="F1622">
        <v>0.1</v>
      </c>
      <c r="G1622">
        <v>857.9</v>
      </c>
      <c r="H1622" t="s">
        <v>22</v>
      </c>
    </row>
    <row r="1623" spans="1:8" x14ac:dyDescent="0.35">
      <c r="A1623">
        <v>618</v>
      </c>
      <c r="B1623">
        <v>2</v>
      </c>
      <c r="C1623">
        <v>11</v>
      </c>
      <c r="D1623">
        <v>1</v>
      </c>
      <c r="E1623">
        <v>1680.99</v>
      </c>
      <c r="F1623">
        <v>0.1</v>
      </c>
      <c r="G1623">
        <v>1680.92</v>
      </c>
      <c r="H1623" t="s">
        <v>16</v>
      </c>
    </row>
    <row r="1624" spans="1:8" x14ac:dyDescent="0.35">
      <c r="A1624">
        <v>622</v>
      </c>
      <c r="B1624">
        <v>1</v>
      </c>
      <c r="C1624">
        <v>9</v>
      </c>
      <c r="D1624">
        <v>2</v>
      </c>
      <c r="E1624">
        <v>2999.99</v>
      </c>
      <c r="F1624">
        <v>0.1</v>
      </c>
      <c r="G1624">
        <v>5999.91</v>
      </c>
      <c r="H1624" t="s">
        <v>14</v>
      </c>
    </row>
    <row r="1625" spans="1:8" x14ac:dyDescent="0.35">
      <c r="A1625">
        <v>622</v>
      </c>
      <c r="B1625">
        <v>2</v>
      </c>
      <c r="C1625">
        <v>18</v>
      </c>
      <c r="D1625">
        <v>1</v>
      </c>
      <c r="E1625">
        <v>449</v>
      </c>
      <c r="F1625">
        <v>0.1</v>
      </c>
      <c r="G1625">
        <v>448.9</v>
      </c>
      <c r="H1625" t="s">
        <v>23</v>
      </c>
    </row>
    <row r="1626" spans="1:8" x14ac:dyDescent="0.35">
      <c r="A1626">
        <v>622</v>
      </c>
      <c r="B1626">
        <v>3</v>
      </c>
      <c r="C1626">
        <v>10</v>
      </c>
      <c r="D1626">
        <v>1</v>
      </c>
      <c r="E1626">
        <v>1549</v>
      </c>
      <c r="F1626">
        <v>0.2</v>
      </c>
      <c r="G1626">
        <v>1548.8</v>
      </c>
      <c r="H1626" t="s">
        <v>15</v>
      </c>
    </row>
    <row r="1627" spans="1:8" x14ac:dyDescent="0.35">
      <c r="A1627">
        <v>622</v>
      </c>
      <c r="B1627">
        <v>4</v>
      </c>
      <c r="C1627">
        <v>25</v>
      </c>
      <c r="D1627">
        <v>1</v>
      </c>
      <c r="E1627">
        <v>499.99</v>
      </c>
      <c r="F1627">
        <v>0.1</v>
      </c>
      <c r="G1627">
        <v>499.92</v>
      </c>
      <c r="H1627" t="s">
        <v>27</v>
      </c>
    </row>
    <row r="1628" spans="1:8" x14ac:dyDescent="0.35">
      <c r="A1628">
        <v>624</v>
      </c>
      <c r="B1628">
        <v>1</v>
      </c>
      <c r="C1628">
        <v>21</v>
      </c>
      <c r="D1628">
        <v>2</v>
      </c>
      <c r="E1628">
        <v>269.99</v>
      </c>
      <c r="F1628">
        <v>0.1</v>
      </c>
      <c r="G1628">
        <v>539.92999999999995</v>
      </c>
      <c r="H1628" t="s">
        <v>18</v>
      </c>
    </row>
    <row r="1629" spans="1:8" x14ac:dyDescent="0.35">
      <c r="A1629">
        <v>624</v>
      </c>
      <c r="B1629">
        <v>2</v>
      </c>
      <c r="C1629">
        <v>16</v>
      </c>
      <c r="D1629">
        <v>1</v>
      </c>
      <c r="E1629">
        <v>599.99</v>
      </c>
      <c r="F1629">
        <v>0.1</v>
      </c>
      <c r="G1629">
        <v>599.91999999999996</v>
      </c>
      <c r="H1629" t="s">
        <v>21</v>
      </c>
    </row>
    <row r="1630" spans="1:8" x14ac:dyDescent="0.35">
      <c r="A1630">
        <v>624</v>
      </c>
      <c r="B1630">
        <v>3</v>
      </c>
      <c r="C1630">
        <v>22</v>
      </c>
      <c r="D1630">
        <v>1</v>
      </c>
      <c r="E1630">
        <v>269.99</v>
      </c>
      <c r="F1630">
        <v>0.1</v>
      </c>
      <c r="G1630">
        <v>269.92</v>
      </c>
      <c r="H1630" t="s">
        <v>19</v>
      </c>
    </row>
    <row r="1631" spans="1:8" x14ac:dyDescent="0.35">
      <c r="A1631">
        <v>624</v>
      </c>
      <c r="B1631">
        <v>4</v>
      </c>
      <c r="C1631">
        <v>14</v>
      </c>
      <c r="D1631">
        <v>2</v>
      </c>
      <c r="E1631">
        <v>269.99</v>
      </c>
      <c r="F1631">
        <v>0.2</v>
      </c>
      <c r="G1631">
        <v>539.78</v>
      </c>
      <c r="H1631" t="s">
        <v>19</v>
      </c>
    </row>
    <row r="1632" spans="1:8" x14ac:dyDescent="0.35">
      <c r="A1632">
        <v>625</v>
      </c>
      <c r="B1632">
        <v>1</v>
      </c>
      <c r="C1632">
        <v>17</v>
      </c>
      <c r="D1632">
        <v>1</v>
      </c>
      <c r="E1632">
        <v>429</v>
      </c>
      <c r="F1632">
        <v>0.1</v>
      </c>
      <c r="G1632">
        <v>428.93</v>
      </c>
      <c r="H1632" t="s">
        <v>22</v>
      </c>
    </row>
    <row r="1633" spans="1:8" x14ac:dyDescent="0.35">
      <c r="A1633">
        <v>625</v>
      </c>
      <c r="B1633">
        <v>2</v>
      </c>
      <c r="C1633">
        <v>11</v>
      </c>
      <c r="D1633">
        <v>2</v>
      </c>
      <c r="E1633">
        <v>1680.99</v>
      </c>
      <c r="F1633">
        <v>0.2</v>
      </c>
      <c r="G1633">
        <v>3361.78</v>
      </c>
      <c r="H1633" t="s">
        <v>16</v>
      </c>
    </row>
    <row r="1634" spans="1:8" x14ac:dyDescent="0.35">
      <c r="A1634">
        <v>625</v>
      </c>
      <c r="B1634">
        <v>3</v>
      </c>
      <c r="C1634">
        <v>26</v>
      </c>
      <c r="D1634">
        <v>1</v>
      </c>
      <c r="E1634">
        <v>599.99</v>
      </c>
      <c r="F1634">
        <v>0.1</v>
      </c>
      <c r="G1634">
        <v>599.91999999999996</v>
      </c>
      <c r="H1634" t="s">
        <v>21</v>
      </c>
    </row>
    <row r="1635" spans="1:8" x14ac:dyDescent="0.35">
      <c r="A1635">
        <v>625</v>
      </c>
      <c r="B1635">
        <v>4</v>
      </c>
      <c r="C1635">
        <v>23</v>
      </c>
      <c r="D1635">
        <v>2</v>
      </c>
      <c r="E1635">
        <v>299.99</v>
      </c>
      <c r="F1635">
        <v>0.1</v>
      </c>
      <c r="G1635">
        <v>599.88</v>
      </c>
      <c r="H1635" t="s">
        <v>26</v>
      </c>
    </row>
    <row r="1636" spans="1:8" x14ac:dyDescent="0.35">
      <c r="A1636">
        <v>627</v>
      </c>
      <c r="B1636">
        <v>1</v>
      </c>
      <c r="C1636">
        <v>19</v>
      </c>
      <c r="D1636">
        <v>1</v>
      </c>
      <c r="E1636">
        <v>449</v>
      </c>
      <c r="F1636">
        <v>0.1</v>
      </c>
      <c r="G1636">
        <v>448.93</v>
      </c>
      <c r="H1636" t="s">
        <v>24</v>
      </c>
    </row>
    <row r="1637" spans="1:8" x14ac:dyDescent="0.35">
      <c r="A1637">
        <v>627</v>
      </c>
      <c r="B1637">
        <v>2</v>
      </c>
      <c r="C1637">
        <v>9</v>
      </c>
      <c r="D1637">
        <v>2</v>
      </c>
      <c r="E1637">
        <v>2999.99</v>
      </c>
      <c r="F1637">
        <v>0.2</v>
      </c>
      <c r="G1637">
        <v>5999.78</v>
      </c>
      <c r="H1637" t="s">
        <v>14</v>
      </c>
    </row>
    <row r="1638" spans="1:8" x14ac:dyDescent="0.35">
      <c r="A1638">
        <v>627</v>
      </c>
      <c r="B1638">
        <v>3</v>
      </c>
      <c r="C1638">
        <v>26</v>
      </c>
      <c r="D1638">
        <v>1</v>
      </c>
      <c r="E1638">
        <v>599.99</v>
      </c>
      <c r="F1638">
        <v>0.1</v>
      </c>
      <c r="G1638">
        <v>599.91999999999996</v>
      </c>
      <c r="H1638" t="s">
        <v>21</v>
      </c>
    </row>
    <row r="1639" spans="1:8" x14ac:dyDescent="0.35">
      <c r="A1639">
        <v>629</v>
      </c>
      <c r="B1639">
        <v>1</v>
      </c>
      <c r="C1639">
        <v>19</v>
      </c>
      <c r="D1639">
        <v>1</v>
      </c>
      <c r="E1639">
        <v>449</v>
      </c>
      <c r="F1639">
        <v>0.1</v>
      </c>
      <c r="G1639">
        <v>448.95</v>
      </c>
      <c r="H1639" t="s">
        <v>24</v>
      </c>
    </row>
    <row r="1640" spans="1:8" x14ac:dyDescent="0.35">
      <c r="A1640">
        <v>629</v>
      </c>
      <c r="B1640">
        <v>2</v>
      </c>
      <c r="C1640">
        <v>5</v>
      </c>
      <c r="D1640">
        <v>2</v>
      </c>
      <c r="E1640">
        <v>1320.99</v>
      </c>
      <c r="F1640">
        <v>0.1</v>
      </c>
      <c r="G1640">
        <v>2641.93</v>
      </c>
      <c r="H1640" t="s">
        <v>10</v>
      </c>
    </row>
    <row r="1641" spans="1:8" x14ac:dyDescent="0.35">
      <c r="A1641">
        <v>629</v>
      </c>
      <c r="B1641">
        <v>3</v>
      </c>
      <c r="C1641">
        <v>23</v>
      </c>
      <c r="D1641">
        <v>2</v>
      </c>
      <c r="E1641">
        <v>299.99</v>
      </c>
      <c r="F1641">
        <v>0.1</v>
      </c>
      <c r="G1641">
        <v>599.88</v>
      </c>
      <c r="H1641" t="s">
        <v>26</v>
      </c>
    </row>
    <row r="1642" spans="1:8" x14ac:dyDescent="0.35">
      <c r="A1642">
        <v>629</v>
      </c>
      <c r="B1642">
        <v>4</v>
      </c>
      <c r="C1642">
        <v>14</v>
      </c>
      <c r="D1642">
        <v>2</v>
      </c>
      <c r="E1642">
        <v>269.99</v>
      </c>
      <c r="F1642">
        <v>0.1</v>
      </c>
      <c r="G1642">
        <v>539.92999999999995</v>
      </c>
      <c r="H1642" t="s">
        <v>19</v>
      </c>
    </row>
    <row r="1643" spans="1:8" x14ac:dyDescent="0.35">
      <c r="A1643">
        <v>629</v>
      </c>
      <c r="B1643">
        <v>5</v>
      </c>
      <c r="C1643">
        <v>6</v>
      </c>
      <c r="D1643">
        <v>2</v>
      </c>
      <c r="E1643">
        <v>469.99</v>
      </c>
      <c r="F1643">
        <v>0.1</v>
      </c>
      <c r="G1643">
        <v>939.88</v>
      </c>
      <c r="H1643" t="s">
        <v>11</v>
      </c>
    </row>
    <row r="1644" spans="1:8" x14ac:dyDescent="0.35">
      <c r="A1644">
        <v>630</v>
      </c>
      <c r="B1644">
        <v>1</v>
      </c>
      <c r="C1644">
        <v>5</v>
      </c>
      <c r="D1644">
        <v>1</v>
      </c>
      <c r="E1644">
        <v>1320.99</v>
      </c>
      <c r="F1644">
        <v>0.1</v>
      </c>
      <c r="G1644">
        <v>1320.94</v>
      </c>
      <c r="H1644" t="s">
        <v>10</v>
      </c>
    </row>
    <row r="1645" spans="1:8" x14ac:dyDescent="0.35">
      <c r="A1645">
        <v>630</v>
      </c>
      <c r="B1645">
        <v>2</v>
      </c>
      <c r="C1645">
        <v>25</v>
      </c>
      <c r="D1645">
        <v>1</v>
      </c>
      <c r="E1645">
        <v>499.99</v>
      </c>
      <c r="F1645">
        <v>0.1</v>
      </c>
      <c r="G1645">
        <v>499.89</v>
      </c>
      <c r="H1645" t="s">
        <v>27</v>
      </c>
    </row>
    <row r="1646" spans="1:8" x14ac:dyDescent="0.35">
      <c r="A1646">
        <v>630</v>
      </c>
      <c r="B1646">
        <v>3</v>
      </c>
      <c r="C1646">
        <v>18</v>
      </c>
      <c r="D1646">
        <v>2</v>
      </c>
      <c r="E1646">
        <v>449</v>
      </c>
      <c r="F1646">
        <v>0.1</v>
      </c>
      <c r="G1646">
        <v>897.9</v>
      </c>
      <c r="H1646" t="s">
        <v>23</v>
      </c>
    </row>
    <row r="1647" spans="1:8" x14ac:dyDescent="0.35">
      <c r="A1647">
        <v>630</v>
      </c>
      <c r="B1647">
        <v>4</v>
      </c>
      <c r="C1647">
        <v>21</v>
      </c>
      <c r="D1647">
        <v>2</v>
      </c>
      <c r="E1647">
        <v>269.99</v>
      </c>
      <c r="F1647">
        <v>0.1</v>
      </c>
      <c r="G1647">
        <v>539.91</v>
      </c>
      <c r="H1647" t="s">
        <v>18</v>
      </c>
    </row>
    <row r="1648" spans="1:8" x14ac:dyDescent="0.35">
      <c r="A1648">
        <v>631</v>
      </c>
      <c r="B1648">
        <v>1</v>
      </c>
      <c r="C1648">
        <v>24</v>
      </c>
      <c r="D1648">
        <v>2</v>
      </c>
      <c r="E1648">
        <v>549.99</v>
      </c>
      <c r="F1648">
        <v>0.1</v>
      </c>
      <c r="G1648">
        <v>1099.9100000000001</v>
      </c>
      <c r="H1648" t="s">
        <v>17</v>
      </c>
    </row>
    <row r="1649" spans="1:8" x14ac:dyDescent="0.35">
      <c r="A1649">
        <v>631</v>
      </c>
      <c r="B1649">
        <v>2</v>
      </c>
      <c r="C1649">
        <v>15</v>
      </c>
      <c r="D1649">
        <v>2</v>
      </c>
      <c r="E1649">
        <v>529.99</v>
      </c>
      <c r="F1649">
        <v>0.1</v>
      </c>
      <c r="G1649">
        <v>1059.9100000000001</v>
      </c>
      <c r="H1649" t="s">
        <v>20</v>
      </c>
    </row>
    <row r="1650" spans="1:8" x14ac:dyDescent="0.35">
      <c r="A1650">
        <v>632</v>
      </c>
      <c r="B1650">
        <v>1</v>
      </c>
      <c r="C1650">
        <v>25</v>
      </c>
      <c r="D1650">
        <v>1</v>
      </c>
      <c r="E1650">
        <v>499.99</v>
      </c>
      <c r="F1650">
        <v>0.2</v>
      </c>
      <c r="G1650">
        <v>499.79</v>
      </c>
      <c r="H1650" t="s">
        <v>27</v>
      </c>
    </row>
    <row r="1651" spans="1:8" x14ac:dyDescent="0.35">
      <c r="A1651">
        <v>632</v>
      </c>
      <c r="B1651">
        <v>2</v>
      </c>
      <c r="C1651">
        <v>11</v>
      </c>
      <c r="D1651">
        <v>2</v>
      </c>
      <c r="E1651">
        <v>1680.99</v>
      </c>
      <c r="F1651">
        <v>0.1</v>
      </c>
      <c r="G1651">
        <v>3361.88</v>
      </c>
      <c r="H1651" t="s">
        <v>16</v>
      </c>
    </row>
    <row r="1652" spans="1:8" x14ac:dyDescent="0.35">
      <c r="A1652">
        <v>632</v>
      </c>
      <c r="B1652">
        <v>3</v>
      </c>
      <c r="C1652">
        <v>15</v>
      </c>
      <c r="D1652">
        <v>1</v>
      </c>
      <c r="E1652">
        <v>529.99</v>
      </c>
      <c r="F1652">
        <v>0.1</v>
      </c>
      <c r="G1652">
        <v>529.91999999999996</v>
      </c>
      <c r="H1652" t="s">
        <v>20</v>
      </c>
    </row>
    <row r="1653" spans="1:8" x14ac:dyDescent="0.35">
      <c r="A1653">
        <v>632</v>
      </c>
      <c r="B1653">
        <v>4</v>
      </c>
      <c r="C1653">
        <v>6</v>
      </c>
      <c r="D1653">
        <v>1</v>
      </c>
      <c r="E1653">
        <v>469.99</v>
      </c>
      <c r="F1653">
        <v>0.1</v>
      </c>
      <c r="G1653">
        <v>469.94</v>
      </c>
      <c r="H1653" t="s">
        <v>11</v>
      </c>
    </row>
    <row r="1654" spans="1:8" x14ac:dyDescent="0.35">
      <c r="A1654">
        <v>632</v>
      </c>
      <c r="B1654">
        <v>5</v>
      </c>
      <c r="C1654">
        <v>22</v>
      </c>
      <c r="D1654">
        <v>2</v>
      </c>
      <c r="E1654">
        <v>269.99</v>
      </c>
      <c r="F1654">
        <v>0.1</v>
      </c>
      <c r="G1654">
        <v>539.88</v>
      </c>
      <c r="H1654" t="s">
        <v>19</v>
      </c>
    </row>
    <row r="1655" spans="1:8" x14ac:dyDescent="0.35">
      <c r="A1655">
        <v>633</v>
      </c>
      <c r="B1655">
        <v>1</v>
      </c>
      <c r="C1655">
        <v>12</v>
      </c>
      <c r="D1655">
        <v>2</v>
      </c>
      <c r="E1655">
        <v>549.99</v>
      </c>
      <c r="F1655">
        <v>0.1</v>
      </c>
      <c r="G1655">
        <v>1099.93</v>
      </c>
      <c r="H1655" t="s">
        <v>17</v>
      </c>
    </row>
    <row r="1656" spans="1:8" x14ac:dyDescent="0.35">
      <c r="A1656">
        <v>633</v>
      </c>
      <c r="B1656">
        <v>2</v>
      </c>
      <c r="C1656">
        <v>13</v>
      </c>
      <c r="D1656">
        <v>2</v>
      </c>
      <c r="E1656">
        <v>269.99</v>
      </c>
      <c r="F1656">
        <v>0.2</v>
      </c>
      <c r="G1656">
        <v>539.78</v>
      </c>
      <c r="H1656" t="s">
        <v>18</v>
      </c>
    </row>
    <row r="1657" spans="1:8" x14ac:dyDescent="0.35">
      <c r="A1657">
        <v>633</v>
      </c>
      <c r="B1657">
        <v>3</v>
      </c>
      <c r="C1657">
        <v>5</v>
      </c>
      <c r="D1657">
        <v>2</v>
      </c>
      <c r="E1657">
        <v>1320.99</v>
      </c>
      <c r="F1657">
        <v>0.2</v>
      </c>
      <c r="G1657">
        <v>2641.78</v>
      </c>
      <c r="H1657" t="s">
        <v>10</v>
      </c>
    </row>
    <row r="1658" spans="1:8" x14ac:dyDescent="0.35">
      <c r="A1658">
        <v>633</v>
      </c>
      <c r="B1658">
        <v>4</v>
      </c>
      <c r="C1658">
        <v>10</v>
      </c>
      <c r="D1658">
        <v>2</v>
      </c>
      <c r="E1658">
        <v>1549</v>
      </c>
      <c r="F1658">
        <v>0.2</v>
      </c>
      <c r="G1658">
        <v>3097.8</v>
      </c>
      <c r="H1658" t="s">
        <v>15</v>
      </c>
    </row>
    <row r="1659" spans="1:8" x14ac:dyDescent="0.35">
      <c r="A1659">
        <v>634</v>
      </c>
      <c r="B1659">
        <v>1</v>
      </c>
      <c r="C1659">
        <v>4</v>
      </c>
      <c r="D1659">
        <v>2</v>
      </c>
      <c r="E1659">
        <v>2899.99</v>
      </c>
      <c r="F1659">
        <v>0.1</v>
      </c>
      <c r="G1659">
        <v>5799.93</v>
      </c>
      <c r="H1659" t="s">
        <v>9</v>
      </c>
    </row>
    <row r="1660" spans="1:8" x14ac:dyDescent="0.35">
      <c r="A1660">
        <v>634</v>
      </c>
      <c r="B1660">
        <v>2</v>
      </c>
      <c r="C1660">
        <v>12</v>
      </c>
      <c r="D1660">
        <v>1</v>
      </c>
      <c r="E1660">
        <v>549.99</v>
      </c>
      <c r="F1660">
        <v>0.1</v>
      </c>
      <c r="G1660">
        <v>549.89</v>
      </c>
      <c r="H1660" t="s">
        <v>17</v>
      </c>
    </row>
    <row r="1661" spans="1:8" x14ac:dyDescent="0.35">
      <c r="A1661">
        <v>637</v>
      </c>
      <c r="B1661">
        <v>1</v>
      </c>
      <c r="C1661">
        <v>9</v>
      </c>
      <c r="D1661">
        <v>1</v>
      </c>
      <c r="E1661">
        <v>2999.99</v>
      </c>
      <c r="F1661">
        <v>0.1</v>
      </c>
      <c r="G1661">
        <v>2999.89</v>
      </c>
      <c r="H1661" t="s">
        <v>14</v>
      </c>
    </row>
    <row r="1662" spans="1:8" x14ac:dyDescent="0.35">
      <c r="A1662">
        <v>637</v>
      </c>
      <c r="B1662">
        <v>2</v>
      </c>
      <c r="C1662">
        <v>106</v>
      </c>
      <c r="D1662">
        <v>2</v>
      </c>
      <c r="E1662">
        <v>449.99</v>
      </c>
      <c r="F1662">
        <v>0.1</v>
      </c>
      <c r="G1662">
        <v>899.88</v>
      </c>
      <c r="H1662" t="s">
        <v>69</v>
      </c>
    </row>
    <row r="1663" spans="1:8" x14ac:dyDescent="0.35">
      <c r="A1663">
        <v>638</v>
      </c>
      <c r="B1663">
        <v>1</v>
      </c>
      <c r="C1663">
        <v>103</v>
      </c>
      <c r="D1663">
        <v>1</v>
      </c>
      <c r="E1663">
        <v>551.99</v>
      </c>
      <c r="F1663">
        <v>0.1</v>
      </c>
      <c r="G1663">
        <v>551.94000000000005</v>
      </c>
      <c r="H1663" t="s">
        <v>102</v>
      </c>
    </row>
    <row r="1664" spans="1:8" x14ac:dyDescent="0.35">
      <c r="A1664">
        <v>638</v>
      </c>
      <c r="B1664">
        <v>2</v>
      </c>
      <c r="C1664">
        <v>56</v>
      </c>
      <c r="D1664">
        <v>1</v>
      </c>
      <c r="E1664">
        <v>5499.99</v>
      </c>
      <c r="F1664">
        <v>0.2</v>
      </c>
      <c r="G1664">
        <v>5499.79</v>
      </c>
      <c r="H1664" t="s">
        <v>57</v>
      </c>
    </row>
    <row r="1665" spans="1:8" x14ac:dyDescent="0.35">
      <c r="A1665">
        <v>638</v>
      </c>
      <c r="B1665">
        <v>3</v>
      </c>
      <c r="C1665">
        <v>53</v>
      </c>
      <c r="D1665">
        <v>2</v>
      </c>
      <c r="E1665">
        <v>749.99</v>
      </c>
      <c r="F1665">
        <v>0.1</v>
      </c>
      <c r="G1665">
        <v>1499.93</v>
      </c>
      <c r="H1665" t="s">
        <v>54</v>
      </c>
    </row>
    <row r="1666" spans="1:8" x14ac:dyDescent="0.35">
      <c r="A1666">
        <v>639</v>
      </c>
      <c r="B1666">
        <v>1</v>
      </c>
      <c r="C1666">
        <v>15</v>
      </c>
      <c r="D1666">
        <v>1</v>
      </c>
      <c r="E1666">
        <v>529.99</v>
      </c>
      <c r="F1666">
        <v>0.1</v>
      </c>
      <c r="G1666">
        <v>529.91999999999996</v>
      </c>
      <c r="H1666" t="s">
        <v>20</v>
      </c>
    </row>
    <row r="1667" spans="1:8" x14ac:dyDescent="0.35">
      <c r="A1667">
        <v>639</v>
      </c>
      <c r="B1667">
        <v>2</v>
      </c>
      <c r="C1667">
        <v>73</v>
      </c>
      <c r="D1667">
        <v>1</v>
      </c>
      <c r="E1667">
        <v>749.99</v>
      </c>
      <c r="F1667">
        <v>0.1</v>
      </c>
      <c r="G1667">
        <v>749.94</v>
      </c>
      <c r="H1667" t="s">
        <v>74</v>
      </c>
    </row>
    <row r="1668" spans="1:8" x14ac:dyDescent="0.35">
      <c r="A1668">
        <v>639</v>
      </c>
      <c r="B1668">
        <v>3</v>
      </c>
      <c r="C1668">
        <v>72</v>
      </c>
      <c r="D1668">
        <v>1</v>
      </c>
      <c r="E1668">
        <v>619.99</v>
      </c>
      <c r="F1668">
        <v>0.1</v>
      </c>
      <c r="G1668">
        <v>619.94000000000005</v>
      </c>
      <c r="H1668" t="s">
        <v>73</v>
      </c>
    </row>
    <row r="1669" spans="1:8" x14ac:dyDescent="0.35">
      <c r="A1669">
        <v>639</v>
      </c>
      <c r="B1669">
        <v>4</v>
      </c>
      <c r="C1669">
        <v>61</v>
      </c>
      <c r="D1669">
        <v>2</v>
      </c>
      <c r="E1669">
        <v>4999.99</v>
      </c>
      <c r="F1669">
        <v>0.1</v>
      </c>
      <c r="G1669">
        <v>9999.8799999999992</v>
      </c>
      <c r="H1669" t="s">
        <v>62</v>
      </c>
    </row>
    <row r="1670" spans="1:8" x14ac:dyDescent="0.35">
      <c r="A1670">
        <v>640</v>
      </c>
      <c r="B1670">
        <v>1</v>
      </c>
      <c r="C1670">
        <v>106</v>
      </c>
      <c r="D1670">
        <v>2</v>
      </c>
      <c r="E1670">
        <v>449.99</v>
      </c>
      <c r="F1670">
        <v>0.1</v>
      </c>
      <c r="G1670">
        <v>899.93</v>
      </c>
      <c r="H1670" t="s">
        <v>69</v>
      </c>
    </row>
    <row r="1671" spans="1:8" x14ac:dyDescent="0.35">
      <c r="A1671">
        <v>640</v>
      </c>
      <c r="B1671">
        <v>2</v>
      </c>
      <c r="C1671">
        <v>32</v>
      </c>
      <c r="D1671">
        <v>1</v>
      </c>
      <c r="E1671">
        <v>469.99</v>
      </c>
      <c r="F1671">
        <v>0.1</v>
      </c>
      <c r="G1671">
        <v>469.92</v>
      </c>
      <c r="H1671" t="s">
        <v>33</v>
      </c>
    </row>
    <row r="1672" spans="1:8" x14ac:dyDescent="0.35">
      <c r="A1672">
        <v>640</v>
      </c>
      <c r="B1672">
        <v>3</v>
      </c>
      <c r="C1672">
        <v>30</v>
      </c>
      <c r="D1672">
        <v>1</v>
      </c>
      <c r="E1672">
        <v>999.99</v>
      </c>
      <c r="F1672">
        <v>0.1</v>
      </c>
      <c r="G1672">
        <v>999.92</v>
      </c>
      <c r="H1672" t="s">
        <v>31</v>
      </c>
    </row>
    <row r="1673" spans="1:8" x14ac:dyDescent="0.35">
      <c r="A1673">
        <v>640</v>
      </c>
      <c r="B1673">
        <v>4</v>
      </c>
      <c r="C1673">
        <v>76</v>
      </c>
      <c r="D1673">
        <v>2</v>
      </c>
      <c r="E1673">
        <v>299.99</v>
      </c>
      <c r="F1673">
        <v>0.1</v>
      </c>
      <c r="G1673">
        <v>599.91</v>
      </c>
      <c r="H1673" t="s">
        <v>77</v>
      </c>
    </row>
    <row r="1674" spans="1:8" x14ac:dyDescent="0.35">
      <c r="A1674">
        <v>640</v>
      </c>
      <c r="B1674">
        <v>5</v>
      </c>
      <c r="C1674">
        <v>109</v>
      </c>
      <c r="D1674">
        <v>2</v>
      </c>
      <c r="E1674">
        <v>416.99</v>
      </c>
      <c r="F1674">
        <v>0.2</v>
      </c>
      <c r="G1674">
        <v>833.78</v>
      </c>
      <c r="H1674" t="s">
        <v>106</v>
      </c>
    </row>
    <row r="1675" spans="1:8" x14ac:dyDescent="0.35">
      <c r="A1675">
        <v>641</v>
      </c>
      <c r="B1675">
        <v>1</v>
      </c>
      <c r="C1675">
        <v>15</v>
      </c>
      <c r="D1675">
        <v>1</v>
      </c>
      <c r="E1675">
        <v>529.99</v>
      </c>
      <c r="F1675">
        <v>0.1</v>
      </c>
      <c r="G1675">
        <v>529.94000000000005</v>
      </c>
      <c r="H1675" t="s">
        <v>20</v>
      </c>
    </row>
    <row r="1676" spans="1:8" x14ac:dyDescent="0.35">
      <c r="A1676">
        <v>641</v>
      </c>
      <c r="B1676">
        <v>2</v>
      </c>
      <c r="C1676">
        <v>62</v>
      </c>
      <c r="D1676">
        <v>1</v>
      </c>
      <c r="E1676">
        <v>3499.99</v>
      </c>
      <c r="F1676">
        <v>0.2</v>
      </c>
      <c r="G1676">
        <v>3499.79</v>
      </c>
      <c r="H1676" t="s">
        <v>63</v>
      </c>
    </row>
    <row r="1677" spans="1:8" x14ac:dyDescent="0.35">
      <c r="A1677">
        <v>641</v>
      </c>
      <c r="B1677">
        <v>3</v>
      </c>
      <c r="C1677">
        <v>64</v>
      </c>
      <c r="D1677">
        <v>1</v>
      </c>
      <c r="E1677">
        <v>489.99</v>
      </c>
      <c r="F1677">
        <v>0.2</v>
      </c>
      <c r="G1677">
        <v>489.79</v>
      </c>
      <c r="H1677" t="s">
        <v>65</v>
      </c>
    </row>
    <row r="1678" spans="1:8" x14ac:dyDescent="0.35">
      <c r="A1678">
        <v>645</v>
      </c>
      <c r="B1678">
        <v>1</v>
      </c>
      <c r="C1678">
        <v>99</v>
      </c>
      <c r="D1678">
        <v>1</v>
      </c>
      <c r="E1678">
        <v>299.99</v>
      </c>
      <c r="F1678">
        <v>0.1</v>
      </c>
      <c r="G1678">
        <v>299.92</v>
      </c>
      <c r="H1678" t="s">
        <v>99</v>
      </c>
    </row>
    <row r="1679" spans="1:8" x14ac:dyDescent="0.35">
      <c r="A1679">
        <v>645</v>
      </c>
      <c r="B1679">
        <v>2</v>
      </c>
      <c r="C1679">
        <v>42</v>
      </c>
      <c r="D1679">
        <v>2</v>
      </c>
      <c r="E1679">
        <v>2299.9899999999998</v>
      </c>
      <c r="F1679">
        <v>0.1</v>
      </c>
      <c r="G1679">
        <v>4599.93</v>
      </c>
      <c r="H1679" t="s">
        <v>43</v>
      </c>
    </row>
    <row r="1680" spans="1:8" x14ac:dyDescent="0.35">
      <c r="A1680">
        <v>645</v>
      </c>
      <c r="B1680">
        <v>3</v>
      </c>
      <c r="C1680">
        <v>6</v>
      </c>
      <c r="D1680">
        <v>1</v>
      </c>
      <c r="E1680">
        <v>469.99</v>
      </c>
      <c r="F1680">
        <v>0.1</v>
      </c>
      <c r="G1680">
        <v>469.94</v>
      </c>
      <c r="H1680" t="s">
        <v>11</v>
      </c>
    </row>
    <row r="1681" spans="1:8" x14ac:dyDescent="0.35">
      <c r="A1681">
        <v>645</v>
      </c>
      <c r="B1681">
        <v>4</v>
      </c>
      <c r="C1681">
        <v>47</v>
      </c>
      <c r="D1681">
        <v>2</v>
      </c>
      <c r="E1681">
        <v>5299.99</v>
      </c>
      <c r="F1681">
        <v>0.1</v>
      </c>
      <c r="G1681">
        <v>10599.91</v>
      </c>
      <c r="H1681" t="s">
        <v>48</v>
      </c>
    </row>
    <row r="1682" spans="1:8" x14ac:dyDescent="0.35">
      <c r="A1682">
        <v>645</v>
      </c>
      <c r="B1682">
        <v>5</v>
      </c>
      <c r="C1682">
        <v>21</v>
      </c>
      <c r="D1682">
        <v>2</v>
      </c>
      <c r="E1682">
        <v>269.99</v>
      </c>
      <c r="F1682">
        <v>0.1</v>
      </c>
      <c r="G1682">
        <v>539.91</v>
      </c>
      <c r="H1682" t="s">
        <v>18</v>
      </c>
    </row>
    <row r="1683" spans="1:8" x14ac:dyDescent="0.35">
      <c r="A1683">
        <v>646</v>
      </c>
      <c r="B1683">
        <v>1</v>
      </c>
      <c r="C1683">
        <v>15</v>
      </c>
      <c r="D1683">
        <v>2</v>
      </c>
      <c r="E1683">
        <v>529.99</v>
      </c>
      <c r="F1683">
        <v>0.2</v>
      </c>
      <c r="G1683">
        <v>1059.78</v>
      </c>
      <c r="H1683" t="s">
        <v>20</v>
      </c>
    </row>
    <row r="1684" spans="1:8" x14ac:dyDescent="0.35">
      <c r="A1684">
        <v>646</v>
      </c>
      <c r="B1684">
        <v>2</v>
      </c>
      <c r="C1684">
        <v>4</v>
      </c>
      <c r="D1684">
        <v>1</v>
      </c>
      <c r="E1684">
        <v>2899.99</v>
      </c>
      <c r="F1684">
        <v>0.1</v>
      </c>
      <c r="G1684">
        <v>2899.92</v>
      </c>
      <c r="H1684" t="s">
        <v>9</v>
      </c>
    </row>
    <row r="1685" spans="1:8" x14ac:dyDescent="0.35">
      <c r="A1685">
        <v>646</v>
      </c>
      <c r="B1685">
        <v>3</v>
      </c>
      <c r="C1685">
        <v>95</v>
      </c>
      <c r="D1685">
        <v>1</v>
      </c>
      <c r="E1685">
        <v>299.99</v>
      </c>
      <c r="F1685">
        <v>0.1</v>
      </c>
      <c r="G1685">
        <v>299.94</v>
      </c>
      <c r="H1685" t="s">
        <v>77</v>
      </c>
    </row>
    <row r="1686" spans="1:8" x14ac:dyDescent="0.35">
      <c r="A1686">
        <v>646</v>
      </c>
      <c r="B1686">
        <v>4</v>
      </c>
      <c r="C1686">
        <v>12</v>
      </c>
      <c r="D1686">
        <v>1</v>
      </c>
      <c r="E1686">
        <v>549.99</v>
      </c>
      <c r="F1686">
        <v>0.2</v>
      </c>
      <c r="G1686">
        <v>549.79</v>
      </c>
      <c r="H1686" t="s">
        <v>17</v>
      </c>
    </row>
    <row r="1687" spans="1:8" x14ac:dyDescent="0.35">
      <c r="A1687">
        <v>647</v>
      </c>
      <c r="B1687">
        <v>1</v>
      </c>
      <c r="C1687">
        <v>25</v>
      </c>
      <c r="D1687">
        <v>2</v>
      </c>
      <c r="E1687">
        <v>499.99</v>
      </c>
      <c r="F1687">
        <v>0.1</v>
      </c>
      <c r="G1687">
        <v>999.91</v>
      </c>
      <c r="H1687" t="s">
        <v>27</v>
      </c>
    </row>
    <row r="1688" spans="1:8" x14ac:dyDescent="0.35">
      <c r="A1688">
        <v>647</v>
      </c>
      <c r="B1688">
        <v>2</v>
      </c>
      <c r="C1688">
        <v>13</v>
      </c>
      <c r="D1688">
        <v>1</v>
      </c>
      <c r="E1688">
        <v>269.99</v>
      </c>
      <c r="F1688">
        <v>0.1</v>
      </c>
      <c r="G1688">
        <v>269.89</v>
      </c>
      <c r="H1688" t="s">
        <v>18</v>
      </c>
    </row>
    <row r="1689" spans="1:8" x14ac:dyDescent="0.35">
      <c r="A1689">
        <v>649</v>
      </c>
      <c r="B1689">
        <v>1</v>
      </c>
      <c r="C1689">
        <v>97</v>
      </c>
      <c r="D1689">
        <v>2</v>
      </c>
      <c r="E1689">
        <v>349.99</v>
      </c>
      <c r="F1689">
        <v>0.1</v>
      </c>
      <c r="G1689">
        <v>699.88</v>
      </c>
      <c r="H1689" t="s">
        <v>97</v>
      </c>
    </row>
    <row r="1690" spans="1:8" x14ac:dyDescent="0.35">
      <c r="A1690">
        <v>649</v>
      </c>
      <c r="B1690">
        <v>2</v>
      </c>
      <c r="C1690">
        <v>90</v>
      </c>
      <c r="D1690">
        <v>1</v>
      </c>
      <c r="E1690">
        <v>209.99</v>
      </c>
      <c r="F1690">
        <v>0.1</v>
      </c>
      <c r="G1690">
        <v>209.92</v>
      </c>
      <c r="H1690" t="s">
        <v>91</v>
      </c>
    </row>
    <row r="1691" spans="1:8" x14ac:dyDescent="0.35">
      <c r="A1691">
        <v>649</v>
      </c>
      <c r="B1691">
        <v>3</v>
      </c>
      <c r="C1691">
        <v>11</v>
      </c>
      <c r="D1691">
        <v>2</v>
      </c>
      <c r="E1691">
        <v>1680.99</v>
      </c>
      <c r="F1691">
        <v>0.1</v>
      </c>
      <c r="G1691">
        <v>3361.88</v>
      </c>
      <c r="H1691" t="s">
        <v>16</v>
      </c>
    </row>
    <row r="1692" spans="1:8" x14ac:dyDescent="0.35">
      <c r="A1692">
        <v>649</v>
      </c>
      <c r="B1692">
        <v>4</v>
      </c>
      <c r="C1692">
        <v>78</v>
      </c>
      <c r="D1692">
        <v>1</v>
      </c>
      <c r="E1692">
        <v>647.99</v>
      </c>
      <c r="F1692">
        <v>0.1</v>
      </c>
      <c r="G1692">
        <v>647.94000000000005</v>
      </c>
      <c r="H1692" t="s">
        <v>79</v>
      </c>
    </row>
    <row r="1693" spans="1:8" x14ac:dyDescent="0.35">
      <c r="A1693">
        <v>651</v>
      </c>
      <c r="B1693">
        <v>1</v>
      </c>
      <c r="C1693">
        <v>79</v>
      </c>
      <c r="D1693">
        <v>1</v>
      </c>
      <c r="E1693">
        <v>402.99</v>
      </c>
      <c r="F1693">
        <v>0.1</v>
      </c>
      <c r="G1693">
        <v>402.89</v>
      </c>
      <c r="H1693" t="s">
        <v>80</v>
      </c>
    </row>
    <row r="1694" spans="1:8" x14ac:dyDescent="0.35">
      <c r="A1694">
        <v>651</v>
      </c>
      <c r="B1694">
        <v>2</v>
      </c>
      <c r="C1694">
        <v>85</v>
      </c>
      <c r="D1694">
        <v>1</v>
      </c>
      <c r="E1694">
        <v>329.99</v>
      </c>
      <c r="F1694">
        <v>0.1</v>
      </c>
      <c r="G1694">
        <v>329.94</v>
      </c>
      <c r="H1694" t="s">
        <v>86</v>
      </c>
    </row>
    <row r="1695" spans="1:8" x14ac:dyDescent="0.35">
      <c r="A1695">
        <v>651</v>
      </c>
      <c r="B1695">
        <v>3</v>
      </c>
      <c r="C1695">
        <v>102</v>
      </c>
      <c r="D1695">
        <v>2</v>
      </c>
      <c r="E1695">
        <v>489.99</v>
      </c>
      <c r="F1695">
        <v>0.1</v>
      </c>
      <c r="G1695">
        <v>979.93</v>
      </c>
      <c r="H1695" t="s">
        <v>65</v>
      </c>
    </row>
    <row r="1696" spans="1:8" x14ac:dyDescent="0.35">
      <c r="A1696">
        <v>651</v>
      </c>
      <c r="B1696">
        <v>4</v>
      </c>
      <c r="C1696">
        <v>94</v>
      </c>
      <c r="D1696">
        <v>2</v>
      </c>
      <c r="E1696">
        <v>249.99</v>
      </c>
      <c r="F1696">
        <v>0.1</v>
      </c>
      <c r="G1696">
        <v>499.93</v>
      </c>
      <c r="H1696" t="s">
        <v>95</v>
      </c>
    </row>
    <row r="1697" spans="1:8" x14ac:dyDescent="0.35">
      <c r="A1697">
        <v>652</v>
      </c>
      <c r="B1697">
        <v>1</v>
      </c>
      <c r="C1697">
        <v>102</v>
      </c>
      <c r="D1697">
        <v>1</v>
      </c>
      <c r="E1697">
        <v>489.99</v>
      </c>
      <c r="F1697">
        <v>0.1</v>
      </c>
      <c r="G1697">
        <v>489.89</v>
      </c>
      <c r="H1697" t="s">
        <v>65</v>
      </c>
    </row>
    <row r="1698" spans="1:8" x14ac:dyDescent="0.35">
      <c r="A1698">
        <v>652</v>
      </c>
      <c r="B1698">
        <v>2</v>
      </c>
      <c r="C1698">
        <v>62</v>
      </c>
      <c r="D1698">
        <v>2</v>
      </c>
      <c r="E1698">
        <v>3499.99</v>
      </c>
      <c r="F1698">
        <v>0.2</v>
      </c>
      <c r="G1698">
        <v>6999.78</v>
      </c>
      <c r="H1698" t="s">
        <v>63</v>
      </c>
    </row>
    <row r="1699" spans="1:8" x14ac:dyDescent="0.35">
      <c r="A1699">
        <v>652</v>
      </c>
      <c r="B1699">
        <v>3</v>
      </c>
      <c r="C1699">
        <v>67</v>
      </c>
      <c r="D1699">
        <v>2</v>
      </c>
      <c r="E1699">
        <v>250.99</v>
      </c>
      <c r="F1699">
        <v>0.2</v>
      </c>
      <c r="G1699">
        <v>501.78</v>
      </c>
      <c r="H1699" t="s">
        <v>68</v>
      </c>
    </row>
    <row r="1700" spans="1:8" x14ac:dyDescent="0.35">
      <c r="A1700">
        <v>652</v>
      </c>
      <c r="B1700">
        <v>4</v>
      </c>
      <c r="C1700">
        <v>23</v>
      </c>
      <c r="D1700">
        <v>1</v>
      </c>
      <c r="E1700">
        <v>299.99</v>
      </c>
      <c r="F1700">
        <v>0.1</v>
      </c>
      <c r="G1700">
        <v>299.89</v>
      </c>
      <c r="H1700" t="s">
        <v>26</v>
      </c>
    </row>
    <row r="1701" spans="1:8" x14ac:dyDescent="0.35">
      <c r="A1701">
        <v>652</v>
      </c>
      <c r="B1701">
        <v>5</v>
      </c>
      <c r="C1701">
        <v>74</v>
      </c>
      <c r="D1701">
        <v>1</v>
      </c>
      <c r="E1701">
        <v>439.99</v>
      </c>
      <c r="F1701">
        <v>0.1</v>
      </c>
      <c r="G1701">
        <v>439.94</v>
      </c>
      <c r="H1701" t="s">
        <v>75</v>
      </c>
    </row>
    <row r="1702" spans="1:8" x14ac:dyDescent="0.35">
      <c r="A1702">
        <v>653</v>
      </c>
      <c r="B1702">
        <v>1</v>
      </c>
      <c r="C1702">
        <v>6</v>
      </c>
      <c r="D1702">
        <v>1</v>
      </c>
      <c r="E1702">
        <v>469.99</v>
      </c>
      <c r="F1702">
        <v>0.1</v>
      </c>
      <c r="G1702">
        <v>469.92</v>
      </c>
      <c r="H1702" t="s">
        <v>11</v>
      </c>
    </row>
    <row r="1703" spans="1:8" x14ac:dyDescent="0.35">
      <c r="A1703">
        <v>653</v>
      </c>
      <c r="B1703">
        <v>2</v>
      </c>
      <c r="C1703">
        <v>43</v>
      </c>
      <c r="D1703">
        <v>1</v>
      </c>
      <c r="E1703">
        <v>5299.99</v>
      </c>
      <c r="F1703">
        <v>0.1</v>
      </c>
      <c r="G1703">
        <v>5299.89</v>
      </c>
      <c r="H1703" t="s">
        <v>44</v>
      </c>
    </row>
    <row r="1704" spans="1:8" x14ac:dyDescent="0.35">
      <c r="A1704">
        <v>653</v>
      </c>
      <c r="B1704">
        <v>3</v>
      </c>
      <c r="C1704">
        <v>2</v>
      </c>
      <c r="D1704">
        <v>2</v>
      </c>
      <c r="E1704">
        <v>749.99</v>
      </c>
      <c r="F1704">
        <v>0.1</v>
      </c>
      <c r="G1704">
        <v>1499.88</v>
      </c>
      <c r="H1704" t="s">
        <v>7</v>
      </c>
    </row>
    <row r="1705" spans="1:8" x14ac:dyDescent="0.35">
      <c r="A1705">
        <v>653</v>
      </c>
      <c r="B1705">
        <v>4</v>
      </c>
      <c r="C1705">
        <v>80</v>
      </c>
      <c r="D1705">
        <v>1</v>
      </c>
      <c r="E1705">
        <v>761.99</v>
      </c>
      <c r="F1705">
        <v>0.2</v>
      </c>
      <c r="G1705">
        <v>761.79</v>
      </c>
      <c r="H1705" t="s">
        <v>81</v>
      </c>
    </row>
    <row r="1706" spans="1:8" x14ac:dyDescent="0.35">
      <c r="A1706">
        <v>653</v>
      </c>
      <c r="B1706">
        <v>5</v>
      </c>
      <c r="C1706">
        <v>88</v>
      </c>
      <c r="D1706">
        <v>2</v>
      </c>
      <c r="E1706">
        <v>189.99</v>
      </c>
      <c r="F1706">
        <v>0.1</v>
      </c>
      <c r="G1706">
        <v>379.91</v>
      </c>
      <c r="H1706" t="s">
        <v>89</v>
      </c>
    </row>
    <row r="1707" spans="1:8" x14ac:dyDescent="0.35">
      <c r="A1707">
        <v>654</v>
      </c>
      <c r="B1707">
        <v>1</v>
      </c>
      <c r="C1707">
        <v>9</v>
      </c>
      <c r="D1707">
        <v>1</v>
      </c>
      <c r="E1707">
        <v>2999.99</v>
      </c>
      <c r="F1707">
        <v>0.1</v>
      </c>
      <c r="G1707">
        <v>2999.89</v>
      </c>
      <c r="H1707" t="s">
        <v>14</v>
      </c>
    </row>
    <row r="1708" spans="1:8" x14ac:dyDescent="0.35">
      <c r="A1708">
        <v>654</v>
      </c>
      <c r="B1708">
        <v>2</v>
      </c>
      <c r="C1708">
        <v>95</v>
      </c>
      <c r="D1708">
        <v>1</v>
      </c>
      <c r="E1708">
        <v>299.99</v>
      </c>
      <c r="F1708">
        <v>0.1</v>
      </c>
      <c r="G1708">
        <v>299.89</v>
      </c>
      <c r="H1708" t="s">
        <v>77</v>
      </c>
    </row>
    <row r="1709" spans="1:8" x14ac:dyDescent="0.35">
      <c r="A1709">
        <v>654</v>
      </c>
      <c r="B1709">
        <v>3</v>
      </c>
      <c r="C1709">
        <v>110</v>
      </c>
      <c r="D1709">
        <v>2</v>
      </c>
      <c r="E1709">
        <v>470.99</v>
      </c>
      <c r="F1709">
        <v>0.1</v>
      </c>
      <c r="G1709">
        <v>941.91</v>
      </c>
      <c r="H1709" t="s">
        <v>107</v>
      </c>
    </row>
    <row r="1710" spans="1:8" x14ac:dyDescent="0.35">
      <c r="A1710">
        <v>654</v>
      </c>
      <c r="B1710">
        <v>4</v>
      </c>
      <c r="C1710">
        <v>97</v>
      </c>
      <c r="D1710">
        <v>2</v>
      </c>
      <c r="E1710">
        <v>349.99</v>
      </c>
      <c r="F1710">
        <v>0.1</v>
      </c>
      <c r="G1710">
        <v>699.91</v>
      </c>
      <c r="H1710" t="s">
        <v>97</v>
      </c>
    </row>
    <row r="1711" spans="1:8" x14ac:dyDescent="0.35">
      <c r="A1711">
        <v>656</v>
      </c>
      <c r="B1711">
        <v>1</v>
      </c>
      <c r="C1711">
        <v>83</v>
      </c>
      <c r="D1711">
        <v>1</v>
      </c>
      <c r="E1711">
        <v>149.99</v>
      </c>
      <c r="F1711">
        <v>0.1</v>
      </c>
      <c r="G1711">
        <v>149.88999999999999</v>
      </c>
      <c r="H1711" t="s">
        <v>84</v>
      </c>
    </row>
    <row r="1712" spans="1:8" x14ac:dyDescent="0.35">
      <c r="A1712">
        <v>656</v>
      </c>
      <c r="B1712">
        <v>2</v>
      </c>
      <c r="C1712">
        <v>22</v>
      </c>
      <c r="D1712">
        <v>1</v>
      </c>
      <c r="E1712">
        <v>269.99</v>
      </c>
      <c r="F1712">
        <v>0.1</v>
      </c>
      <c r="G1712">
        <v>269.92</v>
      </c>
      <c r="H1712" t="s">
        <v>19</v>
      </c>
    </row>
    <row r="1713" spans="1:8" x14ac:dyDescent="0.35">
      <c r="A1713">
        <v>656</v>
      </c>
      <c r="B1713">
        <v>3</v>
      </c>
      <c r="C1713">
        <v>33</v>
      </c>
      <c r="D1713">
        <v>2</v>
      </c>
      <c r="E1713">
        <v>469.99</v>
      </c>
      <c r="F1713">
        <v>0.1</v>
      </c>
      <c r="G1713">
        <v>939.93</v>
      </c>
      <c r="H1713" t="s">
        <v>34</v>
      </c>
    </row>
    <row r="1714" spans="1:8" x14ac:dyDescent="0.35">
      <c r="A1714">
        <v>657</v>
      </c>
      <c r="B1714">
        <v>1</v>
      </c>
      <c r="C1714">
        <v>52</v>
      </c>
      <c r="D1714">
        <v>1</v>
      </c>
      <c r="E1714">
        <v>875.99</v>
      </c>
      <c r="F1714">
        <v>0.1</v>
      </c>
      <c r="G1714">
        <v>875.94</v>
      </c>
      <c r="H1714" t="s">
        <v>53</v>
      </c>
    </row>
    <row r="1715" spans="1:8" x14ac:dyDescent="0.35">
      <c r="A1715">
        <v>657</v>
      </c>
      <c r="B1715">
        <v>2</v>
      </c>
      <c r="C1715">
        <v>54</v>
      </c>
      <c r="D1715">
        <v>2</v>
      </c>
      <c r="E1715">
        <v>3199.99</v>
      </c>
      <c r="F1715">
        <v>0.1</v>
      </c>
      <c r="G1715">
        <v>6399.93</v>
      </c>
      <c r="H1715" t="s">
        <v>55</v>
      </c>
    </row>
    <row r="1716" spans="1:8" x14ac:dyDescent="0.35">
      <c r="A1716">
        <v>658</v>
      </c>
      <c r="B1716">
        <v>1</v>
      </c>
      <c r="C1716">
        <v>49</v>
      </c>
      <c r="D1716">
        <v>2</v>
      </c>
      <c r="E1716">
        <v>3499.99</v>
      </c>
      <c r="F1716">
        <v>0.2</v>
      </c>
      <c r="G1716">
        <v>6999.78</v>
      </c>
      <c r="H1716" t="s">
        <v>50</v>
      </c>
    </row>
    <row r="1717" spans="1:8" x14ac:dyDescent="0.35">
      <c r="A1717">
        <v>658</v>
      </c>
      <c r="B1717">
        <v>2</v>
      </c>
      <c r="C1717">
        <v>29</v>
      </c>
      <c r="D1717">
        <v>1</v>
      </c>
      <c r="E1717">
        <v>999.99</v>
      </c>
      <c r="F1717">
        <v>0.1</v>
      </c>
      <c r="G1717">
        <v>999.94</v>
      </c>
      <c r="H1717" t="s">
        <v>30</v>
      </c>
    </row>
    <row r="1718" spans="1:8" x14ac:dyDescent="0.35">
      <c r="A1718">
        <v>658</v>
      </c>
      <c r="B1718">
        <v>3</v>
      </c>
      <c r="C1718">
        <v>9</v>
      </c>
      <c r="D1718">
        <v>1</v>
      </c>
      <c r="E1718">
        <v>2999.99</v>
      </c>
      <c r="F1718">
        <v>0.1</v>
      </c>
      <c r="G1718">
        <v>2999.94</v>
      </c>
      <c r="H1718" t="s">
        <v>14</v>
      </c>
    </row>
    <row r="1719" spans="1:8" x14ac:dyDescent="0.35">
      <c r="A1719">
        <v>659</v>
      </c>
      <c r="B1719">
        <v>1</v>
      </c>
      <c r="C1719">
        <v>42</v>
      </c>
      <c r="D1719">
        <v>2</v>
      </c>
      <c r="E1719">
        <v>2299.9899999999998</v>
      </c>
      <c r="F1719">
        <v>0.1</v>
      </c>
      <c r="G1719">
        <v>4599.93</v>
      </c>
      <c r="H1719" t="s">
        <v>43</v>
      </c>
    </row>
    <row r="1720" spans="1:8" x14ac:dyDescent="0.35">
      <c r="A1720">
        <v>659</v>
      </c>
      <c r="B1720">
        <v>2</v>
      </c>
      <c r="C1720">
        <v>39</v>
      </c>
      <c r="D1720">
        <v>2</v>
      </c>
      <c r="E1720">
        <v>1499.99</v>
      </c>
      <c r="F1720">
        <v>0.1</v>
      </c>
      <c r="G1720">
        <v>2999.91</v>
      </c>
      <c r="H1720" t="s">
        <v>40</v>
      </c>
    </row>
    <row r="1721" spans="1:8" x14ac:dyDescent="0.35">
      <c r="A1721">
        <v>659</v>
      </c>
      <c r="B1721">
        <v>3</v>
      </c>
      <c r="C1721">
        <v>70</v>
      </c>
      <c r="D1721">
        <v>1</v>
      </c>
      <c r="E1721">
        <v>659.99</v>
      </c>
      <c r="F1721">
        <v>0.1</v>
      </c>
      <c r="G1721">
        <v>659.94</v>
      </c>
      <c r="H1721" t="s">
        <v>71</v>
      </c>
    </row>
    <row r="1722" spans="1:8" x14ac:dyDescent="0.35">
      <c r="A1722">
        <v>659</v>
      </c>
      <c r="B1722">
        <v>4</v>
      </c>
      <c r="C1722">
        <v>61</v>
      </c>
      <c r="D1722">
        <v>2</v>
      </c>
      <c r="E1722">
        <v>4999.99</v>
      </c>
      <c r="F1722">
        <v>0.1</v>
      </c>
      <c r="G1722">
        <v>9999.91</v>
      </c>
      <c r="H1722" t="s">
        <v>62</v>
      </c>
    </row>
    <row r="1723" spans="1:8" x14ac:dyDescent="0.35">
      <c r="A1723">
        <v>660</v>
      </c>
      <c r="B1723">
        <v>1</v>
      </c>
      <c r="C1723">
        <v>30</v>
      </c>
      <c r="D1723">
        <v>1</v>
      </c>
      <c r="E1723">
        <v>999.99</v>
      </c>
      <c r="F1723">
        <v>0.2</v>
      </c>
      <c r="G1723">
        <v>999.79</v>
      </c>
      <c r="H1723" t="s">
        <v>31</v>
      </c>
    </row>
    <row r="1724" spans="1:8" x14ac:dyDescent="0.35">
      <c r="A1724">
        <v>660</v>
      </c>
      <c r="B1724">
        <v>2</v>
      </c>
      <c r="C1724">
        <v>59</v>
      </c>
      <c r="D1724">
        <v>2</v>
      </c>
      <c r="E1724">
        <v>2599.9899999999998</v>
      </c>
      <c r="F1724">
        <v>0.1</v>
      </c>
      <c r="G1724">
        <v>5199.91</v>
      </c>
      <c r="H1724" t="s">
        <v>60</v>
      </c>
    </row>
    <row r="1725" spans="1:8" x14ac:dyDescent="0.35">
      <c r="A1725">
        <v>660</v>
      </c>
      <c r="B1725">
        <v>3</v>
      </c>
      <c r="C1725">
        <v>47</v>
      </c>
      <c r="D1725">
        <v>2</v>
      </c>
      <c r="E1725">
        <v>5299.99</v>
      </c>
      <c r="F1725">
        <v>0.1</v>
      </c>
      <c r="G1725">
        <v>10599.93</v>
      </c>
      <c r="H1725" t="s">
        <v>48</v>
      </c>
    </row>
    <row r="1726" spans="1:8" x14ac:dyDescent="0.35">
      <c r="A1726">
        <v>660</v>
      </c>
      <c r="B1726">
        <v>4</v>
      </c>
      <c r="C1726">
        <v>29</v>
      </c>
      <c r="D1726">
        <v>2</v>
      </c>
      <c r="E1726">
        <v>999.99</v>
      </c>
      <c r="F1726">
        <v>0.2</v>
      </c>
      <c r="G1726">
        <v>1999.78</v>
      </c>
      <c r="H1726" t="s">
        <v>30</v>
      </c>
    </row>
    <row r="1727" spans="1:8" x14ac:dyDescent="0.35">
      <c r="A1727">
        <v>661</v>
      </c>
      <c r="B1727">
        <v>1</v>
      </c>
      <c r="C1727">
        <v>63</v>
      </c>
      <c r="D1727">
        <v>2</v>
      </c>
      <c r="E1727">
        <v>3499.99</v>
      </c>
      <c r="F1727">
        <v>0.1</v>
      </c>
      <c r="G1727">
        <v>6999.91</v>
      </c>
      <c r="H1727" t="s">
        <v>64</v>
      </c>
    </row>
    <row r="1728" spans="1:8" x14ac:dyDescent="0.35">
      <c r="A1728">
        <v>661</v>
      </c>
      <c r="B1728">
        <v>2</v>
      </c>
      <c r="C1728">
        <v>22</v>
      </c>
      <c r="D1728">
        <v>2</v>
      </c>
      <c r="E1728">
        <v>269.99</v>
      </c>
      <c r="F1728">
        <v>0.1</v>
      </c>
      <c r="G1728">
        <v>539.92999999999995</v>
      </c>
      <c r="H1728" t="s">
        <v>19</v>
      </c>
    </row>
    <row r="1729" spans="1:8" x14ac:dyDescent="0.35">
      <c r="A1729">
        <v>662</v>
      </c>
      <c r="B1729">
        <v>1</v>
      </c>
      <c r="C1729">
        <v>55</v>
      </c>
      <c r="D1729">
        <v>2</v>
      </c>
      <c r="E1729">
        <v>2699.99</v>
      </c>
      <c r="F1729">
        <v>0.1</v>
      </c>
      <c r="G1729">
        <v>5399.88</v>
      </c>
      <c r="H1729" t="s">
        <v>56</v>
      </c>
    </row>
    <row r="1730" spans="1:8" x14ac:dyDescent="0.35">
      <c r="A1730">
        <v>662</v>
      </c>
      <c r="B1730">
        <v>2</v>
      </c>
      <c r="C1730">
        <v>95</v>
      </c>
      <c r="D1730">
        <v>2</v>
      </c>
      <c r="E1730">
        <v>299.99</v>
      </c>
      <c r="F1730">
        <v>0.2</v>
      </c>
      <c r="G1730">
        <v>599.78</v>
      </c>
      <c r="H1730" t="s">
        <v>77</v>
      </c>
    </row>
    <row r="1731" spans="1:8" x14ac:dyDescent="0.35">
      <c r="A1731">
        <v>662</v>
      </c>
      <c r="B1731">
        <v>3</v>
      </c>
      <c r="C1731">
        <v>102</v>
      </c>
      <c r="D1731">
        <v>2</v>
      </c>
      <c r="E1731">
        <v>489.99</v>
      </c>
      <c r="F1731">
        <v>0.1</v>
      </c>
      <c r="G1731">
        <v>979.91</v>
      </c>
      <c r="H1731" t="s">
        <v>65</v>
      </c>
    </row>
    <row r="1732" spans="1:8" x14ac:dyDescent="0.35">
      <c r="A1732">
        <v>662</v>
      </c>
      <c r="B1732">
        <v>4</v>
      </c>
      <c r="C1732">
        <v>22</v>
      </c>
      <c r="D1732">
        <v>1</v>
      </c>
      <c r="E1732">
        <v>269.99</v>
      </c>
      <c r="F1732">
        <v>0.1</v>
      </c>
      <c r="G1732">
        <v>269.92</v>
      </c>
      <c r="H1732" t="s">
        <v>19</v>
      </c>
    </row>
    <row r="1733" spans="1:8" x14ac:dyDescent="0.35">
      <c r="A1733">
        <v>662</v>
      </c>
      <c r="B1733">
        <v>5</v>
      </c>
      <c r="C1733">
        <v>106</v>
      </c>
      <c r="D1733">
        <v>2</v>
      </c>
      <c r="E1733">
        <v>449.99</v>
      </c>
      <c r="F1733">
        <v>0.1</v>
      </c>
      <c r="G1733">
        <v>899.91</v>
      </c>
      <c r="H1733" t="s">
        <v>69</v>
      </c>
    </row>
    <row r="1734" spans="1:8" x14ac:dyDescent="0.35">
      <c r="A1734">
        <v>663</v>
      </c>
      <c r="B1734">
        <v>1</v>
      </c>
      <c r="C1734">
        <v>41</v>
      </c>
      <c r="D1734">
        <v>2</v>
      </c>
      <c r="E1734">
        <v>1469.99</v>
      </c>
      <c r="F1734">
        <v>0.1</v>
      </c>
      <c r="G1734">
        <v>2939.93</v>
      </c>
      <c r="H1734" t="s">
        <v>42</v>
      </c>
    </row>
    <row r="1735" spans="1:8" x14ac:dyDescent="0.35">
      <c r="A1735">
        <v>663</v>
      </c>
      <c r="B1735">
        <v>2</v>
      </c>
      <c r="C1735">
        <v>17</v>
      </c>
      <c r="D1735">
        <v>2</v>
      </c>
      <c r="E1735">
        <v>429</v>
      </c>
      <c r="F1735">
        <v>0.2</v>
      </c>
      <c r="G1735">
        <v>857.8</v>
      </c>
      <c r="H1735" t="s">
        <v>22</v>
      </c>
    </row>
    <row r="1736" spans="1:8" x14ac:dyDescent="0.35">
      <c r="A1736">
        <v>663</v>
      </c>
      <c r="B1736">
        <v>3</v>
      </c>
      <c r="C1736">
        <v>94</v>
      </c>
      <c r="D1736">
        <v>1</v>
      </c>
      <c r="E1736">
        <v>249.99</v>
      </c>
      <c r="F1736">
        <v>0.1</v>
      </c>
      <c r="G1736">
        <v>249.94</v>
      </c>
      <c r="H1736" t="s">
        <v>95</v>
      </c>
    </row>
    <row r="1737" spans="1:8" x14ac:dyDescent="0.35">
      <c r="A1737">
        <v>663</v>
      </c>
      <c r="B1737">
        <v>4</v>
      </c>
      <c r="C1737">
        <v>71</v>
      </c>
      <c r="D1737">
        <v>1</v>
      </c>
      <c r="E1737">
        <v>416.99</v>
      </c>
      <c r="F1737">
        <v>0.1</v>
      </c>
      <c r="G1737">
        <v>416.92</v>
      </c>
      <c r="H1737" t="s">
        <v>72</v>
      </c>
    </row>
    <row r="1738" spans="1:8" x14ac:dyDescent="0.35">
      <c r="A1738">
        <v>663</v>
      </c>
      <c r="B1738">
        <v>5</v>
      </c>
      <c r="C1738">
        <v>106</v>
      </c>
      <c r="D1738">
        <v>1</v>
      </c>
      <c r="E1738">
        <v>449.99</v>
      </c>
      <c r="F1738">
        <v>0.2</v>
      </c>
      <c r="G1738">
        <v>449.79</v>
      </c>
      <c r="H1738" t="s">
        <v>69</v>
      </c>
    </row>
    <row r="1739" spans="1:8" x14ac:dyDescent="0.35">
      <c r="A1739">
        <v>664</v>
      </c>
      <c r="B1739">
        <v>1</v>
      </c>
      <c r="C1739">
        <v>52</v>
      </c>
      <c r="D1739">
        <v>2</v>
      </c>
      <c r="E1739">
        <v>875.99</v>
      </c>
      <c r="F1739">
        <v>0.1</v>
      </c>
      <c r="G1739">
        <v>1751.91</v>
      </c>
      <c r="H1739" t="s">
        <v>53</v>
      </c>
    </row>
    <row r="1740" spans="1:8" x14ac:dyDescent="0.35">
      <c r="A1740">
        <v>664</v>
      </c>
      <c r="B1740">
        <v>2</v>
      </c>
      <c r="C1740">
        <v>5</v>
      </c>
      <c r="D1740">
        <v>1</v>
      </c>
      <c r="E1740">
        <v>1320.99</v>
      </c>
      <c r="F1740">
        <v>0.1</v>
      </c>
      <c r="G1740">
        <v>1320.92</v>
      </c>
      <c r="H1740" t="s">
        <v>10</v>
      </c>
    </row>
    <row r="1741" spans="1:8" x14ac:dyDescent="0.35">
      <c r="A1741">
        <v>664</v>
      </c>
      <c r="B1741">
        <v>3</v>
      </c>
      <c r="C1741">
        <v>50</v>
      </c>
      <c r="D1741">
        <v>1</v>
      </c>
      <c r="E1741">
        <v>5999.99</v>
      </c>
      <c r="F1741">
        <v>0.2</v>
      </c>
      <c r="G1741">
        <v>5999.79</v>
      </c>
      <c r="H1741" t="s">
        <v>51</v>
      </c>
    </row>
    <row r="1742" spans="1:8" x14ac:dyDescent="0.35">
      <c r="A1742">
        <v>664</v>
      </c>
      <c r="B1742">
        <v>4</v>
      </c>
      <c r="C1742">
        <v>101</v>
      </c>
      <c r="D1742">
        <v>2</v>
      </c>
      <c r="E1742">
        <v>339.99</v>
      </c>
      <c r="F1742">
        <v>0.2</v>
      </c>
      <c r="G1742">
        <v>679.78</v>
      </c>
      <c r="H1742" t="s">
        <v>101</v>
      </c>
    </row>
    <row r="1743" spans="1:8" x14ac:dyDescent="0.35">
      <c r="A1743">
        <v>664</v>
      </c>
      <c r="B1743">
        <v>5</v>
      </c>
      <c r="C1743">
        <v>47</v>
      </c>
      <c r="D1743">
        <v>1</v>
      </c>
      <c r="E1743">
        <v>5299.99</v>
      </c>
      <c r="F1743">
        <v>0.1</v>
      </c>
      <c r="G1743">
        <v>5299.92</v>
      </c>
      <c r="H1743" t="s">
        <v>48</v>
      </c>
    </row>
    <row r="1744" spans="1:8" x14ac:dyDescent="0.35">
      <c r="A1744">
        <v>665</v>
      </c>
      <c r="B1744">
        <v>1</v>
      </c>
      <c r="C1744">
        <v>58</v>
      </c>
      <c r="D1744">
        <v>1</v>
      </c>
      <c r="E1744">
        <v>4999.99</v>
      </c>
      <c r="F1744">
        <v>0.1</v>
      </c>
      <c r="G1744">
        <v>4999.92</v>
      </c>
      <c r="H1744" t="s">
        <v>59</v>
      </c>
    </row>
    <row r="1745" spans="1:8" x14ac:dyDescent="0.35">
      <c r="A1745">
        <v>665</v>
      </c>
      <c r="B1745">
        <v>2</v>
      </c>
      <c r="C1745">
        <v>42</v>
      </c>
      <c r="D1745">
        <v>2</v>
      </c>
      <c r="E1745">
        <v>2299.9899999999998</v>
      </c>
      <c r="F1745">
        <v>0.2</v>
      </c>
      <c r="G1745">
        <v>4599.78</v>
      </c>
      <c r="H1745" t="s">
        <v>43</v>
      </c>
    </row>
    <row r="1746" spans="1:8" x14ac:dyDescent="0.35">
      <c r="A1746">
        <v>665</v>
      </c>
      <c r="B1746">
        <v>3</v>
      </c>
      <c r="C1746">
        <v>25</v>
      </c>
      <c r="D1746">
        <v>2</v>
      </c>
      <c r="E1746">
        <v>499.99</v>
      </c>
      <c r="F1746">
        <v>0.1</v>
      </c>
      <c r="G1746">
        <v>999.93</v>
      </c>
      <c r="H1746" t="s">
        <v>27</v>
      </c>
    </row>
    <row r="1747" spans="1:8" x14ac:dyDescent="0.35">
      <c r="A1747">
        <v>666</v>
      </c>
      <c r="B1747">
        <v>1</v>
      </c>
      <c r="C1747">
        <v>98</v>
      </c>
      <c r="D1747">
        <v>2</v>
      </c>
      <c r="E1747">
        <v>489.99</v>
      </c>
      <c r="F1747">
        <v>0.2</v>
      </c>
      <c r="G1747">
        <v>979.78</v>
      </c>
      <c r="H1747" t="s">
        <v>98</v>
      </c>
    </row>
    <row r="1748" spans="1:8" x14ac:dyDescent="0.35">
      <c r="A1748">
        <v>666</v>
      </c>
      <c r="B1748">
        <v>2</v>
      </c>
      <c r="C1748">
        <v>39</v>
      </c>
      <c r="D1748">
        <v>1</v>
      </c>
      <c r="E1748">
        <v>1499.99</v>
      </c>
      <c r="F1748">
        <v>0.1</v>
      </c>
      <c r="G1748">
        <v>1499.94</v>
      </c>
      <c r="H1748" t="s">
        <v>40</v>
      </c>
    </row>
    <row r="1749" spans="1:8" x14ac:dyDescent="0.35">
      <c r="A1749">
        <v>667</v>
      </c>
      <c r="B1749">
        <v>1</v>
      </c>
      <c r="C1749">
        <v>79</v>
      </c>
      <c r="D1749">
        <v>1</v>
      </c>
      <c r="E1749">
        <v>402.99</v>
      </c>
      <c r="F1749">
        <v>0.2</v>
      </c>
      <c r="G1749">
        <v>402.79</v>
      </c>
      <c r="H1749" t="s">
        <v>80</v>
      </c>
    </row>
    <row r="1750" spans="1:8" x14ac:dyDescent="0.35">
      <c r="A1750">
        <v>667</v>
      </c>
      <c r="B1750">
        <v>2</v>
      </c>
      <c r="C1750">
        <v>84</v>
      </c>
      <c r="D1750">
        <v>1</v>
      </c>
      <c r="E1750">
        <v>109.99</v>
      </c>
      <c r="F1750">
        <v>0.1</v>
      </c>
      <c r="G1750">
        <v>109.89</v>
      </c>
      <c r="H1750" t="s">
        <v>85</v>
      </c>
    </row>
    <row r="1751" spans="1:8" x14ac:dyDescent="0.35">
      <c r="A1751">
        <v>667</v>
      </c>
      <c r="B1751">
        <v>3</v>
      </c>
      <c r="C1751">
        <v>3</v>
      </c>
      <c r="D1751">
        <v>1</v>
      </c>
      <c r="E1751">
        <v>999.99</v>
      </c>
      <c r="F1751">
        <v>0.2</v>
      </c>
      <c r="G1751">
        <v>999.79</v>
      </c>
      <c r="H1751" t="s">
        <v>8</v>
      </c>
    </row>
    <row r="1752" spans="1:8" x14ac:dyDescent="0.35">
      <c r="A1752">
        <v>667</v>
      </c>
      <c r="B1752">
        <v>4</v>
      </c>
      <c r="C1752">
        <v>99</v>
      </c>
      <c r="D1752">
        <v>1</v>
      </c>
      <c r="E1752">
        <v>299.99</v>
      </c>
      <c r="F1752">
        <v>0.1</v>
      </c>
      <c r="G1752">
        <v>299.89</v>
      </c>
      <c r="H1752" t="s">
        <v>99</v>
      </c>
    </row>
    <row r="1753" spans="1:8" x14ac:dyDescent="0.35">
      <c r="A1753">
        <v>667</v>
      </c>
      <c r="B1753">
        <v>5</v>
      </c>
      <c r="C1753">
        <v>85</v>
      </c>
      <c r="D1753">
        <v>1</v>
      </c>
      <c r="E1753">
        <v>329.99</v>
      </c>
      <c r="F1753">
        <v>0.1</v>
      </c>
      <c r="G1753">
        <v>329.94</v>
      </c>
      <c r="H1753" t="s">
        <v>86</v>
      </c>
    </row>
    <row r="1754" spans="1:8" x14ac:dyDescent="0.35">
      <c r="A1754">
        <v>668</v>
      </c>
      <c r="B1754">
        <v>1</v>
      </c>
      <c r="C1754">
        <v>48</v>
      </c>
      <c r="D1754">
        <v>2</v>
      </c>
      <c r="E1754">
        <v>1499.99</v>
      </c>
      <c r="F1754">
        <v>0.1</v>
      </c>
      <c r="G1754">
        <v>2999.93</v>
      </c>
      <c r="H1754" t="s">
        <v>49</v>
      </c>
    </row>
    <row r="1755" spans="1:8" x14ac:dyDescent="0.35">
      <c r="A1755">
        <v>668</v>
      </c>
      <c r="B1755">
        <v>2</v>
      </c>
      <c r="C1755">
        <v>19</v>
      </c>
      <c r="D1755">
        <v>2</v>
      </c>
      <c r="E1755">
        <v>449</v>
      </c>
      <c r="F1755">
        <v>0.1</v>
      </c>
      <c r="G1755">
        <v>897.9</v>
      </c>
      <c r="H1755" t="s">
        <v>24</v>
      </c>
    </row>
    <row r="1756" spans="1:8" x14ac:dyDescent="0.35">
      <c r="A1756">
        <v>669</v>
      </c>
      <c r="B1756">
        <v>1</v>
      </c>
      <c r="C1756">
        <v>16</v>
      </c>
      <c r="D1756">
        <v>2</v>
      </c>
      <c r="E1756">
        <v>599.99</v>
      </c>
      <c r="F1756">
        <v>0.1</v>
      </c>
      <c r="G1756">
        <v>1199.9100000000001</v>
      </c>
      <c r="H1756" t="s">
        <v>21</v>
      </c>
    </row>
    <row r="1757" spans="1:8" x14ac:dyDescent="0.35">
      <c r="A1757">
        <v>669</v>
      </c>
      <c r="B1757">
        <v>2</v>
      </c>
      <c r="C1757">
        <v>72</v>
      </c>
      <c r="D1757">
        <v>1</v>
      </c>
      <c r="E1757">
        <v>619.99</v>
      </c>
      <c r="F1757">
        <v>0.1</v>
      </c>
      <c r="G1757">
        <v>619.91999999999996</v>
      </c>
      <c r="H1757" t="s">
        <v>73</v>
      </c>
    </row>
    <row r="1758" spans="1:8" x14ac:dyDescent="0.35">
      <c r="A1758">
        <v>670</v>
      </c>
      <c r="B1758">
        <v>1</v>
      </c>
      <c r="C1758">
        <v>108</v>
      </c>
      <c r="D1758">
        <v>1</v>
      </c>
      <c r="E1758">
        <v>449.99</v>
      </c>
      <c r="F1758">
        <v>0.1</v>
      </c>
      <c r="G1758">
        <v>449.89</v>
      </c>
      <c r="H1758" t="s">
        <v>105</v>
      </c>
    </row>
    <row r="1759" spans="1:8" x14ac:dyDescent="0.35">
      <c r="A1759">
        <v>670</v>
      </c>
      <c r="B1759">
        <v>2</v>
      </c>
      <c r="C1759">
        <v>28</v>
      </c>
      <c r="D1759">
        <v>1</v>
      </c>
      <c r="E1759">
        <v>2499.9899999999998</v>
      </c>
      <c r="F1759">
        <v>0.1</v>
      </c>
      <c r="G1759">
        <v>2499.92</v>
      </c>
      <c r="H1759" t="s">
        <v>29</v>
      </c>
    </row>
    <row r="1760" spans="1:8" x14ac:dyDescent="0.35">
      <c r="A1760">
        <v>670</v>
      </c>
      <c r="B1760">
        <v>3</v>
      </c>
      <c r="C1760">
        <v>104</v>
      </c>
      <c r="D1760">
        <v>2</v>
      </c>
      <c r="E1760">
        <v>481.99</v>
      </c>
      <c r="F1760">
        <v>0.2</v>
      </c>
      <c r="G1760">
        <v>963.78</v>
      </c>
      <c r="H1760" t="s">
        <v>103</v>
      </c>
    </row>
    <row r="1761" spans="1:8" x14ac:dyDescent="0.35">
      <c r="A1761">
        <v>670</v>
      </c>
      <c r="B1761">
        <v>4</v>
      </c>
      <c r="C1761">
        <v>45</v>
      </c>
      <c r="D1761">
        <v>2</v>
      </c>
      <c r="E1761">
        <v>869.99</v>
      </c>
      <c r="F1761">
        <v>0.1</v>
      </c>
      <c r="G1761">
        <v>1739.93</v>
      </c>
      <c r="H1761" t="s">
        <v>46</v>
      </c>
    </row>
    <row r="1762" spans="1:8" x14ac:dyDescent="0.35">
      <c r="A1762">
        <v>671</v>
      </c>
      <c r="B1762">
        <v>1</v>
      </c>
      <c r="C1762">
        <v>30</v>
      </c>
      <c r="D1762">
        <v>1</v>
      </c>
      <c r="E1762">
        <v>999.99</v>
      </c>
      <c r="F1762">
        <v>0.1</v>
      </c>
      <c r="G1762">
        <v>999.94</v>
      </c>
      <c r="H1762" t="s">
        <v>31</v>
      </c>
    </row>
    <row r="1763" spans="1:8" x14ac:dyDescent="0.35">
      <c r="A1763">
        <v>671</v>
      </c>
      <c r="B1763">
        <v>2</v>
      </c>
      <c r="C1763">
        <v>69</v>
      </c>
      <c r="D1763">
        <v>1</v>
      </c>
      <c r="E1763">
        <v>416.99</v>
      </c>
      <c r="F1763">
        <v>0.1</v>
      </c>
      <c r="G1763">
        <v>416.94</v>
      </c>
      <c r="H1763" t="s">
        <v>70</v>
      </c>
    </row>
    <row r="1764" spans="1:8" x14ac:dyDescent="0.35">
      <c r="A1764">
        <v>671</v>
      </c>
      <c r="B1764">
        <v>3</v>
      </c>
      <c r="C1764">
        <v>55</v>
      </c>
      <c r="D1764">
        <v>1</v>
      </c>
      <c r="E1764">
        <v>2699.99</v>
      </c>
      <c r="F1764">
        <v>0.2</v>
      </c>
      <c r="G1764">
        <v>2699.79</v>
      </c>
      <c r="H1764" t="s">
        <v>56</v>
      </c>
    </row>
    <row r="1765" spans="1:8" x14ac:dyDescent="0.35">
      <c r="A1765">
        <v>671</v>
      </c>
      <c r="B1765">
        <v>4</v>
      </c>
      <c r="C1765">
        <v>4</v>
      </c>
      <c r="D1765">
        <v>1</v>
      </c>
      <c r="E1765">
        <v>2899.99</v>
      </c>
      <c r="F1765">
        <v>0.1</v>
      </c>
      <c r="G1765">
        <v>2899.92</v>
      </c>
      <c r="H1765" t="s">
        <v>9</v>
      </c>
    </row>
    <row r="1766" spans="1:8" x14ac:dyDescent="0.35">
      <c r="A1766">
        <v>671</v>
      </c>
      <c r="B1766">
        <v>5</v>
      </c>
      <c r="C1766">
        <v>109</v>
      </c>
      <c r="D1766">
        <v>2</v>
      </c>
      <c r="E1766">
        <v>416.99</v>
      </c>
      <c r="F1766">
        <v>0.1</v>
      </c>
      <c r="G1766">
        <v>833.91</v>
      </c>
      <c r="H1766" t="s">
        <v>106</v>
      </c>
    </row>
    <row r="1767" spans="1:8" x14ac:dyDescent="0.35">
      <c r="A1767">
        <v>672</v>
      </c>
      <c r="B1767">
        <v>1</v>
      </c>
      <c r="C1767">
        <v>51</v>
      </c>
      <c r="D1767">
        <v>2</v>
      </c>
      <c r="E1767">
        <v>6499.99</v>
      </c>
      <c r="F1767">
        <v>0.1</v>
      </c>
      <c r="G1767">
        <v>12999.91</v>
      </c>
      <c r="H1767" t="s">
        <v>52</v>
      </c>
    </row>
    <row r="1768" spans="1:8" x14ac:dyDescent="0.35">
      <c r="A1768">
        <v>672</v>
      </c>
      <c r="B1768">
        <v>2</v>
      </c>
      <c r="C1768">
        <v>96</v>
      </c>
      <c r="D1768">
        <v>2</v>
      </c>
      <c r="E1768">
        <v>349.99</v>
      </c>
      <c r="F1768">
        <v>0.2</v>
      </c>
      <c r="G1768">
        <v>699.78</v>
      </c>
      <c r="H1768" t="s">
        <v>96</v>
      </c>
    </row>
    <row r="1769" spans="1:8" x14ac:dyDescent="0.35">
      <c r="A1769">
        <v>672</v>
      </c>
      <c r="B1769">
        <v>3</v>
      </c>
      <c r="C1769">
        <v>48</v>
      </c>
      <c r="D1769">
        <v>2</v>
      </c>
      <c r="E1769">
        <v>1499.99</v>
      </c>
      <c r="F1769">
        <v>0.1</v>
      </c>
      <c r="G1769">
        <v>2999.91</v>
      </c>
      <c r="H1769" t="s">
        <v>49</v>
      </c>
    </row>
    <row r="1770" spans="1:8" x14ac:dyDescent="0.35">
      <c r="A1770">
        <v>673</v>
      </c>
      <c r="B1770">
        <v>1</v>
      </c>
      <c r="C1770">
        <v>66</v>
      </c>
      <c r="D1770">
        <v>1</v>
      </c>
      <c r="E1770">
        <v>250.99</v>
      </c>
      <c r="F1770">
        <v>0.2</v>
      </c>
      <c r="G1770">
        <v>250.79</v>
      </c>
      <c r="H1770" t="s">
        <v>67</v>
      </c>
    </row>
    <row r="1771" spans="1:8" x14ac:dyDescent="0.35">
      <c r="A1771">
        <v>673</v>
      </c>
      <c r="B1771">
        <v>2</v>
      </c>
      <c r="C1771">
        <v>38</v>
      </c>
      <c r="D1771">
        <v>1</v>
      </c>
      <c r="E1771">
        <v>549.99</v>
      </c>
      <c r="F1771">
        <v>0.2</v>
      </c>
      <c r="G1771">
        <v>549.79</v>
      </c>
      <c r="H1771" t="s">
        <v>39</v>
      </c>
    </row>
    <row r="1772" spans="1:8" x14ac:dyDescent="0.35">
      <c r="A1772">
        <v>673</v>
      </c>
      <c r="B1772">
        <v>3</v>
      </c>
      <c r="C1772">
        <v>5</v>
      </c>
      <c r="D1772">
        <v>1</v>
      </c>
      <c r="E1772">
        <v>1320.99</v>
      </c>
      <c r="F1772">
        <v>0.1</v>
      </c>
      <c r="G1772">
        <v>1320.92</v>
      </c>
      <c r="H1772" t="s">
        <v>10</v>
      </c>
    </row>
    <row r="1773" spans="1:8" x14ac:dyDescent="0.35">
      <c r="A1773">
        <v>673</v>
      </c>
      <c r="B1773">
        <v>4</v>
      </c>
      <c r="C1773">
        <v>13</v>
      </c>
      <c r="D1773">
        <v>1</v>
      </c>
      <c r="E1773">
        <v>269.99</v>
      </c>
      <c r="F1773">
        <v>0.1</v>
      </c>
      <c r="G1773">
        <v>269.89</v>
      </c>
      <c r="H1773" t="s">
        <v>18</v>
      </c>
    </row>
    <row r="1774" spans="1:8" x14ac:dyDescent="0.35">
      <c r="A1774">
        <v>675</v>
      </c>
      <c r="B1774">
        <v>1</v>
      </c>
      <c r="C1774">
        <v>17</v>
      </c>
      <c r="D1774">
        <v>1</v>
      </c>
      <c r="E1774">
        <v>429</v>
      </c>
      <c r="F1774">
        <v>0.1</v>
      </c>
      <c r="G1774">
        <v>428.95</v>
      </c>
      <c r="H1774" t="s">
        <v>22</v>
      </c>
    </row>
    <row r="1775" spans="1:8" x14ac:dyDescent="0.35">
      <c r="A1775">
        <v>675</v>
      </c>
      <c r="B1775">
        <v>2</v>
      </c>
      <c r="C1775">
        <v>89</v>
      </c>
      <c r="D1775">
        <v>2</v>
      </c>
      <c r="E1775">
        <v>209.99</v>
      </c>
      <c r="F1775">
        <v>0.1</v>
      </c>
      <c r="G1775">
        <v>419.93</v>
      </c>
      <c r="H1775" t="s">
        <v>90</v>
      </c>
    </row>
    <row r="1776" spans="1:8" x14ac:dyDescent="0.35">
      <c r="A1776">
        <v>675</v>
      </c>
      <c r="B1776">
        <v>3</v>
      </c>
      <c r="C1776">
        <v>19</v>
      </c>
      <c r="D1776">
        <v>1</v>
      </c>
      <c r="E1776">
        <v>449</v>
      </c>
      <c r="F1776">
        <v>0.1</v>
      </c>
      <c r="G1776">
        <v>448.93</v>
      </c>
      <c r="H1776" t="s">
        <v>24</v>
      </c>
    </row>
    <row r="1777" spans="1:8" x14ac:dyDescent="0.35">
      <c r="A1777">
        <v>675</v>
      </c>
      <c r="B1777">
        <v>4</v>
      </c>
      <c r="C1777">
        <v>32</v>
      </c>
      <c r="D1777">
        <v>1</v>
      </c>
      <c r="E1777">
        <v>469.99</v>
      </c>
      <c r="F1777">
        <v>0.2</v>
      </c>
      <c r="G1777">
        <v>469.79</v>
      </c>
      <c r="H1777" t="s">
        <v>33</v>
      </c>
    </row>
    <row r="1778" spans="1:8" x14ac:dyDescent="0.35">
      <c r="A1778">
        <v>676</v>
      </c>
      <c r="B1778">
        <v>1</v>
      </c>
      <c r="C1778">
        <v>70</v>
      </c>
      <c r="D1778">
        <v>1</v>
      </c>
      <c r="E1778">
        <v>659.99</v>
      </c>
      <c r="F1778">
        <v>0.2</v>
      </c>
      <c r="G1778">
        <v>659.79</v>
      </c>
      <c r="H1778" t="s">
        <v>71</v>
      </c>
    </row>
    <row r="1779" spans="1:8" x14ac:dyDescent="0.35">
      <c r="A1779">
        <v>676</v>
      </c>
      <c r="B1779">
        <v>2</v>
      </c>
      <c r="C1779">
        <v>104</v>
      </c>
      <c r="D1779">
        <v>2</v>
      </c>
      <c r="E1779">
        <v>481.99</v>
      </c>
      <c r="F1779">
        <v>0.1</v>
      </c>
      <c r="G1779">
        <v>963.91</v>
      </c>
      <c r="H1779" t="s">
        <v>103</v>
      </c>
    </row>
    <row r="1780" spans="1:8" x14ac:dyDescent="0.35">
      <c r="A1780">
        <v>676</v>
      </c>
      <c r="B1780">
        <v>3</v>
      </c>
      <c r="C1780">
        <v>24</v>
      </c>
      <c r="D1780">
        <v>1</v>
      </c>
      <c r="E1780">
        <v>549.99</v>
      </c>
      <c r="F1780">
        <v>0.1</v>
      </c>
      <c r="G1780">
        <v>549.89</v>
      </c>
      <c r="H1780" t="s">
        <v>17</v>
      </c>
    </row>
    <row r="1781" spans="1:8" x14ac:dyDescent="0.35">
      <c r="A1781">
        <v>676</v>
      </c>
      <c r="B1781">
        <v>4</v>
      </c>
      <c r="C1781">
        <v>29</v>
      </c>
      <c r="D1781">
        <v>1</v>
      </c>
      <c r="E1781">
        <v>999.99</v>
      </c>
      <c r="F1781">
        <v>0.2</v>
      </c>
      <c r="G1781">
        <v>999.79</v>
      </c>
      <c r="H1781" t="s">
        <v>30</v>
      </c>
    </row>
    <row r="1782" spans="1:8" x14ac:dyDescent="0.35">
      <c r="A1782">
        <v>677</v>
      </c>
      <c r="B1782">
        <v>1</v>
      </c>
      <c r="C1782">
        <v>75</v>
      </c>
      <c r="D1782">
        <v>1</v>
      </c>
      <c r="E1782">
        <v>599.99</v>
      </c>
      <c r="F1782">
        <v>0.1</v>
      </c>
      <c r="G1782">
        <v>599.91999999999996</v>
      </c>
      <c r="H1782" t="s">
        <v>76</v>
      </c>
    </row>
    <row r="1783" spans="1:8" x14ac:dyDescent="0.35">
      <c r="A1783">
        <v>677</v>
      </c>
      <c r="B1783">
        <v>2</v>
      </c>
      <c r="C1783">
        <v>7</v>
      </c>
      <c r="D1783">
        <v>2</v>
      </c>
      <c r="E1783">
        <v>3999.99</v>
      </c>
      <c r="F1783">
        <v>0.1</v>
      </c>
      <c r="G1783">
        <v>7999.91</v>
      </c>
      <c r="H1783" t="s">
        <v>12</v>
      </c>
    </row>
    <row r="1784" spans="1:8" x14ac:dyDescent="0.35">
      <c r="A1784">
        <v>677</v>
      </c>
      <c r="B1784">
        <v>3</v>
      </c>
      <c r="C1784">
        <v>105</v>
      </c>
      <c r="D1784">
        <v>2</v>
      </c>
      <c r="E1784">
        <v>533.99</v>
      </c>
      <c r="F1784">
        <v>0.1</v>
      </c>
      <c r="G1784">
        <v>1067.9100000000001</v>
      </c>
      <c r="H1784" t="s">
        <v>104</v>
      </c>
    </row>
    <row r="1785" spans="1:8" x14ac:dyDescent="0.35">
      <c r="A1785">
        <v>677</v>
      </c>
      <c r="B1785">
        <v>4</v>
      </c>
      <c r="C1785">
        <v>91</v>
      </c>
      <c r="D1785">
        <v>2</v>
      </c>
      <c r="E1785">
        <v>349.99</v>
      </c>
      <c r="F1785">
        <v>0.1</v>
      </c>
      <c r="G1785">
        <v>699.93</v>
      </c>
      <c r="H1785" t="s">
        <v>92</v>
      </c>
    </row>
    <row r="1786" spans="1:8" x14ac:dyDescent="0.35">
      <c r="A1786">
        <v>677</v>
      </c>
      <c r="B1786">
        <v>5</v>
      </c>
      <c r="C1786">
        <v>54</v>
      </c>
      <c r="D1786">
        <v>2</v>
      </c>
      <c r="E1786">
        <v>3199.99</v>
      </c>
      <c r="F1786">
        <v>0.1</v>
      </c>
      <c r="G1786">
        <v>6399.88</v>
      </c>
      <c r="H1786" t="s">
        <v>55</v>
      </c>
    </row>
    <row r="1787" spans="1:8" x14ac:dyDescent="0.35">
      <c r="A1787">
        <v>678</v>
      </c>
      <c r="B1787">
        <v>1</v>
      </c>
      <c r="C1787">
        <v>52</v>
      </c>
      <c r="D1787">
        <v>2</v>
      </c>
      <c r="E1787">
        <v>875.99</v>
      </c>
      <c r="F1787">
        <v>0.1</v>
      </c>
      <c r="G1787">
        <v>1751.93</v>
      </c>
      <c r="H1787" t="s">
        <v>53</v>
      </c>
    </row>
    <row r="1788" spans="1:8" x14ac:dyDescent="0.35">
      <c r="A1788">
        <v>678</v>
      </c>
      <c r="B1788">
        <v>2</v>
      </c>
      <c r="C1788">
        <v>37</v>
      </c>
      <c r="D1788">
        <v>2</v>
      </c>
      <c r="E1788">
        <v>379.99</v>
      </c>
      <c r="F1788">
        <v>0.1</v>
      </c>
      <c r="G1788">
        <v>759.91</v>
      </c>
      <c r="H1788" t="s">
        <v>38</v>
      </c>
    </row>
    <row r="1789" spans="1:8" x14ac:dyDescent="0.35">
      <c r="A1789">
        <v>679</v>
      </c>
      <c r="B1789">
        <v>1</v>
      </c>
      <c r="C1789">
        <v>15</v>
      </c>
      <c r="D1789">
        <v>2</v>
      </c>
      <c r="E1789">
        <v>529.99</v>
      </c>
      <c r="F1789">
        <v>0.2</v>
      </c>
      <c r="G1789">
        <v>1059.78</v>
      </c>
      <c r="H1789" t="s">
        <v>20</v>
      </c>
    </row>
    <row r="1790" spans="1:8" x14ac:dyDescent="0.35">
      <c r="A1790">
        <v>679</v>
      </c>
      <c r="B1790">
        <v>2</v>
      </c>
      <c r="C1790">
        <v>83</v>
      </c>
      <c r="D1790">
        <v>2</v>
      </c>
      <c r="E1790">
        <v>149.99</v>
      </c>
      <c r="F1790">
        <v>0.1</v>
      </c>
      <c r="G1790">
        <v>299.93</v>
      </c>
      <c r="H1790" t="s">
        <v>84</v>
      </c>
    </row>
    <row r="1791" spans="1:8" x14ac:dyDescent="0.35">
      <c r="A1791">
        <v>680</v>
      </c>
      <c r="B1791">
        <v>1</v>
      </c>
      <c r="C1791">
        <v>81</v>
      </c>
      <c r="D1791">
        <v>2</v>
      </c>
      <c r="E1791">
        <v>1099.99</v>
      </c>
      <c r="F1791">
        <v>0.1</v>
      </c>
      <c r="G1791">
        <v>2199.9299999999998</v>
      </c>
      <c r="H1791" t="s">
        <v>82</v>
      </c>
    </row>
    <row r="1792" spans="1:8" x14ac:dyDescent="0.35">
      <c r="A1792">
        <v>680</v>
      </c>
      <c r="B1792">
        <v>2</v>
      </c>
      <c r="C1792">
        <v>7</v>
      </c>
      <c r="D1792">
        <v>1</v>
      </c>
      <c r="E1792">
        <v>3999.99</v>
      </c>
      <c r="F1792">
        <v>0.2</v>
      </c>
      <c r="G1792">
        <v>3999.79</v>
      </c>
      <c r="H1792" t="s">
        <v>12</v>
      </c>
    </row>
    <row r="1793" spans="1:8" x14ac:dyDescent="0.35">
      <c r="A1793">
        <v>680</v>
      </c>
      <c r="B1793">
        <v>3</v>
      </c>
      <c r="C1793">
        <v>50</v>
      </c>
      <c r="D1793">
        <v>1</v>
      </c>
      <c r="E1793">
        <v>5999.99</v>
      </c>
      <c r="F1793">
        <v>0.1</v>
      </c>
      <c r="G1793">
        <v>5999.92</v>
      </c>
      <c r="H1793" t="s">
        <v>51</v>
      </c>
    </row>
    <row r="1794" spans="1:8" x14ac:dyDescent="0.35">
      <c r="A1794">
        <v>681</v>
      </c>
      <c r="B1794">
        <v>1</v>
      </c>
      <c r="C1794">
        <v>82</v>
      </c>
      <c r="D1794">
        <v>1</v>
      </c>
      <c r="E1794">
        <v>659.99</v>
      </c>
      <c r="F1794">
        <v>0.1</v>
      </c>
      <c r="G1794">
        <v>659.94</v>
      </c>
      <c r="H1794" t="s">
        <v>83</v>
      </c>
    </row>
    <row r="1795" spans="1:8" x14ac:dyDescent="0.35">
      <c r="A1795">
        <v>681</v>
      </c>
      <c r="B1795">
        <v>2</v>
      </c>
      <c r="C1795">
        <v>63</v>
      </c>
      <c r="D1795">
        <v>1</v>
      </c>
      <c r="E1795">
        <v>3499.99</v>
      </c>
      <c r="F1795">
        <v>0.1</v>
      </c>
      <c r="G1795">
        <v>3499.92</v>
      </c>
      <c r="H1795" t="s">
        <v>64</v>
      </c>
    </row>
    <row r="1796" spans="1:8" x14ac:dyDescent="0.35">
      <c r="A1796">
        <v>681</v>
      </c>
      <c r="B1796">
        <v>3</v>
      </c>
      <c r="C1796">
        <v>61</v>
      </c>
      <c r="D1796">
        <v>1</v>
      </c>
      <c r="E1796">
        <v>4999.99</v>
      </c>
      <c r="F1796">
        <v>0.2</v>
      </c>
      <c r="G1796">
        <v>4999.79</v>
      </c>
      <c r="H1796" t="s">
        <v>62</v>
      </c>
    </row>
    <row r="1797" spans="1:8" x14ac:dyDescent="0.35">
      <c r="A1797">
        <v>681</v>
      </c>
      <c r="B1797">
        <v>4</v>
      </c>
      <c r="C1797">
        <v>6</v>
      </c>
      <c r="D1797">
        <v>2</v>
      </c>
      <c r="E1797">
        <v>469.99</v>
      </c>
      <c r="F1797">
        <v>0.1</v>
      </c>
      <c r="G1797">
        <v>939.93</v>
      </c>
      <c r="H1797" t="s">
        <v>11</v>
      </c>
    </row>
    <row r="1798" spans="1:8" x14ac:dyDescent="0.35">
      <c r="A1798">
        <v>681</v>
      </c>
      <c r="B1798">
        <v>5</v>
      </c>
      <c r="C1798">
        <v>30</v>
      </c>
      <c r="D1798">
        <v>1</v>
      </c>
      <c r="E1798">
        <v>999.99</v>
      </c>
      <c r="F1798">
        <v>0.1</v>
      </c>
      <c r="G1798">
        <v>999.92</v>
      </c>
      <c r="H1798" t="s">
        <v>31</v>
      </c>
    </row>
    <row r="1799" spans="1:8" x14ac:dyDescent="0.35">
      <c r="A1799">
        <v>682</v>
      </c>
      <c r="B1799">
        <v>1</v>
      </c>
      <c r="C1799">
        <v>39</v>
      </c>
      <c r="D1799">
        <v>1</v>
      </c>
      <c r="E1799">
        <v>1499.99</v>
      </c>
      <c r="F1799">
        <v>0.2</v>
      </c>
      <c r="G1799">
        <v>1499.79</v>
      </c>
      <c r="H1799" t="s">
        <v>40</v>
      </c>
    </row>
    <row r="1800" spans="1:8" x14ac:dyDescent="0.35">
      <c r="A1800">
        <v>682</v>
      </c>
      <c r="B1800">
        <v>2</v>
      </c>
      <c r="C1800">
        <v>60</v>
      </c>
      <c r="D1800">
        <v>2</v>
      </c>
      <c r="E1800">
        <v>1559.99</v>
      </c>
      <c r="F1800">
        <v>0.2</v>
      </c>
      <c r="G1800">
        <v>3119.78</v>
      </c>
      <c r="H1800" t="s">
        <v>61</v>
      </c>
    </row>
    <row r="1801" spans="1:8" x14ac:dyDescent="0.35">
      <c r="A1801">
        <v>682</v>
      </c>
      <c r="B1801">
        <v>3</v>
      </c>
      <c r="C1801">
        <v>99</v>
      </c>
      <c r="D1801">
        <v>1</v>
      </c>
      <c r="E1801">
        <v>299.99</v>
      </c>
      <c r="F1801">
        <v>0.2</v>
      </c>
      <c r="G1801">
        <v>299.79000000000002</v>
      </c>
      <c r="H1801" t="s">
        <v>99</v>
      </c>
    </row>
    <row r="1802" spans="1:8" x14ac:dyDescent="0.35">
      <c r="A1802">
        <v>684</v>
      </c>
      <c r="B1802">
        <v>1</v>
      </c>
      <c r="C1802">
        <v>56</v>
      </c>
      <c r="D1802">
        <v>1</v>
      </c>
      <c r="E1802">
        <v>5499.99</v>
      </c>
      <c r="F1802">
        <v>0.1</v>
      </c>
      <c r="G1802">
        <v>5499.92</v>
      </c>
      <c r="H1802" t="s">
        <v>57</v>
      </c>
    </row>
    <row r="1803" spans="1:8" x14ac:dyDescent="0.35">
      <c r="A1803">
        <v>684</v>
      </c>
      <c r="B1803">
        <v>2</v>
      </c>
      <c r="C1803">
        <v>33</v>
      </c>
      <c r="D1803">
        <v>1</v>
      </c>
      <c r="E1803">
        <v>469.99</v>
      </c>
      <c r="F1803">
        <v>0.1</v>
      </c>
      <c r="G1803">
        <v>469.89</v>
      </c>
      <c r="H1803" t="s">
        <v>34</v>
      </c>
    </row>
    <row r="1804" spans="1:8" x14ac:dyDescent="0.35">
      <c r="A1804">
        <v>685</v>
      </c>
      <c r="B1804">
        <v>1</v>
      </c>
      <c r="C1804">
        <v>59</v>
      </c>
      <c r="D1804">
        <v>1</v>
      </c>
      <c r="E1804">
        <v>2599.9899999999998</v>
      </c>
      <c r="F1804">
        <v>0.1</v>
      </c>
      <c r="G1804">
        <v>2599.94</v>
      </c>
      <c r="H1804" t="s">
        <v>60</v>
      </c>
    </row>
    <row r="1805" spans="1:8" x14ac:dyDescent="0.35">
      <c r="A1805">
        <v>685</v>
      </c>
      <c r="B1805">
        <v>2</v>
      </c>
      <c r="C1805">
        <v>48</v>
      </c>
      <c r="D1805">
        <v>2</v>
      </c>
      <c r="E1805">
        <v>1499.99</v>
      </c>
      <c r="F1805">
        <v>0.1</v>
      </c>
      <c r="G1805">
        <v>2999.93</v>
      </c>
      <c r="H1805" t="s">
        <v>49</v>
      </c>
    </row>
    <row r="1806" spans="1:8" x14ac:dyDescent="0.35">
      <c r="A1806">
        <v>685</v>
      </c>
      <c r="B1806">
        <v>3</v>
      </c>
      <c r="C1806">
        <v>107</v>
      </c>
      <c r="D1806">
        <v>1</v>
      </c>
      <c r="E1806">
        <v>416.99</v>
      </c>
      <c r="F1806">
        <v>0.1</v>
      </c>
      <c r="G1806">
        <v>416.94</v>
      </c>
      <c r="H1806" t="s">
        <v>70</v>
      </c>
    </row>
    <row r="1807" spans="1:8" x14ac:dyDescent="0.35">
      <c r="A1807">
        <v>685</v>
      </c>
      <c r="B1807">
        <v>4</v>
      </c>
      <c r="C1807">
        <v>98</v>
      </c>
      <c r="D1807">
        <v>2</v>
      </c>
      <c r="E1807">
        <v>489.99</v>
      </c>
      <c r="F1807">
        <v>0.2</v>
      </c>
      <c r="G1807">
        <v>979.78</v>
      </c>
      <c r="H1807" t="s">
        <v>98</v>
      </c>
    </row>
    <row r="1808" spans="1:8" x14ac:dyDescent="0.35">
      <c r="A1808">
        <v>685</v>
      </c>
      <c r="B1808">
        <v>5</v>
      </c>
      <c r="C1808">
        <v>56</v>
      </c>
      <c r="D1808">
        <v>2</v>
      </c>
      <c r="E1808">
        <v>5499.99</v>
      </c>
      <c r="F1808">
        <v>0.1</v>
      </c>
      <c r="G1808">
        <v>10999.93</v>
      </c>
      <c r="H1808" t="s">
        <v>57</v>
      </c>
    </row>
    <row r="1809" spans="1:8" x14ac:dyDescent="0.35">
      <c r="A1809">
        <v>686</v>
      </c>
      <c r="B1809">
        <v>1</v>
      </c>
      <c r="C1809">
        <v>16</v>
      </c>
      <c r="D1809">
        <v>1</v>
      </c>
      <c r="E1809">
        <v>599.99</v>
      </c>
      <c r="F1809">
        <v>0.2</v>
      </c>
      <c r="G1809">
        <v>599.79</v>
      </c>
      <c r="H1809" t="s">
        <v>21</v>
      </c>
    </row>
    <row r="1810" spans="1:8" x14ac:dyDescent="0.35">
      <c r="A1810">
        <v>686</v>
      </c>
      <c r="B1810">
        <v>2</v>
      </c>
      <c r="C1810">
        <v>30</v>
      </c>
      <c r="D1810">
        <v>1</v>
      </c>
      <c r="E1810">
        <v>999.99</v>
      </c>
      <c r="F1810">
        <v>0.1</v>
      </c>
      <c r="G1810">
        <v>999.89</v>
      </c>
      <c r="H1810" t="s">
        <v>31</v>
      </c>
    </row>
    <row r="1811" spans="1:8" x14ac:dyDescent="0.35">
      <c r="A1811">
        <v>686</v>
      </c>
      <c r="B1811">
        <v>3</v>
      </c>
      <c r="C1811">
        <v>88</v>
      </c>
      <c r="D1811">
        <v>2</v>
      </c>
      <c r="E1811">
        <v>189.99</v>
      </c>
      <c r="F1811">
        <v>0.2</v>
      </c>
      <c r="G1811">
        <v>379.78</v>
      </c>
      <c r="H1811" t="s">
        <v>89</v>
      </c>
    </row>
    <row r="1812" spans="1:8" x14ac:dyDescent="0.35">
      <c r="A1812">
        <v>686</v>
      </c>
      <c r="B1812">
        <v>4</v>
      </c>
      <c r="C1812">
        <v>19</v>
      </c>
      <c r="D1812">
        <v>2</v>
      </c>
      <c r="E1812">
        <v>449</v>
      </c>
      <c r="F1812">
        <v>0.2</v>
      </c>
      <c r="G1812">
        <v>897.8</v>
      </c>
      <c r="H1812" t="s">
        <v>24</v>
      </c>
    </row>
    <row r="1813" spans="1:8" x14ac:dyDescent="0.35">
      <c r="A1813">
        <v>686</v>
      </c>
      <c r="B1813">
        <v>5</v>
      </c>
      <c r="C1813">
        <v>104</v>
      </c>
      <c r="D1813">
        <v>1</v>
      </c>
      <c r="E1813">
        <v>481.99</v>
      </c>
      <c r="F1813">
        <v>0.2</v>
      </c>
      <c r="G1813">
        <v>481.79</v>
      </c>
      <c r="H1813" t="s">
        <v>103</v>
      </c>
    </row>
    <row r="1814" spans="1:8" x14ac:dyDescent="0.35">
      <c r="A1814">
        <v>687</v>
      </c>
      <c r="B1814">
        <v>1</v>
      </c>
      <c r="C1814">
        <v>48</v>
      </c>
      <c r="D1814">
        <v>2</v>
      </c>
      <c r="E1814">
        <v>1499.99</v>
      </c>
      <c r="F1814">
        <v>0.1</v>
      </c>
      <c r="G1814">
        <v>2999.93</v>
      </c>
      <c r="H1814" t="s">
        <v>49</v>
      </c>
    </row>
    <row r="1815" spans="1:8" x14ac:dyDescent="0.35">
      <c r="A1815">
        <v>687</v>
      </c>
      <c r="B1815">
        <v>2</v>
      </c>
      <c r="C1815">
        <v>95</v>
      </c>
      <c r="D1815">
        <v>1</v>
      </c>
      <c r="E1815">
        <v>299.99</v>
      </c>
      <c r="F1815">
        <v>0.1</v>
      </c>
      <c r="G1815">
        <v>299.92</v>
      </c>
      <c r="H1815" t="s">
        <v>77</v>
      </c>
    </row>
    <row r="1816" spans="1:8" x14ac:dyDescent="0.35">
      <c r="A1816">
        <v>687</v>
      </c>
      <c r="B1816">
        <v>3</v>
      </c>
      <c r="C1816">
        <v>5</v>
      </c>
      <c r="D1816">
        <v>2</v>
      </c>
      <c r="E1816">
        <v>1320.99</v>
      </c>
      <c r="F1816">
        <v>0.2</v>
      </c>
      <c r="G1816">
        <v>2641.78</v>
      </c>
      <c r="H1816" t="s">
        <v>10</v>
      </c>
    </row>
    <row r="1817" spans="1:8" x14ac:dyDescent="0.35">
      <c r="A1817">
        <v>687</v>
      </c>
      <c r="B1817">
        <v>4</v>
      </c>
      <c r="C1817">
        <v>83</v>
      </c>
      <c r="D1817">
        <v>1</v>
      </c>
      <c r="E1817">
        <v>149.99</v>
      </c>
      <c r="F1817">
        <v>0.1</v>
      </c>
      <c r="G1817">
        <v>149.91999999999999</v>
      </c>
      <c r="H1817" t="s">
        <v>84</v>
      </c>
    </row>
    <row r="1818" spans="1:8" x14ac:dyDescent="0.35">
      <c r="A1818">
        <v>688</v>
      </c>
      <c r="B1818">
        <v>1</v>
      </c>
      <c r="C1818">
        <v>8</v>
      </c>
      <c r="D1818">
        <v>1</v>
      </c>
      <c r="E1818">
        <v>1799.99</v>
      </c>
      <c r="F1818">
        <v>0.1</v>
      </c>
      <c r="G1818">
        <v>1799.89</v>
      </c>
      <c r="H1818" t="s">
        <v>13</v>
      </c>
    </row>
    <row r="1819" spans="1:8" x14ac:dyDescent="0.35">
      <c r="A1819">
        <v>688</v>
      </c>
      <c r="B1819">
        <v>2</v>
      </c>
      <c r="C1819">
        <v>88</v>
      </c>
      <c r="D1819">
        <v>1</v>
      </c>
      <c r="E1819">
        <v>189.99</v>
      </c>
      <c r="F1819">
        <v>0.1</v>
      </c>
      <c r="G1819">
        <v>189.94</v>
      </c>
      <c r="H1819" t="s">
        <v>89</v>
      </c>
    </row>
    <row r="1820" spans="1:8" x14ac:dyDescent="0.35">
      <c r="A1820">
        <v>690</v>
      </c>
      <c r="B1820">
        <v>1</v>
      </c>
      <c r="C1820">
        <v>84</v>
      </c>
      <c r="D1820">
        <v>1</v>
      </c>
      <c r="E1820">
        <v>109.99</v>
      </c>
      <c r="F1820">
        <v>0.2</v>
      </c>
      <c r="G1820">
        <v>109.79</v>
      </c>
      <c r="H1820" t="s">
        <v>85</v>
      </c>
    </row>
    <row r="1821" spans="1:8" x14ac:dyDescent="0.35">
      <c r="A1821">
        <v>690</v>
      </c>
      <c r="B1821">
        <v>2</v>
      </c>
      <c r="C1821">
        <v>11</v>
      </c>
      <c r="D1821">
        <v>2</v>
      </c>
      <c r="E1821">
        <v>1680.99</v>
      </c>
      <c r="F1821">
        <v>0.1</v>
      </c>
      <c r="G1821">
        <v>3361.91</v>
      </c>
      <c r="H1821" t="s">
        <v>16</v>
      </c>
    </row>
    <row r="1822" spans="1:8" x14ac:dyDescent="0.35">
      <c r="A1822">
        <v>690</v>
      </c>
      <c r="B1822">
        <v>3</v>
      </c>
      <c r="C1822">
        <v>85</v>
      </c>
      <c r="D1822">
        <v>1</v>
      </c>
      <c r="E1822">
        <v>329.99</v>
      </c>
      <c r="F1822">
        <v>0.1</v>
      </c>
      <c r="G1822">
        <v>329.94</v>
      </c>
      <c r="H1822" t="s">
        <v>86</v>
      </c>
    </row>
    <row r="1823" spans="1:8" x14ac:dyDescent="0.35">
      <c r="A1823">
        <v>690</v>
      </c>
      <c r="B1823">
        <v>4</v>
      </c>
      <c r="C1823">
        <v>109</v>
      </c>
      <c r="D1823">
        <v>2</v>
      </c>
      <c r="E1823">
        <v>416.99</v>
      </c>
      <c r="F1823">
        <v>0.2</v>
      </c>
      <c r="G1823">
        <v>833.78</v>
      </c>
      <c r="H1823" t="s">
        <v>106</v>
      </c>
    </row>
    <row r="1824" spans="1:8" x14ac:dyDescent="0.35">
      <c r="A1824">
        <v>691</v>
      </c>
      <c r="B1824">
        <v>1</v>
      </c>
      <c r="C1824">
        <v>23</v>
      </c>
      <c r="D1824">
        <v>2</v>
      </c>
      <c r="E1824">
        <v>299.99</v>
      </c>
      <c r="F1824">
        <v>0.1</v>
      </c>
      <c r="G1824">
        <v>599.92999999999995</v>
      </c>
      <c r="H1824" t="s">
        <v>26</v>
      </c>
    </row>
    <row r="1825" spans="1:8" x14ac:dyDescent="0.35">
      <c r="A1825">
        <v>691</v>
      </c>
      <c r="B1825">
        <v>2</v>
      </c>
      <c r="C1825">
        <v>5</v>
      </c>
      <c r="D1825">
        <v>2</v>
      </c>
      <c r="E1825">
        <v>1320.99</v>
      </c>
      <c r="F1825">
        <v>0.1</v>
      </c>
      <c r="G1825">
        <v>2641.88</v>
      </c>
      <c r="H1825" t="s">
        <v>10</v>
      </c>
    </row>
    <row r="1826" spans="1:8" x14ac:dyDescent="0.35">
      <c r="A1826">
        <v>691</v>
      </c>
      <c r="B1826">
        <v>3</v>
      </c>
      <c r="C1826">
        <v>55</v>
      </c>
      <c r="D1826">
        <v>2</v>
      </c>
      <c r="E1826">
        <v>2699.99</v>
      </c>
      <c r="F1826">
        <v>0.2</v>
      </c>
      <c r="G1826">
        <v>5399.78</v>
      </c>
      <c r="H1826" t="s">
        <v>56</v>
      </c>
    </row>
    <row r="1827" spans="1:8" x14ac:dyDescent="0.35">
      <c r="A1827">
        <v>691</v>
      </c>
      <c r="B1827">
        <v>4</v>
      </c>
      <c r="C1827">
        <v>20</v>
      </c>
      <c r="D1827">
        <v>1</v>
      </c>
      <c r="E1827">
        <v>599.99</v>
      </c>
      <c r="F1827">
        <v>0.2</v>
      </c>
      <c r="G1827">
        <v>599.79</v>
      </c>
      <c r="H1827" t="s">
        <v>25</v>
      </c>
    </row>
    <row r="1828" spans="1:8" x14ac:dyDescent="0.35">
      <c r="A1828">
        <v>692</v>
      </c>
      <c r="B1828">
        <v>1</v>
      </c>
      <c r="C1828">
        <v>59</v>
      </c>
      <c r="D1828">
        <v>1</v>
      </c>
      <c r="E1828">
        <v>2599.9899999999998</v>
      </c>
      <c r="F1828">
        <v>0.2</v>
      </c>
      <c r="G1828">
        <v>2599.79</v>
      </c>
      <c r="H1828" t="s">
        <v>60</v>
      </c>
    </row>
    <row r="1829" spans="1:8" x14ac:dyDescent="0.35">
      <c r="A1829">
        <v>692</v>
      </c>
      <c r="B1829">
        <v>2</v>
      </c>
      <c r="C1829">
        <v>75</v>
      </c>
      <c r="D1829">
        <v>1</v>
      </c>
      <c r="E1829">
        <v>599.99</v>
      </c>
      <c r="F1829">
        <v>0.1</v>
      </c>
      <c r="G1829">
        <v>599.91999999999996</v>
      </c>
      <c r="H1829" t="s">
        <v>76</v>
      </c>
    </row>
    <row r="1830" spans="1:8" x14ac:dyDescent="0.35">
      <c r="A1830">
        <v>692</v>
      </c>
      <c r="B1830">
        <v>3</v>
      </c>
      <c r="C1830">
        <v>15</v>
      </c>
      <c r="D1830">
        <v>2</v>
      </c>
      <c r="E1830">
        <v>529.99</v>
      </c>
      <c r="F1830">
        <v>0.1</v>
      </c>
      <c r="G1830">
        <v>1059.9100000000001</v>
      </c>
      <c r="H1830" t="s">
        <v>20</v>
      </c>
    </row>
    <row r="1831" spans="1:8" x14ac:dyDescent="0.35">
      <c r="A1831">
        <v>692</v>
      </c>
      <c r="B1831">
        <v>4</v>
      </c>
      <c r="C1831">
        <v>56</v>
      </c>
      <c r="D1831">
        <v>2</v>
      </c>
      <c r="E1831">
        <v>5499.99</v>
      </c>
      <c r="F1831">
        <v>0.1</v>
      </c>
      <c r="G1831">
        <v>10999.88</v>
      </c>
      <c r="H1831" t="s">
        <v>57</v>
      </c>
    </row>
    <row r="1832" spans="1:8" x14ac:dyDescent="0.35">
      <c r="A1832">
        <v>693</v>
      </c>
      <c r="B1832">
        <v>1</v>
      </c>
      <c r="C1832">
        <v>104</v>
      </c>
      <c r="D1832">
        <v>2</v>
      </c>
      <c r="E1832">
        <v>481.99</v>
      </c>
      <c r="F1832">
        <v>0.2</v>
      </c>
      <c r="G1832">
        <v>963.78</v>
      </c>
      <c r="H1832" t="s">
        <v>103</v>
      </c>
    </row>
    <row r="1833" spans="1:8" x14ac:dyDescent="0.35">
      <c r="A1833">
        <v>693</v>
      </c>
      <c r="B1833">
        <v>2</v>
      </c>
      <c r="C1833">
        <v>13</v>
      </c>
      <c r="D1833">
        <v>1</v>
      </c>
      <c r="E1833">
        <v>269.99</v>
      </c>
      <c r="F1833">
        <v>0.2</v>
      </c>
      <c r="G1833">
        <v>269.79000000000002</v>
      </c>
      <c r="H1833" t="s">
        <v>18</v>
      </c>
    </row>
    <row r="1834" spans="1:8" x14ac:dyDescent="0.35">
      <c r="A1834">
        <v>693</v>
      </c>
      <c r="B1834">
        <v>3</v>
      </c>
      <c r="C1834">
        <v>5</v>
      </c>
      <c r="D1834">
        <v>2</v>
      </c>
      <c r="E1834">
        <v>1320.99</v>
      </c>
      <c r="F1834">
        <v>0.1</v>
      </c>
      <c r="G1834">
        <v>2641.93</v>
      </c>
      <c r="H1834" t="s">
        <v>10</v>
      </c>
    </row>
    <row r="1835" spans="1:8" x14ac:dyDescent="0.35">
      <c r="A1835">
        <v>693</v>
      </c>
      <c r="B1835">
        <v>4</v>
      </c>
      <c r="C1835">
        <v>31</v>
      </c>
      <c r="D1835">
        <v>1</v>
      </c>
      <c r="E1835">
        <v>1632.99</v>
      </c>
      <c r="F1835">
        <v>0.1</v>
      </c>
      <c r="G1835">
        <v>1632.92</v>
      </c>
      <c r="H1835" t="s">
        <v>32</v>
      </c>
    </row>
    <row r="1836" spans="1:8" x14ac:dyDescent="0.35">
      <c r="A1836">
        <v>694</v>
      </c>
      <c r="B1836">
        <v>1</v>
      </c>
      <c r="C1836">
        <v>48</v>
      </c>
      <c r="D1836">
        <v>1</v>
      </c>
      <c r="E1836">
        <v>1499.99</v>
      </c>
      <c r="F1836">
        <v>0.2</v>
      </c>
      <c r="G1836">
        <v>1499.79</v>
      </c>
      <c r="H1836" t="s">
        <v>49</v>
      </c>
    </row>
    <row r="1837" spans="1:8" x14ac:dyDescent="0.35">
      <c r="A1837">
        <v>694</v>
      </c>
      <c r="B1837">
        <v>2</v>
      </c>
      <c r="C1837">
        <v>39</v>
      </c>
      <c r="D1837">
        <v>1</v>
      </c>
      <c r="E1837">
        <v>1499.99</v>
      </c>
      <c r="F1837">
        <v>0.1</v>
      </c>
      <c r="G1837">
        <v>1499.94</v>
      </c>
      <c r="H1837" t="s">
        <v>40</v>
      </c>
    </row>
    <row r="1838" spans="1:8" x14ac:dyDescent="0.35">
      <c r="A1838">
        <v>694</v>
      </c>
      <c r="B1838">
        <v>3</v>
      </c>
      <c r="C1838">
        <v>55</v>
      </c>
      <c r="D1838">
        <v>2</v>
      </c>
      <c r="E1838">
        <v>2699.99</v>
      </c>
      <c r="F1838">
        <v>0.1</v>
      </c>
      <c r="G1838">
        <v>5399.88</v>
      </c>
      <c r="H1838" t="s">
        <v>56</v>
      </c>
    </row>
    <row r="1839" spans="1:8" x14ac:dyDescent="0.35">
      <c r="A1839">
        <v>694</v>
      </c>
      <c r="B1839">
        <v>4</v>
      </c>
      <c r="C1839">
        <v>103</v>
      </c>
      <c r="D1839">
        <v>2</v>
      </c>
      <c r="E1839">
        <v>551.99</v>
      </c>
      <c r="F1839">
        <v>0.2</v>
      </c>
      <c r="G1839">
        <v>1103.78</v>
      </c>
      <c r="H1839" t="s">
        <v>102</v>
      </c>
    </row>
    <row r="1840" spans="1:8" x14ac:dyDescent="0.35">
      <c r="A1840">
        <v>694</v>
      </c>
      <c r="B1840">
        <v>5</v>
      </c>
      <c r="C1840">
        <v>45</v>
      </c>
      <c r="D1840">
        <v>2</v>
      </c>
      <c r="E1840">
        <v>869.99</v>
      </c>
      <c r="F1840">
        <v>0.1</v>
      </c>
      <c r="G1840">
        <v>1739.88</v>
      </c>
      <c r="H1840" t="s">
        <v>46</v>
      </c>
    </row>
    <row r="1841" spans="1:8" x14ac:dyDescent="0.35">
      <c r="A1841">
        <v>695</v>
      </c>
      <c r="B1841">
        <v>1</v>
      </c>
      <c r="C1841">
        <v>82</v>
      </c>
      <c r="D1841">
        <v>2</v>
      </c>
      <c r="E1841">
        <v>659.99</v>
      </c>
      <c r="F1841">
        <v>0.1</v>
      </c>
      <c r="G1841">
        <v>1319.88</v>
      </c>
      <c r="H1841" t="s">
        <v>83</v>
      </c>
    </row>
    <row r="1842" spans="1:8" x14ac:dyDescent="0.35">
      <c r="A1842">
        <v>695</v>
      </c>
      <c r="B1842">
        <v>2</v>
      </c>
      <c r="C1842">
        <v>57</v>
      </c>
      <c r="D1842">
        <v>2</v>
      </c>
      <c r="E1842">
        <v>1999.99</v>
      </c>
      <c r="F1842">
        <v>0.2</v>
      </c>
      <c r="G1842">
        <v>3999.78</v>
      </c>
      <c r="H1842" t="s">
        <v>58</v>
      </c>
    </row>
    <row r="1843" spans="1:8" x14ac:dyDescent="0.35">
      <c r="A1843">
        <v>696</v>
      </c>
      <c r="B1843">
        <v>1</v>
      </c>
      <c r="C1843">
        <v>88</v>
      </c>
      <c r="D1843">
        <v>2</v>
      </c>
      <c r="E1843">
        <v>189.99</v>
      </c>
      <c r="F1843">
        <v>0.1</v>
      </c>
      <c r="G1843">
        <v>379.91</v>
      </c>
      <c r="H1843" t="s">
        <v>89</v>
      </c>
    </row>
    <row r="1844" spans="1:8" x14ac:dyDescent="0.35">
      <c r="A1844">
        <v>696</v>
      </c>
      <c r="B1844">
        <v>2</v>
      </c>
      <c r="C1844">
        <v>7</v>
      </c>
      <c r="D1844">
        <v>1</v>
      </c>
      <c r="E1844">
        <v>3999.99</v>
      </c>
      <c r="F1844">
        <v>0.1</v>
      </c>
      <c r="G1844">
        <v>3999.89</v>
      </c>
      <c r="H1844" t="s">
        <v>12</v>
      </c>
    </row>
    <row r="1845" spans="1:8" x14ac:dyDescent="0.35">
      <c r="A1845">
        <v>696</v>
      </c>
      <c r="B1845">
        <v>3</v>
      </c>
      <c r="C1845">
        <v>45</v>
      </c>
      <c r="D1845">
        <v>1</v>
      </c>
      <c r="E1845">
        <v>869.99</v>
      </c>
      <c r="F1845">
        <v>0.1</v>
      </c>
      <c r="G1845">
        <v>869.92</v>
      </c>
      <c r="H1845" t="s">
        <v>46</v>
      </c>
    </row>
    <row r="1846" spans="1:8" x14ac:dyDescent="0.35">
      <c r="A1846">
        <v>698</v>
      </c>
      <c r="B1846">
        <v>1</v>
      </c>
      <c r="C1846">
        <v>96</v>
      </c>
      <c r="D1846">
        <v>1</v>
      </c>
      <c r="E1846">
        <v>349.99</v>
      </c>
      <c r="F1846">
        <v>0.1</v>
      </c>
      <c r="G1846">
        <v>349.92</v>
      </c>
      <c r="H1846" t="s">
        <v>96</v>
      </c>
    </row>
    <row r="1847" spans="1:8" x14ac:dyDescent="0.35">
      <c r="A1847">
        <v>698</v>
      </c>
      <c r="B1847">
        <v>2</v>
      </c>
      <c r="C1847">
        <v>12</v>
      </c>
      <c r="D1847">
        <v>1</v>
      </c>
      <c r="E1847">
        <v>549.99</v>
      </c>
      <c r="F1847">
        <v>0.1</v>
      </c>
      <c r="G1847">
        <v>549.91999999999996</v>
      </c>
      <c r="H1847" t="s">
        <v>17</v>
      </c>
    </row>
    <row r="1848" spans="1:8" x14ac:dyDescent="0.35">
      <c r="A1848">
        <v>698</v>
      </c>
      <c r="B1848">
        <v>3</v>
      </c>
      <c r="C1848">
        <v>40</v>
      </c>
      <c r="D1848">
        <v>2</v>
      </c>
      <c r="E1848">
        <v>4999.99</v>
      </c>
      <c r="F1848">
        <v>0.1</v>
      </c>
      <c r="G1848">
        <v>9999.93</v>
      </c>
      <c r="H1848" t="s">
        <v>41</v>
      </c>
    </row>
    <row r="1849" spans="1:8" x14ac:dyDescent="0.35">
      <c r="A1849">
        <v>699</v>
      </c>
      <c r="B1849">
        <v>1</v>
      </c>
      <c r="C1849">
        <v>106</v>
      </c>
      <c r="D1849">
        <v>2</v>
      </c>
      <c r="E1849">
        <v>449.99</v>
      </c>
      <c r="F1849">
        <v>0.1</v>
      </c>
      <c r="G1849">
        <v>899.88</v>
      </c>
      <c r="H1849" t="s">
        <v>69</v>
      </c>
    </row>
    <row r="1850" spans="1:8" x14ac:dyDescent="0.35">
      <c r="A1850">
        <v>699</v>
      </c>
      <c r="B1850">
        <v>2</v>
      </c>
      <c r="C1850">
        <v>48</v>
      </c>
      <c r="D1850">
        <v>1</v>
      </c>
      <c r="E1850">
        <v>1499.99</v>
      </c>
      <c r="F1850">
        <v>0.1</v>
      </c>
      <c r="G1850">
        <v>1499.92</v>
      </c>
      <c r="H1850" t="s">
        <v>49</v>
      </c>
    </row>
    <row r="1851" spans="1:8" x14ac:dyDescent="0.35">
      <c r="A1851">
        <v>699</v>
      </c>
      <c r="B1851">
        <v>3</v>
      </c>
      <c r="C1851">
        <v>31</v>
      </c>
      <c r="D1851">
        <v>1</v>
      </c>
      <c r="E1851">
        <v>1632.99</v>
      </c>
      <c r="F1851">
        <v>0.2</v>
      </c>
      <c r="G1851">
        <v>1632.79</v>
      </c>
      <c r="H1851" t="s">
        <v>32</v>
      </c>
    </row>
    <row r="1852" spans="1:8" x14ac:dyDescent="0.35">
      <c r="A1852">
        <v>699</v>
      </c>
      <c r="B1852">
        <v>4</v>
      </c>
      <c r="C1852">
        <v>24</v>
      </c>
      <c r="D1852">
        <v>2</v>
      </c>
      <c r="E1852">
        <v>549.99</v>
      </c>
      <c r="F1852">
        <v>0.1</v>
      </c>
      <c r="G1852">
        <v>1099.8800000000001</v>
      </c>
      <c r="H1852" t="s">
        <v>17</v>
      </c>
    </row>
    <row r="1853" spans="1:8" x14ac:dyDescent="0.35">
      <c r="A1853">
        <v>699</v>
      </c>
      <c r="B1853">
        <v>5</v>
      </c>
      <c r="C1853">
        <v>82</v>
      </c>
      <c r="D1853">
        <v>2</v>
      </c>
      <c r="E1853">
        <v>659.99</v>
      </c>
      <c r="F1853">
        <v>0.2</v>
      </c>
      <c r="G1853">
        <v>1319.78</v>
      </c>
      <c r="H1853" t="s">
        <v>83</v>
      </c>
    </row>
    <row r="1854" spans="1:8" x14ac:dyDescent="0.35">
      <c r="A1854">
        <v>700</v>
      </c>
      <c r="B1854">
        <v>1</v>
      </c>
      <c r="C1854">
        <v>7</v>
      </c>
      <c r="D1854">
        <v>2</v>
      </c>
      <c r="E1854">
        <v>3999.99</v>
      </c>
      <c r="F1854">
        <v>0.1</v>
      </c>
      <c r="G1854">
        <v>7999.93</v>
      </c>
      <c r="H1854" t="s">
        <v>12</v>
      </c>
    </row>
    <row r="1855" spans="1:8" x14ac:dyDescent="0.35">
      <c r="A1855">
        <v>700</v>
      </c>
      <c r="B1855">
        <v>2</v>
      </c>
      <c r="C1855">
        <v>63</v>
      </c>
      <c r="D1855">
        <v>1</v>
      </c>
      <c r="E1855">
        <v>3499.99</v>
      </c>
      <c r="F1855">
        <v>0.2</v>
      </c>
      <c r="G1855">
        <v>3499.79</v>
      </c>
      <c r="H1855" t="s">
        <v>64</v>
      </c>
    </row>
    <row r="1856" spans="1:8" x14ac:dyDescent="0.35">
      <c r="A1856">
        <v>702</v>
      </c>
      <c r="B1856">
        <v>1</v>
      </c>
      <c r="C1856">
        <v>25</v>
      </c>
      <c r="D1856">
        <v>2</v>
      </c>
      <c r="E1856">
        <v>499.99</v>
      </c>
      <c r="F1856">
        <v>0.1</v>
      </c>
      <c r="G1856">
        <v>999.93</v>
      </c>
      <c r="H1856" t="s">
        <v>27</v>
      </c>
    </row>
    <row r="1857" spans="1:8" x14ac:dyDescent="0.35">
      <c r="A1857">
        <v>702</v>
      </c>
      <c r="B1857">
        <v>2</v>
      </c>
      <c r="C1857">
        <v>104</v>
      </c>
      <c r="D1857">
        <v>1</v>
      </c>
      <c r="E1857">
        <v>481.99</v>
      </c>
      <c r="F1857">
        <v>0.1</v>
      </c>
      <c r="G1857">
        <v>481.89</v>
      </c>
      <c r="H1857" t="s">
        <v>103</v>
      </c>
    </row>
    <row r="1858" spans="1:8" x14ac:dyDescent="0.35">
      <c r="A1858">
        <v>702</v>
      </c>
      <c r="B1858">
        <v>3</v>
      </c>
      <c r="C1858">
        <v>3</v>
      </c>
      <c r="D1858">
        <v>2</v>
      </c>
      <c r="E1858">
        <v>999.99</v>
      </c>
      <c r="F1858">
        <v>0.1</v>
      </c>
      <c r="G1858">
        <v>1999.91</v>
      </c>
      <c r="H1858" t="s">
        <v>8</v>
      </c>
    </row>
    <row r="1859" spans="1:8" x14ac:dyDescent="0.35">
      <c r="A1859">
        <v>703</v>
      </c>
      <c r="B1859">
        <v>1</v>
      </c>
      <c r="C1859">
        <v>45</v>
      </c>
      <c r="D1859">
        <v>2</v>
      </c>
      <c r="E1859">
        <v>869.99</v>
      </c>
      <c r="F1859">
        <v>0.2</v>
      </c>
      <c r="G1859">
        <v>1739.78</v>
      </c>
      <c r="H1859" t="s">
        <v>46</v>
      </c>
    </row>
    <row r="1860" spans="1:8" x14ac:dyDescent="0.35">
      <c r="A1860">
        <v>703</v>
      </c>
      <c r="B1860">
        <v>2</v>
      </c>
      <c r="C1860">
        <v>66</v>
      </c>
      <c r="D1860">
        <v>2</v>
      </c>
      <c r="E1860">
        <v>250.99</v>
      </c>
      <c r="F1860">
        <v>0.1</v>
      </c>
      <c r="G1860">
        <v>501.93</v>
      </c>
      <c r="H1860" t="s">
        <v>67</v>
      </c>
    </row>
    <row r="1861" spans="1:8" x14ac:dyDescent="0.35">
      <c r="A1861">
        <v>703</v>
      </c>
      <c r="B1861">
        <v>3</v>
      </c>
      <c r="C1861">
        <v>72</v>
      </c>
      <c r="D1861">
        <v>1</v>
      </c>
      <c r="E1861">
        <v>619.99</v>
      </c>
      <c r="F1861">
        <v>0.2</v>
      </c>
      <c r="G1861">
        <v>619.79</v>
      </c>
      <c r="H1861" t="s">
        <v>73</v>
      </c>
    </row>
    <row r="1862" spans="1:8" x14ac:dyDescent="0.35">
      <c r="A1862">
        <v>703</v>
      </c>
      <c r="B1862">
        <v>4</v>
      </c>
      <c r="C1862">
        <v>4</v>
      </c>
      <c r="D1862">
        <v>2</v>
      </c>
      <c r="E1862">
        <v>2899.99</v>
      </c>
      <c r="F1862">
        <v>0.2</v>
      </c>
      <c r="G1862">
        <v>5799.78</v>
      </c>
      <c r="H1862" t="s">
        <v>9</v>
      </c>
    </row>
    <row r="1863" spans="1:8" x14ac:dyDescent="0.35">
      <c r="A1863">
        <v>704</v>
      </c>
      <c r="B1863">
        <v>1</v>
      </c>
      <c r="C1863">
        <v>10</v>
      </c>
      <c r="D1863">
        <v>2</v>
      </c>
      <c r="E1863">
        <v>1549</v>
      </c>
      <c r="F1863">
        <v>0.1</v>
      </c>
      <c r="G1863">
        <v>3097.95</v>
      </c>
      <c r="H1863" t="s">
        <v>15</v>
      </c>
    </row>
    <row r="1864" spans="1:8" x14ac:dyDescent="0.35">
      <c r="A1864">
        <v>704</v>
      </c>
      <c r="B1864">
        <v>2</v>
      </c>
      <c r="C1864">
        <v>62</v>
      </c>
      <c r="D1864">
        <v>1</v>
      </c>
      <c r="E1864">
        <v>3499.99</v>
      </c>
      <c r="F1864">
        <v>0.2</v>
      </c>
      <c r="G1864">
        <v>3499.79</v>
      </c>
      <c r="H1864" t="s">
        <v>63</v>
      </c>
    </row>
    <row r="1865" spans="1:8" x14ac:dyDescent="0.35">
      <c r="A1865">
        <v>704</v>
      </c>
      <c r="B1865">
        <v>3</v>
      </c>
      <c r="C1865">
        <v>100</v>
      </c>
      <c r="D1865">
        <v>2</v>
      </c>
      <c r="E1865">
        <v>489.99</v>
      </c>
      <c r="F1865">
        <v>0.1</v>
      </c>
      <c r="G1865">
        <v>979.91</v>
      </c>
      <c r="H1865" t="s">
        <v>100</v>
      </c>
    </row>
    <row r="1866" spans="1:8" x14ac:dyDescent="0.35">
      <c r="A1866">
        <v>706</v>
      </c>
      <c r="B1866">
        <v>1</v>
      </c>
      <c r="C1866">
        <v>27</v>
      </c>
      <c r="D1866">
        <v>1</v>
      </c>
      <c r="E1866">
        <v>999.99</v>
      </c>
      <c r="F1866">
        <v>0.1</v>
      </c>
      <c r="G1866">
        <v>999.89</v>
      </c>
      <c r="H1866" t="s">
        <v>28</v>
      </c>
    </row>
    <row r="1867" spans="1:8" x14ac:dyDescent="0.35">
      <c r="A1867">
        <v>706</v>
      </c>
      <c r="B1867">
        <v>2</v>
      </c>
      <c r="C1867">
        <v>23</v>
      </c>
      <c r="D1867">
        <v>2</v>
      </c>
      <c r="E1867">
        <v>299.99</v>
      </c>
      <c r="F1867">
        <v>0.1</v>
      </c>
      <c r="G1867">
        <v>599.92999999999995</v>
      </c>
      <c r="H1867" t="s">
        <v>26</v>
      </c>
    </row>
    <row r="1868" spans="1:8" x14ac:dyDescent="0.35">
      <c r="A1868">
        <v>706</v>
      </c>
      <c r="B1868">
        <v>3</v>
      </c>
      <c r="C1868">
        <v>60</v>
      </c>
      <c r="D1868">
        <v>1</v>
      </c>
      <c r="E1868">
        <v>1559.99</v>
      </c>
      <c r="F1868">
        <v>0.2</v>
      </c>
      <c r="G1868">
        <v>1559.79</v>
      </c>
      <c r="H1868" t="s">
        <v>61</v>
      </c>
    </row>
    <row r="1869" spans="1:8" x14ac:dyDescent="0.35">
      <c r="A1869">
        <v>707</v>
      </c>
      <c r="B1869">
        <v>1</v>
      </c>
      <c r="C1869">
        <v>106</v>
      </c>
      <c r="D1869">
        <v>2</v>
      </c>
      <c r="E1869">
        <v>449.99</v>
      </c>
      <c r="F1869">
        <v>0.1</v>
      </c>
      <c r="G1869">
        <v>899.93</v>
      </c>
      <c r="H1869" t="s">
        <v>69</v>
      </c>
    </row>
    <row r="1870" spans="1:8" x14ac:dyDescent="0.35">
      <c r="A1870">
        <v>707</v>
      </c>
      <c r="B1870">
        <v>2</v>
      </c>
      <c r="C1870">
        <v>100</v>
      </c>
      <c r="D1870">
        <v>1</v>
      </c>
      <c r="E1870">
        <v>489.99</v>
      </c>
      <c r="F1870">
        <v>0.1</v>
      </c>
      <c r="G1870">
        <v>489.92</v>
      </c>
      <c r="H1870" t="s">
        <v>100</v>
      </c>
    </row>
    <row r="1871" spans="1:8" x14ac:dyDescent="0.35">
      <c r="A1871">
        <v>707</v>
      </c>
      <c r="B1871">
        <v>3</v>
      </c>
      <c r="C1871">
        <v>11</v>
      </c>
      <c r="D1871">
        <v>2</v>
      </c>
      <c r="E1871">
        <v>1680.99</v>
      </c>
      <c r="F1871">
        <v>0.1</v>
      </c>
      <c r="G1871">
        <v>3361.88</v>
      </c>
      <c r="H1871" t="s">
        <v>16</v>
      </c>
    </row>
    <row r="1872" spans="1:8" x14ac:dyDescent="0.35">
      <c r="A1872">
        <v>707</v>
      </c>
      <c r="B1872">
        <v>4</v>
      </c>
      <c r="C1872">
        <v>26</v>
      </c>
      <c r="D1872">
        <v>2</v>
      </c>
      <c r="E1872">
        <v>599.99</v>
      </c>
      <c r="F1872">
        <v>0.1</v>
      </c>
      <c r="G1872">
        <v>1199.8800000000001</v>
      </c>
      <c r="H1872" t="s">
        <v>21</v>
      </c>
    </row>
    <row r="1873" spans="1:8" x14ac:dyDescent="0.35">
      <c r="A1873">
        <v>708</v>
      </c>
      <c r="B1873">
        <v>1</v>
      </c>
      <c r="C1873">
        <v>6</v>
      </c>
      <c r="D1873">
        <v>1</v>
      </c>
      <c r="E1873">
        <v>469.99</v>
      </c>
      <c r="F1873">
        <v>0.1</v>
      </c>
      <c r="G1873">
        <v>469.92</v>
      </c>
      <c r="H1873" t="s">
        <v>11</v>
      </c>
    </row>
    <row r="1874" spans="1:8" x14ac:dyDescent="0.35">
      <c r="A1874">
        <v>708</v>
      </c>
      <c r="B1874">
        <v>2</v>
      </c>
      <c r="C1874">
        <v>47</v>
      </c>
      <c r="D1874">
        <v>1</v>
      </c>
      <c r="E1874">
        <v>5299.99</v>
      </c>
      <c r="F1874">
        <v>0.1</v>
      </c>
      <c r="G1874">
        <v>5299.89</v>
      </c>
      <c r="H1874" t="s">
        <v>48</v>
      </c>
    </row>
    <row r="1875" spans="1:8" x14ac:dyDescent="0.35">
      <c r="A1875">
        <v>708</v>
      </c>
      <c r="B1875">
        <v>3</v>
      </c>
      <c r="C1875">
        <v>34</v>
      </c>
      <c r="D1875">
        <v>2</v>
      </c>
      <c r="E1875">
        <v>469.99</v>
      </c>
      <c r="F1875">
        <v>0.2</v>
      </c>
      <c r="G1875">
        <v>939.78</v>
      </c>
      <c r="H1875" t="s">
        <v>35</v>
      </c>
    </row>
    <row r="1876" spans="1:8" x14ac:dyDescent="0.35">
      <c r="A1876">
        <v>709</v>
      </c>
      <c r="B1876">
        <v>1</v>
      </c>
      <c r="C1876">
        <v>55</v>
      </c>
      <c r="D1876">
        <v>2</v>
      </c>
      <c r="E1876">
        <v>2699.99</v>
      </c>
      <c r="F1876">
        <v>0.1</v>
      </c>
      <c r="G1876">
        <v>5399.93</v>
      </c>
      <c r="H1876" t="s">
        <v>56</v>
      </c>
    </row>
    <row r="1877" spans="1:8" x14ac:dyDescent="0.35">
      <c r="A1877">
        <v>709</v>
      </c>
      <c r="B1877">
        <v>2</v>
      </c>
      <c r="C1877">
        <v>101</v>
      </c>
      <c r="D1877">
        <v>2</v>
      </c>
      <c r="E1877">
        <v>339.99</v>
      </c>
      <c r="F1877">
        <v>0.1</v>
      </c>
      <c r="G1877">
        <v>679.91</v>
      </c>
      <c r="H1877" t="s">
        <v>101</v>
      </c>
    </row>
    <row r="1878" spans="1:8" x14ac:dyDescent="0.35">
      <c r="A1878">
        <v>709</v>
      </c>
      <c r="B1878">
        <v>3</v>
      </c>
      <c r="C1878">
        <v>48</v>
      </c>
      <c r="D1878">
        <v>1</v>
      </c>
      <c r="E1878">
        <v>1499.99</v>
      </c>
      <c r="F1878">
        <v>0.1</v>
      </c>
      <c r="G1878">
        <v>1499.92</v>
      </c>
      <c r="H1878" t="s">
        <v>49</v>
      </c>
    </row>
    <row r="1879" spans="1:8" x14ac:dyDescent="0.35">
      <c r="A1879">
        <v>710</v>
      </c>
      <c r="B1879">
        <v>1</v>
      </c>
      <c r="C1879">
        <v>42</v>
      </c>
      <c r="D1879">
        <v>1</v>
      </c>
      <c r="E1879">
        <v>2299.9899999999998</v>
      </c>
      <c r="F1879">
        <v>0.1</v>
      </c>
      <c r="G1879">
        <v>2299.94</v>
      </c>
      <c r="H1879" t="s">
        <v>43</v>
      </c>
    </row>
    <row r="1880" spans="1:8" x14ac:dyDescent="0.35">
      <c r="A1880">
        <v>710</v>
      </c>
      <c r="B1880">
        <v>2</v>
      </c>
      <c r="C1880">
        <v>60</v>
      </c>
      <c r="D1880">
        <v>2</v>
      </c>
      <c r="E1880">
        <v>1559.99</v>
      </c>
      <c r="F1880">
        <v>0.2</v>
      </c>
      <c r="G1880">
        <v>3119.78</v>
      </c>
      <c r="H1880" t="s">
        <v>61</v>
      </c>
    </row>
    <row r="1881" spans="1:8" x14ac:dyDescent="0.35">
      <c r="A1881">
        <v>710</v>
      </c>
      <c r="B1881">
        <v>3</v>
      </c>
      <c r="C1881">
        <v>39</v>
      </c>
      <c r="D1881">
        <v>2</v>
      </c>
      <c r="E1881">
        <v>1499.99</v>
      </c>
      <c r="F1881">
        <v>0.2</v>
      </c>
      <c r="G1881">
        <v>2999.78</v>
      </c>
      <c r="H1881" t="s">
        <v>40</v>
      </c>
    </row>
    <row r="1882" spans="1:8" x14ac:dyDescent="0.35">
      <c r="A1882">
        <v>710</v>
      </c>
      <c r="B1882">
        <v>4</v>
      </c>
      <c r="C1882">
        <v>57</v>
      </c>
      <c r="D1882">
        <v>1</v>
      </c>
      <c r="E1882">
        <v>1999.99</v>
      </c>
      <c r="F1882">
        <v>0.2</v>
      </c>
      <c r="G1882">
        <v>1999.79</v>
      </c>
      <c r="H1882" t="s">
        <v>58</v>
      </c>
    </row>
    <row r="1883" spans="1:8" x14ac:dyDescent="0.35">
      <c r="A1883">
        <v>710</v>
      </c>
      <c r="B1883">
        <v>5</v>
      </c>
      <c r="C1883">
        <v>28</v>
      </c>
      <c r="D1883">
        <v>1</v>
      </c>
      <c r="E1883">
        <v>2499.9899999999998</v>
      </c>
      <c r="F1883">
        <v>0.1</v>
      </c>
      <c r="G1883">
        <v>2499.94</v>
      </c>
      <c r="H1883" t="s">
        <v>29</v>
      </c>
    </row>
    <row r="1884" spans="1:8" x14ac:dyDescent="0.35">
      <c r="A1884">
        <v>711</v>
      </c>
      <c r="B1884">
        <v>1</v>
      </c>
      <c r="C1884">
        <v>5</v>
      </c>
      <c r="D1884">
        <v>2</v>
      </c>
      <c r="E1884">
        <v>1320.99</v>
      </c>
      <c r="F1884">
        <v>0.1</v>
      </c>
      <c r="G1884">
        <v>2641.93</v>
      </c>
      <c r="H1884" t="s">
        <v>10</v>
      </c>
    </row>
    <row r="1885" spans="1:8" x14ac:dyDescent="0.35">
      <c r="A1885">
        <v>711</v>
      </c>
      <c r="B1885">
        <v>2</v>
      </c>
      <c r="C1885">
        <v>95</v>
      </c>
      <c r="D1885">
        <v>2</v>
      </c>
      <c r="E1885">
        <v>299.99</v>
      </c>
      <c r="F1885">
        <v>0.2</v>
      </c>
      <c r="G1885">
        <v>599.78</v>
      </c>
      <c r="H1885" t="s">
        <v>77</v>
      </c>
    </row>
    <row r="1886" spans="1:8" x14ac:dyDescent="0.35">
      <c r="A1886">
        <v>711</v>
      </c>
      <c r="B1886">
        <v>3</v>
      </c>
      <c r="C1886">
        <v>72</v>
      </c>
      <c r="D1886">
        <v>2</v>
      </c>
      <c r="E1886">
        <v>619.99</v>
      </c>
      <c r="F1886">
        <v>0.1</v>
      </c>
      <c r="G1886">
        <v>1239.93</v>
      </c>
      <c r="H1886" t="s">
        <v>73</v>
      </c>
    </row>
    <row r="1887" spans="1:8" x14ac:dyDescent="0.35">
      <c r="A1887">
        <v>712</v>
      </c>
      <c r="B1887">
        <v>1</v>
      </c>
      <c r="C1887">
        <v>44</v>
      </c>
      <c r="D1887">
        <v>2</v>
      </c>
      <c r="E1887">
        <v>539.99</v>
      </c>
      <c r="F1887">
        <v>0.2</v>
      </c>
      <c r="G1887">
        <v>1079.78</v>
      </c>
      <c r="H1887" t="s">
        <v>45</v>
      </c>
    </row>
    <row r="1888" spans="1:8" x14ac:dyDescent="0.35">
      <c r="A1888">
        <v>712</v>
      </c>
      <c r="B1888">
        <v>2</v>
      </c>
      <c r="C1888">
        <v>74</v>
      </c>
      <c r="D1888">
        <v>2</v>
      </c>
      <c r="E1888">
        <v>439.99</v>
      </c>
      <c r="F1888">
        <v>0.1</v>
      </c>
      <c r="G1888">
        <v>879.88</v>
      </c>
      <c r="H1888" t="s">
        <v>75</v>
      </c>
    </row>
    <row r="1889" spans="1:8" x14ac:dyDescent="0.35">
      <c r="A1889">
        <v>712</v>
      </c>
      <c r="B1889">
        <v>3</v>
      </c>
      <c r="C1889">
        <v>35</v>
      </c>
      <c r="D1889">
        <v>1</v>
      </c>
      <c r="E1889">
        <v>832.99</v>
      </c>
      <c r="F1889">
        <v>0.2</v>
      </c>
      <c r="G1889">
        <v>832.79</v>
      </c>
      <c r="H1889" t="s">
        <v>36</v>
      </c>
    </row>
    <row r="1890" spans="1:8" x14ac:dyDescent="0.35">
      <c r="A1890">
        <v>712</v>
      </c>
      <c r="B1890">
        <v>4</v>
      </c>
      <c r="C1890">
        <v>76</v>
      </c>
      <c r="D1890">
        <v>1</v>
      </c>
      <c r="E1890">
        <v>299.99</v>
      </c>
      <c r="F1890">
        <v>0.2</v>
      </c>
      <c r="G1890">
        <v>299.79000000000002</v>
      </c>
      <c r="H1890" t="s">
        <v>77</v>
      </c>
    </row>
    <row r="1891" spans="1:8" x14ac:dyDescent="0.35">
      <c r="A1891">
        <v>712</v>
      </c>
      <c r="B1891">
        <v>5</v>
      </c>
      <c r="C1891">
        <v>4</v>
      </c>
      <c r="D1891">
        <v>2</v>
      </c>
      <c r="E1891">
        <v>2899.99</v>
      </c>
      <c r="F1891">
        <v>0.1</v>
      </c>
      <c r="G1891">
        <v>5799.93</v>
      </c>
      <c r="H1891" t="s">
        <v>9</v>
      </c>
    </row>
    <row r="1892" spans="1:8" x14ac:dyDescent="0.35">
      <c r="A1892">
        <v>713</v>
      </c>
      <c r="B1892">
        <v>1</v>
      </c>
      <c r="C1892">
        <v>93</v>
      </c>
      <c r="D1892">
        <v>2</v>
      </c>
      <c r="E1892">
        <v>209.99</v>
      </c>
      <c r="F1892">
        <v>0.2</v>
      </c>
      <c r="G1892">
        <v>419.78</v>
      </c>
      <c r="H1892" t="s">
        <v>94</v>
      </c>
    </row>
    <row r="1893" spans="1:8" x14ac:dyDescent="0.35">
      <c r="A1893">
        <v>713</v>
      </c>
      <c r="B1893">
        <v>2</v>
      </c>
      <c r="C1893">
        <v>97</v>
      </c>
      <c r="D1893">
        <v>2</v>
      </c>
      <c r="E1893">
        <v>349.99</v>
      </c>
      <c r="F1893">
        <v>0.1</v>
      </c>
      <c r="G1893">
        <v>699.88</v>
      </c>
      <c r="H1893" t="s">
        <v>97</v>
      </c>
    </row>
    <row r="1894" spans="1:8" x14ac:dyDescent="0.35">
      <c r="A1894">
        <v>713</v>
      </c>
      <c r="B1894">
        <v>3</v>
      </c>
      <c r="C1894">
        <v>53</v>
      </c>
      <c r="D1894">
        <v>1</v>
      </c>
      <c r="E1894">
        <v>749.99</v>
      </c>
      <c r="F1894">
        <v>0.1</v>
      </c>
      <c r="G1894">
        <v>749.92</v>
      </c>
      <c r="H1894" t="s">
        <v>54</v>
      </c>
    </row>
    <row r="1895" spans="1:8" x14ac:dyDescent="0.35">
      <c r="A1895">
        <v>713</v>
      </c>
      <c r="B1895">
        <v>4</v>
      </c>
      <c r="C1895">
        <v>108</v>
      </c>
      <c r="D1895">
        <v>2</v>
      </c>
      <c r="E1895">
        <v>449.99</v>
      </c>
      <c r="F1895">
        <v>0.1</v>
      </c>
      <c r="G1895">
        <v>899.91</v>
      </c>
      <c r="H1895" t="s">
        <v>105</v>
      </c>
    </row>
    <row r="1896" spans="1:8" x14ac:dyDescent="0.35">
      <c r="A1896">
        <v>715</v>
      </c>
      <c r="B1896">
        <v>1</v>
      </c>
      <c r="C1896">
        <v>61</v>
      </c>
      <c r="D1896">
        <v>2</v>
      </c>
      <c r="E1896">
        <v>4999.99</v>
      </c>
      <c r="F1896">
        <v>0.1</v>
      </c>
      <c r="G1896">
        <v>9999.8799999999992</v>
      </c>
      <c r="H1896" t="s">
        <v>62</v>
      </c>
    </row>
    <row r="1897" spans="1:8" x14ac:dyDescent="0.35">
      <c r="A1897">
        <v>715</v>
      </c>
      <c r="B1897">
        <v>2</v>
      </c>
      <c r="C1897">
        <v>50</v>
      </c>
      <c r="D1897">
        <v>1</v>
      </c>
      <c r="E1897">
        <v>5999.99</v>
      </c>
      <c r="F1897">
        <v>0.2</v>
      </c>
      <c r="G1897">
        <v>5999.79</v>
      </c>
      <c r="H1897" t="s">
        <v>51</v>
      </c>
    </row>
    <row r="1898" spans="1:8" x14ac:dyDescent="0.35">
      <c r="A1898">
        <v>716</v>
      </c>
      <c r="B1898">
        <v>1</v>
      </c>
      <c r="C1898">
        <v>111</v>
      </c>
      <c r="D1898">
        <v>2</v>
      </c>
      <c r="E1898">
        <v>470.99</v>
      </c>
      <c r="F1898">
        <v>0.1</v>
      </c>
      <c r="G1898">
        <v>941.88</v>
      </c>
      <c r="H1898" t="s">
        <v>108</v>
      </c>
    </row>
    <row r="1899" spans="1:8" x14ac:dyDescent="0.35">
      <c r="A1899">
        <v>716</v>
      </c>
      <c r="B1899">
        <v>2</v>
      </c>
      <c r="C1899">
        <v>93</v>
      </c>
      <c r="D1899">
        <v>2</v>
      </c>
      <c r="E1899">
        <v>209.99</v>
      </c>
      <c r="F1899">
        <v>0.1</v>
      </c>
      <c r="G1899">
        <v>419.91</v>
      </c>
      <c r="H1899" t="s">
        <v>94</v>
      </c>
    </row>
    <row r="1900" spans="1:8" x14ac:dyDescent="0.35">
      <c r="A1900">
        <v>716</v>
      </c>
      <c r="B1900">
        <v>3</v>
      </c>
      <c r="C1900">
        <v>79</v>
      </c>
      <c r="D1900">
        <v>1</v>
      </c>
      <c r="E1900">
        <v>402.99</v>
      </c>
      <c r="F1900">
        <v>0.1</v>
      </c>
      <c r="G1900">
        <v>402.89</v>
      </c>
      <c r="H1900" t="s">
        <v>80</v>
      </c>
    </row>
    <row r="1901" spans="1:8" x14ac:dyDescent="0.35">
      <c r="A1901">
        <v>716</v>
      </c>
      <c r="B1901">
        <v>4</v>
      </c>
      <c r="C1901">
        <v>4</v>
      </c>
      <c r="D1901">
        <v>2</v>
      </c>
      <c r="E1901">
        <v>2899.99</v>
      </c>
      <c r="F1901">
        <v>0.1</v>
      </c>
      <c r="G1901">
        <v>5799.93</v>
      </c>
      <c r="H1901" t="s">
        <v>9</v>
      </c>
    </row>
    <row r="1902" spans="1:8" x14ac:dyDescent="0.35">
      <c r="A1902">
        <v>717</v>
      </c>
      <c r="B1902">
        <v>1</v>
      </c>
      <c r="C1902">
        <v>56</v>
      </c>
      <c r="D1902">
        <v>2</v>
      </c>
      <c r="E1902">
        <v>5499.99</v>
      </c>
      <c r="F1902">
        <v>0.1</v>
      </c>
      <c r="G1902">
        <v>10999.93</v>
      </c>
      <c r="H1902" t="s">
        <v>57</v>
      </c>
    </row>
    <row r="1903" spans="1:8" x14ac:dyDescent="0.35">
      <c r="A1903">
        <v>717</v>
      </c>
      <c r="B1903">
        <v>2</v>
      </c>
      <c r="C1903">
        <v>93</v>
      </c>
      <c r="D1903">
        <v>1</v>
      </c>
      <c r="E1903">
        <v>209.99</v>
      </c>
      <c r="F1903">
        <v>0.2</v>
      </c>
      <c r="G1903">
        <v>209.79</v>
      </c>
      <c r="H1903" t="s">
        <v>94</v>
      </c>
    </row>
    <row r="1904" spans="1:8" x14ac:dyDescent="0.35">
      <c r="A1904">
        <v>718</v>
      </c>
      <c r="B1904">
        <v>1</v>
      </c>
      <c r="C1904">
        <v>92</v>
      </c>
      <c r="D1904">
        <v>2</v>
      </c>
      <c r="E1904">
        <v>209.99</v>
      </c>
      <c r="F1904">
        <v>0.1</v>
      </c>
      <c r="G1904">
        <v>419.91</v>
      </c>
      <c r="H1904" t="s">
        <v>93</v>
      </c>
    </row>
    <row r="1905" spans="1:8" x14ac:dyDescent="0.35">
      <c r="A1905">
        <v>718</v>
      </c>
      <c r="B1905">
        <v>2</v>
      </c>
      <c r="C1905">
        <v>40</v>
      </c>
      <c r="D1905">
        <v>2</v>
      </c>
      <c r="E1905">
        <v>4999.99</v>
      </c>
      <c r="F1905">
        <v>0.1</v>
      </c>
      <c r="G1905">
        <v>9999.91</v>
      </c>
      <c r="H1905" t="s">
        <v>41</v>
      </c>
    </row>
    <row r="1906" spans="1:8" x14ac:dyDescent="0.35">
      <c r="A1906">
        <v>718</v>
      </c>
      <c r="B1906">
        <v>3</v>
      </c>
      <c r="C1906">
        <v>64</v>
      </c>
      <c r="D1906">
        <v>2</v>
      </c>
      <c r="E1906">
        <v>489.99</v>
      </c>
      <c r="F1906">
        <v>0.1</v>
      </c>
      <c r="G1906">
        <v>979.88</v>
      </c>
      <c r="H1906" t="s">
        <v>65</v>
      </c>
    </row>
    <row r="1907" spans="1:8" x14ac:dyDescent="0.35">
      <c r="A1907">
        <v>720</v>
      </c>
      <c r="B1907">
        <v>1</v>
      </c>
      <c r="C1907">
        <v>111</v>
      </c>
      <c r="D1907">
        <v>1</v>
      </c>
      <c r="E1907">
        <v>470.99</v>
      </c>
      <c r="F1907">
        <v>0.1</v>
      </c>
      <c r="G1907">
        <v>470.92</v>
      </c>
      <c r="H1907" t="s">
        <v>108</v>
      </c>
    </row>
    <row r="1908" spans="1:8" x14ac:dyDescent="0.35">
      <c r="A1908">
        <v>720</v>
      </c>
      <c r="B1908">
        <v>2</v>
      </c>
      <c r="C1908">
        <v>6</v>
      </c>
      <c r="D1908">
        <v>1</v>
      </c>
      <c r="E1908">
        <v>469.99</v>
      </c>
      <c r="F1908">
        <v>0.1</v>
      </c>
      <c r="G1908">
        <v>469.89</v>
      </c>
      <c r="H1908" t="s">
        <v>11</v>
      </c>
    </row>
    <row r="1909" spans="1:8" x14ac:dyDescent="0.35">
      <c r="A1909">
        <v>721</v>
      </c>
      <c r="B1909">
        <v>1</v>
      </c>
      <c r="C1909">
        <v>45</v>
      </c>
      <c r="D1909">
        <v>2</v>
      </c>
      <c r="E1909">
        <v>869.99</v>
      </c>
      <c r="F1909">
        <v>0.1</v>
      </c>
      <c r="G1909">
        <v>1739.91</v>
      </c>
      <c r="H1909" t="s">
        <v>46</v>
      </c>
    </row>
    <row r="1910" spans="1:8" x14ac:dyDescent="0.35">
      <c r="A1910">
        <v>721</v>
      </c>
      <c r="B1910">
        <v>2</v>
      </c>
      <c r="C1910">
        <v>102</v>
      </c>
      <c r="D1910">
        <v>1</v>
      </c>
      <c r="E1910">
        <v>489.99</v>
      </c>
      <c r="F1910">
        <v>0.1</v>
      </c>
      <c r="G1910">
        <v>489.89</v>
      </c>
      <c r="H1910" t="s">
        <v>65</v>
      </c>
    </row>
    <row r="1911" spans="1:8" x14ac:dyDescent="0.35">
      <c r="A1911">
        <v>721</v>
      </c>
      <c r="B1911">
        <v>3</v>
      </c>
      <c r="C1911">
        <v>73</v>
      </c>
      <c r="D1911">
        <v>2</v>
      </c>
      <c r="E1911">
        <v>749.99</v>
      </c>
      <c r="F1911">
        <v>0.1</v>
      </c>
      <c r="G1911">
        <v>1499.93</v>
      </c>
      <c r="H1911" t="s">
        <v>74</v>
      </c>
    </row>
    <row r="1912" spans="1:8" x14ac:dyDescent="0.35">
      <c r="A1912">
        <v>721</v>
      </c>
      <c r="B1912">
        <v>4</v>
      </c>
      <c r="C1912">
        <v>33</v>
      </c>
      <c r="D1912">
        <v>1</v>
      </c>
      <c r="E1912">
        <v>469.99</v>
      </c>
      <c r="F1912">
        <v>0.2</v>
      </c>
      <c r="G1912">
        <v>469.79</v>
      </c>
      <c r="H1912" t="s">
        <v>34</v>
      </c>
    </row>
    <row r="1913" spans="1:8" x14ac:dyDescent="0.35">
      <c r="A1913">
        <v>722</v>
      </c>
      <c r="B1913">
        <v>1</v>
      </c>
      <c r="C1913">
        <v>22</v>
      </c>
      <c r="D1913">
        <v>2</v>
      </c>
      <c r="E1913">
        <v>269.99</v>
      </c>
      <c r="F1913">
        <v>0.1</v>
      </c>
      <c r="G1913">
        <v>539.91</v>
      </c>
      <c r="H1913" t="s">
        <v>19</v>
      </c>
    </row>
    <row r="1914" spans="1:8" x14ac:dyDescent="0.35">
      <c r="A1914">
        <v>722</v>
      </c>
      <c r="B1914">
        <v>2</v>
      </c>
      <c r="C1914">
        <v>3</v>
      </c>
      <c r="D1914">
        <v>1</v>
      </c>
      <c r="E1914">
        <v>999.99</v>
      </c>
      <c r="F1914">
        <v>0.1</v>
      </c>
      <c r="G1914">
        <v>999.94</v>
      </c>
      <c r="H1914" t="s">
        <v>8</v>
      </c>
    </row>
    <row r="1915" spans="1:8" x14ac:dyDescent="0.35">
      <c r="A1915">
        <v>722</v>
      </c>
      <c r="B1915">
        <v>3</v>
      </c>
      <c r="C1915">
        <v>104</v>
      </c>
      <c r="D1915">
        <v>2</v>
      </c>
      <c r="E1915">
        <v>481.99</v>
      </c>
      <c r="F1915">
        <v>0.1</v>
      </c>
      <c r="G1915">
        <v>963.88</v>
      </c>
      <c r="H1915" t="s">
        <v>103</v>
      </c>
    </row>
    <row r="1916" spans="1:8" x14ac:dyDescent="0.35">
      <c r="A1916">
        <v>723</v>
      </c>
      <c r="B1916">
        <v>1</v>
      </c>
      <c r="C1916">
        <v>24</v>
      </c>
      <c r="D1916">
        <v>2</v>
      </c>
      <c r="E1916">
        <v>549.99</v>
      </c>
      <c r="F1916">
        <v>0.1</v>
      </c>
      <c r="G1916">
        <v>1099.9100000000001</v>
      </c>
      <c r="H1916" t="s">
        <v>17</v>
      </c>
    </row>
    <row r="1917" spans="1:8" x14ac:dyDescent="0.35">
      <c r="A1917">
        <v>723</v>
      </c>
      <c r="B1917">
        <v>2</v>
      </c>
      <c r="C1917">
        <v>16</v>
      </c>
      <c r="D1917">
        <v>1</v>
      </c>
      <c r="E1917">
        <v>599.99</v>
      </c>
      <c r="F1917">
        <v>0.1</v>
      </c>
      <c r="G1917">
        <v>599.94000000000005</v>
      </c>
      <c r="H1917" t="s">
        <v>21</v>
      </c>
    </row>
    <row r="1918" spans="1:8" x14ac:dyDescent="0.35">
      <c r="A1918">
        <v>723</v>
      </c>
      <c r="B1918">
        <v>3</v>
      </c>
      <c r="C1918">
        <v>108</v>
      </c>
      <c r="D1918">
        <v>1</v>
      </c>
      <c r="E1918">
        <v>449.99</v>
      </c>
      <c r="F1918">
        <v>0.1</v>
      </c>
      <c r="G1918">
        <v>449.92</v>
      </c>
      <c r="H1918" t="s">
        <v>105</v>
      </c>
    </row>
    <row r="1919" spans="1:8" x14ac:dyDescent="0.35">
      <c r="A1919">
        <v>724</v>
      </c>
      <c r="B1919">
        <v>1</v>
      </c>
      <c r="C1919">
        <v>23</v>
      </c>
      <c r="D1919">
        <v>1</v>
      </c>
      <c r="E1919">
        <v>299.99</v>
      </c>
      <c r="F1919">
        <v>0.1</v>
      </c>
      <c r="G1919">
        <v>299.94</v>
      </c>
      <c r="H1919" t="s">
        <v>26</v>
      </c>
    </row>
    <row r="1920" spans="1:8" x14ac:dyDescent="0.35">
      <c r="A1920">
        <v>724</v>
      </c>
      <c r="B1920">
        <v>2</v>
      </c>
      <c r="C1920">
        <v>75</v>
      </c>
      <c r="D1920">
        <v>1</v>
      </c>
      <c r="E1920">
        <v>599.99</v>
      </c>
      <c r="F1920">
        <v>0.2</v>
      </c>
      <c r="G1920">
        <v>599.79</v>
      </c>
      <c r="H1920" t="s">
        <v>76</v>
      </c>
    </row>
    <row r="1921" spans="1:8" x14ac:dyDescent="0.35">
      <c r="A1921">
        <v>724</v>
      </c>
      <c r="B1921">
        <v>3</v>
      </c>
      <c r="C1921">
        <v>102</v>
      </c>
      <c r="D1921">
        <v>1</v>
      </c>
      <c r="E1921">
        <v>489.99</v>
      </c>
      <c r="F1921">
        <v>0.1</v>
      </c>
      <c r="G1921">
        <v>489.94</v>
      </c>
      <c r="H1921" t="s">
        <v>65</v>
      </c>
    </row>
    <row r="1922" spans="1:8" x14ac:dyDescent="0.35">
      <c r="A1922">
        <v>724</v>
      </c>
      <c r="B1922">
        <v>4</v>
      </c>
      <c r="C1922">
        <v>55</v>
      </c>
      <c r="D1922">
        <v>1</v>
      </c>
      <c r="E1922">
        <v>2699.99</v>
      </c>
      <c r="F1922">
        <v>0.2</v>
      </c>
      <c r="G1922">
        <v>2699.79</v>
      </c>
      <c r="H1922" t="s">
        <v>56</v>
      </c>
    </row>
    <row r="1923" spans="1:8" x14ac:dyDescent="0.35">
      <c r="A1923">
        <v>725</v>
      </c>
      <c r="B1923">
        <v>1</v>
      </c>
      <c r="C1923">
        <v>90</v>
      </c>
      <c r="D1923">
        <v>1</v>
      </c>
      <c r="E1923">
        <v>209.99</v>
      </c>
      <c r="F1923">
        <v>0.1</v>
      </c>
      <c r="G1923">
        <v>209.89</v>
      </c>
      <c r="H1923" t="s">
        <v>91</v>
      </c>
    </row>
    <row r="1924" spans="1:8" x14ac:dyDescent="0.35">
      <c r="A1924">
        <v>725</v>
      </c>
      <c r="B1924">
        <v>2</v>
      </c>
      <c r="C1924">
        <v>91</v>
      </c>
      <c r="D1924">
        <v>1</v>
      </c>
      <c r="E1924">
        <v>349.99</v>
      </c>
      <c r="F1924">
        <v>0.1</v>
      </c>
      <c r="G1924">
        <v>349.94</v>
      </c>
      <c r="H1924" t="s">
        <v>92</v>
      </c>
    </row>
    <row r="1925" spans="1:8" x14ac:dyDescent="0.35">
      <c r="A1925">
        <v>725</v>
      </c>
      <c r="B1925">
        <v>3</v>
      </c>
      <c r="C1925">
        <v>77</v>
      </c>
      <c r="D1925">
        <v>2</v>
      </c>
      <c r="E1925">
        <v>799.99</v>
      </c>
      <c r="F1925">
        <v>0.1</v>
      </c>
      <c r="G1925">
        <v>1599.91</v>
      </c>
      <c r="H1925" t="s">
        <v>78</v>
      </c>
    </row>
    <row r="1926" spans="1:8" x14ac:dyDescent="0.35">
      <c r="A1926">
        <v>725</v>
      </c>
      <c r="B1926">
        <v>4</v>
      </c>
      <c r="C1926">
        <v>62</v>
      </c>
      <c r="D1926">
        <v>2</v>
      </c>
      <c r="E1926">
        <v>3499.99</v>
      </c>
      <c r="F1926">
        <v>0.1</v>
      </c>
      <c r="G1926">
        <v>6999.88</v>
      </c>
      <c r="H1926" t="s">
        <v>63</v>
      </c>
    </row>
    <row r="1927" spans="1:8" x14ac:dyDescent="0.35">
      <c r="A1927">
        <v>727</v>
      </c>
      <c r="B1927">
        <v>1</v>
      </c>
      <c r="C1927">
        <v>78</v>
      </c>
      <c r="D1927">
        <v>1</v>
      </c>
      <c r="E1927">
        <v>647.99</v>
      </c>
      <c r="F1927">
        <v>0.1</v>
      </c>
      <c r="G1927">
        <v>647.91999999999996</v>
      </c>
      <c r="H1927" t="s">
        <v>79</v>
      </c>
    </row>
    <row r="1928" spans="1:8" x14ac:dyDescent="0.35">
      <c r="A1928">
        <v>727</v>
      </c>
      <c r="B1928">
        <v>2</v>
      </c>
      <c r="C1928">
        <v>82</v>
      </c>
      <c r="D1928">
        <v>2</v>
      </c>
      <c r="E1928">
        <v>659.99</v>
      </c>
      <c r="F1928">
        <v>0.1</v>
      </c>
      <c r="G1928">
        <v>1319.93</v>
      </c>
      <c r="H1928" t="s">
        <v>83</v>
      </c>
    </row>
    <row r="1929" spans="1:8" x14ac:dyDescent="0.35">
      <c r="A1929">
        <v>728</v>
      </c>
      <c r="B1929">
        <v>1</v>
      </c>
      <c r="C1929">
        <v>70</v>
      </c>
      <c r="D1929">
        <v>1</v>
      </c>
      <c r="E1929">
        <v>659.99</v>
      </c>
      <c r="F1929">
        <v>0.1</v>
      </c>
      <c r="G1929">
        <v>659.94</v>
      </c>
      <c r="H1929" t="s">
        <v>71</v>
      </c>
    </row>
    <row r="1930" spans="1:8" x14ac:dyDescent="0.35">
      <c r="A1930">
        <v>728</v>
      </c>
      <c r="B1930">
        <v>2</v>
      </c>
      <c r="C1930">
        <v>56</v>
      </c>
      <c r="D1930">
        <v>1</v>
      </c>
      <c r="E1930">
        <v>5499.99</v>
      </c>
      <c r="F1930">
        <v>0.1</v>
      </c>
      <c r="G1930">
        <v>5499.89</v>
      </c>
      <c r="H1930" t="s">
        <v>57</v>
      </c>
    </row>
    <row r="1931" spans="1:8" x14ac:dyDescent="0.35">
      <c r="A1931">
        <v>728</v>
      </c>
      <c r="B1931">
        <v>3</v>
      </c>
      <c r="C1931">
        <v>91</v>
      </c>
      <c r="D1931">
        <v>1</v>
      </c>
      <c r="E1931">
        <v>349.99</v>
      </c>
      <c r="F1931">
        <v>0.1</v>
      </c>
      <c r="G1931">
        <v>349.89</v>
      </c>
      <c r="H1931" t="s">
        <v>92</v>
      </c>
    </row>
    <row r="1932" spans="1:8" x14ac:dyDescent="0.35">
      <c r="A1932">
        <v>728</v>
      </c>
      <c r="B1932">
        <v>4</v>
      </c>
      <c r="C1932">
        <v>58</v>
      </c>
      <c r="D1932">
        <v>1</v>
      </c>
      <c r="E1932">
        <v>4999.99</v>
      </c>
      <c r="F1932">
        <v>0.1</v>
      </c>
      <c r="G1932">
        <v>4999.92</v>
      </c>
      <c r="H1932" t="s">
        <v>59</v>
      </c>
    </row>
    <row r="1933" spans="1:8" x14ac:dyDescent="0.35">
      <c r="A1933">
        <v>730</v>
      </c>
      <c r="B1933">
        <v>1</v>
      </c>
      <c r="C1933">
        <v>59</v>
      </c>
      <c r="D1933">
        <v>2</v>
      </c>
      <c r="E1933">
        <v>2599.9899999999998</v>
      </c>
      <c r="F1933">
        <v>0.1</v>
      </c>
      <c r="G1933">
        <v>5199.93</v>
      </c>
      <c r="H1933" t="s">
        <v>60</v>
      </c>
    </row>
    <row r="1934" spans="1:8" x14ac:dyDescent="0.35">
      <c r="A1934">
        <v>730</v>
      </c>
      <c r="B1934">
        <v>2</v>
      </c>
      <c r="C1934">
        <v>79</v>
      </c>
      <c r="D1934">
        <v>1</v>
      </c>
      <c r="E1934">
        <v>402.99</v>
      </c>
      <c r="F1934">
        <v>0.1</v>
      </c>
      <c r="G1934">
        <v>402.89</v>
      </c>
      <c r="H1934" t="s">
        <v>80</v>
      </c>
    </row>
    <row r="1935" spans="1:8" x14ac:dyDescent="0.35">
      <c r="A1935">
        <v>730</v>
      </c>
      <c r="B1935">
        <v>3</v>
      </c>
      <c r="C1935">
        <v>96</v>
      </c>
      <c r="D1935">
        <v>2</v>
      </c>
      <c r="E1935">
        <v>349.99</v>
      </c>
      <c r="F1935">
        <v>0.1</v>
      </c>
      <c r="G1935">
        <v>699.91</v>
      </c>
      <c r="H1935" t="s">
        <v>96</v>
      </c>
    </row>
    <row r="1936" spans="1:8" x14ac:dyDescent="0.35">
      <c r="A1936">
        <v>730</v>
      </c>
      <c r="B1936">
        <v>4</v>
      </c>
      <c r="C1936">
        <v>13</v>
      </c>
      <c r="D1936">
        <v>1</v>
      </c>
      <c r="E1936">
        <v>269.99</v>
      </c>
      <c r="F1936">
        <v>0.1</v>
      </c>
      <c r="G1936">
        <v>269.89</v>
      </c>
      <c r="H1936" t="s">
        <v>18</v>
      </c>
    </row>
    <row r="1937" spans="1:8" x14ac:dyDescent="0.35">
      <c r="A1937">
        <v>731</v>
      </c>
      <c r="B1937">
        <v>1</v>
      </c>
      <c r="C1937">
        <v>91</v>
      </c>
      <c r="D1937">
        <v>1</v>
      </c>
      <c r="E1937">
        <v>349.99</v>
      </c>
      <c r="F1937">
        <v>0.1</v>
      </c>
      <c r="G1937">
        <v>349.94</v>
      </c>
      <c r="H1937" t="s">
        <v>92</v>
      </c>
    </row>
    <row r="1938" spans="1:8" x14ac:dyDescent="0.35">
      <c r="A1938">
        <v>731</v>
      </c>
      <c r="B1938">
        <v>2</v>
      </c>
      <c r="C1938">
        <v>49</v>
      </c>
      <c r="D1938">
        <v>1</v>
      </c>
      <c r="E1938">
        <v>3499.99</v>
      </c>
      <c r="F1938">
        <v>0.2</v>
      </c>
      <c r="G1938">
        <v>3499.79</v>
      </c>
      <c r="H1938" t="s">
        <v>50</v>
      </c>
    </row>
    <row r="1939" spans="1:8" x14ac:dyDescent="0.35">
      <c r="A1939">
        <v>731</v>
      </c>
      <c r="B1939">
        <v>3</v>
      </c>
      <c r="C1939">
        <v>67</v>
      </c>
      <c r="D1939">
        <v>2</v>
      </c>
      <c r="E1939">
        <v>250.99</v>
      </c>
      <c r="F1939">
        <v>0.2</v>
      </c>
      <c r="G1939">
        <v>501.78</v>
      </c>
      <c r="H1939" t="s">
        <v>68</v>
      </c>
    </row>
    <row r="1940" spans="1:8" x14ac:dyDescent="0.35">
      <c r="A1940">
        <v>731</v>
      </c>
      <c r="B1940">
        <v>4</v>
      </c>
      <c r="C1940">
        <v>29</v>
      </c>
      <c r="D1940">
        <v>1</v>
      </c>
      <c r="E1940">
        <v>999.99</v>
      </c>
      <c r="F1940">
        <v>0.2</v>
      </c>
      <c r="G1940">
        <v>999.79</v>
      </c>
      <c r="H1940" t="s">
        <v>30</v>
      </c>
    </row>
    <row r="1941" spans="1:8" x14ac:dyDescent="0.35">
      <c r="A1941">
        <v>732</v>
      </c>
      <c r="B1941">
        <v>1</v>
      </c>
      <c r="C1941">
        <v>47</v>
      </c>
      <c r="D1941">
        <v>1</v>
      </c>
      <c r="E1941">
        <v>5299.99</v>
      </c>
      <c r="F1941">
        <v>0.1</v>
      </c>
      <c r="G1941">
        <v>5299.92</v>
      </c>
      <c r="H1941" t="s">
        <v>48</v>
      </c>
    </row>
    <row r="1942" spans="1:8" x14ac:dyDescent="0.35">
      <c r="A1942">
        <v>732</v>
      </c>
      <c r="B1942">
        <v>2</v>
      </c>
      <c r="C1942">
        <v>4</v>
      </c>
      <c r="D1942">
        <v>2</v>
      </c>
      <c r="E1942">
        <v>2899.99</v>
      </c>
      <c r="F1942">
        <v>0.1</v>
      </c>
      <c r="G1942">
        <v>5799.91</v>
      </c>
      <c r="H1942" t="s">
        <v>9</v>
      </c>
    </row>
    <row r="1943" spans="1:8" x14ac:dyDescent="0.35">
      <c r="A1943">
        <v>733</v>
      </c>
      <c r="B1943">
        <v>1</v>
      </c>
      <c r="C1943">
        <v>84</v>
      </c>
      <c r="D1943">
        <v>1</v>
      </c>
      <c r="E1943">
        <v>109.99</v>
      </c>
      <c r="F1943">
        <v>0.1</v>
      </c>
      <c r="G1943">
        <v>109.94</v>
      </c>
      <c r="H1943" t="s">
        <v>85</v>
      </c>
    </row>
    <row r="1944" spans="1:8" x14ac:dyDescent="0.35">
      <c r="A1944">
        <v>733</v>
      </c>
      <c r="B1944">
        <v>2</v>
      </c>
      <c r="C1944">
        <v>55</v>
      </c>
      <c r="D1944">
        <v>1</v>
      </c>
      <c r="E1944">
        <v>2699.99</v>
      </c>
      <c r="F1944">
        <v>0.2</v>
      </c>
      <c r="G1944">
        <v>2699.79</v>
      </c>
      <c r="H1944" t="s">
        <v>56</v>
      </c>
    </row>
    <row r="1945" spans="1:8" x14ac:dyDescent="0.35">
      <c r="A1945">
        <v>733</v>
      </c>
      <c r="B1945">
        <v>3</v>
      </c>
      <c r="C1945">
        <v>102</v>
      </c>
      <c r="D1945">
        <v>2</v>
      </c>
      <c r="E1945">
        <v>489.99</v>
      </c>
      <c r="F1945">
        <v>0.1</v>
      </c>
      <c r="G1945">
        <v>979.88</v>
      </c>
      <c r="H1945" t="s">
        <v>65</v>
      </c>
    </row>
    <row r="1946" spans="1:8" x14ac:dyDescent="0.35">
      <c r="A1946">
        <v>734</v>
      </c>
      <c r="B1946">
        <v>1</v>
      </c>
      <c r="C1946">
        <v>26</v>
      </c>
      <c r="D1946">
        <v>1</v>
      </c>
      <c r="E1946">
        <v>599.99</v>
      </c>
      <c r="F1946">
        <v>0.2</v>
      </c>
      <c r="G1946">
        <v>599.79</v>
      </c>
      <c r="H1946" t="s">
        <v>21</v>
      </c>
    </row>
    <row r="1947" spans="1:8" x14ac:dyDescent="0.35">
      <c r="A1947">
        <v>734</v>
      </c>
      <c r="B1947">
        <v>2</v>
      </c>
      <c r="C1947">
        <v>3</v>
      </c>
      <c r="D1947">
        <v>1</v>
      </c>
      <c r="E1947">
        <v>999.99</v>
      </c>
      <c r="F1947">
        <v>0.1</v>
      </c>
      <c r="G1947">
        <v>999.94</v>
      </c>
      <c r="H1947" t="s">
        <v>8</v>
      </c>
    </row>
    <row r="1948" spans="1:8" x14ac:dyDescent="0.35">
      <c r="A1948">
        <v>734</v>
      </c>
      <c r="B1948">
        <v>3</v>
      </c>
      <c r="C1948">
        <v>84</v>
      </c>
      <c r="D1948">
        <v>2</v>
      </c>
      <c r="E1948">
        <v>109.99</v>
      </c>
      <c r="F1948">
        <v>0.2</v>
      </c>
      <c r="G1948">
        <v>219.78</v>
      </c>
      <c r="H1948" t="s">
        <v>85</v>
      </c>
    </row>
    <row r="1949" spans="1:8" x14ac:dyDescent="0.35">
      <c r="A1949">
        <v>734</v>
      </c>
      <c r="B1949">
        <v>4</v>
      </c>
      <c r="C1949">
        <v>65</v>
      </c>
      <c r="D1949">
        <v>2</v>
      </c>
      <c r="E1949">
        <v>346.99</v>
      </c>
      <c r="F1949">
        <v>0.1</v>
      </c>
      <c r="G1949">
        <v>693.88</v>
      </c>
      <c r="H1949" t="s">
        <v>66</v>
      </c>
    </row>
    <row r="1950" spans="1:8" x14ac:dyDescent="0.35">
      <c r="A1950">
        <v>735</v>
      </c>
      <c r="B1950">
        <v>1</v>
      </c>
      <c r="C1950">
        <v>71</v>
      </c>
      <c r="D1950">
        <v>2</v>
      </c>
      <c r="E1950">
        <v>416.99</v>
      </c>
      <c r="F1950">
        <v>0.1</v>
      </c>
      <c r="G1950">
        <v>833.88</v>
      </c>
      <c r="H1950" t="s">
        <v>72</v>
      </c>
    </row>
    <row r="1951" spans="1:8" x14ac:dyDescent="0.35">
      <c r="A1951">
        <v>735</v>
      </c>
      <c r="B1951">
        <v>2</v>
      </c>
      <c r="C1951">
        <v>10</v>
      </c>
      <c r="D1951">
        <v>2</v>
      </c>
      <c r="E1951">
        <v>1549</v>
      </c>
      <c r="F1951">
        <v>0.1</v>
      </c>
      <c r="G1951">
        <v>3097.93</v>
      </c>
      <c r="H1951" t="s">
        <v>15</v>
      </c>
    </row>
    <row r="1952" spans="1:8" x14ac:dyDescent="0.35">
      <c r="A1952">
        <v>736</v>
      </c>
      <c r="B1952">
        <v>1</v>
      </c>
      <c r="C1952">
        <v>56</v>
      </c>
      <c r="D1952">
        <v>2</v>
      </c>
      <c r="E1952">
        <v>5499.99</v>
      </c>
      <c r="F1952">
        <v>0.1</v>
      </c>
      <c r="G1952">
        <v>10999.93</v>
      </c>
      <c r="H1952" t="s">
        <v>57</v>
      </c>
    </row>
    <row r="1953" spans="1:8" x14ac:dyDescent="0.35">
      <c r="A1953">
        <v>736</v>
      </c>
      <c r="B1953">
        <v>2</v>
      </c>
      <c r="C1953">
        <v>17</v>
      </c>
      <c r="D1953">
        <v>1</v>
      </c>
      <c r="E1953">
        <v>429</v>
      </c>
      <c r="F1953">
        <v>0.1</v>
      </c>
      <c r="G1953">
        <v>428.9</v>
      </c>
      <c r="H1953" t="s">
        <v>22</v>
      </c>
    </row>
    <row r="1954" spans="1:8" x14ac:dyDescent="0.35">
      <c r="A1954">
        <v>736</v>
      </c>
      <c r="B1954">
        <v>3</v>
      </c>
      <c r="C1954">
        <v>62</v>
      </c>
      <c r="D1954">
        <v>2</v>
      </c>
      <c r="E1954">
        <v>3499.99</v>
      </c>
      <c r="F1954">
        <v>0.2</v>
      </c>
      <c r="G1954">
        <v>6999.78</v>
      </c>
      <c r="H1954" t="s">
        <v>63</v>
      </c>
    </row>
    <row r="1955" spans="1:8" x14ac:dyDescent="0.35">
      <c r="A1955">
        <v>737</v>
      </c>
      <c r="B1955">
        <v>1</v>
      </c>
      <c r="C1955">
        <v>52</v>
      </c>
      <c r="D1955">
        <v>1</v>
      </c>
      <c r="E1955">
        <v>875.99</v>
      </c>
      <c r="F1955">
        <v>0.1</v>
      </c>
      <c r="G1955">
        <v>875.94</v>
      </c>
      <c r="H1955" t="s">
        <v>53</v>
      </c>
    </row>
    <row r="1956" spans="1:8" x14ac:dyDescent="0.35">
      <c r="A1956">
        <v>737</v>
      </c>
      <c r="B1956">
        <v>2</v>
      </c>
      <c r="C1956">
        <v>19</v>
      </c>
      <c r="D1956">
        <v>2</v>
      </c>
      <c r="E1956">
        <v>449</v>
      </c>
      <c r="F1956">
        <v>0.1</v>
      </c>
      <c r="G1956">
        <v>897.93</v>
      </c>
      <c r="H1956" t="s">
        <v>24</v>
      </c>
    </row>
    <row r="1957" spans="1:8" x14ac:dyDescent="0.35">
      <c r="A1957">
        <v>737</v>
      </c>
      <c r="B1957">
        <v>3</v>
      </c>
      <c r="C1957">
        <v>77</v>
      </c>
      <c r="D1957">
        <v>2</v>
      </c>
      <c r="E1957">
        <v>799.99</v>
      </c>
      <c r="F1957">
        <v>0.1</v>
      </c>
      <c r="G1957">
        <v>1599.91</v>
      </c>
      <c r="H1957" t="s">
        <v>78</v>
      </c>
    </row>
    <row r="1958" spans="1:8" x14ac:dyDescent="0.35">
      <c r="A1958">
        <v>737</v>
      </c>
      <c r="B1958">
        <v>4</v>
      </c>
      <c r="C1958">
        <v>34</v>
      </c>
      <c r="D1958">
        <v>1</v>
      </c>
      <c r="E1958">
        <v>469.99</v>
      </c>
      <c r="F1958">
        <v>0.2</v>
      </c>
      <c r="G1958">
        <v>469.79</v>
      </c>
      <c r="H1958" t="s">
        <v>35</v>
      </c>
    </row>
    <row r="1959" spans="1:8" x14ac:dyDescent="0.35">
      <c r="A1959">
        <v>738</v>
      </c>
      <c r="B1959">
        <v>1</v>
      </c>
      <c r="C1959">
        <v>82</v>
      </c>
      <c r="D1959">
        <v>2</v>
      </c>
      <c r="E1959">
        <v>659.99</v>
      </c>
      <c r="F1959">
        <v>0.1</v>
      </c>
      <c r="G1959">
        <v>1319.91</v>
      </c>
      <c r="H1959" t="s">
        <v>83</v>
      </c>
    </row>
    <row r="1960" spans="1:8" x14ac:dyDescent="0.35">
      <c r="A1960">
        <v>738</v>
      </c>
      <c r="B1960">
        <v>2</v>
      </c>
      <c r="C1960">
        <v>38</v>
      </c>
      <c r="D1960">
        <v>2</v>
      </c>
      <c r="E1960">
        <v>549.99</v>
      </c>
      <c r="F1960">
        <v>0.2</v>
      </c>
      <c r="G1960">
        <v>1099.78</v>
      </c>
      <c r="H1960" t="s">
        <v>39</v>
      </c>
    </row>
    <row r="1961" spans="1:8" x14ac:dyDescent="0.35">
      <c r="A1961">
        <v>738</v>
      </c>
      <c r="B1961">
        <v>3</v>
      </c>
      <c r="C1961">
        <v>25</v>
      </c>
      <c r="D1961">
        <v>1</v>
      </c>
      <c r="E1961">
        <v>499.99</v>
      </c>
      <c r="F1961">
        <v>0.1</v>
      </c>
      <c r="G1961">
        <v>499.89</v>
      </c>
      <c r="H1961" t="s">
        <v>27</v>
      </c>
    </row>
    <row r="1962" spans="1:8" x14ac:dyDescent="0.35">
      <c r="A1962">
        <v>738</v>
      </c>
      <c r="B1962">
        <v>4</v>
      </c>
      <c r="C1962">
        <v>63</v>
      </c>
      <c r="D1962">
        <v>1</v>
      </c>
      <c r="E1962">
        <v>3499.99</v>
      </c>
      <c r="F1962">
        <v>0.1</v>
      </c>
      <c r="G1962">
        <v>3499.92</v>
      </c>
      <c r="H1962" t="s">
        <v>64</v>
      </c>
    </row>
    <row r="1963" spans="1:8" x14ac:dyDescent="0.35">
      <c r="A1963">
        <v>740</v>
      </c>
      <c r="B1963">
        <v>1</v>
      </c>
      <c r="C1963">
        <v>81</v>
      </c>
      <c r="D1963">
        <v>1</v>
      </c>
      <c r="E1963">
        <v>1099.99</v>
      </c>
      <c r="F1963">
        <v>0.1</v>
      </c>
      <c r="G1963">
        <v>1099.94</v>
      </c>
      <c r="H1963" t="s">
        <v>82</v>
      </c>
    </row>
    <row r="1964" spans="1:8" x14ac:dyDescent="0.35">
      <c r="A1964">
        <v>740</v>
      </c>
      <c r="B1964">
        <v>2</v>
      </c>
      <c r="C1964">
        <v>94</v>
      </c>
      <c r="D1964">
        <v>2</v>
      </c>
      <c r="E1964">
        <v>249.99</v>
      </c>
      <c r="F1964">
        <v>0.2</v>
      </c>
      <c r="G1964">
        <v>499.78</v>
      </c>
      <c r="H1964" t="s">
        <v>95</v>
      </c>
    </row>
    <row r="1965" spans="1:8" x14ac:dyDescent="0.35">
      <c r="A1965">
        <v>740</v>
      </c>
      <c r="B1965">
        <v>3</v>
      </c>
      <c r="C1965">
        <v>11</v>
      </c>
      <c r="D1965">
        <v>1</v>
      </c>
      <c r="E1965">
        <v>1680.99</v>
      </c>
      <c r="F1965">
        <v>0.2</v>
      </c>
      <c r="G1965">
        <v>1680.79</v>
      </c>
      <c r="H1965" t="s">
        <v>16</v>
      </c>
    </row>
    <row r="1966" spans="1:8" x14ac:dyDescent="0.35">
      <c r="A1966">
        <v>740</v>
      </c>
      <c r="B1966">
        <v>4</v>
      </c>
      <c r="C1966">
        <v>19</v>
      </c>
      <c r="D1966">
        <v>1</v>
      </c>
      <c r="E1966">
        <v>449</v>
      </c>
      <c r="F1966">
        <v>0.2</v>
      </c>
      <c r="G1966">
        <v>448.8</v>
      </c>
      <c r="H1966" t="s">
        <v>24</v>
      </c>
    </row>
    <row r="1967" spans="1:8" x14ac:dyDescent="0.35">
      <c r="A1967">
        <v>740</v>
      </c>
      <c r="B1967">
        <v>5</v>
      </c>
      <c r="C1967">
        <v>12</v>
      </c>
      <c r="D1967">
        <v>2</v>
      </c>
      <c r="E1967">
        <v>549.99</v>
      </c>
      <c r="F1967">
        <v>0.1</v>
      </c>
      <c r="G1967">
        <v>1099.9100000000001</v>
      </c>
      <c r="H1967" t="s">
        <v>17</v>
      </c>
    </row>
    <row r="1968" spans="1:8" x14ac:dyDescent="0.35">
      <c r="A1968">
        <v>741</v>
      </c>
      <c r="B1968">
        <v>1</v>
      </c>
      <c r="C1968">
        <v>58</v>
      </c>
      <c r="D1968">
        <v>1</v>
      </c>
      <c r="E1968">
        <v>4999.99</v>
      </c>
      <c r="F1968">
        <v>0.1</v>
      </c>
      <c r="G1968">
        <v>4999.9399999999996</v>
      </c>
      <c r="H1968" t="s">
        <v>59</v>
      </c>
    </row>
    <row r="1969" spans="1:8" x14ac:dyDescent="0.35">
      <c r="A1969">
        <v>741</v>
      </c>
      <c r="B1969">
        <v>2</v>
      </c>
      <c r="C1969">
        <v>76</v>
      </c>
      <c r="D1969">
        <v>1</v>
      </c>
      <c r="E1969">
        <v>299.99</v>
      </c>
      <c r="F1969">
        <v>0.1</v>
      </c>
      <c r="G1969">
        <v>299.92</v>
      </c>
      <c r="H1969" t="s">
        <v>77</v>
      </c>
    </row>
    <row r="1970" spans="1:8" x14ac:dyDescent="0.35">
      <c r="A1970">
        <v>741</v>
      </c>
      <c r="B1970">
        <v>3</v>
      </c>
      <c r="C1970">
        <v>21</v>
      </c>
      <c r="D1970">
        <v>2</v>
      </c>
      <c r="E1970">
        <v>269.99</v>
      </c>
      <c r="F1970">
        <v>0.1</v>
      </c>
      <c r="G1970">
        <v>539.91</v>
      </c>
      <c r="H1970" t="s">
        <v>18</v>
      </c>
    </row>
    <row r="1971" spans="1:8" x14ac:dyDescent="0.35">
      <c r="A1971">
        <v>741</v>
      </c>
      <c r="B1971">
        <v>4</v>
      </c>
      <c r="C1971">
        <v>56</v>
      </c>
      <c r="D1971">
        <v>2</v>
      </c>
      <c r="E1971">
        <v>5499.99</v>
      </c>
      <c r="F1971">
        <v>0.1</v>
      </c>
      <c r="G1971">
        <v>10999.93</v>
      </c>
      <c r="H1971" t="s">
        <v>57</v>
      </c>
    </row>
    <row r="1972" spans="1:8" x14ac:dyDescent="0.35">
      <c r="A1972">
        <v>742</v>
      </c>
      <c r="B1972">
        <v>1</v>
      </c>
      <c r="C1972">
        <v>107</v>
      </c>
      <c r="D1972">
        <v>2</v>
      </c>
      <c r="E1972">
        <v>416.99</v>
      </c>
      <c r="F1972">
        <v>0.1</v>
      </c>
      <c r="G1972">
        <v>833.93</v>
      </c>
      <c r="H1972" t="s">
        <v>70</v>
      </c>
    </row>
    <row r="1973" spans="1:8" x14ac:dyDescent="0.35">
      <c r="A1973">
        <v>742</v>
      </c>
      <c r="B1973">
        <v>2</v>
      </c>
      <c r="C1973">
        <v>45</v>
      </c>
      <c r="D1973">
        <v>1</v>
      </c>
      <c r="E1973">
        <v>869.99</v>
      </c>
      <c r="F1973">
        <v>0.1</v>
      </c>
      <c r="G1973">
        <v>869.92</v>
      </c>
      <c r="H1973" t="s">
        <v>46</v>
      </c>
    </row>
    <row r="1974" spans="1:8" x14ac:dyDescent="0.35">
      <c r="A1974">
        <v>745</v>
      </c>
      <c r="B1974">
        <v>1</v>
      </c>
      <c r="C1974">
        <v>95</v>
      </c>
      <c r="D1974">
        <v>2</v>
      </c>
      <c r="E1974">
        <v>299.99</v>
      </c>
      <c r="F1974">
        <v>0.1</v>
      </c>
      <c r="G1974">
        <v>599.92999999999995</v>
      </c>
      <c r="H1974" t="s">
        <v>77</v>
      </c>
    </row>
    <row r="1975" spans="1:8" x14ac:dyDescent="0.35">
      <c r="A1975">
        <v>745</v>
      </c>
      <c r="B1975">
        <v>2</v>
      </c>
      <c r="C1975">
        <v>22</v>
      </c>
      <c r="D1975">
        <v>2</v>
      </c>
      <c r="E1975">
        <v>269.99</v>
      </c>
      <c r="F1975">
        <v>0.2</v>
      </c>
      <c r="G1975">
        <v>539.78</v>
      </c>
      <c r="H1975" t="s">
        <v>19</v>
      </c>
    </row>
    <row r="1976" spans="1:8" x14ac:dyDescent="0.35">
      <c r="A1976">
        <v>745</v>
      </c>
      <c r="B1976">
        <v>3</v>
      </c>
      <c r="C1976">
        <v>78</v>
      </c>
      <c r="D1976">
        <v>1</v>
      </c>
      <c r="E1976">
        <v>647.99</v>
      </c>
      <c r="F1976">
        <v>0.1</v>
      </c>
      <c r="G1976">
        <v>647.89</v>
      </c>
      <c r="H1976" t="s">
        <v>79</v>
      </c>
    </row>
    <row r="1977" spans="1:8" x14ac:dyDescent="0.35">
      <c r="A1977">
        <v>747</v>
      </c>
      <c r="B1977">
        <v>1</v>
      </c>
      <c r="C1977">
        <v>110</v>
      </c>
      <c r="D1977">
        <v>1</v>
      </c>
      <c r="E1977">
        <v>470.99</v>
      </c>
      <c r="F1977">
        <v>0.1</v>
      </c>
      <c r="G1977">
        <v>470.92</v>
      </c>
      <c r="H1977" t="s">
        <v>107</v>
      </c>
    </row>
    <row r="1978" spans="1:8" x14ac:dyDescent="0.35">
      <c r="A1978">
        <v>747</v>
      </c>
      <c r="B1978">
        <v>2</v>
      </c>
      <c r="C1978">
        <v>86</v>
      </c>
      <c r="D1978">
        <v>1</v>
      </c>
      <c r="E1978">
        <v>149.99</v>
      </c>
      <c r="F1978">
        <v>0.2</v>
      </c>
      <c r="G1978">
        <v>149.79</v>
      </c>
      <c r="H1978" t="s">
        <v>87</v>
      </c>
    </row>
    <row r="1979" spans="1:8" x14ac:dyDescent="0.35">
      <c r="A1979">
        <v>747</v>
      </c>
      <c r="B1979">
        <v>3</v>
      </c>
      <c r="C1979">
        <v>33</v>
      </c>
      <c r="D1979">
        <v>2</v>
      </c>
      <c r="E1979">
        <v>469.99</v>
      </c>
      <c r="F1979">
        <v>0.1</v>
      </c>
      <c r="G1979">
        <v>939.88</v>
      </c>
      <c r="H1979" t="s">
        <v>34</v>
      </c>
    </row>
    <row r="1980" spans="1:8" x14ac:dyDescent="0.35">
      <c r="A1980">
        <v>747</v>
      </c>
      <c r="B1980">
        <v>4</v>
      </c>
      <c r="C1980">
        <v>81</v>
      </c>
      <c r="D1980">
        <v>1</v>
      </c>
      <c r="E1980">
        <v>1099.99</v>
      </c>
      <c r="F1980">
        <v>0.1</v>
      </c>
      <c r="G1980">
        <v>1099.92</v>
      </c>
      <c r="H1980" t="s">
        <v>82</v>
      </c>
    </row>
    <row r="1981" spans="1:8" x14ac:dyDescent="0.35">
      <c r="A1981">
        <v>748</v>
      </c>
      <c r="B1981">
        <v>1</v>
      </c>
      <c r="C1981">
        <v>16</v>
      </c>
      <c r="D1981">
        <v>2</v>
      </c>
      <c r="E1981">
        <v>599.99</v>
      </c>
      <c r="F1981">
        <v>0.1</v>
      </c>
      <c r="G1981">
        <v>1199.8800000000001</v>
      </c>
      <c r="H1981" t="s">
        <v>21</v>
      </c>
    </row>
    <row r="1982" spans="1:8" x14ac:dyDescent="0.35">
      <c r="A1982">
        <v>748</v>
      </c>
      <c r="B1982">
        <v>2</v>
      </c>
      <c r="C1982">
        <v>83</v>
      </c>
      <c r="D1982">
        <v>2</v>
      </c>
      <c r="E1982">
        <v>149.99</v>
      </c>
      <c r="F1982">
        <v>0.1</v>
      </c>
      <c r="G1982">
        <v>299.93</v>
      </c>
      <c r="H1982" t="s">
        <v>84</v>
      </c>
    </row>
    <row r="1983" spans="1:8" x14ac:dyDescent="0.35">
      <c r="A1983">
        <v>748</v>
      </c>
      <c r="B1983">
        <v>3</v>
      </c>
      <c r="C1983">
        <v>41</v>
      </c>
      <c r="D1983">
        <v>1</v>
      </c>
      <c r="E1983">
        <v>1469.99</v>
      </c>
      <c r="F1983">
        <v>0.1</v>
      </c>
      <c r="G1983">
        <v>1469.92</v>
      </c>
      <c r="H1983" t="s">
        <v>42</v>
      </c>
    </row>
    <row r="1984" spans="1:8" x14ac:dyDescent="0.35">
      <c r="A1984">
        <v>748</v>
      </c>
      <c r="B1984">
        <v>4</v>
      </c>
      <c r="C1984">
        <v>35</v>
      </c>
      <c r="D1984">
        <v>2</v>
      </c>
      <c r="E1984">
        <v>832.99</v>
      </c>
      <c r="F1984">
        <v>0.2</v>
      </c>
      <c r="G1984">
        <v>1665.78</v>
      </c>
      <c r="H1984" t="s">
        <v>36</v>
      </c>
    </row>
    <row r="1985" spans="1:8" x14ac:dyDescent="0.35">
      <c r="A1985">
        <v>749</v>
      </c>
      <c r="B1985">
        <v>1</v>
      </c>
      <c r="C1985">
        <v>9</v>
      </c>
      <c r="D1985">
        <v>1</v>
      </c>
      <c r="E1985">
        <v>2999.99</v>
      </c>
      <c r="F1985">
        <v>0.2</v>
      </c>
      <c r="G1985">
        <v>2999.79</v>
      </c>
      <c r="H1985" t="s">
        <v>14</v>
      </c>
    </row>
    <row r="1986" spans="1:8" x14ac:dyDescent="0.35">
      <c r="A1986">
        <v>749</v>
      </c>
      <c r="B1986">
        <v>2</v>
      </c>
      <c r="C1986">
        <v>28</v>
      </c>
      <c r="D1986">
        <v>1</v>
      </c>
      <c r="E1986">
        <v>2499.9899999999998</v>
      </c>
      <c r="F1986">
        <v>0.1</v>
      </c>
      <c r="G1986">
        <v>2499.94</v>
      </c>
      <c r="H1986" t="s">
        <v>29</v>
      </c>
    </row>
    <row r="1987" spans="1:8" x14ac:dyDescent="0.35">
      <c r="A1987">
        <v>749</v>
      </c>
      <c r="B1987">
        <v>3</v>
      </c>
      <c r="C1987">
        <v>79</v>
      </c>
      <c r="D1987">
        <v>1</v>
      </c>
      <c r="E1987">
        <v>402.99</v>
      </c>
      <c r="F1987">
        <v>0.2</v>
      </c>
      <c r="G1987">
        <v>402.79</v>
      </c>
      <c r="H1987" t="s">
        <v>80</v>
      </c>
    </row>
    <row r="1988" spans="1:8" x14ac:dyDescent="0.35">
      <c r="A1988">
        <v>749</v>
      </c>
      <c r="B1988">
        <v>4</v>
      </c>
      <c r="C1988">
        <v>24</v>
      </c>
      <c r="D1988">
        <v>1</v>
      </c>
      <c r="E1988">
        <v>549.99</v>
      </c>
      <c r="F1988">
        <v>0.1</v>
      </c>
      <c r="G1988">
        <v>549.94000000000005</v>
      </c>
      <c r="H1988" t="s">
        <v>17</v>
      </c>
    </row>
    <row r="1989" spans="1:8" x14ac:dyDescent="0.35">
      <c r="A1989">
        <v>749</v>
      </c>
      <c r="B1989">
        <v>5</v>
      </c>
      <c r="C1989">
        <v>40</v>
      </c>
      <c r="D1989">
        <v>1</v>
      </c>
      <c r="E1989">
        <v>4999.99</v>
      </c>
      <c r="F1989">
        <v>0.1</v>
      </c>
      <c r="G1989">
        <v>4999.92</v>
      </c>
      <c r="H1989" t="s">
        <v>41</v>
      </c>
    </row>
    <row r="1990" spans="1:8" x14ac:dyDescent="0.35">
      <c r="A1990">
        <v>750</v>
      </c>
      <c r="B1990">
        <v>1</v>
      </c>
      <c r="C1990">
        <v>72</v>
      </c>
      <c r="D1990">
        <v>1</v>
      </c>
      <c r="E1990">
        <v>619.99</v>
      </c>
      <c r="F1990">
        <v>0.1</v>
      </c>
      <c r="G1990">
        <v>619.94000000000005</v>
      </c>
      <c r="H1990" t="s">
        <v>73</v>
      </c>
    </row>
    <row r="1991" spans="1:8" x14ac:dyDescent="0.35">
      <c r="A1991">
        <v>750</v>
      </c>
      <c r="B1991">
        <v>2</v>
      </c>
      <c r="C1991">
        <v>78</v>
      </c>
      <c r="D1991">
        <v>2</v>
      </c>
      <c r="E1991">
        <v>647.99</v>
      </c>
      <c r="F1991">
        <v>0.1</v>
      </c>
      <c r="G1991">
        <v>1295.8800000000001</v>
      </c>
      <c r="H1991" t="s">
        <v>79</v>
      </c>
    </row>
    <row r="1992" spans="1:8" x14ac:dyDescent="0.35">
      <c r="A1992">
        <v>752</v>
      </c>
      <c r="B1992">
        <v>1</v>
      </c>
      <c r="C1992">
        <v>12</v>
      </c>
      <c r="D1992">
        <v>2</v>
      </c>
      <c r="E1992">
        <v>549.99</v>
      </c>
      <c r="F1992">
        <v>0.1</v>
      </c>
      <c r="G1992">
        <v>1099.93</v>
      </c>
      <c r="H1992" t="s">
        <v>17</v>
      </c>
    </row>
    <row r="1993" spans="1:8" x14ac:dyDescent="0.35">
      <c r="A1993">
        <v>752</v>
      </c>
      <c r="B1993">
        <v>2</v>
      </c>
      <c r="C1993">
        <v>31</v>
      </c>
      <c r="D1993">
        <v>2</v>
      </c>
      <c r="E1993">
        <v>1632.99</v>
      </c>
      <c r="F1993">
        <v>0.1</v>
      </c>
      <c r="G1993">
        <v>3265.93</v>
      </c>
      <c r="H1993" t="s">
        <v>32</v>
      </c>
    </row>
    <row r="1994" spans="1:8" x14ac:dyDescent="0.35">
      <c r="A1994">
        <v>753</v>
      </c>
      <c r="B1994">
        <v>1</v>
      </c>
      <c r="C1994">
        <v>105</v>
      </c>
      <c r="D1994">
        <v>2</v>
      </c>
      <c r="E1994">
        <v>533.99</v>
      </c>
      <c r="F1994">
        <v>0.1</v>
      </c>
      <c r="G1994">
        <v>1067.9100000000001</v>
      </c>
      <c r="H1994" t="s">
        <v>104</v>
      </c>
    </row>
    <row r="1995" spans="1:8" x14ac:dyDescent="0.35">
      <c r="A1995">
        <v>753</v>
      </c>
      <c r="B1995">
        <v>2</v>
      </c>
      <c r="C1995">
        <v>7</v>
      </c>
      <c r="D1995">
        <v>2</v>
      </c>
      <c r="E1995">
        <v>3999.99</v>
      </c>
      <c r="F1995">
        <v>0.2</v>
      </c>
      <c r="G1995">
        <v>7999.78</v>
      </c>
      <c r="H1995" t="s">
        <v>12</v>
      </c>
    </row>
    <row r="1996" spans="1:8" x14ac:dyDescent="0.35">
      <c r="A1996">
        <v>753</v>
      </c>
      <c r="B1996">
        <v>3</v>
      </c>
      <c r="C1996">
        <v>36</v>
      </c>
      <c r="D1996">
        <v>2</v>
      </c>
      <c r="E1996">
        <v>832.99</v>
      </c>
      <c r="F1996">
        <v>0.1</v>
      </c>
      <c r="G1996">
        <v>1665.88</v>
      </c>
      <c r="H1996" t="s">
        <v>37</v>
      </c>
    </row>
    <row r="1997" spans="1:8" x14ac:dyDescent="0.35">
      <c r="A1997">
        <v>753</v>
      </c>
      <c r="B1997">
        <v>4</v>
      </c>
      <c r="C1997">
        <v>95</v>
      </c>
      <c r="D1997">
        <v>1</v>
      </c>
      <c r="E1997">
        <v>299.99</v>
      </c>
      <c r="F1997">
        <v>0.1</v>
      </c>
      <c r="G1997">
        <v>299.92</v>
      </c>
      <c r="H1997" t="s">
        <v>77</v>
      </c>
    </row>
    <row r="1998" spans="1:8" x14ac:dyDescent="0.35">
      <c r="A1998">
        <v>753</v>
      </c>
      <c r="B1998">
        <v>5</v>
      </c>
      <c r="C1998">
        <v>66</v>
      </c>
      <c r="D1998">
        <v>1</v>
      </c>
      <c r="E1998">
        <v>250.99</v>
      </c>
      <c r="F1998">
        <v>0.2</v>
      </c>
      <c r="G1998">
        <v>250.79</v>
      </c>
      <c r="H1998" t="s">
        <v>67</v>
      </c>
    </row>
    <row r="1999" spans="1:8" x14ac:dyDescent="0.35">
      <c r="A1999">
        <v>754</v>
      </c>
      <c r="B1999">
        <v>1</v>
      </c>
      <c r="C1999">
        <v>74</v>
      </c>
      <c r="D1999">
        <v>2</v>
      </c>
      <c r="E1999">
        <v>439.99</v>
      </c>
      <c r="F1999">
        <v>0.1</v>
      </c>
      <c r="G1999">
        <v>879.91</v>
      </c>
      <c r="H1999" t="s">
        <v>75</v>
      </c>
    </row>
    <row r="2000" spans="1:8" x14ac:dyDescent="0.35">
      <c r="A2000">
        <v>754</v>
      </c>
      <c r="B2000">
        <v>2</v>
      </c>
      <c r="C2000">
        <v>12</v>
      </c>
      <c r="D2000">
        <v>2</v>
      </c>
      <c r="E2000">
        <v>549.99</v>
      </c>
      <c r="F2000">
        <v>0.1</v>
      </c>
      <c r="G2000">
        <v>1099.9100000000001</v>
      </c>
      <c r="H2000" t="s">
        <v>17</v>
      </c>
    </row>
    <row r="2001" spans="1:8" x14ac:dyDescent="0.35">
      <c r="A2001">
        <v>754</v>
      </c>
      <c r="B2001">
        <v>3</v>
      </c>
      <c r="C2001">
        <v>3</v>
      </c>
      <c r="D2001">
        <v>1</v>
      </c>
      <c r="E2001">
        <v>999.99</v>
      </c>
      <c r="F2001">
        <v>0.1</v>
      </c>
      <c r="G2001">
        <v>999.94</v>
      </c>
      <c r="H2001" t="s">
        <v>8</v>
      </c>
    </row>
    <row r="2002" spans="1:8" x14ac:dyDescent="0.35">
      <c r="A2002">
        <v>754</v>
      </c>
      <c r="B2002">
        <v>4</v>
      </c>
      <c r="C2002">
        <v>67</v>
      </c>
      <c r="D2002">
        <v>2</v>
      </c>
      <c r="E2002">
        <v>250.99</v>
      </c>
      <c r="F2002">
        <v>0.1</v>
      </c>
      <c r="G2002">
        <v>501.93</v>
      </c>
      <c r="H2002" t="s">
        <v>68</v>
      </c>
    </row>
    <row r="2003" spans="1:8" x14ac:dyDescent="0.35">
      <c r="A2003">
        <v>754</v>
      </c>
      <c r="B2003">
        <v>5</v>
      </c>
      <c r="C2003">
        <v>7</v>
      </c>
      <c r="D2003">
        <v>1</v>
      </c>
      <c r="E2003">
        <v>3999.99</v>
      </c>
      <c r="F2003">
        <v>0.2</v>
      </c>
      <c r="G2003">
        <v>3999.79</v>
      </c>
      <c r="H2003" t="s">
        <v>12</v>
      </c>
    </row>
    <row r="2004" spans="1:8" x14ac:dyDescent="0.35">
      <c r="A2004">
        <v>755</v>
      </c>
      <c r="B2004">
        <v>1</v>
      </c>
      <c r="C2004">
        <v>80</v>
      </c>
      <c r="D2004">
        <v>2</v>
      </c>
      <c r="E2004">
        <v>761.99</v>
      </c>
      <c r="F2004">
        <v>0.1</v>
      </c>
      <c r="G2004">
        <v>1523.91</v>
      </c>
      <c r="H2004" t="s">
        <v>81</v>
      </c>
    </row>
    <row r="2005" spans="1:8" x14ac:dyDescent="0.35">
      <c r="A2005">
        <v>755</v>
      </c>
      <c r="B2005">
        <v>2</v>
      </c>
      <c r="C2005">
        <v>43</v>
      </c>
      <c r="D2005">
        <v>2</v>
      </c>
      <c r="E2005">
        <v>5299.99</v>
      </c>
      <c r="F2005">
        <v>0.1</v>
      </c>
      <c r="G2005">
        <v>10599.93</v>
      </c>
      <c r="H2005" t="s">
        <v>44</v>
      </c>
    </row>
    <row r="2006" spans="1:8" x14ac:dyDescent="0.35">
      <c r="A2006">
        <v>755</v>
      </c>
      <c r="B2006">
        <v>3</v>
      </c>
      <c r="C2006">
        <v>57</v>
      </c>
      <c r="D2006">
        <v>2</v>
      </c>
      <c r="E2006">
        <v>1999.99</v>
      </c>
      <c r="F2006">
        <v>0.1</v>
      </c>
      <c r="G2006">
        <v>3999.88</v>
      </c>
      <c r="H2006" t="s">
        <v>58</v>
      </c>
    </row>
    <row r="2007" spans="1:8" x14ac:dyDescent="0.35">
      <c r="A2007">
        <v>756</v>
      </c>
      <c r="B2007">
        <v>1</v>
      </c>
      <c r="C2007">
        <v>64</v>
      </c>
      <c r="D2007">
        <v>1</v>
      </c>
      <c r="E2007">
        <v>489.99</v>
      </c>
      <c r="F2007">
        <v>0.1</v>
      </c>
      <c r="G2007">
        <v>489.89</v>
      </c>
      <c r="H2007" t="s">
        <v>65</v>
      </c>
    </row>
    <row r="2008" spans="1:8" x14ac:dyDescent="0.35">
      <c r="A2008">
        <v>756</v>
      </c>
      <c r="B2008">
        <v>2</v>
      </c>
      <c r="C2008">
        <v>17</v>
      </c>
      <c r="D2008">
        <v>2</v>
      </c>
      <c r="E2008">
        <v>429</v>
      </c>
      <c r="F2008">
        <v>0.1</v>
      </c>
      <c r="G2008">
        <v>857.95</v>
      </c>
      <c r="H2008" t="s">
        <v>22</v>
      </c>
    </row>
    <row r="2009" spans="1:8" x14ac:dyDescent="0.35">
      <c r="A2009">
        <v>758</v>
      </c>
      <c r="B2009">
        <v>1</v>
      </c>
      <c r="C2009">
        <v>22</v>
      </c>
      <c r="D2009">
        <v>2</v>
      </c>
      <c r="E2009">
        <v>269.99</v>
      </c>
      <c r="F2009">
        <v>0.1</v>
      </c>
      <c r="G2009">
        <v>539.91</v>
      </c>
      <c r="H2009" t="s">
        <v>19</v>
      </c>
    </row>
    <row r="2010" spans="1:8" x14ac:dyDescent="0.35">
      <c r="A2010">
        <v>758</v>
      </c>
      <c r="B2010">
        <v>2</v>
      </c>
      <c r="C2010">
        <v>99</v>
      </c>
      <c r="D2010">
        <v>1</v>
      </c>
      <c r="E2010">
        <v>299.99</v>
      </c>
      <c r="F2010">
        <v>0.1</v>
      </c>
      <c r="G2010">
        <v>299.89</v>
      </c>
      <c r="H2010" t="s">
        <v>99</v>
      </c>
    </row>
    <row r="2011" spans="1:8" x14ac:dyDescent="0.35">
      <c r="A2011">
        <v>758</v>
      </c>
      <c r="B2011">
        <v>3</v>
      </c>
      <c r="C2011">
        <v>27</v>
      </c>
      <c r="D2011">
        <v>1</v>
      </c>
      <c r="E2011">
        <v>999.99</v>
      </c>
      <c r="F2011">
        <v>0.1</v>
      </c>
      <c r="G2011">
        <v>999.92</v>
      </c>
      <c r="H2011" t="s">
        <v>28</v>
      </c>
    </row>
    <row r="2012" spans="1:8" x14ac:dyDescent="0.35">
      <c r="A2012">
        <v>758</v>
      </c>
      <c r="B2012">
        <v>4</v>
      </c>
      <c r="C2012">
        <v>65</v>
      </c>
      <c r="D2012">
        <v>2</v>
      </c>
      <c r="E2012">
        <v>346.99</v>
      </c>
      <c r="F2012">
        <v>0.1</v>
      </c>
      <c r="G2012">
        <v>693.91</v>
      </c>
      <c r="H2012" t="s">
        <v>66</v>
      </c>
    </row>
    <row r="2013" spans="1:8" x14ac:dyDescent="0.35">
      <c r="A2013">
        <v>758</v>
      </c>
      <c r="B2013">
        <v>5</v>
      </c>
      <c r="C2013">
        <v>109</v>
      </c>
      <c r="D2013">
        <v>1</v>
      </c>
      <c r="E2013">
        <v>416.99</v>
      </c>
      <c r="F2013">
        <v>0.2</v>
      </c>
      <c r="G2013">
        <v>416.79</v>
      </c>
      <c r="H2013" t="s">
        <v>106</v>
      </c>
    </row>
    <row r="2014" spans="1:8" x14ac:dyDescent="0.35">
      <c r="A2014">
        <v>759</v>
      </c>
      <c r="B2014">
        <v>1</v>
      </c>
      <c r="C2014">
        <v>93</v>
      </c>
      <c r="D2014">
        <v>2</v>
      </c>
      <c r="E2014">
        <v>209.99</v>
      </c>
      <c r="F2014">
        <v>0.1</v>
      </c>
      <c r="G2014">
        <v>419.93</v>
      </c>
      <c r="H2014" t="s">
        <v>94</v>
      </c>
    </row>
    <row r="2015" spans="1:8" x14ac:dyDescent="0.35">
      <c r="A2015">
        <v>759</v>
      </c>
      <c r="B2015">
        <v>2</v>
      </c>
      <c r="C2015">
        <v>78</v>
      </c>
      <c r="D2015">
        <v>1</v>
      </c>
      <c r="E2015">
        <v>647.99</v>
      </c>
      <c r="F2015">
        <v>0.1</v>
      </c>
      <c r="G2015">
        <v>647.91999999999996</v>
      </c>
      <c r="H2015" t="s">
        <v>79</v>
      </c>
    </row>
    <row r="2016" spans="1:8" x14ac:dyDescent="0.35">
      <c r="A2016">
        <v>760</v>
      </c>
      <c r="B2016">
        <v>1</v>
      </c>
      <c r="C2016">
        <v>21</v>
      </c>
      <c r="D2016">
        <v>2</v>
      </c>
      <c r="E2016">
        <v>269.99</v>
      </c>
      <c r="F2016">
        <v>0.1</v>
      </c>
      <c r="G2016">
        <v>539.91</v>
      </c>
      <c r="H2016" t="s">
        <v>18</v>
      </c>
    </row>
    <row r="2017" spans="1:8" x14ac:dyDescent="0.35">
      <c r="A2017">
        <v>760</v>
      </c>
      <c r="B2017">
        <v>2</v>
      </c>
      <c r="C2017">
        <v>29</v>
      </c>
      <c r="D2017">
        <v>2</v>
      </c>
      <c r="E2017">
        <v>999.99</v>
      </c>
      <c r="F2017">
        <v>0.1</v>
      </c>
      <c r="G2017">
        <v>1999.91</v>
      </c>
      <c r="H2017" t="s">
        <v>30</v>
      </c>
    </row>
    <row r="2018" spans="1:8" x14ac:dyDescent="0.35">
      <c r="A2018">
        <v>761</v>
      </c>
      <c r="B2018">
        <v>1</v>
      </c>
      <c r="C2018">
        <v>43</v>
      </c>
      <c r="D2018">
        <v>1</v>
      </c>
      <c r="E2018">
        <v>5299.99</v>
      </c>
      <c r="F2018">
        <v>0.1</v>
      </c>
      <c r="G2018">
        <v>5299.92</v>
      </c>
      <c r="H2018" t="s">
        <v>44</v>
      </c>
    </row>
    <row r="2019" spans="1:8" x14ac:dyDescent="0.35">
      <c r="A2019">
        <v>761</v>
      </c>
      <c r="B2019">
        <v>2</v>
      </c>
      <c r="C2019">
        <v>52</v>
      </c>
      <c r="D2019">
        <v>2</v>
      </c>
      <c r="E2019">
        <v>875.99</v>
      </c>
      <c r="F2019">
        <v>0.2</v>
      </c>
      <c r="G2019">
        <v>1751.78</v>
      </c>
      <c r="H2019" t="s">
        <v>53</v>
      </c>
    </row>
    <row r="2020" spans="1:8" x14ac:dyDescent="0.35">
      <c r="A2020">
        <v>763</v>
      </c>
      <c r="B2020">
        <v>1</v>
      </c>
      <c r="C2020">
        <v>90</v>
      </c>
      <c r="D2020">
        <v>1</v>
      </c>
      <c r="E2020">
        <v>209.99</v>
      </c>
      <c r="F2020">
        <v>0.1</v>
      </c>
      <c r="G2020">
        <v>209.92</v>
      </c>
      <c r="H2020" t="s">
        <v>91</v>
      </c>
    </row>
    <row r="2021" spans="1:8" x14ac:dyDescent="0.35">
      <c r="A2021">
        <v>763</v>
      </c>
      <c r="B2021">
        <v>2</v>
      </c>
      <c r="C2021">
        <v>103</v>
      </c>
      <c r="D2021">
        <v>1</v>
      </c>
      <c r="E2021">
        <v>551.99</v>
      </c>
      <c r="F2021">
        <v>0.1</v>
      </c>
      <c r="G2021">
        <v>551.89</v>
      </c>
      <c r="H2021" t="s">
        <v>102</v>
      </c>
    </row>
    <row r="2022" spans="1:8" x14ac:dyDescent="0.35">
      <c r="A2022">
        <v>764</v>
      </c>
      <c r="B2022">
        <v>1</v>
      </c>
      <c r="C2022">
        <v>55</v>
      </c>
      <c r="D2022">
        <v>1</v>
      </c>
      <c r="E2022">
        <v>2699.99</v>
      </c>
      <c r="F2022">
        <v>0.1</v>
      </c>
      <c r="G2022">
        <v>2699.92</v>
      </c>
      <c r="H2022" t="s">
        <v>56</v>
      </c>
    </row>
    <row r="2023" spans="1:8" x14ac:dyDescent="0.35">
      <c r="A2023">
        <v>764</v>
      </c>
      <c r="B2023">
        <v>2</v>
      </c>
      <c r="C2023">
        <v>95</v>
      </c>
      <c r="D2023">
        <v>2</v>
      </c>
      <c r="E2023">
        <v>299.99</v>
      </c>
      <c r="F2023">
        <v>0.1</v>
      </c>
      <c r="G2023">
        <v>599.92999999999995</v>
      </c>
      <c r="H2023" t="s">
        <v>77</v>
      </c>
    </row>
    <row r="2024" spans="1:8" x14ac:dyDescent="0.35">
      <c r="A2024">
        <v>764</v>
      </c>
      <c r="B2024">
        <v>3</v>
      </c>
      <c r="C2024">
        <v>81</v>
      </c>
      <c r="D2024">
        <v>2</v>
      </c>
      <c r="E2024">
        <v>1099.99</v>
      </c>
      <c r="F2024">
        <v>0.1</v>
      </c>
      <c r="G2024">
        <v>2199.91</v>
      </c>
      <c r="H2024" t="s">
        <v>82</v>
      </c>
    </row>
    <row r="2025" spans="1:8" x14ac:dyDescent="0.35">
      <c r="A2025">
        <v>765</v>
      </c>
      <c r="B2025">
        <v>1</v>
      </c>
      <c r="C2025">
        <v>28</v>
      </c>
      <c r="D2025">
        <v>2</v>
      </c>
      <c r="E2025">
        <v>2499.9899999999998</v>
      </c>
      <c r="F2025">
        <v>0.2</v>
      </c>
      <c r="G2025">
        <v>4999.78</v>
      </c>
      <c r="H2025" t="s">
        <v>29</v>
      </c>
    </row>
    <row r="2026" spans="1:8" x14ac:dyDescent="0.35">
      <c r="A2026">
        <v>765</v>
      </c>
      <c r="B2026">
        <v>2</v>
      </c>
      <c r="C2026">
        <v>12</v>
      </c>
      <c r="D2026">
        <v>1</v>
      </c>
      <c r="E2026">
        <v>549.99</v>
      </c>
      <c r="F2026">
        <v>0.1</v>
      </c>
      <c r="G2026">
        <v>549.91999999999996</v>
      </c>
      <c r="H2026" t="s">
        <v>17</v>
      </c>
    </row>
    <row r="2027" spans="1:8" x14ac:dyDescent="0.35">
      <c r="A2027">
        <v>765</v>
      </c>
      <c r="B2027">
        <v>3</v>
      </c>
      <c r="C2027">
        <v>25</v>
      </c>
      <c r="D2027">
        <v>1</v>
      </c>
      <c r="E2027">
        <v>499.99</v>
      </c>
      <c r="F2027">
        <v>0.2</v>
      </c>
      <c r="G2027">
        <v>499.79</v>
      </c>
      <c r="H2027" t="s">
        <v>27</v>
      </c>
    </row>
    <row r="2028" spans="1:8" x14ac:dyDescent="0.35">
      <c r="A2028">
        <v>765</v>
      </c>
      <c r="B2028">
        <v>4</v>
      </c>
      <c r="C2028">
        <v>53</v>
      </c>
      <c r="D2028">
        <v>1</v>
      </c>
      <c r="E2028">
        <v>749.99</v>
      </c>
      <c r="F2028">
        <v>0.2</v>
      </c>
      <c r="G2028">
        <v>749.79</v>
      </c>
      <c r="H2028" t="s">
        <v>54</v>
      </c>
    </row>
    <row r="2029" spans="1:8" x14ac:dyDescent="0.35">
      <c r="A2029">
        <v>765</v>
      </c>
      <c r="B2029">
        <v>5</v>
      </c>
      <c r="C2029">
        <v>65</v>
      </c>
      <c r="D2029">
        <v>1</v>
      </c>
      <c r="E2029">
        <v>346.99</v>
      </c>
      <c r="F2029">
        <v>0.1</v>
      </c>
      <c r="G2029">
        <v>346.94</v>
      </c>
      <c r="H2029" t="s">
        <v>66</v>
      </c>
    </row>
    <row r="2030" spans="1:8" x14ac:dyDescent="0.35">
      <c r="A2030">
        <v>767</v>
      </c>
      <c r="B2030">
        <v>1</v>
      </c>
      <c r="C2030">
        <v>63</v>
      </c>
      <c r="D2030">
        <v>1</v>
      </c>
      <c r="E2030">
        <v>3499.99</v>
      </c>
      <c r="F2030">
        <v>0.1</v>
      </c>
      <c r="G2030">
        <v>3499.89</v>
      </c>
      <c r="H2030" t="s">
        <v>64</v>
      </c>
    </row>
    <row r="2031" spans="1:8" x14ac:dyDescent="0.35">
      <c r="A2031">
        <v>767</v>
      </c>
      <c r="B2031">
        <v>2</v>
      </c>
      <c r="C2031">
        <v>29</v>
      </c>
      <c r="D2031">
        <v>1</v>
      </c>
      <c r="E2031">
        <v>999.99</v>
      </c>
      <c r="F2031">
        <v>0.1</v>
      </c>
      <c r="G2031">
        <v>999.92</v>
      </c>
      <c r="H2031" t="s">
        <v>30</v>
      </c>
    </row>
    <row r="2032" spans="1:8" x14ac:dyDescent="0.35">
      <c r="A2032">
        <v>767</v>
      </c>
      <c r="B2032">
        <v>3</v>
      </c>
      <c r="C2032">
        <v>41</v>
      </c>
      <c r="D2032">
        <v>2</v>
      </c>
      <c r="E2032">
        <v>1469.99</v>
      </c>
      <c r="F2032">
        <v>0.1</v>
      </c>
      <c r="G2032">
        <v>2939.93</v>
      </c>
      <c r="H2032" t="s">
        <v>42</v>
      </c>
    </row>
    <row r="2033" spans="1:8" x14ac:dyDescent="0.35">
      <c r="A2033">
        <v>767</v>
      </c>
      <c r="B2033">
        <v>4</v>
      </c>
      <c r="C2033">
        <v>77</v>
      </c>
      <c r="D2033">
        <v>2</v>
      </c>
      <c r="E2033">
        <v>799.99</v>
      </c>
      <c r="F2033">
        <v>0.1</v>
      </c>
      <c r="G2033">
        <v>1599.93</v>
      </c>
      <c r="H2033" t="s">
        <v>78</v>
      </c>
    </row>
    <row r="2034" spans="1:8" x14ac:dyDescent="0.35">
      <c r="A2034">
        <v>768</v>
      </c>
      <c r="B2034">
        <v>1</v>
      </c>
      <c r="C2034">
        <v>31</v>
      </c>
      <c r="D2034">
        <v>1</v>
      </c>
      <c r="E2034">
        <v>1632.99</v>
      </c>
      <c r="F2034">
        <v>0.2</v>
      </c>
      <c r="G2034">
        <v>1632.79</v>
      </c>
      <c r="H2034" t="s">
        <v>32</v>
      </c>
    </row>
    <row r="2035" spans="1:8" x14ac:dyDescent="0.35">
      <c r="A2035">
        <v>768</v>
      </c>
      <c r="B2035">
        <v>2</v>
      </c>
      <c r="C2035">
        <v>76</v>
      </c>
      <c r="D2035">
        <v>1</v>
      </c>
      <c r="E2035">
        <v>299.99</v>
      </c>
      <c r="F2035">
        <v>0.2</v>
      </c>
      <c r="G2035">
        <v>299.79000000000002</v>
      </c>
      <c r="H2035" t="s">
        <v>77</v>
      </c>
    </row>
    <row r="2036" spans="1:8" x14ac:dyDescent="0.35">
      <c r="A2036">
        <v>769</v>
      </c>
      <c r="B2036">
        <v>1</v>
      </c>
      <c r="C2036">
        <v>8</v>
      </c>
      <c r="D2036">
        <v>1</v>
      </c>
      <c r="E2036">
        <v>1799.99</v>
      </c>
      <c r="F2036">
        <v>0.1</v>
      </c>
      <c r="G2036">
        <v>1799.89</v>
      </c>
      <c r="H2036" t="s">
        <v>13</v>
      </c>
    </row>
    <row r="2037" spans="1:8" x14ac:dyDescent="0.35">
      <c r="A2037">
        <v>769</v>
      </c>
      <c r="B2037">
        <v>2</v>
      </c>
      <c r="C2037">
        <v>6</v>
      </c>
      <c r="D2037">
        <v>2</v>
      </c>
      <c r="E2037">
        <v>469.99</v>
      </c>
      <c r="F2037">
        <v>0.1</v>
      </c>
      <c r="G2037">
        <v>939.93</v>
      </c>
      <c r="H2037" t="s">
        <v>11</v>
      </c>
    </row>
    <row r="2038" spans="1:8" x14ac:dyDescent="0.35">
      <c r="A2038">
        <v>769</v>
      </c>
      <c r="B2038">
        <v>3</v>
      </c>
      <c r="C2038">
        <v>36</v>
      </c>
      <c r="D2038">
        <v>2</v>
      </c>
      <c r="E2038">
        <v>832.99</v>
      </c>
      <c r="F2038">
        <v>0.1</v>
      </c>
      <c r="G2038">
        <v>1665.91</v>
      </c>
      <c r="H2038" t="s">
        <v>37</v>
      </c>
    </row>
    <row r="2039" spans="1:8" x14ac:dyDescent="0.35">
      <c r="A2039">
        <v>770</v>
      </c>
      <c r="B2039">
        <v>1</v>
      </c>
      <c r="C2039">
        <v>110</v>
      </c>
      <c r="D2039">
        <v>1</v>
      </c>
      <c r="E2039">
        <v>470.99</v>
      </c>
      <c r="F2039">
        <v>0.1</v>
      </c>
      <c r="G2039">
        <v>470.94</v>
      </c>
      <c r="H2039" t="s">
        <v>107</v>
      </c>
    </row>
    <row r="2040" spans="1:8" x14ac:dyDescent="0.35">
      <c r="A2040">
        <v>770</v>
      </c>
      <c r="B2040">
        <v>2</v>
      </c>
      <c r="C2040">
        <v>42</v>
      </c>
      <c r="D2040">
        <v>1</v>
      </c>
      <c r="E2040">
        <v>2299.9899999999998</v>
      </c>
      <c r="F2040">
        <v>0.2</v>
      </c>
      <c r="G2040">
        <v>2299.79</v>
      </c>
      <c r="H2040" t="s">
        <v>43</v>
      </c>
    </row>
    <row r="2041" spans="1:8" x14ac:dyDescent="0.35">
      <c r="A2041">
        <v>770</v>
      </c>
      <c r="B2041">
        <v>3</v>
      </c>
      <c r="C2041">
        <v>103</v>
      </c>
      <c r="D2041">
        <v>1</v>
      </c>
      <c r="E2041">
        <v>551.99</v>
      </c>
      <c r="F2041">
        <v>0.2</v>
      </c>
      <c r="G2041">
        <v>551.79</v>
      </c>
      <c r="H2041" t="s">
        <v>102</v>
      </c>
    </row>
    <row r="2042" spans="1:8" x14ac:dyDescent="0.35">
      <c r="A2042">
        <v>770</v>
      </c>
      <c r="B2042">
        <v>4</v>
      </c>
      <c r="C2042">
        <v>11</v>
      </c>
      <c r="D2042">
        <v>2</v>
      </c>
      <c r="E2042">
        <v>1680.99</v>
      </c>
      <c r="F2042">
        <v>0.1</v>
      </c>
      <c r="G2042">
        <v>3361.93</v>
      </c>
      <c r="H2042" t="s">
        <v>16</v>
      </c>
    </row>
    <row r="2043" spans="1:8" x14ac:dyDescent="0.35">
      <c r="A2043">
        <v>771</v>
      </c>
      <c r="B2043">
        <v>1</v>
      </c>
      <c r="C2043">
        <v>13</v>
      </c>
      <c r="D2043">
        <v>2</v>
      </c>
      <c r="E2043">
        <v>269.99</v>
      </c>
      <c r="F2043">
        <v>0.2</v>
      </c>
      <c r="G2043">
        <v>539.78</v>
      </c>
      <c r="H2043" t="s">
        <v>18</v>
      </c>
    </row>
    <row r="2044" spans="1:8" x14ac:dyDescent="0.35">
      <c r="A2044">
        <v>771</v>
      </c>
      <c r="B2044">
        <v>2</v>
      </c>
      <c r="C2044">
        <v>88</v>
      </c>
      <c r="D2044">
        <v>1</v>
      </c>
      <c r="E2044">
        <v>189.99</v>
      </c>
      <c r="F2044">
        <v>0.2</v>
      </c>
      <c r="G2044">
        <v>189.79</v>
      </c>
      <c r="H2044" t="s">
        <v>89</v>
      </c>
    </row>
    <row r="2045" spans="1:8" x14ac:dyDescent="0.35">
      <c r="A2045">
        <v>773</v>
      </c>
      <c r="B2045">
        <v>1</v>
      </c>
      <c r="C2045">
        <v>92</v>
      </c>
      <c r="D2045">
        <v>1</v>
      </c>
      <c r="E2045">
        <v>209.99</v>
      </c>
      <c r="F2045">
        <v>0.1</v>
      </c>
      <c r="G2045">
        <v>209.89</v>
      </c>
      <c r="H2045" t="s">
        <v>93</v>
      </c>
    </row>
    <row r="2046" spans="1:8" x14ac:dyDescent="0.35">
      <c r="A2046">
        <v>773</v>
      </c>
      <c r="B2046">
        <v>2</v>
      </c>
      <c r="C2046">
        <v>14</v>
      </c>
      <c r="D2046">
        <v>1</v>
      </c>
      <c r="E2046">
        <v>269.99</v>
      </c>
      <c r="F2046">
        <v>0.1</v>
      </c>
      <c r="G2046">
        <v>269.94</v>
      </c>
      <c r="H2046" t="s">
        <v>19</v>
      </c>
    </row>
    <row r="2047" spans="1:8" x14ac:dyDescent="0.35">
      <c r="A2047">
        <v>773</v>
      </c>
      <c r="B2047">
        <v>3</v>
      </c>
      <c r="C2047">
        <v>17</v>
      </c>
      <c r="D2047">
        <v>2</v>
      </c>
      <c r="E2047">
        <v>429</v>
      </c>
      <c r="F2047">
        <v>0.2</v>
      </c>
      <c r="G2047">
        <v>857.8</v>
      </c>
      <c r="H2047" t="s">
        <v>22</v>
      </c>
    </row>
    <row r="2048" spans="1:8" x14ac:dyDescent="0.35">
      <c r="A2048">
        <v>773</v>
      </c>
      <c r="B2048">
        <v>4</v>
      </c>
      <c r="C2048">
        <v>33</v>
      </c>
      <c r="D2048">
        <v>2</v>
      </c>
      <c r="E2048">
        <v>469.99</v>
      </c>
      <c r="F2048">
        <v>0.1</v>
      </c>
      <c r="G2048">
        <v>939.91</v>
      </c>
      <c r="H2048" t="s">
        <v>34</v>
      </c>
    </row>
    <row r="2049" spans="1:8" x14ac:dyDescent="0.35">
      <c r="A2049">
        <v>774</v>
      </c>
      <c r="B2049">
        <v>1</v>
      </c>
      <c r="C2049">
        <v>65</v>
      </c>
      <c r="D2049">
        <v>1</v>
      </c>
      <c r="E2049">
        <v>346.99</v>
      </c>
      <c r="F2049">
        <v>0.1</v>
      </c>
      <c r="G2049">
        <v>346.94</v>
      </c>
      <c r="H2049" t="s">
        <v>66</v>
      </c>
    </row>
    <row r="2050" spans="1:8" x14ac:dyDescent="0.35">
      <c r="A2050">
        <v>774</v>
      </c>
      <c r="B2050">
        <v>2</v>
      </c>
      <c r="C2050">
        <v>36</v>
      </c>
      <c r="D2050">
        <v>2</v>
      </c>
      <c r="E2050">
        <v>832.99</v>
      </c>
      <c r="F2050">
        <v>0.1</v>
      </c>
      <c r="G2050">
        <v>1665.93</v>
      </c>
      <c r="H2050" t="s">
        <v>37</v>
      </c>
    </row>
    <row r="2051" spans="1:8" x14ac:dyDescent="0.35">
      <c r="A2051">
        <v>774</v>
      </c>
      <c r="B2051">
        <v>3</v>
      </c>
      <c r="C2051">
        <v>20</v>
      </c>
      <c r="D2051">
        <v>1</v>
      </c>
      <c r="E2051">
        <v>599.99</v>
      </c>
      <c r="F2051">
        <v>0.2</v>
      </c>
      <c r="G2051">
        <v>599.79</v>
      </c>
      <c r="H2051" t="s">
        <v>25</v>
      </c>
    </row>
    <row r="2052" spans="1:8" x14ac:dyDescent="0.35">
      <c r="A2052">
        <v>774</v>
      </c>
      <c r="B2052">
        <v>4</v>
      </c>
      <c r="C2052">
        <v>73</v>
      </c>
      <c r="D2052">
        <v>1</v>
      </c>
      <c r="E2052">
        <v>749.99</v>
      </c>
      <c r="F2052">
        <v>0.1</v>
      </c>
      <c r="G2052">
        <v>749.94</v>
      </c>
      <c r="H2052" t="s">
        <v>74</v>
      </c>
    </row>
    <row r="2053" spans="1:8" x14ac:dyDescent="0.35">
      <c r="A2053">
        <v>774</v>
      </c>
      <c r="B2053">
        <v>5</v>
      </c>
      <c r="C2053">
        <v>58</v>
      </c>
      <c r="D2053">
        <v>2</v>
      </c>
      <c r="E2053">
        <v>4999.99</v>
      </c>
      <c r="F2053">
        <v>0.1</v>
      </c>
      <c r="G2053">
        <v>9999.8799999999992</v>
      </c>
      <c r="H2053" t="s">
        <v>59</v>
      </c>
    </row>
    <row r="2054" spans="1:8" x14ac:dyDescent="0.35">
      <c r="A2054">
        <v>776</v>
      </c>
      <c r="B2054">
        <v>1</v>
      </c>
      <c r="C2054">
        <v>28</v>
      </c>
      <c r="D2054">
        <v>1</v>
      </c>
      <c r="E2054">
        <v>2499.9899999999998</v>
      </c>
      <c r="F2054">
        <v>0.2</v>
      </c>
      <c r="G2054">
        <v>2499.79</v>
      </c>
      <c r="H2054" t="s">
        <v>29</v>
      </c>
    </row>
    <row r="2055" spans="1:8" x14ac:dyDescent="0.35">
      <c r="A2055">
        <v>776</v>
      </c>
      <c r="B2055">
        <v>2</v>
      </c>
      <c r="C2055">
        <v>42</v>
      </c>
      <c r="D2055">
        <v>2</v>
      </c>
      <c r="E2055">
        <v>2299.9899999999998</v>
      </c>
      <c r="F2055">
        <v>0.2</v>
      </c>
      <c r="G2055">
        <v>4599.78</v>
      </c>
      <c r="H2055" t="s">
        <v>43</v>
      </c>
    </row>
    <row r="2056" spans="1:8" x14ac:dyDescent="0.35">
      <c r="A2056">
        <v>776</v>
      </c>
      <c r="B2056">
        <v>3</v>
      </c>
      <c r="C2056">
        <v>71</v>
      </c>
      <c r="D2056">
        <v>1</v>
      </c>
      <c r="E2056">
        <v>416.99</v>
      </c>
      <c r="F2056">
        <v>0.1</v>
      </c>
      <c r="G2056">
        <v>416.89</v>
      </c>
      <c r="H2056" t="s">
        <v>72</v>
      </c>
    </row>
    <row r="2057" spans="1:8" x14ac:dyDescent="0.35">
      <c r="A2057">
        <v>776</v>
      </c>
      <c r="B2057">
        <v>4</v>
      </c>
      <c r="C2057">
        <v>35</v>
      </c>
      <c r="D2057">
        <v>1</v>
      </c>
      <c r="E2057">
        <v>832.99</v>
      </c>
      <c r="F2057">
        <v>0.1</v>
      </c>
      <c r="G2057">
        <v>832.89</v>
      </c>
      <c r="H2057" t="s">
        <v>36</v>
      </c>
    </row>
    <row r="2058" spans="1:8" x14ac:dyDescent="0.35">
      <c r="A2058">
        <v>777</v>
      </c>
      <c r="B2058">
        <v>1</v>
      </c>
      <c r="C2058">
        <v>5</v>
      </c>
      <c r="D2058">
        <v>1</v>
      </c>
      <c r="E2058">
        <v>1320.99</v>
      </c>
      <c r="F2058">
        <v>0.2</v>
      </c>
      <c r="G2058">
        <v>1320.79</v>
      </c>
      <c r="H2058" t="s">
        <v>10</v>
      </c>
    </row>
    <row r="2059" spans="1:8" x14ac:dyDescent="0.35">
      <c r="A2059">
        <v>777</v>
      </c>
      <c r="B2059">
        <v>2</v>
      </c>
      <c r="C2059">
        <v>7</v>
      </c>
      <c r="D2059">
        <v>2</v>
      </c>
      <c r="E2059">
        <v>3999.99</v>
      </c>
      <c r="F2059">
        <v>0.2</v>
      </c>
      <c r="G2059">
        <v>7999.78</v>
      </c>
      <c r="H2059" t="s">
        <v>12</v>
      </c>
    </row>
    <row r="2060" spans="1:8" x14ac:dyDescent="0.35">
      <c r="A2060">
        <v>777</v>
      </c>
      <c r="B2060">
        <v>3</v>
      </c>
      <c r="C2060">
        <v>2</v>
      </c>
      <c r="D2060">
        <v>1</v>
      </c>
      <c r="E2060">
        <v>749.99</v>
      </c>
      <c r="F2060">
        <v>0.2</v>
      </c>
      <c r="G2060">
        <v>749.79</v>
      </c>
      <c r="H2060" t="s">
        <v>7</v>
      </c>
    </row>
    <row r="2061" spans="1:8" x14ac:dyDescent="0.35">
      <c r="A2061">
        <v>778</v>
      </c>
      <c r="B2061">
        <v>1</v>
      </c>
      <c r="C2061">
        <v>64</v>
      </c>
      <c r="D2061">
        <v>1</v>
      </c>
      <c r="E2061">
        <v>489.99</v>
      </c>
      <c r="F2061">
        <v>0.1</v>
      </c>
      <c r="G2061">
        <v>489.89</v>
      </c>
      <c r="H2061" t="s">
        <v>65</v>
      </c>
    </row>
    <row r="2062" spans="1:8" x14ac:dyDescent="0.35">
      <c r="A2062">
        <v>778</v>
      </c>
      <c r="B2062">
        <v>2</v>
      </c>
      <c r="C2062">
        <v>85</v>
      </c>
      <c r="D2062">
        <v>1</v>
      </c>
      <c r="E2062">
        <v>329.99</v>
      </c>
      <c r="F2062">
        <v>0.1</v>
      </c>
      <c r="G2062">
        <v>329.94</v>
      </c>
      <c r="H2062" t="s">
        <v>86</v>
      </c>
    </row>
    <row r="2063" spans="1:8" x14ac:dyDescent="0.35">
      <c r="A2063">
        <v>779</v>
      </c>
      <c r="B2063">
        <v>1</v>
      </c>
      <c r="C2063">
        <v>101</v>
      </c>
      <c r="D2063">
        <v>1</v>
      </c>
      <c r="E2063">
        <v>339.99</v>
      </c>
      <c r="F2063">
        <v>0.1</v>
      </c>
      <c r="G2063">
        <v>339.94</v>
      </c>
      <c r="H2063" t="s">
        <v>101</v>
      </c>
    </row>
    <row r="2064" spans="1:8" x14ac:dyDescent="0.35">
      <c r="A2064">
        <v>779</v>
      </c>
      <c r="B2064">
        <v>2</v>
      </c>
      <c r="C2064">
        <v>90</v>
      </c>
      <c r="D2064">
        <v>2</v>
      </c>
      <c r="E2064">
        <v>209.99</v>
      </c>
      <c r="F2064">
        <v>0.2</v>
      </c>
      <c r="G2064">
        <v>419.78</v>
      </c>
      <c r="H2064" t="s">
        <v>91</v>
      </c>
    </row>
    <row r="2065" spans="1:8" x14ac:dyDescent="0.35">
      <c r="A2065">
        <v>779</v>
      </c>
      <c r="B2065">
        <v>3</v>
      </c>
      <c r="C2065">
        <v>47</v>
      </c>
      <c r="D2065">
        <v>1</v>
      </c>
      <c r="E2065">
        <v>5299.99</v>
      </c>
      <c r="F2065">
        <v>0.2</v>
      </c>
      <c r="G2065">
        <v>5299.79</v>
      </c>
      <c r="H2065" t="s">
        <v>48</v>
      </c>
    </row>
    <row r="2066" spans="1:8" x14ac:dyDescent="0.35">
      <c r="A2066">
        <v>779</v>
      </c>
      <c r="B2066">
        <v>4</v>
      </c>
      <c r="C2066">
        <v>8</v>
      </c>
      <c r="D2066">
        <v>1</v>
      </c>
      <c r="E2066">
        <v>1799.99</v>
      </c>
      <c r="F2066">
        <v>0.2</v>
      </c>
      <c r="G2066">
        <v>1799.79</v>
      </c>
      <c r="H2066" t="s">
        <v>13</v>
      </c>
    </row>
    <row r="2067" spans="1:8" x14ac:dyDescent="0.35">
      <c r="A2067">
        <v>779</v>
      </c>
      <c r="B2067">
        <v>5</v>
      </c>
      <c r="C2067">
        <v>85</v>
      </c>
      <c r="D2067">
        <v>1</v>
      </c>
      <c r="E2067">
        <v>329.99</v>
      </c>
      <c r="F2067">
        <v>0.2</v>
      </c>
      <c r="G2067">
        <v>329.79</v>
      </c>
      <c r="H2067" t="s">
        <v>86</v>
      </c>
    </row>
    <row r="2068" spans="1:8" x14ac:dyDescent="0.35">
      <c r="A2068">
        <v>781</v>
      </c>
      <c r="B2068">
        <v>1</v>
      </c>
      <c r="C2068">
        <v>109</v>
      </c>
      <c r="D2068">
        <v>2</v>
      </c>
      <c r="E2068">
        <v>416.99</v>
      </c>
      <c r="F2068">
        <v>0.1</v>
      </c>
      <c r="G2068">
        <v>833.93</v>
      </c>
      <c r="H2068" t="s">
        <v>106</v>
      </c>
    </row>
    <row r="2069" spans="1:8" x14ac:dyDescent="0.35">
      <c r="A2069">
        <v>781</v>
      </c>
      <c r="B2069">
        <v>2</v>
      </c>
      <c r="C2069">
        <v>7</v>
      </c>
      <c r="D2069">
        <v>2</v>
      </c>
      <c r="E2069">
        <v>3999.99</v>
      </c>
      <c r="F2069">
        <v>0.2</v>
      </c>
      <c r="G2069">
        <v>7999.78</v>
      </c>
      <c r="H2069" t="s">
        <v>12</v>
      </c>
    </row>
    <row r="2070" spans="1:8" x14ac:dyDescent="0.35">
      <c r="A2070">
        <v>781</v>
      </c>
      <c r="B2070">
        <v>3</v>
      </c>
      <c r="C2070">
        <v>57</v>
      </c>
      <c r="D2070">
        <v>2</v>
      </c>
      <c r="E2070">
        <v>1999.99</v>
      </c>
      <c r="F2070">
        <v>0.1</v>
      </c>
      <c r="G2070">
        <v>3999.88</v>
      </c>
      <c r="H2070" t="s">
        <v>58</v>
      </c>
    </row>
    <row r="2071" spans="1:8" x14ac:dyDescent="0.35">
      <c r="A2071">
        <v>782</v>
      </c>
      <c r="B2071">
        <v>1</v>
      </c>
      <c r="C2071">
        <v>20</v>
      </c>
      <c r="D2071">
        <v>2</v>
      </c>
      <c r="E2071">
        <v>599.99</v>
      </c>
      <c r="F2071">
        <v>0.1</v>
      </c>
      <c r="G2071">
        <v>1199.9100000000001</v>
      </c>
      <c r="H2071" t="s">
        <v>25</v>
      </c>
    </row>
    <row r="2072" spans="1:8" x14ac:dyDescent="0.35">
      <c r="A2072">
        <v>782</v>
      </c>
      <c r="B2072">
        <v>2</v>
      </c>
      <c r="C2072">
        <v>57</v>
      </c>
      <c r="D2072">
        <v>1</v>
      </c>
      <c r="E2072">
        <v>1999.99</v>
      </c>
      <c r="F2072">
        <v>0.1</v>
      </c>
      <c r="G2072">
        <v>1999.92</v>
      </c>
      <c r="H2072" t="s">
        <v>58</v>
      </c>
    </row>
    <row r="2073" spans="1:8" x14ac:dyDescent="0.35">
      <c r="A2073">
        <v>782</v>
      </c>
      <c r="B2073">
        <v>3</v>
      </c>
      <c r="C2073">
        <v>99</v>
      </c>
      <c r="D2073">
        <v>1</v>
      </c>
      <c r="E2073">
        <v>299.99</v>
      </c>
      <c r="F2073">
        <v>0.1</v>
      </c>
      <c r="G2073">
        <v>299.92</v>
      </c>
      <c r="H2073" t="s">
        <v>99</v>
      </c>
    </row>
    <row r="2074" spans="1:8" x14ac:dyDescent="0.35">
      <c r="A2074">
        <v>782</v>
      </c>
      <c r="B2074">
        <v>4</v>
      </c>
      <c r="C2074">
        <v>16</v>
      </c>
      <c r="D2074">
        <v>2</v>
      </c>
      <c r="E2074">
        <v>599.99</v>
      </c>
      <c r="F2074">
        <v>0.2</v>
      </c>
      <c r="G2074">
        <v>1199.78</v>
      </c>
      <c r="H2074" t="s">
        <v>21</v>
      </c>
    </row>
    <row r="2075" spans="1:8" x14ac:dyDescent="0.35">
      <c r="A2075">
        <v>783</v>
      </c>
      <c r="B2075">
        <v>1</v>
      </c>
      <c r="C2075">
        <v>92</v>
      </c>
      <c r="D2075">
        <v>1</v>
      </c>
      <c r="E2075">
        <v>209.99</v>
      </c>
      <c r="F2075">
        <v>0.2</v>
      </c>
      <c r="G2075">
        <v>209.79</v>
      </c>
      <c r="H2075" t="s">
        <v>93</v>
      </c>
    </row>
    <row r="2076" spans="1:8" x14ac:dyDescent="0.35">
      <c r="A2076">
        <v>783</v>
      </c>
      <c r="B2076">
        <v>2</v>
      </c>
      <c r="C2076">
        <v>22</v>
      </c>
      <c r="D2076">
        <v>2</v>
      </c>
      <c r="E2076">
        <v>269.99</v>
      </c>
      <c r="F2076">
        <v>0.1</v>
      </c>
      <c r="G2076">
        <v>539.92999999999995</v>
      </c>
      <c r="H2076" t="s">
        <v>19</v>
      </c>
    </row>
    <row r="2077" spans="1:8" x14ac:dyDescent="0.35">
      <c r="A2077">
        <v>783</v>
      </c>
      <c r="B2077">
        <v>3</v>
      </c>
      <c r="C2077">
        <v>94</v>
      </c>
      <c r="D2077">
        <v>1</v>
      </c>
      <c r="E2077">
        <v>249.99</v>
      </c>
      <c r="F2077">
        <v>0.1</v>
      </c>
      <c r="G2077">
        <v>249.94</v>
      </c>
      <c r="H2077" t="s">
        <v>95</v>
      </c>
    </row>
    <row r="2078" spans="1:8" x14ac:dyDescent="0.35">
      <c r="A2078">
        <v>783</v>
      </c>
      <c r="B2078">
        <v>4</v>
      </c>
      <c r="C2078">
        <v>29</v>
      </c>
      <c r="D2078">
        <v>1</v>
      </c>
      <c r="E2078">
        <v>999.99</v>
      </c>
      <c r="F2078">
        <v>0.1</v>
      </c>
      <c r="G2078">
        <v>999.89</v>
      </c>
      <c r="H2078" t="s">
        <v>30</v>
      </c>
    </row>
    <row r="2079" spans="1:8" x14ac:dyDescent="0.35">
      <c r="A2079">
        <v>784</v>
      </c>
      <c r="B2079">
        <v>1</v>
      </c>
      <c r="C2079">
        <v>22</v>
      </c>
      <c r="D2079">
        <v>1</v>
      </c>
      <c r="E2079">
        <v>269.99</v>
      </c>
      <c r="F2079">
        <v>0.1</v>
      </c>
      <c r="G2079">
        <v>269.92</v>
      </c>
      <c r="H2079" t="s">
        <v>19</v>
      </c>
    </row>
    <row r="2080" spans="1:8" x14ac:dyDescent="0.35">
      <c r="A2080">
        <v>784</v>
      </c>
      <c r="B2080">
        <v>2</v>
      </c>
      <c r="C2080">
        <v>72</v>
      </c>
      <c r="D2080">
        <v>2</v>
      </c>
      <c r="E2080">
        <v>619.99</v>
      </c>
      <c r="F2080">
        <v>0.1</v>
      </c>
      <c r="G2080">
        <v>1239.8800000000001</v>
      </c>
      <c r="H2080" t="s">
        <v>73</v>
      </c>
    </row>
    <row r="2081" spans="1:8" x14ac:dyDescent="0.35">
      <c r="A2081">
        <v>784</v>
      </c>
      <c r="B2081">
        <v>3</v>
      </c>
      <c r="C2081">
        <v>16</v>
      </c>
      <c r="D2081">
        <v>1</v>
      </c>
      <c r="E2081">
        <v>599.99</v>
      </c>
      <c r="F2081">
        <v>0.2</v>
      </c>
      <c r="G2081">
        <v>599.79</v>
      </c>
      <c r="H2081" t="s">
        <v>21</v>
      </c>
    </row>
    <row r="2082" spans="1:8" x14ac:dyDescent="0.35">
      <c r="A2082">
        <v>785</v>
      </c>
      <c r="B2082">
        <v>1</v>
      </c>
      <c r="C2082">
        <v>59</v>
      </c>
      <c r="D2082">
        <v>2</v>
      </c>
      <c r="E2082">
        <v>2599.9899999999998</v>
      </c>
      <c r="F2082">
        <v>0.2</v>
      </c>
      <c r="G2082">
        <v>5199.78</v>
      </c>
      <c r="H2082" t="s">
        <v>60</v>
      </c>
    </row>
    <row r="2083" spans="1:8" x14ac:dyDescent="0.35">
      <c r="A2083">
        <v>785</v>
      </c>
      <c r="B2083">
        <v>2</v>
      </c>
      <c r="C2083">
        <v>40</v>
      </c>
      <c r="D2083">
        <v>1</v>
      </c>
      <c r="E2083">
        <v>4999.99</v>
      </c>
      <c r="F2083">
        <v>0.1</v>
      </c>
      <c r="G2083">
        <v>4999.92</v>
      </c>
      <c r="H2083" t="s">
        <v>41</v>
      </c>
    </row>
    <row r="2084" spans="1:8" x14ac:dyDescent="0.35">
      <c r="A2084">
        <v>785</v>
      </c>
      <c r="B2084">
        <v>3</v>
      </c>
      <c r="C2084">
        <v>25</v>
      </c>
      <c r="D2084">
        <v>1</v>
      </c>
      <c r="E2084">
        <v>499.99</v>
      </c>
      <c r="F2084">
        <v>0.1</v>
      </c>
      <c r="G2084">
        <v>499.92</v>
      </c>
      <c r="H2084" t="s">
        <v>27</v>
      </c>
    </row>
    <row r="2085" spans="1:8" x14ac:dyDescent="0.35">
      <c r="A2085">
        <v>787</v>
      </c>
      <c r="B2085">
        <v>1</v>
      </c>
      <c r="C2085">
        <v>51</v>
      </c>
      <c r="D2085">
        <v>2</v>
      </c>
      <c r="E2085">
        <v>6499.99</v>
      </c>
      <c r="F2085">
        <v>0.1</v>
      </c>
      <c r="G2085">
        <v>12999.91</v>
      </c>
      <c r="H2085" t="s">
        <v>52</v>
      </c>
    </row>
    <row r="2086" spans="1:8" x14ac:dyDescent="0.35">
      <c r="A2086">
        <v>787</v>
      </c>
      <c r="B2086">
        <v>2</v>
      </c>
      <c r="C2086">
        <v>66</v>
      </c>
      <c r="D2086">
        <v>2</v>
      </c>
      <c r="E2086">
        <v>250.99</v>
      </c>
      <c r="F2086">
        <v>0.1</v>
      </c>
      <c r="G2086">
        <v>501.88</v>
      </c>
      <c r="H2086" t="s">
        <v>67</v>
      </c>
    </row>
    <row r="2087" spans="1:8" x14ac:dyDescent="0.35">
      <c r="A2087">
        <v>788</v>
      </c>
      <c r="B2087">
        <v>1</v>
      </c>
      <c r="C2087">
        <v>48</v>
      </c>
      <c r="D2087">
        <v>1</v>
      </c>
      <c r="E2087">
        <v>1499.99</v>
      </c>
      <c r="F2087">
        <v>0.2</v>
      </c>
      <c r="G2087">
        <v>1499.79</v>
      </c>
      <c r="H2087" t="s">
        <v>49</v>
      </c>
    </row>
    <row r="2088" spans="1:8" x14ac:dyDescent="0.35">
      <c r="A2088">
        <v>788</v>
      </c>
      <c r="B2088">
        <v>2</v>
      </c>
      <c r="C2088">
        <v>19</v>
      </c>
      <c r="D2088">
        <v>1</v>
      </c>
      <c r="E2088">
        <v>449</v>
      </c>
      <c r="F2088">
        <v>0.1</v>
      </c>
      <c r="G2088">
        <v>448.9</v>
      </c>
      <c r="H2088" t="s">
        <v>24</v>
      </c>
    </row>
    <row r="2089" spans="1:8" x14ac:dyDescent="0.35">
      <c r="A2089">
        <v>788</v>
      </c>
      <c r="B2089">
        <v>3</v>
      </c>
      <c r="C2089">
        <v>13</v>
      </c>
      <c r="D2089">
        <v>1</v>
      </c>
      <c r="E2089">
        <v>269.99</v>
      </c>
      <c r="F2089">
        <v>0.1</v>
      </c>
      <c r="G2089">
        <v>269.94</v>
      </c>
      <c r="H2089" t="s">
        <v>18</v>
      </c>
    </row>
    <row r="2090" spans="1:8" x14ac:dyDescent="0.35">
      <c r="A2090">
        <v>789</v>
      </c>
      <c r="B2090">
        <v>1</v>
      </c>
      <c r="C2090">
        <v>100</v>
      </c>
      <c r="D2090">
        <v>2</v>
      </c>
      <c r="E2090">
        <v>489.99</v>
      </c>
      <c r="F2090">
        <v>0.2</v>
      </c>
      <c r="G2090">
        <v>979.78</v>
      </c>
      <c r="H2090" t="s">
        <v>100</v>
      </c>
    </row>
    <row r="2091" spans="1:8" x14ac:dyDescent="0.35">
      <c r="A2091">
        <v>789</v>
      </c>
      <c r="B2091">
        <v>2</v>
      </c>
      <c r="C2091">
        <v>93</v>
      </c>
      <c r="D2091">
        <v>2</v>
      </c>
      <c r="E2091">
        <v>209.99</v>
      </c>
      <c r="F2091">
        <v>0.1</v>
      </c>
      <c r="G2091">
        <v>419.91</v>
      </c>
      <c r="H2091" t="s">
        <v>94</v>
      </c>
    </row>
    <row r="2092" spans="1:8" x14ac:dyDescent="0.35">
      <c r="A2092">
        <v>790</v>
      </c>
      <c r="B2092">
        <v>1</v>
      </c>
      <c r="C2092">
        <v>62</v>
      </c>
      <c r="D2092">
        <v>2</v>
      </c>
      <c r="E2092">
        <v>3499.99</v>
      </c>
      <c r="F2092">
        <v>0.1</v>
      </c>
      <c r="G2092">
        <v>6999.91</v>
      </c>
      <c r="H2092" t="s">
        <v>63</v>
      </c>
    </row>
    <row r="2093" spans="1:8" x14ac:dyDescent="0.35">
      <c r="A2093">
        <v>790</v>
      </c>
      <c r="B2093">
        <v>2</v>
      </c>
      <c r="C2093">
        <v>91</v>
      </c>
      <c r="D2093">
        <v>1</v>
      </c>
      <c r="E2093">
        <v>349.99</v>
      </c>
      <c r="F2093">
        <v>0.1</v>
      </c>
      <c r="G2093">
        <v>349.89</v>
      </c>
      <c r="H2093" t="s">
        <v>92</v>
      </c>
    </row>
    <row r="2094" spans="1:8" x14ac:dyDescent="0.35">
      <c r="A2094">
        <v>791</v>
      </c>
      <c r="B2094">
        <v>1</v>
      </c>
      <c r="C2094">
        <v>54</v>
      </c>
      <c r="D2094">
        <v>1</v>
      </c>
      <c r="E2094">
        <v>3199.99</v>
      </c>
      <c r="F2094">
        <v>0.2</v>
      </c>
      <c r="G2094">
        <v>3199.79</v>
      </c>
      <c r="H2094" t="s">
        <v>55</v>
      </c>
    </row>
    <row r="2095" spans="1:8" x14ac:dyDescent="0.35">
      <c r="A2095">
        <v>791</v>
      </c>
      <c r="B2095">
        <v>2</v>
      </c>
      <c r="C2095">
        <v>25</v>
      </c>
      <c r="D2095">
        <v>2</v>
      </c>
      <c r="E2095">
        <v>499.99</v>
      </c>
      <c r="F2095">
        <v>0.1</v>
      </c>
      <c r="G2095">
        <v>999.91</v>
      </c>
      <c r="H2095" t="s">
        <v>27</v>
      </c>
    </row>
    <row r="2096" spans="1:8" x14ac:dyDescent="0.35">
      <c r="A2096">
        <v>792</v>
      </c>
      <c r="B2096">
        <v>1</v>
      </c>
      <c r="C2096">
        <v>16</v>
      </c>
      <c r="D2096">
        <v>2</v>
      </c>
      <c r="E2096">
        <v>599.99</v>
      </c>
      <c r="F2096">
        <v>0.2</v>
      </c>
      <c r="G2096">
        <v>1199.78</v>
      </c>
      <c r="H2096" t="s">
        <v>21</v>
      </c>
    </row>
    <row r="2097" spans="1:8" x14ac:dyDescent="0.35">
      <c r="A2097">
        <v>792</v>
      </c>
      <c r="B2097">
        <v>2</v>
      </c>
      <c r="C2097">
        <v>39</v>
      </c>
      <c r="D2097">
        <v>1</v>
      </c>
      <c r="E2097">
        <v>1499.99</v>
      </c>
      <c r="F2097">
        <v>0.2</v>
      </c>
      <c r="G2097">
        <v>1499.79</v>
      </c>
      <c r="H2097" t="s">
        <v>40</v>
      </c>
    </row>
    <row r="2098" spans="1:8" x14ac:dyDescent="0.35">
      <c r="A2098">
        <v>792</v>
      </c>
      <c r="B2098">
        <v>3</v>
      </c>
      <c r="C2098">
        <v>56</v>
      </c>
      <c r="D2098">
        <v>1</v>
      </c>
      <c r="E2098">
        <v>5499.99</v>
      </c>
      <c r="F2098">
        <v>0.2</v>
      </c>
      <c r="G2098">
        <v>5499.79</v>
      </c>
      <c r="H2098" t="s">
        <v>57</v>
      </c>
    </row>
    <row r="2099" spans="1:8" x14ac:dyDescent="0.35">
      <c r="A2099">
        <v>792</v>
      </c>
      <c r="B2099">
        <v>4</v>
      </c>
      <c r="C2099">
        <v>30</v>
      </c>
      <c r="D2099">
        <v>1</v>
      </c>
      <c r="E2099">
        <v>999.99</v>
      </c>
      <c r="F2099">
        <v>0.1</v>
      </c>
      <c r="G2099">
        <v>999.94</v>
      </c>
      <c r="H2099" t="s">
        <v>31</v>
      </c>
    </row>
    <row r="2100" spans="1:8" x14ac:dyDescent="0.35">
      <c r="A2100">
        <v>792</v>
      </c>
      <c r="B2100">
        <v>5</v>
      </c>
      <c r="C2100">
        <v>2</v>
      </c>
      <c r="D2100">
        <v>1</v>
      </c>
      <c r="E2100">
        <v>749.99</v>
      </c>
      <c r="F2100">
        <v>0.2</v>
      </c>
      <c r="G2100">
        <v>749.79</v>
      </c>
      <c r="H2100" t="s">
        <v>7</v>
      </c>
    </row>
    <row r="2101" spans="1:8" x14ac:dyDescent="0.35">
      <c r="A2101">
        <v>793</v>
      </c>
      <c r="B2101">
        <v>1</v>
      </c>
      <c r="C2101">
        <v>60</v>
      </c>
      <c r="D2101">
        <v>1</v>
      </c>
      <c r="E2101">
        <v>1559.99</v>
      </c>
      <c r="F2101">
        <v>0.1</v>
      </c>
      <c r="G2101">
        <v>1559.94</v>
      </c>
      <c r="H2101" t="s">
        <v>61</v>
      </c>
    </row>
    <row r="2102" spans="1:8" x14ac:dyDescent="0.35">
      <c r="A2102">
        <v>793</v>
      </c>
      <c r="B2102">
        <v>2</v>
      </c>
      <c r="C2102">
        <v>95</v>
      </c>
      <c r="D2102">
        <v>2</v>
      </c>
      <c r="E2102">
        <v>299.99</v>
      </c>
      <c r="F2102">
        <v>0.1</v>
      </c>
      <c r="G2102">
        <v>599.92999999999995</v>
      </c>
      <c r="H2102" t="s">
        <v>77</v>
      </c>
    </row>
    <row r="2103" spans="1:8" x14ac:dyDescent="0.35">
      <c r="A2103">
        <v>793</v>
      </c>
      <c r="B2103">
        <v>3</v>
      </c>
      <c r="C2103">
        <v>75</v>
      </c>
      <c r="D2103">
        <v>2</v>
      </c>
      <c r="E2103">
        <v>599.99</v>
      </c>
      <c r="F2103">
        <v>0.1</v>
      </c>
      <c r="G2103">
        <v>1199.93</v>
      </c>
      <c r="H2103" t="s">
        <v>76</v>
      </c>
    </row>
    <row r="2104" spans="1:8" x14ac:dyDescent="0.35">
      <c r="A2104">
        <v>794</v>
      </c>
      <c r="B2104">
        <v>1</v>
      </c>
      <c r="C2104">
        <v>41</v>
      </c>
      <c r="D2104">
        <v>2</v>
      </c>
      <c r="E2104">
        <v>1469.99</v>
      </c>
      <c r="F2104">
        <v>0.1</v>
      </c>
      <c r="G2104">
        <v>2939.93</v>
      </c>
      <c r="H2104" t="s">
        <v>42</v>
      </c>
    </row>
    <row r="2105" spans="1:8" x14ac:dyDescent="0.35">
      <c r="A2105">
        <v>794</v>
      </c>
      <c r="B2105">
        <v>2</v>
      </c>
      <c r="C2105">
        <v>68</v>
      </c>
      <c r="D2105">
        <v>1</v>
      </c>
      <c r="E2105">
        <v>449.99</v>
      </c>
      <c r="F2105">
        <v>0.2</v>
      </c>
      <c r="G2105">
        <v>449.79</v>
      </c>
      <c r="H2105" t="s">
        <v>69</v>
      </c>
    </row>
    <row r="2106" spans="1:8" x14ac:dyDescent="0.35">
      <c r="A2106">
        <v>794</v>
      </c>
      <c r="B2106">
        <v>3</v>
      </c>
      <c r="C2106">
        <v>17</v>
      </c>
      <c r="D2106">
        <v>1</v>
      </c>
      <c r="E2106">
        <v>429</v>
      </c>
      <c r="F2106">
        <v>0.1</v>
      </c>
      <c r="G2106">
        <v>428.93</v>
      </c>
      <c r="H2106" t="s">
        <v>22</v>
      </c>
    </row>
    <row r="2107" spans="1:8" x14ac:dyDescent="0.35">
      <c r="A2107">
        <v>794</v>
      </c>
      <c r="B2107">
        <v>4</v>
      </c>
      <c r="C2107">
        <v>28</v>
      </c>
      <c r="D2107">
        <v>1</v>
      </c>
      <c r="E2107">
        <v>2499.9899999999998</v>
      </c>
      <c r="F2107">
        <v>0.1</v>
      </c>
      <c r="G2107">
        <v>2499.89</v>
      </c>
      <c r="H2107" t="s">
        <v>29</v>
      </c>
    </row>
    <row r="2108" spans="1:8" x14ac:dyDescent="0.35">
      <c r="A2108">
        <v>795</v>
      </c>
      <c r="B2108">
        <v>1</v>
      </c>
      <c r="C2108">
        <v>95</v>
      </c>
      <c r="D2108">
        <v>2</v>
      </c>
      <c r="E2108">
        <v>299.99</v>
      </c>
      <c r="F2108">
        <v>0.1</v>
      </c>
      <c r="G2108">
        <v>599.92999999999995</v>
      </c>
      <c r="H2108" t="s">
        <v>77</v>
      </c>
    </row>
    <row r="2109" spans="1:8" x14ac:dyDescent="0.35">
      <c r="A2109">
        <v>795</v>
      </c>
      <c r="B2109">
        <v>2</v>
      </c>
      <c r="C2109">
        <v>99</v>
      </c>
      <c r="D2109">
        <v>2</v>
      </c>
      <c r="E2109">
        <v>299.99</v>
      </c>
      <c r="F2109">
        <v>0.1</v>
      </c>
      <c r="G2109">
        <v>599.92999999999995</v>
      </c>
      <c r="H2109" t="s">
        <v>99</v>
      </c>
    </row>
    <row r="2110" spans="1:8" x14ac:dyDescent="0.35">
      <c r="A2110">
        <v>797</v>
      </c>
      <c r="B2110">
        <v>1</v>
      </c>
      <c r="C2110">
        <v>11</v>
      </c>
      <c r="D2110">
        <v>1</v>
      </c>
      <c r="E2110">
        <v>1680.99</v>
      </c>
      <c r="F2110">
        <v>0.1</v>
      </c>
      <c r="G2110">
        <v>1680.92</v>
      </c>
      <c r="H2110" t="s">
        <v>16</v>
      </c>
    </row>
    <row r="2111" spans="1:8" x14ac:dyDescent="0.35">
      <c r="A2111">
        <v>797</v>
      </c>
      <c r="B2111">
        <v>2</v>
      </c>
      <c r="C2111">
        <v>69</v>
      </c>
      <c r="D2111">
        <v>1</v>
      </c>
      <c r="E2111">
        <v>416.99</v>
      </c>
      <c r="F2111">
        <v>0.1</v>
      </c>
      <c r="G2111">
        <v>416.94</v>
      </c>
      <c r="H2111" t="s">
        <v>70</v>
      </c>
    </row>
    <row r="2112" spans="1:8" x14ac:dyDescent="0.35">
      <c r="A2112">
        <v>797</v>
      </c>
      <c r="B2112">
        <v>3</v>
      </c>
      <c r="C2112">
        <v>74</v>
      </c>
      <c r="D2112">
        <v>1</v>
      </c>
      <c r="E2112">
        <v>439.99</v>
      </c>
      <c r="F2112">
        <v>0.1</v>
      </c>
      <c r="G2112">
        <v>439.89</v>
      </c>
      <c r="H2112" t="s">
        <v>75</v>
      </c>
    </row>
    <row r="2113" spans="1:8" x14ac:dyDescent="0.35">
      <c r="A2113">
        <v>797</v>
      </c>
      <c r="B2113">
        <v>4</v>
      </c>
      <c r="C2113">
        <v>54</v>
      </c>
      <c r="D2113">
        <v>2</v>
      </c>
      <c r="E2113">
        <v>3199.99</v>
      </c>
      <c r="F2113">
        <v>0.1</v>
      </c>
      <c r="G2113">
        <v>6399.93</v>
      </c>
      <c r="H2113" t="s">
        <v>55</v>
      </c>
    </row>
    <row r="2114" spans="1:8" x14ac:dyDescent="0.35">
      <c r="A2114">
        <v>797</v>
      </c>
      <c r="B2114">
        <v>5</v>
      </c>
      <c r="C2114">
        <v>62</v>
      </c>
      <c r="D2114">
        <v>2</v>
      </c>
      <c r="E2114">
        <v>3499.99</v>
      </c>
      <c r="F2114">
        <v>0.1</v>
      </c>
      <c r="G2114">
        <v>6999.88</v>
      </c>
      <c r="H2114" t="s">
        <v>63</v>
      </c>
    </row>
    <row r="2115" spans="1:8" x14ac:dyDescent="0.35">
      <c r="A2115">
        <v>798</v>
      </c>
      <c r="B2115">
        <v>1</v>
      </c>
      <c r="C2115">
        <v>23</v>
      </c>
      <c r="D2115">
        <v>1</v>
      </c>
      <c r="E2115">
        <v>299.99</v>
      </c>
      <c r="F2115">
        <v>0.1</v>
      </c>
      <c r="G2115">
        <v>299.89</v>
      </c>
      <c r="H2115" t="s">
        <v>26</v>
      </c>
    </row>
    <row r="2116" spans="1:8" x14ac:dyDescent="0.35">
      <c r="A2116">
        <v>798</v>
      </c>
      <c r="B2116">
        <v>2</v>
      </c>
      <c r="C2116">
        <v>90</v>
      </c>
      <c r="D2116">
        <v>1</v>
      </c>
      <c r="E2116">
        <v>209.99</v>
      </c>
      <c r="F2116">
        <v>0.1</v>
      </c>
      <c r="G2116">
        <v>209.94</v>
      </c>
      <c r="H2116" t="s">
        <v>91</v>
      </c>
    </row>
    <row r="2117" spans="1:8" x14ac:dyDescent="0.35">
      <c r="A2117">
        <v>798</v>
      </c>
      <c r="B2117">
        <v>3</v>
      </c>
      <c r="C2117">
        <v>91</v>
      </c>
      <c r="D2117">
        <v>2</v>
      </c>
      <c r="E2117">
        <v>349.99</v>
      </c>
      <c r="F2117">
        <v>0.1</v>
      </c>
      <c r="G2117">
        <v>699.91</v>
      </c>
      <c r="H2117" t="s">
        <v>92</v>
      </c>
    </row>
    <row r="2118" spans="1:8" x14ac:dyDescent="0.35">
      <c r="A2118">
        <v>798</v>
      </c>
      <c r="B2118">
        <v>4</v>
      </c>
      <c r="C2118">
        <v>42</v>
      </c>
      <c r="D2118">
        <v>1</v>
      </c>
      <c r="E2118">
        <v>2299.9899999999998</v>
      </c>
      <c r="F2118">
        <v>0.2</v>
      </c>
      <c r="G2118">
        <v>2299.79</v>
      </c>
      <c r="H2118" t="s">
        <v>43</v>
      </c>
    </row>
    <row r="2119" spans="1:8" x14ac:dyDescent="0.35">
      <c r="A2119">
        <v>798</v>
      </c>
      <c r="B2119">
        <v>5</v>
      </c>
      <c r="C2119">
        <v>26</v>
      </c>
      <c r="D2119">
        <v>2</v>
      </c>
      <c r="E2119">
        <v>599.99</v>
      </c>
      <c r="F2119">
        <v>0.1</v>
      </c>
      <c r="G2119">
        <v>1199.93</v>
      </c>
      <c r="H2119" t="s">
        <v>21</v>
      </c>
    </row>
    <row r="2120" spans="1:8" x14ac:dyDescent="0.35">
      <c r="A2120">
        <v>799</v>
      </c>
      <c r="B2120">
        <v>1</v>
      </c>
      <c r="C2120">
        <v>5</v>
      </c>
      <c r="D2120">
        <v>2</v>
      </c>
      <c r="E2120">
        <v>1320.99</v>
      </c>
      <c r="F2120">
        <v>0.1</v>
      </c>
      <c r="G2120">
        <v>2641.88</v>
      </c>
      <c r="H2120" t="s">
        <v>10</v>
      </c>
    </row>
    <row r="2121" spans="1:8" x14ac:dyDescent="0.35">
      <c r="A2121">
        <v>799</v>
      </c>
      <c r="B2121">
        <v>2</v>
      </c>
      <c r="C2121">
        <v>34</v>
      </c>
      <c r="D2121">
        <v>2</v>
      </c>
      <c r="E2121">
        <v>469.99</v>
      </c>
      <c r="F2121">
        <v>0.1</v>
      </c>
      <c r="G2121">
        <v>939.93</v>
      </c>
      <c r="H2121" t="s">
        <v>35</v>
      </c>
    </row>
    <row r="2122" spans="1:8" x14ac:dyDescent="0.35">
      <c r="A2122">
        <v>799</v>
      </c>
      <c r="B2122">
        <v>3</v>
      </c>
      <c r="C2122">
        <v>29</v>
      </c>
      <c r="D2122">
        <v>2</v>
      </c>
      <c r="E2122">
        <v>999.99</v>
      </c>
      <c r="F2122">
        <v>0.1</v>
      </c>
      <c r="G2122">
        <v>1999.91</v>
      </c>
      <c r="H2122" t="s">
        <v>30</v>
      </c>
    </row>
    <row r="2123" spans="1:8" x14ac:dyDescent="0.35">
      <c r="A2123">
        <v>799</v>
      </c>
      <c r="B2123">
        <v>4</v>
      </c>
      <c r="C2123">
        <v>63</v>
      </c>
      <c r="D2123">
        <v>1</v>
      </c>
      <c r="E2123">
        <v>3499.99</v>
      </c>
      <c r="F2123">
        <v>0.1</v>
      </c>
      <c r="G2123">
        <v>3499.89</v>
      </c>
      <c r="H2123" t="s">
        <v>64</v>
      </c>
    </row>
    <row r="2124" spans="1:8" x14ac:dyDescent="0.35">
      <c r="A2124">
        <v>799</v>
      </c>
      <c r="B2124">
        <v>5</v>
      </c>
      <c r="C2124">
        <v>58</v>
      </c>
      <c r="D2124">
        <v>2</v>
      </c>
      <c r="E2124">
        <v>4999.99</v>
      </c>
      <c r="F2124">
        <v>0.1</v>
      </c>
      <c r="G2124">
        <v>9999.91</v>
      </c>
      <c r="H2124" t="s">
        <v>59</v>
      </c>
    </row>
    <row r="2125" spans="1:8" x14ac:dyDescent="0.35">
      <c r="A2125">
        <v>800</v>
      </c>
      <c r="B2125">
        <v>1</v>
      </c>
      <c r="C2125">
        <v>65</v>
      </c>
      <c r="D2125">
        <v>2</v>
      </c>
      <c r="E2125">
        <v>346.99</v>
      </c>
      <c r="F2125">
        <v>0.1</v>
      </c>
      <c r="G2125">
        <v>693.88</v>
      </c>
      <c r="H2125" t="s">
        <v>66</v>
      </c>
    </row>
    <row r="2126" spans="1:8" x14ac:dyDescent="0.35">
      <c r="A2126">
        <v>800</v>
      </c>
      <c r="B2126">
        <v>2</v>
      </c>
      <c r="C2126">
        <v>54</v>
      </c>
      <c r="D2126">
        <v>1</v>
      </c>
      <c r="E2126">
        <v>3199.99</v>
      </c>
      <c r="F2126">
        <v>0.1</v>
      </c>
      <c r="G2126">
        <v>3199.92</v>
      </c>
      <c r="H2126" t="s">
        <v>55</v>
      </c>
    </row>
    <row r="2127" spans="1:8" x14ac:dyDescent="0.35">
      <c r="A2127">
        <v>800</v>
      </c>
      <c r="B2127">
        <v>3</v>
      </c>
      <c r="C2127">
        <v>6</v>
      </c>
      <c r="D2127">
        <v>2</v>
      </c>
      <c r="E2127">
        <v>469.99</v>
      </c>
      <c r="F2127">
        <v>0.1</v>
      </c>
      <c r="G2127">
        <v>939.93</v>
      </c>
      <c r="H2127" t="s">
        <v>11</v>
      </c>
    </row>
    <row r="2128" spans="1:8" x14ac:dyDescent="0.35">
      <c r="A2128">
        <v>800</v>
      </c>
      <c r="B2128">
        <v>4</v>
      </c>
      <c r="C2128">
        <v>52</v>
      </c>
      <c r="D2128">
        <v>1</v>
      </c>
      <c r="E2128">
        <v>875.99</v>
      </c>
      <c r="F2128">
        <v>0.1</v>
      </c>
      <c r="G2128">
        <v>875.89</v>
      </c>
      <c r="H2128" t="s">
        <v>53</v>
      </c>
    </row>
    <row r="2129" spans="1:8" x14ac:dyDescent="0.35">
      <c r="A2129">
        <v>800</v>
      </c>
      <c r="B2129">
        <v>5</v>
      </c>
      <c r="C2129">
        <v>95</v>
      </c>
      <c r="D2129">
        <v>2</v>
      </c>
      <c r="E2129">
        <v>299.99</v>
      </c>
      <c r="F2129">
        <v>0.1</v>
      </c>
      <c r="G2129">
        <v>599.92999999999995</v>
      </c>
      <c r="H2129" t="s">
        <v>77</v>
      </c>
    </row>
    <row r="2130" spans="1:8" x14ac:dyDescent="0.35">
      <c r="A2130">
        <v>802</v>
      </c>
      <c r="B2130">
        <v>1</v>
      </c>
      <c r="C2130">
        <v>30</v>
      </c>
      <c r="D2130">
        <v>1</v>
      </c>
      <c r="E2130">
        <v>999.99</v>
      </c>
      <c r="F2130">
        <v>0.1</v>
      </c>
      <c r="G2130">
        <v>999.94</v>
      </c>
      <c r="H2130" t="s">
        <v>31</v>
      </c>
    </row>
    <row r="2131" spans="1:8" x14ac:dyDescent="0.35">
      <c r="A2131">
        <v>802</v>
      </c>
      <c r="B2131">
        <v>2</v>
      </c>
      <c r="C2131">
        <v>36</v>
      </c>
      <c r="D2131">
        <v>2</v>
      </c>
      <c r="E2131">
        <v>832.99</v>
      </c>
      <c r="F2131">
        <v>0.2</v>
      </c>
      <c r="G2131">
        <v>1665.78</v>
      </c>
      <c r="H2131" t="s">
        <v>37</v>
      </c>
    </row>
    <row r="2132" spans="1:8" x14ac:dyDescent="0.35">
      <c r="A2132">
        <v>802</v>
      </c>
      <c r="B2132">
        <v>3</v>
      </c>
      <c r="C2132">
        <v>40</v>
      </c>
      <c r="D2132">
        <v>1</v>
      </c>
      <c r="E2132">
        <v>4999.99</v>
      </c>
      <c r="F2132">
        <v>0.1</v>
      </c>
      <c r="G2132">
        <v>4999.8900000000003</v>
      </c>
      <c r="H2132" t="s">
        <v>41</v>
      </c>
    </row>
    <row r="2133" spans="1:8" x14ac:dyDescent="0.35">
      <c r="A2133">
        <v>802</v>
      </c>
      <c r="B2133">
        <v>4</v>
      </c>
      <c r="C2133">
        <v>28</v>
      </c>
      <c r="D2133">
        <v>1</v>
      </c>
      <c r="E2133">
        <v>2499.9899999999998</v>
      </c>
      <c r="F2133">
        <v>0.1</v>
      </c>
      <c r="G2133">
        <v>2499.94</v>
      </c>
      <c r="H2133" t="s">
        <v>29</v>
      </c>
    </row>
    <row r="2134" spans="1:8" x14ac:dyDescent="0.35">
      <c r="A2134">
        <v>803</v>
      </c>
      <c r="B2134">
        <v>1</v>
      </c>
      <c r="C2134">
        <v>111</v>
      </c>
      <c r="D2134">
        <v>1</v>
      </c>
      <c r="E2134">
        <v>470.99</v>
      </c>
      <c r="F2134">
        <v>0.1</v>
      </c>
      <c r="G2134">
        <v>470.92</v>
      </c>
      <c r="H2134" t="s">
        <v>108</v>
      </c>
    </row>
    <row r="2135" spans="1:8" x14ac:dyDescent="0.35">
      <c r="A2135">
        <v>803</v>
      </c>
      <c r="B2135">
        <v>2</v>
      </c>
      <c r="C2135">
        <v>52</v>
      </c>
      <c r="D2135">
        <v>2</v>
      </c>
      <c r="E2135">
        <v>875.99</v>
      </c>
      <c r="F2135">
        <v>0.1</v>
      </c>
      <c r="G2135">
        <v>1751.93</v>
      </c>
      <c r="H2135" t="s">
        <v>53</v>
      </c>
    </row>
    <row r="2136" spans="1:8" x14ac:dyDescent="0.35">
      <c r="A2136">
        <v>803</v>
      </c>
      <c r="B2136">
        <v>3</v>
      </c>
      <c r="C2136">
        <v>102</v>
      </c>
      <c r="D2136">
        <v>1</v>
      </c>
      <c r="E2136">
        <v>489.99</v>
      </c>
      <c r="F2136">
        <v>0.1</v>
      </c>
      <c r="G2136">
        <v>489.92</v>
      </c>
      <c r="H2136" t="s">
        <v>65</v>
      </c>
    </row>
    <row r="2137" spans="1:8" x14ac:dyDescent="0.35">
      <c r="A2137">
        <v>803</v>
      </c>
      <c r="B2137">
        <v>4</v>
      </c>
      <c r="C2137">
        <v>83</v>
      </c>
      <c r="D2137">
        <v>2</v>
      </c>
      <c r="E2137">
        <v>149.99</v>
      </c>
      <c r="F2137">
        <v>0.1</v>
      </c>
      <c r="G2137">
        <v>299.93</v>
      </c>
      <c r="H2137" t="s">
        <v>84</v>
      </c>
    </row>
    <row r="2138" spans="1:8" x14ac:dyDescent="0.35">
      <c r="A2138">
        <v>804</v>
      </c>
      <c r="B2138">
        <v>1</v>
      </c>
      <c r="C2138">
        <v>89</v>
      </c>
      <c r="D2138">
        <v>2</v>
      </c>
      <c r="E2138">
        <v>209.99</v>
      </c>
      <c r="F2138">
        <v>0.2</v>
      </c>
      <c r="G2138">
        <v>419.78</v>
      </c>
      <c r="H2138" t="s">
        <v>90</v>
      </c>
    </row>
    <row r="2139" spans="1:8" x14ac:dyDescent="0.35">
      <c r="A2139">
        <v>804</v>
      </c>
      <c r="B2139">
        <v>2</v>
      </c>
      <c r="C2139">
        <v>53</v>
      </c>
      <c r="D2139">
        <v>1</v>
      </c>
      <c r="E2139">
        <v>749.99</v>
      </c>
      <c r="F2139">
        <v>0.1</v>
      </c>
      <c r="G2139">
        <v>749.92</v>
      </c>
      <c r="H2139" t="s">
        <v>54</v>
      </c>
    </row>
    <row r="2140" spans="1:8" x14ac:dyDescent="0.35">
      <c r="A2140">
        <v>804</v>
      </c>
      <c r="B2140">
        <v>3</v>
      </c>
      <c r="C2140">
        <v>50</v>
      </c>
      <c r="D2140">
        <v>2</v>
      </c>
      <c r="E2140">
        <v>5999.99</v>
      </c>
      <c r="F2140">
        <v>0.1</v>
      </c>
      <c r="G2140">
        <v>11999.93</v>
      </c>
      <c r="H2140" t="s">
        <v>51</v>
      </c>
    </row>
    <row r="2141" spans="1:8" x14ac:dyDescent="0.35">
      <c r="A2141">
        <v>805</v>
      </c>
      <c r="B2141">
        <v>1</v>
      </c>
      <c r="C2141">
        <v>24</v>
      </c>
      <c r="D2141">
        <v>1</v>
      </c>
      <c r="E2141">
        <v>549.99</v>
      </c>
      <c r="F2141">
        <v>0.1</v>
      </c>
      <c r="G2141">
        <v>549.94000000000005</v>
      </c>
      <c r="H2141" t="s">
        <v>17</v>
      </c>
    </row>
    <row r="2142" spans="1:8" x14ac:dyDescent="0.35">
      <c r="A2142">
        <v>805</v>
      </c>
      <c r="B2142">
        <v>2</v>
      </c>
      <c r="C2142">
        <v>33</v>
      </c>
      <c r="D2142">
        <v>2</v>
      </c>
      <c r="E2142">
        <v>469.99</v>
      </c>
      <c r="F2142">
        <v>0.2</v>
      </c>
      <c r="G2142">
        <v>939.78</v>
      </c>
      <c r="H2142" t="s">
        <v>34</v>
      </c>
    </row>
    <row r="2143" spans="1:8" x14ac:dyDescent="0.35">
      <c r="A2143">
        <v>805</v>
      </c>
      <c r="B2143">
        <v>3</v>
      </c>
      <c r="C2143">
        <v>62</v>
      </c>
      <c r="D2143">
        <v>2</v>
      </c>
      <c r="E2143">
        <v>3499.99</v>
      </c>
      <c r="F2143">
        <v>0.2</v>
      </c>
      <c r="G2143">
        <v>6999.78</v>
      </c>
      <c r="H2143" t="s">
        <v>63</v>
      </c>
    </row>
    <row r="2144" spans="1:8" x14ac:dyDescent="0.35">
      <c r="A2144">
        <v>805</v>
      </c>
      <c r="B2144">
        <v>4</v>
      </c>
      <c r="C2144">
        <v>32</v>
      </c>
      <c r="D2144">
        <v>1</v>
      </c>
      <c r="E2144">
        <v>469.99</v>
      </c>
      <c r="F2144">
        <v>0.1</v>
      </c>
      <c r="G2144">
        <v>469.92</v>
      </c>
      <c r="H2144" t="s">
        <v>33</v>
      </c>
    </row>
    <row r="2145" spans="1:8" x14ac:dyDescent="0.35">
      <c r="A2145">
        <v>805</v>
      </c>
      <c r="B2145">
        <v>5</v>
      </c>
      <c r="C2145">
        <v>6</v>
      </c>
      <c r="D2145">
        <v>2</v>
      </c>
      <c r="E2145">
        <v>469.99</v>
      </c>
      <c r="F2145">
        <v>0.1</v>
      </c>
      <c r="G2145">
        <v>939.93</v>
      </c>
      <c r="H2145" t="s">
        <v>11</v>
      </c>
    </row>
    <row r="2146" spans="1:8" x14ac:dyDescent="0.35">
      <c r="A2146">
        <v>806</v>
      </c>
      <c r="B2146">
        <v>1</v>
      </c>
      <c r="C2146">
        <v>93</v>
      </c>
      <c r="D2146">
        <v>2</v>
      </c>
      <c r="E2146">
        <v>209.99</v>
      </c>
      <c r="F2146">
        <v>0.1</v>
      </c>
      <c r="G2146">
        <v>419.88</v>
      </c>
      <c r="H2146" t="s">
        <v>94</v>
      </c>
    </row>
    <row r="2147" spans="1:8" x14ac:dyDescent="0.35">
      <c r="A2147">
        <v>806</v>
      </c>
      <c r="B2147">
        <v>2</v>
      </c>
      <c r="C2147">
        <v>97</v>
      </c>
      <c r="D2147">
        <v>1</v>
      </c>
      <c r="E2147">
        <v>349.99</v>
      </c>
      <c r="F2147">
        <v>0.2</v>
      </c>
      <c r="G2147">
        <v>349.79</v>
      </c>
      <c r="H2147" t="s">
        <v>97</v>
      </c>
    </row>
    <row r="2148" spans="1:8" x14ac:dyDescent="0.35">
      <c r="A2148">
        <v>806</v>
      </c>
      <c r="B2148">
        <v>3</v>
      </c>
      <c r="C2148">
        <v>77</v>
      </c>
      <c r="D2148">
        <v>2</v>
      </c>
      <c r="E2148">
        <v>799.99</v>
      </c>
      <c r="F2148">
        <v>0.1</v>
      </c>
      <c r="G2148">
        <v>1599.88</v>
      </c>
      <c r="H2148" t="s">
        <v>78</v>
      </c>
    </row>
    <row r="2149" spans="1:8" x14ac:dyDescent="0.35">
      <c r="A2149">
        <v>806</v>
      </c>
      <c r="B2149">
        <v>4</v>
      </c>
      <c r="C2149">
        <v>82</v>
      </c>
      <c r="D2149">
        <v>2</v>
      </c>
      <c r="E2149">
        <v>659.99</v>
      </c>
      <c r="F2149">
        <v>0.2</v>
      </c>
      <c r="G2149">
        <v>1319.78</v>
      </c>
      <c r="H2149" t="s">
        <v>83</v>
      </c>
    </row>
    <row r="2150" spans="1:8" x14ac:dyDescent="0.35">
      <c r="A2150">
        <v>806</v>
      </c>
      <c r="B2150">
        <v>5</v>
      </c>
      <c r="C2150">
        <v>91</v>
      </c>
      <c r="D2150">
        <v>2</v>
      </c>
      <c r="E2150">
        <v>349.99</v>
      </c>
      <c r="F2150">
        <v>0.1</v>
      </c>
      <c r="G2150">
        <v>699.91</v>
      </c>
      <c r="H2150" t="s">
        <v>92</v>
      </c>
    </row>
    <row r="2151" spans="1:8" x14ac:dyDescent="0.35">
      <c r="A2151">
        <v>807</v>
      </c>
      <c r="B2151">
        <v>1</v>
      </c>
      <c r="C2151">
        <v>21</v>
      </c>
      <c r="D2151">
        <v>2</v>
      </c>
      <c r="E2151">
        <v>269.99</v>
      </c>
      <c r="F2151">
        <v>0.2</v>
      </c>
      <c r="G2151">
        <v>539.78</v>
      </c>
      <c r="H2151" t="s">
        <v>18</v>
      </c>
    </row>
    <row r="2152" spans="1:8" x14ac:dyDescent="0.35">
      <c r="A2152">
        <v>807</v>
      </c>
      <c r="B2152">
        <v>2</v>
      </c>
      <c r="C2152">
        <v>6</v>
      </c>
      <c r="D2152">
        <v>1</v>
      </c>
      <c r="E2152">
        <v>469.99</v>
      </c>
      <c r="F2152">
        <v>0.1</v>
      </c>
      <c r="G2152">
        <v>469.92</v>
      </c>
      <c r="H2152" t="s">
        <v>11</v>
      </c>
    </row>
    <row r="2153" spans="1:8" x14ac:dyDescent="0.35">
      <c r="A2153">
        <v>807</v>
      </c>
      <c r="B2153">
        <v>3</v>
      </c>
      <c r="C2153">
        <v>3</v>
      </c>
      <c r="D2153">
        <v>2</v>
      </c>
      <c r="E2153">
        <v>999.99</v>
      </c>
      <c r="F2153">
        <v>0.1</v>
      </c>
      <c r="G2153">
        <v>1999.91</v>
      </c>
      <c r="H2153" t="s">
        <v>8</v>
      </c>
    </row>
    <row r="2154" spans="1:8" x14ac:dyDescent="0.35">
      <c r="A2154">
        <v>807</v>
      </c>
      <c r="B2154">
        <v>4</v>
      </c>
      <c r="C2154">
        <v>9</v>
      </c>
      <c r="D2154">
        <v>2</v>
      </c>
      <c r="E2154">
        <v>2999.99</v>
      </c>
      <c r="F2154">
        <v>0.2</v>
      </c>
      <c r="G2154">
        <v>5999.78</v>
      </c>
      <c r="H2154" t="s">
        <v>14</v>
      </c>
    </row>
    <row r="2155" spans="1:8" x14ac:dyDescent="0.35">
      <c r="A2155">
        <v>807</v>
      </c>
      <c r="B2155">
        <v>5</v>
      </c>
      <c r="C2155">
        <v>16</v>
      </c>
      <c r="D2155">
        <v>1</v>
      </c>
      <c r="E2155">
        <v>599.99</v>
      </c>
      <c r="F2155">
        <v>0.2</v>
      </c>
      <c r="G2155">
        <v>599.79</v>
      </c>
      <c r="H2155" t="s">
        <v>21</v>
      </c>
    </row>
    <row r="2156" spans="1:8" x14ac:dyDescent="0.35">
      <c r="A2156">
        <v>808</v>
      </c>
      <c r="B2156">
        <v>1</v>
      </c>
      <c r="C2156">
        <v>96</v>
      </c>
      <c r="D2156">
        <v>2</v>
      </c>
      <c r="E2156">
        <v>349.99</v>
      </c>
      <c r="F2156">
        <v>0.1</v>
      </c>
      <c r="G2156">
        <v>699.93</v>
      </c>
      <c r="H2156" t="s">
        <v>96</v>
      </c>
    </row>
    <row r="2157" spans="1:8" x14ac:dyDescent="0.35">
      <c r="A2157">
        <v>808</v>
      </c>
      <c r="B2157">
        <v>2</v>
      </c>
      <c r="C2157">
        <v>18</v>
      </c>
      <c r="D2157">
        <v>1</v>
      </c>
      <c r="E2157">
        <v>449</v>
      </c>
      <c r="F2157">
        <v>0.1</v>
      </c>
      <c r="G2157">
        <v>448.95</v>
      </c>
      <c r="H2157" t="s">
        <v>23</v>
      </c>
    </row>
    <row r="2158" spans="1:8" x14ac:dyDescent="0.35">
      <c r="A2158">
        <v>808</v>
      </c>
      <c r="B2158">
        <v>3</v>
      </c>
      <c r="C2158">
        <v>85</v>
      </c>
      <c r="D2158">
        <v>1</v>
      </c>
      <c r="E2158">
        <v>329.99</v>
      </c>
      <c r="F2158">
        <v>0.1</v>
      </c>
      <c r="G2158">
        <v>329.94</v>
      </c>
      <c r="H2158" t="s">
        <v>86</v>
      </c>
    </row>
    <row r="2159" spans="1:8" x14ac:dyDescent="0.35">
      <c r="A2159">
        <v>808</v>
      </c>
      <c r="B2159">
        <v>4</v>
      </c>
      <c r="C2159">
        <v>19</v>
      </c>
      <c r="D2159">
        <v>2</v>
      </c>
      <c r="E2159">
        <v>449</v>
      </c>
      <c r="F2159">
        <v>0.1</v>
      </c>
      <c r="G2159">
        <v>897.95</v>
      </c>
      <c r="H2159" t="s">
        <v>24</v>
      </c>
    </row>
    <row r="2160" spans="1:8" x14ac:dyDescent="0.35">
      <c r="A2160">
        <v>809</v>
      </c>
      <c r="B2160">
        <v>1</v>
      </c>
      <c r="C2160">
        <v>78</v>
      </c>
      <c r="D2160">
        <v>1</v>
      </c>
      <c r="E2160">
        <v>647.99</v>
      </c>
      <c r="F2160">
        <v>0.1</v>
      </c>
      <c r="G2160">
        <v>647.89</v>
      </c>
      <c r="H2160" t="s">
        <v>79</v>
      </c>
    </row>
    <row r="2161" spans="1:8" x14ac:dyDescent="0.35">
      <c r="A2161">
        <v>809</v>
      </c>
      <c r="B2161">
        <v>2</v>
      </c>
      <c r="C2161">
        <v>26</v>
      </c>
      <c r="D2161">
        <v>1</v>
      </c>
      <c r="E2161">
        <v>599.99</v>
      </c>
      <c r="F2161">
        <v>0.2</v>
      </c>
      <c r="G2161">
        <v>599.79</v>
      </c>
      <c r="H2161" t="s">
        <v>21</v>
      </c>
    </row>
    <row r="2162" spans="1:8" x14ac:dyDescent="0.35">
      <c r="A2162">
        <v>809</v>
      </c>
      <c r="B2162">
        <v>3</v>
      </c>
      <c r="C2162">
        <v>92</v>
      </c>
      <c r="D2162">
        <v>2</v>
      </c>
      <c r="E2162">
        <v>209.99</v>
      </c>
      <c r="F2162">
        <v>0.1</v>
      </c>
      <c r="G2162">
        <v>419.88</v>
      </c>
      <c r="H2162" t="s">
        <v>93</v>
      </c>
    </row>
    <row r="2163" spans="1:8" x14ac:dyDescent="0.35">
      <c r="A2163">
        <v>810</v>
      </c>
      <c r="B2163">
        <v>1</v>
      </c>
      <c r="C2163">
        <v>103</v>
      </c>
      <c r="D2163">
        <v>2</v>
      </c>
      <c r="E2163">
        <v>551.99</v>
      </c>
      <c r="F2163">
        <v>0.1</v>
      </c>
      <c r="G2163">
        <v>1103.93</v>
      </c>
      <c r="H2163" t="s">
        <v>102</v>
      </c>
    </row>
    <row r="2164" spans="1:8" x14ac:dyDescent="0.35">
      <c r="A2164">
        <v>810</v>
      </c>
      <c r="B2164">
        <v>2</v>
      </c>
      <c r="C2164">
        <v>100</v>
      </c>
      <c r="D2164">
        <v>1</v>
      </c>
      <c r="E2164">
        <v>489.99</v>
      </c>
      <c r="F2164">
        <v>0.2</v>
      </c>
      <c r="G2164">
        <v>489.79</v>
      </c>
      <c r="H2164" t="s">
        <v>100</v>
      </c>
    </row>
    <row r="2165" spans="1:8" x14ac:dyDescent="0.35">
      <c r="A2165">
        <v>810</v>
      </c>
      <c r="B2165">
        <v>3</v>
      </c>
      <c r="C2165">
        <v>56</v>
      </c>
      <c r="D2165">
        <v>1</v>
      </c>
      <c r="E2165">
        <v>5499.99</v>
      </c>
      <c r="F2165">
        <v>0.1</v>
      </c>
      <c r="G2165">
        <v>5499.94</v>
      </c>
      <c r="H2165" t="s">
        <v>57</v>
      </c>
    </row>
    <row r="2166" spans="1:8" x14ac:dyDescent="0.35">
      <c r="A2166">
        <v>810</v>
      </c>
      <c r="B2166">
        <v>4</v>
      </c>
      <c r="C2166">
        <v>22</v>
      </c>
      <c r="D2166">
        <v>1</v>
      </c>
      <c r="E2166">
        <v>269.99</v>
      </c>
      <c r="F2166">
        <v>0.2</v>
      </c>
      <c r="G2166">
        <v>269.79000000000002</v>
      </c>
      <c r="H2166" t="s">
        <v>19</v>
      </c>
    </row>
    <row r="2167" spans="1:8" x14ac:dyDescent="0.35">
      <c r="A2167">
        <v>811</v>
      </c>
      <c r="B2167">
        <v>1</v>
      </c>
      <c r="C2167">
        <v>45</v>
      </c>
      <c r="D2167">
        <v>2</v>
      </c>
      <c r="E2167">
        <v>869.99</v>
      </c>
      <c r="F2167">
        <v>0.1</v>
      </c>
      <c r="G2167">
        <v>1739.91</v>
      </c>
      <c r="H2167" t="s">
        <v>46</v>
      </c>
    </row>
    <row r="2168" spans="1:8" x14ac:dyDescent="0.35">
      <c r="A2168">
        <v>811</v>
      </c>
      <c r="B2168">
        <v>2</v>
      </c>
      <c r="C2168">
        <v>54</v>
      </c>
      <c r="D2168">
        <v>1</v>
      </c>
      <c r="E2168">
        <v>3199.99</v>
      </c>
      <c r="F2168">
        <v>0.2</v>
      </c>
      <c r="G2168">
        <v>3199.79</v>
      </c>
      <c r="H2168" t="s">
        <v>55</v>
      </c>
    </row>
    <row r="2169" spans="1:8" x14ac:dyDescent="0.35">
      <c r="A2169">
        <v>811</v>
      </c>
      <c r="B2169">
        <v>3</v>
      </c>
      <c r="C2169">
        <v>70</v>
      </c>
      <c r="D2169">
        <v>1</v>
      </c>
      <c r="E2169">
        <v>659.99</v>
      </c>
      <c r="F2169">
        <v>0.1</v>
      </c>
      <c r="G2169">
        <v>659.92</v>
      </c>
      <c r="H2169" t="s">
        <v>71</v>
      </c>
    </row>
    <row r="2170" spans="1:8" x14ac:dyDescent="0.35">
      <c r="A2170">
        <v>811</v>
      </c>
      <c r="B2170">
        <v>4</v>
      </c>
      <c r="C2170">
        <v>66</v>
      </c>
      <c r="D2170">
        <v>1</v>
      </c>
      <c r="E2170">
        <v>250.99</v>
      </c>
      <c r="F2170">
        <v>0.1</v>
      </c>
      <c r="G2170">
        <v>250.89</v>
      </c>
      <c r="H2170" t="s">
        <v>67</v>
      </c>
    </row>
    <row r="2171" spans="1:8" x14ac:dyDescent="0.35">
      <c r="A2171">
        <v>812</v>
      </c>
      <c r="B2171">
        <v>1</v>
      </c>
      <c r="C2171">
        <v>76</v>
      </c>
      <c r="D2171">
        <v>2</v>
      </c>
      <c r="E2171">
        <v>299.99</v>
      </c>
      <c r="F2171">
        <v>0.1</v>
      </c>
      <c r="G2171">
        <v>599.88</v>
      </c>
      <c r="H2171" t="s">
        <v>77</v>
      </c>
    </row>
    <row r="2172" spans="1:8" x14ac:dyDescent="0.35">
      <c r="A2172">
        <v>812</v>
      </c>
      <c r="B2172">
        <v>2</v>
      </c>
      <c r="C2172">
        <v>40</v>
      </c>
      <c r="D2172">
        <v>1</v>
      </c>
      <c r="E2172">
        <v>4999.99</v>
      </c>
      <c r="F2172">
        <v>0.2</v>
      </c>
      <c r="G2172">
        <v>4999.79</v>
      </c>
      <c r="H2172" t="s">
        <v>41</v>
      </c>
    </row>
    <row r="2173" spans="1:8" x14ac:dyDescent="0.35">
      <c r="A2173">
        <v>813</v>
      </c>
      <c r="B2173">
        <v>1</v>
      </c>
      <c r="C2173">
        <v>96</v>
      </c>
      <c r="D2173">
        <v>2</v>
      </c>
      <c r="E2173">
        <v>349.99</v>
      </c>
      <c r="F2173">
        <v>0.1</v>
      </c>
      <c r="G2173">
        <v>699.88</v>
      </c>
      <c r="H2173" t="s">
        <v>96</v>
      </c>
    </row>
    <row r="2174" spans="1:8" x14ac:dyDescent="0.35">
      <c r="A2174">
        <v>813</v>
      </c>
      <c r="B2174">
        <v>2</v>
      </c>
      <c r="C2174">
        <v>85</v>
      </c>
      <c r="D2174">
        <v>2</v>
      </c>
      <c r="E2174">
        <v>329.99</v>
      </c>
      <c r="F2174">
        <v>0.2</v>
      </c>
      <c r="G2174">
        <v>659.78</v>
      </c>
      <c r="H2174" t="s">
        <v>86</v>
      </c>
    </row>
    <row r="2175" spans="1:8" x14ac:dyDescent="0.35">
      <c r="A2175">
        <v>813</v>
      </c>
      <c r="B2175">
        <v>3</v>
      </c>
      <c r="C2175">
        <v>33</v>
      </c>
      <c r="D2175">
        <v>2</v>
      </c>
      <c r="E2175">
        <v>469.99</v>
      </c>
      <c r="F2175">
        <v>0.2</v>
      </c>
      <c r="G2175">
        <v>939.78</v>
      </c>
      <c r="H2175" t="s">
        <v>34</v>
      </c>
    </row>
    <row r="2176" spans="1:8" x14ac:dyDescent="0.35">
      <c r="A2176">
        <v>813</v>
      </c>
      <c r="B2176">
        <v>4</v>
      </c>
      <c r="C2176">
        <v>26</v>
      </c>
      <c r="D2176">
        <v>2</v>
      </c>
      <c r="E2176">
        <v>599.99</v>
      </c>
      <c r="F2176">
        <v>0.1</v>
      </c>
      <c r="G2176">
        <v>1199.9100000000001</v>
      </c>
      <c r="H2176" t="s">
        <v>21</v>
      </c>
    </row>
    <row r="2177" spans="1:8" x14ac:dyDescent="0.35">
      <c r="A2177">
        <v>813</v>
      </c>
      <c r="B2177">
        <v>5</v>
      </c>
      <c r="C2177">
        <v>71</v>
      </c>
      <c r="D2177">
        <v>2</v>
      </c>
      <c r="E2177">
        <v>416.99</v>
      </c>
      <c r="F2177">
        <v>0.1</v>
      </c>
      <c r="G2177">
        <v>833.93</v>
      </c>
      <c r="H2177" t="s">
        <v>72</v>
      </c>
    </row>
    <row r="2178" spans="1:8" x14ac:dyDescent="0.35">
      <c r="A2178">
        <v>814</v>
      </c>
      <c r="B2178">
        <v>1</v>
      </c>
      <c r="C2178">
        <v>69</v>
      </c>
      <c r="D2178">
        <v>2</v>
      </c>
      <c r="E2178">
        <v>416.99</v>
      </c>
      <c r="F2178">
        <v>0.1</v>
      </c>
      <c r="G2178">
        <v>833.88</v>
      </c>
      <c r="H2178" t="s">
        <v>70</v>
      </c>
    </row>
    <row r="2179" spans="1:8" x14ac:dyDescent="0.35">
      <c r="A2179">
        <v>814</v>
      </c>
      <c r="B2179">
        <v>2</v>
      </c>
      <c r="C2179">
        <v>100</v>
      </c>
      <c r="D2179">
        <v>1</v>
      </c>
      <c r="E2179">
        <v>489.99</v>
      </c>
      <c r="F2179">
        <v>0.1</v>
      </c>
      <c r="G2179">
        <v>489.89</v>
      </c>
      <c r="H2179" t="s">
        <v>100</v>
      </c>
    </row>
    <row r="2180" spans="1:8" x14ac:dyDescent="0.35">
      <c r="A2180">
        <v>814</v>
      </c>
      <c r="B2180">
        <v>3</v>
      </c>
      <c r="C2180">
        <v>65</v>
      </c>
      <c r="D2180">
        <v>1</v>
      </c>
      <c r="E2180">
        <v>346.99</v>
      </c>
      <c r="F2180">
        <v>0.2</v>
      </c>
      <c r="G2180">
        <v>346.79</v>
      </c>
      <c r="H2180" t="s">
        <v>66</v>
      </c>
    </row>
    <row r="2181" spans="1:8" x14ac:dyDescent="0.35">
      <c r="A2181">
        <v>814</v>
      </c>
      <c r="B2181">
        <v>4</v>
      </c>
      <c r="C2181">
        <v>83</v>
      </c>
      <c r="D2181">
        <v>2</v>
      </c>
      <c r="E2181">
        <v>149.99</v>
      </c>
      <c r="F2181">
        <v>0.1</v>
      </c>
      <c r="G2181">
        <v>299.93</v>
      </c>
      <c r="H2181" t="s">
        <v>84</v>
      </c>
    </row>
    <row r="2182" spans="1:8" x14ac:dyDescent="0.35">
      <c r="A2182">
        <v>815</v>
      </c>
      <c r="B2182">
        <v>1</v>
      </c>
      <c r="C2182">
        <v>105</v>
      </c>
      <c r="D2182">
        <v>2</v>
      </c>
      <c r="E2182">
        <v>533.99</v>
      </c>
      <c r="F2182">
        <v>0.2</v>
      </c>
      <c r="G2182">
        <v>1067.78</v>
      </c>
      <c r="H2182" t="s">
        <v>104</v>
      </c>
    </row>
    <row r="2183" spans="1:8" x14ac:dyDescent="0.35">
      <c r="A2183">
        <v>815</v>
      </c>
      <c r="B2183">
        <v>2</v>
      </c>
      <c r="C2183">
        <v>102</v>
      </c>
      <c r="D2183">
        <v>2</v>
      </c>
      <c r="E2183">
        <v>489.99</v>
      </c>
      <c r="F2183">
        <v>0.2</v>
      </c>
      <c r="G2183">
        <v>979.78</v>
      </c>
      <c r="H2183" t="s">
        <v>65</v>
      </c>
    </row>
    <row r="2184" spans="1:8" x14ac:dyDescent="0.35">
      <c r="A2184">
        <v>815</v>
      </c>
      <c r="B2184">
        <v>3</v>
      </c>
      <c r="C2184">
        <v>87</v>
      </c>
      <c r="D2184">
        <v>2</v>
      </c>
      <c r="E2184">
        <v>189.99</v>
      </c>
      <c r="F2184">
        <v>0.1</v>
      </c>
      <c r="G2184">
        <v>379.88</v>
      </c>
      <c r="H2184" t="s">
        <v>88</v>
      </c>
    </row>
    <row r="2185" spans="1:8" x14ac:dyDescent="0.35">
      <c r="A2185">
        <v>815</v>
      </c>
      <c r="B2185">
        <v>4</v>
      </c>
      <c r="C2185">
        <v>23</v>
      </c>
      <c r="D2185">
        <v>1</v>
      </c>
      <c r="E2185">
        <v>299.99</v>
      </c>
      <c r="F2185">
        <v>0.1</v>
      </c>
      <c r="G2185">
        <v>299.92</v>
      </c>
      <c r="H2185" t="s">
        <v>26</v>
      </c>
    </row>
    <row r="2186" spans="1:8" x14ac:dyDescent="0.35">
      <c r="A2186">
        <v>816</v>
      </c>
      <c r="B2186">
        <v>1</v>
      </c>
      <c r="C2186">
        <v>75</v>
      </c>
      <c r="D2186">
        <v>2</v>
      </c>
      <c r="E2186">
        <v>599.99</v>
      </c>
      <c r="F2186">
        <v>0.1</v>
      </c>
      <c r="G2186">
        <v>1199.8800000000001</v>
      </c>
      <c r="H2186" t="s">
        <v>76</v>
      </c>
    </row>
    <row r="2187" spans="1:8" x14ac:dyDescent="0.35">
      <c r="A2187">
        <v>816</v>
      </c>
      <c r="B2187">
        <v>2</v>
      </c>
      <c r="C2187">
        <v>64</v>
      </c>
      <c r="D2187">
        <v>2</v>
      </c>
      <c r="E2187">
        <v>489.99</v>
      </c>
      <c r="F2187">
        <v>0.2</v>
      </c>
      <c r="G2187">
        <v>979.78</v>
      </c>
      <c r="H2187" t="s">
        <v>65</v>
      </c>
    </row>
    <row r="2188" spans="1:8" x14ac:dyDescent="0.35">
      <c r="A2188">
        <v>817</v>
      </c>
      <c r="B2188">
        <v>1</v>
      </c>
      <c r="C2188">
        <v>85</v>
      </c>
      <c r="D2188">
        <v>1</v>
      </c>
      <c r="E2188">
        <v>329.99</v>
      </c>
      <c r="F2188">
        <v>0.1</v>
      </c>
      <c r="G2188">
        <v>329.94</v>
      </c>
      <c r="H2188" t="s">
        <v>86</v>
      </c>
    </row>
    <row r="2189" spans="1:8" x14ac:dyDescent="0.35">
      <c r="A2189">
        <v>817</v>
      </c>
      <c r="B2189">
        <v>2</v>
      </c>
      <c r="C2189">
        <v>105</v>
      </c>
      <c r="D2189">
        <v>2</v>
      </c>
      <c r="E2189">
        <v>533.99</v>
      </c>
      <c r="F2189">
        <v>0.1</v>
      </c>
      <c r="G2189">
        <v>1067.9100000000001</v>
      </c>
      <c r="H2189" t="s">
        <v>104</v>
      </c>
    </row>
    <row r="2190" spans="1:8" x14ac:dyDescent="0.35">
      <c r="A2190">
        <v>817</v>
      </c>
      <c r="B2190">
        <v>3</v>
      </c>
      <c r="C2190">
        <v>48</v>
      </c>
      <c r="D2190">
        <v>2</v>
      </c>
      <c r="E2190">
        <v>1499.99</v>
      </c>
      <c r="F2190">
        <v>0.1</v>
      </c>
      <c r="G2190">
        <v>2999.93</v>
      </c>
      <c r="H2190" t="s">
        <v>49</v>
      </c>
    </row>
    <row r="2191" spans="1:8" x14ac:dyDescent="0.35">
      <c r="A2191">
        <v>818</v>
      </c>
      <c r="B2191">
        <v>1</v>
      </c>
      <c r="C2191">
        <v>103</v>
      </c>
      <c r="D2191">
        <v>1</v>
      </c>
      <c r="E2191">
        <v>551.99</v>
      </c>
      <c r="F2191">
        <v>0.1</v>
      </c>
      <c r="G2191">
        <v>551.94000000000005</v>
      </c>
      <c r="H2191" t="s">
        <v>102</v>
      </c>
    </row>
    <row r="2192" spans="1:8" x14ac:dyDescent="0.35">
      <c r="A2192">
        <v>818</v>
      </c>
      <c r="B2192">
        <v>2</v>
      </c>
      <c r="C2192">
        <v>44</v>
      </c>
      <c r="D2192">
        <v>2</v>
      </c>
      <c r="E2192">
        <v>539.99</v>
      </c>
      <c r="F2192">
        <v>0.1</v>
      </c>
      <c r="G2192">
        <v>1079.9100000000001</v>
      </c>
      <c r="H2192" t="s">
        <v>45</v>
      </c>
    </row>
    <row r="2193" spans="1:8" x14ac:dyDescent="0.35">
      <c r="A2193">
        <v>818</v>
      </c>
      <c r="B2193">
        <v>3</v>
      </c>
      <c r="C2193">
        <v>19</v>
      </c>
      <c r="D2193">
        <v>2</v>
      </c>
      <c r="E2193">
        <v>449</v>
      </c>
      <c r="F2193">
        <v>0.1</v>
      </c>
      <c r="G2193">
        <v>897.95</v>
      </c>
      <c r="H2193" t="s">
        <v>24</v>
      </c>
    </row>
    <row r="2194" spans="1:8" x14ac:dyDescent="0.35">
      <c r="A2194">
        <v>818</v>
      </c>
      <c r="B2194">
        <v>4</v>
      </c>
      <c r="C2194">
        <v>48</v>
      </c>
      <c r="D2194">
        <v>2</v>
      </c>
      <c r="E2194">
        <v>1499.99</v>
      </c>
      <c r="F2194">
        <v>0.1</v>
      </c>
      <c r="G2194">
        <v>2999.93</v>
      </c>
      <c r="H2194" t="s">
        <v>49</v>
      </c>
    </row>
    <row r="2195" spans="1:8" x14ac:dyDescent="0.35">
      <c r="A2195">
        <v>821</v>
      </c>
      <c r="B2195">
        <v>1</v>
      </c>
      <c r="C2195">
        <v>102</v>
      </c>
      <c r="D2195">
        <v>1</v>
      </c>
      <c r="E2195">
        <v>489.99</v>
      </c>
      <c r="F2195">
        <v>0.1</v>
      </c>
      <c r="G2195">
        <v>489.92</v>
      </c>
      <c r="H2195" t="s">
        <v>65</v>
      </c>
    </row>
    <row r="2196" spans="1:8" x14ac:dyDescent="0.35">
      <c r="A2196">
        <v>821</v>
      </c>
      <c r="B2196">
        <v>2</v>
      </c>
      <c r="C2196">
        <v>70</v>
      </c>
      <c r="D2196">
        <v>2</v>
      </c>
      <c r="E2196">
        <v>659.99</v>
      </c>
      <c r="F2196">
        <v>0.2</v>
      </c>
      <c r="G2196">
        <v>1319.78</v>
      </c>
      <c r="H2196" t="s">
        <v>71</v>
      </c>
    </row>
    <row r="2197" spans="1:8" x14ac:dyDescent="0.35">
      <c r="A2197">
        <v>821</v>
      </c>
      <c r="B2197">
        <v>3</v>
      </c>
      <c r="C2197">
        <v>6</v>
      </c>
      <c r="D2197">
        <v>1</v>
      </c>
      <c r="E2197">
        <v>469.99</v>
      </c>
      <c r="F2197">
        <v>0.2</v>
      </c>
      <c r="G2197">
        <v>469.79</v>
      </c>
      <c r="H2197" t="s">
        <v>11</v>
      </c>
    </row>
    <row r="2198" spans="1:8" x14ac:dyDescent="0.35">
      <c r="A2198">
        <v>821</v>
      </c>
      <c r="B2198">
        <v>4</v>
      </c>
      <c r="C2198">
        <v>107</v>
      </c>
      <c r="D2198">
        <v>1</v>
      </c>
      <c r="E2198">
        <v>416.99</v>
      </c>
      <c r="F2198">
        <v>0.1</v>
      </c>
      <c r="G2198">
        <v>416.94</v>
      </c>
      <c r="H2198" t="s">
        <v>70</v>
      </c>
    </row>
    <row r="2199" spans="1:8" x14ac:dyDescent="0.35">
      <c r="A2199">
        <v>822</v>
      </c>
      <c r="B2199">
        <v>1</v>
      </c>
      <c r="C2199">
        <v>53</v>
      </c>
      <c r="D2199">
        <v>1</v>
      </c>
      <c r="E2199">
        <v>749.99</v>
      </c>
      <c r="F2199">
        <v>0.1</v>
      </c>
      <c r="G2199">
        <v>749.94</v>
      </c>
      <c r="H2199" t="s">
        <v>54</v>
      </c>
    </row>
    <row r="2200" spans="1:8" x14ac:dyDescent="0.35">
      <c r="A2200">
        <v>822</v>
      </c>
      <c r="B2200">
        <v>2</v>
      </c>
      <c r="C2200">
        <v>72</v>
      </c>
      <c r="D2200">
        <v>1</v>
      </c>
      <c r="E2200">
        <v>619.99</v>
      </c>
      <c r="F2200">
        <v>0.2</v>
      </c>
      <c r="G2200">
        <v>619.79</v>
      </c>
      <c r="H2200" t="s">
        <v>73</v>
      </c>
    </row>
    <row r="2201" spans="1:8" x14ac:dyDescent="0.35">
      <c r="A2201">
        <v>823</v>
      </c>
      <c r="B2201">
        <v>1</v>
      </c>
      <c r="C2201">
        <v>56</v>
      </c>
      <c r="D2201">
        <v>2</v>
      </c>
      <c r="E2201">
        <v>5499.99</v>
      </c>
      <c r="F2201">
        <v>0.1</v>
      </c>
      <c r="G2201">
        <v>10999.91</v>
      </c>
      <c r="H2201" t="s">
        <v>57</v>
      </c>
    </row>
    <row r="2202" spans="1:8" x14ac:dyDescent="0.35">
      <c r="A2202">
        <v>823</v>
      </c>
      <c r="B2202">
        <v>2</v>
      </c>
      <c r="C2202">
        <v>86</v>
      </c>
      <c r="D2202">
        <v>2</v>
      </c>
      <c r="E2202">
        <v>149.99</v>
      </c>
      <c r="F2202">
        <v>0.2</v>
      </c>
      <c r="G2202">
        <v>299.77999999999997</v>
      </c>
      <c r="H2202" t="s">
        <v>87</v>
      </c>
    </row>
    <row r="2203" spans="1:8" x14ac:dyDescent="0.35">
      <c r="A2203">
        <v>823</v>
      </c>
      <c r="B2203">
        <v>3</v>
      </c>
      <c r="C2203">
        <v>81</v>
      </c>
      <c r="D2203">
        <v>1</v>
      </c>
      <c r="E2203">
        <v>1099.99</v>
      </c>
      <c r="F2203">
        <v>0.2</v>
      </c>
      <c r="G2203">
        <v>1099.79</v>
      </c>
      <c r="H2203" t="s">
        <v>82</v>
      </c>
    </row>
    <row r="2204" spans="1:8" x14ac:dyDescent="0.35">
      <c r="A2204">
        <v>825</v>
      </c>
      <c r="B2204">
        <v>1</v>
      </c>
      <c r="C2204">
        <v>19</v>
      </c>
      <c r="D2204">
        <v>1</v>
      </c>
      <c r="E2204">
        <v>449</v>
      </c>
      <c r="F2204">
        <v>0.1</v>
      </c>
      <c r="G2204">
        <v>448.9</v>
      </c>
      <c r="H2204" t="s">
        <v>24</v>
      </c>
    </row>
    <row r="2205" spans="1:8" x14ac:dyDescent="0.35">
      <c r="A2205">
        <v>825</v>
      </c>
      <c r="B2205">
        <v>2</v>
      </c>
      <c r="C2205">
        <v>30</v>
      </c>
      <c r="D2205">
        <v>2</v>
      </c>
      <c r="E2205">
        <v>999.99</v>
      </c>
      <c r="F2205">
        <v>0.2</v>
      </c>
      <c r="G2205">
        <v>1999.78</v>
      </c>
      <c r="H2205" t="s">
        <v>31</v>
      </c>
    </row>
    <row r="2206" spans="1:8" x14ac:dyDescent="0.35">
      <c r="A2206">
        <v>826</v>
      </c>
      <c r="B2206">
        <v>1</v>
      </c>
      <c r="C2206">
        <v>45</v>
      </c>
      <c r="D2206">
        <v>2</v>
      </c>
      <c r="E2206">
        <v>869.99</v>
      </c>
      <c r="F2206">
        <v>0.2</v>
      </c>
      <c r="G2206">
        <v>1739.78</v>
      </c>
      <c r="H2206" t="s">
        <v>46</v>
      </c>
    </row>
    <row r="2207" spans="1:8" x14ac:dyDescent="0.35">
      <c r="A2207">
        <v>826</v>
      </c>
      <c r="B2207">
        <v>2</v>
      </c>
      <c r="C2207">
        <v>36</v>
      </c>
      <c r="D2207">
        <v>1</v>
      </c>
      <c r="E2207">
        <v>832.99</v>
      </c>
      <c r="F2207">
        <v>0.1</v>
      </c>
      <c r="G2207">
        <v>832.89</v>
      </c>
      <c r="H2207" t="s">
        <v>37</v>
      </c>
    </row>
    <row r="2208" spans="1:8" x14ac:dyDescent="0.35">
      <c r="A2208">
        <v>827</v>
      </c>
      <c r="B2208">
        <v>1</v>
      </c>
      <c r="C2208">
        <v>43</v>
      </c>
      <c r="D2208">
        <v>1</v>
      </c>
      <c r="E2208">
        <v>5299.99</v>
      </c>
      <c r="F2208">
        <v>0.1</v>
      </c>
      <c r="G2208">
        <v>5299.94</v>
      </c>
      <c r="H2208" t="s">
        <v>44</v>
      </c>
    </row>
    <row r="2209" spans="1:8" x14ac:dyDescent="0.35">
      <c r="A2209">
        <v>827</v>
      </c>
      <c r="B2209">
        <v>2</v>
      </c>
      <c r="C2209">
        <v>41</v>
      </c>
      <c r="D2209">
        <v>1</v>
      </c>
      <c r="E2209">
        <v>1469.99</v>
      </c>
      <c r="F2209">
        <v>0.2</v>
      </c>
      <c r="G2209">
        <v>1469.79</v>
      </c>
      <c r="H2209" t="s">
        <v>42</v>
      </c>
    </row>
    <row r="2210" spans="1:8" x14ac:dyDescent="0.35">
      <c r="A2210">
        <v>827</v>
      </c>
      <c r="B2210">
        <v>3</v>
      </c>
      <c r="C2210">
        <v>28</v>
      </c>
      <c r="D2210">
        <v>1</v>
      </c>
      <c r="E2210">
        <v>2499.9899999999998</v>
      </c>
      <c r="F2210">
        <v>0.2</v>
      </c>
      <c r="G2210">
        <v>2499.79</v>
      </c>
      <c r="H2210" t="s">
        <v>29</v>
      </c>
    </row>
    <row r="2211" spans="1:8" x14ac:dyDescent="0.35">
      <c r="A2211">
        <v>827</v>
      </c>
      <c r="B2211">
        <v>4</v>
      </c>
      <c r="C2211">
        <v>108</v>
      </c>
      <c r="D2211">
        <v>1</v>
      </c>
      <c r="E2211">
        <v>449.99</v>
      </c>
      <c r="F2211">
        <v>0.2</v>
      </c>
      <c r="G2211">
        <v>449.79</v>
      </c>
      <c r="H2211" t="s">
        <v>105</v>
      </c>
    </row>
    <row r="2212" spans="1:8" x14ac:dyDescent="0.35">
      <c r="A2212">
        <v>828</v>
      </c>
      <c r="B2212">
        <v>1</v>
      </c>
      <c r="C2212">
        <v>25</v>
      </c>
      <c r="D2212">
        <v>2</v>
      </c>
      <c r="E2212">
        <v>499.99</v>
      </c>
      <c r="F2212">
        <v>0.2</v>
      </c>
      <c r="G2212">
        <v>999.78</v>
      </c>
      <c r="H2212" t="s">
        <v>27</v>
      </c>
    </row>
    <row r="2213" spans="1:8" x14ac:dyDescent="0.35">
      <c r="A2213">
        <v>828</v>
      </c>
      <c r="B2213">
        <v>2</v>
      </c>
      <c r="C2213">
        <v>24</v>
      </c>
      <c r="D2213">
        <v>1</v>
      </c>
      <c r="E2213">
        <v>549.99</v>
      </c>
      <c r="F2213">
        <v>0.2</v>
      </c>
      <c r="G2213">
        <v>549.79</v>
      </c>
      <c r="H2213" t="s">
        <v>17</v>
      </c>
    </row>
    <row r="2214" spans="1:8" x14ac:dyDescent="0.35">
      <c r="A2214">
        <v>828</v>
      </c>
      <c r="B2214">
        <v>3</v>
      </c>
      <c r="C2214">
        <v>55</v>
      </c>
      <c r="D2214">
        <v>2</v>
      </c>
      <c r="E2214">
        <v>2699.99</v>
      </c>
      <c r="F2214">
        <v>0.1</v>
      </c>
      <c r="G2214">
        <v>5399.91</v>
      </c>
      <c r="H2214" t="s">
        <v>56</v>
      </c>
    </row>
    <row r="2215" spans="1:8" x14ac:dyDescent="0.35">
      <c r="A2215">
        <v>829</v>
      </c>
      <c r="B2215">
        <v>1</v>
      </c>
      <c r="C2215">
        <v>103</v>
      </c>
      <c r="D2215">
        <v>1</v>
      </c>
      <c r="E2215">
        <v>551.99</v>
      </c>
      <c r="F2215">
        <v>0.2</v>
      </c>
      <c r="G2215">
        <v>551.79</v>
      </c>
      <c r="H2215" t="s">
        <v>102</v>
      </c>
    </row>
    <row r="2216" spans="1:8" x14ac:dyDescent="0.35">
      <c r="A2216">
        <v>829</v>
      </c>
      <c r="B2216">
        <v>2</v>
      </c>
      <c r="C2216">
        <v>105</v>
      </c>
      <c r="D2216">
        <v>2</v>
      </c>
      <c r="E2216">
        <v>533.99</v>
      </c>
      <c r="F2216">
        <v>0.1</v>
      </c>
      <c r="G2216">
        <v>1067.8800000000001</v>
      </c>
      <c r="H2216" t="s">
        <v>104</v>
      </c>
    </row>
    <row r="2217" spans="1:8" x14ac:dyDescent="0.35">
      <c r="A2217">
        <v>830</v>
      </c>
      <c r="B2217">
        <v>1</v>
      </c>
      <c r="C2217">
        <v>85</v>
      </c>
      <c r="D2217">
        <v>2</v>
      </c>
      <c r="E2217">
        <v>329.99</v>
      </c>
      <c r="F2217">
        <v>0.2</v>
      </c>
      <c r="G2217">
        <v>659.78</v>
      </c>
      <c r="H2217" t="s">
        <v>86</v>
      </c>
    </row>
    <row r="2218" spans="1:8" x14ac:dyDescent="0.35">
      <c r="A2218">
        <v>830</v>
      </c>
      <c r="B2218">
        <v>2</v>
      </c>
      <c r="C2218">
        <v>100</v>
      </c>
      <c r="D2218">
        <v>2</v>
      </c>
      <c r="E2218">
        <v>489.99</v>
      </c>
      <c r="F2218">
        <v>0.1</v>
      </c>
      <c r="G2218">
        <v>979.91</v>
      </c>
      <c r="H2218" t="s">
        <v>100</v>
      </c>
    </row>
    <row r="2219" spans="1:8" x14ac:dyDescent="0.35">
      <c r="A2219">
        <v>830</v>
      </c>
      <c r="B2219">
        <v>3</v>
      </c>
      <c r="C2219">
        <v>96</v>
      </c>
      <c r="D2219">
        <v>2</v>
      </c>
      <c r="E2219">
        <v>349.99</v>
      </c>
      <c r="F2219">
        <v>0.2</v>
      </c>
      <c r="G2219">
        <v>699.78</v>
      </c>
      <c r="H2219" t="s">
        <v>96</v>
      </c>
    </row>
    <row r="2220" spans="1:8" x14ac:dyDescent="0.35">
      <c r="A2220">
        <v>831</v>
      </c>
      <c r="B2220">
        <v>1</v>
      </c>
      <c r="C2220">
        <v>67</v>
      </c>
      <c r="D2220">
        <v>1</v>
      </c>
      <c r="E2220">
        <v>250.99</v>
      </c>
      <c r="F2220">
        <v>0.2</v>
      </c>
      <c r="G2220">
        <v>250.79</v>
      </c>
      <c r="H2220" t="s">
        <v>68</v>
      </c>
    </row>
    <row r="2221" spans="1:8" x14ac:dyDescent="0.35">
      <c r="A2221">
        <v>831</v>
      </c>
      <c r="B2221">
        <v>2</v>
      </c>
      <c r="C2221">
        <v>11</v>
      </c>
      <c r="D2221">
        <v>1</v>
      </c>
      <c r="E2221">
        <v>1680.99</v>
      </c>
      <c r="F2221">
        <v>0.2</v>
      </c>
      <c r="G2221">
        <v>1680.79</v>
      </c>
      <c r="H2221" t="s">
        <v>16</v>
      </c>
    </row>
    <row r="2222" spans="1:8" x14ac:dyDescent="0.35">
      <c r="A2222">
        <v>831</v>
      </c>
      <c r="B2222">
        <v>3</v>
      </c>
      <c r="C2222">
        <v>68</v>
      </c>
      <c r="D2222">
        <v>1</v>
      </c>
      <c r="E2222">
        <v>449.99</v>
      </c>
      <c r="F2222">
        <v>0.1</v>
      </c>
      <c r="G2222">
        <v>449.89</v>
      </c>
      <c r="H2222" t="s">
        <v>69</v>
      </c>
    </row>
    <row r="2223" spans="1:8" x14ac:dyDescent="0.35">
      <c r="A2223">
        <v>832</v>
      </c>
      <c r="B2223">
        <v>1</v>
      </c>
      <c r="C2223">
        <v>54</v>
      </c>
      <c r="D2223">
        <v>1</v>
      </c>
      <c r="E2223">
        <v>3199.99</v>
      </c>
      <c r="F2223">
        <v>0.1</v>
      </c>
      <c r="G2223">
        <v>3199.94</v>
      </c>
      <c r="H2223" t="s">
        <v>55</v>
      </c>
    </row>
    <row r="2224" spans="1:8" x14ac:dyDescent="0.35">
      <c r="A2224">
        <v>832</v>
      </c>
      <c r="B2224">
        <v>2</v>
      </c>
      <c r="C2224">
        <v>45</v>
      </c>
      <c r="D2224">
        <v>1</v>
      </c>
      <c r="E2224">
        <v>869.99</v>
      </c>
      <c r="F2224">
        <v>0.2</v>
      </c>
      <c r="G2224">
        <v>869.79</v>
      </c>
      <c r="H2224" t="s">
        <v>46</v>
      </c>
    </row>
    <row r="2225" spans="1:8" x14ac:dyDescent="0.35">
      <c r="A2225">
        <v>832</v>
      </c>
      <c r="B2225">
        <v>3</v>
      </c>
      <c r="C2225">
        <v>27</v>
      </c>
      <c r="D2225">
        <v>1</v>
      </c>
      <c r="E2225">
        <v>999.99</v>
      </c>
      <c r="F2225">
        <v>0.1</v>
      </c>
      <c r="G2225">
        <v>999.92</v>
      </c>
      <c r="H2225" t="s">
        <v>28</v>
      </c>
    </row>
    <row r="2226" spans="1:8" x14ac:dyDescent="0.35">
      <c r="A2226">
        <v>832</v>
      </c>
      <c r="B2226">
        <v>4</v>
      </c>
      <c r="C2226">
        <v>16</v>
      </c>
      <c r="D2226">
        <v>2</v>
      </c>
      <c r="E2226">
        <v>599.99</v>
      </c>
      <c r="F2226">
        <v>0.1</v>
      </c>
      <c r="G2226">
        <v>1199.8800000000001</v>
      </c>
      <c r="H2226" t="s">
        <v>21</v>
      </c>
    </row>
    <row r="2227" spans="1:8" x14ac:dyDescent="0.35">
      <c r="A2227">
        <v>834</v>
      </c>
      <c r="B2227">
        <v>1</v>
      </c>
      <c r="C2227">
        <v>54</v>
      </c>
      <c r="D2227">
        <v>1</v>
      </c>
      <c r="E2227">
        <v>3199.99</v>
      </c>
      <c r="F2227">
        <v>0.1</v>
      </c>
      <c r="G2227">
        <v>3199.92</v>
      </c>
      <c r="H2227" t="s">
        <v>55</v>
      </c>
    </row>
    <row r="2228" spans="1:8" x14ac:dyDescent="0.35">
      <c r="A2228">
        <v>834</v>
      </c>
      <c r="B2228">
        <v>2</v>
      </c>
      <c r="C2228">
        <v>21</v>
      </c>
      <c r="D2228">
        <v>1</v>
      </c>
      <c r="E2228">
        <v>269.99</v>
      </c>
      <c r="F2228">
        <v>0.1</v>
      </c>
      <c r="G2228">
        <v>269.94</v>
      </c>
      <c r="H2228" t="s">
        <v>18</v>
      </c>
    </row>
    <row r="2229" spans="1:8" x14ac:dyDescent="0.35">
      <c r="A2229">
        <v>834</v>
      </c>
      <c r="B2229">
        <v>3</v>
      </c>
      <c r="C2229">
        <v>78</v>
      </c>
      <c r="D2229">
        <v>1</v>
      </c>
      <c r="E2229">
        <v>647.99</v>
      </c>
      <c r="F2229">
        <v>0.2</v>
      </c>
      <c r="G2229">
        <v>647.79</v>
      </c>
      <c r="H2229" t="s">
        <v>79</v>
      </c>
    </row>
    <row r="2230" spans="1:8" x14ac:dyDescent="0.35">
      <c r="A2230">
        <v>835</v>
      </c>
      <c r="B2230">
        <v>1</v>
      </c>
      <c r="C2230">
        <v>65</v>
      </c>
      <c r="D2230">
        <v>2</v>
      </c>
      <c r="E2230">
        <v>346.99</v>
      </c>
      <c r="F2230">
        <v>0.1</v>
      </c>
      <c r="G2230">
        <v>693.91</v>
      </c>
      <c r="H2230" t="s">
        <v>66</v>
      </c>
    </row>
    <row r="2231" spans="1:8" x14ac:dyDescent="0.35">
      <c r="A2231">
        <v>835</v>
      </c>
      <c r="B2231">
        <v>2</v>
      </c>
      <c r="C2231">
        <v>82</v>
      </c>
      <c r="D2231">
        <v>1</v>
      </c>
      <c r="E2231">
        <v>659.99</v>
      </c>
      <c r="F2231">
        <v>0.2</v>
      </c>
      <c r="G2231">
        <v>659.79</v>
      </c>
      <c r="H2231" t="s">
        <v>83</v>
      </c>
    </row>
    <row r="2232" spans="1:8" x14ac:dyDescent="0.35">
      <c r="A2232">
        <v>835</v>
      </c>
      <c r="B2232">
        <v>3</v>
      </c>
      <c r="C2232">
        <v>2</v>
      </c>
      <c r="D2232">
        <v>1</v>
      </c>
      <c r="E2232">
        <v>749.99</v>
      </c>
      <c r="F2232">
        <v>0.1</v>
      </c>
      <c r="G2232">
        <v>749.94</v>
      </c>
      <c r="H2232" t="s">
        <v>7</v>
      </c>
    </row>
    <row r="2233" spans="1:8" x14ac:dyDescent="0.35">
      <c r="A2233">
        <v>837</v>
      </c>
      <c r="B2233">
        <v>1</v>
      </c>
      <c r="C2233">
        <v>51</v>
      </c>
      <c r="D2233">
        <v>1</v>
      </c>
      <c r="E2233">
        <v>6499.99</v>
      </c>
      <c r="F2233">
        <v>0.1</v>
      </c>
      <c r="G2233">
        <v>6499.94</v>
      </c>
      <c r="H2233" t="s">
        <v>52</v>
      </c>
    </row>
    <row r="2234" spans="1:8" x14ac:dyDescent="0.35">
      <c r="A2234">
        <v>837</v>
      </c>
      <c r="B2234">
        <v>2</v>
      </c>
      <c r="C2234">
        <v>97</v>
      </c>
      <c r="D2234">
        <v>1</v>
      </c>
      <c r="E2234">
        <v>349.99</v>
      </c>
      <c r="F2234">
        <v>0.1</v>
      </c>
      <c r="G2234">
        <v>349.89</v>
      </c>
      <c r="H2234" t="s">
        <v>97</v>
      </c>
    </row>
    <row r="2235" spans="1:8" x14ac:dyDescent="0.35">
      <c r="A2235">
        <v>837</v>
      </c>
      <c r="B2235">
        <v>3</v>
      </c>
      <c r="C2235">
        <v>87</v>
      </c>
      <c r="D2235">
        <v>2</v>
      </c>
      <c r="E2235">
        <v>189.99</v>
      </c>
      <c r="F2235">
        <v>0.2</v>
      </c>
      <c r="G2235">
        <v>379.78</v>
      </c>
      <c r="H2235" t="s">
        <v>88</v>
      </c>
    </row>
    <row r="2236" spans="1:8" x14ac:dyDescent="0.35">
      <c r="A2236">
        <v>838</v>
      </c>
      <c r="B2236">
        <v>1</v>
      </c>
      <c r="C2236">
        <v>28</v>
      </c>
      <c r="D2236">
        <v>1</v>
      </c>
      <c r="E2236">
        <v>2499.9899999999998</v>
      </c>
      <c r="F2236">
        <v>0.1</v>
      </c>
      <c r="G2236">
        <v>2499.89</v>
      </c>
      <c r="H2236" t="s">
        <v>29</v>
      </c>
    </row>
    <row r="2237" spans="1:8" x14ac:dyDescent="0.35">
      <c r="A2237">
        <v>838</v>
      </c>
      <c r="B2237">
        <v>2</v>
      </c>
      <c r="C2237">
        <v>10</v>
      </c>
      <c r="D2237">
        <v>1</v>
      </c>
      <c r="E2237">
        <v>1549</v>
      </c>
      <c r="F2237">
        <v>0.1</v>
      </c>
      <c r="G2237">
        <v>1548.9</v>
      </c>
      <c r="H2237" t="s">
        <v>15</v>
      </c>
    </row>
    <row r="2238" spans="1:8" x14ac:dyDescent="0.35">
      <c r="A2238">
        <v>838</v>
      </c>
      <c r="B2238">
        <v>3</v>
      </c>
      <c r="C2238">
        <v>100</v>
      </c>
      <c r="D2238">
        <v>2</v>
      </c>
      <c r="E2238">
        <v>489.99</v>
      </c>
      <c r="F2238">
        <v>0.1</v>
      </c>
      <c r="G2238">
        <v>979.93</v>
      </c>
      <c r="H2238" t="s">
        <v>100</v>
      </c>
    </row>
    <row r="2239" spans="1:8" x14ac:dyDescent="0.35">
      <c r="A2239">
        <v>838</v>
      </c>
      <c r="B2239">
        <v>4</v>
      </c>
      <c r="C2239">
        <v>65</v>
      </c>
      <c r="D2239">
        <v>2</v>
      </c>
      <c r="E2239">
        <v>346.99</v>
      </c>
      <c r="F2239">
        <v>0.1</v>
      </c>
      <c r="G2239">
        <v>693.91</v>
      </c>
      <c r="H2239" t="s">
        <v>66</v>
      </c>
    </row>
    <row r="2240" spans="1:8" x14ac:dyDescent="0.35">
      <c r="A2240">
        <v>839</v>
      </c>
      <c r="B2240">
        <v>1</v>
      </c>
      <c r="C2240">
        <v>55</v>
      </c>
      <c r="D2240">
        <v>1</v>
      </c>
      <c r="E2240">
        <v>2699.99</v>
      </c>
      <c r="F2240">
        <v>0.1</v>
      </c>
      <c r="G2240">
        <v>2699.92</v>
      </c>
      <c r="H2240" t="s">
        <v>56</v>
      </c>
    </row>
    <row r="2241" spans="1:8" x14ac:dyDescent="0.35">
      <c r="A2241">
        <v>839</v>
      </c>
      <c r="B2241">
        <v>2</v>
      </c>
      <c r="C2241">
        <v>85</v>
      </c>
      <c r="D2241">
        <v>1</v>
      </c>
      <c r="E2241">
        <v>329.99</v>
      </c>
      <c r="F2241">
        <v>0.1</v>
      </c>
      <c r="G2241">
        <v>329.89</v>
      </c>
      <c r="H2241" t="s">
        <v>86</v>
      </c>
    </row>
    <row r="2242" spans="1:8" x14ac:dyDescent="0.35">
      <c r="A2242">
        <v>839</v>
      </c>
      <c r="B2242">
        <v>3</v>
      </c>
      <c r="C2242">
        <v>58</v>
      </c>
      <c r="D2242">
        <v>2</v>
      </c>
      <c r="E2242">
        <v>4999.99</v>
      </c>
      <c r="F2242">
        <v>0.1</v>
      </c>
      <c r="G2242">
        <v>9999.93</v>
      </c>
      <c r="H2242" t="s">
        <v>59</v>
      </c>
    </row>
    <row r="2243" spans="1:8" x14ac:dyDescent="0.35">
      <c r="A2243">
        <v>840</v>
      </c>
      <c r="B2243">
        <v>1</v>
      </c>
      <c r="C2243">
        <v>27</v>
      </c>
      <c r="D2243">
        <v>1</v>
      </c>
      <c r="E2243">
        <v>999.99</v>
      </c>
      <c r="F2243">
        <v>0.1</v>
      </c>
      <c r="G2243">
        <v>999.92</v>
      </c>
      <c r="H2243" t="s">
        <v>28</v>
      </c>
    </row>
    <row r="2244" spans="1:8" x14ac:dyDescent="0.35">
      <c r="A2244">
        <v>840</v>
      </c>
      <c r="B2244">
        <v>2</v>
      </c>
      <c r="C2244">
        <v>43</v>
      </c>
      <c r="D2244">
        <v>1</v>
      </c>
      <c r="E2244">
        <v>5299.99</v>
      </c>
      <c r="F2244">
        <v>0.1</v>
      </c>
      <c r="G2244">
        <v>5299.92</v>
      </c>
      <c r="H2244" t="s">
        <v>44</v>
      </c>
    </row>
    <row r="2245" spans="1:8" x14ac:dyDescent="0.35">
      <c r="A2245">
        <v>840</v>
      </c>
      <c r="B2245">
        <v>3</v>
      </c>
      <c r="C2245">
        <v>106</v>
      </c>
      <c r="D2245">
        <v>2</v>
      </c>
      <c r="E2245">
        <v>449.99</v>
      </c>
      <c r="F2245">
        <v>0.2</v>
      </c>
      <c r="G2245">
        <v>899.78</v>
      </c>
      <c r="H2245" t="s">
        <v>69</v>
      </c>
    </row>
    <row r="2246" spans="1:8" x14ac:dyDescent="0.35">
      <c r="A2246">
        <v>841</v>
      </c>
      <c r="B2246">
        <v>1</v>
      </c>
      <c r="C2246">
        <v>22</v>
      </c>
      <c r="D2246">
        <v>2</v>
      </c>
      <c r="E2246">
        <v>269.99</v>
      </c>
      <c r="F2246">
        <v>0.1</v>
      </c>
      <c r="G2246">
        <v>539.88</v>
      </c>
      <c r="H2246" t="s">
        <v>19</v>
      </c>
    </row>
    <row r="2247" spans="1:8" x14ac:dyDescent="0.35">
      <c r="A2247">
        <v>841</v>
      </c>
      <c r="B2247">
        <v>2</v>
      </c>
      <c r="C2247">
        <v>9</v>
      </c>
      <c r="D2247">
        <v>1</v>
      </c>
      <c r="E2247">
        <v>2999.99</v>
      </c>
      <c r="F2247">
        <v>0.2</v>
      </c>
      <c r="G2247">
        <v>2999.79</v>
      </c>
      <c r="H2247" t="s">
        <v>14</v>
      </c>
    </row>
    <row r="2248" spans="1:8" x14ac:dyDescent="0.35">
      <c r="A2248">
        <v>841</v>
      </c>
      <c r="B2248">
        <v>3</v>
      </c>
      <c r="C2248">
        <v>11</v>
      </c>
      <c r="D2248">
        <v>1</v>
      </c>
      <c r="E2248">
        <v>1680.99</v>
      </c>
      <c r="F2248">
        <v>0.2</v>
      </c>
      <c r="G2248">
        <v>1680.79</v>
      </c>
      <c r="H2248" t="s">
        <v>16</v>
      </c>
    </row>
    <row r="2249" spans="1:8" x14ac:dyDescent="0.35">
      <c r="A2249">
        <v>841</v>
      </c>
      <c r="B2249">
        <v>4</v>
      </c>
      <c r="C2249">
        <v>90</v>
      </c>
      <c r="D2249">
        <v>2</v>
      </c>
      <c r="E2249">
        <v>209.99</v>
      </c>
      <c r="F2249">
        <v>0.1</v>
      </c>
      <c r="G2249">
        <v>419.91</v>
      </c>
      <c r="H2249" t="s">
        <v>91</v>
      </c>
    </row>
    <row r="2250" spans="1:8" x14ac:dyDescent="0.35">
      <c r="A2250">
        <v>841</v>
      </c>
      <c r="B2250">
        <v>5</v>
      </c>
      <c r="C2250">
        <v>100</v>
      </c>
      <c r="D2250">
        <v>1</v>
      </c>
      <c r="E2250">
        <v>489.99</v>
      </c>
      <c r="F2250">
        <v>0.1</v>
      </c>
      <c r="G2250">
        <v>489.89</v>
      </c>
      <c r="H2250" t="s">
        <v>100</v>
      </c>
    </row>
    <row r="2251" spans="1:8" x14ac:dyDescent="0.35">
      <c r="A2251">
        <v>842</v>
      </c>
      <c r="B2251">
        <v>1</v>
      </c>
      <c r="C2251">
        <v>81</v>
      </c>
      <c r="D2251">
        <v>2</v>
      </c>
      <c r="E2251">
        <v>1099.99</v>
      </c>
      <c r="F2251">
        <v>0.1</v>
      </c>
      <c r="G2251">
        <v>2199.91</v>
      </c>
      <c r="H2251" t="s">
        <v>82</v>
      </c>
    </row>
    <row r="2252" spans="1:8" x14ac:dyDescent="0.35">
      <c r="A2252">
        <v>842</v>
      </c>
      <c r="B2252">
        <v>2</v>
      </c>
      <c r="C2252">
        <v>42</v>
      </c>
      <c r="D2252">
        <v>1</v>
      </c>
      <c r="E2252">
        <v>2299.9899999999998</v>
      </c>
      <c r="F2252">
        <v>0.1</v>
      </c>
      <c r="G2252">
        <v>2299.89</v>
      </c>
      <c r="H2252" t="s">
        <v>43</v>
      </c>
    </row>
    <row r="2253" spans="1:8" x14ac:dyDescent="0.35">
      <c r="A2253">
        <v>843</v>
      </c>
      <c r="B2253">
        <v>1</v>
      </c>
      <c r="C2253">
        <v>72</v>
      </c>
      <c r="D2253">
        <v>1</v>
      </c>
      <c r="E2253">
        <v>619.99</v>
      </c>
      <c r="F2253">
        <v>0.1</v>
      </c>
      <c r="G2253">
        <v>619.89</v>
      </c>
      <c r="H2253" t="s">
        <v>73</v>
      </c>
    </row>
    <row r="2254" spans="1:8" x14ac:dyDescent="0.35">
      <c r="A2254">
        <v>843</v>
      </c>
      <c r="B2254">
        <v>2</v>
      </c>
      <c r="C2254">
        <v>75</v>
      </c>
      <c r="D2254">
        <v>2</v>
      </c>
      <c r="E2254">
        <v>599.99</v>
      </c>
      <c r="F2254">
        <v>0.1</v>
      </c>
      <c r="G2254">
        <v>1199.8800000000001</v>
      </c>
      <c r="H2254" t="s">
        <v>76</v>
      </c>
    </row>
    <row r="2255" spans="1:8" x14ac:dyDescent="0.35">
      <c r="A2255">
        <v>843</v>
      </c>
      <c r="B2255">
        <v>3</v>
      </c>
      <c r="C2255">
        <v>81</v>
      </c>
      <c r="D2255">
        <v>1</v>
      </c>
      <c r="E2255">
        <v>1099.99</v>
      </c>
      <c r="F2255">
        <v>0.1</v>
      </c>
      <c r="G2255">
        <v>1099.8900000000001</v>
      </c>
      <c r="H2255" t="s">
        <v>82</v>
      </c>
    </row>
    <row r="2256" spans="1:8" x14ac:dyDescent="0.35">
      <c r="A2256">
        <v>843</v>
      </c>
      <c r="B2256">
        <v>4</v>
      </c>
      <c r="C2256">
        <v>23</v>
      </c>
      <c r="D2256">
        <v>2</v>
      </c>
      <c r="E2256">
        <v>299.99</v>
      </c>
      <c r="F2256">
        <v>0.1</v>
      </c>
      <c r="G2256">
        <v>599.91</v>
      </c>
      <c r="H2256" t="s">
        <v>26</v>
      </c>
    </row>
    <row r="2257" spans="1:8" x14ac:dyDescent="0.35">
      <c r="A2257">
        <v>844</v>
      </c>
      <c r="B2257">
        <v>1</v>
      </c>
      <c r="C2257">
        <v>79</v>
      </c>
      <c r="D2257">
        <v>2</v>
      </c>
      <c r="E2257">
        <v>402.99</v>
      </c>
      <c r="F2257">
        <v>0.1</v>
      </c>
      <c r="G2257">
        <v>805.91</v>
      </c>
      <c r="H2257" t="s">
        <v>80</v>
      </c>
    </row>
    <row r="2258" spans="1:8" x14ac:dyDescent="0.35">
      <c r="A2258">
        <v>844</v>
      </c>
      <c r="B2258">
        <v>2</v>
      </c>
      <c r="C2258">
        <v>12</v>
      </c>
      <c r="D2258">
        <v>1</v>
      </c>
      <c r="E2258">
        <v>549.99</v>
      </c>
      <c r="F2258">
        <v>0.1</v>
      </c>
      <c r="G2258">
        <v>549.89</v>
      </c>
      <c r="H2258" t="s">
        <v>17</v>
      </c>
    </row>
    <row r="2259" spans="1:8" x14ac:dyDescent="0.35">
      <c r="A2259">
        <v>844</v>
      </c>
      <c r="B2259">
        <v>3</v>
      </c>
      <c r="C2259">
        <v>83</v>
      </c>
      <c r="D2259">
        <v>2</v>
      </c>
      <c r="E2259">
        <v>149.99</v>
      </c>
      <c r="F2259">
        <v>0.2</v>
      </c>
      <c r="G2259">
        <v>299.77999999999997</v>
      </c>
      <c r="H2259" t="s">
        <v>84</v>
      </c>
    </row>
    <row r="2260" spans="1:8" x14ac:dyDescent="0.35">
      <c r="A2260">
        <v>844</v>
      </c>
      <c r="B2260">
        <v>4</v>
      </c>
      <c r="C2260">
        <v>48</v>
      </c>
      <c r="D2260">
        <v>1</v>
      </c>
      <c r="E2260">
        <v>1499.99</v>
      </c>
      <c r="F2260">
        <v>0.2</v>
      </c>
      <c r="G2260">
        <v>1499.79</v>
      </c>
      <c r="H2260" t="s">
        <v>49</v>
      </c>
    </row>
    <row r="2261" spans="1:8" x14ac:dyDescent="0.35">
      <c r="A2261">
        <v>844</v>
      </c>
      <c r="B2261">
        <v>5</v>
      </c>
      <c r="C2261">
        <v>63</v>
      </c>
      <c r="D2261">
        <v>2</v>
      </c>
      <c r="E2261">
        <v>3499.99</v>
      </c>
      <c r="F2261">
        <v>0.1</v>
      </c>
      <c r="G2261">
        <v>6999.93</v>
      </c>
      <c r="H2261" t="s">
        <v>64</v>
      </c>
    </row>
    <row r="2262" spans="1:8" x14ac:dyDescent="0.35">
      <c r="A2262">
        <v>845</v>
      </c>
      <c r="B2262">
        <v>1</v>
      </c>
      <c r="C2262">
        <v>16</v>
      </c>
      <c r="D2262">
        <v>2</v>
      </c>
      <c r="E2262">
        <v>599.99</v>
      </c>
      <c r="F2262">
        <v>0.2</v>
      </c>
      <c r="G2262">
        <v>1199.78</v>
      </c>
      <c r="H2262" t="s">
        <v>21</v>
      </c>
    </row>
    <row r="2263" spans="1:8" x14ac:dyDescent="0.35">
      <c r="A2263">
        <v>845</v>
      </c>
      <c r="B2263">
        <v>2</v>
      </c>
      <c r="C2263">
        <v>75</v>
      </c>
      <c r="D2263">
        <v>1</v>
      </c>
      <c r="E2263">
        <v>599.99</v>
      </c>
      <c r="F2263">
        <v>0.2</v>
      </c>
      <c r="G2263">
        <v>599.79</v>
      </c>
      <c r="H2263" t="s">
        <v>76</v>
      </c>
    </row>
    <row r="2264" spans="1:8" x14ac:dyDescent="0.35">
      <c r="A2264">
        <v>845</v>
      </c>
      <c r="B2264">
        <v>3</v>
      </c>
      <c r="C2264">
        <v>26</v>
      </c>
      <c r="D2264">
        <v>2</v>
      </c>
      <c r="E2264">
        <v>599.99</v>
      </c>
      <c r="F2264">
        <v>0.1</v>
      </c>
      <c r="G2264">
        <v>1199.93</v>
      </c>
      <c r="H2264" t="s">
        <v>21</v>
      </c>
    </row>
    <row r="2265" spans="1:8" x14ac:dyDescent="0.35">
      <c r="A2265">
        <v>845</v>
      </c>
      <c r="B2265">
        <v>4</v>
      </c>
      <c r="C2265">
        <v>73</v>
      </c>
      <c r="D2265">
        <v>2</v>
      </c>
      <c r="E2265">
        <v>749.99</v>
      </c>
      <c r="F2265">
        <v>0.2</v>
      </c>
      <c r="G2265">
        <v>1499.78</v>
      </c>
      <c r="H2265" t="s">
        <v>74</v>
      </c>
    </row>
    <row r="2266" spans="1:8" x14ac:dyDescent="0.35">
      <c r="A2266">
        <v>845</v>
      </c>
      <c r="B2266">
        <v>5</v>
      </c>
      <c r="C2266">
        <v>88</v>
      </c>
      <c r="D2266">
        <v>1</v>
      </c>
      <c r="E2266">
        <v>189.99</v>
      </c>
      <c r="F2266">
        <v>0.1</v>
      </c>
      <c r="G2266">
        <v>189.94</v>
      </c>
      <c r="H2266" t="s">
        <v>89</v>
      </c>
    </row>
    <row r="2267" spans="1:8" x14ac:dyDescent="0.35">
      <c r="A2267">
        <v>846</v>
      </c>
      <c r="B2267">
        <v>1</v>
      </c>
      <c r="C2267">
        <v>46</v>
      </c>
      <c r="D2267">
        <v>2</v>
      </c>
      <c r="E2267">
        <v>1409.99</v>
      </c>
      <c r="F2267">
        <v>0.1</v>
      </c>
      <c r="G2267">
        <v>2819.93</v>
      </c>
      <c r="H2267" t="s">
        <v>47</v>
      </c>
    </row>
    <row r="2268" spans="1:8" x14ac:dyDescent="0.35">
      <c r="A2268">
        <v>846</v>
      </c>
      <c r="B2268">
        <v>2</v>
      </c>
      <c r="C2268">
        <v>47</v>
      </c>
      <c r="D2268">
        <v>1</v>
      </c>
      <c r="E2268">
        <v>5299.99</v>
      </c>
      <c r="F2268">
        <v>0.1</v>
      </c>
      <c r="G2268">
        <v>5299.92</v>
      </c>
      <c r="H2268" t="s">
        <v>48</v>
      </c>
    </row>
    <row r="2269" spans="1:8" x14ac:dyDescent="0.35">
      <c r="A2269">
        <v>846</v>
      </c>
      <c r="B2269">
        <v>3</v>
      </c>
      <c r="C2269">
        <v>71</v>
      </c>
      <c r="D2269">
        <v>1</v>
      </c>
      <c r="E2269">
        <v>416.99</v>
      </c>
      <c r="F2269">
        <v>0.1</v>
      </c>
      <c r="G2269">
        <v>416.89</v>
      </c>
      <c r="H2269" t="s">
        <v>72</v>
      </c>
    </row>
    <row r="2270" spans="1:8" x14ac:dyDescent="0.35">
      <c r="A2270">
        <v>846</v>
      </c>
      <c r="B2270">
        <v>4</v>
      </c>
      <c r="C2270">
        <v>72</v>
      </c>
      <c r="D2270">
        <v>2</v>
      </c>
      <c r="E2270">
        <v>619.99</v>
      </c>
      <c r="F2270">
        <v>0.1</v>
      </c>
      <c r="G2270">
        <v>1239.93</v>
      </c>
      <c r="H2270" t="s">
        <v>73</v>
      </c>
    </row>
    <row r="2271" spans="1:8" x14ac:dyDescent="0.35">
      <c r="A2271">
        <v>846</v>
      </c>
      <c r="B2271">
        <v>5</v>
      </c>
      <c r="C2271">
        <v>103</v>
      </c>
      <c r="D2271">
        <v>2</v>
      </c>
      <c r="E2271">
        <v>551.99</v>
      </c>
      <c r="F2271">
        <v>0.1</v>
      </c>
      <c r="G2271">
        <v>1103.9100000000001</v>
      </c>
      <c r="H2271" t="s">
        <v>102</v>
      </c>
    </row>
    <row r="2272" spans="1:8" x14ac:dyDescent="0.35">
      <c r="A2272">
        <v>848</v>
      </c>
      <c r="B2272">
        <v>1</v>
      </c>
      <c r="C2272">
        <v>93</v>
      </c>
      <c r="D2272">
        <v>1</v>
      </c>
      <c r="E2272">
        <v>209.99</v>
      </c>
      <c r="F2272">
        <v>0.1</v>
      </c>
      <c r="G2272">
        <v>209.92</v>
      </c>
      <c r="H2272" t="s">
        <v>94</v>
      </c>
    </row>
    <row r="2273" spans="1:8" x14ac:dyDescent="0.35">
      <c r="A2273">
        <v>848</v>
      </c>
      <c r="B2273">
        <v>2</v>
      </c>
      <c r="C2273">
        <v>100</v>
      </c>
      <c r="D2273">
        <v>2</v>
      </c>
      <c r="E2273">
        <v>489.99</v>
      </c>
      <c r="F2273">
        <v>0.2</v>
      </c>
      <c r="G2273">
        <v>979.78</v>
      </c>
      <c r="H2273" t="s">
        <v>100</v>
      </c>
    </row>
    <row r="2274" spans="1:8" x14ac:dyDescent="0.35">
      <c r="A2274">
        <v>848</v>
      </c>
      <c r="B2274">
        <v>3</v>
      </c>
      <c r="C2274">
        <v>88</v>
      </c>
      <c r="D2274">
        <v>2</v>
      </c>
      <c r="E2274">
        <v>189.99</v>
      </c>
      <c r="F2274">
        <v>0.2</v>
      </c>
      <c r="G2274">
        <v>379.78</v>
      </c>
      <c r="H2274" t="s">
        <v>89</v>
      </c>
    </row>
    <row r="2275" spans="1:8" x14ac:dyDescent="0.35">
      <c r="A2275">
        <v>848</v>
      </c>
      <c r="B2275">
        <v>4</v>
      </c>
      <c r="C2275">
        <v>41</v>
      </c>
      <c r="D2275">
        <v>2</v>
      </c>
      <c r="E2275">
        <v>1469.99</v>
      </c>
      <c r="F2275">
        <v>0.1</v>
      </c>
      <c r="G2275">
        <v>2939.91</v>
      </c>
      <c r="H2275" t="s">
        <v>42</v>
      </c>
    </row>
    <row r="2276" spans="1:8" x14ac:dyDescent="0.35">
      <c r="A2276">
        <v>850</v>
      </c>
      <c r="B2276">
        <v>1</v>
      </c>
      <c r="C2276">
        <v>101</v>
      </c>
      <c r="D2276">
        <v>2</v>
      </c>
      <c r="E2276">
        <v>339.99</v>
      </c>
      <c r="F2276">
        <v>0.1</v>
      </c>
      <c r="G2276">
        <v>679.91</v>
      </c>
      <c r="H2276" t="s">
        <v>101</v>
      </c>
    </row>
    <row r="2277" spans="1:8" x14ac:dyDescent="0.35">
      <c r="A2277">
        <v>850</v>
      </c>
      <c r="B2277">
        <v>2</v>
      </c>
      <c r="C2277">
        <v>5</v>
      </c>
      <c r="D2277">
        <v>2</v>
      </c>
      <c r="E2277">
        <v>1320.99</v>
      </c>
      <c r="F2277">
        <v>0.1</v>
      </c>
      <c r="G2277">
        <v>2641.91</v>
      </c>
      <c r="H2277" t="s">
        <v>10</v>
      </c>
    </row>
    <row r="2278" spans="1:8" x14ac:dyDescent="0.35">
      <c r="A2278">
        <v>850</v>
      </c>
      <c r="B2278">
        <v>3</v>
      </c>
      <c r="C2278">
        <v>37</v>
      </c>
      <c r="D2278">
        <v>1</v>
      </c>
      <c r="E2278">
        <v>379.99</v>
      </c>
      <c r="F2278">
        <v>0.1</v>
      </c>
      <c r="G2278">
        <v>379.92</v>
      </c>
      <c r="H2278" t="s">
        <v>38</v>
      </c>
    </row>
    <row r="2279" spans="1:8" x14ac:dyDescent="0.35">
      <c r="A2279">
        <v>851</v>
      </c>
      <c r="B2279">
        <v>1</v>
      </c>
      <c r="C2279">
        <v>30</v>
      </c>
      <c r="D2279">
        <v>1</v>
      </c>
      <c r="E2279">
        <v>999.99</v>
      </c>
      <c r="F2279">
        <v>0.2</v>
      </c>
      <c r="G2279">
        <v>999.79</v>
      </c>
      <c r="H2279" t="s">
        <v>31</v>
      </c>
    </row>
    <row r="2280" spans="1:8" x14ac:dyDescent="0.35">
      <c r="A2280">
        <v>851</v>
      </c>
      <c r="B2280">
        <v>2</v>
      </c>
      <c r="C2280">
        <v>93</v>
      </c>
      <c r="D2280">
        <v>1</v>
      </c>
      <c r="E2280">
        <v>209.99</v>
      </c>
      <c r="F2280">
        <v>0.1</v>
      </c>
      <c r="G2280">
        <v>209.94</v>
      </c>
      <c r="H2280" t="s">
        <v>94</v>
      </c>
    </row>
    <row r="2281" spans="1:8" x14ac:dyDescent="0.35">
      <c r="A2281">
        <v>853</v>
      </c>
      <c r="B2281">
        <v>1</v>
      </c>
      <c r="C2281">
        <v>99</v>
      </c>
      <c r="D2281">
        <v>1</v>
      </c>
      <c r="E2281">
        <v>299.99</v>
      </c>
      <c r="F2281">
        <v>0.1</v>
      </c>
      <c r="G2281">
        <v>299.94</v>
      </c>
      <c r="H2281" t="s">
        <v>99</v>
      </c>
    </row>
    <row r="2282" spans="1:8" x14ac:dyDescent="0.35">
      <c r="A2282">
        <v>853</v>
      </c>
      <c r="B2282">
        <v>2</v>
      </c>
      <c r="C2282">
        <v>58</v>
      </c>
      <c r="D2282">
        <v>2</v>
      </c>
      <c r="E2282">
        <v>4999.99</v>
      </c>
      <c r="F2282">
        <v>0.2</v>
      </c>
      <c r="G2282">
        <v>9999.7800000000007</v>
      </c>
      <c r="H2282" t="s">
        <v>59</v>
      </c>
    </row>
    <row r="2283" spans="1:8" x14ac:dyDescent="0.35">
      <c r="A2283">
        <v>853</v>
      </c>
      <c r="B2283">
        <v>3</v>
      </c>
      <c r="C2283">
        <v>42</v>
      </c>
      <c r="D2283">
        <v>2</v>
      </c>
      <c r="E2283">
        <v>2299.9899999999998</v>
      </c>
      <c r="F2283">
        <v>0.2</v>
      </c>
      <c r="G2283">
        <v>4599.78</v>
      </c>
      <c r="H2283" t="s">
        <v>43</v>
      </c>
    </row>
    <row r="2284" spans="1:8" x14ac:dyDescent="0.35">
      <c r="A2284">
        <v>853</v>
      </c>
      <c r="B2284">
        <v>4</v>
      </c>
      <c r="C2284">
        <v>45</v>
      </c>
      <c r="D2284">
        <v>1</v>
      </c>
      <c r="E2284">
        <v>869.99</v>
      </c>
      <c r="F2284">
        <v>0.2</v>
      </c>
      <c r="G2284">
        <v>869.79</v>
      </c>
      <c r="H2284" t="s">
        <v>46</v>
      </c>
    </row>
    <row r="2285" spans="1:8" x14ac:dyDescent="0.35">
      <c r="A2285">
        <v>853</v>
      </c>
      <c r="B2285">
        <v>5</v>
      </c>
      <c r="C2285">
        <v>6</v>
      </c>
      <c r="D2285">
        <v>1</v>
      </c>
      <c r="E2285">
        <v>469.99</v>
      </c>
      <c r="F2285">
        <v>0.1</v>
      </c>
      <c r="G2285">
        <v>469.94</v>
      </c>
      <c r="H2285" t="s">
        <v>11</v>
      </c>
    </row>
    <row r="2286" spans="1:8" x14ac:dyDescent="0.35">
      <c r="A2286">
        <v>855</v>
      </c>
      <c r="B2286">
        <v>1</v>
      </c>
      <c r="C2286">
        <v>18</v>
      </c>
      <c r="D2286">
        <v>1</v>
      </c>
      <c r="E2286">
        <v>449</v>
      </c>
      <c r="F2286">
        <v>0.1</v>
      </c>
      <c r="G2286">
        <v>448.9</v>
      </c>
      <c r="H2286" t="s">
        <v>23</v>
      </c>
    </row>
    <row r="2287" spans="1:8" x14ac:dyDescent="0.35">
      <c r="A2287">
        <v>855</v>
      </c>
      <c r="B2287">
        <v>2</v>
      </c>
      <c r="C2287">
        <v>93</v>
      </c>
      <c r="D2287">
        <v>2</v>
      </c>
      <c r="E2287">
        <v>209.99</v>
      </c>
      <c r="F2287">
        <v>0.2</v>
      </c>
      <c r="G2287">
        <v>419.78</v>
      </c>
      <c r="H2287" t="s">
        <v>94</v>
      </c>
    </row>
    <row r="2288" spans="1:8" x14ac:dyDescent="0.35">
      <c r="A2288">
        <v>855</v>
      </c>
      <c r="B2288">
        <v>3</v>
      </c>
      <c r="C2288">
        <v>89</v>
      </c>
      <c r="D2288">
        <v>1</v>
      </c>
      <c r="E2288">
        <v>209.99</v>
      </c>
      <c r="F2288">
        <v>0.2</v>
      </c>
      <c r="G2288">
        <v>209.79</v>
      </c>
      <c r="H2288" t="s">
        <v>90</v>
      </c>
    </row>
    <row r="2289" spans="1:8" x14ac:dyDescent="0.35">
      <c r="A2289">
        <v>858</v>
      </c>
      <c r="B2289">
        <v>1</v>
      </c>
      <c r="C2289">
        <v>45</v>
      </c>
      <c r="D2289">
        <v>2</v>
      </c>
      <c r="E2289">
        <v>869.99</v>
      </c>
      <c r="F2289">
        <v>0.2</v>
      </c>
      <c r="G2289">
        <v>1739.78</v>
      </c>
      <c r="H2289" t="s">
        <v>46</v>
      </c>
    </row>
    <row r="2290" spans="1:8" x14ac:dyDescent="0.35">
      <c r="A2290">
        <v>858</v>
      </c>
      <c r="B2290">
        <v>2</v>
      </c>
      <c r="C2290">
        <v>5</v>
      </c>
      <c r="D2290">
        <v>1</v>
      </c>
      <c r="E2290">
        <v>1320.99</v>
      </c>
      <c r="F2290">
        <v>0.2</v>
      </c>
      <c r="G2290">
        <v>1320.79</v>
      </c>
      <c r="H2290" t="s">
        <v>10</v>
      </c>
    </row>
    <row r="2291" spans="1:8" x14ac:dyDescent="0.35">
      <c r="A2291">
        <v>858</v>
      </c>
      <c r="B2291">
        <v>3</v>
      </c>
      <c r="C2291">
        <v>14</v>
      </c>
      <c r="D2291">
        <v>1</v>
      </c>
      <c r="E2291">
        <v>269.99</v>
      </c>
      <c r="F2291">
        <v>0.1</v>
      </c>
      <c r="G2291">
        <v>269.92</v>
      </c>
      <c r="H2291" t="s">
        <v>19</v>
      </c>
    </row>
    <row r="2292" spans="1:8" x14ac:dyDescent="0.35">
      <c r="A2292">
        <v>858</v>
      </c>
      <c r="B2292">
        <v>4</v>
      </c>
      <c r="C2292">
        <v>73</v>
      </c>
      <c r="D2292">
        <v>2</v>
      </c>
      <c r="E2292">
        <v>749.99</v>
      </c>
      <c r="F2292">
        <v>0.1</v>
      </c>
      <c r="G2292">
        <v>1499.91</v>
      </c>
      <c r="H2292" t="s">
        <v>74</v>
      </c>
    </row>
    <row r="2293" spans="1:8" x14ac:dyDescent="0.35">
      <c r="A2293">
        <v>859</v>
      </c>
      <c r="B2293">
        <v>1</v>
      </c>
      <c r="C2293">
        <v>38</v>
      </c>
      <c r="D2293">
        <v>2</v>
      </c>
      <c r="E2293">
        <v>549.99</v>
      </c>
      <c r="F2293">
        <v>0.1</v>
      </c>
      <c r="G2293">
        <v>1099.9100000000001</v>
      </c>
      <c r="H2293" t="s">
        <v>39</v>
      </c>
    </row>
    <row r="2294" spans="1:8" x14ac:dyDescent="0.35">
      <c r="A2294">
        <v>859</v>
      </c>
      <c r="B2294">
        <v>2</v>
      </c>
      <c r="C2294">
        <v>13</v>
      </c>
      <c r="D2294">
        <v>1</v>
      </c>
      <c r="E2294">
        <v>269.99</v>
      </c>
      <c r="F2294">
        <v>0.1</v>
      </c>
      <c r="G2294">
        <v>269.89</v>
      </c>
      <c r="H2294" t="s">
        <v>18</v>
      </c>
    </row>
    <row r="2295" spans="1:8" x14ac:dyDescent="0.35">
      <c r="A2295">
        <v>859</v>
      </c>
      <c r="B2295">
        <v>3</v>
      </c>
      <c r="C2295">
        <v>14</v>
      </c>
      <c r="D2295">
        <v>2</v>
      </c>
      <c r="E2295">
        <v>269.99</v>
      </c>
      <c r="F2295">
        <v>0.1</v>
      </c>
      <c r="G2295">
        <v>539.88</v>
      </c>
      <c r="H2295" t="s">
        <v>19</v>
      </c>
    </row>
    <row r="2296" spans="1:8" x14ac:dyDescent="0.35">
      <c r="A2296">
        <v>859</v>
      </c>
      <c r="B2296">
        <v>4</v>
      </c>
      <c r="C2296">
        <v>71</v>
      </c>
      <c r="D2296">
        <v>2</v>
      </c>
      <c r="E2296">
        <v>416.99</v>
      </c>
      <c r="F2296">
        <v>0.1</v>
      </c>
      <c r="G2296">
        <v>833.88</v>
      </c>
      <c r="H2296" t="s">
        <v>72</v>
      </c>
    </row>
    <row r="2297" spans="1:8" x14ac:dyDescent="0.35">
      <c r="A2297">
        <v>859</v>
      </c>
      <c r="B2297">
        <v>5</v>
      </c>
      <c r="C2297">
        <v>36</v>
      </c>
      <c r="D2297">
        <v>2</v>
      </c>
      <c r="E2297">
        <v>832.99</v>
      </c>
      <c r="F2297">
        <v>0.1</v>
      </c>
      <c r="G2297">
        <v>1665.88</v>
      </c>
      <c r="H2297" t="s">
        <v>37</v>
      </c>
    </row>
    <row r="2298" spans="1:8" x14ac:dyDescent="0.35">
      <c r="A2298">
        <v>860</v>
      </c>
      <c r="B2298">
        <v>1</v>
      </c>
      <c r="C2298">
        <v>6</v>
      </c>
      <c r="D2298">
        <v>1</v>
      </c>
      <c r="E2298">
        <v>469.99</v>
      </c>
      <c r="F2298">
        <v>0.1</v>
      </c>
      <c r="G2298">
        <v>469.94</v>
      </c>
      <c r="H2298" t="s">
        <v>11</v>
      </c>
    </row>
    <row r="2299" spans="1:8" x14ac:dyDescent="0.35">
      <c r="A2299">
        <v>860</v>
      </c>
      <c r="B2299">
        <v>2</v>
      </c>
      <c r="C2299">
        <v>24</v>
      </c>
      <c r="D2299">
        <v>2</v>
      </c>
      <c r="E2299">
        <v>549.99</v>
      </c>
      <c r="F2299">
        <v>0.2</v>
      </c>
      <c r="G2299">
        <v>1099.78</v>
      </c>
      <c r="H2299" t="s">
        <v>17</v>
      </c>
    </row>
    <row r="2300" spans="1:8" x14ac:dyDescent="0.35">
      <c r="A2300">
        <v>860</v>
      </c>
      <c r="B2300">
        <v>3</v>
      </c>
      <c r="C2300">
        <v>25</v>
      </c>
      <c r="D2300">
        <v>1</v>
      </c>
      <c r="E2300">
        <v>499.99</v>
      </c>
      <c r="F2300">
        <v>0.2</v>
      </c>
      <c r="G2300">
        <v>499.79</v>
      </c>
      <c r="H2300" t="s">
        <v>27</v>
      </c>
    </row>
    <row r="2301" spans="1:8" x14ac:dyDescent="0.35">
      <c r="A2301">
        <v>860</v>
      </c>
      <c r="B2301">
        <v>4</v>
      </c>
      <c r="C2301">
        <v>58</v>
      </c>
      <c r="D2301">
        <v>2</v>
      </c>
      <c r="E2301">
        <v>4999.99</v>
      </c>
      <c r="F2301">
        <v>0.1</v>
      </c>
      <c r="G2301">
        <v>9999.91</v>
      </c>
      <c r="H2301" t="s">
        <v>59</v>
      </c>
    </row>
    <row r="2302" spans="1:8" x14ac:dyDescent="0.35">
      <c r="A2302">
        <v>860</v>
      </c>
      <c r="B2302">
        <v>5</v>
      </c>
      <c r="C2302">
        <v>95</v>
      </c>
      <c r="D2302">
        <v>2</v>
      </c>
      <c r="E2302">
        <v>299.99</v>
      </c>
      <c r="F2302">
        <v>0.1</v>
      </c>
      <c r="G2302">
        <v>599.92999999999995</v>
      </c>
      <c r="H2302" t="s">
        <v>77</v>
      </c>
    </row>
    <row r="2303" spans="1:8" x14ac:dyDescent="0.35">
      <c r="A2303">
        <v>861</v>
      </c>
      <c r="B2303">
        <v>1</v>
      </c>
      <c r="C2303">
        <v>14</v>
      </c>
      <c r="D2303">
        <v>2</v>
      </c>
      <c r="E2303">
        <v>269.99</v>
      </c>
      <c r="F2303">
        <v>0.1</v>
      </c>
      <c r="G2303">
        <v>539.91</v>
      </c>
      <c r="H2303" t="s">
        <v>19</v>
      </c>
    </row>
    <row r="2304" spans="1:8" x14ac:dyDescent="0.35">
      <c r="A2304">
        <v>861</v>
      </c>
      <c r="B2304">
        <v>2</v>
      </c>
      <c r="C2304">
        <v>62</v>
      </c>
      <c r="D2304">
        <v>1</v>
      </c>
      <c r="E2304">
        <v>3499.99</v>
      </c>
      <c r="F2304">
        <v>0.2</v>
      </c>
      <c r="G2304">
        <v>3499.79</v>
      </c>
      <c r="H2304" t="s">
        <v>63</v>
      </c>
    </row>
    <row r="2305" spans="1:8" x14ac:dyDescent="0.35">
      <c r="A2305">
        <v>862</v>
      </c>
      <c r="B2305">
        <v>1</v>
      </c>
      <c r="C2305">
        <v>85</v>
      </c>
      <c r="D2305">
        <v>1</v>
      </c>
      <c r="E2305">
        <v>329.99</v>
      </c>
      <c r="F2305">
        <v>0.1</v>
      </c>
      <c r="G2305">
        <v>329.94</v>
      </c>
      <c r="H2305" t="s">
        <v>86</v>
      </c>
    </row>
    <row r="2306" spans="1:8" x14ac:dyDescent="0.35">
      <c r="A2306">
        <v>862</v>
      </c>
      <c r="B2306">
        <v>2</v>
      </c>
      <c r="C2306">
        <v>99</v>
      </c>
      <c r="D2306">
        <v>1</v>
      </c>
      <c r="E2306">
        <v>299.99</v>
      </c>
      <c r="F2306">
        <v>0.2</v>
      </c>
      <c r="G2306">
        <v>299.79000000000002</v>
      </c>
      <c r="H2306" t="s">
        <v>99</v>
      </c>
    </row>
    <row r="2307" spans="1:8" x14ac:dyDescent="0.35">
      <c r="A2307">
        <v>862</v>
      </c>
      <c r="B2307">
        <v>3</v>
      </c>
      <c r="C2307">
        <v>49</v>
      </c>
      <c r="D2307">
        <v>2</v>
      </c>
      <c r="E2307">
        <v>3499.99</v>
      </c>
      <c r="F2307">
        <v>0.1</v>
      </c>
      <c r="G2307">
        <v>6999.91</v>
      </c>
      <c r="H2307" t="s">
        <v>50</v>
      </c>
    </row>
    <row r="2308" spans="1:8" x14ac:dyDescent="0.35">
      <c r="A2308">
        <v>864</v>
      </c>
      <c r="B2308">
        <v>1</v>
      </c>
      <c r="C2308">
        <v>37</v>
      </c>
      <c r="D2308">
        <v>1</v>
      </c>
      <c r="E2308">
        <v>379.99</v>
      </c>
      <c r="F2308">
        <v>0.1</v>
      </c>
      <c r="G2308">
        <v>379.89</v>
      </c>
      <c r="H2308" t="s">
        <v>38</v>
      </c>
    </row>
    <row r="2309" spans="1:8" x14ac:dyDescent="0.35">
      <c r="A2309">
        <v>864</v>
      </c>
      <c r="B2309">
        <v>2</v>
      </c>
      <c r="C2309">
        <v>65</v>
      </c>
      <c r="D2309">
        <v>2</v>
      </c>
      <c r="E2309">
        <v>346.99</v>
      </c>
      <c r="F2309">
        <v>0.1</v>
      </c>
      <c r="G2309">
        <v>693.93</v>
      </c>
      <c r="H2309" t="s">
        <v>66</v>
      </c>
    </row>
    <row r="2310" spans="1:8" x14ac:dyDescent="0.35">
      <c r="A2310">
        <v>864</v>
      </c>
      <c r="B2310">
        <v>3</v>
      </c>
      <c r="C2310">
        <v>13</v>
      </c>
      <c r="D2310">
        <v>1</v>
      </c>
      <c r="E2310">
        <v>269.99</v>
      </c>
      <c r="F2310">
        <v>0.2</v>
      </c>
      <c r="G2310">
        <v>269.79000000000002</v>
      </c>
      <c r="H2310" t="s">
        <v>18</v>
      </c>
    </row>
    <row r="2311" spans="1:8" x14ac:dyDescent="0.35">
      <c r="A2311">
        <v>865</v>
      </c>
      <c r="B2311">
        <v>1</v>
      </c>
      <c r="C2311">
        <v>109</v>
      </c>
      <c r="D2311">
        <v>2</v>
      </c>
      <c r="E2311">
        <v>416.99</v>
      </c>
      <c r="F2311">
        <v>0.1</v>
      </c>
      <c r="G2311">
        <v>833.88</v>
      </c>
      <c r="H2311" t="s">
        <v>106</v>
      </c>
    </row>
    <row r="2312" spans="1:8" x14ac:dyDescent="0.35">
      <c r="A2312">
        <v>865</v>
      </c>
      <c r="B2312">
        <v>2</v>
      </c>
      <c r="C2312">
        <v>34</v>
      </c>
      <c r="D2312">
        <v>1</v>
      </c>
      <c r="E2312">
        <v>469.99</v>
      </c>
      <c r="F2312">
        <v>0.1</v>
      </c>
      <c r="G2312">
        <v>469.94</v>
      </c>
      <c r="H2312" t="s">
        <v>35</v>
      </c>
    </row>
    <row r="2313" spans="1:8" x14ac:dyDescent="0.35">
      <c r="A2313">
        <v>866</v>
      </c>
      <c r="B2313">
        <v>1</v>
      </c>
      <c r="C2313">
        <v>88</v>
      </c>
      <c r="D2313">
        <v>1</v>
      </c>
      <c r="E2313">
        <v>189.99</v>
      </c>
      <c r="F2313">
        <v>0.2</v>
      </c>
      <c r="G2313">
        <v>189.79</v>
      </c>
      <c r="H2313" t="s">
        <v>89</v>
      </c>
    </row>
    <row r="2314" spans="1:8" x14ac:dyDescent="0.35">
      <c r="A2314">
        <v>866</v>
      </c>
      <c r="B2314">
        <v>2</v>
      </c>
      <c r="C2314">
        <v>67</v>
      </c>
      <c r="D2314">
        <v>2</v>
      </c>
      <c r="E2314">
        <v>250.99</v>
      </c>
      <c r="F2314">
        <v>0.1</v>
      </c>
      <c r="G2314">
        <v>501.91</v>
      </c>
      <c r="H2314" t="s">
        <v>68</v>
      </c>
    </row>
    <row r="2315" spans="1:8" x14ac:dyDescent="0.35">
      <c r="A2315">
        <v>866</v>
      </c>
      <c r="B2315">
        <v>3</v>
      </c>
      <c r="C2315">
        <v>80</v>
      </c>
      <c r="D2315">
        <v>1</v>
      </c>
      <c r="E2315">
        <v>761.99</v>
      </c>
      <c r="F2315">
        <v>0.1</v>
      </c>
      <c r="G2315">
        <v>761.92</v>
      </c>
      <c r="H2315" t="s">
        <v>81</v>
      </c>
    </row>
    <row r="2316" spans="1:8" x14ac:dyDescent="0.35">
      <c r="A2316">
        <v>866</v>
      </c>
      <c r="B2316">
        <v>4</v>
      </c>
      <c r="C2316">
        <v>13</v>
      </c>
      <c r="D2316">
        <v>2</v>
      </c>
      <c r="E2316">
        <v>269.99</v>
      </c>
      <c r="F2316">
        <v>0.1</v>
      </c>
      <c r="G2316">
        <v>539.91</v>
      </c>
      <c r="H2316" t="s">
        <v>18</v>
      </c>
    </row>
    <row r="2317" spans="1:8" x14ac:dyDescent="0.35">
      <c r="A2317">
        <v>869</v>
      </c>
      <c r="B2317">
        <v>1</v>
      </c>
      <c r="C2317">
        <v>7</v>
      </c>
      <c r="D2317">
        <v>1</v>
      </c>
      <c r="E2317">
        <v>3999.99</v>
      </c>
      <c r="F2317">
        <v>0.2</v>
      </c>
      <c r="G2317">
        <v>3999.79</v>
      </c>
      <c r="H2317" t="s">
        <v>12</v>
      </c>
    </row>
    <row r="2318" spans="1:8" x14ac:dyDescent="0.35">
      <c r="A2318">
        <v>869</v>
      </c>
      <c r="B2318">
        <v>2</v>
      </c>
      <c r="C2318">
        <v>106</v>
      </c>
      <c r="D2318">
        <v>2</v>
      </c>
      <c r="E2318">
        <v>449.99</v>
      </c>
      <c r="F2318">
        <v>0.1</v>
      </c>
      <c r="G2318">
        <v>899.93</v>
      </c>
      <c r="H2318" t="s">
        <v>69</v>
      </c>
    </row>
    <row r="2319" spans="1:8" x14ac:dyDescent="0.35">
      <c r="A2319">
        <v>869</v>
      </c>
      <c r="B2319">
        <v>3</v>
      </c>
      <c r="C2319">
        <v>33</v>
      </c>
      <c r="D2319">
        <v>1</v>
      </c>
      <c r="E2319">
        <v>469.99</v>
      </c>
      <c r="F2319">
        <v>0.1</v>
      </c>
      <c r="G2319">
        <v>469.94</v>
      </c>
      <c r="H2319" t="s">
        <v>34</v>
      </c>
    </row>
    <row r="2320" spans="1:8" x14ac:dyDescent="0.35">
      <c r="A2320">
        <v>869</v>
      </c>
      <c r="B2320">
        <v>4</v>
      </c>
      <c r="C2320">
        <v>55</v>
      </c>
      <c r="D2320">
        <v>2</v>
      </c>
      <c r="E2320">
        <v>2699.99</v>
      </c>
      <c r="F2320">
        <v>0.1</v>
      </c>
      <c r="G2320">
        <v>5399.93</v>
      </c>
      <c r="H2320" t="s">
        <v>56</v>
      </c>
    </row>
    <row r="2321" spans="1:8" x14ac:dyDescent="0.35">
      <c r="A2321">
        <v>869</v>
      </c>
      <c r="B2321">
        <v>5</v>
      </c>
      <c r="C2321">
        <v>65</v>
      </c>
      <c r="D2321">
        <v>2</v>
      </c>
      <c r="E2321">
        <v>346.99</v>
      </c>
      <c r="F2321">
        <v>0.2</v>
      </c>
      <c r="G2321">
        <v>693.78</v>
      </c>
      <c r="H2321" t="s">
        <v>66</v>
      </c>
    </row>
    <row r="2322" spans="1:8" x14ac:dyDescent="0.35">
      <c r="A2322">
        <v>871</v>
      </c>
      <c r="B2322">
        <v>1</v>
      </c>
      <c r="C2322">
        <v>106</v>
      </c>
      <c r="D2322">
        <v>1</v>
      </c>
      <c r="E2322">
        <v>449.99</v>
      </c>
      <c r="F2322">
        <v>0.2</v>
      </c>
      <c r="G2322">
        <v>449.79</v>
      </c>
      <c r="H2322" t="s">
        <v>69</v>
      </c>
    </row>
    <row r="2323" spans="1:8" x14ac:dyDescent="0.35">
      <c r="A2323">
        <v>871</v>
      </c>
      <c r="B2323">
        <v>2</v>
      </c>
      <c r="C2323">
        <v>38</v>
      </c>
      <c r="D2323">
        <v>1</v>
      </c>
      <c r="E2323">
        <v>549.99</v>
      </c>
      <c r="F2323">
        <v>0.1</v>
      </c>
      <c r="G2323">
        <v>549.89</v>
      </c>
      <c r="H2323" t="s">
        <v>39</v>
      </c>
    </row>
    <row r="2324" spans="1:8" x14ac:dyDescent="0.35">
      <c r="A2324">
        <v>871</v>
      </c>
      <c r="B2324">
        <v>3</v>
      </c>
      <c r="C2324">
        <v>30</v>
      </c>
      <c r="D2324">
        <v>2</v>
      </c>
      <c r="E2324">
        <v>999.99</v>
      </c>
      <c r="F2324">
        <v>0.2</v>
      </c>
      <c r="G2324">
        <v>1999.78</v>
      </c>
      <c r="H2324" t="s">
        <v>31</v>
      </c>
    </row>
    <row r="2325" spans="1:8" x14ac:dyDescent="0.35">
      <c r="A2325">
        <v>871</v>
      </c>
      <c r="B2325">
        <v>4</v>
      </c>
      <c r="C2325">
        <v>107</v>
      </c>
      <c r="D2325">
        <v>2</v>
      </c>
      <c r="E2325">
        <v>416.99</v>
      </c>
      <c r="F2325">
        <v>0.1</v>
      </c>
      <c r="G2325">
        <v>833.93</v>
      </c>
      <c r="H2325" t="s">
        <v>70</v>
      </c>
    </row>
    <row r="2326" spans="1:8" x14ac:dyDescent="0.35">
      <c r="A2326">
        <v>872</v>
      </c>
      <c r="B2326">
        <v>1</v>
      </c>
      <c r="C2326">
        <v>62</v>
      </c>
      <c r="D2326">
        <v>2</v>
      </c>
      <c r="E2326">
        <v>3499.99</v>
      </c>
      <c r="F2326">
        <v>0.1</v>
      </c>
      <c r="G2326">
        <v>6999.91</v>
      </c>
      <c r="H2326" t="s">
        <v>63</v>
      </c>
    </row>
    <row r="2327" spans="1:8" x14ac:dyDescent="0.35">
      <c r="A2327">
        <v>872</v>
      </c>
      <c r="B2327">
        <v>2</v>
      </c>
      <c r="C2327">
        <v>53</v>
      </c>
      <c r="D2327">
        <v>1</v>
      </c>
      <c r="E2327">
        <v>749.99</v>
      </c>
      <c r="F2327">
        <v>0.1</v>
      </c>
      <c r="G2327">
        <v>749.89</v>
      </c>
      <c r="H2327" t="s">
        <v>54</v>
      </c>
    </row>
    <row r="2328" spans="1:8" x14ac:dyDescent="0.35">
      <c r="A2328">
        <v>874</v>
      </c>
      <c r="B2328">
        <v>1</v>
      </c>
      <c r="C2328">
        <v>56</v>
      </c>
      <c r="D2328">
        <v>1</v>
      </c>
      <c r="E2328">
        <v>5499.99</v>
      </c>
      <c r="F2328">
        <v>0.1</v>
      </c>
      <c r="G2328">
        <v>5499.94</v>
      </c>
      <c r="H2328" t="s">
        <v>57</v>
      </c>
    </row>
    <row r="2329" spans="1:8" x14ac:dyDescent="0.35">
      <c r="A2329">
        <v>874</v>
      </c>
      <c r="B2329">
        <v>2</v>
      </c>
      <c r="C2329">
        <v>27</v>
      </c>
      <c r="D2329">
        <v>2</v>
      </c>
      <c r="E2329">
        <v>999.99</v>
      </c>
      <c r="F2329">
        <v>0.1</v>
      </c>
      <c r="G2329">
        <v>1999.93</v>
      </c>
      <c r="H2329" t="s">
        <v>28</v>
      </c>
    </row>
    <row r="2330" spans="1:8" x14ac:dyDescent="0.35">
      <c r="A2330">
        <v>874</v>
      </c>
      <c r="B2330">
        <v>3</v>
      </c>
      <c r="C2330">
        <v>73</v>
      </c>
      <c r="D2330">
        <v>1</v>
      </c>
      <c r="E2330">
        <v>749.99</v>
      </c>
      <c r="F2330">
        <v>0.1</v>
      </c>
      <c r="G2330">
        <v>749.89</v>
      </c>
      <c r="H2330" t="s">
        <v>74</v>
      </c>
    </row>
    <row r="2331" spans="1:8" x14ac:dyDescent="0.35">
      <c r="A2331">
        <v>874</v>
      </c>
      <c r="B2331">
        <v>4</v>
      </c>
      <c r="C2331">
        <v>77</v>
      </c>
      <c r="D2331">
        <v>2</v>
      </c>
      <c r="E2331">
        <v>799.99</v>
      </c>
      <c r="F2331">
        <v>0.1</v>
      </c>
      <c r="G2331">
        <v>1599.91</v>
      </c>
      <c r="H2331" t="s">
        <v>78</v>
      </c>
    </row>
    <row r="2332" spans="1:8" x14ac:dyDescent="0.35">
      <c r="A2332">
        <v>875</v>
      </c>
      <c r="B2332">
        <v>1</v>
      </c>
      <c r="C2332">
        <v>5</v>
      </c>
      <c r="D2332">
        <v>2</v>
      </c>
      <c r="E2332">
        <v>1320.99</v>
      </c>
      <c r="F2332">
        <v>0.1</v>
      </c>
      <c r="G2332">
        <v>2641.88</v>
      </c>
      <c r="H2332" t="s">
        <v>10</v>
      </c>
    </row>
    <row r="2333" spans="1:8" x14ac:dyDescent="0.35">
      <c r="A2333">
        <v>875</v>
      </c>
      <c r="B2333">
        <v>2</v>
      </c>
      <c r="C2333">
        <v>15</v>
      </c>
      <c r="D2333">
        <v>2</v>
      </c>
      <c r="E2333">
        <v>529.99</v>
      </c>
      <c r="F2333">
        <v>0.1</v>
      </c>
      <c r="G2333">
        <v>1059.93</v>
      </c>
      <c r="H2333" t="s">
        <v>20</v>
      </c>
    </row>
    <row r="2334" spans="1:8" x14ac:dyDescent="0.35">
      <c r="A2334">
        <v>875</v>
      </c>
      <c r="B2334">
        <v>3</v>
      </c>
      <c r="C2334">
        <v>14</v>
      </c>
      <c r="D2334">
        <v>1</v>
      </c>
      <c r="E2334">
        <v>269.99</v>
      </c>
      <c r="F2334">
        <v>0.1</v>
      </c>
      <c r="G2334">
        <v>269.92</v>
      </c>
      <c r="H2334" t="s">
        <v>19</v>
      </c>
    </row>
    <row r="2335" spans="1:8" x14ac:dyDescent="0.35">
      <c r="A2335">
        <v>875</v>
      </c>
      <c r="B2335">
        <v>4</v>
      </c>
      <c r="C2335">
        <v>111</v>
      </c>
      <c r="D2335">
        <v>1</v>
      </c>
      <c r="E2335">
        <v>470.99</v>
      </c>
      <c r="F2335">
        <v>0.2</v>
      </c>
      <c r="G2335">
        <v>470.79</v>
      </c>
      <c r="H2335" t="s">
        <v>108</v>
      </c>
    </row>
    <row r="2336" spans="1:8" x14ac:dyDescent="0.35">
      <c r="A2336">
        <v>876</v>
      </c>
      <c r="B2336">
        <v>1</v>
      </c>
      <c r="C2336">
        <v>17</v>
      </c>
      <c r="D2336">
        <v>2</v>
      </c>
      <c r="E2336">
        <v>429</v>
      </c>
      <c r="F2336">
        <v>0.2</v>
      </c>
      <c r="G2336">
        <v>857.8</v>
      </c>
      <c r="H2336" t="s">
        <v>22</v>
      </c>
    </row>
    <row r="2337" spans="1:8" x14ac:dyDescent="0.35">
      <c r="A2337">
        <v>876</v>
      </c>
      <c r="B2337">
        <v>2</v>
      </c>
      <c r="C2337">
        <v>66</v>
      </c>
      <c r="D2337">
        <v>2</v>
      </c>
      <c r="E2337">
        <v>250.99</v>
      </c>
      <c r="F2337">
        <v>0.2</v>
      </c>
      <c r="G2337">
        <v>501.78</v>
      </c>
      <c r="H2337" t="s">
        <v>67</v>
      </c>
    </row>
    <row r="2338" spans="1:8" x14ac:dyDescent="0.35">
      <c r="A2338">
        <v>876</v>
      </c>
      <c r="B2338">
        <v>3</v>
      </c>
      <c r="C2338">
        <v>96</v>
      </c>
      <c r="D2338">
        <v>1</v>
      </c>
      <c r="E2338">
        <v>349.99</v>
      </c>
      <c r="F2338">
        <v>0.1</v>
      </c>
      <c r="G2338">
        <v>349.92</v>
      </c>
      <c r="H2338" t="s">
        <v>96</v>
      </c>
    </row>
    <row r="2339" spans="1:8" x14ac:dyDescent="0.35">
      <c r="A2339">
        <v>876</v>
      </c>
      <c r="B2339">
        <v>4</v>
      </c>
      <c r="C2339">
        <v>107</v>
      </c>
      <c r="D2339">
        <v>2</v>
      </c>
      <c r="E2339">
        <v>416.99</v>
      </c>
      <c r="F2339">
        <v>0.1</v>
      </c>
      <c r="G2339">
        <v>833.93</v>
      </c>
      <c r="H2339" t="s">
        <v>70</v>
      </c>
    </row>
    <row r="2340" spans="1:8" x14ac:dyDescent="0.35">
      <c r="A2340">
        <v>877</v>
      </c>
      <c r="B2340">
        <v>1</v>
      </c>
      <c r="C2340">
        <v>73</v>
      </c>
      <c r="D2340">
        <v>1</v>
      </c>
      <c r="E2340">
        <v>749.99</v>
      </c>
      <c r="F2340">
        <v>0.1</v>
      </c>
      <c r="G2340">
        <v>749.92</v>
      </c>
      <c r="H2340" t="s">
        <v>74</v>
      </c>
    </row>
    <row r="2341" spans="1:8" x14ac:dyDescent="0.35">
      <c r="A2341">
        <v>877</v>
      </c>
      <c r="B2341">
        <v>2</v>
      </c>
      <c r="C2341">
        <v>103</v>
      </c>
      <c r="D2341">
        <v>1</v>
      </c>
      <c r="E2341">
        <v>551.99</v>
      </c>
      <c r="F2341">
        <v>0.1</v>
      </c>
      <c r="G2341">
        <v>551.89</v>
      </c>
      <c r="H2341" t="s">
        <v>102</v>
      </c>
    </row>
    <row r="2342" spans="1:8" x14ac:dyDescent="0.35">
      <c r="A2342">
        <v>878</v>
      </c>
      <c r="B2342">
        <v>1</v>
      </c>
      <c r="C2342">
        <v>103</v>
      </c>
      <c r="D2342">
        <v>1</v>
      </c>
      <c r="E2342">
        <v>551.99</v>
      </c>
      <c r="F2342">
        <v>0.2</v>
      </c>
      <c r="G2342">
        <v>551.79</v>
      </c>
      <c r="H2342" t="s">
        <v>102</v>
      </c>
    </row>
    <row r="2343" spans="1:8" x14ac:dyDescent="0.35">
      <c r="A2343">
        <v>878</v>
      </c>
      <c r="B2343">
        <v>2</v>
      </c>
      <c r="C2343">
        <v>13</v>
      </c>
      <c r="D2343">
        <v>1</v>
      </c>
      <c r="E2343">
        <v>269.99</v>
      </c>
      <c r="F2343">
        <v>0.1</v>
      </c>
      <c r="G2343">
        <v>269.89</v>
      </c>
      <c r="H2343" t="s">
        <v>18</v>
      </c>
    </row>
    <row r="2344" spans="1:8" x14ac:dyDescent="0.35">
      <c r="A2344">
        <v>878</v>
      </c>
      <c r="B2344">
        <v>3</v>
      </c>
      <c r="C2344">
        <v>6</v>
      </c>
      <c r="D2344">
        <v>2</v>
      </c>
      <c r="E2344">
        <v>469.99</v>
      </c>
      <c r="F2344">
        <v>0.2</v>
      </c>
      <c r="G2344">
        <v>939.78</v>
      </c>
      <c r="H2344" t="s">
        <v>11</v>
      </c>
    </row>
    <row r="2345" spans="1:8" x14ac:dyDescent="0.35">
      <c r="A2345">
        <v>878</v>
      </c>
      <c r="B2345">
        <v>4</v>
      </c>
      <c r="C2345">
        <v>18</v>
      </c>
      <c r="D2345">
        <v>2</v>
      </c>
      <c r="E2345">
        <v>449</v>
      </c>
      <c r="F2345">
        <v>0.1</v>
      </c>
      <c r="G2345">
        <v>897.95</v>
      </c>
      <c r="H2345" t="s">
        <v>23</v>
      </c>
    </row>
    <row r="2346" spans="1:8" x14ac:dyDescent="0.35">
      <c r="A2346">
        <v>879</v>
      </c>
      <c r="B2346">
        <v>1</v>
      </c>
      <c r="C2346">
        <v>100</v>
      </c>
      <c r="D2346">
        <v>2</v>
      </c>
      <c r="E2346">
        <v>489.99</v>
      </c>
      <c r="F2346">
        <v>0.2</v>
      </c>
      <c r="G2346">
        <v>979.78</v>
      </c>
      <c r="H2346" t="s">
        <v>100</v>
      </c>
    </row>
    <row r="2347" spans="1:8" x14ac:dyDescent="0.35">
      <c r="A2347">
        <v>879</v>
      </c>
      <c r="B2347">
        <v>2</v>
      </c>
      <c r="C2347">
        <v>2</v>
      </c>
      <c r="D2347">
        <v>2</v>
      </c>
      <c r="E2347">
        <v>749.99</v>
      </c>
      <c r="F2347">
        <v>0.1</v>
      </c>
      <c r="G2347">
        <v>1499.91</v>
      </c>
      <c r="H2347" t="s">
        <v>7</v>
      </c>
    </row>
    <row r="2348" spans="1:8" x14ac:dyDescent="0.35">
      <c r="A2348">
        <v>879</v>
      </c>
      <c r="B2348">
        <v>3</v>
      </c>
      <c r="C2348">
        <v>83</v>
      </c>
      <c r="D2348">
        <v>2</v>
      </c>
      <c r="E2348">
        <v>149.99</v>
      </c>
      <c r="F2348">
        <v>0.2</v>
      </c>
      <c r="G2348">
        <v>299.77999999999997</v>
      </c>
      <c r="H2348" t="s">
        <v>84</v>
      </c>
    </row>
    <row r="2349" spans="1:8" x14ac:dyDescent="0.35">
      <c r="A2349">
        <v>879</v>
      </c>
      <c r="B2349">
        <v>4</v>
      </c>
      <c r="C2349">
        <v>82</v>
      </c>
      <c r="D2349">
        <v>1</v>
      </c>
      <c r="E2349">
        <v>659.99</v>
      </c>
      <c r="F2349">
        <v>0.1</v>
      </c>
      <c r="G2349">
        <v>659.92</v>
      </c>
      <c r="H2349" t="s">
        <v>83</v>
      </c>
    </row>
    <row r="2350" spans="1:8" x14ac:dyDescent="0.35">
      <c r="A2350">
        <v>880</v>
      </c>
      <c r="B2350">
        <v>1</v>
      </c>
      <c r="C2350">
        <v>28</v>
      </c>
      <c r="D2350">
        <v>2</v>
      </c>
      <c r="E2350">
        <v>2499.9899999999998</v>
      </c>
      <c r="F2350">
        <v>0.2</v>
      </c>
      <c r="G2350">
        <v>4999.78</v>
      </c>
      <c r="H2350" t="s">
        <v>29</v>
      </c>
    </row>
    <row r="2351" spans="1:8" x14ac:dyDescent="0.35">
      <c r="A2351">
        <v>880</v>
      </c>
      <c r="B2351">
        <v>2</v>
      </c>
      <c r="C2351">
        <v>95</v>
      </c>
      <c r="D2351">
        <v>1</v>
      </c>
      <c r="E2351">
        <v>299.99</v>
      </c>
      <c r="F2351">
        <v>0.1</v>
      </c>
      <c r="G2351">
        <v>299.89</v>
      </c>
      <c r="H2351" t="s">
        <v>77</v>
      </c>
    </row>
    <row r="2352" spans="1:8" x14ac:dyDescent="0.35">
      <c r="A2352">
        <v>880</v>
      </c>
      <c r="B2352">
        <v>3</v>
      </c>
      <c r="C2352">
        <v>5</v>
      </c>
      <c r="D2352">
        <v>1</v>
      </c>
      <c r="E2352">
        <v>1320.99</v>
      </c>
      <c r="F2352">
        <v>0.1</v>
      </c>
      <c r="G2352">
        <v>1320.92</v>
      </c>
      <c r="H2352" t="s">
        <v>10</v>
      </c>
    </row>
    <row r="2353" spans="1:8" x14ac:dyDescent="0.35">
      <c r="A2353">
        <v>880</v>
      </c>
      <c r="B2353">
        <v>4</v>
      </c>
      <c r="C2353">
        <v>26</v>
      </c>
      <c r="D2353">
        <v>1</v>
      </c>
      <c r="E2353">
        <v>599.99</v>
      </c>
      <c r="F2353">
        <v>0.1</v>
      </c>
      <c r="G2353">
        <v>599.89</v>
      </c>
      <c r="H2353" t="s">
        <v>21</v>
      </c>
    </row>
    <row r="2354" spans="1:8" x14ac:dyDescent="0.35">
      <c r="A2354">
        <v>880</v>
      </c>
      <c r="B2354">
        <v>5</v>
      </c>
      <c r="C2354">
        <v>66</v>
      </c>
      <c r="D2354">
        <v>1</v>
      </c>
      <c r="E2354">
        <v>250.99</v>
      </c>
      <c r="F2354">
        <v>0.2</v>
      </c>
      <c r="G2354">
        <v>250.79</v>
      </c>
      <c r="H2354" t="s">
        <v>67</v>
      </c>
    </row>
    <row r="2355" spans="1:8" x14ac:dyDescent="0.35">
      <c r="A2355">
        <v>881</v>
      </c>
      <c r="B2355">
        <v>1</v>
      </c>
      <c r="C2355">
        <v>98</v>
      </c>
      <c r="D2355">
        <v>1</v>
      </c>
      <c r="E2355">
        <v>489.99</v>
      </c>
      <c r="F2355">
        <v>0.1</v>
      </c>
      <c r="G2355">
        <v>489.92</v>
      </c>
      <c r="H2355" t="s">
        <v>98</v>
      </c>
    </row>
    <row r="2356" spans="1:8" x14ac:dyDescent="0.35">
      <c r="A2356">
        <v>881</v>
      </c>
      <c r="B2356">
        <v>2</v>
      </c>
      <c r="C2356">
        <v>50</v>
      </c>
      <c r="D2356">
        <v>1</v>
      </c>
      <c r="E2356">
        <v>5999.99</v>
      </c>
      <c r="F2356">
        <v>0.2</v>
      </c>
      <c r="G2356">
        <v>5999.79</v>
      </c>
      <c r="H2356" t="s">
        <v>51</v>
      </c>
    </row>
    <row r="2357" spans="1:8" x14ac:dyDescent="0.35">
      <c r="A2357">
        <v>881</v>
      </c>
      <c r="B2357">
        <v>3</v>
      </c>
      <c r="C2357">
        <v>64</v>
      </c>
      <c r="D2357">
        <v>2</v>
      </c>
      <c r="E2357">
        <v>489.99</v>
      </c>
      <c r="F2357">
        <v>0.1</v>
      </c>
      <c r="G2357">
        <v>979.93</v>
      </c>
      <c r="H2357" t="s">
        <v>65</v>
      </c>
    </row>
    <row r="2358" spans="1:8" x14ac:dyDescent="0.35">
      <c r="A2358">
        <v>881</v>
      </c>
      <c r="B2358">
        <v>4</v>
      </c>
      <c r="C2358">
        <v>67</v>
      </c>
      <c r="D2358">
        <v>1</v>
      </c>
      <c r="E2358">
        <v>250.99</v>
      </c>
      <c r="F2358">
        <v>0.1</v>
      </c>
      <c r="G2358">
        <v>250.89</v>
      </c>
      <c r="H2358" t="s">
        <v>68</v>
      </c>
    </row>
    <row r="2359" spans="1:8" x14ac:dyDescent="0.35">
      <c r="A2359">
        <v>882</v>
      </c>
      <c r="B2359">
        <v>1</v>
      </c>
      <c r="C2359">
        <v>63</v>
      </c>
      <c r="D2359">
        <v>2</v>
      </c>
      <c r="E2359">
        <v>3499.99</v>
      </c>
      <c r="F2359">
        <v>0.1</v>
      </c>
      <c r="G2359">
        <v>6999.91</v>
      </c>
      <c r="H2359" t="s">
        <v>64</v>
      </c>
    </row>
    <row r="2360" spans="1:8" x14ac:dyDescent="0.35">
      <c r="A2360">
        <v>882</v>
      </c>
      <c r="B2360">
        <v>2</v>
      </c>
      <c r="C2360">
        <v>108</v>
      </c>
      <c r="D2360">
        <v>2</v>
      </c>
      <c r="E2360">
        <v>449.99</v>
      </c>
      <c r="F2360">
        <v>0.2</v>
      </c>
      <c r="G2360">
        <v>899.78</v>
      </c>
      <c r="H2360" t="s">
        <v>105</v>
      </c>
    </row>
    <row r="2361" spans="1:8" x14ac:dyDescent="0.35">
      <c r="A2361">
        <v>882</v>
      </c>
      <c r="B2361">
        <v>3</v>
      </c>
      <c r="C2361">
        <v>57</v>
      </c>
      <c r="D2361">
        <v>2</v>
      </c>
      <c r="E2361">
        <v>1999.99</v>
      </c>
      <c r="F2361">
        <v>0.1</v>
      </c>
      <c r="G2361">
        <v>3999.91</v>
      </c>
      <c r="H2361" t="s">
        <v>58</v>
      </c>
    </row>
    <row r="2362" spans="1:8" x14ac:dyDescent="0.35">
      <c r="A2362">
        <v>883</v>
      </c>
      <c r="B2362">
        <v>1</v>
      </c>
      <c r="C2362">
        <v>44</v>
      </c>
      <c r="D2362">
        <v>1</v>
      </c>
      <c r="E2362">
        <v>539.99</v>
      </c>
      <c r="F2362">
        <v>0.1</v>
      </c>
      <c r="G2362">
        <v>539.94000000000005</v>
      </c>
      <c r="H2362" t="s">
        <v>45</v>
      </c>
    </row>
    <row r="2363" spans="1:8" x14ac:dyDescent="0.35">
      <c r="A2363">
        <v>883</v>
      </c>
      <c r="B2363">
        <v>2</v>
      </c>
      <c r="C2363">
        <v>5</v>
      </c>
      <c r="D2363">
        <v>2</v>
      </c>
      <c r="E2363">
        <v>1320.99</v>
      </c>
      <c r="F2363">
        <v>0.1</v>
      </c>
      <c r="G2363">
        <v>2641.93</v>
      </c>
      <c r="H2363" t="s">
        <v>10</v>
      </c>
    </row>
    <row r="2364" spans="1:8" x14ac:dyDescent="0.35">
      <c r="A2364">
        <v>884</v>
      </c>
      <c r="B2364">
        <v>1</v>
      </c>
      <c r="C2364">
        <v>49</v>
      </c>
      <c r="D2364">
        <v>2</v>
      </c>
      <c r="E2364">
        <v>3499.99</v>
      </c>
      <c r="F2364">
        <v>0.1</v>
      </c>
      <c r="G2364">
        <v>6999.93</v>
      </c>
      <c r="H2364" t="s">
        <v>50</v>
      </c>
    </row>
    <row r="2365" spans="1:8" x14ac:dyDescent="0.35">
      <c r="A2365">
        <v>884</v>
      </c>
      <c r="B2365">
        <v>2</v>
      </c>
      <c r="C2365">
        <v>69</v>
      </c>
      <c r="D2365">
        <v>2</v>
      </c>
      <c r="E2365">
        <v>416.99</v>
      </c>
      <c r="F2365">
        <v>0.1</v>
      </c>
      <c r="G2365">
        <v>833.91</v>
      </c>
      <c r="H2365" t="s">
        <v>70</v>
      </c>
    </row>
    <row r="2366" spans="1:8" x14ac:dyDescent="0.35">
      <c r="A2366">
        <v>884</v>
      </c>
      <c r="B2366">
        <v>3</v>
      </c>
      <c r="C2366">
        <v>46</v>
      </c>
      <c r="D2366">
        <v>2</v>
      </c>
      <c r="E2366">
        <v>1409.99</v>
      </c>
      <c r="F2366">
        <v>0.2</v>
      </c>
      <c r="G2366">
        <v>2819.78</v>
      </c>
      <c r="H2366" t="s">
        <v>47</v>
      </c>
    </row>
    <row r="2367" spans="1:8" x14ac:dyDescent="0.35">
      <c r="A2367">
        <v>884</v>
      </c>
      <c r="B2367">
        <v>4</v>
      </c>
      <c r="C2367">
        <v>10</v>
      </c>
      <c r="D2367">
        <v>1</v>
      </c>
      <c r="E2367">
        <v>1549</v>
      </c>
      <c r="F2367">
        <v>0.1</v>
      </c>
      <c r="G2367">
        <v>1548.9</v>
      </c>
      <c r="H2367" t="s">
        <v>15</v>
      </c>
    </row>
    <row r="2368" spans="1:8" x14ac:dyDescent="0.35">
      <c r="A2368">
        <v>884</v>
      </c>
      <c r="B2368">
        <v>5</v>
      </c>
      <c r="C2368">
        <v>21</v>
      </c>
      <c r="D2368">
        <v>2</v>
      </c>
      <c r="E2368">
        <v>269.99</v>
      </c>
      <c r="F2368">
        <v>0.1</v>
      </c>
      <c r="G2368">
        <v>539.92999999999995</v>
      </c>
      <c r="H2368" t="s">
        <v>18</v>
      </c>
    </row>
    <row r="2369" spans="1:8" x14ac:dyDescent="0.35">
      <c r="A2369">
        <v>885</v>
      </c>
      <c r="B2369">
        <v>1</v>
      </c>
      <c r="C2369">
        <v>106</v>
      </c>
      <c r="D2369">
        <v>1</v>
      </c>
      <c r="E2369">
        <v>449.99</v>
      </c>
      <c r="F2369">
        <v>0.1</v>
      </c>
      <c r="G2369">
        <v>449.92</v>
      </c>
      <c r="H2369" t="s">
        <v>69</v>
      </c>
    </row>
    <row r="2370" spans="1:8" x14ac:dyDescent="0.35">
      <c r="A2370">
        <v>885</v>
      </c>
      <c r="B2370">
        <v>2</v>
      </c>
      <c r="C2370">
        <v>43</v>
      </c>
      <c r="D2370">
        <v>1</v>
      </c>
      <c r="E2370">
        <v>5299.99</v>
      </c>
      <c r="F2370">
        <v>0.1</v>
      </c>
      <c r="G2370">
        <v>5299.89</v>
      </c>
      <c r="H2370" t="s">
        <v>44</v>
      </c>
    </row>
    <row r="2371" spans="1:8" x14ac:dyDescent="0.35">
      <c r="A2371">
        <v>886</v>
      </c>
      <c r="B2371">
        <v>1</v>
      </c>
      <c r="C2371">
        <v>47</v>
      </c>
      <c r="D2371">
        <v>1</v>
      </c>
      <c r="E2371">
        <v>5299.99</v>
      </c>
      <c r="F2371">
        <v>0.1</v>
      </c>
      <c r="G2371">
        <v>5299.94</v>
      </c>
      <c r="H2371" t="s">
        <v>48</v>
      </c>
    </row>
    <row r="2372" spans="1:8" x14ac:dyDescent="0.35">
      <c r="A2372">
        <v>886</v>
      </c>
      <c r="B2372">
        <v>2</v>
      </c>
      <c r="C2372">
        <v>30</v>
      </c>
      <c r="D2372">
        <v>1</v>
      </c>
      <c r="E2372">
        <v>999.99</v>
      </c>
      <c r="F2372">
        <v>0.1</v>
      </c>
      <c r="G2372">
        <v>999.94</v>
      </c>
      <c r="H2372" t="s">
        <v>31</v>
      </c>
    </row>
    <row r="2373" spans="1:8" x14ac:dyDescent="0.35">
      <c r="A2373">
        <v>887</v>
      </c>
      <c r="B2373">
        <v>1</v>
      </c>
      <c r="C2373">
        <v>50</v>
      </c>
      <c r="D2373">
        <v>2</v>
      </c>
      <c r="E2373">
        <v>5999.99</v>
      </c>
      <c r="F2373">
        <v>0.1</v>
      </c>
      <c r="G2373">
        <v>11999.93</v>
      </c>
      <c r="H2373" t="s">
        <v>51</v>
      </c>
    </row>
    <row r="2374" spans="1:8" x14ac:dyDescent="0.35">
      <c r="A2374">
        <v>887</v>
      </c>
      <c r="B2374">
        <v>2</v>
      </c>
      <c r="C2374">
        <v>70</v>
      </c>
      <c r="D2374">
        <v>1</v>
      </c>
      <c r="E2374">
        <v>659.99</v>
      </c>
      <c r="F2374">
        <v>0.1</v>
      </c>
      <c r="G2374">
        <v>659.89</v>
      </c>
      <c r="H2374" t="s">
        <v>71</v>
      </c>
    </row>
    <row r="2375" spans="1:8" x14ac:dyDescent="0.35">
      <c r="A2375">
        <v>888</v>
      </c>
      <c r="B2375">
        <v>1</v>
      </c>
      <c r="C2375">
        <v>33</v>
      </c>
      <c r="D2375">
        <v>2</v>
      </c>
      <c r="E2375">
        <v>469.99</v>
      </c>
      <c r="F2375">
        <v>0.1</v>
      </c>
      <c r="G2375">
        <v>939.88</v>
      </c>
      <c r="H2375" t="s">
        <v>34</v>
      </c>
    </row>
    <row r="2376" spans="1:8" x14ac:dyDescent="0.35">
      <c r="A2376">
        <v>888</v>
      </c>
      <c r="B2376">
        <v>2</v>
      </c>
      <c r="C2376">
        <v>26</v>
      </c>
      <c r="D2376">
        <v>2</v>
      </c>
      <c r="E2376">
        <v>599.99</v>
      </c>
      <c r="F2376">
        <v>0.2</v>
      </c>
      <c r="G2376">
        <v>1199.78</v>
      </c>
      <c r="H2376" t="s">
        <v>21</v>
      </c>
    </row>
    <row r="2377" spans="1:8" x14ac:dyDescent="0.35">
      <c r="A2377">
        <v>890</v>
      </c>
      <c r="B2377">
        <v>1</v>
      </c>
      <c r="C2377">
        <v>16</v>
      </c>
      <c r="D2377">
        <v>2</v>
      </c>
      <c r="E2377">
        <v>599.99</v>
      </c>
      <c r="F2377">
        <v>0.1</v>
      </c>
      <c r="G2377">
        <v>1199.8800000000001</v>
      </c>
      <c r="H2377" t="s">
        <v>21</v>
      </c>
    </row>
    <row r="2378" spans="1:8" x14ac:dyDescent="0.35">
      <c r="A2378">
        <v>890</v>
      </c>
      <c r="B2378">
        <v>2</v>
      </c>
      <c r="C2378">
        <v>105</v>
      </c>
      <c r="D2378">
        <v>2</v>
      </c>
      <c r="E2378">
        <v>533.99</v>
      </c>
      <c r="F2378">
        <v>0.1</v>
      </c>
      <c r="G2378">
        <v>1067.8800000000001</v>
      </c>
      <c r="H2378" t="s">
        <v>104</v>
      </c>
    </row>
    <row r="2379" spans="1:8" x14ac:dyDescent="0.35">
      <c r="A2379">
        <v>890</v>
      </c>
      <c r="B2379">
        <v>3</v>
      </c>
      <c r="C2379">
        <v>52</v>
      </c>
      <c r="D2379">
        <v>1</v>
      </c>
      <c r="E2379">
        <v>875.99</v>
      </c>
      <c r="F2379">
        <v>0.1</v>
      </c>
      <c r="G2379">
        <v>875.94</v>
      </c>
      <c r="H2379" t="s">
        <v>53</v>
      </c>
    </row>
    <row r="2380" spans="1:8" x14ac:dyDescent="0.35">
      <c r="A2380">
        <v>890</v>
      </c>
      <c r="B2380">
        <v>4</v>
      </c>
      <c r="C2380">
        <v>67</v>
      </c>
      <c r="D2380">
        <v>1</v>
      </c>
      <c r="E2380">
        <v>250.99</v>
      </c>
      <c r="F2380">
        <v>0.1</v>
      </c>
      <c r="G2380">
        <v>250.89</v>
      </c>
      <c r="H2380" t="s">
        <v>68</v>
      </c>
    </row>
    <row r="2381" spans="1:8" x14ac:dyDescent="0.35">
      <c r="A2381">
        <v>890</v>
      </c>
      <c r="B2381">
        <v>5</v>
      </c>
      <c r="C2381">
        <v>65</v>
      </c>
      <c r="D2381">
        <v>2</v>
      </c>
      <c r="E2381">
        <v>346.99</v>
      </c>
      <c r="F2381">
        <v>0.1</v>
      </c>
      <c r="G2381">
        <v>693.88</v>
      </c>
      <c r="H2381" t="s">
        <v>66</v>
      </c>
    </row>
    <row r="2382" spans="1:8" x14ac:dyDescent="0.35">
      <c r="A2382">
        <v>891</v>
      </c>
      <c r="B2382">
        <v>1</v>
      </c>
      <c r="C2382">
        <v>107</v>
      </c>
      <c r="D2382">
        <v>2</v>
      </c>
      <c r="E2382">
        <v>416.99</v>
      </c>
      <c r="F2382">
        <v>0.1</v>
      </c>
      <c r="G2382">
        <v>833.88</v>
      </c>
      <c r="H2382" t="s">
        <v>70</v>
      </c>
    </row>
    <row r="2383" spans="1:8" x14ac:dyDescent="0.35">
      <c r="A2383">
        <v>891</v>
      </c>
      <c r="B2383">
        <v>2</v>
      </c>
      <c r="C2383">
        <v>32</v>
      </c>
      <c r="D2383">
        <v>1</v>
      </c>
      <c r="E2383">
        <v>469.99</v>
      </c>
      <c r="F2383">
        <v>0.1</v>
      </c>
      <c r="G2383">
        <v>469.94</v>
      </c>
      <c r="H2383" t="s">
        <v>33</v>
      </c>
    </row>
    <row r="2384" spans="1:8" x14ac:dyDescent="0.35">
      <c r="A2384">
        <v>891</v>
      </c>
      <c r="B2384">
        <v>3</v>
      </c>
      <c r="C2384">
        <v>35</v>
      </c>
      <c r="D2384">
        <v>2</v>
      </c>
      <c r="E2384">
        <v>832.99</v>
      </c>
      <c r="F2384">
        <v>0.1</v>
      </c>
      <c r="G2384">
        <v>1665.88</v>
      </c>
      <c r="H2384" t="s">
        <v>36</v>
      </c>
    </row>
    <row r="2385" spans="1:8" x14ac:dyDescent="0.35">
      <c r="A2385">
        <v>891</v>
      </c>
      <c r="B2385">
        <v>4</v>
      </c>
      <c r="C2385">
        <v>50</v>
      </c>
      <c r="D2385">
        <v>1</v>
      </c>
      <c r="E2385">
        <v>5999.99</v>
      </c>
      <c r="F2385">
        <v>0.1</v>
      </c>
      <c r="G2385">
        <v>5999.89</v>
      </c>
      <c r="H2385" t="s">
        <v>51</v>
      </c>
    </row>
    <row r="2386" spans="1:8" x14ac:dyDescent="0.35">
      <c r="A2386">
        <v>892</v>
      </c>
      <c r="B2386">
        <v>1</v>
      </c>
      <c r="C2386">
        <v>36</v>
      </c>
      <c r="D2386">
        <v>1</v>
      </c>
      <c r="E2386">
        <v>832.99</v>
      </c>
      <c r="F2386">
        <v>0.1</v>
      </c>
      <c r="G2386">
        <v>832.89</v>
      </c>
      <c r="H2386" t="s">
        <v>37</v>
      </c>
    </row>
    <row r="2387" spans="1:8" x14ac:dyDescent="0.35">
      <c r="A2387">
        <v>892</v>
      </c>
      <c r="B2387">
        <v>2</v>
      </c>
      <c r="C2387">
        <v>9</v>
      </c>
      <c r="D2387">
        <v>2</v>
      </c>
      <c r="E2387">
        <v>2999.99</v>
      </c>
      <c r="F2387">
        <v>0.2</v>
      </c>
      <c r="G2387">
        <v>5999.78</v>
      </c>
      <c r="H2387" t="s">
        <v>14</v>
      </c>
    </row>
    <row r="2388" spans="1:8" x14ac:dyDescent="0.35">
      <c r="A2388">
        <v>892</v>
      </c>
      <c r="B2388">
        <v>3</v>
      </c>
      <c r="C2388">
        <v>50</v>
      </c>
      <c r="D2388">
        <v>2</v>
      </c>
      <c r="E2388">
        <v>5999.99</v>
      </c>
      <c r="F2388">
        <v>0.1</v>
      </c>
      <c r="G2388">
        <v>11999.91</v>
      </c>
      <c r="H2388" t="s">
        <v>51</v>
      </c>
    </row>
    <row r="2389" spans="1:8" x14ac:dyDescent="0.35">
      <c r="A2389">
        <v>892</v>
      </c>
      <c r="B2389">
        <v>4</v>
      </c>
      <c r="C2389">
        <v>88</v>
      </c>
      <c r="D2389">
        <v>1</v>
      </c>
      <c r="E2389">
        <v>189.99</v>
      </c>
      <c r="F2389">
        <v>0.1</v>
      </c>
      <c r="G2389">
        <v>189.94</v>
      </c>
      <c r="H2389" t="s">
        <v>89</v>
      </c>
    </row>
    <row r="2390" spans="1:8" x14ac:dyDescent="0.35">
      <c r="A2390">
        <v>893</v>
      </c>
      <c r="B2390">
        <v>1</v>
      </c>
      <c r="C2390">
        <v>67</v>
      </c>
      <c r="D2390">
        <v>2</v>
      </c>
      <c r="E2390">
        <v>250.99</v>
      </c>
      <c r="F2390">
        <v>0.1</v>
      </c>
      <c r="G2390">
        <v>501.93</v>
      </c>
      <c r="H2390" t="s">
        <v>68</v>
      </c>
    </row>
    <row r="2391" spans="1:8" x14ac:dyDescent="0.35">
      <c r="A2391">
        <v>893</v>
      </c>
      <c r="B2391">
        <v>2</v>
      </c>
      <c r="C2391">
        <v>45</v>
      </c>
      <c r="D2391">
        <v>1</v>
      </c>
      <c r="E2391">
        <v>869.99</v>
      </c>
      <c r="F2391">
        <v>0.1</v>
      </c>
      <c r="G2391">
        <v>869.92</v>
      </c>
      <c r="H2391" t="s">
        <v>46</v>
      </c>
    </row>
    <row r="2392" spans="1:8" x14ac:dyDescent="0.35">
      <c r="A2392">
        <v>896</v>
      </c>
      <c r="B2392">
        <v>1</v>
      </c>
      <c r="C2392">
        <v>91</v>
      </c>
      <c r="D2392">
        <v>2</v>
      </c>
      <c r="E2392">
        <v>349.99</v>
      </c>
      <c r="F2392">
        <v>0.1</v>
      </c>
      <c r="G2392">
        <v>699.93</v>
      </c>
      <c r="H2392" t="s">
        <v>92</v>
      </c>
    </row>
    <row r="2393" spans="1:8" x14ac:dyDescent="0.35">
      <c r="A2393">
        <v>896</v>
      </c>
      <c r="B2393">
        <v>2</v>
      </c>
      <c r="C2393">
        <v>10</v>
      </c>
      <c r="D2393">
        <v>1</v>
      </c>
      <c r="E2393">
        <v>1549</v>
      </c>
      <c r="F2393">
        <v>0.1</v>
      </c>
      <c r="G2393">
        <v>1548.95</v>
      </c>
      <c r="H2393" t="s">
        <v>15</v>
      </c>
    </row>
    <row r="2394" spans="1:8" x14ac:dyDescent="0.35">
      <c r="A2394">
        <v>897</v>
      </c>
      <c r="B2394">
        <v>1</v>
      </c>
      <c r="C2394">
        <v>105</v>
      </c>
      <c r="D2394">
        <v>1</v>
      </c>
      <c r="E2394">
        <v>533.99</v>
      </c>
      <c r="F2394">
        <v>0.1</v>
      </c>
      <c r="G2394">
        <v>533.94000000000005</v>
      </c>
      <c r="H2394" t="s">
        <v>104</v>
      </c>
    </row>
    <row r="2395" spans="1:8" x14ac:dyDescent="0.35">
      <c r="A2395">
        <v>897</v>
      </c>
      <c r="B2395">
        <v>2</v>
      </c>
      <c r="C2395">
        <v>96</v>
      </c>
      <c r="D2395">
        <v>1</v>
      </c>
      <c r="E2395">
        <v>349.99</v>
      </c>
      <c r="F2395">
        <v>0.1</v>
      </c>
      <c r="G2395">
        <v>349.94</v>
      </c>
      <c r="H2395" t="s">
        <v>96</v>
      </c>
    </row>
    <row r="2396" spans="1:8" x14ac:dyDescent="0.35">
      <c r="A2396">
        <v>898</v>
      </c>
      <c r="B2396">
        <v>1</v>
      </c>
      <c r="C2396">
        <v>45</v>
      </c>
      <c r="D2396">
        <v>2</v>
      </c>
      <c r="E2396">
        <v>869.99</v>
      </c>
      <c r="F2396">
        <v>0.2</v>
      </c>
      <c r="G2396">
        <v>1739.78</v>
      </c>
      <c r="H2396" t="s">
        <v>46</v>
      </c>
    </row>
    <row r="2397" spans="1:8" x14ac:dyDescent="0.35">
      <c r="A2397">
        <v>898</v>
      </c>
      <c r="B2397">
        <v>2</v>
      </c>
      <c r="C2397">
        <v>16</v>
      </c>
      <c r="D2397">
        <v>1</v>
      </c>
      <c r="E2397">
        <v>599.99</v>
      </c>
      <c r="F2397">
        <v>0.1</v>
      </c>
      <c r="G2397">
        <v>599.91999999999996</v>
      </c>
      <c r="H2397" t="s">
        <v>21</v>
      </c>
    </row>
    <row r="2398" spans="1:8" x14ac:dyDescent="0.35">
      <c r="A2398">
        <v>898</v>
      </c>
      <c r="B2398">
        <v>3</v>
      </c>
      <c r="C2398">
        <v>57</v>
      </c>
      <c r="D2398">
        <v>2</v>
      </c>
      <c r="E2398">
        <v>1999.99</v>
      </c>
      <c r="F2398">
        <v>0.2</v>
      </c>
      <c r="G2398">
        <v>3999.78</v>
      </c>
      <c r="H2398" t="s">
        <v>58</v>
      </c>
    </row>
    <row r="2399" spans="1:8" x14ac:dyDescent="0.35">
      <c r="A2399">
        <v>898</v>
      </c>
      <c r="B2399">
        <v>4</v>
      </c>
      <c r="C2399">
        <v>69</v>
      </c>
      <c r="D2399">
        <v>2</v>
      </c>
      <c r="E2399">
        <v>416.99</v>
      </c>
      <c r="F2399">
        <v>0.1</v>
      </c>
      <c r="G2399">
        <v>833.91</v>
      </c>
      <c r="H2399" t="s">
        <v>70</v>
      </c>
    </row>
    <row r="2400" spans="1:8" x14ac:dyDescent="0.35">
      <c r="A2400">
        <v>899</v>
      </c>
      <c r="B2400">
        <v>1</v>
      </c>
      <c r="C2400">
        <v>59</v>
      </c>
      <c r="D2400">
        <v>2</v>
      </c>
      <c r="E2400">
        <v>2599.9899999999998</v>
      </c>
      <c r="F2400">
        <v>0.1</v>
      </c>
      <c r="G2400">
        <v>5199.88</v>
      </c>
      <c r="H2400" t="s">
        <v>60</v>
      </c>
    </row>
    <row r="2401" spans="1:8" x14ac:dyDescent="0.35">
      <c r="A2401">
        <v>899</v>
      </c>
      <c r="B2401">
        <v>2</v>
      </c>
      <c r="C2401">
        <v>17</v>
      </c>
      <c r="D2401">
        <v>1</v>
      </c>
      <c r="E2401">
        <v>429</v>
      </c>
      <c r="F2401">
        <v>0.1</v>
      </c>
      <c r="G2401">
        <v>428.9</v>
      </c>
      <c r="H2401" t="s">
        <v>22</v>
      </c>
    </row>
    <row r="2402" spans="1:8" x14ac:dyDescent="0.35">
      <c r="A2402">
        <v>899</v>
      </c>
      <c r="B2402">
        <v>3</v>
      </c>
      <c r="C2402">
        <v>6</v>
      </c>
      <c r="D2402">
        <v>1</v>
      </c>
      <c r="E2402">
        <v>469.99</v>
      </c>
      <c r="F2402">
        <v>0.2</v>
      </c>
      <c r="G2402">
        <v>469.79</v>
      </c>
      <c r="H2402" t="s">
        <v>11</v>
      </c>
    </row>
    <row r="2403" spans="1:8" x14ac:dyDescent="0.35">
      <c r="A2403">
        <v>900</v>
      </c>
      <c r="B2403">
        <v>1</v>
      </c>
      <c r="C2403">
        <v>26</v>
      </c>
      <c r="D2403">
        <v>2</v>
      </c>
      <c r="E2403">
        <v>599.99</v>
      </c>
      <c r="F2403">
        <v>0.1</v>
      </c>
      <c r="G2403">
        <v>1199.93</v>
      </c>
      <c r="H2403" t="s">
        <v>21</v>
      </c>
    </row>
    <row r="2404" spans="1:8" x14ac:dyDescent="0.35">
      <c r="A2404">
        <v>900</v>
      </c>
      <c r="B2404">
        <v>2</v>
      </c>
      <c r="C2404">
        <v>108</v>
      </c>
      <c r="D2404">
        <v>1</v>
      </c>
      <c r="E2404">
        <v>449.99</v>
      </c>
      <c r="F2404">
        <v>0.1</v>
      </c>
      <c r="G2404">
        <v>449.92</v>
      </c>
      <c r="H2404" t="s">
        <v>105</v>
      </c>
    </row>
    <row r="2405" spans="1:8" x14ac:dyDescent="0.35">
      <c r="A2405">
        <v>900</v>
      </c>
      <c r="B2405">
        <v>3</v>
      </c>
      <c r="C2405">
        <v>89</v>
      </c>
      <c r="D2405">
        <v>1</v>
      </c>
      <c r="E2405">
        <v>209.99</v>
      </c>
      <c r="F2405">
        <v>0.2</v>
      </c>
      <c r="G2405">
        <v>209.79</v>
      </c>
      <c r="H2405" t="s">
        <v>90</v>
      </c>
    </row>
    <row r="2406" spans="1:8" x14ac:dyDescent="0.35">
      <c r="A2406">
        <v>900</v>
      </c>
      <c r="B2406">
        <v>4</v>
      </c>
      <c r="C2406">
        <v>61</v>
      </c>
      <c r="D2406">
        <v>2</v>
      </c>
      <c r="E2406">
        <v>4999.99</v>
      </c>
      <c r="F2406">
        <v>0.1</v>
      </c>
      <c r="G2406">
        <v>9999.93</v>
      </c>
      <c r="H2406" t="s">
        <v>62</v>
      </c>
    </row>
    <row r="2407" spans="1:8" x14ac:dyDescent="0.35">
      <c r="A2407">
        <v>900</v>
      </c>
      <c r="B2407">
        <v>5</v>
      </c>
      <c r="C2407">
        <v>28</v>
      </c>
      <c r="D2407">
        <v>2</v>
      </c>
      <c r="E2407">
        <v>2499.9899999999998</v>
      </c>
      <c r="F2407">
        <v>0.1</v>
      </c>
      <c r="G2407">
        <v>4999.91</v>
      </c>
      <c r="H2407" t="s">
        <v>29</v>
      </c>
    </row>
    <row r="2408" spans="1:8" x14ac:dyDescent="0.35">
      <c r="A2408">
        <v>901</v>
      </c>
      <c r="B2408">
        <v>1</v>
      </c>
      <c r="C2408">
        <v>50</v>
      </c>
      <c r="D2408">
        <v>1</v>
      </c>
      <c r="E2408">
        <v>5999.99</v>
      </c>
      <c r="F2408">
        <v>0.2</v>
      </c>
      <c r="G2408">
        <v>5999.79</v>
      </c>
      <c r="H2408" t="s">
        <v>51</v>
      </c>
    </row>
    <row r="2409" spans="1:8" x14ac:dyDescent="0.35">
      <c r="A2409">
        <v>901</v>
      </c>
      <c r="B2409">
        <v>2</v>
      </c>
      <c r="C2409">
        <v>43</v>
      </c>
      <c r="D2409">
        <v>1</v>
      </c>
      <c r="E2409">
        <v>5299.99</v>
      </c>
      <c r="F2409">
        <v>0.1</v>
      </c>
      <c r="G2409">
        <v>5299.92</v>
      </c>
      <c r="H2409" t="s">
        <v>44</v>
      </c>
    </row>
    <row r="2410" spans="1:8" x14ac:dyDescent="0.35">
      <c r="A2410">
        <v>902</v>
      </c>
      <c r="B2410">
        <v>1</v>
      </c>
      <c r="C2410">
        <v>38</v>
      </c>
      <c r="D2410">
        <v>2</v>
      </c>
      <c r="E2410">
        <v>549.99</v>
      </c>
      <c r="F2410">
        <v>0.1</v>
      </c>
      <c r="G2410">
        <v>1099.9100000000001</v>
      </c>
      <c r="H2410" t="s">
        <v>39</v>
      </c>
    </row>
    <row r="2411" spans="1:8" x14ac:dyDescent="0.35">
      <c r="A2411">
        <v>902</v>
      </c>
      <c r="B2411">
        <v>2</v>
      </c>
      <c r="C2411">
        <v>92</v>
      </c>
      <c r="D2411">
        <v>1</v>
      </c>
      <c r="E2411">
        <v>209.99</v>
      </c>
      <c r="F2411">
        <v>0.1</v>
      </c>
      <c r="G2411">
        <v>209.92</v>
      </c>
      <c r="H2411" t="s">
        <v>93</v>
      </c>
    </row>
    <row r="2412" spans="1:8" x14ac:dyDescent="0.35">
      <c r="A2412">
        <v>902</v>
      </c>
      <c r="B2412">
        <v>3</v>
      </c>
      <c r="C2412">
        <v>12</v>
      </c>
      <c r="D2412">
        <v>1</v>
      </c>
      <c r="E2412">
        <v>549.99</v>
      </c>
      <c r="F2412">
        <v>0.2</v>
      </c>
      <c r="G2412">
        <v>549.79</v>
      </c>
      <c r="H2412" t="s">
        <v>17</v>
      </c>
    </row>
    <row r="2413" spans="1:8" x14ac:dyDescent="0.35">
      <c r="A2413">
        <v>902</v>
      </c>
      <c r="B2413">
        <v>4</v>
      </c>
      <c r="C2413">
        <v>76</v>
      </c>
      <c r="D2413">
        <v>2</v>
      </c>
      <c r="E2413">
        <v>299.99</v>
      </c>
      <c r="F2413">
        <v>0.1</v>
      </c>
      <c r="G2413">
        <v>599.92999999999995</v>
      </c>
      <c r="H2413" t="s">
        <v>77</v>
      </c>
    </row>
    <row r="2414" spans="1:8" x14ac:dyDescent="0.35">
      <c r="A2414">
        <v>903</v>
      </c>
      <c r="B2414">
        <v>1</v>
      </c>
      <c r="C2414">
        <v>31</v>
      </c>
      <c r="D2414">
        <v>2</v>
      </c>
      <c r="E2414">
        <v>1632.99</v>
      </c>
      <c r="F2414">
        <v>0.1</v>
      </c>
      <c r="G2414">
        <v>3265.91</v>
      </c>
      <c r="H2414" t="s">
        <v>32</v>
      </c>
    </row>
    <row r="2415" spans="1:8" x14ac:dyDescent="0.35">
      <c r="A2415">
        <v>903</v>
      </c>
      <c r="B2415">
        <v>2</v>
      </c>
      <c r="C2415">
        <v>48</v>
      </c>
      <c r="D2415">
        <v>2</v>
      </c>
      <c r="E2415">
        <v>1499.99</v>
      </c>
      <c r="F2415">
        <v>0.1</v>
      </c>
      <c r="G2415">
        <v>2999.93</v>
      </c>
      <c r="H2415" t="s">
        <v>49</v>
      </c>
    </row>
    <row r="2416" spans="1:8" x14ac:dyDescent="0.35">
      <c r="A2416">
        <v>904</v>
      </c>
      <c r="B2416">
        <v>1</v>
      </c>
      <c r="C2416">
        <v>36</v>
      </c>
      <c r="D2416">
        <v>2</v>
      </c>
      <c r="E2416">
        <v>832.99</v>
      </c>
      <c r="F2416">
        <v>0.1</v>
      </c>
      <c r="G2416">
        <v>1665.88</v>
      </c>
      <c r="H2416" t="s">
        <v>37</v>
      </c>
    </row>
    <row r="2417" spans="1:8" x14ac:dyDescent="0.35">
      <c r="A2417">
        <v>904</v>
      </c>
      <c r="B2417">
        <v>2</v>
      </c>
      <c r="C2417">
        <v>51</v>
      </c>
      <c r="D2417">
        <v>2</v>
      </c>
      <c r="E2417">
        <v>6499.99</v>
      </c>
      <c r="F2417">
        <v>0.1</v>
      </c>
      <c r="G2417">
        <v>12999.91</v>
      </c>
      <c r="H2417" t="s">
        <v>52</v>
      </c>
    </row>
    <row r="2418" spans="1:8" x14ac:dyDescent="0.35">
      <c r="A2418">
        <v>904</v>
      </c>
      <c r="B2418">
        <v>3</v>
      </c>
      <c r="C2418">
        <v>92</v>
      </c>
      <c r="D2418">
        <v>2</v>
      </c>
      <c r="E2418">
        <v>209.99</v>
      </c>
      <c r="F2418">
        <v>0.2</v>
      </c>
      <c r="G2418">
        <v>419.78</v>
      </c>
      <c r="H2418" t="s">
        <v>93</v>
      </c>
    </row>
    <row r="2419" spans="1:8" x14ac:dyDescent="0.35">
      <c r="A2419">
        <v>904</v>
      </c>
      <c r="B2419">
        <v>4</v>
      </c>
      <c r="C2419">
        <v>13</v>
      </c>
      <c r="D2419">
        <v>1</v>
      </c>
      <c r="E2419">
        <v>269.99</v>
      </c>
      <c r="F2419">
        <v>0.2</v>
      </c>
      <c r="G2419">
        <v>269.79000000000002</v>
      </c>
      <c r="H2419" t="s">
        <v>18</v>
      </c>
    </row>
    <row r="2420" spans="1:8" x14ac:dyDescent="0.35">
      <c r="A2420">
        <v>905</v>
      </c>
      <c r="B2420">
        <v>1</v>
      </c>
      <c r="C2420">
        <v>67</v>
      </c>
      <c r="D2420">
        <v>1</v>
      </c>
      <c r="E2420">
        <v>250.99</v>
      </c>
      <c r="F2420">
        <v>0.1</v>
      </c>
      <c r="G2420">
        <v>250.89</v>
      </c>
      <c r="H2420" t="s">
        <v>68</v>
      </c>
    </row>
    <row r="2421" spans="1:8" x14ac:dyDescent="0.35">
      <c r="A2421">
        <v>905</v>
      </c>
      <c r="B2421">
        <v>2</v>
      </c>
      <c r="C2421">
        <v>62</v>
      </c>
      <c r="D2421">
        <v>2</v>
      </c>
      <c r="E2421">
        <v>3499.99</v>
      </c>
      <c r="F2421">
        <v>0.1</v>
      </c>
      <c r="G2421">
        <v>6999.93</v>
      </c>
      <c r="H2421" t="s">
        <v>63</v>
      </c>
    </row>
    <row r="2422" spans="1:8" x14ac:dyDescent="0.35">
      <c r="A2422">
        <v>905</v>
      </c>
      <c r="B2422">
        <v>3</v>
      </c>
      <c r="C2422">
        <v>42</v>
      </c>
      <c r="D2422">
        <v>2</v>
      </c>
      <c r="E2422">
        <v>2299.9899999999998</v>
      </c>
      <c r="F2422">
        <v>0.2</v>
      </c>
      <c r="G2422">
        <v>4599.78</v>
      </c>
      <c r="H2422" t="s">
        <v>43</v>
      </c>
    </row>
    <row r="2423" spans="1:8" x14ac:dyDescent="0.35">
      <c r="A2423">
        <v>905</v>
      </c>
      <c r="B2423">
        <v>4</v>
      </c>
      <c r="C2423">
        <v>20</v>
      </c>
      <c r="D2423">
        <v>1</v>
      </c>
      <c r="E2423">
        <v>599.99</v>
      </c>
      <c r="F2423">
        <v>0.2</v>
      </c>
      <c r="G2423">
        <v>599.79</v>
      </c>
      <c r="H2423" t="s">
        <v>25</v>
      </c>
    </row>
    <row r="2424" spans="1:8" x14ac:dyDescent="0.35">
      <c r="A2424">
        <v>906</v>
      </c>
      <c r="B2424">
        <v>1</v>
      </c>
      <c r="C2424">
        <v>23</v>
      </c>
      <c r="D2424">
        <v>2</v>
      </c>
      <c r="E2424">
        <v>299.99</v>
      </c>
      <c r="F2424">
        <v>0.2</v>
      </c>
      <c r="G2424">
        <v>599.78</v>
      </c>
      <c r="H2424" t="s">
        <v>26</v>
      </c>
    </row>
    <row r="2425" spans="1:8" x14ac:dyDescent="0.35">
      <c r="A2425">
        <v>906</v>
      </c>
      <c r="B2425">
        <v>2</v>
      </c>
      <c r="C2425">
        <v>28</v>
      </c>
      <c r="D2425">
        <v>2</v>
      </c>
      <c r="E2425">
        <v>2499.9899999999998</v>
      </c>
      <c r="F2425">
        <v>0.1</v>
      </c>
      <c r="G2425">
        <v>4999.91</v>
      </c>
      <c r="H2425" t="s">
        <v>29</v>
      </c>
    </row>
    <row r="2426" spans="1:8" x14ac:dyDescent="0.35">
      <c r="A2426">
        <v>906</v>
      </c>
      <c r="B2426">
        <v>3</v>
      </c>
      <c r="C2426">
        <v>46</v>
      </c>
      <c r="D2426">
        <v>1</v>
      </c>
      <c r="E2426">
        <v>1409.99</v>
      </c>
      <c r="F2426">
        <v>0.1</v>
      </c>
      <c r="G2426">
        <v>1409.94</v>
      </c>
      <c r="H2426" t="s">
        <v>47</v>
      </c>
    </row>
    <row r="2427" spans="1:8" x14ac:dyDescent="0.35">
      <c r="A2427">
        <v>906</v>
      </c>
      <c r="B2427">
        <v>4</v>
      </c>
      <c r="C2427">
        <v>102</v>
      </c>
      <c r="D2427">
        <v>2</v>
      </c>
      <c r="E2427">
        <v>489.99</v>
      </c>
      <c r="F2427">
        <v>0.1</v>
      </c>
      <c r="G2427">
        <v>979.88</v>
      </c>
      <c r="H2427" t="s">
        <v>65</v>
      </c>
    </row>
    <row r="2428" spans="1:8" x14ac:dyDescent="0.35">
      <c r="A2428">
        <v>906</v>
      </c>
      <c r="B2428">
        <v>5</v>
      </c>
      <c r="C2428">
        <v>22</v>
      </c>
      <c r="D2428">
        <v>2</v>
      </c>
      <c r="E2428">
        <v>269.99</v>
      </c>
      <c r="F2428">
        <v>0.2</v>
      </c>
      <c r="G2428">
        <v>539.78</v>
      </c>
      <c r="H2428" t="s">
        <v>19</v>
      </c>
    </row>
    <row r="2429" spans="1:8" x14ac:dyDescent="0.35">
      <c r="A2429">
        <v>907</v>
      </c>
      <c r="B2429">
        <v>1</v>
      </c>
      <c r="C2429">
        <v>84</v>
      </c>
      <c r="D2429">
        <v>2</v>
      </c>
      <c r="E2429">
        <v>109.99</v>
      </c>
      <c r="F2429">
        <v>0.1</v>
      </c>
      <c r="G2429">
        <v>219.91</v>
      </c>
      <c r="H2429" t="s">
        <v>85</v>
      </c>
    </row>
    <row r="2430" spans="1:8" x14ac:dyDescent="0.35">
      <c r="A2430">
        <v>907</v>
      </c>
      <c r="B2430">
        <v>2</v>
      </c>
      <c r="C2430">
        <v>65</v>
      </c>
      <c r="D2430">
        <v>1</v>
      </c>
      <c r="E2430">
        <v>346.99</v>
      </c>
      <c r="F2430">
        <v>0.1</v>
      </c>
      <c r="G2430">
        <v>346.92</v>
      </c>
      <c r="H2430" t="s">
        <v>66</v>
      </c>
    </row>
    <row r="2431" spans="1:8" x14ac:dyDescent="0.35">
      <c r="A2431">
        <v>908</v>
      </c>
      <c r="B2431">
        <v>1</v>
      </c>
      <c r="C2431">
        <v>41</v>
      </c>
      <c r="D2431">
        <v>1</v>
      </c>
      <c r="E2431">
        <v>1469.99</v>
      </c>
      <c r="F2431">
        <v>0.2</v>
      </c>
      <c r="G2431">
        <v>1469.79</v>
      </c>
      <c r="H2431" t="s">
        <v>42</v>
      </c>
    </row>
    <row r="2432" spans="1:8" x14ac:dyDescent="0.35">
      <c r="A2432">
        <v>908</v>
      </c>
      <c r="B2432">
        <v>2</v>
      </c>
      <c r="C2432">
        <v>94</v>
      </c>
      <c r="D2432">
        <v>1</v>
      </c>
      <c r="E2432">
        <v>249.99</v>
      </c>
      <c r="F2432">
        <v>0.1</v>
      </c>
      <c r="G2432">
        <v>249.89</v>
      </c>
      <c r="H2432" t="s">
        <v>95</v>
      </c>
    </row>
    <row r="2433" spans="1:8" x14ac:dyDescent="0.35">
      <c r="A2433">
        <v>908</v>
      </c>
      <c r="B2433">
        <v>3</v>
      </c>
      <c r="C2433">
        <v>102</v>
      </c>
      <c r="D2433">
        <v>2</v>
      </c>
      <c r="E2433">
        <v>489.99</v>
      </c>
      <c r="F2433">
        <v>0.1</v>
      </c>
      <c r="G2433">
        <v>979.88</v>
      </c>
      <c r="H2433" t="s">
        <v>65</v>
      </c>
    </row>
    <row r="2434" spans="1:8" x14ac:dyDescent="0.35">
      <c r="A2434">
        <v>911</v>
      </c>
      <c r="B2434">
        <v>1</v>
      </c>
      <c r="C2434">
        <v>66</v>
      </c>
      <c r="D2434">
        <v>2</v>
      </c>
      <c r="E2434">
        <v>250.99</v>
      </c>
      <c r="F2434">
        <v>0.1</v>
      </c>
      <c r="G2434">
        <v>501.93</v>
      </c>
      <c r="H2434" t="s">
        <v>67</v>
      </c>
    </row>
    <row r="2435" spans="1:8" x14ac:dyDescent="0.35">
      <c r="A2435">
        <v>911</v>
      </c>
      <c r="B2435">
        <v>2</v>
      </c>
      <c r="C2435">
        <v>106</v>
      </c>
      <c r="D2435">
        <v>1</v>
      </c>
      <c r="E2435">
        <v>449.99</v>
      </c>
      <c r="F2435">
        <v>0.1</v>
      </c>
      <c r="G2435">
        <v>449.94</v>
      </c>
      <c r="H2435" t="s">
        <v>69</v>
      </c>
    </row>
    <row r="2436" spans="1:8" x14ac:dyDescent="0.35">
      <c r="A2436">
        <v>911</v>
      </c>
      <c r="B2436">
        <v>3</v>
      </c>
      <c r="C2436">
        <v>91</v>
      </c>
      <c r="D2436">
        <v>2</v>
      </c>
      <c r="E2436">
        <v>349.99</v>
      </c>
      <c r="F2436">
        <v>0.1</v>
      </c>
      <c r="G2436">
        <v>699.93</v>
      </c>
      <c r="H2436" t="s">
        <v>92</v>
      </c>
    </row>
    <row r="2437" spans="1:8" x14ac:dyDescent="0.35">
      <c r="A2437">
        <v>911</v>
      </c>
      <c r="B2437">
        <v>4</v>
      </c>
      <c r="C2437">
        <v>49</v>
      </c>
      <c r="D2437">
        <v>1</v>
      </c>
      <c r="E2437">
        <v>3499.99</v>
      </c>
      <c r="F2437">
        <v>0.2</v>
      </c>
      <c r="G2437">
        <v>3499.79</v>
      </c>
      <c r="H2437" t="s">
        <v>50</v>
      </c>
    </row>
    <row r="2438" spans="1:8" x14ac:dyDescent="0.35">
      <c r="A2438">
        <v>912</v>
      </c>
      <c r="B2438">
        <v>1</v>
      </c>
      <c r="C2438">
        <v>22</v>
      </c>
      <c r="D2438">
        <v>2</v>
      </c>
      <c r="E2438">
        <v>269.99</v>
      </c>
      <c r="F2438">
        <v>0.2</v>
      </c>
      <c r="G2438">
        <v>539.78</v>
      </c>
      <c r="H2438" t="s">
        <v>19</v>
      </c>
    </row>
    <row r="2439" spans="1:8" x14ac:dyDescent="0.35">
      <c r="A2439">
        <v>912</v>
      </c>
      <c r="B2439">
        <v>2</v>
      </c>
      <c r="C2439">
        <v>71</v>
      </c>
      <c r="D2439">
        <v>2</v>
      </c>
      <c r="E2439">
        <v>416.99</v>
      </c>
      <c r="F2439">
        <v>0.1</v>
      </c>
      <c r="G2439">
        <v>833.93</v>
      </c>
      <c r="H2439" t="s">
        <v>72</v>
      </c>
    </row>
    <row r="2440" spans="1:8" x14ac:dyDescent="0.35">
      <c r="A2440">
        <v>912</v>
      </c>
      <c r="B2440">
        <v>3</v>
      </c>
      <c r="C2440">
        <v>101</v>
      </c>
      <c r="D2440">
        <v>1</v>
      </c>
      <c r="E2440">
        <v>339.99</v>
      </c>
      <c r="F2440">
        <v>0.1</v>
      </c>
      <c r="G2440">
        <v>339.94</v>
      </c>
      <c r="H2440" t="s">
        <v>101</v>
      </c>
    </row>
    <row r="2441" spans="1:8" x14ac:dyDescent="0.35">
      <c r="A2441">
        <v>912</v>
      </c>
      <c r="B2441">
        <v>4</v>
      </c>
      <c r="C2441">
        <v>2</v>
      </c>
      <c r="D2441">
        <v>2</v>
      </c>
      <c r="E2441">
        <v>749.99</v>
      </c>
      <c r="F2441">
        <v>0.2</v>
      </c>
      <c r="G2441">
        <v>1499.78</v>
      </c>
      <c r="H2441" t="s">
        <v>7</v>
      </c>
    </row>
    <row r="2442" spans="1:8" x14ac:dyDescent="0.35">
      <c r="A2442">
        <v>913</v>
      </c>
      <c r="B2442">
        <v>1</v>
      </c>
      <c r="C2442">
        <v>90</v>
      </c>
      <c r="D2442">
        <v>2</v>
      </c>
      <c r="E2442">
        <v>209.99</v>
      </c>
      <c r="F2442">
        <v>0.1</v>
      </c>
      <c r="G2442">
        <v>419.88</v>
      </c>
      <c r="H2442" t="s">
        <v>91</v>
      </c>
    </row>
    <row r="2443" spans="1:8" x14ac:dyDescent="0.35">
      <c r="A2443">
        <v>913</v>
      </c>
      <c r="B2443">
        <v>2</v>
      </c>
      <c r="C2443">
        <v>24</v>
      </c>
      <c r="D2443">
        <v>2</v>
      </c>
      <c r="E2443">
        <v>549.99</v>
      </c>
      <c r="F2443">
        <v>0.1</v>
      </c>
      <c r="G2443">
        <v>1099.93</v>
      </c>
      <c r="H2443" t="s">
        <v>17</v>
      </c>
    </row>
    <row r="2444" spans="1:8" x14ac:dyDescent="0.35">
      <c r="A2444">
        <v>914</v>
      </c>
      <c r="B2444">
        <v>1</v>
      </c>
      <c r="C2444">
        <v>38</v>
      </c>
      <c r="D2444">
        <v>1</v>
      </c>
      <c r="E2444">
        <v>549.99</v>
      </c>
      <c r="F2444">
        <v>0.1</v>
      </c>
      <c r="G2444">
        <v>549.91999999999996</v>
      </c>
      <c r="H2444" t="s">
        <v>39</v>
      </c>
    </row>
    <row r="2445" spans="1:8" x14ac:dyDescent="0.35">
      <c r="A2445">
        <v>914</v>
      </c>
      <c r="B2445">
        <v>2</v>
      </c>
      <c r="C2445">
        <v>20</v>
      </c>
      <c r="D2445">
        <v>2</v>
      </c>
      <c r="E2445">
        <v>599.99</v>
      </c>
      <c r="F2445">
        <v>0.2</v>
      </c>
      <c r="G2445">
        <v>1199.78</v>
      </c>
      <c r="H2445" t="s">
        <v>25</v>
      </c>
    </row>
    <row r="2446" spans="1:8" x14ac:dyDescent="0.35">
      <c r="A2446">
        <v>914</v>
      </c>
      <c r="B2446">
        <v>3</v>
      </c>
      <c r="C2446">
        <v>106</v>
      </c>
      <c r="D2446">
        <v>1</v>
      </c>
      <c r="E2446">
        <v>449.99</v>
      </c>
      <c r="F2446">
        <v>0.1</v>
      </c>
      <c r="G2446">
        <v>449.94</v>
      </c>
      <c r="H2446" t="s">
        <v>69</v>
      </c>
    </row>
    <row r="2447" spans="1:8" x14ac:dyDescent="0.35">
      <c r="A2447">
        <v>914</v>
      </c>
      <c r="B2447">
        <v>4</v>
      </c>
      <c r="C2447">
        <v>46</v>
      </c>
      <c r="D2447">
        <v>1</v>
      </c>
      <c r="E2447">
        <v>1409.99</v>
      </c>
      <c r="F2447">
        <v>0.1</v>
      </c>
      <c r="G2447">
        <v>1409.89</v>
      </c>
      <c r="H2447" t="s">
        <v>47</v>
      </c>
    </row>
    <row r="2448" spans="1:8" x14ac:dyDescent="0.35">
      <c r="A2448">
        <v>915</v>
      </c>
      <c r="B2448">
        <v>1</v>
      </c>
      <c r="C2448">
        <v>64</v>
      </c>
      <c r="D2448">
        <v>1</v>
      </c>
      <c r="E2448">
        <v>489.99</v>
      </c>
      <c r="F2448">
        <v>0.1</v>
      </c>
      <c r="G2448">
        <v>489.94</v>
      </c>
      <c r="H2448" t="s">
        <v>65</v>
      </c>
    </row>
    <row r="2449" spans="1:8" x14ac:dyDescent="0.35">
      <c r="A2449">
        <v>915</v>
      </c>
      <c r="B2449">
        <v>2</v>
      </c>
      <c r="C2449">
        <v>48</v>
      </c>
      <c r="D2449">
        <v>1</v>
      </c>
      <c r="E2449">
        <v>1499.99</v>
      </c>
      <c r="F2449">
        <v>0.1</v>
      </c>
      <c r="G2449">
        <v>1499.92</v>
      </c>
      <c r="H2449" t="s">
        <v>49</v>
      </c>
    </row>
    <row r="2450" spans="1:8" x14ac:dyDescent="0.35">
      <c r="A2450">
        <v>915</v>
      </c>
      <c r="B2450">
        <v>3</v>
      </c>
      <c r="C2450">
        <v>42</v>
      </c>
      <c r="D2450">
        <v>1</v>
      </c>
      <c r="E2450">
        <v>2299.9899999999998</v>
      </c>
      <c r="F2450">
        <v>0.2</v>
      </c>
      <c r="G2450">
        <v>2299.79</v>
      </c>
      <c r="H2450" t="s">
        <v>43</v>
      </c>
    </row>
    <row r="2451" spans="1:8" x14ac:dyDescent="0.35">
      <c r="A2451">
        <v>915</v>
      </c>
      <c r="B2451">
        <v>4</v>
      </c>
      <c r="C2451">
        <v>2</v>
      </c>
      <c r="D2451">
        <v>1</v>
      </c>
      <c r="E2451">
        <v>749.99</v>
      </c>
      <c r="F2451">
        <v>0.1</v>
      </c>
      <c r="G2451">
        <v>749.92</v>
      </c>
      <c r="H2451" t="s">
        <v>7</v>
      </c>
    </row>
    <row r="2452" spans="1:8" x14ac:dyDescent="0.35">
      <c r="A2452">
        <v>918</v>
      </c>
      <c r="B2452">
        <v>1</v>
      </c>
      <c r="C2452">
        <v>91</v>
      </c>
      <c r="D2452">
        <v>1</v>
      </c>
      <c r="E2452">
        <v>349.99</v>
      </c>
      <c r="F2452">
        <v>0.2</v>
      </c>
      <c r="G2452">
        <v>349.79</v>
      </c>
      <c r="H2452" t="s">
        <v>92</v>
      </c>
    </row>
    <row r="2453" spans="1:8" x14ac:dyDescent="0.35">
      <c r="A2453">
        <v>918</v>
      </c>
      <c r="B2453">
        <v>2</v>
      </c>
      <c r="C2453">
        <v>31</v>
      </c>
      <c r="D2453">
        <v>1</v>
      </c>
      <c r="E2453">
        <v>1632.99</v>
      </c>
      <c r="F2453">
        <v>0.1</v>
      </c>
      <c r="G2453">
        <v>1632.89</v>
      </c>
      <c r="H2453" t="s">
        <v>32</v>
      </c>
    </row>
    <row r="2454" spans="1:8" x14ac:dyDescent="0.35">
      <c r="A2454">
        <v>918</v>
      </c>
      <c r="B2454">
        <v>3</v>
      </c>
      <c r="C2454">
        <v>4</v>
      </c>
      <c r="D2454">
        <v>2</v>
      </c>
      <c r="E2454">
        <v>2899.99</v>
      </c>
      <c r="F2454">
        <v>0.1</v>
      </c>
      <c r="G2454">
        <v>5799.91</v>
      </c>
      <c r="H2454" t="s">
        <v>9</v>
      </c>
    </row>
    <row r="2455" spans="1:8" x14ac:dyDescent="0.35">
      <c r="A2455">
        <v>919</v>
      </c>
      <c r="B2455">
        <v>1</v>
      </c>
      <c r="C2455">
        <v>7</v>
      </c>
      <c r="D2455">
        <v>1</v>
      </c>
      <c r="E2455">
        <v>3999.99</v>
      </c>
      <c r="F2455">
        <v>0.1</v>
      </c>
      <c r="G2455">
        <v>3999.92</v>
      </c>
      <c r="H2455" t="s">
        <v>12</v>
      </c>
    </row>
    <row r="2456" spans="1:8" x14ac:dyDescent="0.35">
      <c r="A2456">
        <v>919</v>
      </c>
      <c r="B2456">
        <v>2</v>
      </c>
      <c r="C2456">
        <v>44</v>
      </c>
      <c r="D2456">
        <v>1</v>
      </c>
      <c r="E2456">
        <v>539.99</v>
      </c>
      <c r="F2456">
        <v>0.1</v>
      </c>
      <c r="G2456">
        <v>539.89</v>
      </c>
      <c r="H2456" t="s">
        <v>45</v>
      </c>
    </row>
    <row r="2457" spans="1:8" x14ac:dyDescent="0.35">
      <c r="A2457">
        <v>920</v>
      </c>
      <c r="B2457">
        <v>1</v>
      </c>
      <c r="C2457">
        <v>76</v>
      </c>
      <c r="D2457">
        <v>1</v>
      </c>
      <c r="E2457">
        <v>299.99</v>
      </c>
      <c r="F2457">
        <v>0.1</v>
      </c>
      <c r="G2457">
        <v>299.94</v>
      </c>
      <c r="H2457" t="s">
        <v>77</v>
      </c>
    </row>
    <row r="2458" spans="1:8" x14ac:dyDescent="0.35">
      <c r="A2458">
        <v>920</v>
      </c>
      <c r="B2458">
        <v>2</v>
      </c>
      <c r="C2458">
        <v>39</v>
      </c>
      <c r="D2458">
        <v>2</v>
      </c>
      <c r="E2458">
        <v>1499.99</v>
      </c>
      <c r="F2458">
        <v>0.1</v>
      </c>
      <c r="G2458">
        <v>2999.91</v>
      </c>
      <c r="H2458" t="s">
        <v>40</v>
      </c>
    </row>
    <row r="2459" spans="1:8" x14ac:dyDescent="0.35">
      <c r="A2459">
        <v>920</v>
      </c>
      <c r="B2459">
        <v>3</v>
      </c>
      <c r="C2459">
        <v>78</v>
      </c>
      <c r="D2459">
        <v>1</v>
      </c>
      <c r="E2459">
        <v>647.99</v>
      </c>
      <c r="F2459">
        <v>0.1</v>
      </c>
      <c r="G2459">
        <v>647.94000000000005</v>
      </c>
      <c r="H2459" t="s">
        <v>79</v>
      </c>
    </row>
    <row r="2460" spans="1:8" x14ac:dyDescent="0.35">
      <c r="A2460">
        <v>920</v>
      </c>
      <c r="B2460">
        <v>4</v>
      </c>
      <c r="C2460">
        <v>80</v>
      </c>
      <c r="D2460">
        <v>2</v>
      </c>
      <c r="E2460">
        <v>761.99</v>
      </c>
      <c r="F2460">
        <v>0.1</v>
      </c>
      <c r="G2460">
        <v>1523.91</v>
      </c>
      <c r="H2460" t="s">
        <v>81</v>
      </c>
    </row>
    <row r="2461" spans="1:8" x14ac:dyDescent="0.35">
      <c r="A2461">
        <v>921</v>
      </c>
      <c r="B2461">
        <v>1</v>
      </c>
      <c r="C2461">
        <v>77</v>
      </c>
      <c r="D2461">
        <v>1</v>
      </c>
      <c r="E2461">
        <v>799.99</v>
      </c>
      <c r="F2461">
        <v>0.2</v>
      </c>
      <c r="G2461">
        <v>799.79</v>
      </c>
      <c r="H2461" t="s">
        <v>78</v>
      </c>
    </row>
    <row r="2462" spans="1:8" x14ac:dyDescent="0.35">
      <c r="A2462">
        <v>921</v>
      </c>
      <c r="B2462">
        <v>2</v>
      </c>
      <c r="C2462">
        <v>75</v>
      </c>
      <c r="D2462">
        <v>2</v>
      </c>
      <c r="E2462">
        <v>599.99</v>
      </c>
      <c r="F2462">
        <v>0.1</v>
      </c>
      <c r="G2462">
        <v>1199.9100000000001</v>
      </c>
      <c r="H2462" t="s">
        <v>76</v>
      </c>
    </row>
    <row r="2463" spans="1:8" x14ac:dyDescent="0.35">
      <c r="A2463">
        <v>921</v>
      </c>
      <c r="B2463">
        <v>3</v>
      </c>
      <c r="C2463">
        <v>48</v>
      </c>
      <c r="D2463">
        <v>1</v>
      </c>
      <c r="E2463">
        <v>1499.99</v>
      </c>
      <c r="F2463">
        <v>0.1</v>
      </c>
      <c r="G2463">
        <v>1499.89</v>
      </c>
      <c r="H2463" t="s">
        <v>49</v>
      </c>
    </row>
    <row r="2464" spans="1:8" x14ac:dyDescent="0.35">
      <c r="A2464">
        <v>922</v>
      </c>
      <c r="B2464">
        <v>1</v>
      </c>
      <c r="C2464">
        <v>68</v>
      </c>
      <c r="D2464">
        <v>1</v>
      </c>
      <c r="E2464">
        <v>449.99</v>
      </c>
      <c r="F2464">
        <v>0.2</v>
      </c>
      <c r="G2464">
        <v>449.79</v>
      </c>
      <c r="H2464" t="s">
        <v>69</v>
      </c>
    </row>
    <row r="2465" spans="1:8" x14ac:dyDescent="0.35">
      <c r="A2465">
        <v>922</v>
      </c>
      <c r="B2465">
        <v>2</v>
      </c>
      <c r="C2465">
        <v>73</v>
      </c>
      <c r="D2465">
        <v>1</v>
      </c>
      <c r="E2465">
        <v>749.99</v>
      </c>
      <c r="F2465">
        <v>0.2</v>
      </c>
      <c r="G2465">
        <v>749.79</v>
      </c>
      <c r="H2465" t="s">
        <v>74</v>
      </c>
    </row>
    <row r="2466" spans="1:8" x14ac:dyDescent="0.35">
      <c r="A2466">
        <v>922</v>
      </c>
      <c r="B2466">
        <v>3</v>
      </c>
      <c r="C2466">
        <v>86</v>
      </c>
      <c r="D2466">
        <v>1</v>
      </c>
      <c r="E2466">
        <v>149.99</v>
      </c>
      <c r="F2466">
        <v>0.1</v>
      </c>
      <c r="G2466">
        <v>149.88999999999999</v>
      </c>
      <c r="H2466" t="s">
        <v>87</v>
      </c>
    </row>
    <row r="2467" spans="1:8" x14ac:dyDescent="0.35">
      <c r="A2467">
        <v>923</v>
      </c>
      <c r="B2467">
        <v>1</v>
      </c>
      <c r="C2467">
        <v>74</v>
      </c>
      <c r="D2467">
        <v>2</v>
      </c>
      <c r="E2467">
        <v>439.99</v>
      </c>
      <c r="F2467">
        <v>0.1</v>
      </c>
      <c r="G2467">
        <v>879.93</v>
      </c>
      <c r="H2467" t="s">
        <v>75</v>
      </c>
    </row>
    <row r="2468" spans="1:8" x14ac:dyDescent="0.35">
      <c r="A2468">
        <v>923</v>
      </c>
      <c r="B2468">
        <v>2</v>
      </c>
      <c r="C2468">
        <v>6</v>
      </c>
      <c r="D2468">
        <v>1</v>
      </c>
      <c r="E2468">
        <v>469.99</v>
      </c>
      <c r="F2468">
        <v>0.1</v>
      </c>
      <c r="G2468">
        <v>469.89</v>
      </c>
      <c r="H2468" t="s">
        <v>11</v>
      </c>
    </row>
    <row r="2469" spans="1:8" x14ac:dyDescent="0.35">
      <c r="A2469">
        <v>924</v>
      </c>
      <c r="B2469">
        <v>1</v>
      </c>
      <c r="C2469">
        <v>97</v>
      </c>
      <c r="D2469">
        <v>2</v>
      </c>
      <c r="E2469">
        <v>349.99</v>
      </c>
      <c r="F2469">
        <v>0.2</v>
      </c>
      <c r="G2469">
        <v>699.78</v>
      </c>
      <c r="H2469" t="s">
        <v>97</v>
      </c>
    </row>
    <row r="2470" spans="1:8" x14ac:dyDescent="0.35">
      <c r="A2470">
        <v>924</v>
      </c>
      <c r="B2470">
        <v>2</v>
      </c>
      <c r="C2470">
        <v>36</v>
      </c>
      <c r="D2470">
        <v>1</v>
      </c>
      <c r="E2470">
        <v>832.99</v>
      </c>
      <c r="F2470">
        <v>0.2</v>
      </c>
      <c r="G2470">
        <v>832.79</v>
      </c>
      <c r="H2470" t="s">
        <v>37</v>
      </c>
    </row>
    <row r="2471" spans="1:8" x14ac:dyDescent="0.35">
      <c r="A2471">
        <v>925</v>
      </c>
      <c r="B2471">
        <v>1</v>
      </c>
      <c r="C2471">
        <v>97</v>
      </c>
      <c r="D2471">
        <v>1</v>
      </c>
      <c r="E2471">
        <v>349.99</v>
      </c>
      <c r="F2471">
        <v>0.1</v>
      </c>
      <c r="G2471">
        <v>349.92</v>
      </c>
      <c r="H2471" t="s">
        <v>97</v>
      </c>
    </row>
    <row r="2472" spans="1:8" x14ac:dyDescent="0.35">
      <c r="A2472">
        <v>925</v>
      </c>
      <c r="B2472">
        <v>2</v>
      </c>
      <c r="C2472">
        <v>62</v>
      </c>
      <c r="D2472">
        <v>2</v>
      </c>
      <c r="E2472">
        <v>3499.99</v>
      </c>
      <c r="F2472">
        <v>0.2</v>
      </c>
      <c r="G2472">
        <v>6999.78</v>
      </c>
      <c r="H2472" t="s">
        <v>63</v>
      </c>
    </row>
    <row r="2473" spans="1:8" x14ac:dyDescent="0.35">
      <c r="A2473">
        <v>927</v>
      </c>
      <c r="B2473">
        <v>1</v>
      </c>
      <c r="C2473">
        <v>74</v>
      </c>
      <c r="D2473">
        <v>2</v>
      </c>
      <c r="E2473">
        <v>439.99</v>
      </c>
      <c r="F2473">
        <v>0.1</v>
      </c>
      <c r="G2473">
        <v>879.88</v>
      </c>
      <c r="H2473" t="s">
        <v>75</v>
      </c>
    </row>
    <row r="2474" spans="1:8" x14ac:dyDescent="0.35">
      <c r="A2474">
        <v>927</v>
      </c>
      <c r="B2474">
        <v>2</v>
      </c>
      <c r="C2474">
        <v>16</v>
      </c>
      <c r="D2474">
        <v>2</v>
      </c>
      <c r="E2474">
        <v>599.99</v>
      </c>
      <c r="F2474">
        <v>0.2</v>
      </c>
      <c r="G2474">
        <v>1199.78</v>
      </c>
      <c r="H2474" t="s">
        <v>21</v>
      </c>
    </row>
    <row r="2475" spans="1:8" x14ac:dyDescent="0.35">
      <c r="A2475">
        <v>927</v>
      </c>
      <c r="B2475">
        <v>3</v>
      </c>
      <c r="C2475">
        <v>50</v>
      </c>
      <c r="D2475">
        <v>1</v>
      </c>
      <c r="E2475">
        <v>5999.99</v>
      </c>
      <c r="F2475">
        <v>0.1</v>
      </c>
      <c r="G2475">
        <v>5999.89</v>
      </c>
      <c r="H2475" t="s">
        <v>51</v>
      </c>
    </row>
    <row r="2476" spans="1:8" x14ac:dyDescent="0.35">
      <c r="A2476">
        <v>927</v>
      </c>
      <c r="B2476">
        <v>4</v>
      </c>
      <c r="C2476">
        <v>3</v>
      </c>
      <c r="D2476">
        <v>1</v>
      </c>
      <c r="E2476">
        <v>999.99</v>
      </c>
      <c r="F2476">
        <v>0.1</v>
      </c>
      <c r="G2476">
        <v>999.89</v>
      </c>
      <c r="H2476" t="s">
        <v>8</v>
      </c>
    </row>
    <row r="2477" spans="1:8" x14ac:dyDescent="0.35">
      <c r="A2477">
        <v>927</v>
      </c>
      <c r="B2477">
        <v>5</v>
      </c>
      <c r="C2477">
        <v>43</v>
      </c>
      <c r="D2477">
        <v>1</v>
      </c>
      <c r="E2477">
        <v>5299.99</v>
      </c>
      <c r="F2477">
        <v>0.1</v>
      </c>
      <c r="G2477">
        <v>5299.92</v>
      </c>
      <c r="H2477" t="s">
        <v>44</v>
      </c>
    </row>
    <row r="2478" spans="1:8" x14ac:dyDescent="0.35">
      <c r="A2478">
        <v>928</v>
      </c>
      <c r="B2478">
        <v>1</v>
      </c>
      <c r="C2478">
        <v>71</v>
      </c>
      <c r="D2478">
        <v>2</v>
      </c>
      <c r="E2478">
        <v>416.99</v>
      </c>
      <c r="F2478">
        <v>0.1</v>
      </c>
      <c r="G2478">
        <v>833.93</v>
      </c>
      <c r="H2478" t="s">
        <v>72</v>
      </c>
    </row>
    <row r="2479" spans="1:8" x14ac:dyDescent="0.35">
      <c r="A2479">
        <v>928</v>
      </c>
      <c r="B2479">
        <v>2</v>
      </c>
      <c r="C2479">
        <v>83</v>
      </c>
      <c r="D2479">
        <v>1</v>
      </c>
      <c r="E2479">
        <v>149.99</v>
      </c>
      <c r="F2479">
        <v>0.2</v>
      </c>
      <c r="G2479">
        <v>149.79</v>
      </c>
      <c r="H2479" t="s">
        <v>84</v>
      </c>
    </row>
    <row r="2480" spans="1:8" x14ac:dyDescent="0.35">
      <c r="A2480">
        <v>929</v>
      </c>
      <c r="B2480">
        <v>1</v>
      </c>
      <c r="C2480">
        <v>82</v>
      </c>
      <c r="D2480">
        <v>1</v>
      </c>
      <c r="E2480">
        <v>659.99</v>
      </c>
      <c r="F2480">
        <v>0.2</v>
      </c>
      <c r="G2480">
        <v>659.79</v>
      </c>
      <c r="H2480" t="s">
        <v>83</v>
      </c>
    </row>
    <row r="2481" spans="1:8" x14ac:dyDescent="0.35">
      <c r="A2481">
        <v>929</v>
      </c>
      <c r="B2481">
        <v>2</v>
      </c>
      <c r="C2481">
        <v>63</v>
      </c>
      <c r="D2481">
        <v>2</v>
      </c>
      <c r="E2481">
        <v>3499.99</v>
      </c>
      <c r="F2481">
        <v>0.1</v>
      </c>
      <c r="G2481">
        <v>6999.88</v>
      </c>
      <c r="H2481" t="s">
        <v>64</v>
      </c>
    </row>
    <row r="2482" spans="1:8" x14ac:dyDescent="0.35">
      <c r="A2482">
        <v>929</v>
      </c>
      <c r="B2482">
        <v>3</v>
      </c>
      <c r="C2482">
        <v>24</v>
      </c>
      <c r="D2482">
        <v>1</v>
      </c>
      <c r="E2482">
        <v>549.99</v>
      </c>
      <c r="F2482">
        <v>0.1</v>
      </c>
      <c r="G2482">
        <v>549.94000000000005</v>
      </c>
      <c r="H2482" t="s">
        <v>17</v>
      </c>
    </row>
    <row r="2483" spans="1:8" x14ac:dyDescent="0.35">
      <c r="A2483">
        <v>930</v>
      </c>
      <c r="B2483">
        <v>1</v>
      </c>
      <c r="C2483">
        <v>56</v>
      </c>
      <c r="D2483">
        <v>2</v>
      </c>
      <c r="E2483">
        <v>5499.99</v>
      </c>
      <c r="F2483">
        <v>0.1</v>
      </c>
      <c r="G2483">
        <v>10999.91</v>
      </c>
      <c r="H2483" t="s">
        <v>57</v>
      </c>
    </row>
    <row r="2484" spans="1:8" x14ac:dyDescent="0.35">
      <c r="A2484">
        <v>930</v>
      </c>
      <c r="B2484">
        <v>2</v>
      </c>
      <c r="C2484">
        <v>82</v>
      </c>
      <c r="D2484">
        <v>1</v>
      </c>
      <c r="E2484">
        <v>659.99</v>
      </c>
      <c r="F2484">
        <v>0.1</v>
      </c>
      <c r="G2484">
        <v>659.92</v>
      </c>
      <c r="H2484" t="s">
        <v>83</v>
      </c>
    </row>
    <row r="2485" spans="1:8" x14ac:dyDescent="0.35">
      <c r="A2485">
        <v>930</v>
      </c>
      <c r="B2485">
        <v>3</v>
      </c>
      <c r="C2485">
        <v>60</v>
      </c>
      <c r="D2485">
        <v>1</v>
      </c>
      <c r="E2485">
        <v>1559.99</v>
      </c>
      <c r="F2485">
        <v>0.1</v>
      </c>
      <c r="G2485">
        <v>1559.89</v>
      </c>
      <c r="H2485" t="s">
        <v>61</v>
      </c>
    </row>
    <row r="2486" spans="1:8" x14ac:dyDescent="0.35">
      <c r="A2486">
        <v>930</v>
      </c>
      <c r="B2486">
        <v>4</v>
      </c>
      <c r="C2486">
        <v>65</v>
      </c>
      <c r="D2486">
        <v>2</v>
      </c>
      <c r="E2486">
        <v>346.99</v>
      </c>
      <c r="F2486">
        <v>0.1</v>
      </c>
      <c r="G2486">
        <v>693.93</v>
      </c>
      <c r="H2486" t="s">
        <v>66</v>
      </c>
    </row>
    <row r="2487" spans="1:8" x14ac:dyDescent="0.35">
      <c r="A2487">
        <v>930</v>
      </c>
      <c r="B2487">
        <v>5</v>
      </c>
      <c r="C2487">
        <v>51</v>
      </c>
      <c r="D2487">
        <v>2</v>
      </c>
      <c r="E2487">
        <v>6499.99</v>
      </c>
      <c r="F2487">
        <v>0.1</v>
      </c>
      <c r="G2487">
        <v>12999.88</v>
      </c>
      <c r="H2487" t="s">
        <v>52</v>
      </c>
    </row>
    <row r="2488" spans="1:8" x14ac:dyDescent="0.35">
      <c r="A2488">
        <v>931</v>
      </c>
      <c r="B2488">
        <v>1</v>
      </c>
      <c r="C2488">
        <v>49</v>
      </c>
      <c r="D2488">
        <v>2</v>
      </c>
      <c r="E2488">
        <v>3499.99</v>
      </c>
      <c r="F2488">
        <v>0.1</v>
      </c>
      <c r="G2488">
        <v>6999.91</v>
      </c>
      <c r="H2488" t="s">
        <v>50</v>
      </c>
    </row>
    <row r="2489" spans="1:8" x14ac:dyDescent="0.35">
      <c r="A2489">
        <v>931</v>
      </c>
      <c r="B2489">
        <v>2</v>
      </c>
      <c r="C2489">
        <v>76</v>
      </c>
      <c r="D2489">
        <v>1</v>
      </c>
      <c r="E2489">
        <v>299.99</v>
      </c>
      <c r="F2489">
        <v>0.2</v>
      </c>
      <c r="G2489">
        <v>299.79000000000002</v>
      </c>
      <c r="H2489" t="s">
        <v>77</v>
      </c>
    </row>
    <row r="2490" spans="1:8" x14ac:dyDescent="0.35">
      <c r="A2490">
        <v>933</v>
      </c>
      <c r="B2490">
        <v>1</v>
      </c>
      <c r="C2490">
        <v>77</v>
      </c>
      <c r="D2490">
        <v>1</v>
      </c>
      <c r="E2490">
        <v>799.99</v>
      </c>
      <c r="F2490">
        <v>0.1</v>
      </c>
      <c r="G2490">
        <v>799.92</v>
      </c>
      <c r="H2490" t="s">
        <v>78</v>
      </c>
    </row>
    <row r="2491" spans="1:8" x14ac:dyDescent="0.35">
      <c r="A2491">
        <v>933</v>
      </c>
      <c r="B2491">
        <v>2</v>
      </c>
      <c r="C2491">
        <v>21</v>
      </c>
      <c r="D2491">
        <v>1</v>
      </c>
      <c r="E2491">
        <v>269.99</v>
      </c>
      <c r="F2491">
        <v>0.2</v>
      </c>
      <c r="G2491">
        <v>269.79000000000002</v>
      </c>
      <c r="H2491" t="s">
        <v>18</v>
      </c>
    </row>
    <row r="2492" spans="1:8" x14ac:dyDescent="0.35">
      <c r="A2492">
        <v>933</v>
      </c>
      <c r="B2492">
        <v>3</v>
      </c>
      <c r="C2492">
        <v>75</v>
      </c>
      <c r="D2492">
        <v>2</v>
      </c>
      <c r="E2492">
        <v>599.99</v>
      </c>
      <c r="F2492">
        <v>0.1</v>
      </c>
      <c r="G2492">
        <v>1199.93</v>
      </c>
      <c r="H2492" t="s">
        <v>76</v>
      </c>
    </row>
    <row r="2493" spans="1:8" x14ac:dyDescent="0.35">
      <c r="A2493">
        <v>934</v>
      </c>
      <c r="B2493">
        <v>1</v>
      </c>
      <c r="C2493">
        <v>35</v>
      </c>
      <c r="D2493">
        <v>2</v>
      </c>
      <c r="E2493">
        <v>832.99</v>
      </c>
      <c r="F2493">
        <v>0.1</v>
      </c>
      <c r="G2493">
        <v>1665.93</v>
      </c>
      <c r="H2493" t="s">
        <v>36</v>
      </c>
    </row>
    <row r="2494" spans="1:8" x14ac:dyDescent="0.35">
      <c r="A2494">
        <v>934</v>
      </c>
      <c r="B2494">
        <v>2</v>
      </c>
      <c r="C2494">
        <v>48</v>
      </c>
      <c r="D2494">
        <v>1</v>
      </c>
      <c r="E2494">
        <v>1499.99</v>
      </c>
      <c r="F2494">
        <v>0.1</v>
      </c>
      <c r="G2494">
        <v>1499.94</v>
      </c>
      <c r="H2494" t="s">
        <v>49</v>
      </c>
    </row>
    <row r="2495" spans="1:8" x14ac:dyDescent="0.35">
      <c r="A2495">
        <v>934</v>
      </c>
      <c r="B2495">
        <v>3</v>
      </c>
      <c r="C2495">
        <v>18</v>
      </c>
      <c r="D2495">
        <v>1</v>
      </c>
      <c r="E2495">
        <v>449</v>
      </c>
      <c r="F2495">
        <v>0.1</v>
      </c>
      <c r="G2495">
        <v>448.9</v>
      </c>
      <c r="H2495" t="s">
        <v>23</v>
      </c>
    </row>
    <row r="2496" spans="1:8" x14ac:dyDescent="0.35">
      <c r="A2496">
        <v>934</v>
      </c>
      <c r="B2496">
        <v>4</v>
      </c>
      <c r="C2496">
        <v>61</v>
      </c>
      <c r="D2496">
        <v>1</v>
      </c>
      <c r="E2496">
        <v>4999.99</v>
      </c>
      <c r="F2496">
        <v>0.1</v>
      </c>
      <c r="G2496">
        <v>4999.92</v>
      </c>
      <c r="H2496" t="s">
        <v>62</v>
      </c>
    </row>
    <row r="2497" spans="1:8" x14ac:dyDescent="0.35">
      <c r="A2497">
        <v>934</v>
      </c>
      <c r="B2497">
        <v>5</v>
      </c>
      <c r="C2497">
        <v>56</v>
      </c>
      <c r="D2497">
        <v>2</v>
      </c>
      <c r="E2497">
        <v>5499.99</v>
      </c>
      <c r="F2497">
        <v>0.2</v>
      </c>
      <c r="G2497">
        <v>10999.78</v>
      </c>
      <c r="H2497" t="s">
        <v>57</v>
      </c>
    </row>
    <row r="2498" spans="1:8" x14ac:dyDescent="0.35">
      <c r="A2498">
        <v>935</v>
      </c>
      <c r="B2498">
        <v>1</v>
      </c>
      <c r="C2498">
        <v>65</v>
      </c>
      <c r="D2498">
        <v>2</v>
      </c>
      <c r="E2498">
        <v>346.99</v>
      </c>
      <c r="F2498">
        <v>0.2</v>
      </c>
      <c r="G2498">
        <v>693.78</v>
      </c>
      <c r="H2498" t="s">
        <v>66</v>
      </c>
    </row>
    <row r="2499" spans="1:8" x14ac:dyDescent="0.35">
      <c r="A2499">
        <v>935</v>
      </c>
      <c r="B2499">
        <v>2</v>
      </c>
      <c r="C2499">
        <v>76</v>
      </c>
      <c r="D2499">
        <v>2</v>
      </c>
      <c r="E2499">
        <v>299.99</v>
      </c>
      <c r="F2499">
        <v>0.1</v>
      </c>
      <c r="G2499">
        <v>599.91</v>
      </c>
      <c r="H2499" t="s">
        <v>77</v>
      </c>
    </row>
    <row r="2500" spans="1:8" x14ac:dyDescent="0.35">
      <c r="A2500">
        <v>935</v>
      </c>
      <c r="B2500">
        <v>3</v>
      </c>
      <c r="C2500">
        <v>6</v>
      </c>
      <c r="D2500">
        <v>1</v>
      </c>
      <c r="E2500">
        <v>469.99</v>
      </c>
      <c r="F2500">
        <v>0.1</v>
      </c>
      <c r="G2500">
        <v>469.92</v>
      </c>
      <c r="H2500" t="s">
        <v>11</v>
      </c>
    </row>
    <row r="2501" spans="1:8" x14ac:dyDescent="0.35">
      <c r="A2501">
        <v>935</v>
      </c>
      <c r="B2501">
        <v>4</v>
      </c>
      <c r="C2501">
        <v>38</v>
      </c>
      <c r="D2501">
        <v>1</v>
      </c>
      <c r="E2501">
        <v>549.99</v>
      </c>
      <c r="F2501">
        <v>0.1</v>
      </c>
      <c r="G2501">
        <v>549.91999999999996</v>
      </c>
      <c r="H2501" t="s">
        <v>39</v>
      </c>
    </row>
    <row r="2502" spans="1:8" x14ac:dyDescent="0.35">
      <c r="A2502">
        <v>936</v>
      </c>
      <c r="B2502">
        <v>1</v>
      </c>
      <c r="C2502">
        <v>70</v>
      </c>
      <c r="D2502">
        <v>1</v>
      </c>
      <c r="E2502">
        <v>659.99</v>
      </c>
      <c r="F2502">
        <v>0.1</v>
      </c>
      <c r="G2502">
        <v>659.89</v>
      </c>
      <c r="H2502" t="s">
        <v>71</v>
      </c>
    </row>
    <row r="2503" spans="1:8" x14ac:dyDescent="0.35">
      <c r="A2503">
        <v>936</v>
      </c>
      <c r="B2503">
        <v>2</v>
      </c>
      <c r="C2503">
        <v>44</v>
      </c>
      <c r="D2503">
        <v>1</v>
      </c>
      <c r="E2503">
        <v>539.99</v>
      </c>
      <c r="F2503">
        <v>0.1</v>
      </c>
      <c r="G2503">
        <v>539.91999999999996</v>
      </c>
      <c r="H2503" t="s">
        <v>45</v>
      </c>
    </row>
    <row r="2504" spans="1:8" x14ac:dyDescent="0.35">
      <c r="A2504">
        <v>937</v>
      </c>
      <c r="B2504">
        <v>1</v>
      </c>
      <c r="C2504">
        <v>108</v>
      </c>
      <c r="D2504">
        <v>2</v>
      </c>
      <c r="E2504">
        <v>449.99</v>
      </c>
      <c r="F2504">
        <v>0.1</v>
      </c>
      <c r="G2504">
        <v>899.88</v>
      </c>
      <c r="H2504" t="s">
        <v>105</v>
      </c>
    </row>
    <row r="2505" spans="1:8" x14ac:dyDescent="0.35">
      <c r="A2505">
        <v>937</v>
      </c>
      <c r="B2505">
        <v>2</v>
      </c>
      <c r="C2505">
        <v>51</v>
      </c>
      <c r="D2505">
        <v>2</v>
      </c>
      <c r="E2505">
        <v>6499.99</v>
      </c>
      <c r="F2505">
        <v>0.1</v>
      </c>
      <c r="G2505">
        <v>12999.91</v>
      </c>
      <c r="H2505" t="s">
        <v>52</v>
      </c>
    </row>
    <row r="2506" spans="1:8" x14ac:dyDescent="0.35">
      <c r="A2506">
        <v>937</v>
      </c>
      <c r="B2506">
        <v>3</v>
      </c>
      <c r="C2506">
        <v>58</v>
      </c>
      <c r="D2506">
        <v>2</v>
      </c>
      <c r="E2506">
        <v>4999.99</v>
      </c>
      <c r="F2506">
        <v>0.1</v>
      </c>
      <c r="G2506">
        <v>9999.91</v>
      </c>
      <c r="H2506" t="s">
        <v>59</v>
      </c>
    </row>
    <row r="2507" spans="1:8" x14ac:dyDescent="0.35">
      <c r="A2507">
        <v>937</v>
      </c>
      <c r="B2507">
        <v>4</v>
      </c>
      <c r="C2507">
        <v>28</v>
      </c>
      <c r="D2507">
        <v>2</v>
      </c>
      <c r="E2507">
        <v>2499.9899999999998</v>
      </c>
      <c r="F2507">
        <v>0.1</v>
      </c>
      <c r="G2507">
        <v>4999.91</v>
      </c>
      <c r="H2507" t="s">
        <v>29</v>
      </c>
    </row>
    <row r="2508" spans="1:8" x14ac:dyDescent="0.35">
      <c r="A2508">
        <v>937</v>
      </c>
      <c r="B2508">
        <v>5</v>
      </c>
      <c r="C2508">
        <v>66</v>
      </c>
      <c r="D2508">
        <v>1</v>
      </c>
      <c r="E2508">
        <v>250.99</v>
      </c>
      <c r="F2508">
        <v>0.2</v>
      </c>
      <c r="G2508">
        <v>250.79</v>
      </c>
      <c r="H2508" t="s">
        <v>67</v>
      </c>
    </row>
    <row r="2509" spans="1:8" x14ac:dyDescent="0.35">
      <c r="A2509">
        <v>938</v>
      </c>
      <c r="B2509">
        <v>1</v>
      </c>
      <c r="C2509">
        <v>4</v>
      </c>
      <c r="D2509">
        <v>1</v>
      </c>
      <c r="E2509">
        <v>2899.99</v>
      </c>
      <c r="F2509">
        <v>0.1</v>
      </c>
      <c r="G2509">
        <v>2899.94</v>
      </c>
      <c r="H2509" t="s">
        <v>9</v>
      </c>
    </row>
    <row r="2510" spans="1:8" x14ac:dyDescent="0.35">
      <c r="A2510">
        <v>938</v>
      </c>
      <c r="B2510">
        <v>2</v>
      </c>
      <c r="C2510">
        <v>13</v>
      </c>
      <c r="D2510">
        <v>1</v>
      </c>
      <c r="E2510">
        <v>269.99</v>
      </c>
      <c r="F2510">
        <v>0.1</v>
      </c>
      <c r="G2510">
        <v>269.94</v>
      </c>
      <c r="H2510" t="s">
        <v>18</v>
      </c>
    </row>
    <row r="2511" spans="1:8" x14ac:dyDescent="0.35">
      <c r="A2511">
        <v>939</v>
      </c>
      <c r="B2511">
        <v>1</v>
      </c>
      <c r="C2511">
        <v>5</v>
      </c>
      <c r="D2511">
        <v>1</v>
      </c>
      <c r="E2511">
        <v>1320.99</v>
      </c>
      <c r="F2511">
        <v>0.1</v>
      </c>
      <c r="G2511">
        <v>1320.89</v>
      </c>
      <c r="H2511" t="s">
        <v>10</v>
      </c>
    </row>
    <row r="2512" spans="1:8" x14ac:dyDescent="0.35">
      <c r="A2512">
        <v>939</v>
      </c>
      <c r="B2512">
        <v>2</v>
      </c>
      <c r="C2512">
        <v>107</v>
      </c>
      <c r="D2512">
        <v>2</v>
      </c>
      <c r="E2512">
        <v>416.99</v>
      </c>
      <c r="F2512">
        <v>0.2</v>
      </c>
      <c r="G2512">
        <v>833.78</v>
      </c>
      <c r="H2512" t="s">
        <v>70</v>
      </c>
    </row>
    <row r="2513" spans="1:8" x14ac:dyDescent="0.35">
      <c r="A2513">
        <v>941</v>
      </c>
      <c r="B2513">
        <v>1</v>
      </c>
      <c r="C2513">
        <v>25</v>
      </c>
      <c r="D2513">
        <v>1</v>
      </c>
      <c r="E2513">
        <v>499.99</v>
      </c>
      <c r="F2513">
        <v>0.1</v>
      </c>
      <c r="G2513">
        <v>499.89</v>
      </c>
      <c r="H2513" t="s">
        <v>27</v>
      </c>
    </row>
    <row r="2514" spans="1:8" x14ac:dyDescent="0.35">
      <c r="A2514">
        <v>941</v>
      </c>
      <c r="B2514">
        <v>2</v>
      </c>
      <c r="C2514">
        <v>102</v>
      </c>
      <c r="D2514">
        <v>2</v>
      </c>
      <c r="E2514">
        <v>489.99</v>
      </c>
      <c r="F2514">
        <v>0.1</v>
      </c>
      <c r="G2514">
        <v>979.93</v>
      </c>
      <c r="H2514" t="s">
        <v>65</v>
      </c>
    </row>
    <row r="2515" spans="1:8" x14ac:dyDescent="0.35">
      <c r="A2515">
        <v>941</v>
      </c>
      <c r="B2515">
        <v>3</v>
      </c>
      <c r="C2515">
        <v>11</v>
      </c>
      <c r="D2515">
        <v>2</v>
      </c>
      <c r="E2515">
        <v>1680.99</v>
      </c>
      <c r="F2515">
        <v>0.1</v>
      </c>
      <c r="G2515">
        <v>3361.91</v>
      </c>
      <c r="H2515" t="s">
        <v>16</v>
      </c>
    </row>
    <row r="2516" spans="1:8" x14ac:dyDescent="0.35">
      <c r="A2516">
        <v>942</v>
      </c>
      <c r="B2516">
        <v>1</v>
      </c>
      <c r="C2516">
        <v>98</v>
      </c>
      <c r="D2516">
        <v>2</v>
      </c>
      <c r="E2516">
        <v>489.99</v>
      </c>
      <c r="F2516">
        <v>0.1</v>
      </c>
      <c r="G2516">
        <v>979.93</v>
      </c>
      <c r="H2516" t="s">
        <v>98</v>
      </c>
    </row>
    <row r="2517" spans="1:8" x14ac:dyDescent="0.35">
      <c r="A2517">
        <v>942</v>
      </c>
      <c r="B2517">
        <v>2</v>
      </c>
      <c r="C2517">
        <v>110</v>
      </c>
      <c r="D2517">
        <v>2</v>
      </c>
      <c r="E2517">
        <v>470.99</v>
      </c>
      <c r="F2517">
        <v>0.1</v>
      </c>
      <c r="G2517">
        <v>941.88</v>
      </c>
      <c r="H2517" t="s">
        <v>107</v>
      </c>
    </row>
    <row r="2518" spans="1:8" x14ac:dyDescent="0.35">
      <c r="A2518">
        <v>942</v>
      </c>
      <c r="B2518">
        <v>3</v>
      </c>
      <c r="C2518">
        <v>35</v>
      </c>
      <c r="D2518">
        <v>2</v>
      </c>
      <c r="E2518">
        <v>832.99</v>
      </c>
      <c r="F2518">
        <v>0.1</v>
      </c>
      <c r="G2518">
        <v>1665.91</v>
      </c>
      <c r="H2518" t="s">
        <v>36</v>
      </c>
    </row>
    <row r="2519" spans="1:8" x14ac:dyDescent="0.35">
      <c r="A2519">
        <v>942</v>
      </c>
      <c r="B2519">
        <v>4</v>
      </c>
      <c r="C2519">
        <v>103</v>
      </c>
      <c r="D2519">
        <v>1</v>
      </c>
      <c r="E2519">
        <v>551.99</v>
      </c>
      <c r="F2519">
        <v>0.1</v>
      </c>
      <c r="G2519">
        <v>551.94000000000005</v>
      </c>
      <c r="H2519" t="s">
        <v>102</v>
      </c>
    </row>
    <row r="2520" spans="1:8" x14ac:dyDescent="0.35">
      <c r="A2520">
        <v>942</v>
      </c>
      <c r="B2520">
        <v>5</v>
      </c>
      <c r="C2520">
        <v>100</v>
      </c>
      <c r="D2520">
        <v>1</v>
      </c>
      <c r="E2520">
        <v>489.99</v>
      </c>
      <c r="F2520">
        <v>0.1</v>
      </c>
      <c r="G2520">
        <v>489.94</v>
      </c>
      <c r="H2520" t="s">
        <v>100</v>
      </c>
    </row>
    <row r="2521" spans="1:8" x14ac:dyDescent="0.35">
      <c r="A2521">
        <v>943</v>
      </c>
      <c r="B2521">
        <v>1</v>
      </c>
      <c r="C2521">
        <v>25</v>
      </c>
      <c r="D2521">
        <v>1</v>
      </c>
      <c r="E2521">
        <v>499.99</v>
      </c>
      <c r="F2521">
        <v>0.2</v>
      </c>
      <c r="G2521">
        <v>499.79</v>
      </c>
      <c r="H2521" t="s">
        <v>27</v>
      </c>
    </row>
    <row r="2522" spans="1:8" x14ac:dyDescent="0.35">
      <c r="A2522">
        <v>943</v>
      </c>
      <c r="B2522">
        <v>2</v>
      </c>
      <c r="C2522">
        <v>82</v>
      </c>
      <c r="D2522">
        <v>1</v>
      </c>
      <c r="E2522">
        <v>659.99</v>
      </c>
      <c r="F2522">
        <v>0.2</v>
      </c>
      <c r="G2522">
        <v>659.79</v>
      </c>
      <c r="H2522" t="s">
        <v>83</v>
      </c>
    </row>
    <row r="2523" spans="1:8" x14ac:dyDescent="0.35">
      <c r="A2523">
        <v>944</v>
      </c>
      <c r="B2523">
        <v>1</v>
      </c>
      <c r="C2523">
        <v>29</v>
      </c>
      <c r="D2523">
        <v>2</v>
      </c>
      <c r="E2523">
        <v>999.99</v>
      </c>
      <c r="F2523">
        <v>0.1</v>
      </c>
      <c r="G2523">
        <v>1999.91</v>
      </c>
      <c r="H2523" t="s">
        <v>30</v>
      </c>
    </row>
    <row r="2524" spans="1:8" x14ac:dyDescent="0.35">
      <c r="A2524">
        <v>944</v>
      </c>
      <c r="B2524">
        <v>2</v>
      </c>
      <c r="C2524">
        <v>16</v>
      </c>
      <c r="D2524">
        <v>2</v>
      </c>
      <c r="E2524">
        <v>599.99</v>
      </c>
      <c r="F2524">
        <v>0.1</v>
      </c>
      <c r="G2524">
        <v>1199.8800000000001</v>
      </c>
      <c r="H2524" t="s">
        <v>21</v>
      </c>
    </row>
    <row r="2525" spans="1:8" x14ac:dyDescent="0.35">
      <c r="A2525">
        <v>944</v>
      </c>
      <c r="B2525">
        <v>3</v>
      </c>
      <c r="C2525">
        <v>70</v>
      </c>
      <c r="D2525">
        <v>2</v>
      </c>
      <c r="E2525">
        <v>659.99</v>
      </c>
      <c r="F2525">
        <v>0.2</v>
      </c>
      <c r="G2525">
        <v>1319.78</v>
      </c>
      <c r="H2525" t="s">
        <v>71</v>
      </c>
    </row>
    <row r="2526" spans="1:8" x14ac:dyDescent="0.35">
      <c r="A2526">
        <v>944</v>
      </c>
      <c r="B2526">
        <v>4</v>
      </c>
      <c r="C2526">
        <v>85</v>
      </c>
      <c r="D2526">
        <v>2</v>
      </c>
      <c r="E2526">
        <v>329.99</v>
      </c>
      <c r="F2526">
        <v>0.2</v>
      </c>
      <c r="G2526">
        <v>659.78</v>
      </c>
      <c r="H2526" t="s">
        <v>86</v>
      </c>
    </row>
    <row r="2527" spans="1:8" x14ac:dyDescent="0.35">
      <c r="A2527">
        <v>944</v>
      </c>
      <c r="B2527">
        <v>5</v>
      </c>
      <c r="C2527">
        <v>69</v>
      </c>
      <c r="D2527">
        <v>2</v>
      </c>
      <c r="E2527">
        <v>416.99</v>
      </c>
      <c r="F2527">
        <v>0.1</v>
      </c>
      <c r="G2527">
        <v>833.91</v>
      </c>
      <c r="H2527" t="s">
        <v>70</v>
      </c>
    </row>
    <row r="2528" spans="1:8" x14ac:dyDescent="0.35">
      <c r="A2528">
        <v>945</v>
      </c>
      <c r="B2528">
        <v>1</v>
      </c>
      <c r="C2528">
        <v>105</v>
      </c>
      <c r="D2528">
        <v>1</v>
      </c>
      <c r="E2528">
        <v>533.99</v>
      </c>
      <c r="F2528">
        <v>0.1</v>
      </c>
      <c r="G2528">
        <v>533.94000000000005</v>
      </c>
      <c r="H2528" t="s">
        <v>104</v>
      </c>
    </row>
    <row r="2529" spans="1:8" x14ac:dyDescent="0.35">
      <c r="A2529">
        <v>945</v>
      </c>
      <c r="B2529">
        <v>2</v>
      </c>
      <c r="C2529">
        <v>94</v>
      </c>
      <c r="D2529">
        <v>2</v>
      </c>
      <c r="E2529">
        <v>249.99</v>
      </c>
      <c r="F2529">
        <v>0.2</v>
      </c>
      <c r="G2529">
        <v>499.78</v>
      </c>
      <c r="H2529" t="s">
        <v>95</v>
      </c>
    </row>
    <row r="2530" spans="1:8" x14ac:dyDescent="0.35">
      <c r="A2530">
        <v>945</v>
      </c>
      <c r="B2530">
        <v>3</v>
      </c>
      <c r="C2530">
        <v>34</v>
      </c>
      <c r="D2530">
        <v>2</v>
      </c>
      <c r="E2530">
        <v>469.99</v>
      </c>
      <c r="F2530">
        <v>0.1</v>
      </c>
      <c r="G2530">
        <v>939.93</v>
      </c>
      <c r="H2530" t="s">
        <v>35</v>
      </c>
    </row>
    <row r="2531" spans="1:8" x14ac:dyDescent="0.35">
      <c r="A2531">
        <v>945</v>
      </c>
      <c r="B2531">
        <v>4</v>
      </c>
      <c r="C2531">
        <v>44</v>
      </c>
      <c r="D2531">
        <v>2</v>
      </c>
      <c r="E2531">
        <v>539.99</v>
      </c>
      <c r="F2531">
        <v>0.1</v>
      </c>
      <c r="G2531">
        <v>1079.8800000000001</v>
      </c>
      <c r="H2531" t="s">
        <v>45</v>
      </c>
    </row>
    <row r="2532" spans="1:8" x14ac:dyDescent="0.35">
      <c r="A2532">
        <v>945</v>
      </c>
      <c r="B2532">
        <v>5</v>
      </c>
      <c r="C2532">
        <v>50</v>
      </c>
      <c r="D2532">
        <v>2</v>
      </c>
      <c r="E2532">
        <v>5999.99</v>
      </c>
      <c r="F2532">
        <v>0.1</v>
      </c>
      <c r="G2532">
        <v>11999.93</v>
      </c>
      <c r="H2532" t="s">
        <v>51</v>
      </c>
    </row>
    <row r="2533" spans="1:8" x14ac:dyDescent="0.35">
      <c r="A2533">
        <v>946</v>
      </c>
      <c r="B2533">
        <v>1</v>
      </c>
      <c r="C2533">
        <v>7</v>
      </c>
      <c r="D2533">
        <v>1</v>
      </c>
      <c r="E2533">
        <v>3999.99</v>
      </c>
      <c r="F2533">
        <v>0.1</v>
      </c>
      <c r="G2533">
        <v>3999.89</v>
      </c>
      <c r="H2533" t="s">
        <v>12</v>
      </c>
    </row>
    <row r="2534" spans="1:8" x14ac:dyDescent="0.35">
      <c r="A2534">
        <v>946</v>
      </c>
      <c r="B2534">
        <v>2</v>
      </c>
      <c r="C2534">
        <v>85</v>
      </c>
      <c r="D2534">
        <v>2</v>
      </c>
      <c r="E2534">
        <v>329.99</v>
      </c>
      <c r="F2534">
        <v>0.2</v>
      </c>
      <c r="G2534">
        <v>659.78</v>
      </c>
      <c r="H2534" t="s">
        <v>86</v>
      </c>
    </row>
    <row r="2535" spans="1:8" x14ac:dyDescent="0.35">
      <c r="A2535">
        <v>946</v>
      </c>
      <c r="B2535">
        <v>3</v>
      </c>
      <c r="C2535">
        <v>62</v>
      </c>
      <c r="D2535">
        <v>1</v>
      </c>
      <c r="E2535">
        <v>3499.99</v>
      </c>
      <c r="F2535">
        <v>0.1</v>
      </c>
      <c r="G2535">
        <v>3499.94</v>
      </c>
      <c r="H2535" t="s">
        <v>63</v>
      </c>
    </row>
    <row r="2536" spans="1:8" x14ac:dyDescent="0.35">
      <c r="A2536">
        <v>946</v>
      </c>
      <c r="B2536">
        <v>4</v>
      </c>
      <c r="C2536">
        <v>22</v>
      </c>
      <c r="D2536">
        <v>2</v>
      </c>
      <c r="E2536">
        <v>269.99</v>
      </c>
      <c r="F2536">
        <v>0.2</v>
      </c>
      <c r="G2536">
        <v>539.78</v>
      </c>
      <c r="H2536" t="s">
        <v>19</v>
      </c>
    </row>
    <row r="2537" spans="1:8" x14ac:dyDescent="0.35">
      <c r="A2537">
        <v>946</v>
      </c>
      <c r="B2537">
        <v>5</v>
      </c>
      <c r="C2537">
        <v>56</v>
      </c>
      <c r="D2537">
        <v>2</v>
      </c>
      <c r="E2537">
        <v>5499.99</v>
      </c>
      <c r="F2537">
        <v>0.1</v>
      </c>
      <c r="G2537">
        <v>10999.91</v>
      </c>
      <c r="H2537" t="s">
        <v>57</v>
      </c>
    </row>
    <row r="2538" spans="1:8" x14ac:dyDescent="0.35">
      <c r="A2538">
        <v>947</v>
      </c>
      <c r="B2538">
        <v>1</v>
      </c>
      <c r="C2538">
        <v>32</v>
      </c>
      <c r="D2538">
        <v>1</v>
      </c>
      <c r="E2538">
        <v>469.99</v>
      </c>
      <c r="F2538">
        <v>0.1</v>
      </c>
      <c r="G2538">
        <v>469.94</v>
      </c>
      <c r="H2538" t="s">
        <v>33</v>
      </c>
    </row>
    <row r="2539" spans="1:8" x14ac:dyDescent="0.35">
      <c r="A2539">
        <v>947</v>
      </c>
      <c r="B2539">
        <v>2</v>
      </c>
      <c r="C2539">
        <v>42</v>
      </c>
      <c r="D2539">
        <v>2</v>
      </c>
      <c r="E2539">
        <v>2299.9899999999998</v>
      </c>
      <c r="F2539">
        <v>0.1</v>
      </c>
      <c r="G2539">
        <v>4599.91</v>
      </c>
      <c r="H2539" t="s">
        <v>43</v>
      </c>
    </row>
    <row r="2540" spans="1:8" x14ac:dyDescent="0.35">
      <c r="A2540">
        <v>947</v>
      </c>
      <c r="B2540">
        <v>3</v>
      </c>
      <c r="C2540">
        <v>44</v>
      </c>
      <c r="D2540">
        <v>1</v>
      </c>
      <c r="E2540">
        <v>539.99</v>
      </c>
      <c r="F2540">
        <v>0.1</v>
      </c>
      <c r="G2540">
        <v>539.91999999999996</v>
      </c>
      <c r="H2540" t="s">
        <v>45</v>
      </c>
    </row>
    <row r="2541" spans="1:8" x14ac:dyDescent="0.35">
      <c r="A2541">
        <v>948</v>
      </c>
      <c r="B2541">
        <v>1</v>
      </c>
      <c r="C2541">
        <v>23</v>
      </c>
      <c r="D2541">
        <v>2</v>
      </c>
      <c r="E2541">
        <v>299.99</v>
      </c>
      <c r="F2541">
        <v>0.2</v>
      </c>
      <c r="G2541">
        <v>599.78</v>
      </c>
      <c r="H2541" t="s">
        <v>26</v>
      </c>
    </row>
    <row r="2542" spans="1:8" x14ac:dyDescent="0.35">
      <c r="A2542">
        <v>948</v>
      </c>
      <c r="B2542">
        <v>2</v>
      </c>
      <c r="C2542">
        <v>20</v>
      </c>
      <c r="D2542">
        <v>2</v>
      </c>
      <c r="E2542">
        <v>599.99</v>
      </c>
      <c r="F2542">
        <v>0.1</v>
      </c>
      <c r="G2542">
        <v>1199.8800000000001</v>
      </c>
      <c r="H2542" t="s">
        <v>25</v>
      </c>
    </row>
    <row r="2543" spans="1:8" x14ac:dyDescent="0.35">
      <c r="A2543">
        <v>948</v>
      </c>
      <c r="B2543">
        <v>3</v>
      </c>
      <c r="C2543">
        <v>101</v>
      </c>
      <c r="D2543">
        <v>1</v>
      </c>
      <c r="E2543">
        <v>339.99</v>
      </c>
      <c r="F2543">
        <v>0.2</v>
      </c>
      <c r="G2543">
        <v>339.79</v>
      </c>
      <c r="H2543" t="s">
        <v>101</v>
      </c>
    </row>
    <row r="2544" spans="1:8" x14ac:dyDescent="0.35">
      <c r="A2544">
        <v>948</v>
      </c>
      <c r="B2544">
        <v>4</v>
      </c>
      <c r="C2544">
        <v>92</v>
      </c>
      <c r="D2544">
        <v>2</v>
      </c>
      <c r="E2544">
        <v>209.99</v>
      </c>
      <c r="F2544">
        <v>0.2</v>
      </c>
      <c r="G2544">
        <v>419.78</v>
      </c>
      <c r="H2544" t="s">
        <v>93</v>
      </c>
    </row>
    <row r="2545" spans="1:8" x14ac:dyDescent="0.35">
      <c r="A2545">
        <v>948</v>
      </c>
      <c r="B2545">
        <v>5</v>
      </c>
      <c r="C2545">
        <v>72</v>
      </c>
      <c r="D2545">
        <v>2</v>
      </c>
      <c r="E2545">
        <v>619.99</v>
      </c>
      <c r="F2545">
        <v>0.2</v>
      </c>
      <c r="G2545">
        <v>1239.78</v>
      </c>
      <c r="H2545" t="s">
        <v>73</v>
      </c>
    </row>
    <row r="2546" spans="1:8" x14ac:dyDescent="0.35">
      <c r="A2546">
        <v>949</v>
      </c>
      <c r="B2546">
        <v>1</v>
      </c>
      <c r="C2546">
        <v>9</v>
      </c>
      <c r="D2546">
        <v>2</v>
      </c>
      <c r="E2546">
        <v>2999.99</v>
      </c>
      <c r="F2546">
        <v>0.1</v>
      </c>
      <c r="G2546">
        <v>5999.88</v>
      </c>
      <c r="H2546" t="s">
        <v>14</v>
      </c>
    </row>
    <row r="2547" spans="1:8" x14ac:dyDescent="0.35">
      <c r="A2547">
        <v>949</v>
      </c>
      <c r="B2547">
        <v>2</v>
      </c>
      <c r="C2547">
        <v>55</v>
      </c>
      <c r="D2547">
        <v>2</v>
      </c>
      <c r="E2547">
        <v>2699.99</v>
      </c>
      <c r="F2547">
        <v>0.1</v>
      </c>
      <c r="G2547">
        <v>5399.93</v>
      </c>
      <c r="H2547" t="s">
        <v>56</v>
      </c>
    </row>
    <row r="2548" spans="1:8" x14ac:dyDescent="0.35">
      <c r="A2548">
        <v>951</v>
      </c>
      <c r="B2548">
        <v>1</v>
      </c>
      <c r="C2548">
        <v>59</v>
      </c>
      <c r="D2548">
        <v>1</v>
      </c>
      <c r="E2548">
        <v>2599.9899999999998</v>
      </c>
      <c r="F2548">
        <v>0.1</v>
      </c>
      <c r="G2548">
        <v>2599.89</v>
      </c>
      <c r="H2548" t="s">
        <v>60</v>
      </c>
    </row>
    <row r="2549" spans="1:8" x14ac:dyDescent="0.35">
      <c r="A2549">
        <v>951</v>
      </c>
      <c r="B2549">
        <v>2</v>
      </c>
      <c r="C2549">
        <v>43</v>
      </c>
      <c r="D2549">
        <v>2</v>
      </c>
      <c r="E2549">
        <v>5299.99</v>
      </c>
      <c r="F2549">
        <v>0.1</v>
      </c>
      <c r="G2549">
        <v>10599.88</v>
      </c>
      <c r="H2549" t="s">
        <v>44</v>
      </c>
    </row>
    <row r="2550" spans="1:8" x14ac:dyDescent="0.35">
      <c r="A2550">
        <v>951</v>
      </c>
      <c r="B2550">
        <v>3</v>
      </c>
      <c r="C2550">
        <v>62</v>
      </c>
      <c r="D2550">
        <v>2</v>
      </c>
      <c r="E2550">
        <v>3499.99</v>
      </c>
      <c r="F2550">
        <v>0.2</v>
      </c>
      <c r="G2550">
        <v>6999.78</v>
      </c>
      <c r="H2550" t="s">
        <v>63</v>
      </c>
    </row>
    <row r="2551" spans="1:8" x14ac:dyDescent="0.35">
      <c r="A2551">
        <v>952</v>
      </c>
      <c r="B2551">
        <v>1</v>
      </c>
      <c r="C2551">
        <v>20</v>
      </c>
      <c r="D2551">
        <v>2</v>
      </c>
      <c r="E2551">
        <v>599.99</v>
      </c>
      <c r="F2551">
        <v>0.1</v>
      </c>
      <c r="G2551">
        <v>1199.9100000000001</v>
      </c>
      <c r="H2551" t="s">
        <v>25</v>
      </c>
    </row>
    <row r="2552" spans="1:8" x14ac:dyDescent="0.35">
      <c r="A2552">
        <v>952</v>
      </c>
      <c r="B2552">
        <v>2</v>
      </c>
      <c r="C2552">
        <v>57</v>
      </c>
      <c r="D2552">
        <v>1</v>
      </c>
      <c r="E2552">
        <v>1999.99</v>
      </c>
      <c r="F2552">
        <v>0.1</v>
      </c>
      <c r="G2552">
        <v>1999.94</v>
      </c>
      <c r="H2552" t="s">
        <v>58</v>
      </c>
    </row>
    <row r="2553" spans="1:8" x14ac:dyDescent="0.35">
      <c r="A2553">
        <v>955</v>
      </c>
      <c r="B2553">
        <v>1</v>
      </c>
      <c r="C2553">
        <v>43</v>
      </c>
      <c r="D2553">
        <v>1</v>
      </c>
      <c r="E2553">
        <v>5299.99</v>
      </c>
      <c r="F2553">
        <v>0.1</v>
      </c>
      <c r="G2553">
        <v>5299.89</v>
      </c>
      <c r="H2553" t="s">
        <v>44</v>
      </c>
    </row>
    <row r="2554" spans="1:8" x14ac:dyDescent="0.35">
      <c r="A2554">
        <v>955</v>
      </c>
      <c r="B2554">
        <v>2</v>
      </c>
      <c r="C2554">
        <v>31</v>
      </c>
      <c r="D2554">
        <v>2</v>
      </c>
      <c r="E2554">
        <v>1632.99</v>
      </c>
      <c r="F2554">
        <v>0.1</v>
      </c>
      <c r="G2554">
        <v>3265.91</v>
      </c>
      <c r="H2554" t="s">
        <v>32</v>
      </c>
    </row>
    <row r="2555" spans="1:8" x14ac:dyDescent="0.35">
      <c r="A2555">
        <v>955</v>
      </c>
      <c r="B2555">
        <v>3</v>
      </c>
      <c r="C2555">
        <v>96</v>
      </c>
      <c r="D2555">
        <v>1</v>
      </c>
      <c r="E2555">
        <v>349.99</v>
      </c>
      <c r="F2555">
        <v>0.1</v>
      </c>
      <c r="G2555">
        <v>349.94</v>
      </c>
      <c r="H2555" t="s">
        <v>96</v>
      </c>
    </row>
    <row r="2556" spans="1:8" x14ac:dyDescent="0.35">
      <c r="A2556">
        <v>955</v>
      </c>
      <c r="B2556">
        <v>4</v>
      </c>
      <c r="C2556">
        <v>63</v>
      </c>
      <c r="D2556">
        <v>1</v>
      </c>
      <c r="E2556">
        <v>3499.99</v>
      </c>
      <c r="F2556">
        <v>0.2</v>
      </c>
      <c r="G2556">
        <v>3499.79</v>
      </c>
      <c r="H2556" t="s">
        <v>64</v>
      </c>
    </row>
    <row r="2557" spans="1:8" x14ac:dyDescent="0.35">
      <c r="A2557">
        <v>955</v>
      </c>
      <c r="B2557">
        <v>5</v>
      </c>
      <c r="C2557">
        <v>88</v>
      </c>
      <c r="D2557">
        <v>1</v>
      </c>
      <c r="E2557">
        <v>189.99</v>
      </c>
      <c r="F2557">
        <v>0.1</v>
      </c>
      <c r="G2557">
        <v>189.94</v>
      </c>
      <c r="H2557" t="s">
        <v>89</v>
      </c>
    </row>
    <row r="2558" spans="1:8" x14ac:dyDescent="0.35">
      <c r="A2558">
        <v>956</v>
      </c>
      <c r="B2558">
        <v>1</v>
      </c>
      <c r="C2558">
        <v>76</v>
      </c>
      <c r="D2558">
        <v>2</v>
      </c>
      <c r="E2558">
        <v>299.99</v>
      </c>
      <c r="F2558">
        <v>0.1</v>
      </c>
      <c r="G2558">
        <v>599.88</v>
      </c>
      <c r="H2558" t="s">
        <v>77</v>
      </c>
    </row>
    <row r="2559" spans="1:8" x14ac:dyDescent="0.35">
      <c r="A2559">
        <v>956</v>
      </c>
      <c r="B2559">
        <v>2</v>
      </c>
      <c r="C2559">
        <v>23</v>
      </c>
      <c r="D2559">
        <v>1</v>
      </c>
      <c r="E2559">
        <v>299.99</v>
      </c>
      <c r="F2559">
        <v>0.2</v>
      </c>
      <c r="G2559">
        <v>299.79000000000002</v>
      </c>
      <c r="H2559" t="s">
        <v>26</v>
      </c>
    </row>
    <row r="2560" spans="1:8" x14ac:dyDescent="0.35">
      <c r="A2560">
        <v>956</v>
      </c>
      <c r="B2560">
        <v>3</v>
      </c>
      <c r="C2560">
        <v>73</v>
      </c>
      <c r="D2560">
        <v>2</v>
      </c>
      <c r="E2560">
        <v>749.99</v>
      </c>
      <c r="F2560">
        <v>0.1</v>
      </c>
      <c r="G2560">
        <v>1499.88</v>
      </c>
      <c r="H2560" t="s">
        <v>74</v>
      </c>
    </row>
    <row r="2561" spans="1:8" x14ac:dyDescent="0.35">
      <c r="A2561">
        <v>956</v>
      </c>
      <c r="B2561">
        <v>4</v>
      </c>
      <c r="C2561">
        <v>13</v>
      </c>
      <c r="D2561">
        <v>2</v>
      </c>
      <c r="E2561">
        <v>269.99</v>
      </c>
      <c r="F2561">
        <v>0.2</v>
      </c>
      <c r="G2561">
        <v>539.78</v>
      </c>
      <c r="H2561" t="s">
        <v>18</v>
      </c>
    </row>
    <row r="2562" spans="1:8" x14ac:dyDescent="0.35">
      <c r="A2562">
        <v>956</v>
      </c>
      <c r="B2562">
        <v>5</v>
      </c>
      <c r="C2562">
        <v>79</v>
      </c>
      <c r="D2562">
        <v>2</v>
      </c>
      <c r="E2562">
        <v>402.99</v>
      </c>
      <c r="F2562">
        <v>0.1</v>
      </c>
      <c r="G2562">
        <v>805.88</v>
      </c>
      <c r="H2562" t="s">
        <v>80</v>
      </c>
    </row>
    <row r="2563" spans="1:8" x14ac:dyDescent="0.35">
      <c r="A2563">
        <v>957</v>
      </c>
      <c r="B2563">
        <v>1</v>
      </c>
      <c r="C2563">
        <v>108</v>
      </c>
      <c r="D2563">
        <v>2</v>
      </c>
      <c r="E2563">
        <v>449.99</v>
      </c>
      <c r="F2563">
        <v>0.1</v>
      </c>
      <c r="G2563">
        <v>899.93</v>
      </c>
      <c r="H2563" t="s">
        <v>105</v>
      </c>
    </row>
    <row r="2564" spans="1:8" x14ac:dyDescent="0.35">
      <c r="A2564">
        <v>957</v>
      </c>
      <c r="B2564">
        <v>2</v>
      </c>
      <c r="C2564">
        <v>14</v>
      </c>
      <c r="D2564">
        <v>2</v>
      </c>
      <c r="E2564">
        <v>269.99</v>
      </c>
      <c r="F2564">
        <v>0.1</v>
      </c>
      <c r="G2564">
        <v>539.91</v>
      </c>
      <c r="H2564" t="s">
        <v>19</v>
      </c>
    </row>
    <row r="2565" spans="1:8" x14ac:dyDescent="0.35">
      <c r="A2565">
        <v>957</v>
      </c>
      <c r="B2565">
        <v>3</v>
      </c>
      <c r="C2565">
        <v>70</v>
      </c>
      <c r="D2565">
        <v>2</v>
      </c>
      <c r="E2565">
        <v>659.99</v>
      </c>
      <c r="F2565">
        <v>0.1</v>
      </c>
      <c r="G2565">
        <v>1319.93</v>
      </c>
      <c r="H2565" t="s">
        <v>71</v>
      </c>
    </row>
    <row r="2566" spans="1:8" x14ac:dyDescent="0.35">
      <c r="A2566">
        <v>957</v>
      </c>
      <c r="B2566">
        <v>4</v>
      </c>
      <c r="C2566">
        <v>66</v>
      </c>
      <c r="D2566">
        <v>1</v>
      </c>
      <c r="E2566">
        <v>250.99</v>
      </c>
      <c r="F2566">
        <v>0.1</v>
      </c>
      <c r="G2566">
        <v>250.92</v>
      </c>
      <c r="H2566" t="s">
        <v>67</v>
      </c>
    </row>
    <row r="2567" spans="1:8" x14ac:dyDescent="0.35">
      <c r="A2567">
        <v>957</v>
      </c>
      <c r="B2567">
        <v>5</v>
      </c>
      <c r="C2567">
        <v>111</v>
      </c>
      <c r="D2567">
        <v>1</v>
      </c>
      <c r="E2567">
        <v>470.99</v>
      </c>
      <c r="F2567">
        <v>0.1</v>
      </c>
      <c r="G2567">
        <v>470.94</v>
      </c>
      <c r="H2567" t="s">
        <v>108</v>
      </c>
    </row>
    <row r="2568" spans="1:8" x14ac:dyDescent="0.35">
      <c r="A2568">
        <v>958</v>
      </c>
      <c r="B2568">
        <v>1</v>
      </c>
      <c r="C2568">
        <v>51</v>
      </c>
      <c r="D2568">
        <v>1</v>
      </c>
      <c r="E2568">
        <v>6499.99</v>
      </c>
      <c r="F2568">
        <v>0.1</v>
      </c>
      <c r="G2568">
        <v>6499.89</v>
      </c>
      <c r="H2568" t="s">
        <v>52</v>
      </c>
    </row>
    <row r="2569" spans="1:8" x14ac:dyDescent="0.35">
      <c r="A2569">
        <v>958</v>
      </c>
      <c r="B2569">
        <v>2</v>
      </c>
      <c r="C2569">
        <v>76</v>
      </c>
      <c r="D2569">
        <v>1</v>
      </c>
      <c r="E2569">
        <v>299.99</v>
      </c>
      <c r="F2569">
        <v>0.2</v>
      </c>
      <c r="G2569">
        <v>299.79000000000002</v>
      </c>
      <c r="H2569" t="s">
        <v>77</v>
      </c>
    </row>
    <row r="2570" spans="1:8" x14ac:dyDescent="0.35">
      <c r="A2570">
        <v>959</v>
      </c>
      <c r="B2570">
        <v>1</v>
      </c>
      <c r="C2570">
        <v>15</v>
      </c>
      <c r="D2570">
        <v>1</v>
      </c>
      <c r="E2570">
        <v>529.99</v>
      </c>
      <c r="F2570">
        <v>0.2</v>
      </c>
      <c r="G2570">
        <v>529.79</v>
      </c>
      <c r="H2570" t="s">
        <v>20</v>
      </c>
    </row>
    <row r="2571" spans="1:8" x14ac:dyDescent="0.35">
      <c r="A2571">
        <v>959</v>
      </c>
      <c r="B2571">
        <v>2</v>
      </c>
      <c r="C2571">
        <v>72</v>
      </c>
      <c r="D2571">
        <v>1</v>
      </c>
      <c r="E2571">
        <v>619.99</v>
      </c>
      <c r="F2571">
        <v>0.1</v>
      </c>
      <c r="G2571">
        <v>619.89</v>
      </c>
      <c r="H2571" t="s">
        <v>73</v>
      </c>
    </row>
    <row r="2572" spans="1:8" x14ac:dyDescent="0.35">
      <c r="A2572">
        <v>959</v>
      </c>
      <c r="B2572">
        <v>3</v>
      </c>
      <c r="C2572">
        <v>41</v>
      </c>
      <c r="D2572">
        <v>1</v>
      </c>
      <c r="E2572">
        <v>1469.99</v>
      </c>
      <c r="F2572">
        <v>0.1</v>
      </c>
      <c r="G2572">
        <v>1469.94</v>
      </c>
      <c r="H2572" t="s">
        <v>42</v>
      </c>
    </row>
    <row r="2573" spans="1:8" x14ac:dyDescent="0.35">
      <c r="A2573">
        <v>959</v>
      </c>
      <c r="B2573">
        <v>4</v>
      </c>
      <c r="C2573">
        <v>65</v>
      </c>
      <c r="D2573">
        <v>1</v>
      </c>
      <c r="E2573">
        <v>346.99</v>
      </c>
      <c r="F2573">
        <v>0.1</v>
      </c>
      <c r="G2573">
        <v>346.92</v>
      </c>
      <c r="H2573" t="s">
        <v>66</v>
      </c>
    </row>
    <row r="2574" spans="1:8" x14ac:dyDescent="0.35">
      <c r="A2574">
        <v>960</v>
      </c>
      <c r="B2574">
        <v>1</v>
      </c>
      <c r="C2574">
        <v>73</v>
      </c>
      <c r="D2574">
        <v>2</v>
      </c>
      <c r="E2574">
        <v>749.99</v>
      </c>
      <c r="F2574">
        <v>0.1</v>
      </c>
      <c r="G2574">
        <v>1499.93</v>
      </c>
      <c r="H2574" t="s">
        <v>74</v>
      </c>
    </row>
    <row r="2575" spans="1:8" x14ac:dyDescent="0.35">
      <c r="A2575">
        <v>960</v>
      </c>
      <c r="B2575">
        <v>2</v>
      </c>
      <c r="C2575">
        <v>52</v>
      </c>
      <c r="D2575">
        <v>1</v>
      </c>
      <c r="E2575">
        <v>875.99</v>
      </c>
      <c r="F2575">
        <v>0.1</v>
      </c>
      <c r="G2575">
        <v>875.89</v>
      </c>
      <c r="H2575" t="s">
        <v>53</v>
      </c>
    </row>
    <row r="2576" spans="1:8" x14ac:dyDescent="0.35">
      <c r="A2576">
        <v>960</v>
      </c>
      <c r="B2576">
        <v>3</v>
      </c>
      <c r="C2576">
        <v>48</v>
      </c>
      <c r="D2576">
        <v>2</v>
      </c>
      <c r="E2576">
        <v>1499.99</v>
      </c>
      <c r="F2576">
        <v>0.1</v>
      </c>
      <c r="G2576">
        <v>2999.93</v>
      </c>
      <c r="H2576" t="s">
        <v>49</v>
      </c>
    </row>
    <row r="2577" spans="1:8" x14ac:dyDescent="0.35">
      <c r="A2577">
        <v>960</v>
      </c>
      <c r="B2577">
        <v>4</v>
      </c>
      <c r="C2577">
        <v>83</v>
      </c>
      <c r="D2577">
        <v>2</v>
      </c>
      <c r="E2577">
        <v>149.99</v>
      </c>
      <c r="F2577">
        <v>0.1</v>
      </c>
      <c r="G2577">
        <v>299.88</v>
      </c>
      <c r="H2577" t="s">
        <v>84</v>
      </c>
    </row>
    <row r="2578" spans="1:8" x14ac:dyDescent="0.35">
      <c r="A2578">
        <v>961</v>
      </c>
      <c r="B2578">
        <v>1</v>
      </c>
      <c r="C2578">
        <v>105</v>
      </c>
      <c r="D2578">
        <v>1</v>
      </c>
      <c r="E2578">
        <v>533.99</v>
      </c>
      <c r="F2578">
        <v>0.1</v>
      </c>
      <c r="G2578">
        <v>533.89</v>
      </c>
      <c r="H2578" t="s">
        <v>104</v>
      </c>
    </row>
    <row r="2579" spans="1:8" x14ac:dyDescent="0.35">
      <c r="A2579">
        <v>961</v>
      </c>
      <c r="B2579">
        <v>2</v>
      </c>
      <c r="C2579">
        <v>47</v>
      </c>
      <c r="D2579">
        <v>2</v>
      </c>
      <c r="E2579">
        <v>5299.99</v>
      </c>
      <c r="F2579">
        <v>0.2</v>
      </c>
      <c r="G2579">
        <v>10599.78</v>
      </c>
      <c r="H2579" t="s">
        <v>48</v>
      </c>
    </row>
    <row r="2580" spans="1:8" x14ac:dyDescent="0.35">
      <c r="A2580">
        <v>961</v>
      </c>
      <c r="B2580">
        <v>3</v>
      </c>
      <c r="C2580">
        <v>65</v>
      </c>
      <c r="D2580">
        <v>2</v>
      </c>
      <c r="E2580">
        <v>346.99</v>
      </c>
      <c r="F2580">
        <v>0.1</v>
      </c>
      <c r="G2580">
        <v>693.91</v>
      </c>
      <c r="H2580" t="s">
        <v>66</v>
      </c>
    </row>
    <row r="2581" spans="1:8" x14ac:dyDescent="0.35">
      <c r="A2581">
        <v>962</v>
      </c>
      <c r="B2581">
        <v>1</v>
      </c>
      <c r="C2581">
        <v>65</v>
      </c>
      <c r="D2581">
        <v>2</v>
      </c>
      <c r="E2581">
        <v>346.99</v>
      </c>
      <c r="F2581">
        <v>0.1</v>
      </c>
      <c r="G2581">
        <v>693.91</v>
      </c>
      <c r="H2581" t="s">
        <v>66</v>
      </c>
    </row>
    <row r="2582" spans="1:8" x14ac:dyDescent="0.35">
      <c r="A2582">
        <v>962</v>
      </c>
      <c r="B2582">
        <v>2</v>
      </c>
      <c r="C2582">
        <v>64</v>
      </c>
      <c r="D2582">
        <v>2</v>
      </c>
      <c r="E2582">
        <v>489.99</v>
      </c>
      <c r="F2582">
        <v>0.1</v>
      </c>
      <c r="G2582">
        <v>979.91</v>
      </c>
      <c r="H2582" t="s">
        <v>65</v>
      </c>
    </row>
    <row r="2583" spans="1:8" x14ac:dyDescent="0.35">
      <c r="A2583">
        <v>964</v>
      </c>
      <c r="B2583">
        <v>1</v>
      </c>
      <c r="C2583">
        <v>90</v>
      </c>
      <c r="D2583">
        <v>1</v>
      </c>
      <c r="E2583">
        <v>209.99</v>
      </c>
      <c r="F2583">
        <v>0.2</v>
      </c>
      <c r="G2583">
        <v>209.79</v>
      </c>
      <c r="H2583" t="s">
        <v>91</v>
      </c>
    </row>
    <row r="2584" spans="1:8" x14ac:dyDescent="0.35">
      <c r="A2584">
        <v>964</v>
      </c>
      <c r="B2584">
        <v>2</v>
      </c>
      <c r="C2584">
        <v>74</v>
      </c>
      <c r="D2584">
        <v>1</v>
      </c>
      <c r="E2584">
        <v>439.99</v>
      </c>
      <c r="F2584">
        <v>0.2</v>
      </c>
      <c r="G2584">
        <v>439.79</v>
      </c>
      <c r="H2584" t="s">
        <v>75</v>
      </c>
    </row>
    <row r="2585" spans="1:8" x14ac:dyDescent="0.35">
      <c r="A2585">
        <v>966</v>
      </c>
      <c r="B2585">
        <v>1</v>
      </c>
      <c r="C2585">
        <v>88</v>
      </c>
      <c r="D2585">
        <v>1</v>
      </c>
      <c r="E2585">
        <v>189.99</v>
      </c>
      <c r="F2585">
        <v>0.1</v>
      </c>
      <c r="G2585">
        <v>189.94</v>
      </c>
      <c r="H2585" t="s">
        <v>89</v>
      </c>
    </row>
    <row r="2586" spans="1:8" x14ac:dyDescent="0.35">
      <c r="A2586">
        <v>966</v>
      </c>
      <c r="B2586">
        <v>2</v>
      </c>
      <c r="C2586">
        <v>73</v>
      </c>
      <c r="D2586">
        <v>1</v>
      </c>
      <c r="E2586">
        <v>749.99</v>
      </c>
      <c r="F2586">
        <v>0.1</v>
      </c>
      <c r="G2586">
        <v>749.92</v>
      </c>
      <c r="H2586" t="s">
        <v>74</v>
      </c>
    </row>
    <row r="2587" spans="1:8" x14ac:dyDescent="0.35">
      <c r="A2587">
        <v>967</v>
      </c>
      <c r="B2587">
        <v>1</v>
      </c>
      <c r="C2587">
        <v>66</v>
      </c>
      <c r="D2587">
        <v>1</v>
      </c>
      <c r="E2587">
        <v>250.99</v>
      </c>
      <c r="F2587">
        <v>0.2</v>
      </c>
      <c r="G2587">
        <v>250.79</v>
      </c>
      <c r="H2587" t="s">
        <v>67</v>
      </c>
    </row>
    <row r="2588" spans="1:8" x14ac:dyDescent="0.35">
      <c r="A2588">
        <v>967</v>
      </c>
      <c r="B2588">
        <v>2</v>
      </c>
      <c r="C2588">
        <v>77</v>
      </c>
      <c r="D2588">
        <v>2</v>
      </c>
      <c r="E2588">
        <v>799.99</v>
      </c>
      <c r="F2588">
        <v>0.1</v>
      </c>
      <c r="G2588">
        <v>1599.93</v>
      </c>
      <c r="H2588" t="s">
        <v>78</v>
      </c>
    </row>
    <row r="2589" spans="1:8" x14ac:dyDescent="0.35">
      <c r="A2589">
        <v>967</v>
      </c>
      <c r="B2589">
        <v>3</v>
      </c>
      <c r="C2589">
        <v>87</v>
      </c>
      <c r="D2589">
        <v>1</v>
      </c>
      <c r="E2589">
        <v>189.99</v>
      </c>
      <c r="F2589">
        <v>0.1</v>
      </c>
      <c r="G2589">
        <v>189.89</v>
      </c>
      <c r="H2589" t="s">
        <v>88</v>
      </c>
    </row>
    <row r="2590" spans="1:8" x14ac:dyDescent="0.35">
      <c r="A2590">
        <v>967</v>
      </c>
      <c r="B2590">
        <v>4</v>
      </c>
      <c r="C2590">
        <v>103</v>
      </c>
      <c r="D2590">
        <v>1</v>
      </c>
      <c r="E2590">
        <v>551.99</v>
      </c>
      <c r="F2590">
        <v>0.2</v>
      </c>
      <c r="G2590">
        <v>551.79</v>
      </c>
      <c r="H2590" t="s">
        <v>102</v>
      </c>
    </row>
    <row r="2591" spans="1:8" x14ac:dyDescent="0.35">
      <c r="A2591">
        <v>968</v>
      </c>
      <c r="B2591">
        <v>1</v>
      </c>
      <c r="C2591">
        <v>87</v>
      </c>
      <c r="D2591">
        <v>1</v>
      </c>
      <c r="E2591">
        <v>189.99</v>
      </c>
      <c r="F2591">
        <v>0.2</v>
      </c>
      <c r="G2591">
        <v>189.79</v>
      </c>
      <c r="H2591" t="s">
        <v>88</v>
      </c>
    </row>
    <row r="2592" spans="1:8" x14ac:dyDescent="0.35">
      <c r="A2592">
        <v>968</v>
      </c>
      <c r="B2592">
        <v>2</v>
      </c>
      <c r="C2592">
        <v>61</v>
      </c>
      <c r="D2592">
        <v>2</v>
      </c>
      <c r="E2592">
        <v>4999.99</v>
      </c>
      <c r="F2592">
        <v>0.1</v>
      </c>
      <c r="G2592">
        <v>9999.93</v>
      </c>
      <c r="H2592" t="s">
        <v>62</v>
      </c>
    </row>
    <row r="2593" spans="1:8" x14ac:dyDescent="0.35">
      <c r="A2593">
        <v>968</v>
      </c>
      <c r="B2593">
        <v>3</v>
      </c>
      <c r="C2593">
        <v>10</v>
      </c>
      <c r="D2593">
        <v>2</v>
      </c>
      <c r="E2593">
        <v>1549</v>
      </c>
      <c r="F2593">
        <v>0.1</v>
      </c>
      <c r="G2593">
        <v>3097.95</v>
      </c>
      <c r="H2593" t="s">
        <v>15</v>
      </c>
    </row>
    <row r="2594" spans="1:8" x14ac:dyDescent="0.35">
      <c r="A2594">
        <v>969</v>
      </c>
      <c r="B2594">
        <v>1</v>
      </c>
      <c r="C2594">
        <v>74</v>
      </c>
      <c r="D2594">
        <v>1</v>
      </c>
      <c r="E2594">
        <v>439.99</v>
      </c>
      <c r="F2594">
        <v>0.2</v>
      </c>
      <c r="G2594">
        <v>439.79</v>
      </c>
      <c r="H2594" t="s">
        <v>75</v>
      </c>
    </row>
    <row r="2595" spans="1:8" x14ac:dyDescent="0.35">
      <c r="A2595">
        <v>969</v>
      </c>
      <c r="B2595">
        <v>2</v>
      </c>
      <c r="C2595">
        <v>36</v>
      </c>
      <c r="D2595">
        <v>1</v>
      </c>
      <c r="E2595">
        <v>832.99</v>
      </c>
      <c r="F2595">
        <v>0.1</v>
      </c>
      <c r="G2595">
        <v>832.89</v>
      </c>
      <c r="H2595" t="s">
        <v>37</v>
      </c>
    </row>
    <row r="2596" spans="1:8" x14ac:dyDescent="0.35">
      <c r="A2596">
        <v>970</v>
      </c>
      <c r="B2596">
        <v>1</v>
      </c>
      <c r="C2596">
        <v>85</v>
      </c>
      <c r="D2596">
        <v>1</v>
      </c>
      <c r="E2596">
        <v>329.99</v>
      </c>
      <c r="F2596">
        <v>0.1</v>
      </c>
      <c r="G2596">
        <v>329.89</v>
      </c>
      <c r="H2596" t="s">
        <v>86</v>
      </c>
    </row>
    <row r="2597" spans="1:8" x14ac:dyDescent="0.35">
      <c r="A2597">
        <v>970</v>
      </c>
      <c r="B2597">
        <v>2</v>
      </c>
      <c r="C2597">
        <v>48</v>
      </c>
      <c r="D2597">
        <v>2</v>
      </c>
      <c r="E2597">
        <v>1499.99</v>
      </c>
      <c r="F2597">
        <v>0.1</v>
      </c>
      <c r="G2597">
        <v>2999.88</v>
      </c>
      <c r="H2597" t="s">
        <v>49</v>
      </c>
    </row>
    <row r="2598" spans="1:8" x14ac:dyDescent="0.35">
      <c r="A2598">
        <v>970</v>
      </c>
      <c r="B2598">
        <v>3</v>
      </c>
      <c r="C2598">
        <v>54</v>
      </c>
      <c r="D2598">
        <v>2</v>
      </c>
      <c r="E2598">
        <v>3199.99</v>
      </c>
      <c r="F2598">
        <v>0.1</v>
      </c>
      <c r="G2598">
        <v>6399.88</v>
      </c>
      <c r="H2598" t="s">
        <v>55</v>
      </c>
    </row>
    <row r="2599" spans="1:8" x14ac:dyDescent="0.35">
      <c r="A2599">
        <v>970</v>
      </c>
      <c r="B2599">
        <v>4</v>
      </c>
      <c r="C2599">
        <v>68</v>
      </c>
      <c r="D2599">
        <v>1</v>
      </c>
      <c r="E2599">
        <v>449.99</v>
      </c>
      <c r="F2599">
        <v>0.1</v>
      </c>
      <c r="G2599">
        <v>449.89</v>
      </c>
      <c r="H2599" t="s">
        <v>69</v>
      </c>
    </row>
    <row r="2600" spans="1:8" x14ac:dyDescent="0.35">
      <c r="A2600">
        <v>971</v>
      </c>
      <c r="B2600">
        <v>1</v>
      </c>
      <c r="C2600">
        <v>70</v>
      </c>
      <c r="D2600">
        <v>2</v>
      </c>
      <c r="E2600">
        <v>659.99</v>
      </c>
      <c r="F2600">
        <v>0.1</v>
      </c>
      <c r="G2600">
        <v>1319.93</v>
      </c>
      <c r="H2600" t="s">
        <v>71</v>
      </c>
    </row>
    <row r="2601" spans="1:8" x14ac:dyDescent="0.35">
      <c r="A2601">
        <v>971</v>
      </c>
      <c r="B2601">
        <v>2</v>
      </c>
      <c r="C2601">
        <v>65</v>
      </c>
      <c r="D2601">
        <v>2</v>
      </c>
      <c r="E2601">
        <v>346.99</v>
      </c>
      <c r="F2601">
        <v>0.1</v>
      </c>
      <c r="G2601">
        <v>693.91</v>
      </c>
      <c r="H2601" t="s">
        <v>66</v>
      </c>
    </row>
    <row r="2602" spans="1:8" x14ac:dyDescent="0.35">
      <c r="A2602">
        <v>971</v>
      </c>
      <c r="B2602">
        <v>3</v>
      </c>
      <c r="C2602">
        <v>8</v>
      </c>
      <c r="D2602">
        <v>2</v>
      </c>
      <c r="E2602">
        <v>1799.99</v>
      </c>
      <c r="F2602">
        <v>0.1</v>
      </c>
      <c r="G2602">
        <v>3599.93</v>
      </c>
      <c r="H2602" t="s">
        <v>13</v>
      </c>
    </row>
    <row r="2603" spans="1:8" x14ac:dyDescent="0.35">
      <c r="A2603">
        <v>971</v>
      </c>
      <c r="B2603">
        <v>4</v>
      </c>
      <c r="C2603">
        <v>12</v>
      </c>
      <c r="D2603">
        <v>2</v>
      </c>
      <c r="E2603">
        <v>549.99</v>
      </c>
      <c r="F2603">
        <v>0.1</v>
      </c>
      <c r="G2603">
        <v>1099.9100000000001</v>
      </c>
      <c r="H2603" t="s">
        <v>17</v>
      </c>
    </row>
    <row r="2604" spans="1:8" x14ac:dyDescent="0.35">
      <c r="A2604">
        <v>971</v>
      </c>
      <c r="B2604">
        <v>5</v>
      </c>
      <c r="C2604">
        <v>38</v>
      </c>
      <c r="D2604">
        <v>1</v>
      </c>
      <c r="E2604">
        <v>549.99</v>
      </c>
      <c r="F2604">
        <v>0.2</v>
      </c>
      <c r="G2604">
        <v>549.79</v>
      </c>
      <c r="H2604" t="s">
        <v>39</v>
      </c>
    </row>
    <row r="2605" spans="1:8" x14ac:dyDescent="0.35">
      <c r="A2605">
        <v>972</v>
      </c>
      <c r="B2605">
        <v>1</v>
      </c>
      <c r="C2605">
        <v>100</v>
      </c>
      <c r="D2605">
        <v>1</v>
      </c>
      <c r="E2605">
        <v>489.99</v>
      </c>
      <c r="F2605">
        <v>0.2</v>
      </c>
      <c r="G2605">
        <v>489.79</v>
      </c>
      <c r="H2605" t="s">
        <v>100</v>
      </c>
    </row>
    <row r="2606" spans="1:8" x14ac:dyDescent="0.35">
      <c r="A2606">
        <v>972</v>
      </c>
      <c r="B2606">
        <v>2</v>
      </c>
      <c r="C2606">
        <v>63</v>
      </c>
      <c r="D2606">
        <v>1</v>
      </c>
      <c r="E2606">
        <v>3499.99</v>
      </c>
      <c r="F2606">
        <v>0.1</v>
      </c>
      <c r="G2606">
        <v>3499.92</v>
      </c>
      <c r="H2606" t="s">
        <v>64</v>
      </c>
    </row>
    <row r="2607" spans="1:8" x14ac:dyDescent="0.35">
      <c r="A2607">
        <v>973</v>
      </c>
      <c r="B2607">
        <v>1</v>
      </c>
      <c r="C2607">
        <v>4</v>
      </c>
      <c r="D2607">
        <v>2</v>
      </c>
      <c r="E2607">
        <v>2899.99</v>
      </c>
      <c r="F2607">
        <v>0.1</v>
      </c>
      <c r="G2607">
        <v>5799.88</v>
      </c>
      <c r="H2607" t="s">
        <v>9</v>
      </c>
    </row>
    <row r="2608" spans="1:8" x14ac:dyDescent="0.35">
      <c r="A2608">
        <v>973</v>
      </c>
      <c r="B2608">
        <v>2</v>
      </c>
      <c r="C2608">
        <v>28</v>
      </c>
      <c r="D2608">
        <v>2</v>
      </c>
      <c r="E2608">
        <v>2499.9899999999998</v>
      </c>
      <c r="F2608">
        <v>0.1</v>
      </c>
      <c r="G2608">
        <v>4999.88</v>
      </c>
      <c r="H2608" t="s">
        <v>29</v>
      </c>
    </row>
    <row r="2609" spans="1:8" x14ac:dyDescent="0.35">
      <c r="A2609">
        <v>973</v>
      </c>
      <c r="B2609">
        <v>3</v>
      </c>
      <c r="C2609">
        <v>47</v>
      </c>
      <c r="D2609">
        <v>2</v>
      </c>
      <c r="E2609">
        <v>5299.99</v>
      </c>
      <c r="F2609">
        <v>0.1</v>
      </c>
      <c r="G2609">
        <v>10599.93</v>
      </c>
      <c r="H2609" t="s">
        <v>48</v>
      </c>
    </row>
    <row r="2610" spans="1:8" x14ac:dyDescent="0.35">
      <c r="A2610">
        <v>973</v>
      </c>
      <c r="B2610">
        <v>4</v>
      </c>
      <c r="C2610">
        <v>71</v>
      </c>
      <c r="D2610">
        <v>1</v>
      </c>
      <c r="E2610">
        <v>416.99</v>
      </c>
      <c r="F2610">
        <v>0.1</v>
      </c>
      <c r="G2610">
        <v>416.92</v>
      </c>
      <c r="H2610" t="s">
        <v>72</v>
      </c>
    </row>
    <row r="2611" spans="1:8" x14ac:dyDescent="0.35">
      <c r="A2611">
        <v>974</v>
      </c>
      <c r="B2611">
        <v>1</v>
      </c>
      <c r="C2611">
        <v>33</v>
      </c>
      <c r="D2611">
        <v>2</v>
      </c>
      <c r="E2611">
        <v>469.99</v>
      </c>
      <c r="F2611">
        <v>0.1</v>
      </c>
      <c r="G2611">
        <v>939.88</v>
      </c>
      <c r="H2611" t="s">
        <v>34</v>
      </c>
    </row>
    <row r="2612" spans="1:8" x14ac:dyDescent="0.35">
      <c r="A2612">
        <v>974</v>
      </c>
      <c r="B2612">
        <v>2</v>
      </c>
      <c r="C2612">
        <v>22</v>
      </c>
      <c r="D2612">
        <v>2</v>
      </c>
      <c r="E2612">
        <v>269.99</v>
      </c>
      <c r="F2612">
        <v>0.2</v>
      </c>
      <c r="G2612">
        <v>539.78</v>
      </c>
      <c r="H2612" t="s">
        <v>19</v>
      </c>
    </row>
    <row r="2613" spans="1:8" x14ac:dyDescent="0.35">
      <c r="A2613">
        <v>976</v>
      </c>
      <c r="B2613">
        <v>1</v>
      </c>
      <c r="C2613">
        <v>26</v>
      </c>
      <c r="D2613">
        <v>2</v>
      </c>
      <c r="E2613">
        <v>599.99</v>
      </c>
      <c r="F2613">
        <v>0.1</v>
      </c>
      <c r="G2613">
        <v>1199.8800000000001</v>
      </c>
      <c r="H2613" t="s">
        <v>21</v>
      </c>
    </row>
    <row r="2614" spans="1:8" x14ac:dyDescent="0.35">
      <c r="A2614">
        <v>976</v>
      </c>
      <c r="B2614">
        <v>2</v>
      </c>
      <c r="C2614">
        <v>39</v>
      </c>
      <c r="D2614">
        <v>1</v>
      </c>
      <c r="E2614">
        <v>1499.99</v>
      </c>
      <c r="F2614">
        <v>0.1</v>
      </c>
      <c r="G2614">
        <v>1499.92</v>
      </c>
      <c r="H2614" t="s">
        <v>40</v>
      </c>
    </row>
    <row r="2615" spans="1:8" x14ac:dyDescent="0.35">
      <c r="A2615">
        <v>977</v>
      </c>
      <c r="B2615">
        <v>1</v>
      </c>
      <c r="C2615">
        <v>52</v>
      </c>
      <c r="D2615">
        <v>2</v>
      </c>
      <c r="E2615">
        <v>875.99</v>
      </c>
      <c r="F2615">
        <v>0.1</v>
      </c>
      <c r="G2615">
        <v>1751.88</v>
      </c>
      <c r="H2615" t="s">
        <v>53</v>
      </c>
    </row>
    <row r="2616" spans="1:8" x14ac:dyDescent="0.35">
      <c r="A2616">
        <v>977</v>
      </c>
      <c r="B2616">
        <v>2</v>
      </c>
      <c r="C2616">
        <v>69</v>
      </c>
      <c r="D2616">
        <v>2</v>
      </c>
      <c r="E2616">
        <v>416.99</v>
      </c>
      <c r="F2616">
        <v>0.1</v>
      </c>
      <c r="G2616">
        <v>833.93</v>
      </c>
      <c r="H2616" t="s">
        <v>70</v>
      </c>
    </row>
    <row r="2617" spans="1:8" x14ac:dyDescent="0.35">
      <c r="A2617">
        <v>977</v>
      </c>
      <c r="B2617">
        <v>3</v>
      </c>
      <c r="C2617">
        <v>27</v>
      </c>
      <c r="D2617">
        <v>1</v>
      </c>
      <c r="E2617">
        <v>999.99</v>
      </c>
      <c r="F2617">
        <v>0.1</v>
      </c>
      <c r="G2617">
        <v>999.94</v>
      </c>
      <c r="H2617" t="s">
        <v>28</v>
      </c>
    </row>
    <row r="2618" spans="1:8" x14ac:dyDescent="0.35">
      <c r="A2618">
        <v>977</v>
      </c>
      <c r="B2618">
        <v>4</v>
      </c>
      <c r="C2618">
        <v>80</v>
      </c>
      <c r="D2618">
        <v>2</v>
      </c>
      <c r="E2618">
        <v>761.99</v>
      </c>
      <c r="F2618">
        <v>0.1</v>
      </c>
      <c r="G2618">
        <v>1523.93</v>
      </c>
      <c r="H2618" t="s">
        <v>81</v>
      </c>
    </row>
    <row r="2619" spans="1:8" x14ac:dyDescent="0.35">
      <c r="A2619">
        <v>978</v>
      </c>
      <c r="B2619">
        <v>1</v>
      </c>
      <c r="C2619">
        <v>106</v>
      </c>
      <c r="D2619">
        <v>2</v>
      </c>
      <c r="E2619">
        <v>449.99</v>
      </c>
      <c r="F2619">
        <v>0.1</v>
      </c>
      <c r="G2619">
        <v>899.93</v>
      </c>
      <c r="H2619" t="s">
        <v>69</v>
      </c>
    </row>
    <row r="2620" spans="1:8" x14ac:dyDescent="0.35">
      <c r="A2620">
        <v>978</v>
      </c>
      <c r="B2620">
        <v>2</v>
      </c>
      <c r="C2620">
        <v>25</v>
      </c>
      <c r="D2620">
        <v>2</v>
      </c>
      <c r="E2620">
        <v>499.99</v>
      </c>
      <c r="F2620">
        <v>0.2</v>
      </c>
      <c r="G2620">
        <v>999.78</v>
      </c>
      <c r="H2620" t="s">
        <v>27</v>
      </c>
    </row>
    <row r="2621" spans="1:8" x14ac:dyDescent="0.35">
      <c r="A2621">
        <v>978</v>
      </c>
      <c r="B2621">
        <v>3</v>
      </c>
      <c r="C2621">
        <v>108</v>
      </c>
      <c r="D2621">
        <v>2</v>
      </c>
      <c r="E2621">
        <v>449.99</v>
      </c>
      <c r="F2621">
        <v>0.1</v>
      </c>
      <c r="G2621">
        <v>899.93</v>
      </c>
      <c r="H2621" t="s">
        <v>105</v>
      </c>
    </row>
    <row r="2622" spans="1:8" x14ac:dyDescent="0.35">
      <c r="A2622">
        <v>979</v>
      </c>
      <c r="B2622">
        <v>1</v>
      </c>
      <c r="C2622">
        <v>55</v>
      </c>
      <c r="D2622">
        <v>1</v>
      </c>
      <c r="E2622">
        <v>2699.99</v>
      </c>
      <c r="F2622">
        <v>0.1</v>
      </c>
      <c r="G2622">
        <v>2699.94</v>
      </c>
      <c r="H2622" t="s">
        <v>56</v>
      </c>
    </row>
    <row r="2623" spans="1:8" x14ac:dyDescent="0.35">
      <c r="A2623">
        <v>979</v>
      </c>
      <c r="B2623">
        <v>2</v>
      </c>
      <c r="C2623">
        <v>71</v>
      </c>
      <c r="D2623">
        <v>2</v>
      </c>
      <c r="E2623">
        <v>416.99</v>
      </c>
      <c r="F2623">
        <v>0.2</v>
      </c>
      <c r="G2623">
        <v>833.78</v>
      </c>
      <c r="H2623" t="s">
        <v>72</v>
      </c>
    </row>
    <row r="2624" spans="1:8" x14ac:dyDescent="0.35">
      <c r="A2624">
        <v>979</v>
      </c>
      <c r="B2624">
        <v>3</v>
      </c>
      <c r="C2624">
        <v>12</v>
      </c>
      <c r="D2624">
        <v>2</v>
      </c>
      <c r="E2624">
        <v>549.99</v>
      </c>
      <c r="F2624">
        <v>0.1</v>
      </c>
      <c r="G2624">
        <v>1099.8800000000001</v>
      </c>
      <c r="H2624" t="s">
        <v>17</v>
      </c>
    </row>
    <row r="2625" spans="1:8" x14ac:dyDescent="0.35">
      <c r="A2625">
        <v>979</v>
      </c>
      <c r="B2625">
        <v>4</v>
      </c>
      <c r="C2625">
        <v>52</v>
      </c>
      <c r="D2625">
        <v>1</v>
      </c>
      <c r="E2625">
        <v>875.99</v>
      </c>
      <c r="F2625">
        <v>0.2</v>
      </c>
      <c r="G2625">
        <v>875.79</v>
      </c>
      <c r="H2625" t="s">
        <v>53</v>
      </c>
    </row>
    <row r="2626" spans="1:8" x14ac:dyDescent="0.35">
      <c r="A2626">
        <v>980</v>
      </c>
      <c r="B2626">
        <v>1</v>
      </c>
      <c r="C2626">
        <v>49</v>
      </c>
      <c r="D2626">
        <v>2</v>
      </c>
      <c r="E2626">
        <v>3499.99</v>
      </c>
      <c r="F2626">
        <v>0.2</v>
      </c>
      <c r="G2626">
        <v>6999.78</v>
      </c>
      <c r="H2626" t="s">
        <v>50</v>
      </c>
    </row>
    <row r="2627" spans="1:8" x14ac:dyDescent="0.35">
      <c r="A2627">
        <v>980</v>
      </c>
      <c r="B2627">
        <v>2</v>
      </c>
      <c r="C2627">
        <v>9</v>
      </c>
      <c r="D2627">
        <v>1</v>
      </c>
      <c r="E2627">
        <v>2999.99</v>
      </c>
      <c r="F2627">
        <v>0.1</v>
      </c>
      <c r="G2627">
        <v>2999.89</v>
      </c>
      <c r="H2627" t="s">
        <v>14</v>
      </c>
    </row>
    <row r="2628" spans="1:8" x14ac:dyDescent="0.35">
      <c r="A2628">
        <v>980</v>
      </c>
      <c r="B2628">
        <v>3</v>
      </c>
      <c r="C2628">
        <v>64</v>
      </c>
      <c r="D2628">
        <v>1</v>
      </c>
      <c r="E2628">
        <v>489.99</v>
      </c>
      <c r="F2628">
        <v>0.1</v>
      </c>
      <c r="G2628">
        <v>489.89</v>
      </c>
      <c r="H2628" t="s">
        <v>65</v>
      </c>
    </row>
    <row r="2629" spans="1:8" x14ac:dyDescent="0.35">
      <c r="A2629">
        <v>981</v>
      </c>
      <c r="B2629">
        <v>1</v>
      </c>
      <c r="C2629">
        <v>35</v>
      </c>
      <c r="D2629">
        <v>1</v>
      </c>
      <c r="E2629">
        <v>832.99</v>
      </c>
      <c r="F2629">
        <v>0.1</v>
      </c>
      <c r="G2629">
        <v>832.89</v>
      </c>
      <c r="H2629" t="s">
        <v>36</v>
      </c>
    </row>
    <row r="2630" spans="1:8" x14ac:dyDescent="0.35">
      <c r="A2630">
        <v>981</v>
      </c>
      <c r="B2630">
        <v>2</v>
      </c>
      <c r="C2630">
        <v>95</v>
      </c>
      <c r="D2630">
        <v>2</v>
      </c>
      <c r="E2630">
        <v>299.99</v>
      </c>
      <c r="F2630">
        <v>0.1</v>
      </c>
      <c r="G2630">
        <v>599.92999999999995</v>
      </c>
      <c r="H2630" t="s">
        <v>77</v>
      </c>
    </row>
    <row r="2631" spans="1:8" x14ac:dyDescent="0.35">
      <c r="A2631">
        <v>981</v>
      </c>
      <c r="B2631">
        <v>3</v>
      </c>
      <c r="C2631">
        <v>21</v>
      </c>
      <c r="D2631">
        <v>2</v>
      </c>
      <c r="E2631">
        <v>269.99</v>
      </c>
      <c r="F2631">
        <v>0.1</v>
      </c>
      <c r="G2631">
        <v>539.91</v>
      </c>
      <c r="H2631" t="s">
        <v>18</v>
      </c>
    </row>
    <row r="2632" spans="1:8" x14ac:dyDescent="0.35">
      <c r="A2632">
        <v>981</v>
      </c>
      <c r="B2632">
        <v>4</v>
      </c>
      <c r="C2632">
        <v>36</v>
      </c>
      <c r="D2632">
        <v>2</v>
      </c>
      <c r="E2632">
        <v>832.99</v>
      </c>
      <c r="F2632">
        <v>0.1</v>
      </c>
      <c r="G2632">
        <v>1665.88</v>
      </c>
      <c r="H2632" t="s">
        <v>37</v>
      </c>
    </row>
    <row r="2633" spans="1:8" x14ac:dyDescent="0.35">
      <c r="A2633">
        <v>981</v>
      </c>
      <c r="B2633">
        <v>5</v>
      </c>
      <c r="C2633">
        <v>61</v>
      </c>
      <c r="D2633">
        <v>1</v>
      </c>
      <c r="E2633">
        <v>4999.99</v>
      </c>
      <c r="F2633">
        <v>0.1</v>
      </c>
      <c r="G2633">
        <v>4999.92</v>
      </c>
      <c r="H2633" t="s">
        <v>62</v>
      </c>
    </row>
    <row r="2634" spans="1:8" x14ac:dyDescent="0.35">
      <c r="A2634">
        <v>982</v>
      </c>
      <c r="B2634">
        <v>1</v>
      </c>
      <c r="C2634">
        <v>22</v>
      </c>
      <c r="D2634">
        <v>2</v>
      </c>
      <c r="E2634">
        <v>269.99</v>
      </c>
      <c r="F2634">
        <v>0.1</v>
      </c>
      <c r="G2634">
        <v>539.88</v>
      </c>
      <c r="H2634" t="s">
        <v>19</v>
      </c>
    </row>
    <row r="2635" spans="1:8" x14ac:dyDescent="0.35">
      <c r="A2635">
        <v>982</v>
      </c>
      <c r="B2635">
        <v>2</v>
      </c>
      <c r="C2635">
        <v>110</v>
      </c>
      <c r="D2635">
        <v>1</v>
      </c>
      <c r="E2635">
        <v>470.99</v>
      </c>
      <c r="F2635">
        <v>0.1</v>
      </c>
      <c r="G2635">
        <v>470.92</v>
      </c>
      <c r="H2635" t="s">
        <v>107</v>
      </c>
    </row>
    <row r="2636" spans="1:8" x14ac:dyDescent="0.35">
      <c r="A2636">
        <v>982</v>
      </c>
      <c r="B2636">
        <v>3</v>
      </c>
      <c r="C2636">
        <v>52</v>
      </c>
      <c r="D2636">
        <v>1</v>
      </c>
      <c r="E2636">
        <v>875.99</v>
      </c>
      <c r="F2636">
        <v>0.1</v>
      </c>
      <c r="G2636">
        <v>875.92</v>
      </c>
      <c r="H2636" t="s">
        <v>53</v>
      </c>
    </row>
    <row r="2637" spans="1:8" x14ac:dyDescent="0.35">
      <c r="A2637">
        <v>982</v>
      </c>
      <c r="B2637">
        <v>4</v>
      </c>
      <c r="C2637">
        <v>40</v>
      </c>
      <c r="D2637">
        <v>2</v>
      </c>
      <c r="E2637">
        <v>4999.99</v>
      </c>
      <c r="F2637">
        <v>0.1</v>
      </c>
      <c r="G2637">
        <v>9999.93</v>
      </c>
      <c r="H2637" t="s">
        <v>41</v>
      </c>
    </row>
    <row r="2638" spans="1:8" x14ac:dyDescent="0.35">
      <c r="A2638">
        <v>983</v>
      </c>
      <c r="B2638">
        <v>1</v>
      </c>
      <c r="C2638">
        <v>63</v>
      </c>
      <c r="D2638">
        <v>1</v>
      </c>
      <c r="E2638">
        <v>3499.99</v>
      </c>
      <c r="F2638">
        <v>0.1</v>
      </c>
      <c r="G2638">
        <v>3499.89</v>
      </c>
      <c r="H2638" t="s">
        <v>64</v>
      </c>
    </row>
    <row r="2639" spans="1:8" x14ac:dyDescent="0.35">
      <c r="A2639">
        <v>983</v>
      </c>
      <c r="B2639">
        <v>2</v>
      </c>
      <c r="C2639">
        <v>20</v>
      </c>
      <c r="D2639">
        <v>2</v>
      </c>
      <c r="E2639">
        <v>599.99</v>
      </c>
      <c r="F2639">
        <v>0.2</v>
      </c>
      <c r="G2639">
        <v>1199.78</v>
      </c>
      <c r="H2639" t="s">
        <v>25</v>
      </c>
    </row>
    <row r="2640" spans="1:8" x14ac:dyDescent="0.35">
      <c r="A2640">
        <v>983</v>
      </c>
      <c r="B2640">
        <v>3</v>
      </c>
      <c r="C2640">
        <v>68</v>
      </c>
      <c r="D2640">
        <v>1</v>
      </c>
      <c r="E2640">
        <v>449.99</v>
      </c>
      <c r="F2640">
        <v>0.1</v>
      </c>
      <c r="G2640">
        <v>449.92</v>
      </c>
      <c r="H2640" t="s">
        <v>69</v>
      </c>
    </row>
    <row r="2641" spans="1:8" x14ac:dyDescent="0.35">
      <c r="A2641">
        <v>983</v>
      </c>
      <c r="B2641">
        <v>4</v>
      </c>
      <c r="C2641">
        <v>81</v>
      </c>
      <c r="D2641">
        <v>2</v>
      </c>
      <c r="E2641">
        <v>1099.99</v>
      </c>
      <c r="F2641">
        <v>0.1</v>
      </c>
      <c r="G2641">
        <v>2199.91</v>
      </c>
      <c r="H2641" t="s">
        <v>82</v>
      </c>
    </row>
    <row r="2642" spans="1:8" x14ac:dyDescent="0.35">
      <c r="A2642">
        <v>983</v>
      </c>
      <c r="B2642">
        <v>5</v>
      </c>
      <c r="C2642">
        <v>88</v>
      </c>
      <c r="D2642">
        <v>1</v>
      </c>
      <c r="E2642">
        <v>189.99</v>
      </c>
      <c r="F2642">
        <v>0.1</v>
      </c>
      <c r="G2642">
        <v>189.94</v>
      </c>
      <c r="H2642" t="s">
        <v>89</v>
      </c>
    </row>
    <row r="2643" spans="1:8" x14ac:dyDescent="0.35">
      <c r="A2643">
        <v>984</v>
      </c>
      <c r="B2643">
        <v>1</v>
      </c>
      <c r="C2643">
        <v>68</v>
      </c>
      <c r="D2643">
        <v>1</v>
      </c>
      <c r="E2643">
        <v>449.99</v>
      </c>
      <c r="F2643">
        <v>0.2</v>
      </c>
      <c r="G2643">
        <v>449.79</v>
      </c>
      <c r="H2643" t="s">
        <v>69</v>
      </c>
    </row>
    <row r="2644" spans="1:8" x14ac:dyDescent="0.35">
      <c r="A2644">
        <v>984</v>
      </c>
      <c r="B2644">
        <v>2</v>
      </c>
      <c r="C2644">
        <v>81</v>
      </c>
      <c r="D2644">
        <v>2</v>
      </c>
      <c r="E2644">
        <v>1099.99</v>
      </c>
      <c r="F2644">
        <v>0.2</v>
      </c>
      <c r="G2644">
        <v>2199.7800000000002</v>
      </c>
      <c r="H2644" t="s">
        <v>82</v>
      </c>
    </row>
    <row r="2645" spans="1:8" x14ac:dyDescent="0.35">
      <c r="A2645">
        <v>984</v>
      </c>
      <c r="B2645">
        <v>3</v>
      </c>
      <c r="C2645">
        <v>12</v>
      </c>
      <c r="D2645">
        <v>1</v>
      </c>
      <c r="E2645">
        <v>549.99</v>
      </c>
      <c r="F2645">
        <v>0.1</v>
      </c>
      <c r="G2645">
        <v>549.89</v>
      </c>
      <c r="H2645" t="s">
        <v>17</v>
      </c>
    </row>
    <row r="2646" spans="1:8" x14ac:dyDescent="0.35">
      <c r="A2646">
        <v>984</v>
      </c>
      <c r="B2646">
        <v>4</v>
      </c>
      <c r="C2646">
        <v>111</v>
      </c>
      <c r="D2646">
        <v>1</v>
      </c>
      <c r="E2646">
        <v>470.99</v>
      </c>
      <c r="F2646">
        <v>0.2</v>
      </c>
      <c r="G2646">
        <v>470.79</v>
      </c>
      <c r="H2646" t="s">
        <v>108</v>
      </c>
    </row>
    <row r="2647" spans="1:8" x14ac:dyDescent="0.35">
      <c r="A2647">
        <v>985</v>
      </c>
      <c r="B2647">
        <v>1</v>
      </c>
      <c r="C2647">
        <v>5</v>
      </c>
      <c r="D2647">
        <v>2</v>
      </c>
      <c r="E2647">
        <v>1320.99</v>
      </c>
      <c r="F2647">
        <v>0.1</v>
      </c>
      <c r="G2647">
        <v>2641.91</v>
      </c>
      <c r="H2647" t="s">
        <v>10</v>
      </c>
    </row>
    <row r="2648" spans="1:8" x14ac:dyDescent="0.35">
      <c r="A2648">
        <v>985</v>
      </c>
      <c r="B2648">
        <v>2</v>
      </c>
      <c r="C2648">
        <v>59</v>
      </c>
      <c r="D2648">
        <v>1</v>
      </c>
      <c r="E2648">
        <v>2599.9899999999998</v>
      </c>
      <c r="F2648">
        <v>0.2</v>
      </c>
      <c r="G2648">
        <v>2599.79</v>
      </c>
      <c r="H2648" t="s">
        <v>60</v>
      </c>
    </row>
    <row r="2649" spans="1:8" x14ac:dyDescent="0.35">
      <c r="A2649">
        <v>985</v>
      </c>
      <c r="B2649">
        <v>3</v>
      </c>
      <c r="C2649">
        <v>78</v>
      </c>
      <c r="D2649">
        <v>2</v>
      </c>
      <c r="E2649">
        <v>647.99</v>
      </c>
      <c r="F2649">
        <v>0.1</v>
      </c>
      <c r="G2649">
        <v>1295.93</v>
      </c>
      <c r="H2649" t="s">
        <v>79</v>
      </c>
    </row>
    <row r="2650" spans="1:8" x14ac:dyDescent="0.35">
      <c r="A2650">
        <v>986</v>
      </c>
      <c r="B2650">
        <v>1</v>
      </c>
      <c r="C2650">
        <v>87</v>
      </c>
      <c r="D2650">
        <v>1</v>
      </c>
      <c r="E2650">
        <v>189.99</v>
      </c>
      <c r="F2650">
        <v>0.1</v>
      </c>
      <c r="G2650">
        <v>189.89</v>
      </c>
      <c r="H2650" t="s">
        <v>88</v>
      </c>
    </row>
    <row r="2651" spans="1:8" x14ac:dyDescent="0.35">
      <c r="A2651">
        <v>986</v>
      </c>
      <c r="B2651">
        <v>2</v>
      </c>
      <c r="C2651">
        <v>78</v>
      </c>
      <c r="D2651">
        <v>1</v>
      </c>
      <c r="E2651">
        <v>647.99</v>
      </c>
      <c r="F2651">
        <v>0.1</v>
      </c>
      <c r="G2651">
        <v>647.94000000000005</v>
      </c>
      <c r="H2651" t="s">
        <v>79</v>
      </c>
    </row>
    <row r="2652" spans="1:8" x14ac:dyDescent="0.35">
      <c r="A2652">
        <v>986</v>
      </c>
      <c r="B2652">
        <v>3</v>
      </c>
      <c r="C2652">
        <v>26</v>
      </c>
      <c r="D2652">
        <v>2</v>
      </c>
      <c r="E2652">
        <v>599.99</v>
      </c>
      <c r="F2652">
        <v>0.1</v>
      </c>
      <c r="G2652">
        <v>1199.9100000000001</v>
      </c>
      <c r="H2652" t="s">
        <v>21</v>
      </c>
    </row>
    <row r="2653" spans="1:8" x14ac:dyDescent="0.35">
      <c r="A2653">
        <v>987</v>
      </c>
      <c r="B2653">
        <v>1</v>
      </c>
      <c r="C2653">
        <v>51</v>
      </c>
      <c r="D2653">
        <v>2</v>
      </c>
      <c r="E2653">
        <v>6499.99</v>
      </c>
      <c r="F2653">
        <v>0.1</v>
      </c>
      <c r="G2653">
        <v>12999.88</v>
      </c>
      <c r="H2653" t="s">
        <v>52</v>
      </c>
    </row>
    <row r="2654" spans="1:8" x14ac:dyDescent="0.35">
      <c r="A2654">
        <v>987</v>
      </c>
      <c r="B2654">
        <v>2</v>
      </c>
      <c r="C2654">
        <v>60</v>
      </c>
      <c r="D2654">
        <v>2</v>
      </c>
      <c r="E2654">
        <v>1559.99</v>
      </c>
      <c r="F2654">
        <v>0.2</v>
      </c>
      <c r="G2654">
        <v>3119.78</v>
      </c>
      <c r="H2654" t="s">
        <v>61</v>
      </c>
    </row>
    <row r="2655" spans="1:8" x14ac:dyDescent="0.35">
      <c r="A2655">
        <v>987</v>
      </c>
      <c r="B2655">
        <v>3</v>
      </c>
      <c r="C2655">
        <v>80</v>
      </c>
      <c r="D2655">
        <v>1</v>
      </c>
      <c r="E2655">
        <v>761.99</v>
      </c>
      <c r="F2655">
        <v>0.1</v>
      </c>
      <c r="G2655">
        <v>761.92</v>
      </c>
      <c r="H2655" t="s">
        <v>81</v>
      </c>
    </row>
    <row r="2656" spans="1:8" x14ac:dyDescent="0.35">
      <c r="A2656">
        <v>988</v>
      </c>
      <c r="B2656">
        <v>1</v>
      </c>
      <c r="C2656">
        <v>35</v>
      </c>
      <c r="D2656">
        <v>1</v>
      </c>
      <c r="E2656">
        <v>832.99</v>
      </c>
      <c r="F2656">
        <v>0.2</v>
      </c>
      <c r="G2656">
        <v>832.79</v>
      </c>
      <c r="H2656" t="s">
        <v>36</v>
      </c>
    </row>
    <row r="2657" spans="1:8" x14ac:dyDescent="0.35">
      <c r="A2657">
        <v>988</v>
      </c>
      <c r="B2657">
        <v>2</v>
      </c>
      <c r="C2657">
        <v>38</v>
      </c>
      <c r="D2657">
        <v>1</v>
      </c>
      <c r="E2657">
        <v>549.99</v>
      </c>
      <c r="F2657">
        <v>0.1</v>
      </c>
      <c r="G2657">
        <v>549.91999999999996</v>
      </c>
      <c r="H2657" t="s">
        <v>39</v>
      </c>
    </row>
    <row r="2658" spans="1:8" x14ac:dyDescent="0.35">
      <c r="A2658">
        <v>988</v>
      </c>
      <c r="B2658">
        <v>3</v>
      </c>
      <c r="C2658">
        <v>12</v>
      </c>
      <c r="D2658">
        <v>2</v>
      </c>
      <c r="E2658">
        <v>549.99</v>
      </c>
      <c r="F2658">
        <v>0.1</v>
      </c>
      <c r="G2658">
        <v>1099.9100000000001</v>
      </c>
      <c r="H2658" t="s">
        <v>17</v>
      </c>
    </row>
    <row r="2659" spans="1:8" x14ac:dyDescent="0.35">
      <c r="A2659">
        <v>989</v>
      </c>
      <c r="B2659">
        <v>1</v>
      </c>
      <c r="C2659">
        <v>99</v>
      </c>
      <c r="D2659">
        <v>1</v>
      </c>
      <c r="E2659">
        <v>299.99</v>
      </c>
      <c r="F2659">
        <v>0.1</v>
      </c>
      <c r="G2659">
        <v>299.94</v>
      </c>
      <c r="H2659" t="s">
        <v>99</v>
      </c>
    </row>
    <row r="2660" spans="1:8" x14ac:dyDescent="0.35">
      <c r="A2660">
        <v>989</v>
      </c>
      <c r="B2660">
        <v>2</v>
      </c>
      <c r="C2660">
        <v>27</v>
      </c>
      <c r="D2660">
        <v>1</v>
      </c>
      <c r="E2660">
        <v>999.99</v>
      </c>
      <c r="F2660">
        <v>0.1</v>
      </c>
      <c r="G2660">
        <v>999.89</v>
      </c>
      <c r="H2660" t="s">
        <v>28</v>
      </c>
    </row>
    <row r="2661" spans="1:8" x14ac:dyDescent="0.35">
      <c r="A2661">
        <v>989</v>
      </c>
      <c r="B2661">
        <v>3</v>
      </c>
      <c r="C2661">
        <v>70</v>
      </c>
      <c r="D2661">
        <v>1</v>
      </c>
      <c r="E2661">
        <v>659.99</v>
      </c>
      <c r="F2661">
        <v>0.1</v>
      </c>
      <c r="G2661">
        <v>659.89</v>
      </c>
      <c r="H2661" t="s">
        <v>71</v>
      </c>
    </row>
    <row r="2662" spans="1:8" x14ac:dyDescent="0.35">
      <c r="A2662">
        <v>989</v>
      </c>
      <c r="B2662">
        <v>4</v>
      </c>
      <c r="C2662">
        <v>84</v>
      </c>
      <c r="D2662">
        <v>2</v>
      </c>
      <c r="E2662">
        <v>109.99</v>
      </c>
      <c r="F2662">
        <v>0.1</v>
      </c>
      <c r="G2662">
        <v>219.91</v>
      </c>
      <c r="H2662" t="s">
        <v>85</v>
      </c>
    </row>
    <row r="2663" spans="1:8" x14ac:dyDescent="0.35">
      <c r="A2663">
        <v>989</v>
      </c>
      <c r="B2663">
        <v>5</v>
      </c>
      <c r="C2663">
        <v>5</v>
      </c>
      <c r="D2663">
        <v>1</v>
      </c>
      <c r="E2663">
        <v>1320.99</v>
      </c>
      <c r="F2663">
        <v>0.1</v>
      </c>
      <c r="G2663">
        <v>1320.89</v>
      </c>
      <c r="H2663" t="s">
        <v>10</v>
      </c>
    </row>
    <row r="2664" spans="1:8" x14ac:dyDescent="0.35">
      <c r="A2664">
        <v>990</v>
      </c>
      <c r="B2664">
        <v>1</v>
      </c>
      <c r="C2664">
        <v>6</v>
      </c>
      <c r="D2664">
        <v>2</v>
      </c>
      <c r="E2664">
        <v>469.99</v>
      </c>
      <c r="F2664">
        <v>0.2</v>
      </c>
      <c r="G2664">
        <v>939.78</v>
      </c>
      <c r="H2664" t="s">
        <v>11</v>
      </c>
    </row>
    <row r="2665" spans="1:8" x14ac:dyDescent="0.35">
      <c r="A2665">
        <v>990</v>
      </c>
      <c r="B2665">
        <v>2</v>
      </c>
      <c r="C2665">
        <v>29</v>
      </c>
      <c r="D2665">
        <v>1</v>
      </c>
      <c r="E2665">
        <v>999.99</v>
      </c>
      <c r="F2665">
        <v>0.1</v>
      </c>
      <c r="G2665">
        <v>999.89</v>
      </c>
      <c r="H2665" t="s">
        <v>30</v>
      </c>
    </row>
    <row r="2666" spans="1:8" x14ac:dyDescent="0.35">
      <c r="A2666">
        <v>990</v>
      </c>
      <c r="B2666">
        <v>3</v>
      </c>
      <c r="C2666">
        <v>91</v>
      </c>
      <c r="D2666">
        <v>1</v>
      </c>
      <c r="E2666">
        <v>349.99</v>
      </c>
      <c r="F2666">
        <v>0.1</v>
      </c>
      <c r="G2666">
        <v>349.89</v>
      </c>
      <c r="H2666" t="s">
        <v>92</v>
      </c>
    </row>
    <row r="2667" spans="1:8" x14ac:dyDescent="0.35">
      <c r="A2667">
        <v>990</v>
      </c>
      <c r="B2667">
        <v>4</v>
      </c>
      <c r="C2667">
        <v>14</v>
      </c>
      <c r="D2667">
        <v>2</v>
      </c>
      <c r="E2667">
        <v>269.99</v>
      </c>
      <c r="F2667">
        <v>0.1</v>
      </c>
      <c r="G2667">
        <v>539.88</v>
      </c>
      <c r="H2667" t="s">
        <v>19</v>
      </c>
    </row>
    <row r="2668" spans="1:8" x14ac:dyDescent="0.35">
      <c r="A2668">
        <v>991</v>
      </c>
      <c r="B2668">
        <v>1</v>
      </c>
      <c r="C2668">
        <v>9</v>
      </c>
      <c r="D2668">
        <v>2</v>
      </c>
      <c r="E2668">
        <v>2999.99</v>
      </c>
      <c r="F2668">
        <v>0.2</v>
      </c>
      <c r="G2668">
        <v>5999.78</v>
      </c>
      <c r="H2668" t="s">
        <v>14</v>
      </c>
    </row>
    <row r="2669" spans="1:8" x14ac:dyDescent="0.35">
      <c r="A2669">
        <v>991</v>
      </c>
      <c r="B2669">
        <v>2</v>
      </c>
      <c r="C2669">
        <v>79</v>
      </c>
      <c r="D2669">
        <v>1</v>
      </c>
      <c r="E2669">
        <v>402.99</v>
      </c>
      <c r="F2669">
        <v>0.2</v>
      </c>
      <c r="G2669">
        <v>402.79</v>
      </c>
      <c r="H2669" t="s">
        <v>80</v>
      </c>
    </row>
    <row r="2670" spans="1:8" x14ac:dyDescent="0.35">
      <c r="A2670">
        <v>991</v>
      </c>
      <c r="B2670">
        <v>3</v>
      </c>
      <c r="C2670">
        <v>34</v>
      </c>
      <c r="D2670">
        <v>1</v>
      </c>
      <c r="E2670">
        <v>469.99</v>
      </c>
      <c r="F2670">
        <v>0.2</v>
      </c>
      <c r="G2670">
        <v>469.79</v>
      </c>
      <c r="H2670" t="s">
        <v>35</v>
      </c>
    </row>
    <row r="2671" spans="1:8" x14ac:dyDescent="0.35">
      <c r="A2671">
        <v>992</v>
      </c>
      <c r="B2671">
        <v>1</v>
      </c>
      <c r="C2671">
        <v>45</v>
      </c>
      <c r="D2671">
        <v>1</v>
      </c>
      <c r="E2671">
        <v>869.99</v>
      </c>
      <c r="F2671">
        <v>0.1</v>
      </c>
      <c r="G2671">
        <v>869.92</v>
      </c>
      <c r="H2671" t="s">
        <v>46</v>
      </c>
    </row>
    <row r="2672" spans="1:8" x14ac:dyDescent="0.35">
      <c r="A2672">
        <v>992</v>
      </c>
      <c r="B2672">
        <v>2</v>
      </c>
      <c r="C2672">
        <v>102</v>
      </c>
      <c r="D2672">
        <v>1</v>
      </c>
      <c r="E2672">
        <v>489.99</v>
      </c>
      <c r="F2672">
        <v>0.1</v>
      </c>
      <c r="G2672">
        <v>489.89</v>
      </c>
      <c r="H2672" t="s">
        <v>65</v>
      </c>
    </row>
    <row r="2673" spans="1:8" x14ac:dyDescent="0.35">
      <c r="A2673">
        <v>992</v>
      </c>
      <c r="B2673">
        <v>3</v>
      </c>
      <c r="C2673">
        <v>20</v>
      </c>
      <c r="D2673">
        <v>1</v>
      </c>
      <c r="E2673">
        <v>599.99</v>
      </c>
      <c r="F2673">
        <v>0.2</v>
      </c>
      <c r="G2673">
        <v>599.79</v>
      </c>
      <c r="H2673" t="s">
        <v>25</v>
      </c>
    </row>
    <row r="2674" spans="1:8" x14ac:dyDescent="0.35">
      <c r="A2674">
        <v>992</v>
      </c>
      <c r="B2674">
        <v>4</v>
      </c>
      <c r="C2674">
        <v>101</v>
      </c>
      <c r="D2674">
        <v>2</v>
      </c>
      <c r="E2674">
        <v>339.99</v>
      </c>
      <c r="F2674">
        <v>0.2</v>
      </c>
      <c r="G2674">
        <v>679.78</v>
      </c>
      <c r="H2674" t="s">
        <v>101</v>
      </c>
    </row>
    <row r="2675" spans="1:8" x14ac:dyDescent="0.35">
      <c r="A2675">
        <v>992</v>
      </c>
      <c r="B2675">
        <v>5</v>
      </c>
      <c r="C2675">
        <v>7</v>
      </c>
      <c r="D2675">
        <v>1</v>
      </c>
      <c r="E2675">
        <v>3999.99</v>
      </c>
      <c r="F2675">
        <v>0.1</v>
      </c>
      <c r="G2675">
        <v>3999.94</v>
      </c>
      <c r="H2675" t="s">
        <v>12</v>
      </c>
    </row>
    <row r="2676" spans="1:8" x14ac:dyDescent="0.35">
      <c r="A2676">
        <v>993</v>
      </c>
      <c r="B2676">
        <v>1</v>
      </c>
      <c r="C2676">
        <v>58</v>
      </c>
      <c r="D2676">
        <v>1</v>
      </c>
      <c r="E2676">
        <v>4999.99</v>
      </c>
      <c r="F2676">
        <v>0.2</v>
      </c>
      <c r="G2676">
        <v>4999.79</v>
      </c>
      <c r="H2676" t="s">
        <v>59</v>
      </c>
    </row>
    <row r="2677" spans="1:8" x14ac:dyDescent="0.35">
      <c r="A2677">
        <v>993</v>
      </c>
      <c r="B2677">
        <v>2</v>
      </c>
      <c r="C2677">
        <v>36</v>
      </c>
      <c r="D2677">
        <v>2</v>
      </c>
      <c r="E2677">
        <v>832.99</v>
      </c>
      <c r="F2677">
        <v>0.1</v>
      </c>
      <c r="G2677">
        <v>1665.88</v>
      </c>
      <c r="H2677" t="s">
        <v>37</v>
      </c>
    </row>
    <row r="2678" spans="1:8" x14ac:dyDescent="0.35">
      <c r="A2678">
        <v>993</v>
      </c>
      <c r="B2678">
        <v>3</v>
      </c>
      <c r="C2678">
        <v>10</v>
      </c>
      <c r="D2678">
        <v>2</v>
      </c>
      <c r="E2678">
        <v>1549</v>
      </c>
      <c r="F2678">
        <v>0.1</v>
      </c>
      <c r="G2678">
        <v>3097.95</v>
      </c>
      <c r="H2678" t="s">
        <v>15</v>
      </c>
    </row>
    <row r="2679" spans="1:8" x14ac:dyDescent="0.35">
      <c r="A2679">
        <v>993</v>
      </c>
      <c r="B2679">
        <v>4</v>
      </c>
      <c r="C2679">
        <v>99</v>
      </c>
      <c r="D2679">
        <v>2</v>
      </c>
      <c r="E2679">
        <v>299.99</v>
      </c>
      <c r="F2679">
        <v>0.1</v>
      </c>
      <c r="G2679">
        <v>599.91</v>
      </c>
      <c r="H2679" t="s">
        <v>99</v>
      </c>
    </row>
    <row r="2680" spans="1:8" x14ac:dyDescent="0.35">
      <c r="A2680">
        <v>993</v>
      </c>
      <c r="B2680">
        <v>5</v>
      </c>
      <c r="C2680">
        <v>79</v>
      </c>
      <c r="D2680">
        <v>2</v>
      </c>
      <c r="E2680">
        <v>402.99</v>
      </c>
      <c r="F2680">
        <v>0.1</v>
      </c>
      <c r="G2680">
        <v>805.88</v>
      </c>
      <c r="H2680" t="s">
        <v>80</v>
      </c>
    </row>
    <row r="2681" spans="1:8" x14ac:dyDescent="0.35">
      <c r="A2681">
        <v>994</v>
      </c>
      <c r="B2681">
        <v>1</v>
      </c>
      <c r="C2681">
        <v>37</v>
      </c>
      <c r="D2681">
        <v>2</v>
      </c>
      <c r="E2681">
        <v>379.99</v>
      </c>
      <c r="F2681">
        <v>0.1</v>
      </c>
      <c r="G2681">
        <v>759.88</v>
      </c>
      <c r="H2681" t="s">
        <v>38</v>
      </c>
    </row>
    <row r="2682" spans="1:8" x14ac:dyDescent="0.35">
      <c r="A2682">
        <v>994</v>
      </c>
      <c r="B2682">
        <v>2</v>
      </c>
      <c r="C2682">
        <v>45</v>
      </c>
      <c r="D2682">
        <v>1</v>
      </c>
      <c r="E2682">
        <v>869.99</v>
      </c>
      <c r="F2682">
        <v>0.2</v>
      </c>
      <c r="G2682">
        <v>869.79</v>
      </c>
      <c r="H2682" t="s">
        <v>46</v>
      </c>
    </row>
    <row r="2683" spans="1:8" x14ac:dyDescent="0.35">
      <c r="A2683">
        <v>994</v>
      </c>
      <c r="B2683">
        <v>3</v>
      </c>
      <c r="C2683">
        <v>66</v>
      </c>
      <c r="D2683">
        <v>1</v>
      </c>
      <c r="E2683">
        <v>250.99</v>
      </c>
      <c r="F2683">
        <v>0.1</v>
      </c>
      <c r="G2683">
        <v>250.92</v>
      </c>
      <c r="H2683" t="s">
        <v>67</v>
      </c>
    </row>
    <row r="2684" spans="1:8" x14ac:dyDescent="0.35">
      <c r="A2684">
        <v>995</v>
      </c>
      <c r="B2684">
        <v>1</v>
      </c>
      <c r="C2684">
        <v>16</v>
      </c>
      <c r="D2684">
        <v>2</v>
      </c>
      <c r="E2684">
        <v>599.99</v>
      </c>
      <c r="F2684">
        <v>0.1</v>
      </c>
      <c r="G2684">
        <v>1199.8800000000001</v>
      </c>
      <c r="H2684" t="s">
        <v>21</v>
      </c>
    </row>
    <row r="2685" spans="1:8" x14ac:dyDescent="0.35">
      <c r="A2685">
        <v>995</v>
      </c>
      <c r="B2685">
        <v>2</v>
      </c>
      <c r="C2685">
        <v>90</v>
      </c>
      <c r="D2685">
        <v>1</v>
      </c>
      <c r="E2685">
        <v>209.99</v>
      </c>
      <c r="F2685">
        <v>0.2</v>
      </c>
      <c r="G2685">
        <v>209.79</v>
      </c>
      <c r="H2685" t="s">
        <v>91</v>
      </c>
    </row>
    <row r="2686" spans="1:8" x14ac:dyDescent="0.35">
      <c r="A2686">
        <v>995</v>
      </c>
      <c r="B2686">
        <v>3</v>
      </c>
      <c r="C2686">
        <v>101</v>
      </c>
      <c r="D2686">
        <v>1</v>
      </c>
      <c r="E2686">
        <v>339.99</v>
      </c>
      <c r="F2686">
        <v>0.1</v>
      </c>
      <c r="G2686">
        <v>339.89</v>
      </c>
      <c r="H2686" t="s">
        <v>101</v>
      </c>
    </row>
    <row r="2687" spans="1:8" x14ac:dyDescent="0.35">
      <c r="A2687">
        <v>996</v>
      </c>
      <c r="B2687">
        <v>1</v>
      </c>
      <c r="C2687">
        <v>68</v>
      </c>
      <c r="D2687">
        <v>2</v>
      </c>
      <c r="E2687">
        <v>449.99</v>
      </c>
      <c r="F2687">
        <v>0.1</v>
      </c>
      <c r="G2687">
        <v>899.93</v>
      </c>
      <c r="H2687" t="s">
        <v>69</v>
      </c>
    </row>
    <row r="2688" spans="1:8" x14ac:dyDescent="0.35">
      <c r="A2688">
        <v>996</v>
      </c>
      <c r="B2688">
        <v>2</v>
      </c>
      <c r="C2688">
        <v>32</v>
      </c>
      <c r="D2688">
        <v>1</v>
      </c>
      <c r="E2688">
        <v>469.99</v>
      </c>
      <c r="F2688">
        <v>0.1</v>
      </c>
      <c r="G2688">
        <v>469.94</v>
      </c>
      <c r="H2688" t="s">
        <v>33</v>
      </c>
    </row>
    <row r="2689" spans="1:8" x14ac:dyDescent="0.35">
      <c r="A2689">
        <v>997</v>
      </c>
      <c r="B2689">
        <v>1</v>
      </c>
      <c r="C2689">
        <v>86</v>
      </c>
      <c r="D2689">
        <v>2</v>
      </c>
      <c r="E2689">
        <v>149.99</v>
      </c>
      <c r="F2689">
        <v>0.1</v>
      </c>
      <c r="G2689">
        <v>299.91000000000003</v>
      </c>
      <c r="H2689" t="s">
        <v>87</v>
      </c>
    </row>
    <row r="2690" spans="1:8" x14ac:dyDescent="0.35">
      <c r="A2690">
        <v>997</v>
      </c>
      <c r="B2690">
        <v>2</v>
      </c>
      <c r="C2690">
        <v>105</v>
      </c>
      <c r="D2690">
        <v>2</v>
      </c>
      <c r="E2690">
        <v>533.99</v>
      </c>
      <c r="F2690">
        <v>0.2</v>
      </c>
      <c r="G2690">
        <v>1067.78</v>
      </c>
      <c r="H2690" t="s">
        <v>104</v>
      </c>
    </row>
    <row r="2691" spans="1:8" x14ac:dyDescent="0.35">
      <c r="A2691">
        <v>997</v>
      </c>
      <c r="B2691">
        <v>3</v>
      </c>
      <c r="C2691">
        <v>14</v>
      </c>
      <c r="D2691">
        <v>2</v>
      </c>
      <c r="E2691">
        <v>269.99</v>
      </c>
      <c r="F2691">
        <v>0.1</v>
      </c>
      <c r="G2691">
        <v>539.91</v>
      </c>
      <c r="H2691" t="s">
        <v>19</v>
      </c>
    </row>
    <row r="2692" spans="1:8" x14ac:dyDescent="0.35">
      <c r="A2692">
        <v>998</v>
      </c>
      <c r="B2692">
        <v>1</v>
      </c>
      <c r="C2692">
        <v>26</v>
      </c>
      <c r="D2692">
        <v>2</v>
      </c>
      <c r="E2692">
        <v>599.99</v>
      </c>
      <c r="F2692">
        <v>0.1</v>
      </c>
      <c r="G2692">
        <v>1199.93</v>
      </c>
      <c r="H2692" t="s">
        <v>21</v>
      </c>
    </row>
    <row r="2693" spans="1:8" x14ac:dyDescent="0.35">
      <c r="A2693">
        <v>998</v>
      </c>
      <c r="B2693">
        <v>2</v>
      </c>
      <c r="C2693">
        <v>105</v>
      </c>
      <c r="D2693">
        <v>1</v>
      </c>
      <c r="E2693">
        <v>533.99</v>
      </c>
      <c r="F2693">
        <v>0.2</v>
      </c>
      <c r="G2693">
        <v>533.79</v>
      </c>
      <c r="H2693" t="s">
        <v>104</v>
      </c>
    </row>
    <row r="2694" spans="1:8" x14ac:dyDescent="0.35">
      <c r="A2694">
        <v>999</v>
      </c>
      <c r="B2694">
        <v>1</v>
      </c>
      <c r="C2694">
        <v>70</v>
      </c>
      <c r="D2694">
        <v>2</v>
      </c>
      <c r="E2694">
        <v>659.99</v>
      </c>
      <c r="F2694">
        <v>0.1</v>
      </c>
      <c r="G2694">
        <v>1319.91</v>
      </c>
      <c r="H2694" t="s">
        <v>71</v>
      </c>
    </row>
    <row r="2695" spans="1:8" x14ac:dyDescent="0.35">
      <c r="A2695">
        <v>999</v>
      </c>
      <c r="B2695">
        <v>2</v>
      </c>
      <c r="C2695">
        <v>106</v>
      </c>
      <c r="D2695">
        <v>1</v>
      </c>
      <c r="E2695">
        <v>449.99</v>
      </c>
      <c r="F2695">
        <v>0.1</v>
      </c>
      <c r="G2695">
        <v>449.94</v>
      </c>
      <c r="H2695" t="s">
        <v>69</v>
      </c>
    </row>
    <row r="2696" spans="1:8" x14ac:dyDescent="0.35">
      <c r="A2696">
        <v>1000</v>
      </c>
      <c r="B2696">
        <v>1</v>
      </c>
      <c r="C2696">
        <v>65</v>
      </c>
      <c r="D2696">
        <v>2</v>
      </c>
      <c r="E2696">
        <v>346.99</v>
      </c>
      <c r="F2696">
        <v>0.1</v>
      </c>
      <c r="G2696">
        <v>693.93</v>
      </c>
      <c r="H2696" t="s">
        <v>66</v>
      </c>
    </row>
    <row r="2697" spans="1:8" x14ac:dyDescent="0.35">
      <c r="A2697">
        <v>1000</v>
      </c>
      <c r="B2697">
        <v>2</v>
      </c>
      <c r="C2697">
        <v>111</v>
      </c>
      <c r="D2697">
        <v>1</v>
      </c>
      <c r="E2697">
        <v>470.99</v>
      </c>
      <c r="F2697">
        <v>0.1</v>
      </c>
      <c r="G2697">
        <v>470.89</v>
      </c>
      <c r="H2697" t="s">
        <v>108</v>
      </c>
    </row>
    <row r="2698" spans="1:8" x14ac:dyDescent="0.35">
      <c r="A2698">
        <v>1000</v>
      </c>
      <c r="B2698">
        <v>3</v>
      </c>
      <c r="C2698">
        <v>19</v>
      </c>
      <c r="D2698">
        <v>2</v>
      </c>
      <c r="E2698">
        <v>449</v>
      </c>
      <c r="F2698">
        <v>0.1</v>
      </c>
      <c r="G2698">
        <v>897.93</v>
      </c>
      <c r="H2698" t="s">
        <v>24</v>
      </c>
    </row>
    <row r="2699" spans="1:8" x14ac:dyDescent="0.35">
      <c r="A2699">
        <v>1000</v>
      </c>
      <c r="B2699">
        <v>4</v>
      </c>
      <c r="C2699">
        <v>29</v>
      </c>
      <c r="D2699">
        <v>2</v>
      </c>
      <c r="E2699">
        <v>999.99</v>
      </c>
      <c r="F2699">
        <v>0.1</v>
      </c>
      <c r="G2699">
        <v>1999.93</v>
      </c>
      <c r="H2699" t="s">
        <v>30</v>
      </c>
    </row>
    <row r="2700" spans="1:8" x14ac:dyDescent="0.35">
      <c r="A2700">
        <v>1001</v>
      </c>
      <c r="B2700">
        <v>1</v>
      </c>
      <c r="C2700">
        <v>72</v>
      </c>
      <c r="D2700">
        <v>1</v>
      </c>
      <c r="E2700">
        <v>619.99</v>
      </c>
      <c r="F2700">
        <v>0.1</v>
      </c>
      <c r="G2700">
        <v>619.94000000000005</v>
      </c>
      <c r="H2700" t="s">
        <v>73</v>
      </c>
    </row>
    <row r="2701" spans="1:8" x14ac:dyDescent="0.35">
      <c r="A2701">
        <v>1001</v>
      </c>
      <c r="B2701">
        <v>2</v>
      </c>
      <c r="C2701">
        <v>45</v>
      </c>
      <c r="D2701">
        <v>2</v>
      </c>
      <c r="E2701">
        <v>869.99</v>
      </c>
      <c r="F2701">
        <v>0.1</v>
      </c>
      <c r="G2701">
        <v>1739.93</v>
      </c>
      <c r="H2701" t="s">
        <v>46</v>
      </c>
    </row>
    <row r="2702" spans="1:8" x14ac:dyDescent="0.35">
      <c r="A2702">
        <v>1001</v>
      </c>
      <c r="B2702">
        <v>3</v>
      </c>
      <c r="C2702">
        <v>58</v>
      </c>
      <c r="D2702">
        <v>1</v>
      </c>
      <c r="E2702">
        <v>4999.99</v>
      </c>
      <c r="F2702">
        <v>0.1</v>
      </c>
      <c r="G2702">
        <v>4999.8900000000003</v>
      </c>
      <c r="H2702" t="s">
        <v>59</v>
      </c>
    </row>
    <row r="2703" spans="1:8" x14ac:dyDescent="0.35">
      <c r="A2703">
        <v>1001</v>
      </c>
      <c r="B2703">
        <v>4</v>
      </c>
      <c r="C2703">
        <v>111</v>
      </c>
      <c r="D2703">
        <v>1</v>
      </c>
      <c r="E2703">
        <v>470.99</v>
      </c>
      <c r="F2703">
        <v>0.1</v>
      </c>
      <c r="G2703">
        <v>470.92</v>
      </c>
      <c r="H2703" t="s">
        <v>108</v>
      </c>
    </row>
    <row r="2704" spans="1:8" x14ac:dyDescent="0.35">
      <c r="A2704">
        <v>1002</v>
      </c>
      <c r="B2704">
        <v>1</v>
      </c>
      <c r="C2704">
        <v>100</v>
      </c>
      <c r="D2704">
        <v>1</v>
      </c>
      <c r="E2704">
        <v>489.99</v>
      </c>
      <c r="F2704">
        <v>0.1</v>
      </c>
      <c r="G2704">
        <v>489.94</v>
      </c>
      <c r="H2704" t="s">
        <v>100</v>
      </c>
    </row>
    <row r="2705" spans="1:8" x14ac:dyDescent="0.35">
      <c r="A2705">
        <v>1002</v>
      </c>
      <c r="B2705">
        <v>2</v>
      </c>
      <c r="C2705">
        <v>83</v>
      </c>
      <c r="D2705">
        <v>1</v>
      </c>
      <c r="E2705">
        <v>149.99</v>
      </c>
      <c r="F2705">
        <v>0.1</v>
      </c>
      <c r="G2705">
        <v>149.88999999999999</v>
      </c>
      <c r="H2705" t="s">
        <v>84</v>
      </c>
    </row>
    <row r="2706" spans="1:8" x14ac:dyDescent="0.35">
      <c r="A2706">
        <v>1002</v>
      </c>
      <c r="B2706">
        <v>3</v>
      </c>
      <c r="C2706">
        <v>8</v>
      </c>
      <c r="D2706">
        <v>2</v>
      </c>
      <c r="E2706">
        <v>1799.99</v>
      </c>
      <c r="F2706">
        <v>0.1</v>
      </c>
      <c r="G2706">
        <v>3599.88</v>
      </c>
      <c r="H2706" t="s">
        <v>13</v>
      </c>
    </row>
    <row r="2707" spans="1:8" x14ac:dyDescent="0.35">
      <c r="A2707">
        <v>1002</v>
      </c>
      <c r="B2707">
        <v>4</v>
      </c>
      <c r="C2707">
        <v>79</v>
      </c>
      <c r="D2707">
        <v>1</v>
      </c>
      <c r="E2707">
        <v>402.99</v>
      </c>
      <c r="F2707">
        <v>0.2</v>
      </c>
      <c r="G2707">
        <v>402.79</v>
      </c>
      <c r="H2707" t="s">
        <v>80</v>
      </c>
    </row>
    <row r="2708" spans="1:8" x14ac:dyDescent="0.35">
      <c r="A2708">
        <v>1003</v>
      </c>
      <c r="B2708">
        <v>1</v>
      </c>
      <c r="C2708">
        <v>34</v>
      </c>
      <c r="D2708">
        <v>2</v>
      </c>
      <c r="E2708">
        <v>469.99</v>
      </c>
      <c r="F2708">
        <v>0.1</v>
      </c>
      <c r="G2708">
        <v>939.93</v>
      </c>
      <c r="H2708" t="s">
        <v>35</v>
      </c>
    </row>
    <row r="2709" spans="1:8" x14ac:dyDescent="0.35">
      <c r="A2709">
        <v>1003</v>
      </c>
      <c r="B2709">
        <v>2</v>
      </c>
      <c r="C2709">
        <v>51</v>
      </c>
      <c r="D2709">
        <v>2</v>
      </c>
      <c r="E2709">
        <v>6499.99</v>
      </c>
      <c r="F2709">
        <v>0.1</v>
      </c>
      <c r="G2709">
        <v>12999.93</v>
      </c>
      <c r="H2709" t="s">
        <v>52</v>
      </c>
    </row>
    <row r="2710" spans="1:8" x14ac:dyDescent="0.35">
      <c r="A2710">
        <v>1005</v>
      </c>
      <c r="B2710">
        <v>1</v>
      </c>
      <c r="C2710">
        <v>14</v>
      </c>
      <c r="D2710">
        <v>2</v>
      </c>
      <c r="E2710">
        <v>269.99</v>
      </c>
      <c r="F2710">
        <v>0.2</v>
      </c>
      <c r="G2710">
        <v>539.78</v>
      </c>
      <c r="H2710" t="s">
        <v>19</v>
      </c>
    </row>
    <row r="2711" spans="1:8" x14ac:dyDescent="0.35">
      <c r="A2711">
        <v>1005</v>
      </c>
      <c r="B2711">
        <v>2</v>
      </c>
      <c r="C2711">
        <v>81</v>
      </c>
      <c r="D2711">
        <v>2</v>
      </c>
      <c r="E2711">
        <v>1099.99</v>
      </c>
      <c r="F2711">
        <v>0.1</v>
      </c>
      <c r="G2711">
        <v>2199.88</v>
      </c>
      <c r="H2711" t="s">
        <v>82</v>
      </c>
    </row>
    <row r="2712" spans="1:8" x14ac:dyDescent="0.35">
      <c r="A2712">
        <v>1005</v>
      </c>
      <c r="B2712">
        <v>3</v>
      </c>
      <c r="C2712">
        <v>99</v>
      </c>
      <c r="D2712">
        <v>1</v>
      </c>
      <c r="E2712">
        <v>299.99</v>
      </c>
      <c r="F2712">
        <v>0.1</v>
      </c>
      <c r="G2712">
        <v>299.89</v>
      </c>
      <c r="H2712" t="s">
        <v>99</v>
      </c>
    </row>
    <row r="2713" spans="1:8" x14ac:dyDescent="0.35">
      <c r="A2713">
        <v>1006</v>
      </c>
      <c r="B2713">
        <v>1</v>
      </c>
      <c r="C2713">
        <v>20</v>
      </c>
      <c r="D2713">
        <v>1</v>
      </c>
      <c r="E2713">
        <v>599.99</v>
      </c>
      <c r="F2713">
        <v>0.1</v>
      </c>
      <c r="G2713">
        <v>599.91999999999996</v>
      </c>
      <c r="H2713" t="s">
        <v>25</v>
      </c>
    </row>
    <row r="2714" spans="1:8" x14ac:dyDescent="0.35">
      <c r="A2714">
        <v>1006</v>
      </c>
      <c r="B2714">
        <v>2</v>
      </c>
      <c r="C2714">
        <v>68</v>
      </c>
      <c r="D2714">
        <v>1</v>
      </c>
      <c r="E2714">
        <v>449.99</v>
      </c>
      <c r="F2714">
        <v>0.1</v>
      </c>
      <c r="G2714">
        <v>449.89</v>
      </c>
      <c r="H2714" t="s">
        <v>69</v>
      </c>
    </row>
    <row r="2715" spans="1:8" x14ac:dyDescent="0.35">
      <c r="A2715">
        <v>1006</v>
      </c>
      <c r="B2715">
        <v>3</v>
      </c>
      <c r="C2715">
        <v>56</v>
      </c>
      <c r="D2715">
        <v>2</v>
      </c>
      <c r="E2715">
        <v>5499.99</v>
      </c>
      <c r="F2715">
        <v>0.1</v>
      </c>
      <c r="G2715">
        <v>10999.91</v>
      </c>
      <c r="H2715" t="s">
        <v>57</v>
      </c>
    </row>
    <row r="2716" spans="1:8" x14ac:dyDescent="0.35">
      <c r="A2716">
        <v>1006</v>
      </c>
      <c r="B2716">
        <v>4</v>
      </c>
      <c r="C2716">
        <v>65</v>
      </c>
      <c r="D2716">
        <v>1</v>
      </c>
      <c r="E2716">
        <v>346.99</v>
      </c>
      <c r="F2716">
        <v>0.1</v>
      </c>
      <c r="G2716">
        <v>346.89</v>
      </c>
      <c r="H2716" t="s">
        <v>66</v>
      </c>
    </row>
    <row r="2717" spans="1:8" x14ac:dyDescent="0.35">
      <c r="A2717">
        <v>1006</v>
      </c>
      <c r="B2717">
        <v>5</v>
      </c>
      <c r="C2717">
        <v>46</v>
      </c>
      <c r="D2717">
        <v>1</v>
      </c>
      <c r="E2717">
        <v>1409.99</v>
      </c>
      <c r="F2717">
        <v>0.1</v>
      </c>
      <c r="G2717">
        <v>1409.89</v>
      </c>
      <c r="H2717" t="s">
        <v>47</v>
      </c>
    </row>
    <row r="2718" spans="1:8" x14ac:dyDescent="0.35">
      <c r="A2718">
        <v>1007</v>
      </c>
      <c r="B2718">
        <v>1</v>
      </c>
      <c r="C2718">
        <v>26</v>
      </c>
      <c r="D2718">
        <v>1</v>
      </c>
      <c r="E2718">
        <v>599.99</v>
      </c>
      <c r="F2718">
        <v>0.2</v>
      </c>
      <c r="G2718">
        <v>599.79</v>
      </c>
      <c r="H2718" t="s">
        <v>21</v>
      </c>
    </row>
    <row r="2719" spans="1:8" x14ac:dyDescent="0.35">
      <c r="A2719">
        <v>1007</v>
      </c>
      <c r="B2719">
        <v>2</v>
      </c>
      <c r="C2719">
        <v>11</v>
      </c>
      <c r="D2719">
        <v>1</v>
      </c>
      <c r="E2719">
        <v>1680.99</v>
      </c>
      <c r="F2719">
        <v>0.1</v>
      </c>
      <c r="G2719">
        <v>1680.94</v>
      </c>
      <c r="H2719" t="s">
        <v>16</v>
      </c>
    </row>
    <row r="2720" spans="1:8" x14ac:dyDescent="0.35">
      <c r="A2720">
        <v>1007</v>
      </c>
      <c r="B2720">
        <v>3</v>
      </c>
      <c r="C2720">
        <v>85</v>
      </c>
      <c r="D2720">
        <v>2</v>
      </c>
      <c r="E2720">
        <v>329.99</v>
      </c>
      <c r="F2720">
        <v>0.1</v>
      </c>
      <c r="G2720">
        <v>659.88</v>
      </c>
      <c r="H2720" t="s">
        <v>86</v>
      </c>
    </row>
    <row r="2721" spans="1:8" x14ac:dyDescent="0.35">
      <c r="A2721">
        <v>1007</v>
      </c>
      <c r="B2721">
        <v>4</v>
      </c>
      <c r="C2721">
        <v>76</v>
      </c>
      <c r="D2721">
        <v>1</v>
      </c>
      <c r="E2721">
        <v>299.99</v>
      </c>
      <c r="F2721">
        <v>0.2</v>
      </c>
      <c r="G2721">
        <v>299.79000000000002</v>
      </c>
      <c r="H2721" t="s">
        <v>77</v>
      </c>
    </row>
    <row r="2722" spans="1:8" x14ac:dyDescent="0.35">
      <c r="A2722">
        <v>1007</v>
      </c>
      <c r="B2722">
        <v>5</v>
      </c>
      <c r="C2722">
        <v>106</v>
      </c>
      <c r="D2722">
        <v>2</v>
      </c>
      <c r="E2722">
        <v>449.99</v>
      </c>
      <c r="F2722">
        <v>0.1</v>
      </c>
      <c r="G2722">
        <v>899.88</v>
      </c>
      <c r="H2722" t="s">
        <v>69</v>
      </c>
    </row>
    <row r="2723" spans="1:8" x14ac:dyDescent="0.35">
      <c r="A2723">
        <v>1008</v>
      </c>
      <c r="B2723">
        <v>1</v>
      </c>
      <c r="C2723">
        <v>71</v>
      </c>
      <c r="D2723">
        <v>1</v>
      </c>
      <c r="E2723">
        <v>416.99</v>
      </c>
      <c r="F2723">
        <v>0.2</v>
      </c>
      <c r="G2723">
        <v>416.79</v>
      </c>
      <c r="H2723" t="s">
        <v>72</v>
      </c>
    </row>
    <row r="2724" spans="1:8" x14ac:dyDescent="0.35">
      <c r="A2724">
        <v>1008</v>
      </c>
      <c r="B2724">
        <v>2</v>
      </c>
      <c r="C2724">
        <v>2</v>
      </c>
      <c r="D2724">
        <v>1</v>
      </c>
      <c r="E2724">
        <v>749.99</v>
      </c>
      <c r="F2724">
        <v>0.1</v>
      </c>
      <c r="G2724">
        <v>749.89</v>
      </c>
      <c r="H2724" t="s">
        <v>7</v>
      </c>
    </row>
    <row r="2725" spans="1:8" x14ac:dyDescent="0.35">
      <c r="A2725">
        <v>1008</v>
      </c>
      <c r="B2725">
        <v>3</v>
      </c>
      <c r="C2725">
        <v>95</v>
      </c>
      <c r="D2725">
        <v>1</v>
      </c>
      <c r="E2725">
        <v>299.99</v>
      </c>
      <c r="F2725">
        <v>0.1</v>
      </c>
      <c r="G2725">
        <v>299.92</v>
      </c>
      <c r="H2725" t="s">
        <v>77</v>
      </c>
    </row>
    <row r="2726" spans="1:8" x14ac:dyDescent="0.35">
      <c r="A2726">
        <v>1009</v>
      </c>
      <c r="B2726">
        <v>1</v>
      </c>
      <c r="C2726">
        <v>95</v>
      </c>
      <c r="D2726">
        <v>2</v>
      </c>
      <c r="E2726">
        <v>299.99</v>
      </c>
      <c r="F2726">
        <v>0.1</v>
      </c>
      <c r="G2726">
        <v>599.91</v>
      </c>
      <c r="H2726" t="s">
        <v>77</v>
      </c>
    </row>
    <row r="2727" spans="1:8" x14ac:dyDescent="0.35">
      <c r="A2727">
        <v>1009</v>
      </c>
      <c r="B2727">
        <v>2</v>
      </c>
      <c r="C2727">
        <v>44</v>
      </c>
      <c r="D2727">
        <v>1</v>
      </c>
      <c r="E2727">
        <v>539.99</v>
      </c>
      <c r="F2727">
        <v>0.1</v>
      </c>
      <c r="G2727">
        <v>539.91999999999996</v>
      </c>
      <c r="H2727" t="s">
        <v>45</v>
      </c>
    </row>
    <row r="2728" spans="1:8" x14ac:dyDescent="0.35">
      <c r="A2728">
        <v>1011</v>
      </c>
      <c r="B2728">
        <v>1</v>
      </c>
      <c r="C2728">
        <v>88</v>
      </c>
      <c r="D2728">
        <v>1</v>
      </c>
      <c r="E2728">
        <v>189.99</v>
      </c>
      <c r="F2728">
        <v>0.2</v>
      </c>
      <c r="G2728">
        <v>189.79</v>
      </c>
      <c r="H2728" t="s">
        <v>89</v>
      </c>
    </row>
    <row r="2729" spans="1:8" x14ac:dyDescent="0.35">
      <c r="A2729">
        <v>1011</v>
      </c>
      <c r="B2729">
        <v>2</v>
      </c>
      <c r="C2729">
        <v>99</v>
      </c>
      <c r="D2729">
        <v>2</v>
      </c>
      <c r="E2729">
        <v>299.99</v>
      </c>
      <c r="F2729">
        <v>0.2</v>
      </c>
      <c r="G2729">
        <v>599.78</v>
      </c>
      <c r="H2729" t="s">
        <v>99</v>
      </c>
    </row>
    <row r="2730" spans="1:8" x14ac:dyDescent="0.35">
      <c r="A2730">
        <v>1011</v>
      </c>
      <c r="B2730">
        <v>3</v>
      </c>
      <c r="C2730">
        <v>16</v>
      </c>
      <c r="D2730">
        <v>2</v>
      </c>
      <c r="E2730">
        <v>599.99</v>
      </c>
      <c r="F2730">
        <v>0.2</v>
      </c>
      <c r="G2730">
        <v>1199.78</v>
      </c>
      <c r="H2730" t="s">
        <v>21</v>
      </c>
    </row>
    <row r="2731" spans="1:8" x14ac:dyDescent="0.35">
      <c r="A2731">
        <v>1011</v>
      </c>
      <c r="B2731">
        <v>4</v>
      </c>
      <c r="C2731">
        <v>68</v>
      </c>
      <c r="D2731">
        <v>2</v>
      </c>
      <c r="E2731">
        <v>449.99</v>
      </c>
      <c r="F2731">
        <v>0.1</v>
      </c>
      <c r="G2731">
        <v>899.93</v>
      </c>
      <c r="H2731" t="s">
        <v>69</v>
      </c>
    </row>
    <row r="2732" spans="1:8" x14ac:dyDescent="0.35">
      <c r="A2732">
        <v>1012</v>
      </c>
      <c r="B2732">
        <v>1</v>
      </c>
      <c r="C2732">
        <v>8</v>
      </c>
      <c r="D2732">
        <v>1</v>
      </c>
      <c r="E2732">
        <v>1799.99</v>
      </c>
      <c r="F2732">
        <v>0.1</v>
      </c>
      <c r="G2732">
        <v>1799.92</v>
      </c>
      <c r="H2732" t="s">
        <v>13</v>
      </c>
    </row>
    <row r="2733" spans="1:8" x14ac:dyDescent="0.35">
      <c r="A2733">
        <v>1012</v>
      </c>
      <c r="B2733">
        <v>2</v>
      </c>
      <c r="C2733">
        <v>64</v>
      </c>
      <c r="D2733">
        <v>1</v>
      </c>
      <c r="E2733">
        <v>489.99</v>
      </c>
      <c r="F2733">
        <v>0.2</v>
      </c>
      <c r="G2733">
        <v>489.79</v>
      </c>
      <c r="H2733" t="s">
        <v>65</v>
      </c>
    </row>
    <row r="2734" spans="1:8" x14ac:dyDescent="0.35">
      <c r="A2734">
        <v>1014</v>
      </c>
      <c r="B2734">
        <v>1</v>
      </c>
      <c r="C2734">
        <v>97</v>
      </c>
      <c r="D2734">
        <v>1</v>
      </c>
      <c r="E2734">
        <v>349.99</v>
      </c>
      <c r="F2734">
        <v>0.2</v>
      </c>
      <c r="G2734">
        <v>349.79</v>
      </c>
      <c r="H2734" t="s">
        <v>97</v>
      </c>
    </row>
    <row r="2735" spans="1:8" x14ac:dyDescent="0.35">
      <c r="A2735">
        <v>1014</v>
      </c>
      <c r="B2735">
        <v>2</v>
      </c>
      <c r="C2735">
        <v>45</v>
      </c>
      <c r="D2735">
        <v>2</v>
      </c>
      <c r="E2735">
        <v>869.99</v>
      </c>
      <c r="F2735">
        <v>0.1</v>
      </c>
      <c r="G2735">
        <v>1739.93</v>
      </c>
      <c r="H2735" t="s">
        <v>46</v>
      </c>
    </row>
    <row r="2736" spans="1:8" x14ac:dyDescent="0.35">
      <c r="A2736">
        <v>1014</v>
      </c>
      <c r="B2736">
        <v>3</v>
      </c>
      <c r="C2736">
        <v>81</v>
      </c>
      <c r="D2736">
        <v>2</v>
      </c>
      <c r="E2736">
        <v>1099.99</v>
      </c>
      <c r="F2736">
        <v>0.1</v>
      </c>
      <c r="G2736">
        <v>2199.88</v>
      </c>
      <c r="H2736" t="s">
        <v>82</v>
      </c>
    </row>
    <row r="2737" spans="1:8" x14ac:dyDescent="0.35">
      <c r="A2737">
        <v>1014</v>
      </c>
      <c r="B2737">
        <v>4</v>
      </c>
      <c r="C2737">
        <v>59</v>
      </c>
      <c r="D2737">
        <v>1</v>
      </c>
      <c r="E2737">
        <v>2599.9899999999998</v>
      </c>
      <c r="F2737">
        <v>0.1</v>
      </c>
      <c r="G2737">
        <v>2599.94</v>
      </c>
      <c r="H2737" t="s">
        <v>60</v>
      </c>
    </row>
    <row r="2738" spans="1:8" x14ac:dyDescent="0.35">
      <c r="A2738">
        <v>1015</v>
      </c>
      <c r="B2738">
        <v>1</v>
      </c>
      <c r="C2738">
        <v>6</v>
      </c>
      <c r="D2738">
        <v>2</v>
      </c>
      <c r="E2738">
        <v>469.99</v>
      </c>
      <c r="F2738">
        <v>0.1</v>
      </c>
      <c r="G2738">
        <v>939.88</v>
      </c>
      <c r="H2738" t="s">
        <v>11</v>
      </c>
    </row>
    <row r="2739" spans="1:8" x14ac:dyDescent="0.35">
      <c r="A2739">
        <v>1015</v>
      </c>
      <c r="B2739">
        <v>2</v>
      </c>
      <c r="C2739">
        <v>73</v>
      </c>
      <c r="D2739">
        <v>2</v>
      </c>
      <c r="E2739">
        <v>749.99</v>
      </c>
      <c r="F2739">
        <v>0.2</v>
      </c>
      <c r="G2739">
        <v>1499.78</v>
      </c>
      <c r="H2739" t="s">
        <v>74</v>
      </c>
    </row>
    <row r="2740" spans="1:8" x14ac:dyDescent="0.35">
      <c r="A2740">
        <v>1015</v>
      </c>
      <c r="B2740">
        <v>3</v>
      </c>
      <c r="C2740">
        <v>101</v>
      </c>
      <c r="D2740">
        <v>2</v>
      </c>
      <c r="E2740">
        <v>339.99</v>
      </c>
      <c r="F2740">
        <v>0.1</v>
      </c>
      <c r="G2740">
        <v>679.88</v>
      </c>
      <c r="H2740" t="s">
        <v>101</v>
      </c>
    </row>
    <row r="2741" spans="1:8" x14ac:dyDescent="0.35">
      <c r="A2741">
        <v>1015</v>
      </c>
      <c r="B2741">
        <v>4</v>
      </c>
      <c r="C2741">
        <v>13</v>
      </c>
      <c r="D2741">
        <v>1</v>
      </c>
      <c r="E2741">
        <v>269.99</v>
      </c>
      <c r="F2741">
        <v>0.2</v>
      </c>
      <c r="G2741">
        <v>269.79000000000002</v>
      </c>
      <c r="H2741" t="s">
        <v>18</v>
      </c>
    </row>
    <row r="2742" spans="1:8" x14ac:dyDescent="0.35">
      <c r="A2742">
        <v>1017</v>
      </c>
      <c r="B2742">
        <v>1</v>
      </c>
      <c r="C2742">
        <v>89</v>
      </c>
      <c r="D2742">
        <v>1</v>
      </c>
      <c r="E2742">
        <v>209.99</v>
      </c>
      <c r="F2742">
        <v>0.1</v>
      </c>
      <c r="G2742">
        <v>209.92</v>
      </c>
      <c r="H2742" t="s">
        <v>90</v>
      </c>
    </row>
    <row r="2743" spans="1:8" x14ac:dyDescent="0.35">
      <c r="A2743">
        <v>1017</v>
      </c>
      <c r="B2743">
        <v>2</v>
      </c>
      <c r="C2743">
        <v>82</v>
      </c>
      <c r="D2743">
        <v>2</v>
      </c>
      <c r="E2743">
        <v>659.99</v>
      </c>
      <c r="F2743">
        <v>0.2</v>
      </c>
      <c r="G2743">
        <v>1319.78</v>
      </c>
      <c r="H2743" t="s">
        <v>83</v>
      </c>
    </row>
    <row r="2744" spans="1:8" x14ac:dyDescent="0.35">
      <c r="A2744">
        <v>1017</v>
      </c>
      <c r="B2744">
        <v>3</v>
      </c>
      <c r="C2744">
        <v>100</v>
      </c>
      <c r="D2744">
        <v>1</v>
      </c>
      <c r="E2744">
        <v>489.99</v>
      </c>
      <c r="F2744">
        <v>0.2</v>
      </c>
      <c r="G2744">
        <v>489.79</v>
      </c>
      <c r="H2744" t="s">
        <v>100</v>
      </c>
    </row>
    <row r="2745" spans="1:8" x14ac:dyDescent="0.35">
      <c r="A2745">
        <v>1017</v>
      </c>
      <c r="B2745">
        <v>4</v>
      </c>
      <c r="C2745">
        <v>18</v>
      </c>
      <c r="D2745">
        <v>2</v>
      </c>
      <c r="E2745">
        <v>449</v>
      </c>
      <c r="F2745">
        <v>0.2</v>
      </c>
      <c r="G2745">
        <v>897.8</v>
      </c>
      <c r="H2745" t="s">
        <v>23</v>
      </c>
    </row>
    <row r="2746" spans="1:8" x14ac:dyDescent="0.35">
      <c r="A2746">
        <v>1017</v>
      </c>
      <c r="B2746">
        <v>5</v>
      </c>
      <c r="C2746">
        <v>77</v>
      </c>
      <c r="D2746">
        <v>2</v>
      </c>
      <c r="E2746">
        <v>799.99</v>
      </c>
      <c r="F2746">
        <v>0.1</v>
      </c>
      <c r="G2746">
        <v>1599.88</v>
      </c>
      <c r="H2746" t="s">
        <v>78</v>
      </c>
    </row>
    <row r="2747" spans="1:8" x14ac:dyDescent="0.35">
      <c r="A2747">
        <v>1018</v>
      </c>
      <c r="B2747">
        <v>1</v>
      </c>
      <c r="C2747">
        <v>76</v>
      </c>
      <c r="D2747">
        <v>2</v>
      </c>
      <c r="E2747">
        <v>299.99</v>
      </c>
      <c r="F2747">
        <v>0.1</v>
      </c>
      <c r="G2747">
        <v>599.91</v>
      </c>
      <c r="H2747" t="s">
        <v>77</v>
      </c>
    </row>
    <row r="2748" spans="1:8" x14ac:dyDescent="0.35">
      <c r="A2748">
        <v>1018</v>
      </c>
      <c r="B2748">
        <v>2</v>
      </c>
      <c r="C2748">
        <v>97</v>
      </c>
      <c r="D2748">
        <v>2</v>
      </c>
      <c r="E2748">
        <v>349.99</v>
      </c>
      <c r="F2748">
        <v>0.1</v>
      </c>
      <c r="G2748">
        <v>699.88</v>
      </c>
      <c r="H2748" t="s">
        <v>97</v>
      </c>
    </row>
    <row r="2749" spans="1:8" x14ac:dyDescent="0.35">
      <c r="A2749">
        <v>1018</v>
      </c>
      <c r="B2749">
        <v>3</v>
      </c>
      <c r="C2749">
        <v>91</v>
      </c>
      <c r="D2749">
        <v>1</v>
      </c>
      <c r="E2749">
        <v>349.99</v>
      </c>
      <c r="F2749">
        <v>0.2</v>
      </c>
      <c r="G2749">
        <v>349.79</v>
      </c>
      <c r="H2749" t="s">
        <v>92</v>
      </c>
    </row>
    <row r="2750" spans="1:8" x14ac:dyDescent="0.35">
      <c r="A2750">
        <v>1019</v>
      </c>
      <c r="B2750">
        <v>1</v>
      </c>
      <c r="C2750">
        <v>30</v>
      </c>
      <c r="D2750">
        <v>1</v>
      </c>
      <c r="E2750">
        <v>999.99</v>
      </c>
      <c r="F2750">
        <v>0.1</v>
      </c>
      <c r="G2750">
        <v>999.89</v>
      </c>
      <c r="H2750" t="s">
        <v>31</v>
      </c>
    </row>
    <row r="2751" spans="1:8" x14ac:dyDescent="0.35">
      <c r="A2751">
        <v>1019</v>
      </c>
      <c r="B2751">
        <v>2</v>
      </c>
      <c r="C2751">
        <v>52</v>
      </c>
      <c r="D2751">
        <v>1</v>
      </c>
      <c r="E2751">
        <v>875.99</v>
      </c>
      <c r="F2751">
        <v>0.2</v>
      </c>
      <c r="G2751">
        <v>875.79</v>
      </c>
      <c r="H2751" t="s">
        <v>53</v>
      </c>
    </row>
    <row r="2752" spans="1:8" x14ac:dyDescent="0.35">
      <c r="A2752">
        <v>1019</v>
      </c>
      <c r="B2752">
        <v>3</v>
      </c>
      <c r="C2752">
        <v>37</v>
      </c>
      <c r="D2752">
        <v>1</v>
      </c>
      <c r="E2752">
        <v>379.99</v>
      </c>
      <c r="F2752">
        <v>0.1</v>
      </c>
      <c r="G2752">
        <v>379.94</v>
      </c>
      <c r="H2752" t="s">
        <v>38</v>
      </c>
    </row>
    <row r="2753" spans="1:8" x14ac:dyDescent="0.35">
      <c r="A2753">
        <v>1019</v>
      </c>
      <c r="B2753">
        <v>4</v>
      </c>
      <c r="C2753">
        <v>93</v>
      </c>
      <c r="D2753">
        <v>2</v>
      </c>
      <c r="E2753">
        <v>209.99</v>
      </c>
      <c r="F2753">
        <v>0.2</v>
      </c>
      <c r="G2753">
        <v>419.78</v>
      </c>
      <c r="H2753" t="s">
        <v>94</v>
      </c>
    </row>
    <row r="2754" spans="1:8" x14ac:dyDescent="0.35">
      <c r="A2754">
        <v>1020</v>
      </c>
      <c r="B2754">
        <v>1</v>
      </c>
      <c r="C2754">
        <v>20</v>
      </c>
      <c r="D2754">
        <v>2</v>
      </c>
      <c r="E2754">
        <v>599.99</v>
      </c>
      <c r="F2754">
        <v>0.1</v>
      </c>
      <c r="G2754">
        <v>1199.93</v>
      </c>
      <c r="H2754" t="s">
        <v>25</v>
      </c>
    </row>
    <row r="2755" spans="1:8" x14ac:dyDescent="0.35">
      <c r="A2755">
        <v>1020</v>
      </c>
      <c r="B2755">
        <v>2</v>
      </c>
      <c r="C2755">
        <v>69</v>
      </c>
      <c r="D2755">
        <v>2</v>
      </c>
      <c r="E2755">
        <v>416.99</v>
      </c>
      <c r="F2755">
        <v>0.1</v>
      </c>
      <c r="G2755">
        <v>833.93</v>
      </c>
      <c r="H2755" t="s">
        <v>70</v>
      </c>
    </row>
    <row r="2756" spans="1:8" x14ac:dyDescent="0.35">
      <c r="A2756">
        <v>1020</v>
      </c>
      <c r="B2756">
        <v>3</v>
      </c>
      <c r="C2756">
        <v>15</v>
      </c>
      <c r="D2756">
        <v>1</v>
      </c>
      <c r="E2756">
        <v>529.99</v>
      </c>
      <c r="F2756">
        <v>0.1</v>
      </c>
      <c r="G2756">
        <v>529.91999999999996</v>
      </c>
      <c r="H2756" t="s">
        <v>20</v>
      </c>
    </row>
    <row r="2757" spans="1:8" x14ac:dyDescent="0.35">
      <c r="A2757">
        <v>1020</v>
      </c>
      <c r="B2757">
        <v>4</v>
      </c>
      <c r="C2757">
        <v>57</v>
      </c>
      <c r="D2757">
        <v>2</v>
      </c>
      <c r="E2757">
        <v>1999.99</v>
      </c>
      <c r="F2757">
        <v>0.1</v>
      </c>
      <c r="G2757">
        <v>3999.88</v>
      </c>
      <c r="H2757" t="s">
        <v>58</v>
      </c>
    </row>
    <row r="2758" spans="1:8" x14ac:dyDescent="0.35">
      <c r="A2758">
        <v>1020</v>
      </c>
      <c r="B2758">
        <v>5</v>
      </c>
      <c r="C2758">
        <v>40</v>
      </c>
      <c r="D2758">
        <v>2</v>
      </c>
      <c r="E2758">
        <v>4999.99</v>
      </c>
      <c r="F2758">
        <v>0.1</v>
      </c>
      <c r="G2758">
        <v>9999.93</v>
      </c>
      <c r="H2758" t="s">
        <v>41</v>
      </c>
    </row>
    <row r="2759" spans="1:8" x14ac:dyDescent="0.35">
      <c r="A2759">
        <v>1021</v>
      </c>
      <c r="B2759">
        <v>1</v>
      </c>
      <c r="C2759">
        <v>49</v>
      </c>
      <c r="D2759">
        <v>2</v>
      </c>
      <c r="E2759">
        <v>3499.99</v>
      </c>
      <c r="F2759">
        <v>0.1</v>
      </c>
      <c r="G2759">
        <v>6999.91</v>
      </c>
      <c r="H2759" t="s">
        <v>50</v>
      </c>
    </row>
    <row r="2760" spans="1:8" x14ac:dyDescent="0.35">
      <c r="A2760">
        <v>1021</v>
      </c>
      <c r="B2760">
        <v>2</v>
      </c>
      <c r="C2760">
        <v>23</v>
      </c>
      <c r="D2760">
        <v>2</v>
      </c>
      <c r="E2760">
        <v>299.99</v>
      </c>
      <c r="F2760">
        <v>0.1</v>
      </c>
      <c r="G2760">
        <v>599.91</v>
      </c>
      <c r="H2760" t="s">
        <v>26</v>
      </c>
    </row>
    <row r="2761" spans="1:8" x14ac:dyDescent="0.35">
      <c r="A2761">
        <v>1022</v>
      </c>
      <c r="B2761">
        <v>1</v>
      </c>
      <c r="C2761">
        <v>33</v>
      </c>
      <c r="D2761">
        <v>1</v>
      </c>
      <c r="E2761">
        <v>469.99</v>
      </c>
      <c r="F2761">
        <v>0.2</v>
      </c>
      <c r="G2761">
        <v>469.79</v>
      </c>
      <c r="H2761" t="s">
        <v>34</v>
      </c>
    </row>
    <row r="2762" spans="1:8" x14ac:dyDescent="0.35">
      <c r="A2762">
        <v>1022</v>
      </c>
      <c r="B2762">
        <v>2</v>
      </c>
      <c r="C2762">
        <v>46</v>
      </c>
      <c r="D2762">
        <v>1</v>
      </c>
      <c r="E2762">
        <v>1409.99</v>
      </c>
      <c r="F2762">
        <v>0.1</v>
      </c>
      <c r="G2762">
        <v>1409.89</v>
      </c>
      <c r="H2762" t="s">
        <v>47</v>
      </c>
    </row>
    <row r="2763" spans="1:8" x14ac:dyDescent="0.35">
      <c r="A2763">
        <v>1022</v>
      </c>
      <c r="B2763">
        <v>3</v>
      </c>
      <c r="C2763">
        <v>65</v>
      </c>
      <c r="D2763">
        <v>1</v>
      </c>
      <c r="E2763">
        <v>346.99</v>
      </c>
      <c r="F2763">
        <v>0.1</v>
      </c>
      <c r="G2763">
        <v>346.92</v>
      </c>
      <c r="H2763" t="s">
        <v>66</v>
      </c>
    </row>
    <row r="2764" spans="1:8" x14ac:dyDescent="0.35">
      <c r="A2764">
        <v>1022</v>
      </c>
      <c r="B2764">
        <v>4</v>
      </c>
      <c r="C2764">
        <v>5</v>
      </c>
      <c r="D2764">
        <v>1</v>
      </c>
      <c r="E2764">
        <v>1320.99</v>
      </c>
      <c r="F2764">
        <v>0.1</v>
      </c>
      <c r="G2764">
        <v>1320.92</v>
      </c>
      <c r="H2764" t="s">
        <v>10</v>
      </c>
    </row>
    <row r="2765" spans="1:8" x14ac:dyDescent="0.35">
      <c r="A2765">
        <v>1023</v>
      </c>
      <c r="B2765">
        <v>1</v>
      </c>
      <c r="C2765">
        <v>91</v>
      </c>
      <c r="D2765">
        <v>1</v>
      </c>
      <c r="E2765">
        <v>349.99</v>
      </c>
      <c r="F2765">
        <v>0.1</v>
      </c>
      <c r="G2765">
        <v>349.92</v>
      </c>
      <c r="H2765" t="s">
        <v>92</v>
      </c>
    </row>
    <row r="2766" spans="1:8" x14ac:dyDescent="0.35">
      <c r="A2766">
        <v>1023</v>
      </c>
      <c r="B2766">
        <v>2</v>
      </c>
      <c r="C2766">
        <v>43</v>
      </c>
      <c r="D2766">
        <v>2</v>
      </c>
      <c r="E2766">
        <v>5299.99</v>
      </c>
      <c r="F2766">
        <v>0.1</v>
      </c>
      <c r="G2766">
        <v>10599.88</v>
      </c>
      <c r="H2766" t="s">
        <v>44</v>
      </c>
    </row>
    <row r="2767" spans="1:8" x14ac:dyDescent="0.35">
      <c r="A2767">
        <v>1024</v>
      </c>
      <c r="B2767">
        <v>1</v>
      </c>
      <c r="C2767">
        <v>104</v>
      </c>
      <c r="D2767">
        <v>1</v>
      </c>
      <c r="E2767">
        <v>481.99</v>
      </c>
      <c r="F2767">
        <v>0.2</v>
      </c>
      <c r="G2767">
        <v>481.79</v>
      </c>
      <c r="H2767" t="s">
        <v>103</v>
      </c>
    </row>
    <row r="2768" spans="1:8" x14ac:dyDescent="0.35">
      <c r="A2768">
        <v>1024</v>
      </c>
      <c r="B2768">
        <v>2</v>
      </c>
      <c r="C2768">
        <v>28</v>
      </c>
      <c r="D2768">
        <v>2</v>
      </c>
      <c r="E2768">
        <v>2499.9899999999998</v>
      </c>
      <c r="F2768">
        <v>0.1</v>
      </c>
      <c r="G2768">
        <v>4999.93</v>
      </c>
      <c r="H2768" t="s">
        <v>29</v>
      </c>
    </row>
    <row r="2769" spans="1:8" x14ac:dyDescent="0.35">
      <c r="A2769">
        <v>1024</v>
      </c>
      <c r="B2769">
        <v>3</v>
      </c>
      <c r="C2769">
        <v>98</v>
      </c>
      <c r="D2769">
        <v>2</v>
      </c>
      <c r="E2769">
        <v>489.99</v>
      </c>
      <c r="F2769">
        <v>0.2</v>
      </c>
      <c r="G2769">
        <v>979.78</v>
      </c>
      <c r="H2769" t="s">
        <v>98</v>
      </c>
    </row>
    <row r="2770" spans="1:8" x14ac:dyDescent="0.35">
      <c r="A2770">
        <v>1024</v>
      </c>
      <c r="B2770">
        <v>4</v>
      </c>
      <c r="C2770">
        <v>96</v>
      </c>
      <c r="D2770">
        <v>2</v>
      </c>
      <c r="E2770">
        <v>349.99</v>
      </c>
      <c r="F2770">
        <v>0.1</v>
      </c>
      <c r="G2770">
        <v>699.88</v>
      </c>
      <c r="H2770" t="s">
        <v>96</v>
      </c>
    </row>
    <row r="2771" spans="1:8" x14ac:dyDescent="0.35">
      <c r="A2771">
        <v>1024</v>
      </c>
      <c r="B2771">
        <v>5</v>
      </c>
      <c r="C2771">
        <v>91</v>
      </c>
      <c r="D2771">
        <v>1</v>
      </c>
      <c r="E2771">
        <v>349.99</v>
      </c>
      <c r="F2771">
        <v>0.2</v>
      </c>
      <c r="G2771">
        <v>349.79</v>
      </c>
      <c r="H2771" t="s">
        <v>92</v>
      </c>
    </row>
    <row r="2772" spans="1:8" x14ac:dyDescent="0.35">
      <c r="A2772">
        <v>1025</v>
      </c>
      <c r="B2772">
        <v>1</v>
      </c>
      <c r="C2772">
        <v>89</v>
      </c>
      <c r="D2772">
        <v>1</v>
      </c>
      <c r="E2772">
        <v>209.99</v>
      </c>
      <c r="F2772">
        <v>0.1</v>
      </c>
      <c r="G2772">
        <v>209.92</v>
      </c>
      <c r="H2772" t="s">
        <v>90</v>
      </c>
    </row>
    <row r="2773" spans="1:8" x14ac:dyDescent="0.35">
      <c r="A2773">
        <v>1025</v>
      </c>
      <c r="B2773">
        <v>2</v>
      </c>
      <c r="C2773">
        <v>102</v>
      </c>
      <c r="D2773">
        <v>1</v>
      </c>
      <c r="E2773">
        <v>489.99</v>
      </c>
      <c r="F2773">
        <v>0.1</v>
      </c>
      <c r="G2773">
        <v>489.89</v>
      </c>
      <c r="H2773" t="s">
        <v>65</v>
      </c>
    </row>
    <row r="2774" spans="1:8" x14ac:dyDescent="0.35">
      <c r="A2774">
        <v>1025</v>
      </c>
      <c r="B2774">
        <v>3</v>
      </c>
      <c r="C2774">
        <v>39</v>
      </c>
      <c r="D2774">
        <v>1</v>
      </c>
      <c r="E2774">
        <v>1499.99</v>
      </c>
      <c r="F2774">
        <v>0.1</v>
      </c>
      <c r="G2774">
        <v>1499.89</v>
      </c>
      <c r="H2774" t="s">
        <v>40</v>
      </c>
    </row>
    <row r="2775" spans="1:8" x14ac:dyDescent="0.35">
      <c r="A2775">
        <v>1025</v>
      </c>
      <c r="B2775">
        <v>4</v>
      </c>
      <c r="C2775">
        <v>15</v>
      </c>
      <c r="D2775">
        <v>1</v>
      </c>
      <c r="E2775">
        <v>529.99</v>
      </c>
      <c r="F2775">
        <v>0.1</v>
      </c>
      <c r="G2775">
        <v>529.94000000000005</v>
      </c>
      <c r="H2775" t="s">
        <v>20</v>
      </c>
    </row>
    <row r="2776" spans="1:8" x14ac:dyDescent="0.35">
      <c r="A2776">
        <v>1025</v>
      </c>
      <c r="B2776">
        <v>5</v>
      </c>
      <c r="C2776">
        <v>66</v>
      </c>
      <c r="D2776">
        <v>2</v>
      </c>
      <c r="E2776">
        <v>250.99</v>
      </c>
      <c r="F2776">
        <v>0.1</v>
      </c>
      <c r="G2776">
        <v>501.93</v>
      </c>
      <c r="H2776" t="s">
        <v>67</v>
      </c>
    </row>
    <row r="2777" spans="1:8" x14ac:dyDescent="0.35">
      <c r="A2777">
        <v>1027</v>
      </c>
      <c r="B2777">
        <v>1</v>
      </c>
      <c r="C2777">
        <v>95</v>
      </c>
      <c r="D2777">
        <v>2</v>
      </c>
      <c r="E2777">
        <v>299.99</v>
      </c>
      <c r="F2777">
        <v>0.1</v>
      </c>
      <c r="G2777">
        <v>599.88</v>
      </c>
      <c r="H2777" t="s">
        <v>77</v>
      </c>
    </row>
    <row r="2778" spans="1:8" x14ac:dyDescent="0.35">
      <c r="A2778">
        <v>1027</v>
      </c>
      <c r="B2778">
        <v>2</v>
      </c>
      <c r="C2778">
        <v>14</v>
      </c>
      <c r="D2778">
        <v>2</v>
      </c>
      <c r="E2778">
        <v>269.99</v>
      </c>
      <c r="F2778">
        <v>0.1</v>
      </c>
      <c r="G2778">
        <v>539.92999999999995</v>
      </c>
      <c r="H2778" t="s">
        <v>19</v>
      </c>
    </row>
    <row r="2779" spans="1:8" x14ac:dyDescent="0.35">
      <c r="A2779">
        <v>1028</v>
      </c>
      <c r="B2779">
        <v>1</v>
      </c>
      <c r="C2779">
        <v>111</v>
      </c>
      <c r="D2779">
        <v>2</v>
      </c>
      <c r="E2779">
        <v>470.99</v>
      </c>
      <c r="F2779">
        <v>0.1</v>
      </c>
      <c r="G2779">
        <v>941.88</v>
      </c>
      <c r="H2779" t="s">
        <v>108</v>
      </c>
    </row>
    <row r="2780" spans="1:8" x14ac:dyDescent="0.35">
      <c r="A2780">
        <v>1028</v>
      </c>
      <c r="B2780">
        <v>2</v>
      </c>
      <c r="C2780">
        <v>10</v>
      </c>
      <c r="D2780">
        <v>1</v>
      </c>
      <c r="E2780">
        <v>1549</v>
      </c>
      <c r="F2780">
        <v>0.2</v>
      </c>
      <c r="G2780">
        <v>1548.8</v>
      </c>
      <c r="H2780" t="s">
        <v>15</v>
      </c>
    </row>
    <row r="2781" spans="1:8" x14ac:dyDescent="0.35">
      <c r="A2781">
        <v>1028</v>
      </c>
      <c r="B2781">
        <v>3</v>
      </c>
      <c r="C2781">
        <v>41</v>
      </c>
      <c r="D2781">
        <v>1</v>
      </c>
      <c r="E2781">
        <v>1469.99</v>
      </c>
      <c r="F2781">
        <v>0.2</v>
      </c>
      <c r="G2781">
        <v>1469.79</v>
      </c>
      <c r="H2781" t="s">
        <v>42</v>
      </c>
    </row>
    <row r="2782" spans="1:8" x14ac:dyDescent="0.35">
      <c r="A2782">
        <v>1028</v>
      </c>
      <c r="B2782">
        <v>4</v>
      </c>
      <c r="C2782">
        <v>35</v>
      </c>
      <c r="D2782">
        <v>2</v>
      </c>
      <c r="E2782">
        <v>832.99</v>
      </c>
      <c r="F2782">
        <v>0.1</v>
      </c>
      <c r="G2782">
        <v>1665.88</v>
      </c>
      <c r="H2782" t="s">
        <v>36</v>
      </c>
    </row>
    <row r="2783" spans="1:8" x14ac:dyDescent="0.35">
      <c r="A2783">
        <v>1028</v>
      </c>
      <c r="B2783">
        <v>5</v>
      </c>
      <c r="C2783">
        <v>108</v>
      </c>
      <c r="D2783">
        <v>1</v>
      </c>
      <c r="E2783">
        <v>449.99</v>
      </c>
      <c r="F2783">
        <v>0.2</v>
      </c>
      <c r="G2783">
        <v>449.79</v>
      </c>
      <c r="H2783" t="s">
        <v>105</v>
      </c>
    </row>
    <row r="2784" spans="1:8" x14ac:dyDescent="0.35">
      <c r="A2784">
        <v>1029</v>
      </c>
      <c r="B2784">
        <v>1</v>
      </c>
      <c r="C2784">
        <v>20</v>
      </c>
      <c r="D2784">
        <v>1</v>
      </c>
      <c r="E2784">
        <v>599.99</v>
      </c>
      <c r="F2784">
        <v>0.2</v>
      </c>
      <c r="G2784">
        <v>599.79</v>
      </c>
      <c r="H2784" t="s">
        <v>25</v>
      </c>
    </row>
    <row r="2785" spans="1:8" x14ac:dyDescent="0.35">
      <c r="A2785">
        <v>1029</v>
      </c>
      <c r="B2785">
        <v>2</v>
      </c>
      <c r="C2785">
        <v>55</v>
      </c>
      <c r="D2785">
        <v>1</v>
      </c>
      <c r="E2785">
        <v>2699.99</v>
      </c>
      <c r="F2785">
        <v>0.1</v>
      </c>
      <c r="G2785">
        <v>2699.89</v>
      </c>
      <c r="H2785" t="s">
        <v>56</v>
      </c>
    </row>
    <row r="2786" spans="1:8" x14ac:dyDescent="0.35">
      <c r="A2786">
        <v>1029</v>
      </c>
      <c r="B2786">
        <v>3</v>
      </c>
      <c r="C2786">
        <v>40</v>
      </c>
      <c r="D2786">
        <v>1</v>
      </c>
      <c r="E2786">
        <v>4999.99</v>
      </c>
      <c r="F2786">
        <v>0.2</v>
      </c>
      <c r="G2786">
        <v>4999.79</v>
      </c>
      <c r="H2786" t="s">
        <v>41</v>
      </c>
    </row>
    <row r="2787" spans="1:8" x14ac:dyDescent="0.35">
      <c r="A2787">
        <v>1029</v>
      </c>
      <c r="B2787">
        <v>4</v>
      </c>
      <c r="C2787">
        <v>68</v>
      </c>
      <c r="D2787">
        <v>2</v>
      </c>
      <c r="E2787">
        <v>449.99</v>
      </c>
      <c r="F2787">
        <v>0.1</v>
      </c>
      <c r="G2787">
        <v>899.88</v>
      </c>
      <c r="H2787" t="s">
        <v>69</v>
      </c>
    </row>
    <row r="2788" spans="1:8" x14ac:dyDescent="0.35">
      <c r="A2788">
        <v>1030</v>
      </c>
      <c r="B2788">
        <v>1</v>
      </c>
      <c r="C2788">
        <v>27</v>
      </c>
      <c r="D2788">
        <v>1</v>
      </c>
      <c r="E2788">
        <v>999.99</v>
      </c>
      <c r="F2788">
        <v>0.1</v>
      </c>
      <c r="G2788">
        <v>999.94</v>
      </c>
      <c r="H2788" t="s">
        <v>28</v>
      </c>
    </row>
    <row r="2789" spans="1:8" x14ac:dyDescent="0.35">
      <c r="A2789">
        <v>1030</v>
      </c>
      <c r="B2789">
        <v>2</v>
      </c>
      <c r="C2789">
        <v>10</v>
      </c>
      <c r="D2789">
        <v>2</v>
      </c>
      <c r="E2789">
        <v>1549</v>
      </c>
      <c r="F2789">
        <v>0.1</v>
      </c>
      <c r="G2789">
        <v>3097.9</v>
      </c>
      <c r="H2789" t="s">
        <v>15</v>
      </c>
    </row>
    <row r="2790" spans="1:8" x14ac:dyDescent="0.35">
      <c r="A2790">
        <v>1030</v>
      </c>
      <c r="B2790">
        <v>3</v>
      </c>
      <c r="C2790">
        <v>72</v>
      </c>
      <c r="D2790">
        <v>1</v>
      </c>
      <c r="E2790">
        <v>619.99</v>
      </c>
      <c r="F2790">
        <v>0.1</v>
      </c>
      <c r="G2790">
        <v>619.89</v>
      </c>
      <c r="H2790" t="s">
        <v>73</v>
      </c>
    </row>
    <row r="2791" spans="1:8" x14ac:dyDescent="0.35">
      <c r="A2791">
        <v>1031</v>
      </c>
      <c r="B2791">
        <v>1</v>
      </c>
      <c r="C2791">
        <v>27</v>
      </c>
      <c r="D2791">
        <v>2</v>
      </c>
      <c r="E2791">
        <v>999.99</v>
      </c>
      <c r="F2791">
        <v>0.2</v>
      </c>
      <c r="G2791">
        <v>1999.78</v>
      </c>
      <c r="H2791" t="s">
        <v>28</v>
      </c>
    </row>
    <row r="2792" spans="1:8" x14ac:dyDescent="0.35">
      <c r="A2792">
        <v>1031</v>
      </c>
      <c r="B2792">
        <v>2</v>
      </c>
      <c r="C2792">
        <v>108</v>
      </c>
      <c r="D2792">
        <v>2</v>
      </c>
      <c r="E2792">
        <v>449.99</v>
      </c>
      <c r="F2792">
        <v>0.2</v>
      </c>
      <c r="G2792">
        <v>899.78</v>
      </c>
      <c r="H2792" t="s">
        <v>105</v>
      </c>
    </row>
    <row r="2793" spans="1:8" x14ac:dyDescent="0.35">
      <c r="A2793">
        <v>1032</v>
      </c>
      <c r="B2793">
        <v>1</v>
      </c>
      <c r="C2793">
        <v>60</v>
      </c>
      <c r="D2793">
        <v>2</v>
      </c>
      <c r="E2793">
        <v>1559.99</v>
      </c>
      <c r="F2793">
        <v>0.1</v>
      </c>
      <c r="G2793">
        <v>3119.88</v>
      </c>
      <c r="H2793" t="s">
        <v>61</v>
      </c>
    </row>
    <row r="2794" spans="1:8" x14ac:dyDescent="0.35">
      <c r="A2794">
        <v>1032</v>
      </c>
      <c r="B2794">
        <v>2</v>
      </c>
      <c r="C2794">
        <v>17</v>
      </c>
      <c r="D2794">
        <v>1</v>
      </c>
      <c r="E2794">
        <v>429</v>
      </c>
      <c r="F2794">
        <v>0.1</v>
      </c>
      <c r="G2794">
        <v>428.9</v>
      </c>
      <c r="H2794" t="s">
        <v>22</v>
      </c>
    </row>
    <row r="2795" spans="1:8" x14ac:dyDescent="0.35">
      <c r="A2795">
        <v>1033</v>
      </c>
      <c r="B2795">
        <v>1</v>
      </c>
      <c r="C2795">
        <v>26</v>
      </c>
      <c r="D2795">
        <v>1</v>
      </c>
      <c r="E2795">
        <v>599.99</v>
      </c>
      <c r="F2795">
        <v>0.1</v>
      </c>
      <c r="G2795">
        <v>599.91999999999996</v>
      </c>
      <c r="H2795" t="s">
        <v>21</v>
      </c>
    </row>
    <row r="2796" spans="1:8" x14ac:dyDescent="0.35">
      <c r="A2796">
        <v>1033</v>
      </c>
      <c r="B2796">
        <v>2</v>
      </c>
      <c r="C2796">
        <v>109</v>
      </c>
      <c r="D2796">
        <v>2</v>
      </c>
      <c r="E2796">
        <v>416.99</v>
      </c>
      <c r="F2796">
        <v>0.1</v>
      </c>
      <c r="G2796">
        <v>833.88</v>
      </c>
      <c r="H2796" t="s">
        <v>106</v>
      </c>
    </row>
    <row r="2797" spans="1:8" x14ac:dyDescent="0.35">
      <c r="A2797">
        <v>1033</v>
      </c>
      <c r="B2797">
        <v>3</v>
      </c>
      <c r="C2797">
        <v>27</v>
      </c>
      <c r="D2797">
        <v>2</v>
      </c>
      <c r="E2797">
        <v>999.99</v>
      </c>
      <c r="F2797">
        <v>0.1</v>
      </c>
      <c r="G2797">
        <v>1999.91</v>
      </c>
      <c r="H2797" t="s">
        <v>28</v>
      </c>
    </row>
    <row r="2798" spans="1:8" x14ac:dyDescent="0.35">
      <c r="A2798">
        <v>1034</v>
      </c>
      <c r="B2798">
        <v>1</v>
      </c>
      <c r="C2798">
        <v>101</v>
      </c>
      <c r="D2798">
        <v>1</v>
      </c>
      <c r="E2798">
        <v>339.99</v>
      </c>
      <c r="F2798">
        <v>0.1</v>
      </c>
      <c r="G2798">
        <v>339.89</v>
      </c>
      <c r="H2798" t="s">
        <v>101</v>
      </c>
    </row>
    <row r="2799" spans="1:8" x14ac:dyDescent="0.35">
      <c r="A2799">
        <v>1034</v>
      </c>
      <c r="B2799">
        <v>2</v>
      </c>
      <c r="C2799">
        <v>8</v>
      </c>
      <c r="D2799">
        <v>2</v>
      </c>
      <c r="E2799">
        <v>1799.99</v>
      </c>
      <c r="F2799">
        <v>0.1</v>
      </c>
      <c r="G2799">
        <v>3599.88</v>
      </c>
      <c r="H2799" t="s">
        <v>13</v>
      </c>
    </row>
    <row r="2800" spans="1:8" x14ac:dyDescent="0.35">
      <c r="A2800">
        <v>1034</v>
      </c>
      <c r="B2800">
        <v>3</v>
      </c>
      <c r="C2800">
        <v>11</v>
      </c>
      <c r="D2800">
        <v>2</v>
      </c>
      <c r="E2800">
        <v>1680.99</v>
      </c>
      <c r="F2800">
        <v>0.1</v>
      </c>
      <c r="G2800">
        <v>3361.91</v>
      </c>
      <c r="H2800" t="s">
        <v>16</v>
      </c>
    </row>
    <row r="2801" spans="1:8" x14ac:dyDescent="0.35">
      <c r="A2801">
        <v>1034</v>
      </c>
      <c r="B2801">
        <v>4</v>
      </c>
      <c r="C2801">
        <v>21</v>
      </c>
      <c r="D2801">
        <v>1</v>
      </c>
      <c r="E2801">
        <v>269.99</v>
      </c>
      <c r="F2801">
        <v>0.1</v>
      </c>
      <c r="G2801">
        <v>269.94</v>
      </c>
      <c r="H2801" t="s">
        <v>18</v>
      </c>
    </row>
    <row r="2802" spans="1:8" x14ac:dyDescent="0.35">
      <c r="A2802">
        <v>1036</v>
      </c>
      <c r="B2802">
        <v>1</v>
      </c>
      <c r="C2802">
        <v>55</v>
      </c>
      <c r="D2802">
        <v>2</v>
      </c>
      <c r="E2802">
        <v>2699.99</v>
      </c>
      <c r="F2802">
        <v>0.1</v>
      </c>
      <c r="G2802">
        <v>5399.88</v>
      </c>
      <c r="H2802" t="s">
        <v>56</v>
      </c>
    </row>
    <row r="2803" spans="1:8" x14ac:dyDescent="0.35">
      <c r="A2803">
        <v>1036</v>
      </c>
      <c r="B2803">
        <v>2</v>
      </c>
      <c r="C2803">
        <v>76</v>
      </c>
      <c r="D2803">
        <v>1</v>
      </c>
      <c r="E2803">
        <v>299.99</v>
      </c>
      <c r="F2803">
        <v>0.1</v>
      </c>
      <c r="G2803">
        <v>299.92</v>
      </c>
      <c r="H2803" t="s">
        <v>77</v>
      </c>
    </row>
    <row r="2804" spans="1:8" x14ac:dyDescent="0.35">
      <c r="A2804">
        <v>1036</v>
      </c>
      <c r="B2804">
        <v>3</v>
      </c>
      <c r="C2804">
        <v>18</v>
      </c>
      <c r="D2804">
        <v>2</v>
      </c>
      <c r="E2804">
        <v>449</v>
      </c>
      <c r="F2804">
        <v>0.1</v>
      </c>
      <c r="G2804">
        <v>897.95</v>
      </c>
      <c r="H2804" t="s">
        <v>23</v>
      </c>
    </row>
    <row r="2805" spans="1:8" x14ac:dyDescent="0.35">
      <c r="A2805">
        <v>1036</v>
      </c>
      <c r="B2805">
        <v>4</v>
      </c>
      <c r="C2805">
        <v>65</v>
      </c>
      <c r="D2805">
        <v>2</v>
      </c>
      <c r="E2805">
        <v>346.99</v>
      </c>
      <c r="F2805">
        <v>0.2</v>
      </c>
      <c r="G2805">
        <v>693.78</v>
      </c>
      <c r="H2805" t="s">
        <v>66</v>
      </c>
    </row>
    <row r="2806" spans="1:8" x14ac:dyDescent="0.35">
      <c r="A2806">
        <v>1036</v>
      </c>
      <c r="B2806">
        <v>5</v>
      </c>
      <c r="C2806">
        <v>12</v>
      </c>
      <c r="D2806">
        <v>1</v>
      </c>
      <c r="E2806">
        <v>549.99</v>
      </c>
      <c r="F2806">
        <v>0.2</v>
      </c>
      <c r="G2806">
        <v>549.79</v>
      </c>
      <c r="H2806" t="s">
        <v>17</v>
      </c>
    </row>
    <row r="2807" spans="1:8" x14ac:dyDescent="0.35">
      <c r="A2807">
        <v>1037</v>
      </c>
      <c r="B2807">
        <v>1</v>
      </c>
      <c r="C2807">
        <v>74</v>
      </c>
      <c r="D2807">
        <v>2</v>
      </c>
      <c r="E2807">
        <v>439.99</v>
      </c>
      <c r="F2807">
        <v>0.1</v>
      </c>
      <c r="G2807">
        <v>879.91</v>
      </c>
      <c r="H2807" t="s">
        <v>75</v>
      </c>
    </row>
    <row r="2808" spans="1:8" x14ac:dyDescent="0.35">
      <c r="A2808">
        <v>1037</v>
      </c>
      <c r="B2808">
        <v>2</v>
      </c>
      <c r="C2808">
        <v>3</v>
      </c>
      <c r="D2808">
        <v>1</v>
      </c>
      <c r="E2808">
        <v>999.99</v>
      </c>
      <c r="F2808">
        <v>0.1</v>
      </c>
      <c r="G2808">
        <v>999.92</v>
      </c>
      <c r="H2808" t="s">
        <v>8</v>
      </c>
    </row>
    <row r="2809" spans="1:8" x14ac:dyDescent="0.35">
      <c r="A2809">
        <v>1037</v>
      </c>
      <c r="B2809">
        <v>3</v>
      </c>
      <c r="C2809">
        <v>65</v>
      </c>
      <c r="D2809">
        <v>2</v>
      </c>
      <c r="E2809">
        <v>346.99</v>
      </c>
      <c r="F2809">
        <v>0.2</v>
      </c>
      <c r="G2809">
        <v>693.78</v>
      </c>
      <c r="H2809" t="s">
        <v>66</v>
      </c>
    </row>
    <row r="2810" spans="1:8" x14ac:dyDescent="0.35">
      <c r="A2810">
        <v>1037</v>
      </c>
      <c r="B2810">
        <v>4</v>
      </c>
      <c r="C2810">
        <v>92</v>
      </c>
      <c r="D2810">
        <v>1</v>
      </c>
      <c r="E2810">
        <v>209.99</v>
      </c>
      <c r="F2810">
        <v>0.1</v>
      </c>
      <c r="G2810">
        <v>209.92</v>
      </c>
      <c r="H2810" t="s">
        <v>93</v>
      </c>
    </row>
    <row r="2811" spans="1:8" x14ac:dyDescent="0.35">
      <c r="A2811">
        <v>1037</v>
      </c>
      <c r="B2811">
        <v>5</v>
      </c>
      <c r="C2811">
        <v>84</v>
      </c>
      <c r="D2811">
        <v>2</v>
      </c>
      <c r="E2811">
        <v>109.99</v>
      </c>
      <c r="F2811">
        <v>0.1</v>
      </c>
      <c r="G2811">
        <v>219.93</v>
      </c>
      <c r="H2811" t="s">
        <v>85</v>
      </c>
    </row>
    <row r="2812" spans="1:8" x14ac:dyDescent="0.35">
      <c r="A2812">
        <v>1038</v>
      </c>
      <c r="B2812">
        <v>1</v>
      </c>
      <c r="C2812">
        <v>83</v>
      </c>
      <c r="D2812">
        <v>1</v>
      </c>
      <c r="E2812">
        <v>149.99</v>
      </c>
      <c r="F2812">
        <v>0.1</v>
      </c>
      <c r="G2812">
        <v>149.94</v>
      </c>
      <c r="H2812" t="s">
        <v>84</v>
      </c>
    </row>
    <row r="2813" spans="1:8" x14ac:dyDescent="0.35">
      <c r="A2813">
        <v>1038</v>
      </c>
      <c r="B2813">
        <v>2</v>
      </c>
      <c r="C2813">
        <v>9</v>
      </c>
      <c r="D2813">
        <v>1</v>
      </c>
      <c r="E2813">
        <v>2999.99</v>
      </c>
      <c r="F2813">
        <v>0.1</v>
      </c>
      <c r="G2813">
        <v>2999.92</v>
      </c>
      <c r="H2813" t="s">
        <v>14</v>
      </c>
    </row>
    <row r="2814" spans="1:8" x14ac:dyDescent="0.35">
      <c r="A2814">
        <v>1040</v>
      </c>
      <c r="B2814">
        <v>1</v>
      </c>
      <c r="C2814">
        <v>97</v>
      </c>
      <c r="D2814">
        <v>1</v>
      </c>
      <c r="E2814">
        <v>349.99</v>
      </c>
      <c r="F2814">
        <v>0.1</v>
      </c>
      <c r="G2814">
        <v>349.89</v>
      </c>
      <c r="H2814" t="s">
        <v>97</v>
      </c>
    </row>
    <row r="2815" spans="1:8" x14ac:dyDescent="0.35">
      <c r="A2815">
        <v>1040</v>
      </c>
      <c r="B2815">
        <v>2</v>
      </c>
      <c r="C2815">
        <v>28</v>
      </c>
      <c r="D2815">
        <v>2</v>
      </c>
      <c r="E2815">
        <v>2499.9899999999998</v>
      </c>
      <c r="F2815">
        <v>0.2</v>
      </c>
      <c r="G2815">
        <v>4999.78</v>
      </c>
      <c r="H2815" t="s">
        <v>29</v>
      </c>
    </row>
    <row r="2816" spans="1:8" x14ac:dyDescent="0.35">
      <c r="A2816">
        <v>1040</v>
      </c>
      <c r="B2816">
        <v>3</v>
      </c>
      <c r="C2816">
        <v>64</v>
      </c>
      <c r="D2816">
        <v>1</v>
      </c>
      <c r="E2816">
        <v>489.99</v>
      </c>
      <c r="F2816">
        <v>0.1</v>
      </c>
      <c r="G2816">
        <v>489.92</v>
      </c>
      <c r="H2816" t="s">
        <v>65</v>
      </c>
    </row>
    <row r="2817" spans="1:8" x14ac:dyDescent="0.35">
      <c r="A2817">
        <v>1040</v>
      </c>
      <c r="B2817">
        <v>4</v>
      </c>
      <c r="C2817">
        <v>27</v>
      </c>
      <c r="D2817">
        <v>2</v>
      </c>
      <c r="E2817">
        <v>999.99</v>
      </c>
      <c r="F2817">
        <v>0.1</v>
      </c>
      <c r="G2817">
        <v>1999.91</v>
      </c>
      <c r="H2817" t="s">
        <v>28</v>
      </c>
    </row>
    <row r="2818" spans="1:8" x14ac:dyDescent="0.35">
      <c r="A2818">
        <v>1040</v>
      </c>
      <c r="B2818">
        <v>5</v>
      </c>
      <c r="C2818">
        <v>8</v>
      </c>
      <c r="D2818">
        <v>2</v>
      </c>
      <c r="E2818">
        <v>1799.99</v>
      </c>
      <c r="F2818">
        <v>0.1</v>
      </c>
      <c r="G2818">
        <v>3599.93</v>
      </c>
      <c r="H2818" t="s">
        <v>13</v>
      </c>
    </row>
    <row r="2819" spans="1:8" x14ac:dyDescent="0.35">
      <c r="A2819">
        <v>1041</v>
      </c>
      <c r="B2819">
        <v>1</v>
      </c>
      <c r="C2819">
        <v>89</v>
      </c>
      <c r="D2819">
        <v>1</v>
      </c>
      <c r="E2819">
        <v>209.99</v>
      </c>
      <c r="F2819">
        <v>0.1</v>
      </c>
      <c r="G2819">
        <v>209.89</v>
      </c>
      <c r="H2819" t="s">
        <v>90</v>
      </c>
    </row>
    <row r="2820" spans="1:8" x14ac:dyDescent="0.35">
      <c r="A2820">
        <v>1041</v>
      </c>
      <c r="B2820">
        <v>2</v>
      </c>
      <c r="C2820">
        <v>61</v>
      </c>
      <c r="D2820">
        <v>2</v>
      </c>
      <c r="E2820">
        <v>4999.99</v>
      </c>
      <c r="F2820">
        <v>0.1</v>
      </c>
      <c r="G2820">
        <v>9999.91</v>
      </c>
      <c r="H2820" t="s">
        <v>62</v>
      </c>
    </row>
    <row r="2821" spans="1:8" x14ac:dyDescent="0.35">
      <c r="A2821">
        <v>1041</v>
      </c>
      <c r="B2821">
        <v>3</v>
      </c>
      <c r="C2821">
        <v>94</v>
      </c>
      <c r="D2821">
        <v>2</v>
      </c>
      <c r="E2821">
        <v>249.99</v>
      </c>
      <c r="F2821">
        <v>0.1</v>
      </c>
      <c r="G2821">
        <v>499.88</v>
      </c>
      <c r="H2821" t="s">
        <v>95</v>
      </c>
    </row>
    <row r="2822" spans="1:8" x14ac:dyDescent="0.35">
      <c r="A2822">
        <v>1043</v>
      </c>
      <c r="B2822">
        <v>1</v>
      </c>
      <c r="C2822">
        <v>55</v>
      </c>
      <c r="D2822">
        <v>2</v>
      </c>
      <c r="E2822">
        <v>2699.99</v>
      </c>
      <c r="F2822">
        <v>0.1</v>
      </c>
      <c r="G2822">
        <v>5399.88</v>
      </c>
      <c r="H2822" t="s">
        <v>56</v>
      </c>
    </row>
    <row r="2823" spans="1:8" x14ac:dyDescent="0.35">
      <c r="A2823">
        <v>1043</v>
      </c>
      <c r="B2823">
        <v>2</v>
      </c>
      <c r="C2823">
        <v>20</v>
      </c>
      <c r="D2823">
        <v>1</v>
      </c>
      <c r="E2823">
        <v>599.99</v>
      </c>
      <c r="F2823">
        <v>0.1</v>
      </c>
      <c r="G2823">
        <v>599.91999999999996</v>
      </c>
      <c r="H2823" t="s">
        <v>25</v>
      </c>
    </row>
    <row r="2824" spans="1:8" x14ac:dyDescent="0.35">
      <c r="A2824">
        <v>1045</v>
      </c>
      <c r="B2824">
        <v>1</v>
      </c>
      <c r="C2824">
        <v>28</v>
      </c>
      <c r="D2824">
        <v>1</v>
      </c>
      <c r="E2824">
        <v>2499.9899999999998</v>
      </c>
      <c r="F2824">
        <v>0.1</v>
      </c>
      <c r="G2824">
        <v>2499.94</v>
      </c>
      <c r="H2824" t="s">
        <v>29</v>
      </c>
    </row>
    <row r="2825" spans="1:8" x14ac:dyDescent="0.35">
      <c r="A2825">
        <v>1045</v>
      </c>
      <c r="B2825">
        <v>2</v>
      </c>
      <c r="C2825">
        <v>104</v>
      </c>
      <c r="D2825">
        <v>2</v>
      </c>
      <c r="E2825">
        <v>481.99</v>
      </c>
      <c r="F2825">
        <v>0.1</v>
      </c>
      <c r="G2825">
        <v>963.93</v>
      </c>
      <c r="H2825" t="s">
        <v>103</v>
      </c>
    </row>
    <row r="2826" spans="1:8" x14ac:dyDescent="0.35">
      <c r="A2826">
        <v>1046</v>
      </c>
      <c r="B2826">
        <v>1</v>
      </c>
      <c r="C2826">
        <v>60</v>
      </c>
      <c r="D2826">
        <v>1</v>
      </c>
      <c r="E2826">
        <v>1559.99</v>
      </c>
      <c r="F2826">
        <v>0.1</v>
      </c>
      <c r="G2826">
        <v>1559.92</v>
      </c>
      <c r="H2826" t="s">
        <v>61</v>
      </c>
    </row>
    <row r="2827" spans="1:8" x14ac:dyDescent="0.35">
      <c r="A2827">
        <v>1046</v>
      </c>
      <c r="B2827">
        <v>2</v>
      </c>
      <c r="C2827">
        <v>79</v>
      </c>
      <c r="D2827">
        <v>1</v>
      </c>
      <c r="E2827">
        <v>402.99</v>
      </c>
      <c r="F2827">
        <v>0.1</v>
      </c>
      <c r="G2827">
        <v>402.92</v>
      </c>
      <c r="H2827" t="s">
        <v>80</v>
      </c>
    </row>
    <row r="2828" spans="1:8" x14ac:dyDescent="0.35">
      <c r="A2828">
        <v>1046</v>
      </c>
      <c r="B2828">
        <v>3</v>
      </c>
      <c r="C2828">
        <v>32</v>
      </c>
      <c r="D2828">
        <v>1</v>
      </c>
      <c r="E2828">
        <v>469.99</v>
      </c>
      <c r="F2828">
        <v>0.1</v>
      </c>
      <c r="G2828">
        <v>469.92</v>
      </c>
      <c r="H2828" t="s">
        <v>33</v>
      </c>
    </row>
    <row r="2829" spans="1:8" x14ac:dyDescent="0.35">
      <c r="A2829">
        <v>1046</v>
      </c>
      <c r="B2829">
        <v>4</v>
      </c>
      <c r="C2829">
        <v>41</v>
      </c>
      <c r="D2829">
        <v>2</v>
      </c>
      <c r="E2829">
        <v>1469.99</v>
      </c>
      <c r="F2829">
        <v>0.1</v>
      </c>
      <c r="G2829">
        <v>2939.88</v>
      </c>
      <c r="H2829" t="s">
        <v>42</v>
      </c>
    </row>
    <row r="2830" spans="1:8" x14ac:dyDescent="0.35">
      <c r="A2830">
        <v>1046</v>
      </c>
      <c r="B2830">
        <v>5</v>
      </c>
      <c r="C2830">
        <v>17</v>
      </c>
      <c r="D2830">
        <v>2</v>
      </c>
      <c r="E2830">
        <v>429</v>
      </c>
      <c r="F2830">
        <v>0.1</v>
      </c>
      <c r="G2830">
        <v>857.95</v>
      </c>
      <c r="H2830" t="s">
        <v>22</v>
      </c>
    </row>
    <row r="2831" spans="1:8" x14ac:dyDescent="0.35">
      <c r="A2831">
        <v>1047</v>
      </c>
      <c r="B2831">
        <v>1</v>
      </c>
      <c r="C2831">
        <v>28</v>
      </c>
      <c r="D2831">
        <v>2</v>
      </c>
      <c r="E2831">
        <v>2499.9899999999998</v>
      </c>
      <c r="F2831">
        <v>0.1</v>
      </c>
      <c r="G2831">
        <v>4999.88</v>
      </c>
      <c r="H2831" t="s">
        <v>29</v>
      </c>
    </row>
    <row r="2832" spans="1:8" x14ac:dyDescent="0.35">
      <c r="A2832">
        <v>1047</v>
      </c>
      <c r="B2832">
        <v>2</v>
      </c>
      <c r="C2832">
        <v>78</v>
      </c>
      <c r="D2832">
        <v>1</v>
      </c>
      <c r="E2832">
        <v>647.99</v>
      </c>
      <c r="F2832">
        <v>0.2</v>
      </c>
      <c r="G2832">
        <v>647.79</v>
      </c>
      <c r="H2832" t="s">
        <v>79</v>
      </c>
    </row>
    <row r="2833" spans="1:8" x14ac:dyDescent="0.35">
      <c r="A2833">
        <v>1047</v>
      </c>
      <c r="B2833">
        <v>3</v>
      </c>
      <c r="C2833">
        <v>35</v>
      </c>
      <c r="D2833">
        <v>1</v>
      </c>
      <c r="E2833">
        <v>832.99</v>
      </c>
      <c r="F2833">
        <v>0.1</v>
      </c>
      <c r="G2833">
        <v>832.94</v>
      </c>
      <c r="H2833" t="s">
        <v>36</v>
      </c>
    </row>
    <row r="2834" spans="1:8" x14ac:dyDescent="0.35">
      <c r="A2834">
        <v>1047</v>
      </c>
      <c r="B2834">
        <v>4</v>
      </c>
      <c r="C2834">
        <v>49</v>
      </c>
      <c r="D2834">
        <v>1</v>
      </c>
      <c r="E2834">
        <v>3499.99</v>
      </c>
      <c r="F2834">
        <v>0.1</v>
      </c>
      <c r="G2834">
        <v>3499.94</v>
      </c>
      <c r="H2834" t="s">
        <v>50</v>
      </c>
    </row>
    <row r="2835" spans="1:8" x14ac:dyDescent="0.35">
      <c r="A2835">
        <v>1048</v>
      </c>
      <c r="B2835">
        <v>1</v>
      </c>
      <c r="C2835">
        <v>3</v>
      </c>
      <c r="D2835">
        <v>2</v>
      </c>
      <c r="E2835">
        <v>999.99</v>
      </c>
      <c r="F2835">
        <v>0.1</v>
      </c>
      <c r="G2835">
        <v>1999.88</v>
      </c>
      <c r="H2835" t="s">
        <v>8</v>
      </c>
    </row>
    <row r="2836" spans="1:8" x14ac:dyDescent="0.35">
      <c r="A2836">
        <v>1048</v>
      </c>
      <c r="B2836">
        <v>2</v>
      </c>
      <c r="C2836">
        <v>37</v>
      </c>
      <c r="D2836">
        <v>1</v>
      </c>
      <c r="E2836">
        <v>379.99</v>
      </c>
      <c r="F2836">
        <v>0.1</v>
      </c>
      <c r="G2836">
        <v>379.89</v>
      </c>
      <c r="H2836" t="s">
        <v>38</v>
      </c>
    </row>
    <row r="2837" spans="1:8" x14ac:dyDescent="0.35">
      <c r="A2837">
        <v>1048</v>
      </c>
      <c r="B2837">
        <v>3</v>
      </c>
      <c r="C2837">
        <v>94</v>
      </c>
      <c r="D2837">
        <v>1</v>
      </c>
      <c r="E2837">
        <v>249.99</v>
      </c>
      <c r="F2837">
        <v>0.1</v>
      </c>
      <c r="G2837">
        <v>249.94</v>
      </c>
      <c r="H2837" t="s">
        <v>95</v>
      </c>
    </row>
    <row r="2838" spans="1:8" x14ac:dyDescent="0.35">
      <c r="A2838">
        <v>1049</v>
      </c>
      <c r="B2838">
        <v>1</v>
      </c>
      <c r="C2838">
        <v>9</v>
      </c>
      <c r="D2838">
        <v>1</v>
      </c>
      <c r="E2838">
        <v>2999.99</v>
      </c>
      <c r="F2838">
        <v>0.1</v>
      </c>
      <c r="G2838">
        <v>2999.89</v>
      </c>
      <c r="H2838" t="s">
        <v>14</v>
      </c>
    </row>
    <row r="2839" spans="1:8" x14ac:dyDescent="0.35">
      <c r="A2839">
        <v>1049</v>
      </c>
      <c r="B2839">
        <v>2</v>
      </c>
      <c r="C2839">
        <v>36</v>
      </c>
      <c r="D2839">
        <v>2</v>
      </c>
      <c r="E2839">
        <v>832.99</v>
      </c>
      <c r="F2839">
        <v>0.1</v>
      </c>
      <c r="G2839">
        <v>1665.93</v>
      </c>
      <c r="H2839" t="s">
        <v>37</v>
      </c>
    </row>
    <row r="2840" spans="1:8" x14ac:dyDescent="0.35">
      <c r="A2840">
        <v>1049</v>
      </c>
      <c r="B2840">
        <v>3</v>
      </c>
      <c r="C2840">
        <v>3</v>
      </c>
      <c r="D2840">
        <v>1</v>
      </c>
      <c r="E2840">
        <v>999.99</v>
      </c>
      <c r="F2840">
        <v>0.1</v>
      </c>
      <c r="G2840">
        <v>999.89</v>
      </c>
      <c r="H2840" t="s">
        <v>8</v>
      </c>
    </row>
    <row r="2841" spans="1:8" x14ac:dyDescent="0.35">
      <c r="A2841">
        <v>1049</v>
      </c>
      <c r="B2841">
        <v>4</v>
      </c>
      <c r="C2841">
        <v>26</v>
      </c>
      <c r="D2841">
        <v>1</v>
      </c>
      <c r="E2841">
        <v>599.99</v>
      </c>
      <c r="F2841">
        <v>0.1</v>
      </c>
      <c r="G2841">
        <v>599.91999999999996</v>
      </c>
      <c r="H2841" t="s">
        <v>21</v>
      </c>
    </row>
    <row r="2842" spans="1:8" x14ac:dyDescent="0.35">
      <c r="A2842">
        <v>1049</v>
      </c>
      <c r="B2842">
        <v>5</v>
      </c>
      <c r="C2842">
        <v>10</v>
      </c>
      <c r="D2842">
        <v>2</v>
      </c>
      <c r="E2842">
        <v>1549</v>
      </c>
      <c r="F2842">
        <v>0.1</v>
      </c>
      <c r="G2842">
        <v>3097.95</v>
      </c>
      <c r="H2842" t="s">
        <v>15</v>
      </c>
    </row>
    <row r="2843" spans="1:8" x14ac:dyDescent="0.35">
      <c r="A2843">
        <v>1050</v>
      </c>
      <c r="B2843">
        <v>1</v>
      </c>
      <c r="C2843">
        <v>96</v>
      </c>
      <c r="D2843">
        <v>2</v>
      </c>
      <c r="E2843">
        <v>349.99</v>
      </c>
      <c r="F2843">
        <v>0.1</v>
      </c>
      <c r="G2843">
        <v>699.91</v>
      </c>
      <c r="H2843" t="s">
        <v>96</v>
      </c>
    </row>
    <row r="2844" spans="1:8" x14ac:dyDescent="0.35">
      <c r="A2844">
        <v>1050</v>
      </c>
      <c r="B2844">
        <v>2</v>
      </c>
      <c r="C2844">
        <v>99</v>
      </c>
      <c r="D2844">
        <v>2</v>
      </c>
      <c r="E2844">
        <v>299.99</v>
      </c>
      <c r="F2844">
        <v>0.1</v>
      </c>
      <c r="G2844">
        <v>599.88</v>
      </c>
      <c r="H2844" t="s">
        <v>99</v>
      </c>
    </row>
    <row r="2845" spans="1:8" x14ac:dyDescent="0.35">
      <c r="A2845">
        <v>1050</v>
      </c>
      <c r="B2845">
        <v>3</v>
      </c>
      <c r="C2845">
        <v>45</v>
      </c>
      <c r="D2845">
        <v>2</v>
      </c>
      <c r="E2845">
        <v>869.99</v>
      </c>
      <c r="F2845">
        <v>0.2</v>
      </c>
      <c r="G2845">
        <v>1739.78</v>
      </c>
      <c r="H2845" t="s">
        <v>46</v>
      </c>
    </row>
    <row r="2846" spans="1:8" x14ac:dyDescent="0.35">
      <c r="A2846">
        <v>1050</v>
      </c>
      <c r="B2846">
        <v>4</v>
      </c>
      <c r="C2846">
        <v>14</v>
      </c>
      <c r="D2846">
        <v>2</v>
      </c>
      <c r="E2846">
        <v>269.99</v>
      </c>
      <c r="F2846">
        <v>0.2</v>
      </c>
      <c r="G2846">
        <v>539.78</v>
      </c>
      <c r="H2846" t="s">
        <v>19</v>
      </c>
    </row>
    <row r="2847" spans="1:8" x14ac:dyDescent="0.35">
      <c r="A2847">
        <v>1052</v>
      </c>
      <c r="B2847">
        <v>1</v>
      </c>
      <c r="C2847">
        <v>7</v>
      </c>
      <c r="D2847">
        <v>1</v>
      </c>
      <c r="E2847">
        <v>3999.99</v>
      </c>
      <c r="F2847">
        <v>0.1</v>
      </c>
      <c r="G2847">
        <v>3999.94</v>
      </c>
      <c r="H2847" t="s">
        <v>12</v>
      </c>
    </row>
    <row r="2848" spans="1:8" x14ac:dyDescent="0.35">
      <c r="A2848">
        <v>1052</v>
      </c>
      <c r="B2848">
        <v>2</v>
      </c>
      <c r="C2848">
        <v>103</v>
      </c>
      <c r="D2848">
        <v>1</v>
      </c>
      <c r="E2848">
        <v>551.99</v>
      </c>
      <c r="F2848">
        <v>0.1</v>
      </c>
      <c r="G2848">
        <v>551.94000000000005</v>
      </c>
      <c r="H2848" t="s">
        <v>102</v>
      </c>
    </row>
    <row r="2849" spans="1:8" x14ac:dyDescent="0.35">
      <c r="A2849">
        <v>1052</v>
      </c>
      <c r="B2849">
        <v>3</v>
      </c>
      <c r="C2849">
        <v>26</v>
      </c>
      <c r="D2849">
        <v>2</v>
      </c>
      <c r="E2849">
        <v>599.99</v>
      </c>
      <c r="F2849">
        <v>0.1</v>
      </c>
      <c r="G2849">
        <v>1199.9100000000001</v>
      </c>
      <c r="H2849" t="s">
        <v>21</v>
      </c>
    </row>
    <row r="2850" spans="1:8" x14ac:dyDescent="0.35">
      <c r="A2850">
        <v>1053</v>
      </c>
      <c r="B2850">
        <v>1</v>
      </c>
      <c r="C2850">
        <v>49</v>
      </c>
      <c r="D2850">
        <v>2</v>
      </c>
      <c r="E2850">
        <v>3499.99</v>
      </c>
      <c r="F2850">
        <v>0.1</v>
      </c>
      <c r="G2850">
        <v>6999.93</v>
      </c>
      <c r="H2850" t="s">
        <v>50</v>
      </c>
    </row>
    <row r="2851" spans="1:8" x14ac:dyDescent="0.35">
      <c r="A2851">
        <v>1053</v>
      </c>
      <c r="B2851">
        <v>2</v>
      </c>
      <c r="C2851">
        <v>26</v>
      </c>
      <c r="D2851">
        <v>2</v>
      </c>
      <c r="E2851">
        <v>599.99</v>
      </c>
      <c r="F2851">
        <v>0.2</v>
      </c>
      <c r="G2851">
        <v>1199.78</v>
      </c>
      <c r="H2851" t="s">
        <v>21</v>
      </c>
    </row>
    <row r="2852" spans="1:8" x14ac:dyDescent="0.35">
      <c r="A2852">
        <v>1053</v>
      </c>
      <c r="B2852">
        <v>3</v>
      </c>
      <c r="C2852">
        <v>23</v>
      </c>
      <c r="D2852">
        <v>2</v>
      </c>
      <c r="E2852">
        <v>299.99</v>
      </c>
      <c r="F2852">
        <v>0.2</v>
      </c>
      <c r="G2852">
        <v>599.78</v>
      </c>
      <c r="H2852" t="s">
        <v>26</v>
      </c>
    </row>
    <row r="2853" spans="1:8" x14ac:dyDescent="0.35">
      <c r="A2853">
        <v>1053</v>
      </c>
      <c r="B2853">
        <v>4</v>
      </c>
      <c r="C2853">
        <v>68</v>
      </c>
      <c r="D2853">
        <v>1</v>
      </c>
      <c r="E2853">
        <v>449.99</v>
      </c>
      <c r="F2853">
        <v>0.1</v>
      </c>
      <c r="G2853">
        <v>449.89</v>
      </c>
      <c r="H2853" t="s">
        <v>69</v>
      </c>
    </row>
    <row r="2854" spans="1:8" x14ac:dyDescent="0.35">
      <c r="A2854">
        <v>1053</v>
      </c>
      <c r="B2854">
        <v>5</v>
      </c>
      <c r="C2854">
        <v>73</v>
      </c>
      <c r="D2854">
        <v>2</v>
      </c>
      <c r="E2854">
        <v>749.99</v>
      </c>
      <c r="F2854">
        <v>0.1</v>
      </c>
      <c r="G2854">
        <v>1499.93</v>
      </c>
      <c r="H2854" t="s">
        <v>74</v>
      </c>
    </row>
    <row r="2855" spans="1:8" x14ac:dyDescent="0.35">
      <c r="A2855">
        <v>1054</v>
      </c>
      <c r="B2855">
        <v>1</v>
      </c>
      <c r="C2855">
        <v>36</v>
      </c>
      <c r="D2855">
        <v>2</v>
      </c>
      <c r="E2855">
        <v>832.99</v>
      </c>
      <c r="F2855">
        <v>0.1</v>
      </c>
      <c r="G2855">
        <v>1665.88</v>
      </c>
      <c r="H2855" t="s">
        <v>37</v>
      </c>
    </row>
    <row r="2856" spans="1:8" x14ac:dyDescent="0.35">
      <c r="A2856">
        <v>1054</v>
      </c>
      <c r="B2856">
        <v>2</v>
      </c>
      <c r="C2856">
        <v>16</v>
      </c>
      <c r="D2856">
        <v>1</v>
      </c>
      <c r="E2856">
        <v>599.99</v>
      </c>
      <c r="F2856">
        <v>0.1</v>
      </c>
      <c r="G2856">
        <v>599.94000000000005</v>
      </c>
      <c r="H2856" t="s">
        <v>21</v>
      </c>
    </row>
    <row r="2857" spans="1:8" x14ac:dyDescent="0.35">
      <c r="A2857">
        <v>1055</v>
      </c>
      <c r="B2857">
        <v>1</v>
      </c>
      <c r="C2857">
        <v>43</v>
      </c>
      <c r="D2857">
        <v>2</v>
      </c>
      <c r="E2857">
        <v>5299.99</v>
      </c>
      <c r="F2857">
        <v>0.1</v>
      </c>
      <c r="G2857">
        <v>10599.91</v>
      </c>
      <c r="H2857" t="s">
        <v>44</v>
      </c>
    </row>
    <row r="2858" spans="1:8" x14ac:dyDescent="0.35">
      <c r="A2858">
        <v>1055</v>
      </c>
      <c r="B2858">
        <v>2</v>
      </c>
      <c r="C2858">
        <v>101</v>
      </c>
      <c r="D2858">
        <v>2</v>
      </c>
      <c r="E2858">
        <v>339.99</v>
      </c>
      <c r="F2858">
        <v>0.2</v>
      </c>
      <c r="G2858">
        <v>679.78</v>
      </c>
      <c r="H2858" t="s">
        <v>101</v>
      </c>
    </row>
    <row r="2859" spans="1:8" x14ac:dyDescent="0.35">
      <c r="A2859">
        <v>1055</v>
      </c>
      <c r="B2859">
        <v>3</v>
      </c>
      <c r="C2859">
        <v>12</v>
      </c>
      <c r="D2859">
        <v>2</v>
      </c>
      <c r="E2859">
        <v>549.99</v>
      </c>
      <c r="F2859">
        <v>0.1</v>
      </c>
      <c r="G2859">
        <v>1099.8800000000001</v>
      </c>
      <c r="H2859" t="s">
        <v>17</v>
      </c>
    </row>
    <row r="2860" spans="1:8" x14ac:dyDescent="0.35">
      <c r="A2860">
        <v>1055</v>
      </c>
      <c r="B2860">
        <v>4</v>
      </c>
      <c r="C2860">
        <v>83</v>
      </c>
      <c r="D2860">
        <v>2</v>
      </c>
      <c r="E2860">
        <v>149.99</v>
      </c>
      <c r="F2860">
        <v>0.1</v>
      </c>
      <c r="G2860">
        <v>299.88</v>
      </c>
      <c r="H2860" t="s">
        <v>84</v>
      </c>
    </row>
    <row r="2861" spans="1:8" x14ac:dyDescent="0.35">
      <c r="A2861">
        <v>1055</v>
      </c>
      <c r="B2861">
        <v>5</v>
      </c>
      <c r="C2861">
        <v>60</v>
      </c>
      <c r="D2861">
        <v>1</v>
      </c>
      <c r="E2861">
        <v>1559.99</v>
      </c>
      <c r="F2861">
        <v>0.2</v>
      </c>
      <c r="G2861">
        <v>1559.79</v>
      </c>
      <c r="H2861" t="s">
        <v>61</v>
      </c>
    </row>
    <row r="2862" spans="1:8" x14ac:dyDescent="0.35">
      <c r="A2862">
        <v>1057</v>
      </c>
      <c r="B2862">
        <v>1</v>
      </c>
      <c r="C2862">
        <v>105</v>
      </c>
      <c r="D2862">
        <v>1</v>
      </c>
      <c r="E2862">
        <v>533.99</v>
      </c>
      <c r="F2862">
        <v>0.2</v>
      </c>
      <c r="G2862">
        <v>533.79</v>
      </c>
      <c r="H2862" t="s">
        <v>104</v>
      </c>
    </row>
    <row r="2863" spans="1:8" x14ac:dyDescent="0.35">
      <c r="A2863">
        <v>1057</v>
      </c>
      <c r="B2863">
        <v>2</v>
      </c>
      <c r="C2863">
        <v>97</v>
      </c>
      <c r="D2863">
        <v>1</v>
      </c>
      <c r="E2863">
        <v>349.99</v>
      </c>
      <c r="F2863">
        <v>0.1</v>
      </c>
      <c r="G2863">
        <v>349.94</v>
      </c>
      <c r="H2863" t="s">
        <v>97</v>
      </c>
    </row>
    <row r="2864" spans="1:8" x14ac:dyDescent="0.35">
      <c r="A2864">
        <v>1057</v>
      </c>
      <c r="B2864">
        <v>3</v>
      </c>
      <c r="C2864">
        <v>98</v>
      </c>
      <c r="D2864">
        <v>2</v>
      </c>
      <c r="E2864">
        <v>489.99</v>
      </c>
      <c r="F2864">
        <v>0.1</v>
      </c>
      <c r="G2864">
        <v>979.93</v>
      </c>
      <c r="H2864" t="s">
        <v>98</v>
      </c>
    </row>
    <row r="2865" spans="1:8" x14ac:dyDescent="0.35">
      <c r="A2865">
        <v>1058</v>
      </c>
      <c r="B2865">
        <v>1</v>
      </c>
      <c r="C2865">
        <v>43</v>
      </c>
      <c r="D2865">
        <v>1</v>
      </c>
      <c r="E2865">
        <v>5299.99</v>
      </c>
      <c r="F2865">
        <v>0.1</v>
      </c>
      <c r="G2865">
        <v>5299.89</v>
      </c>
      <c r="H2865" t="s">
        <v>44</v>
      </c>
    </row>
    <row r="2866" spans="1:8" x14ac:dyDescent="0.35">
      <c r="A2866">
        <v>1058</v>
      </c>
      <c r="B2866">
        <v>2</v>
      </c>
      <c r="C2866">
        <v>29</v>
      </c>
      <c r="D2866">
        <v>2</v>
      </c>
      <c r="E2866">
        <v>999.99</v>
      </c>
      <c r="F2866">
        <v>0.1</v>
      </c>
      <c r="G2866">
        <v>1999.93</v>
      </c>
      <c r="H2866" t="s">
        <v>30</v>
      </c>
    </row>
    <row r="2867" spans="1:8" x14ac:dyDescent="0.35">
      <c r="A2867">
        <v>1058</v>
      </c>
      <c r="B2867">
        <v>3</v>
      </c>
      <c r="C2867">
        <v>103</v>
      </c>
      <c r="D2867">
        <v>1</v>
      </c>
      <c r="E2867">
        <v>551.99</v>
      </c>
      <c r="F2867">
        <v>0.1</v>
      </c>
      <c r="G2867">
        <v>551.91999999999996</v>
      </c>
      <c r="H2867" t="s">
        <v>102</v>
      </c>
    </row>
    <row r="2868" spans="1:8" x14ac:dyDescent="0.35">
      <c r="A2868">
        <v>1059</v>
      </c>
      <c r="B2868">
        <v>1</v>
      </c>
      <c r="C2868">
        <v>46</v>
      </c>
      <c r="D2868">
        <v>2</v>
      </c>
      <c r="E2868">
        <v>1409.99</v>
      </c>
      <c r="F2868">
        <v>0.1</v>
      </c>
      <c r="G2868">
        <v>2819.93</v>
      </c>
      <c r="H2868" t="s">
        <v>47</v>
      </c>
    </row>
    <row r="2869" spans="1:8" x14ac:dyDescent="0.35">
      <c r="A2869">
        <v>1059</v>
      </c>
      <c r="B2869">
        <v>2</v>
      </c>
      <c r="C2869">
        <v>7</v>
      </c>
      <c r="D2869">
        <v>1</v>
      </c>
      <c r="E2869">
        <v>3999.99</v>
      </c>
      <c r="F2869">
        <v>0.1</v>
      </c>
      <c r="G2869">
        <v>3999.89</v>
      </c>
      <c r="H2869" t="s">
        <v>12</v>
      </c>
    </row>
    <row r="2870" spans="1:8" x14ac:dyDescent="0.35">
      <c r="A2870">
        <v>1059</v>
      </c>
      <c r="B2870">
        <v>3</v>
      </c>
      <c r="C2870">
        <v>13</v>
      </c>
      <c r="D2870">
        <v>1</v>
      </c>
      <c r="E2870">
        <v>269.99</v>
      </c>
      <c r="F2870">
        <v>0.1</v>
      </c>
      <c r="G2870">
        <v>269.92</v>
      </c>
      <c r="H2870" t="s">
        <v>18</v>
      </c>
    </row>
    <row r="2871" spans="1:8" x14ac:dyDescent="0.35">
      <c r="A2871">
        <v>1060</v>
      </c>
      <c r="B2871">
        <v>1</v>
      </c>
      <c r="C2871">
        <v>7</v>
      </c>
      <c r="D2871">
        <v>1</v>
      </c>
      <c r="E2871">
        <v>3999.99</v>
      </c>
      <c r="F2871">
        <v>0.1</v>
      </c>
      <c r="G2871">
        <v>3999.92</v>
      </c>
      <c r="H2871" t="s">
        <v>12</v>
      </c>
    </row>
    <row r="2872" spans="1:8" x14ac:dyDescent="0.35">
      <c r="A2872">
        <v>1060</v>
      </c>
      <c r="B2872">
        <v>2</v>
      </c>
      <c r="C2872">
        <v>11</v>
      </c>
      <c r="D2872">
        <v>2</v>
      </c>
      <c r="E2872">
        <v>1680.99</v>
      </c>
      <c r="F2872">
        <v>0.1</v>
      </c>
      <c r="G2872">
        <v>3361.91</v>
      </c>
      <c r="H2872" t="s">
        <v>16</v>
      </c>
    </row>
    <row r="2873" spans="1:8" x14ac:dyDescent="0.35">
      <c r="A2873">
        <v>1060</v>
      </c>
      <c r="B2873">
        <v>3</v>
      </c>
      <c r="C2873">
        <v>61</v>
      </c>
      <c r="D2873">
        <v>2</v>
      </c>
      <c r="E2873">
        <v>4999.99</v>
      </c>
      <c r="F2873">
        <v>0.1</v>
      </c>
      <c r="G2873">
        <v>9999.8799999999992</v>
      </c>
      <c r="H2873" t="s">
        <v>62</v>
      </c>
    </row>
    <row r="2874" spans="1:8" x14ac:dyDescent="0.35">
      <c r="A2874">
        <v>1060</v>
      </c>
      <c r="B2874">
        <v>4</v>
      </c>
      <c r="C2874">
        <v>30</v>
      </c>
      <c r="D2874">
        <v>2</v>
      </c>
      <c r="E2874">
        <v>999.99</v>
      </c>
      <c r="F2874">
        <v>0.1</v>
      </c>
      <c r="G2874">
        <v>1999.93</v>
      </c>
      <c r="H2874" t="s">
        <v>31</v>
      </c>
    </row>
    <row r="2875" spans="1:8" x14ac:dyDescent="0.35">
      <c r="A2875">
        <v>1061</v>
      </c>
      <c r="B2875">
        <v>1</v>
      </c>
      <c r="C2875">
        <v>14</v>
      </c>
      <c r="D2875">
        <v>1</v>
      </c>
      <c r="E2875">
        <v>269.99</v>
      </c>
      <c r="F2875">
        <v>0.1</v>
      </c>
      <c r="G2875">
        <v>269.92</v>
      </c>
      <c r="H2875" t="s">
        <v>19</v>
      </c>
    </row>
    <row r="2876" spans="1:8" x14ac:dyDescent="0.35">
      <c r="A2876">
        <v>1061</v>
      </c>
      <c r="B2876">
        <v>2</v>
      </c>
      <c r="C2876">
        <v>19</v>
      </c>
      <c r="D2876">
        <v>1</v>
      </c>
      <c r="E2876">
        <v>449</v>
      </c>
      <c r="F2876">
        <v>0.1</v>
      </c>
      <c r="G2876">
        <v>448.9</v>
      </c>
      <c r="H2876" t="s">
        <v>24</v>
      </c>
    </row>
    <row r="2877" spans="1:8" x14ac:dyDescent="0.35">
      <c r="A2877">
        <v>1062</v>
      </c>
      <c r="B2877">
        <v>1</v>
      </c>
      <c r="C2877">
        <v>13</v>
      </c>
      <c r="D2877">
        <v>1</v>
      </c>
      <c r="E2877">
        <v>269.99</v>
      </c>
      <c r="F2877">
        <v>0.1</v>
      </c>
      <c r="G2877">
        <v>269.94</v>
      </c>
      <c r="H2877" t="s">
        <v>18</v>
      </c>
    </row>
    <row r="2878" spans="1:8" x14ac:dyDescent="0.35">
      <c r="A2878">
        <v>1062</v>
      </c>
      <c r="B2878">
        <v>2</v>
      </c>
      <c r="C2878">
        <v>111</v>
      </c>
      <c r="D2878">
        <v>2</v>
      </c>
      <c r="E2878">
        <v>470.99</v>
      </c>
      <c r="F2878">
        <v>0.2</v>
      </c>
      <c r="G2878">
        <v>941.78</v>
      </c>
      <c r="H2878" t="s">
        <v>108</v>
      </c>
    </row>
    <row r="2879" spans="1:8" x14ac:dyDescent="0.35">
      <c r="A2879">
        <v>1062</v>
      </c>
      <c r="B2879">
        <v>3</v>
      </c>
      <c r="C2879">
        <v>5</v>
      </c>
      <c r="D2879">
        <v>1</v>
      </c>
      <c r="E2879">
        <v>1320.99</v>
      </c>
      <c r="F2879">
        <v>0.1</v>
      </c>
      <c r="G2879">
        <v>1320.94</v>
      </c>
      <c r="H2879" t="s">
        <v>10</v>
      </c>
    </row>
    <row r="2880" spans="1:8" x14ac:dyDescent="0.35">
      <c r="A2880">
        <v>1062</v>
      </c>
      <c r="B2880">
        <v>4</v>
      </c>
      <c r="C2880">
        <v>12</v>
      </c>
      <c r="D2880">
        <v>1</v>
      </c>
      <c r="E2880">
        <v>549.99</v>
      </c>
      <c r="F2880">
        <v>0.2</v>
      </c>
      <c r="G2880">
        <v>549.79</v>
      </c>
      <c r="H2880" t="s">
        <v>17</v>
      </c>
    </row>
    <row r="2881" spans="1:8" x14ac:dyDescent="0.35">
      <c r="A2881">
        <v>1063</v>
      </c>
      <c r="B2881">
        <v>1</v>
      </c>
      <c r="C2881">
        <v>33</v>
      </c>
      <c r="D2881">
        <v>2</v>
      </c>
      <c r="E2881">
        <v>469.99</v>
      </c>
      <c r="F2881">
        <v>0.1</v>
      </c>
      <c r="G2881">
        <v>939.88</v>
      </c>
      <c r="H2881" t="s">
        <v>34</v>
      </c>
    </row>
    <row r="2882" spans="1:8" x14ac:dyDescent="0.35">
      <c r="A2882">
        <v>1063</v>
      </c>
      <c r="B2882">
        <v>2</v>
      </c>
      <c r="C2882">
        <v>100</v>
      </c>
      <c r="D2882">
        <v>2</v>
      </c>
      <c r="E2882">
        <v>489.99</v>
      </c>
      <c r="F2882">
        <v>0.1</v>
      </c>
      <c r="G2882">
        <v>979.91</v>
      </c>
      <c r="H2882" t="s">
        <v>100</v>
      </c>
    </row>
    <row r="2883" spans="1:8" x14ac:dyDescent="0.35">
      <c r="A2883">
        <v>1063</v>
      </c>
      <c r="B2883">
        <v>3</v>
      </c>
      <c r="C2883">
        <v>72</v>
      </c>
      <c r="D2883">
        <v>2</v>
      </c>
      <c r="E2883">
        <v>619.99</v>
      </c>
      <c r="F2883">
        <v>0.2</v>
      </c>
      <c r="G2883">
        <v>1239.78</v>
      </c>
      <c r="H2883" t="s">
        <v>73</v>
      </c>
    </row>
    <row r="2884" spans="1:8" x14ac:dyDescent="0.35">
      <c r="A2884">
        <v>1064</v>
      </c>
      <c r="B2884">
        <v>1</v>
      </c>
      <c r="C2884">
        <v>18</v>
      </c>
      <c r="D2884">
        <v>1</v>
      </c>
      <c r="E2884">
        <v>449</v>
      </c>
      <c r="F2884">
        <v>0.1</v>
      </c>
      <c r="G2884">
        <v>448.93</v>
      </c>
      <c r="H2884" t="s">
        <v>23</v>
      </c>
    </row>
    <row r="2885" spans="1:8" x14ac:dyDescent="0.35">
      <c r="A2885">
        <v>1064</v>
      </c>
      <c r="B2885">
        <v>2</v>
      </c>
      <c r="C2885">
        <v>49</v>
      </c>
      <c r="D2885">
        <v>1</v>
      </c>
      <c r="E2885">
        <v>3499.99</v>
      </c>
      <c r="F2885">
        <v>0.1</v>
      </c>
      <c r="G2885">
        <v>3499.89</v>
      </c>
      <c r="H2885" t="s">
        <v>50</v>
      </c>
    </row>
    <row r="2886" spans="1:8" x14ac:dyDescent="0.35">
      <c r="A2886">
        <v>1065</v>
      </c>
      <c r="B2886">
        <v>1</v>
      </c>
      <c r="C2886">
        <v>48</v>
      </c>
      <c r="D2886">
        <v>2</v>
      </c>
      <c r="E2886">
        <v>1499.99</v>
      </c>
      <c r="F2886">
        <v>0.1</v>
      </c>
      <c r="G2886">
        <v>2999.91</v>
      </c>
      <c r="H2886" t="s">
        <v>49</v>
      </c>
    </row>
    <row r="2887" spans="1:8" x14ac:dyDescent="0.35">
      <c r="A2887">
        <v>1065</v>
      </c>
      <c r="B2887">
        <v>2</v>
      </c>
      <c r="C2887">
        <v>103</v>
      </c>
      <c r="D2887">
        <v>2</v>
      </c>
      <c r="E2887">
        <v>551.99</v>
      </c>
      <c r="F2887">
        <v>0.1</v>
      </c>
      <c r="G2887">
        <v>1103.93</v>
      </c>
      <c r="H2887" t="s">
        <v>102</v>
      </c>
    </row>
    <row r="2888" spans="1:8" x14ac:dyDescent="0.35">
      <c r="A2888">
        <v>1065</v>
      </c>
      <c r="B2888">
        <v>3</v>
      </c>
      <c r="C2888">
        <v>63</v>
      </c>
      <c r="D2888">
        <v>1</v>
      </c>
      <c r="E2888">
        <v>3499.99</v>
      </c>
      <c r="F2888">
        <v>0.1</v>
      </c>
      <c r="G2888">
        <v>3499.92</v>
      </c>
      <c r="H2888" t="s">
        <v>64</v>
      </c>
    </row>
    <row r="2889" spans="1:8" x14ac:dyDescent="0.35">
      <c r="A2889">
        <v>1066</v>
      </c>
      <c r="B2889">
        <v>1</v>
      </c>
      <c r="C2889">
        <v>15</v>
      </c>
      <c r="D2889">
        <v>2</v>
      </c>
      <c r="E2889">
        <v>529.99</v>
      </c>
      <c r="F2889">
        <v>0.1</v>
      </c>
      <c r="G2889">
        <v>1059.93</v>
      </c>
      <c r="H2889" t="s">
        <v>20</v>
      </c>
    </row>
    <row r="2890" spans="1:8" x14ac:dyDescent="0.35">
      <c r="A2890">
        <v>1066</v>
      </c>
      <c r="B2890">
        <v>2</v>
      </c>
      <c r="C2890">
        <v>46</v>
      </c>
      <c r="D2890">
        <v>1</v>
      </c>
      <c r="E2890">
        <v>1409.99</v>
      </c>
      <c r="F2890">
        <v>0.1</v>
      </c>
      <c r="G2890">
        <v>1409.89</v>
      </c>
      <c r="H2890" t="s">
        <v>47</v>
      </c>
    </row>
    <row r="2891" spans="1:8" x14ac:dyDescent="0.35">
      <c r="A2891">
        <v>1066</v>
      </c>
      <c r="B2891">
        <v>3</v>
      </c>
      <c r="C2891">
        <v>12</v>
      </c>
      <c r="D2891">
        <v>1</v>
      </c>
      <c r="E2891">
        <v>549.99</v>
      </c>
      <c r="F2891">
        <v>0.1</v>
      </c>
      <c r="G2891">
        <v>549.89</v>
      </c>
      <c r="H2891" t="s">
        <v>17</v>
      </c>
    </row>
    <row r="2892" spans="1:8" x14ac:dyDescent="0.35">
      <c r="A2892">
        <v>1067</v>
      </c>
      <c r="B2892">
        <v>1</v>
      </c>
      <c r="C2892">
        <v>74</v>
      </c>
      <c r="D2892">
        <v>2</v>
      </c>
      <c r="E2892">
        <v>439.99</v>
      </c>
      <c r="F2892">
        <v>0.1</v>
      </c>
      <c r="G2892">
        <v>879.91</v>
      </c>
      <c r="H2892" t="s">
        <v>75</v>
      </c>
    </row>
    <row r="2893" spans="1:8" x14ac:dyDescent="0.35">
      <c r="A2893">
        <v>1067</v>
      </c>
      <c r="B2893">
        <v>2</v>
      </c>
      <c r="C2893">
        <v>9</v>
      </c>
      <c r="D2893">
        <v>2</v>
      </c>
      <c r="E2893">
        <v>2999.99</v>
      </c>
      <c r="F2893">
        <v>0.2</v>
      </c>
      <c r="G2893">
        <v>5999.78</v>
      </c>
      <c r="H2893" t="s">
        <v>14</v>
      </c>
    </row>
    <row r="2894" spans="1:8" x14ac:dyDescent="0.35">
      <c r="A2894">
        <v>1067</v>
      </c>
      <c r="B2894">
        <v>3</v>
      </c>
      <c r="C2894">
        <v>72</v>
      </c>
      <c r="D2894">
        <v>2</v>
      </c>
      <c r="E2894">
        <v>619.99</v>
      </c>
      <c r="F2894">
        <v>0.1</v>
      </c>
      <c r="G2894">
        <v>1239.8800000000001</v>
      </c>
      <c r="H2894" t="s">
        <v>73</v>
      </c>
    </row>
    <row r="2895" spans="1:8" x14ac:dyDescent="0.35">
      <c r="A2895">
        <v>1067</v>
      </c>
      <c r="B2895">
        <v>4</v>
      </c>
      <c r="C2895">
        <v>6</v>
      </c>
      <c r="D2895">
        <v>2</v>
      </c>
      <c r="E2895">
        <v>469.99</v>
      </c>
      <c r="F2895">
        <v>0.2</v>
      </c>
      <c r="G2895">
        <v>939.78</v>
      </c>
      <c r="H2895" t="s">
        <v>11</v>
      </c>
    </row>
    <row r="2896" spans="1:8" x14ac:dyDescent="0.35">
      <c r="A2896">
        <v>1068</v>
      </c>
      <c r="B2896">
        <v>1</v>
      </c>
      <c r="C2896">
        <v>87</v>
      </c>
      <c r="D2896">
        <v>2</v>
      </c>
      <c r="E2896">
        <v>189.99</v>
      </c>
      <c r="F2896">
        <v>0.2</v>
      </c>
      <c r="G2896">
        <v>379.78</v>
      </c>
      <c r="H2896" t="s">
        <v>88</v>
      </c>
    </row>
    <row r="2897" spans="1:8" x14ac:dyDescent="0.35">
      <c r="A2897">
        <v>1068</v>
      </c>
      <c r="B2897">
        <v>2</v>
      </c>
      <c r="C2897">
        <v>82</v>
      </c>
      <c r="D2897">
        <v>1</v>
      </c>
      <c r="E2897">
        <v>659.99</v>
      </c>
      <c r="F2897">
        <v>0.2</v>
      </c>
      <c r="G2897">
        <v>659.79</v>
      </c>
      <c r="H2897" t="s">
        <v>83</v>
      </c>
    </row>
    <row r="2898" spans="1:8" x14ac:dyDescent="0.35">
      <c r="A2898">
        <v>1068</v>
      </c>
      <c r="B2898">
        <v>3</v>
      </c>
      <c r="C2898">
        <v>49</v>
      </c>
      <c r="D2898">
        <v>2</v>
      </c>
      <c r="E2898">
        <v>3499.99</v>
      </c>
      <c r="F2898">
        <v>0.2</v>
      </c>
      <c r="G2898">
        <v>6999.78</v>
      </c>
      <c r="H2898" t="s">
        <v>50</v>
      </c>
    </row>
    <row r="2899" spans="1:8" x14ac:dyDescent="0.35">
      <c r="A2899">
        <v>1068</v>
      </c>
      <c r="B2899">
        <v>4</v>
      </c>
      <c r="C2899">
        <v>45</v>
      </c>
      <c r="D2899">
        <v>2</v>
      </c>
      <c r="E2899">
        <v>869.99</v>
      </c>
      <c r="F2899">
        <v>0.2</v>
      </c>
      <c r="G2899">
        <v>1739.78</v>
      </c>
      <c r="H2899" t="s">
        <v>46</v>
      </c>
    </row>
    <row r="2900" spans="1:8" x14ac:dyDescent="0.35">
      <c r="A2900">
        <v>1069</v>
      </c>
      <c r="B2900">
        <v>1</v>
      </c>
      <c r="C2900">
        <v>109</v>
      </c>
      <c r="D2900">
        <v>1</v>
      </c>
      <c r="E2900">
        <v>416.99</v>
      </c>
      <c r="F2900">
        <v>0.1</v>
      </c>
      <c r="G2900">
        <v>416.92</v>
      </c>
      <c r="H2900" t="s">
        <v>106</v>
      </c>
    </row>
    <row r="2901" spans="1:8" x14ac:dyDescent="0.35">
      <c r="A2901">
        <v>1069</v>
      </c>
      <c r="B2901">
        <v>2</v>
      </c>
      <c r="C2901">
        <v>93</v>
      </c>
      <c r="D2901">
        <v>1</v>
      </c>
      <c r="E2901">
        <v>209.99</v>
      </c>
      <c r="F2901">
        <v>0.1</v>
      </c>
      <c r="G2901">
        <v>209.89</v>
      </c>
      <c r="H2901" t="s">
        <v>94</v>
      </c>
    </row>
    <row r="2902" spans="1:8" x14ac:dyDescent="0.35">
      <c r="A2902">
        <v>1070</v>
      </c>
      <c r="B2902">
        <v>1</v>
      </c>
      <c r="C2902">
        <v>110</v>
      </c>
      <c r="D2902">
        <v>1</v>
      </c>
      <c r="E2902">
        <v>470.99</v>
      </c>
      <c r="F2902">
        <v>0.2</v>
      </c>
      <c r="G2902">
        <v>470.79</v>
      </c>
      <c r="H2902" t="s">
        <v>107</v>
      </c>
    </row>
    <row r="2903" spans="1:8" x14ac:dyDescent="0.35">
      <c r="A2903">
        <v>1070</v>
      </c>
      <c r="B2903">
        <v>2</v>
      </c>
      <c r="C2903">
        <v>18</v>
      </c>
      <c r="D2903">
        <v>2</v>
      </c>
      <c r="E2903">
        <v>449</v>
      </c>
      <c r="F2903">
        <v>0.1</v>
      </c>
      <c r="G2903">
        <v>897.9</v>
      </c>
      <c r="H2903" t="s">
        <v>23</v>
      </c>
    </row>
    <row r="2904" spans="1:8" x14ac:dyDescent="0.35">
      <c r="A2904">
        <v>1070</v>
      </c>
      <c r="B2904">
        <v>3</v>
      </c>
      <c r="C2904">
        <v>94</v>
      </c>
      <c r="D2904">
        <v>1</v>
      </c>
      <c r="E2904">
        <v>249.99</v>
      </c>
      <c r="F2904">
        <v>0.1</v>
      </c>
      <c r="G2904">
        <v>249.94</v>
      </c>
      <c r="H2904" t="s">
        <v>95</v>
      </c>
    </row>
    <row r="2905" spans="1:8" x14ac:dyDescent="0.35">
      <c r="A2905">
        <v>1072</v>
      </c>
      <c r="B2905">
        <v>1</v>
      </c>
      <c r="C2905">
        <v>83</v>
      </c>
      <c r="D2905">
        <v>1</v>
      </c>
      <c r="E2905">
        <v>149.99</v>
      </c>
      <c r="F2905">
        <v>0.2</v>
      </c>
      <c r="G2905">
        <v>149.79</v>
      </c>
      <c r="H2905" t="s">
        <v>84</v>
      </c>
    </row>
    <row r="2906" spans="1:8" x14ac:dyDescent="0.35">
      <c r="A2906">
        <v>1072</v>
      </c>
      <c r="B2906">
        <v>2</v>
      </c>
      <c r="C2906">
        <v>89</v>
      </c>
      <c r="D2906">
        <v>2</v>
      </c>
      <c r="E2906">
        <v>209.99</v>
      </c>
      <c r="F2906">
        <v>0.1</v>
      </c>
      <c r="G2906">
        <v>419.91</v>
      </c>
      <c r="H2906" t="s">
        <v>90</v>
      </c>
    </row>
    <row r="2907" spans="1:8" x14ac:dyDescent="0.35">
      <c r="A2907">
        <v>1072</v>
      </c>
      <c r="B2907">
        <v>3</v>
      </c>
      <c r="C2907">
        <v>36</v>
      </c>
      <c r="D2907">
        <v>2</v>
      </c>
      <c r="E2907">
        <v>832.99</v>
      </c>
      <c r="F2907">
        <v>0.1</v>
      </c>
      <c r="G2907">
        <v>1665.91</v>
      </c>
      <c r="H2907" t="s">
        <v>37</v>
      </c>
    </row>
    <row r="2908" spans="1:8" x14ac:dyDescent="0.35">
      <c r="A2908">
        <v>1073</v>
      </c>
      <c r="B2908">
        <v>1</v>
      </c>
      <c r="C2908">
        <v>81</v>
      </c>
      <c r="D2908">
        <v>1</v>
      </c>
      <c r="E2908">
        <v>1099.99</v>
      </c>
      <c r="F2908">
        <v>0.2</v>
      </c>
      <c r="G2908">
        <v>1099.79</v>
      </c>
      <c r="H2908" t="s">
        <v>82</v>
      </c>
    </row>
    <row r="2909" spans="1:8" x14ac:dyDescent="0.35">
      <c r="A2909">
        <v>1073</v>
      </c>
      <c r="B2909">
        <v>2</v>
      </c>
      <c r="C2909">
        <v>13</v>
      </c>
      <c r="D2909">
        <v>1</v>
      </c>
      <c r="E2909">
        <v>269.99</v>
      </c>
      <c r="F2909">
        <v>0.1</v>
      </c>
      <c r="G2909">
        <v>269.92</v>
      </c>
      <c r="H2909" t="s">
        <v>18</v>
      </c>
    </row>
    <row r="2910" spans="1:8" x14ac:dyDescent="0.35">
      <c r="A2910">
        <v>1073</v>
      </c>
      <c r="B2910">
        <v>3</v>
      </c>
      <c r="C2910">
        <v>20</v>
      </c>
      <c r="D2910">
        <v>1</v>
      </c>
      <c r="E2910">
        <v>599.99</v>
      </c>
      <c r="F2910">
        <v>0.2</v>
      </c>
      <c r="G2910">
        <v>599.79</v>
      </c>
      <c r="H2910" t="s">
        <v>25</v>
      </c>
    </row>
    <row r="2911" spans="1:8" x14ac:dyDescent="0.35">
      <c r="A2911">
        <v>1074</v>
      </c>
      <c r="B2911">
        <v>1</v>
      </c>
      <c r="C2911">
        <v>59</v>
      </c>
      <c r="D2911">
        <v>1</v>
      </c>
      <c r="E2911">
        <v>2599.9899999999998</v>
      </c>
      <c r="F2911">
        <v>0.1</v>
      </c>
      <c r="G2911">
        <v>2599.89</v>
      </c>
      <c r="H2911" t="s">
        <v>60</v>
      </c>
    </row>
    <row r="2912" spans="1:8" x14ac:dyDescent="0.35">
      <c r="A2912">
        <v>1074</v>
      </c>
      <c r="B2912">
        <v>2</v>
      </c>
      <c r="C2912">
        <v>87</v>
      </c>
      <c r="D2912">
        <v>1</v>
      </c>
      <c r="E2912">
        <v>189.99</v>
      </c>
      <c r="F2912">
        <v>0.1</v>
      </c>
      <c r="G2912">
        <v>189.92</v>
      </c>
      <c r="H2912" t="s">
        <v>88</v>
      </c>
    </row>
    <row r="2913" spans="1:8" x14ac:dyDescent="0.35">
      <c r="A2913">
        <v>1074</v>
      </c>
      <c r="B2913">
        <v>3</v>
      </c>
      <c r="C2913">
        <v>89</v>
      </c>
      <c r="D2913">
        <v>2</v>
      </c>
      <c r="E2913">
        <v>209.99</v>
      </c>
      <c r="F2913">
        <v>0.1</v>
      </c>
      <c r="G2913">
        <v>419.88</v>
      </c>
      <c r="H2913" t="s">
        <v>90</v>
      </c>
    </row>
    <row r="2914" spans="1:8" x14ac:dyDescent="0.35">
      <c r="A2914">
        <v>1075</v>
      </c>
      <c r="B2914">
        <v>1</v>
      </c>
      <c r="C2914">
        <v>48</v>
      </c>
      <c r="D2914">
        <v>2</v>
      </c>
      <c r="E2914">
        <v>1499.99</v>
      </c>
      <c r="F2914">
        <v>0.1</v>
      </c>
      <c r="G2914">
        <v>2999.88</v>
      </c>
      <c r="H2914" t="s">
        <v>49</v>
      </c>
    </row>
    <row r="2915" spans="1:8" x14ac:dyDescent="0.35">
      <c r="A2915">
        <v>1075</v>
      </c>
      <c r="B2915">
        <v>2</v>
      </c>
      <c r="C2915">
        <v>111</v>
      </c>
      <c r="D2915">
        <v>2</v>
      </c>
      <c r="E2915">
        <v>470.99</v>
      </c>
      <c r="F2915">
        <v>0.1</v>
      </c>
      <c r="G2915">
        <v>941.93</v>
      </c>
      <c r="H2915" t="s">
        <v>108</v>
      </c>
    </row>
    <row r="2916" spans="1:8" x14ac:dyDescent="0.35">
      <c r="A2916">
        <v>1076</v>
      </c>
      <c r="B2916">
        <v>1</v>
      </c>
      <c r="C2916">
        <v>95</v>
      </c>
      <c r="D2916">
        <v>1</v>
      </c>
      <c r="E2916">
        <v>299.99</v>
      </c>
      <c r="F2916">
        <v>0.1</v>
      </c>
      <c r="G2916">
        <v>299.89</v>
      </c>
      <c r="H2916" t="s">
        <v>77</v>
      </c>
    </row>
    <row r="2917" spans="1:8" x14ac:dyDescent="0.35">
      <c r="A2917">
        <v>1076</v>
      </c>
      <c r="B2917">
        <v>2</v>
      </c>
      <c r="C2917">
        <v>102</v>
      </c>
      <c r="D2917">
        <v>1</v>
      </c>
      <c r="E2917">
        <v>489.99</v>
      </c>
      <c r="F2917">
        <v>0.1</v>
      </c>
      <c r="G2917">
        <v>489.92</v>
      </c>
      <c r="H2917" t="s">
        <v>65</v>
      </c>
    </row>
    <row r="2918" spans="1:8" x14ac:dyDescent="0.35">
      <c r="A2918">
        <v>1076</v>
      </c>
      <c r="B2918">
        <v>3</v>
      </c>
      <c r="C2918">
        <v>73</v>
      </c>
      <c r="D2918">
        <v>2</v>
      </c>
      <c r="E2918">
        <v>749.99</v>
      </c>
      <c r="F2918">
        <v>0.1</v>
      </c>
      <c r="G2918">
        <v>1499.91</v>
      </c>
      <c r="H2918" t="s">
        <v>74</v>
      </c>
    </row>
    <row r="2919" spans="1:8" x14ac:dyDescent="0.35">
      <c r="A2919">
        <v>1078</v>
      </c>
      <c r="B2919">
        <v>1</v>
      </c>
      <c r="C2919">
        <v>76</v>
      </c>
      <c r="D2919">
        <v>2</v>
      </c>
      <c r="E2919">
        <v>299.99</v>
      </c>
      <c r="F2919">
        <v>0.1</v>
      </c>
      <c r="G2919">
        <v>599.91</v>
      </c>
      <c r="H2919" t="s">
        <v>77</v>
      </c>
    </row>
    <row r="2920" spans="1:8" x14ac:dyDescent="0.35">
      <c r="A2920">
        <v>1078</v>
      </c>
      <c r="B2920">
        <v>2</v>
      </c>
      <c r="C2920">
        <v>60</v>
      </c>
      <c r="D2920">
        <v>2</v>
      </c>
      <c r="E2920">
        <v>1559.99</v>
      </c>
      <c r="F2920">
        <v>0.2</v>
      </c>
      <c r="G2920">
        <v>3119.78</v>
      </c>
      <c r="H2920" t="s">
        <v>61</v>
      </c>
    </row>
    <row r="2921" spans="1:8" x14ac:dyDescent="0.35">
      <c r="A2921">
        <v>1078</v>
      </c>
      <c r="B2921">
        <v>3</v>
      </c>
      <c r="C2921">
        <v>15</v>
      </c>
      <c r="D2921">
        <v>1</v>
      </c>
      <c r="E2921">
        <v>529.99</v>
      </c>
      <c r="F2921">
        <v>0.1</v>
      </c>
      <c r="G2921">
        <v>529.91999999999996</v>
      </c>
      <c r="H2921" t="s">
        <v>20</v>
      </c>
    </row>
    <row r="2922" spans="1:8" x14ac:dyDescent="0.35">
      <c r="A2922">
        <v>1078</v>
      </c>
      <c r="B2922">
        <v>4</v>
      </c>
      <c r="C2922">
        <v>10</v>
      </c>
      <c r="D2922">
        <v>2</v>
      </c>
      <c r="E2922">
        <v>1549</v>
      </c>
      <c r="F2922">
        <v>0.1</v>
      </c>
      <c r="G2922">
        <v>3097.9</v>
      </c>
      <c r="H2922" t="s">
        <v>15</v>
      </c>
    </row>
    <row r="2923" spans="1:8" x14ac:dyDescent="0.35">
      <c r="A2923">
        <v>1078</v>
      </c>
      <c r="B2923">
        <v>5</v>
      </c>
      <c r="C2923">
        <v>72</v>
      </c>
      <c r="D2923">
        <v>2</v>
      </c>
      <c r="E2923">
        <v>619.99</v>
      </c>
      <c r="F2923">
        <v>0.2</v>
      </c>
      <c r="G2923">
        <v>1239.78</v>
      </c>
      <c r="H2923" t="s">
        <v>73</v>
      </c>
    </row>
    <row r="2924" spans="1:8" x14ac:dyDescent="0.35">
      <c r="A2924">
        <v>1080</v>
      </c>
      <c r="B2924">
        <v>1</v>
      </c>
      <c r="C2924">
        <v>31</v>
      </c>
      <c r="D2924">
        <v>1</v>
      </c>
      <c r="E2924">
        <v>1632.99</v>
      </c>
      <c r="F2924">
        <v>0.2</v>
      </c>
      <c r="G2924">
        <v>1632.79</v>
      </c>
      <c r="H2924" t="s">
        <v>32</v>
      </c>
    </row>
    <row r="2925" spans="1:8" x14ac:dyDescent="0.35">
      <c r="A2925">
        <v>1080</v>
      </c>
      <c r="B2925">
        <v>2</v>
      </c>
      <c r="C2925">
        <v>40</v>
      </c>
      <c r="D2925">
        <v>1</v>
      </c>
      <c r="E2925">
        <v>4999.99</v>
      </c>
      <c r="F2925">
        <v>0.1</v>
      </c>
      <c r="G2925">
        <v>4999.8900000000003</v>
      </c>
      <c r="H2925" t="s">
        <v>41</v>
      </c>
    </row>
    <row r="2926" spans="1:8" x14ac:dyDescent="0.35">
      <c r="A2926">
        <v>1080</v>
      </c>
      <c r="B2926">
        <v>3</v>
      </c>
      <c r="C2926">
        <v>50</v>
      </c>
      <c r="D2926">
        <v>1</v>
      </c>
      <c r="E2926">
        <v>5999.99</v>
      </c>
      <c r="F2926">
        <v>0.1</v>
      </c>
      <c r="G2926">
        <v>5999.94</v>
      </c>
      <c r="H2926" t="s">
        <v>51</v>
      </c>
    </row>
    <row r="2927" spans="1:8" x14ac:dyDescent="0.35">
      <c r="A2927">
        <v>1080</v>
      </c>
      <c r="B2927">
        <v>4</v>
      </c>
      <c r="C2927">
        <v>32</v>
      </c>
      <c r="D2927">
        <v>2</v>
      </c>
      <c r="E2927">
        <v>469.99</v>
      </c>
      <c r="F2927">
        <v>0.2</v>
      </c>
      <c r="G2927">
        <v>939.78</v>
      </c>
      <c r="H2927" t="s">
        <v>33</v>
      </c>
    </row>
    <row r="2928" spans="1:8" x14ac:dyDescent="0.35">
      <c r="A2928">
        <v>1080</v>
      </c>
      <c r="B2928">
        <v>5</v>
      </c>
      <c r="C2928">
        <v>86</v>
      </c>
      <c r="D2928">
        <v>1</v>
      </c>
      <c r="E2928">
        <v>149.99</v>
      </c>
      <c r="F2928">
        <v>0.1</v>
      </c>
      <c r="G2928">
        <v>149.94</v>
      </c>
      <c r="H2928" t="s">
        <v>87</v>
      </c>
    </row>
    <row r="2929" spans="1:8" x14ac:dyDescent="0.35">
      <c r="A2929">
        <v>1083</v>
      </c>
      <c r="B2929">
        <v>1</v>
      </c>
      <c r="C2929">
        <v>65</v>
      </c>
      <c r="D2929">
        <v>2</v>
      </c>
      <c r="E2929">
        <v>346.99</v>
      </c>
      <c r="F2929">
        <v>0.2</v>
      </c>
      <c r="G2929">
        <v>693.78</v>
      </c>
      <c r="H2929" t="s">
        <v>66</v>
      </c>
    </row>
    <row r="2930" spans="1:8" x14ac:dyDescent="0.35">
      <c r="A2930">
        <v>1083</v>
      </c>
      <c r="B2930">
        <v>2</v>
      </c>
      <c r="C2930">
        <v>77</v>
      </c>
      <c r="D2930">
        <v>2</v>
      </c>
      <c r="E2930">
        <v>799.99</v>
      </c>
      <c r="F2930">
        <v>0.1</v>
      </c>
      <c r="G2930">
        <v>1599.88</v>
      </c>
      <c r="H2930" t="s">
        <v>78</v>
      </c>
    </row>
    <row r="2931" spans="1:8" x14ac:dyDescent="0.35">
      <c r="A2931">
        <v>1083</v>
      </c>
      <c r="B2931">
        <v>3</v>
      </c>
      <c r="C2931">
        <v>61</v>
      </c>
      <c r="D2931">
        <v>1</v>
      </c>
      <c r="E2931">
        <v>4999.99</v>
      </c>
      <c r="F2931">
        <v>0.1</v>
      </c>
      <c r="G2931">
        <v>4999.92</v>
      </c>
      <c r="H2931" t="s">
        <v>62</v>
      </c>
    </row>
    <row r="2932" spans="1:8" x14ac:dyDescent="0.35">
      <c r="A2932">
        <v>1083</v>
      </c>
      <c r="B2932">
        <v>4</v>
      </c>
      <c r="C2932">
        <v>33</v>
      </c>
      <c r="D2932">
        <v>1</v>
      </c>
      <c r="E2932">
        <v>469.99</v>
      </c>
      <c r="F2932">
        <v>0.2</v>
      </c>
      <c r="G2932">
        <v>469.79</v>
      </c>
      <c r="H2932" t="s">
        <v>34</v>
      </c>
    </row>
    <row r="2933" spans="1:8" x14ac:dyDescent="0.35">
      <c r="A2933">
        <v>1084</v>
      </c>
      <c r="B2933">
        <v>1</v>
      </c>
      <c r="C2933">
        <v>30</v>
      </c>
      <c r="D2933">
        <v>1</v>
      </c>
      <c r="E2933">
        <v>999.99</v>
      </c>
      <c r="F2933">
        <v>0.1</v>
      </c>
      <c r="G2933">
        <v>999.94</v>
      </c>
      <c r="H2933" t="s">
        <v>31</v>
      </c>
    </row>
    <row r="2934" spans="1:8" x14ac:dyDescent="0.35">
      <c r="A2934">
        <v>1084</v>
      </c>
      <c r="B2934">
        <v>2</v>
      </c>
      <c r="C2934">
        <v>70</v>
      </c>
      <c r="D2934">
        <v>1</v>
      </c>
      <c r="E2934">
        <v>659.99</v>
      </c>
      <c r="F2934">
        <v>0.1</v>
      </c>
      <c r="G2934">
        <v>659.94</v>
      </c>
      <c r="H2934" t="s">
        <v>71</v>
      </c>
    </row>
    <row r="2935" spans="1:8" x14ac:dyDescent="0.35">
      <c r="A2935">
        <v>1084</v>
      </c>
      <c r="B2935">
        <v>3</v>
      </c>
      <c r="C2935">
        <v>98</v>
      </c>
      <c r="D2935">
        <v>2</v>
      </c>
      <c r="E2935">
        <v>489.99</v>
      </c>
      <c r="F2935">
        <v>0.2</v>
      </c>
      <c r="G2935">
        <v>979.78</v>
      </c>
      <c r="H2935" t="s">
        <v>98</v>
      </c>
    </row>
    <row r="2936" spans="1:8" x14ac:dyDescent="0.35">
      <c r="A2936">
        <v>1084</v>
      </c>
      <c r="B2936">
        <v>4</v>
      </c>
      <c r="C2936">
        <v>65</v>
      </c>
      <c r="D2936">
        <v>2</v>
      </c>
      <c r="E2936">
        <v>346.99</v>
      </c>
      <c r="F2936">
        <v>0.1</v>
      </c>
      <c r="G2936">
        <v>693.91</v>
      </c>
      <c r="H2936" t="s">
        <v>66</v>
      </c>
    </row>
    <row r="2937" spans="1:8" x14ac:dyDescent="0.35">
      <c r="A2937">
        <v>1084</v>
      </c>
      <c r="B2937">
        <v>5</v>
      </c>
      <c r="C2937">
        <v>60</v>
      </c>
      <c r="D2937">
        <v>1</v>
      </c>
      <c r="E2937">
        <v>1559.99</v>
      </c>
      <c r="F2937">
        <v>0.1</v>
      </c>
      <c r="G2937">
        <v>1559.89</v>
      </c>
      <c r="H2937" t="s">
        <v>61</v>
      </c>
    </row>
    <row r="2938" spans="1:8" x14ac:dyDescent="0.35">
      <c r="A2938">
        <v>1085</v>
      </c>
      <c r="B2938">
        <v>1</v>
      </c>
      <c r="C2938">
        <v>66</v>
      </c>
      <c r="D2938">
        <v>2</v>
      </c>
      <c r="E2938">
        <v>250.99</v>
      </c>
      <c r="F2938">
        <v>0.2</v>
      </c>
      <c r="G2938">
        <v>501.78</v>
      </c>
      <c r="H2938" t="s">
        <v>67</v>
      </c>
    </row>
    <row r="2939" spans="1:8" x14ac:dyDescent="0.35">
      <c r="A2939">
        <v>1085</v>
      </c>
      <c r="B2939">
        <v>2</v>
      </c>
      <c r="C2939">
        <v>64</v>
      </c>
      <c r="D2939">
        <v>1</v>
      </c>
      <c r="E2939">
        <v>489.99</v>
      </c>
      <c r="F2939">
        <v>0.1</v>
      </c>
      <c r="G2939">
        <v>489.89</v>
      </c>
      <c r="H2939" t="s">
        <v>65</v>
      </c>
    </row>
    <row r="2940" spans="1:8" x14ac:dyDescent="0.35">
      <c r="A2940">
        <v>1085</v>
      </c>
      <c r="B2940">
        <v>3</v>
      </c>
      <c r="C2940">
        <v>74</v>
      </c>
      <c r="D2940">
        <v>1</v>
      </c>
      <c r="E2940">
        <v>439.99</v>
      </c>
      <c r="F2940">
        <v>0.1</v>
      </c>
      <c r="G2940">
        <v>439.89</v>
      </c>
      <c r="H2940" t="s">
        <v>75</v>
      </c>
    </row>
    <row r="2941" spans="1:8" x14ac:dyDescent="0.35">
      <c r="A2941">
        <v>1086</v>
      </c>
      <c r="B2941">
        <v>1</v>
      </c>
      <c r="C2941">
        <v>108</v>
      </c>
      <c r="D2941">
        <v>1</v>
      </c>
      <c r="E2941">
        <v>449.99</v>
      </c>
      <c r="F2941">
        <v>0.1</v>
      </c>
      <c r="G2941">
        <v>449.92</v>
      </c>
      <c r="H2941" t="s">
        <v>105</v>
      </c>
    </row>
    <row r="2942" spans="1:8" x14ac:dyDescent="0.35">
      <c r="A2942">
        <v>1086</v>
      </c>
      <c r="B2942">
        <v>2</v>
      </c>
      <c r="C2942">
        <v>67</v>
      </c>
      <c r="D2942">
        <v>1</v>
      </c>
      <c r="E2942">
        <v>250.99</v>
      </c>
      <c r="F2942">
        <v>0.1</v>
      </c>
      <c r="G2942">
        <v>250.89</v>
      </c>
      <c r="H2942" t="s">
        <v>68</v>
      </c>
    </row>
    <row r="2943" spans="1:8" x14ac:dyDescent="0.35">
      <c r="A2943">
        <v>1086</v>
      </c>
      <c r="B2943">
        <v>3</v>
      </c>
      <c r="C2943">
        <v>81</v>
      </c>
      <c r="D2943">
        <v>2</v>
      </c>
      <c r="E2943">
        <v>1099.99</v>
      </c>
      <c r="F2943">
        <v>0.1</v>
      </c>
      <c r="G2943">
        <v>2199.9299999999998</v>
      </c>
      <c r="H2943" t="s">
        <v>82</v>
      </c>
    </row>
    <row r="2944" spans="1:8" x14ac:dyDescent="0.35">
      <c r="A2944">
        <v>1086</v>
      </c>
      <c r="B2944">
        <v>4</v>
      </c>
      <c r="C2944">
        <v>10</v>
      </c>
      <c r="D2944">
        <v>2</v>
      </c>
      <c r="E2944">
        <v>1549</v>
      </c>
      <c r="F2944">
        <v>0.1</v>
      </c>
      <c r="G2944">
        <v>3097.93</v>
      </c>
      <c r="H2944" t="s">
        <v>15</v>
      </c>
    </row>
    <row r="2945" spans="1:8" x14ac:dyDescent="0.35">
      <c r="A2945">
        <v>1086</v>
      </c>
      <c r="B2945">
        <v>5</v>
      </c>
      <c r="C2945">
        <v>5</v>
      </c>
      <c r="D2945">
        <v>1</v>
      </c>
      <c r="E2945">
        <v>1320.99</v>
      </c>
      <c r="F2945">
        <v>0.2</v>
      </c>
      <c r="G2945">
        <v>1320.79</v>
      </c>
      <c r="H2945" t="s">
        <v>10</v>
      </c>
    </row>
    <row r="2946" spans="1:8" x14ac:dyDescent="0.35">
      <c r="A2946">
        <v>1087</v>
      </c>
      <c r="B2946">
        <v>1</v>
      </c>
      <c r="C2946">
        <v>15</v>
      </c>
      <c r="D2946">
        <v>1</v>
      </c>
      <c r="E2946">
        <v>529.99</v>
      </c>
      <c r="F2946">
        <v>0.1</v>
      </c>
      <c r="G2946">
        <v>529.91999999999996</v>
      </c>
      <c r="H2946" t="s">
        <v>20</v>
      </c>
    </row>
    <row r="2947" spans="1:8" x14ac:dyDescent="0.35">
      <c r="A2947">
        <v>1087</v>
      </c>
      <c r="B2947">
        <v>2</v>
      </c>
      <c r="C2947">
        <v>102</v>
      </c>
      <c r="D2947">
        <v>2</v>
      </c>
      <c r="E2947">
        <v>489.99</v>
      </c>
      <c r="F2947">
        <v>0.1</v>
      </c>
      <c r="G2947">
        <v>979.91</v>
      </c>
      <c r="H2947" t="s">
        <v>65</v>
      </c>
    </row>
    <row r="2948" spans="1:8" x14ac:dyDescent="0.35">
      <c r="A2948">
        <v>1087</v>
      </c>
      <c r="B2948">
        <v>3</v>
      </c>
      <c r="C2948">
        <v>59</v>
      </c>
      <c r="D2948">
        <v>2</v>
      </c>
      <c r="E2948">
        <v>2599.9899999999998</v>
      </c>
      <c r="F2948">
        <v>0.1</v>
      </c>
      <c r="G2948">
        <v>5199.88</v>
      </c>
      <c r="H2948" t="s">
        <v>60</v>
      </c>
    </row>
    <row r="2949" spans="1:8" x14ac:dyDescent="0.35">
      <c r="A2949">
        <v>1087</v>
      </c>
      <c r="B2949">
        <v>4</v>
      </c>
      <c r="C2949">
        <v>13</v>
      </c>
      <c r="D2949">
        <v>2</v>
      </c>
      <c r="E2949">
        <v>269.99</v>
      </c>
      <c r="F2949">
        <v>0.1</v>
      </c>
      <c r="G2949">
        <v>539.91</v>
      </c>
      <c r="H2949" t="s">
        <v>18</v>
      </c>
    </row>
    <row r="2950" spans="1:8" x14ac:dyDescent="0.35">
      <c r="A2950">
        <v>1087</v>
      </c>
      <c r="B2950">
        <v>5</v>
      </c>
      <c r="C2950">
        <v>109</v>
      </c>
      <c r="D2950">
        <v>2</v>
      </c>
      <c r="E2950">
        <v>416.99</v>
      </c>
      <c r="F2950">
        <v>0.2</v>
      </c>
      <c r="G2950">
        <v>833.78</v>
      </c>
      <c r="H2950" t="s">
        <v>106</v>
      </c>
    </row>
    <row r="2951" spans="1:8" x14ac:dyDescent="0.35">
      <c r="A2951">
        <v>1088</v>
      </c>
      <c r="B2951">
        <v>1</v>
      </c>
      <c r="C2951">
        <v>64</v>
      </c>
      <c r="D2951">
        <v>1</v>
      </c>
      <c r="E2951">
        <v>489.99</v>
      </c>
      <c r="F2951">
        <v>0.1</v>
      </c>
      <c r="G2951">
        <v>489.89</v>
      </c>
      <c r="H2951" t="s">
        <v>65</v>
      </c>
    </row>
    <row r="2952" spans="1:8" x14ac:dyDescent="0.35">
      <c r="A2952">
        <v>1088</v>
      </c>
      <c r="B2952">
        <v>2</v>
      </c>
      <c r="C2952">
        <v>30</v>
      </c>
      <c r="D2952">
        <v>1</v>
      </c>
      <c r="E2952">
        <v>999.99</v>
      </c>
      <c r="F2952">
        <v>0.1</v>
      </c>
      <c r="G2952">
        <v>999.89</v>
      </c>
      <c r="H2952" t="s">
        <v>31</v>
      </c>
    </row>
    <row r="2953" spans="1:8" x14ac:dyDescent="0.35">
      <c r="A2953">
        <v>1088</v>
      </c>
      <c r="B2953">
        <v>3</v>
      </c>
      <c r="C2953">
        <v>33</v>
      </c>
      <c r="D2953">
        <v>1</v>
      </c>
      <c r="E2953">
        <v>469.99</v>
      </c>
      <c r="F2953">
        <v>0.1</v>
      </c>
      <c r="G2953">
        <v>469.92</v>
      </c>
      <c r="H2953" t="s">
        <v>34</v>
      </c>
    </row>
    <row r="2954" spans="1:8" x14ac:dyDescent="0.35">
      <c r="A2954">
        <v>1088</v>
      </c>
      <c r="B2954">
        <v>4</v>
      </c>
      <c r="C2954">
        <v>36</v>
      </c>
      <c r="D2954">
        <v>2</v>
      </c>
      <c r="E2954">
        <v>832.99</v>
      </c>
      <c r="F2954">
        <v>0.2</v>
      </c>
      <c r="G2954">
        <v>1665.78</v>
      </c>
      <c r="H2954" t="s">
        <v>37</v>
      </c>
    </row>
    <row r="2955" spans="1:8" x14ac:dyDescent="0.35">
      <c r="A2955">
        <v>1089</v>
      </c>
      <c r="B2955">
        <v>1</v>
      </c>
      <c r="C2955">
        <v>70</v>
      </c>
      <c r="D2955">
        <v>2</v>
      </c>
      <c r="E2955">
        <v>659.99</v>
      </c>
      <c r="F2955">
        <v>0.1</v>
      </c>
      <c r="G2955">
        <v>1319.91</v>
      </c>
      <c r="H2955" t="s">
        <v>71</v>
      </c>
    </row>
    <row r="2956" spans="1:8" x14ac:dyDescent="0.35">
      <c r="A2956">
        <v>1089</v>
      </c>
      <c r="B2956">
        <v>2</v>
      </c>
      <c r="C2956">
        <v>30</v>
      </c>
      <c r="D2956">
        <v>2</v>
      </c>
      <c r="E2956">
        <v>999.99</v>
      </c>
      <c r="F2956">
        <v>0.1</v>
      </c>
      <c r="G2956">
        <v>1999.93</v>
      </c>
      <c r="H2956" t="s">
        <v>31</v>
      </c>
    </row>
    <row r="2957" spans="1:8" x14ac:dyDescent="0.35">
      <c r="A2957">
        <v>1091</v>
      </c>
      <c r="B2957">
        <v>1</v>
      </c>
      <c r="C2957">
        <v>97</v>
      </c>
      <c r="D2957">
        <v>1</v>
      </c>
      <c r="E2957">
        <v>349.99</v>
      </c>
      <c r="F2957">
        <v>0.1</v>
      </c>
      <c r="G2957">
        <v>349.94</v>
      </c>
      <c r="H2957" t="s">
        <v>97</v>
      </c>
    </row>
    <row r="2958" spans="1:8" x14ac:dyDescent="0.35">
      <c r="A2958">
        <v>1091</v>
      </c>
      <c r="B2958">
        <v>2</v>
      </c>
      <c r="C2958">
        <v>56</v>
      </c>
      <c r="D2958">
        <v>1</v>
      </c>
      <c r="E2958">
        <v>5499.99</v>
      </c>
      <c r="F2958">
        <v>0.1</v>
      </c>
      <c r="G2958">
        <v>5499.89</v>
      </c>
      <c r="H2958" t="s">
        <v>57</v>
      </c>
    </row>
    <row r="2959" spans="1:8" x14ac:dyDescent="0.35">
      <c r="A2959">
        <v>1091</v>
      </c>
      <c r="B2959">
        <v>3</v>
      </c>
      <c r="C2959">
        <v>19</v>
      </c>
      <c r="D2959">
        <v>1</v>
      </c>
      <c r="E2959">
        <v>449</v>
      </c>
      <c r="F2959">
        <v>0.1</v>
      </c>
      <c r="G2959">
        <v>448.9</v>
      </c>
      <c r="H2959" t="s">
        <v>24</v>
      </c>
    </row>
    <row r="2960" spans="1:8" x14ac:dyDescent="0.35">
      <c r="A2960">
        <v>1092</v>
      </c>
      <c r="B2960">
        <v>1</v>
      </c>
      <c r="C2960">
        <v>34</v>
      </c>
      <c r="D2960">
        <v>1</v>
      </c>
      <c r="E2960">
        <v>469.99</v>
      </c>
      <c r="F2960">
        <v>0.1</v>
      </c>
      <c r="G2960">
        <v>469.94</v>
      </c>
      <c r="H2960" t="s">
        <v>35</v>
      </c>
    </row>
    <row r="2961" spans="1:8" x14ac:dyDescent="0.35">
      <c r="A2961">
        <v>1092</v>
      </c>
      <c r="B2961">
        <v>2</v>
      </c>
      <c r="C2961">
        <v>30</v>
      </c>
      <c r="D2961">
        <v>2</v>
      </c>
      <c r="E2961">
        <v>999.99</v>
      </c>
      <c r="F2961">
        <v>0.1</v>
      </c>
      <c r="G2961">
        <v>1999.91</v>
      </c>
      <c r="H2961" t="s">
        <v>31</v>
      </c>
    </row>
    <row r="2962" spans="1:8" x14ac:dyDescent="0.35">
      <c r="A2962">
        <v>1092</v>
      </c>
      <c r="B2962">
        <v>3</v>
      </c>
      <c r="C2962">
        <v>2</v>
      </c>
      <c r="D2962">
        <v>2</v>
      </c>
      <c r="E2962">
        <v>749.99</v>
      </c>
      <c r="F2962">
        <v>0.1</v>
      </c>
      <c r="G2962">
        <v>1499.88</v>
      </c>
      <c r="H2962" t="s">
        <v>7</v>
      </c>
    </row>
    <row r="2963" spans="1:8" x14ac:dyDescent="0.35">
      <c r="A2963">
        <v>1092</v>
      </c>
      <c r="B2963">
        <v>4</v>
      </c>
      <c r="C2963">
        <v>18</v>
      </c>
      <c r="D2963">
        <v>1</v>
      </c>
      <c r="E2963">
        <v>449</v>
      </c>
      <c r="F2963">
        <v>0.2</v>
      </c>
      <c r="G2963">
        <v>448.8</v>
      </c>
      <c r="H2963" t="s">
        <v>23</v>
      </c>
    </row>
    <row r="2964" spans="1:8" x14ac:dyDescent="0.35">
      <c r="A2964">
        <v>1093</v>
      </c>
      <c r="B2964">
        <v>1</v>
      </c>
      <c r="C2964">
        <v>45</v>
      </c>
      <c r="D2964">
        <v>2</v>
      </c>
      <c r="E2964">
        <v>869.99</v>
      </c>
      <c r="F2964">
        <v>0.1</v>
      </c>
      <c r="G2964">
        <v>1739.91</v>
      </c>
      <c r="H2964" t="s">
        <v>46</v>
      </c>
    </row>
    <row r="2965" spans="1:8" x14ac:dyDescent="0.35">
      <c r="A2965">
        <v>1093</v>
      </c>
      <c r="B2965">
        <v>2</v>
      </c>
      <c r="C2965">
        <v>17</v>
      </c>
      <c r="D2965">
        <v>2</v>
      </c>
      <c r="E2965">
        <v>429</v>
      </c>
      <c r="F2965">
        <v>0.1</v>
      </c>
      <c r="G2965">
        <v>857.9</v>
      </c>
      <c r="H2965" t="s">
        <v>22</v>
      </c>
    </row>
    <row r="2966" spans="1:8" x14ac:dyDescent="0.35">
      <c r="A2966">
        <v>1093</v>
      </c>
      <c r="B2966">
        <v>3</v>
      </c>
      <c r="C2966">
        <v>90</v>
      </c>
      <c r="D2966">
        <v>2</v>
      </c>
      <c r="E2966">
        <v>209.99</v>
      </c>
      <c r="F2966">
        <v>0.1</v>
      </c>
      <c r="G2966">
        <v>419.88</v>
      </c>
      <c r="H2966" t="s">
        <v>91</v>
      </c>
    </row>
    <row r="2967" spans="1:8" x14ac:dyDescent="0.35">
      <c r="A2967">
        <v>1094</v>
      </c>
      <c r="B2967">
        <v>1</v>
      </c>
      <c r="C2967">
        <v>71</v>
      </c>
      <c r="D2967">
        <v>1</v>
      </c>
      <c r="E2967">
        <v>416.99</v>
      </c>
      <c r="F2967">
        <v>0.1</v>
      </c>
      <c r="G2967">
        <v>416.89</v>
      </c>
      <c r="H2967" t="s">
        <v>72</v>
      </c>
    </row>
    <row r="2968" spans="1:8" x14ac:dyDescent="0.35">
      <c r="A2968">
        <v>1094</v>
      </c>
      <c r="B2968">
        <v>2</v>
      </c>
      <c r="C2968">
        <v>11</v>
      </c>
      <c r="D2968">
        <v>1</v>
      </c>
      <c r="E2968">
        <v>1680.99</v>
      </c>
      <c r="F2968">
        <v>0.1</v>
      </c>
      <c r="G2968">
        <v>1680.89</v>
      </c>
      <c r="H2968" t="s">
        <v>16</v>
      </c>
    </row>
    <row r="2969" spans="1:8" x14ac:dyDescent="0.35">
      <c r="A2969">
        <v>1094</v>
      </c>
      <c r="B2969">
        <v>3</v>
      </c>
      <c r="C2969">
        <v>24</v>
      </c>
      <c r="D2969">
        <v>1</v>
      </c>
      <c r="E2969">
        <v>549.99</v>
      </c>
      <c r="F2969">
        <v>0.1</v>
      </c>
      <c r="G2969">
        <v>549.89</v>
      </c>
      <c r="H2969" t="s">
        <v>17</v>
      </c>
    </row>
    <row r="2970" spans="1:8" x14ac:dyDescent="0.35">
      <c r="A2970">
        <v>1094</v>
      </c>
      <c r="B2970">
        <v>4</v>
      </c>
      <c r="C2970">
        <v>107</v>
      </c>
      <c r="D2970">
        <v>1</v>
      </c>
      <c r="E2970">
        <v>416.99</v>
      </c>
      <c r="F2970">
        <v>0.2</v>
      </c>
      <c r="G2970">
        <v>416.79</v>
      </c>
      <c r="H2970" t="s">
        <v>70</v>
      </c>
    </row>
    <row r="2971" spans="1:8" x14ac:dyDescent="0.35">
      <c r="A2971">
        <v>1095</v>
      </c>
      <c r="B2971">
        <v>1</v>
      </c>
      <c r="C2971">
        <v>78</v>
      </c>
      <c r="D2971">
        <v>2</v>
      </c>
      <c r="E2971">
        <v>647.99</v>
      </c>
      <c r="F2971">
        <v>0.1</v>
      </c>
      <c r="G2971">
        <v>1295.93</v>
      </c>
      <c r="H2971" t="s">
        <v>79</v>
      </c>
    </row>
    <row r="2972" spans="1:8" x14ac:dyDescent="0.35">
      <c r="A2972">
        <v>1095</v>
      </c>
      <c r="B2972">
        <v>2</v>
      </c>
      <c r="C2972">
        <v>3</v>
      </c>
      <c r="D2972">
        <v>2</v>
      </c>
      <c r="E2972">
        <v>999.99</v>
      </c>
      <c r="F2972">
        <v>0.2</v>
      </c>
      <c r="G2972">
        <v>1999.78</v>
      </c>
      <c r="H2972" t="s">
        <v>8</v>
      </c>
    </row>
    <row r="2973" spans="1:8" x14ac:dyDescent="0.35">
      <c r="A2973">
        <v>1095</v>
      </c>
      <c r="B2973">
        <v>3</v>
      </c>
      <c r="C2973">
        <v>15</v>
      </c>
      <c r="D2973">
        <v>2</v>
      </c>
      <c r="E2973">
        <v>529.99</v>
      </c>
      <c r="F2973">
        <v>0.1</v>
      </c>
      <c r="G2973">
        <v>1059.8800000000001</v>
      </c>
      <c r="H2973" t="s">
        <v>20</v>
      </c>
    </row>
    <row r="2974" spans="1:8" x14ac:dyDescent="0.35">
      <c r="A2974">
        <v>1095</v>
      </c>
      <c r="B2974">
        <v>4</v>
      </c>
      <c r="C2974">
        <v>31</v>
      </c>
      <c r="D2974">
        <v>1</v>
      </c>
      <c r="E2974">
        <v>1632.99</v>
      </c>
      <c r="F2974">
        <v>0.2</v>
      </c>
      <c r="G2974">
        <v>1632.79</v>
      </c>
      <c r="H2974" t="s">
        <v>32</v>
      </c>
    </row>
    <row r="2975" spans="1:8" x14ac:dyDescent="0.35">
      <c r="A2975">
        <v>1095</v>
      </c>
      <c r="B2975">
        <v>5</v>
      </c>
      <c r="C2975">
        <v>50</v>
      </c>
      <c r="D2975">
        <v>2</v>
      </c>
      <c r="E2975">
        <v>5999.99</v>
      </c>
      <c r="F2975">
        <v>0.1</v>
      </c>
      <c r="G2975">
        <v>11999.93</v>
      </c>
      <c r="H2975" t="s">
        <v>51</v>
      </c>
    </row>
    <row r="2976" spans="1:8" x14ac:dyDescent="0.35">
      <c r="A2976">
        <v>1097</v>
      </c>
      <c r="B2976">
        <v>1</v>
      </c>
      <c r="C2976">
        <v>99</v>
      </c>
      <c r="D2976">
        <v>1</v>
      </c>
      <c r="E2976">
        <v>299.99</v>
      </c>
      <c r="F2976">
        <v>0.1</v>
      </c>
      <c r="G2976">
        <v>299.94</v>
      </c>
      <c r="H2976" t="s">
        <v>99</v>
      </c>
    </row>
    <row r="2977" spans="1:8" x14ac:dyDescent="0.35">
      <c r="A2977">
        <v>1097</v>
      </c>
      <c r="B2977">
        <v>2</v>
      </c>
      <c r="C2977">
        <v>106</v>
      </c>
      <c r="D2977">
        <v>2</v>
      </c>
      <c r="E2977">
        <v>449.99</v>
      </c>
      <c r="F2977">
        <v>0.1</v>
      </c>
      <c r="G2977">
        <v>899.91</v>
      </c>
      <c r="H2977" t="s">
        <v>69</v>
      </c>
    </row>
    <row r="2978" spans="1:8" x14ac:dyDescent="0.35">
      <c r="A2978">
        <v>1097</v>
      </c>
      <c r="B2978">
        <v>3</v>
      </c>
      <c r="C2978">
        <v>98</v>
      </c>
      <c r="D2978">
        <v>2</v>
      </c>
      <c r="E2978">
        <v>489.99</v>
      </c>
      <c r="F2978">
        <v>0.1</v>
      </c>
      <c r="G2978">
        <v>979.91</v>
      </c>
      <c r="H2978" t="s">
        <v>98</v>
      </c>
    </row>
    <row r="2979" spans="1:8" x14ac:dyDescent="0.35">
      <c r="A2979">
        <v>1097</v>
      </c>
      <c r="B2979">
        <v>4</v>
      </c>
      <c r="C2979">
        <v>19</v>
      </c>
      <c r="D2979">
        <v>1</v>
      </c>
      <c r="E2979">
        <v>449</v>
      </c>
      <c r="F2979">
        <v>0.2</v>
      </c>
      <c r="G2979">
        <v>448.8</v>
      </c>
      <c r="H2979" t="s">
        <v>24</v>
      </c>
    </row>
    <row r="2980" spans="1:8" x14ac:dyDescent="0.35">
      <c r="A2980">
        <v>1097</v>
      </c>
      <c r="B2980">
        <v>5</v>
      </c>
      <c r="C2980">
        <v>35</v>
      </c>
      <c r="D2980">
        <v>2</v>
      </c>
      <c r="E2980">
        <v>832.99</v>
      </c>
      <c r="F2980">
        <v>0.1</v>
      </c>
      <c r="G2980">
        <v>1665.93</v>
      </c>
      <c r="H2980" t="s">
        <v>36</v>
      </c>
    </row>
    <row r="2981" spans="1:8" x14ac:dyDescent="0.35">
      <c r="A2981">
        <v>1099</v>
      </c>
      <c r="B2981">
        <v>1</v>
      </c>
      <c r="C2981">
        <v>64</v>
      </c>
      <c r="D2981">
        <v>1</v>
      </c>
      <c r="E2981">
        <v>489.99</v>
      </c>
      <c r="F2981">
        <v>0.1</v>
      </c>
      <c r="G2981">
        <v>489.89</v>
      </c>
      <c r="H2981" t="s">
        <v>65</v>
      </c>
    </row>
    <row r="2982" spans="1:8" x14ac:dyDescent="0.35">
      <c r="A2982">
        <v>1099</v>
      </c>
      <c r="B2982">
        <v>2</v>
      </c>
      <c r="C2982">
        <v>13</v>
      </c>
      <c r="D2982">
        <v>2</v>
      </c>
      <c r="E2982">
        <v>269.99</v>
      </c>
      <c r="F2982">
        <v>0.1</v>
      </c>
      <c r="G2982">
        <v>539.92999999999995</v>
      </c>
      <c r="H2982" t="s">
        <v>18</v>
      </c>
    </row>
    <row r="2983" spans="1:8" x14ac:dyDescent="0.35">
      <c r="A2983">
        <v>1099</v>
      </c>
      <c r="B2983">
        <v>3</v>
      </c>
      <c r="C2983">
        <v>46</v>
      </c>
      <c r="D2983">
        <v>1</v>
      </c>
      <c r="E2983">
        <v>1409.99</v>
      </c>
      <c r="F2983">
        <v>0.1</v>
      </c>
      <c r="G2983">
        <v>1409.92</v>
      </c>
      <c r="H2983" t="s">
        <v>47</v>
      </c>
    </row>
    <row r="2984" spans="1:8" x14ac:dyDescent="0.35">
      <c r="A2984">
        <v>1099</v>
      </c>
      <c r="B2984">
        <v>4</v>
      </c>
      <c r="C2984">
        <v>89</v>
      </c>
      <c r="D2984">
        <v>2</v>
      </c>
      <c r="E2984">
        <v>209.99</v>
      </c>
      <c r="F2984">
        <v>0.1</v>
      </c>
      <c r="G2984">
        <v>419.88</v>
      </c>
      <c r="H2984" t="s">
        <v>90</v>
      </c>
    </row>
    <row r="2985" spans="1:8" x14ac:dyDescent="0.35">
      <c r="A2985">
        <v>1100</v>
      </c>
      <c r="B2985">
        <v>1</v>
      </c>
      <c r="C2985">
        <v>12</v>
      </c>
      <c r="D2985">
        <v>1</v>
      </c>
      <c r="E2985">
        <v>549.99</v>
      </c>
      <c r="F2985">
        <v>0.1</v>
      </c>
      <c r="G2985">
        <v>549.94000000000005</v>
      </c>
      <c r="H2985" t="s">
        <v>17</v>
      </c>
    </row>
    <row r="2986" spans="1:8" x14ac:dyDescent="0.35">
      <c r="A2986">
        <v>1100</v>
      </c>
      <c r="B2986">
        <v>2</v>
      </c>
      <c r="C2986">
        <v>9</v>
      </c>
      <c r="D2986">
        <v>2</v>
      </c>
      <c r="E2986">
        <v>2999.99</v>
      </c>
      <c r="F2986">
        <v>0.1</v>
      </c>
      <c r="G2986">
        <v>5999.88</v>
      </c>
      <c r="H2986" t="s">
        <v>14</v>
      </c>
    </row>
    <row r="2987" spans="1:8" x14ac:dyDescent="0.35">
      <c r="A2987">
        <v>1101</v>
      </c>
      <c r="B2987">
        <v>1</v>
      </c>
      <c r="C2987">
        <v>105</v>
      </c>
      <c r="D2987">
        <v>1</v>
      </c>
      <c r="E2987">
        <v>533.99</v>
      </c>
      <c r="F2987">
        <v>0.1</v>
      </c>
      <c r="G2987">
        <v>533.91999999999996</v>
      </c>
      <c r="H2987" t="s">
        <v>104</v>
      </c>
    </row>
    <row r="2988" spans="1:8" x14ac:dyDescent="0.35">
      <c r="A2988">
        <v>1101</v>
      </c>
      <c r="B2988">
        <v>2</v>
      </c>
      <c r="C2988">
        <v>51</v>
      </c>
      <c r="D2988">
        <v>1</v>
      </c>
      <c r="E2988">
        <v>6499.99</v>
      </c>
      <c r="F2988">
        <v>0.1</v>
      </c>
      <c r="G2988">
        <v>6499.94</v>
      </c>
      <c r="H2988" t="s">
        <v>52</v>
      </c>
    </row>
    <row r="2989" spans="1:8" x14ac:dyDescent="0.35">
      <c r="A2989">
        <v>1103</v>
      </c>
      <c r="B2989">
        <v>1</v>
      </c>
      <c r="C2989">
        <v>106</v>
      </c>
      <c r="D2989">
        <v>1</v>
      </c>
      <c r="E2989">
        <v>449.99</v>
      </c>
      <c r="F2989">
        <v>0.2</v>
      </c>
      <c r="G2989">
        <v>449.79</v>
      </c>
      <c r="H2989" t="s">
        <v>69</v>
      </c>
    </row>
    <row r="2990" spans="1:8" x14ac:dyDescent="0.35">
      <c r="A2990">
        <v>1103</v>
      </c>
      <c r="B2990">
        <v>2</v>
      </c>
      <c r="C2990">
        <v>46</v>
      </c>
      <c r="D2990">
        <v>2</v>
      </c>
      <c r="E2990">
        <v>1409.99</v>
      </c>
      <c r="F2990">
        <v>0.2</v>
      </c>
      <c r="G2990">
        <v>2819.78</v>
      </c>
      <c r="H2990" t="s">
        <v>47</v>
      </c>
    </row>
    <row r="2991" spans="1:8" x14ac:dyDescent="0.35">
      <c r="A2991">
        <v>1104</v>
      </c>
      <c r="B2991">
        <v>1</v>
      </c>
      <c r="C2991">
        <v>17</v>
      </c>
      <c r="D2991">
        <v>1</v>
      </c>
      <c r="E2991">
        <v>429</v>
      </c>
      <c r="F2991">
        <v>0.1</v>
      </c>
      <c r="G2991">
        <v>428.9</v>
      </c>
      <c r="H2991" t="s">
        <v>22</v>
      </c>
    </row>
    <row r="2992" spans="1:8" x14ac:dyDescent="0.35">
      <c r="A2992">
        <v>1104</v>
      </c>
      <c r="B2992">
        <v>2</v>
      </c>
      <c r="C2992">
        <v>70</v>
      </c>
      <c r="D2992">
        <v>2</v>
      </c>
      <c r="E2992">
        <v>659.99</v>
      </c>
      <c r="F2992">
        <v>0.1</v>
      </c>
      <c r="G2992">
        <v>1319.88</v>
      </c>
      <c r="H2992" t="s">
        <v>71</v>
      </c>
    </row>
    <row r="2993" spans="1:8" x14ac:dyDescent="0.35">
      <c r="A2993">
        <v>1104</v>
      </c>
      <c r="B2993">
        <v>3</v>
      </c>
      <c r="C2993">
        <v>43</v>
      </c>
      <c r="D2993">
        <v>1</v>
      </c>
      <c r="E2993">
        <v>5299.99</v>
      </c>
      <c r="F2993">
        <v>0.1</v>
      </c>
      <c r="G2993">
        <v>5299.92</v>
      </c>
      <c r="H2993" t="s">
        <v>44</v>
      </c>
    </row>
    <row r="2994" spans="1:8" x14ac:dyDescent="0.35">
      <c r="A2994">
        <v>1104</v>
      </c>
      <c r="B2994">
        <v>4</v>
      </c>
      <c r="C2994">
        <v>80</v>
      </c>
      <c r="D2994">
        <v>1</v>
      </c>
      <c r="E2994">
        <v>761.99</v>
      </c>
      <c r="F2994">
        <v>0.1</v>
      </c>
      <c r="G2994">
        <v>761.92</v>
      </c>
      <c r="H2994" t="s">
        <v>81</v>
      </c>
    </row>
    <row r="2995" spans="1:8" x14ac:dyDescent="0.35">
      <c r="A2995">
        <v>1105</v>
      </c>
      <c r="B2995">
        <v>1</v>
      </c>
      <c r="C2995">
        <v>60</v>
      </c>
      <c r="D2995">
        <v>1</v>
      </c>
      <c r="E2995">
        <v>1559.99</v>
      </c>
      <c r="F2995">
        <v>0.1</v>
      </c>
      <c r="G2995">
        <v>1559.94</v>
      </c>
      <c r="H2995" t="s">
        <v>61</v>
      </c>
    </row>
    <row r="2996" spans="1:8" x14ac:dyDescent="0.35">
      <c r="A2996">
        <v>1105</v>
      </c>
      <c r="B2996">
        <v>2</v>
      </c>
      <c r="C2996">
        <v>56</v>
      </c>
      <c r="D2996">
        <v>2</v>
      </c>
      <c r="E2996">
        <v>5499.99</v>
      </c>
      <c r="F2996">
        <v>0.2</v>
      </c>
      <c r="G2996">
        <v>10999.78</v>
      </c>
      <c r="H2996" t="s">
        <v>57</v>
      </c>
    </row>
    <row r="2997" spans="1:8" x14ac:dyDescent="0.35">
      <c r="A2997">
        <v>1105</v>
      </c>
      <c r="B2997">
        <v>3</v>
      </c>
      <c r="C2997">
        <v>35</v>
      </c>
      <c r="D2997">
        <v>2</v>
      </c>
      <c r="E2997">
        <v>832.99</v>
      </c>
      <c r="F2997">
        <v>0.1</v>
      </c>
      <c r="G2997">
        <v>1665.91</v>
      </c>
      <c r="H2997" t="s">
        <v>36</v>
      </c>
    </row>
    <row r="2998" spans="1:8" x14ac:dyDescent="0.35">
      <c r="A2998">
        <v>1107</v>
      </c>
      <c r="B2998">
        <v>1</v>
      </c>
      <c r="C2998">
        <v>43</v>
      </c>
      <c r="D2998">
        <v>1</v>
      </c>
      <c r="E2998">
        <v>5299.99</v>
      </c>
      <c r="F2998">
        <v>0.2</v>
      </c>
      <c r="G2998">
        <v>5299.79</v>
      </c>
      <c r="H2998" t="s">
        <v>44</v>
      </c>
    </row>
    <row r="2999" spans="1:8" x14ac:dyDescent="0.35">
      <c r="A2999">
        <v>1107</v>
      </c>
      <c r="B2999">
        <v>2</v>
      </c>
      <c r="C2999">
        <v>41</v>
      </c>
      <c r="D2999">
        <v>2</v>
      </c>
      <c r="E2999">
        <v>1469.99</v>
      </c>
      <c r="F2999">
        <v>0.2</v>
      </c>
      <c r="G2999">
        <v>2939.78</v>
      </c>
      <c r="H2999" t="s">
        <v>42</v>
      </c>
    </row>
    <row r="3000" spans="1:8" x14ac:dyDescent="0.35">
      <c r="A3000">
        <v>1108</v>
      </c>
      <c r="B3000">
        <v>1</v>
      </c>
      <c r="C3000">
        <v>45</v>
      </c>
      <c r="D3000">
        <v>2</v>
      </c>
      <c r="E3000">
        <v>869.99</v>
      </c>
      <c r="F3000">
        <v>0.1</v>
      </c>
      <c r="G3000">
        <v>1739.93</v>
      </c>
      <c r="H3000" t="s">
        <v>46</v>
      </c>
    </row>
    <row r="3001" spans="1:8" x14ac:dyDescent="0.35">
      <c r="A3001">
        <v>1108</v>
      </c>
      <c r="B3001">
        <v>2</v>
      </c>
      <c r="C3001">
        <v>100</v>
      </c>
      <c r="D3001">
        <v>1</v>
      </c>
      <c r="E3001">
        <v>489.99</v>
      </c>
      <c r="F3001">
        <v>0.1</v>
      </c>
      <c r="G3001">
        <v>489.92</v>
      </c>
      <c r="H3001" t="s">
        <v>100</v>
      </c>
    </row>
    <row r="3002" spans="1:8" x14ac:dyDescent="0.35">
      <c r="A3002">
        <v>1108</v>
      </c>
      <c r="B3002">
        <v>3</v>
      </c>
      <c r="C3002">
        <v>105</v>
      </c>
      <c r="D3002">
        <v>1</v>
      </c>
      <c r="E3002">
        <v>533.99</v>
      </c>
      <c r="F3002">
        <v>0.1</v>
      </c>
      <c r="G3002">
        <v>533.91999999999996</v>
      </c>
      <c r="H3002" t="s">
        <v>104</v>
      </c>
    </row>
    <row r="3003" spans="1:8" x14ac:dyDescent="0.35">
      <c r="A3003">
        <v>1111</v>
      </c>
      <c r="B3003">
        <v>1</v>
      </c>
      <c r="C3003">
        <v>95</v>
      </c>
      <c r="D3003">
        <v>1</v>
      </c>
      <c r="E3003">
        <v>299.99</v>
      </c>
      <c r="F3003">
        <v>0.1</v>
      </c>
      <c r="G3003">
        <v>299.94</v>
      </c>
      <c r="H3003" t="s">
        <v>77</v>
      </c>
    </row>
    <row r="3004" spans="1:8" x14ac:dyDescent="0.35">
      <c r="A3004">
        <v>1111</v>
      </c>
      <c r="B3004">
        <v>2</v>
      </c>
      <c r="C3004">
        <v>66</v>
      </c>
      <c r="D3004">
        <v>2</v>
      </c>
      <c r="E3004">
        <v>250.99</v>
      </c>
      <c r="F3004">
        <v>0.1</v>
      </c>
      <c r="G3004">
        <v>501.88</v>
      </c>
      <c r="H3004" t="s">
        <v>67</v>
      </c>
    </row>
    <row r="3005" spans="1:8" x14ac:dyDescent="0.35">
      <c r="A3005">
        <v>1111</v>
      </c>
      <c r="B3005">
        <v>3</v>
      </c>
      <c r="C3005">
        <v>14</v>
      </c>
      <c r="D3005">
        <v>1</v>
      </c>
      <c r="E3005">
        <v>269.99</v>
      </c>
      <c r="F3005">
        <v>0.2</v>
      </c>
      <c r="G3005">
        <v>269.79000000000002</v>
      </c>
      <c r="H3005" t="s">
        <v>19</v>
      </c>
    </row>
    <row r="3006" spans="1:8" x14ac:dyDescent="0.35">
      <c r="A3006">
        <v>1111</v>
      </c>
      <c r="B3006">
        <v>4</v>
      </c>
      <c r="C3006">
        <v>24</v>
      </c>
      <c r="D3006">
        <v>1</v>
      </c>
      <c r="E3006">
        <v>549.99</v>
      </c>
      <c r="F3006">
        <v>0.1</v>
      </c>
      <c r="G3006">
        <v>549.91999999999996</v>
      </c>
      <c r="H3006" t="s">
        <v>17</v>
      </c>
    </row>
    <row r="3007" spans="1:8" x14ac:dyDescent="0.35">
      <c r="A3007">
        <v>1112</v>
      </c>
      <c r="B3007">
        <v>1</v>
      </c>
      <c r="C3007">
        <v>71</v>
      </c>
      <c r="D3007">
        <v>2</v>
      </c>
      <c r="E3007">
        <v>416.99</v>
      </c>
      <c r="F3007">
        <v>0.1</v>
      </c>
      <c r="G3007">
        <v>833.93</v>
      </c>
      <c r="H3007" t="s">
        <v>72</v>
      </c>
    </row>
    <row r="3008" spans="1:8" x14ac:dyDescent="0.35">
      <c r="A3008">
        <v>1112</v>
      </c>
      <c r="B3008">
        <v>2</v>
      </c>
      <c r="C3008">
        <v>42</v>
      </c>
      <c r="D3008">
        <v>1</v>
      </c>
      <c r="E3008">
        <v>2299.9899999999998</v>
      </c>
      <c r="F3008">
        <v>0.1</v>
      </c>
      <c r="G3008">
        <v>2299.92</v>
      </c>
      <c r="H3008" t="s">
        <v>43</v>
      </c>
    </row>
    <row r="3009" spans="1:8" x14ac:dyDescent="0.35">
      <c r="A3009">
        <v>1112</v>
      </c>
      <c r="B3009">
        <v>3</v>
      </c>
      <c r="C3009">
        <v>5</v>
      </c>
      <c r="D3009">
        <v>2</v>
      </c>
      <c r="E3009">
        <v>1320.99</v>
      </c>
      <c r="F3009">
        <v>0.1</v>
      </c>
      <c r="G3009">
        <v>2641.88</v>
      </c>
      <c r="H3009" t="s">
        <v>10</v>
      </c>
    </row>
    <row r="3010" spans="1:8" x14ac:dyDescent="0.35">
      <c r="A3010">
        <v>1112</v>
      </c>
      <c r="B3010">
        <v>4</v>
      </c>
      <c r="C3010">
        <v>87</v>
      </c>
      <c r="D3010">
        <v>2</v>
      </c>
      <c r="E3010">
        <v>189.99</v>
      </c>
      <c r="F3010">
        <v>0.1</v>
      </c>
      <c r="G3010">
        <v>379.91</v>
      </c>
      <c r="H3010" t="s">
        <v>88</v>
      </c>
    </row>
    <row r="3011" spans="1:8" x14ac:dyDescent="0.35">
      <c r="A3011">
        <v>1112</v>
      </c>
      <c r="B3011">
        <v>5</v>
      </c>
      <c r="C3011">
        <v>9</v>
      </c>
      <c r="D3011">
        <v>2</v>
      </c>
      <c r="E3011">
        <v>2999.99</v>
      </c>
      <c r="F3011">
        <v>0.1</v>
      </c>
      <c r="G3011">
        <v>5999.88</v>
      </c>
      <c r="H3011" t="s">
        <v>14</v>
      </c>
    </row>
    <row r="3012" spans="1:8" x14ac:dyDescent="0.35">
      <c r="A3012">
        <v>1115</v>
      </c>
      <c r="B3012">
        <v>1</v>
      </c>
      <c r="C3012">
        <v>97</v>
      </c>
      <c r="D3012">
        <v>2</v>
      </c>
      <c r="E3012">
        <v>349.99</v>
      </c>
      <c r="F3012">
        <v>0.2</v>
      </c>
      <c r="G3012">
        <v>699.78</v>
      </c>
      <c r="H3012" t="s">
        <v>97</v>
      </c>
    </row>
    <row r="3013" spans="1:8" x14ac:dyDescent="0.35">
      <c r="A3013">
        <v>1115</v>
      </c>
      <c r="B3013">
        <v>2</v>
      </c>
      <c r="C3013">
        <v>50</v>
      </c>
      <c r="D3013">
        <v>2</v>
      </c>
      <c r="E3013">
        <v>5999.99</v>
      </c>
      <c r="F3013">
        <v>0.1</v>
      </c>
      <c r="G3013">
        <v>11999.91</v>
      </c>
      <c r="H3013" t="s">
        <v>51</v>
      </c>
    </row>
    <row r="3014" spans="1:8" x14ac:dyDescent="0.35">
      <c r="A3014">
        <v>1115</v>
      </c>
      <c r="B3014">
        <v>3</v>
      </c>
      <c r="C3014">
        <v>91</v>
      </c>
      <c r="D3014">
        <v>2</v>
      </c>
      <c r="E3014">
        <v>349.99</v>
      </c>
      <c r="F3014">
        <v>0.1</v>
      </c>
      <c r="G3014">
        <v>699.91</v>
      </c>
      <c r="H3014" t="s">
        <v>92</v>
      </c>
    </row>
    <row r="3015" spans="1:8" x14ac:dyDescent="0.35">
      <c r="A3015">
        <v>1115</v>
      </c>
      <c r="B3015">
        <v>4</v>
      </c>
      <c r="C3015">
        <v>49</v>
      </c>
      <c r="D3015">
        <v>2</v>
      </c>
      <c r="E3015">
        <v>3499.99</v>
      </c>
      <c r="F3015">
        <v>0.1</v>
      </c>
      <c r="G3015">
        <v>6999.88</v>
      </c>
      <c r="H3015" t="s">
        <v>50</v>
      </c>
    </row>
    <row r="3016" spans="1:8" x14ac:dyDescent="0.35">
      <c r="A3016">
        <v>1117</v>
      </c>
      <c r="B3016">
        <v>1</v>
      </c>
      <c r="C3016">
        <v>37</v>
      </c>
      <c r="D3016">
        <v>2</v>
      </c>
      <c r="E3016">
        <v>379.99</v>
      </c>
      <c r="F3016">
        <v>0.1</v>
      </c>
      <c r="G3016">
        <v>759.88</v>
      </c>
      <c r="H3016" t="s">
        <v>38</v>
      </c>
    </row>
    <row r="3017" spans="1:8" x14ac:dyDescent="0.35">
      <c r="A3017">
        <v>1117</v>
      </c>
      <c r="B3017">
        <v>2</v>
      </c>
      <c r="C3017">
        <v>91</v>
      </c>
      <c r="D3017">
        <v>1</v>
      </c>
      <c r="E3017">
        <v>349.99</v>
      </c>
      <c r="F3017">
        <v>0.2</v>
      </c>
      <c r="G3017">
        <v>349.79</v>
      </c>
      <c r="H3017" t="s">
        <v>92</v>
      </c>
    </row>
    <row r="3018" spans="1:8" x14ac:dyDescent="0.35">
      <c r="A3018">
        <v>1117</v>
      </c>
      <c r="B3018">
        <v>3</v>
      </c>
      <c r="C3018">
        <v>51</v>
      </c>
      <c r="D3018">
        <v>2</v>
      </c>
      <c r="E3018">
        <v>6499.99</v>
      </c>
      <c r="F3018">
        <v>0.1</v>
      </c>
      <c r="G3018">
        <v>12999.88</v>
      </c>
      <c r="H3018" t="s">
        <v>52</v>
      </c>
    </row>
    <row r="3019" spans="1:8" x14ac:dyDescent="0.35">
      <c r="A3019">
        <v>1118</v>
      </c>
      <c r="B3019">
        <v>1</v>
      </c>
      <c r="C3019">
        <v>55</v>
      </c>
      <c r="D3019">
        <v>2</v>
      </c>
      <c r="E3019">
        <v>2699.99</v>
      </c>
      <c r="F3019">
        <v>0.2</v>
      </c>
      <c r="G3019">
        <v>5399.78</v>
      </c>
      <c r="H3019" t="s">
        <v>56</v>
      </c>
    </row>
    <row r="3020" spans="1:8" x14ac:dyDescent="0.35">
      <c r="A3020">
        <v>1118</v>
      </c>
      <c r="B3020">
        <v>2</v>
      </c>
      <c r="C3020">
        <v>50</v>
      </c>
      <c r="D3020">
        <v>1</v>
      </c>
      <c r="E3020">
        <v>5999.99</v>
      </c>
      <c r="F3020">
        <v>0.1</v>
      </c>
      <c r="G3020">
        <v>5999.92</v>
      </c>
      <c r="H3020" t="s">
        <v>51</v>
      </c>
    </row>
    <row r="3021" spans="1:8" x14ac:dyDescent="0.35">
      <c r="A3021">
        <v>1118</v>
      </c>
      <c r="B3021">
        <v>3</v>
      </c>
      <c r="C3021">
        <v>29</v>
      </c>
      <c r="D3021">
        <v>1</v>
      </c>
      <c r="E3021">
        <v>999.99</v>
      </c>
      <c r="F3021">
        <v>0.1</v>
      </c>
      <c r="G3021">
        <v>999.94</v>
      </c>
      <c r="H3021" t="s">
        <v>30</v>
      </c>
    </row>
    <row r="3022" spans="1:8" x14ac:dyDescent="0.35">
      <c r="A3022">
        <v>1118</v>
      </c>
      <c r="B3022">
        <v>4</v>
      </c>
      <c r="C3022">
        <v>47</v>
      </c>
      <c r="D3022">
        <v>2</v>
      </c>
      <c r="E3022">
        <v>5299.99</v>
      </c>
      <c r="F3022">
        <v>0.2</v>
      </c>
      <c r="G3022">
        <v>10599.78</v>
      </c>
      <c r="H3022" t="s">
        <v>48</v>
      </c>
    </row>
    <row r="3023" spans="1:8" x14ac:dyDescent="0.35">
      <c r="A3023">
        <v>1119</v>
      </c>
      <c r="B3023">
        <v>1</v>
      </c>
      <c r="C3023">
        <v>93</v>
      </c>
      <c r="D3023">
        <v>2</v>
      </c>
      <c r="E3023">
        <v>209.99</v>
      </c>
      <c r="F3023">
        <v>0.1</v>
      </c>
      <c r="G3023">
        <v>419.88</v>
      </c>
      <c r="H3023" t="s">
        <v>94</v>
      </c>
    </row>
    <row r="3024" spans="1:8" x14ac:dyDescent="0.35">
      <c r="A3024">
        <v>1119</v>
      </c>
      <c r="B3024">
        <v>2</v>
      </c>
      <c r="C3024">
        <v>55</v>
      </c>
      <c r="D3024">
        <v>2</v>
      </c>
      <c r="E3024">
        <v>2699.99</v>
      </c>
      <c r="F3024">
        <v>0.1</v>
      </c>
      <c r="G3024">
        <v>5399.93</v>
      </c>
      <c r="H3024" t="s">
        <v>56</v>
      </c>
    </row>
    <row r="3025" spans="1:8" x14ac:dyDescent="0.35">
      <c r="A3025">
        <v>1119</v>
      </c>
      <c r="B3025">
        <v>3</v>
      </c>
      <c r="C3025">
        <v>104</v>
      </c>
      <c r="D3025">
        <v>1</v>
      </c>
      <c r="E3025">
        <v>481.99</v>
      </c>
      <c r="F3025">
        <v>0.2</v>
      </c>
      <c r="G3025">
        <v>481.79</v>
      </c>
      <c r="H3025" t="s">
        <v>103</v>
      </c>
    </row>
    <row r="3026" spans="1:8" x14ac:dyDescent="0.35">
      <c r="A3026">
        <v>1120</v>
      </c>
      <c r="B3026">
        <v>1</v>
      </c>
      <c r="C3026">
        <v>92</v>
      </c>
      <c r="D3026">
        <v>2</v>
      </c>
      <c r="E3026">
        <v>209.99</v>
      </c>
      <c r="F3026">
        <v>0.1</v>
      </c>
      <c r="G3026">
        <v>419.91</v>
      </c>
      <c r="H3026" t="s">
        <v>93</v>
      </c>
    </row>
    <row r="3027" spans="1:8" x14ac:dyDescent="0.35">
      <c r="A3027">
        <v>1120</v>
      </c>
      <c r="B3027">
        <v>2</v>
      </c>
      <c r="C3027">
        <v>31</v>
      </c>
      <c r="D3027">
        <v>1</v>
      </c>
      <c r="E3027">
        <v>1632.99</v>
      </c>
      <c r="F3027">
        <v>0.1</v>
      </c>
      <c r="G3027">
        <v>1632.92</v>
      </c>
      <c r="H3027" t="s">
        <v>32</v>
      </c>
    </row>
    <row r="3028" spans="1:8" x14ac:dyDescent="0.35">
      <c r="A3028">
        <v>1120</v>
      </c>
      <c r="B3028">
        <v>3</v>
      </c>
      <c r="C3028">
        <v>30</v>
      </c>
      <c r="D3028">
        <v>2</v>
      </c>
      <c r="E3028">
        <v>999.99</v>
      </c>
      <c r="F3028">
        <v>0.1</v>
      </c>
      <c r="G3028">
        <v>1999.93</v>
      </c>
      <c r="H3028" t="s">
        <v>31</v>
      </c>
    </row>
    <row r="3029" spans="1:8" x14ac:dyDescent="0.35">
      <c r="A3029">
        <v>1120</v>
      </c>
      <c r="B3029">
        <v>4</v>
      </c>
      <c r="C3029">
        <v>93</v>
      </c>
      <c r="D3029">
        <v>1</v>
      </c>
      <c r="E3029">
        <v>209.99</v>
      </c>
      <c r="F3029">
        <v>0.1</v>
      </c>
      <c r="G3029">
        <v>209.92</v>
      </c>
      <c r="H3029" t="s">
        <v>94</v>
      </c>
    </row>
    <row r="3030" spans="1:8" x14ac:dyDescent="0.35">
      <c r="A3030">
        <v>1120</v>
      </c>
      <c r="B3030">
        <v>5</v>
      </c>
      <c r="C3030">
        <v>94</v>
      </c>
      <c r="D3030">
        <v>1</v>
      </c>
      <c r="E3030">
        <v>249.99</v>
      </c>
      <c r="F3030">
        <v>0.2</v>
      </c>
      <c r="G3030">
        <v>249.79</v>
      </c>
      <c r="H3030" t="s">
        <v>95</v>
      </c>
    </row>
    <row r="3031" spans="1:8" x14ac:dyDescent="0.35">
      <c r="A3031">
        <v>1121</v>
      </c>
      <c r="B3031">
        <v>1</v>
      </c>
      <c r="C3031">
        <v>11</v>
      </c>
      <c r="D3031">
        <v>2</v>
      </c>
      <c r="E3031">
        <v>1680.99</v>
      </c>
      <c r="F3031">
        <v>0.1</v>
      </c>
      <c r="G3031">
        <v>3361.88</v>
      </c>
      <c r="H3031" t="s">
        <v>16</v>
      </c>
    </row>
    <row r="3032" spans="1:8" x14ac:dyDescent="0.35">
      <c r="A3032">
        <v>1121</v>
      </c>
      <c r="B3032">
        <v>2</v>
      </c>
      <c r="C3032">
        <v>110</v>
      </c>
      <c r="D3032">
        <v>2</v>
      </c>
      <c r="E3032">
        <v>470.99</v>
      </c>
      <c r="F3032">
        <v>0.1</v>
      </c>
      <c r="G3032">
        <v>941.93</v>
      </c>
      <c r="H3032" t="s">
        <v>107</v>
      </c>
    </row>
    <row r="3033" spans="1:8" x14ac:dyDescent="0.35">
      <c r="A3033">
        <v>1122</v>
      </c>
      <c r="B3033">
        <v>1</v>
      </c>
      <c r="C3033">
        <v>9</v>
      </c>
      <c r="D3033">
        <v>2</v>
      </c>
      <c r="E3033">
        <v>2999.99</v>
      </c>
      <c r="F3033">
        <v>0.1</v>
      </c>
      <c r="G3033">
        <v>5999.91</v>
      </c>
      <c r="H3033" t="s">
        <v>14</v>
      </c>
    </row>
    <row r="3034" spans="1:8" x14ac:dyDescent="0.35">
      <c r="A3034">
        <v>1122</v>
      </c>
      <c r="B3034">
        <v>2</v>
      </c>
      <c r="C3034">
        <v>53</v>
      </c>
      <c r="D3034">
        <v>1</v>
      </c>
      <c r="E3034">
        <v>749.99</v>
      </c>
      <c r="F3034">
        <v>0.1</v>
      </c>
      <c r="G3034">
        <v>749.89</v>
      </c>
      <c r="H3034" t="s">
        <v>54</v>
      </c>
    </row>
    <row r="3035" spans="1:8" x14ac:dyDescent="0.35">
      <c r="A3035">
        <v>1122</v>
      </c>
      <c r="B3035">
        <v>3</v>
      </c>
      <c r="C3035">
        <v>49</v>
      </c>
      <c r="D3035">
        <v>2</v>
      </c>
      <c r="E3035">
        <v>3499.99</v>
      </c>
      <c r="F3035">
        <v>0.2</v>
      </c>
      <c r="G3035">
        <v>6999.78</v>
      </c>
      <c r="H3035" t="s">
        <v>50</v>
      </c>
    </row>
    <row r="3036" spans="1:8" x14ac:dyDescent="0.35">
      <c r="A3036">
        <v>1122</v>
      </c>
      <c r="B3036">
        <v>4</v>
      </c>
      <c r="C3036">
        <v>41</v>
      </c>
      <c r="D3036">
        <v>2</v>
      </c>
      <c r="E3036">
        <v>1469.99</v>
      </c>
      <c r="F3036">
        <v>0.1</v>
      </c>
      <c r="G3036">
        <v>2939.93</v>
      </c>
      <c r="H3036" t="s">
        <v>42</v>
      </c>
    </row>
    <row r="3037" spans="1:8" x14ac:dyDescent="0.35">
      <c r="A3037">
        <v>1122</v>
      </c>
      <c r="B3037">
        <v>5</v>
      </c>
      <c r="C3037">
        <v>72</v>
      </c>
      <c r="D3037">
        <v>1</v>
      </c>
      <c r="E3037">
        <v>619.99</v>
      </c>
      <c r="F3037">
        <v>0.1</v>
      </c>
      <c r="G3037">
        <v>619.89</v>
      </c>
      <c r="H3037" t="s">
        <v>73</v>
      </c>
    </row>
    <row r="3038" spans="1:8" x14ac:dyDescent="0.35">
      <c r="A3038">
        <v>1123</v>
      </c>
      <c r="B3038">
        <v>1</v>
      </c>
      <c r="C3038">
        <v>65</v>
      </c>
      <c r="D3038">
        <v>2</v>
      </c>
      <c r="E3038">
        <v>346.99</v>
      </c>
      <c r="F3038">
        <v>0.1</v>
      </c>
      <c r="G3038">
        <v>693.91</v>
      </c>
      <c r="H3038" t="s">
        <v>66</v>
      </c>
    </row>
    <row r="3039" spans="1:8" x14ac:dyDescent="0.35">
      <c r="A3039">
        <v>1123</v>
      </c>
      <c r="B3039">
        <v>2</v>
      </c>
      <c r="C3039">
        <v>61</v>
      </c>
      <c r="D3039">
        <v>2</v>
      </c>
      <c r="E3039">
        <v>4999.99</v>
      </c>
      <c r="F3039">
        <v>0.1</v>
      </c>
      <c r="G3039">
        <v>9999.8799999999992</v>
      </c>
      <c r="H3039" t="s">
        <v>62</v>
      </c>
    </row>
    <row r="3040" spans="1:8" x14ac:dyDescent="0.35">
      <c r="A3040">
        <v>1124</v>
      </c>
      <c r="B3040">
        <v>1</v>
      </c>
      <c r="C3040">
        <v>7</v>
      </c>
      <c r="D3040">
        <v>2</v>
      </c>
      <c r="E3040">
        <v>3999.99</v>
      </c>
      <c r="F3040">
        <v>0.1</v>
      </c>
      <c r="G3040">
        <v>7999.88</v>
      </c>
      <c r="H3040" t="s">
        <v>12</v>
      </c>
    </row>
    <row r="3041" spans="1:8" x14ac:dyDescent="0.35">
      <c r="A3041">
        <v>1124</v>
      </c>
      <c r="B3041">
        <v>2</v>
      </c>
      <c r="C3041">
        <v>6</v>
      </c>
      <c r="D3041">
        <v>1</v>
      </c>
      <c r="E3041">
        <v>469.99</v>
      </c>
      <c r="F3041">
        <v>0.1</v>
      </c>
      <c r="G3041">
        <v>469.89</v>
      </c>
      <c r="H3041" t="s">
        <v>11</v>
      </c>
    </row>
    <row r="3042" spans="1:8" x14ac:dyDescent="0.35">
      <c r="A3042">
        <v>1124</v>
      </c>
      <c r="B3042">
        <v>3</v>
      </c>
      <c r="C3042">
        <v>109</v>
      </c>
      <c r="D3042">
        <v>2</v>
      </c>
      <c r="E3042">
        <v>416.99</v>
      </c>
      <c r="F3042">
        <v>0.1</v>
      </c>
      <c r="G3042">
        <v>833.91</v>
      </c>
      <c r="H3042" t="s">
        <v>106</v>
      </c>
    </row>
    <row r="3043" spans="1:8" x14ac:dyDescent="0.35">
      <c r="A3043">
        <v>1124</v>
      </c>
      <c r="B3043">
        <v>4</v>
      </c>
      <c r="C3043">
        <v>45</v>
      </c>
      <c r="D3043">
        <v>2</v>
      </c>
      <c r="E3043">
        <v>869.99</v>
      </c>
      <c r="F3043">
        <v>0.1</v>
      </c>
      <c r="G3043">
        <v>1739.93</v>
      </c>
      <c r="H3043" t="s">
        <v>46</v>
      </c>
    </row>
    <row r="3044" spans="1:8" x14ac:dyDescent="0.35">
      <c r="A3044">
        <v>1124</v>
      </c>
      <c r="B3044">
        <v>5</v>
      </c>
      <c r="C3044">
        <v>2</v>
      </c>
      <c r="D3044">
        <v>2</v>
      </c>
      <c r="E3044">
        <v>749.99</v>
      </c>
      <c r="F3044">
        <v>0.1</v>
      </c>
      <c r="G3044">
        <v>1499.93</v>
      </c>
      <c r="H3044" t="s">
        <v>7</v>
      </c>
    </row>
    <row r="3045" spans="1:8" x14ac:dyDescent="0.35">
      <c r="A3045">
        <v>1125</v>
      </c>
      <c r="B3045">
        <v>1</v>
      </c>
      <c r="C3045">
        <v>16</v>
      </c>
      <c r="D3045">
        <v>2</v>
      </c>
      <c r="E3045">
        <v>599.99</v>
      </c>
      <c r="F3045">
        <v>0.1</v>
      </c>
      <c r="G3045">
        <v>1199.93</v>
      </c>
      <c r="H3045" t="s">
        <v>21</v>
      </c>
    </row>
    <row r="3046" spans="1:8" x14ac:dyDescent="0.35">
      <c r="A3046">
        <v>1125</v>
      </c>
      <c r="B3046">
        <v>2</v>
      </c>
      <c r="C3046">
        <v>21</v>
      </c>
      <c r="D3046">
        <v>1</v>
      </c>
      <c r="E3046">
        <v>269.99</v>
      </c>
      <c r="F3046">
        <v>0.1</v>
      </c>
      <c r="G3046">
        <v>269.89</v>
      </c>
      <c r="H3046" t="s">
        <v>18</v>
      </c>
    </row>
    <row r="3047" spans="1:8" x14ac:dyDescent="0.35">
      <c r="A3047">
        <v>1125</v>
      </c>
      <c r="B3047">
        <v>3</v>
      </c>
      <c r="C3047">
        <v>81</v>
      </c>
      <c r="D3047">
        <v>2</v>
      </c>
      <c r="E3047">
        <v>1099.99</v>
      </c>
      <c r="F3047">
        <v>0.1</v>
      </c>
      <c r="G3047">
        <v>2199.91</v>
      </c>
      <c r="H3047" t="s">
        <v>82</v>
      </c>
    </row>
    <row r="3048" spans="1:8" x14ac:dyDescent="0.35">
      <c r="A3048">
        <v>1125</v>
      </c>
      <c r="B3048">
        <v>4</v>
      </c>
      <c r="C3048">
        <v>24</v>
      </c>
      <c r="D3048">
        <v>1</v>
      </c>
      <c r="E3048">
        <v>549.99</v>
      </c>
      <c r="F3048">
        <v>0.1</v>
      </c>
      <c r="G3048">
        <v>549.91999999999996</v>
      </c>
      <c r="H3048" t="s">
        <v>17</v>
      </c>
    </row>
    <row r="3049" spans="1:8" x14ac:dyDescent="0.35">
      <c r="A3049">
        <v>1125</v>
      </c>
      <c r="B3049">
        <v>5</v>
      </c>
      <c r="C3049">
        <v>32</v>
      </c>
      <c r="D3049">
        <v>2</v>
      </c>
      <c r="E3049">
        <v>469.99</v>
      </c>
      <c r="F3049">
        <v>0.1</v>
      </c>
      <c r="G3049">
        <v>939.91</v>
      </c>
      <c r="H3049" t="s">
        <v>33</v>
      </c>
    </row>
    <row r="3050" spans="1:8" x14ac:dyDescent="0.35">
      <c r="A3050">
        <v>1126</v>
      </c>
      <c r="B3050">
        <v>1</v>
      </c>
      <c r="C3050">
        <v>33</v>
      </c>
      <c r="D3050">
        <v>2</v>
      </c>
      <c r="E3050">
        <v>469.99</v>
      </c>
      <c r="F3050">
        <v>0.1</v>
      </c>
      <c r="G3050">
        <v>939.88</v>
      </c>
      <c r="H3050" t="s">
        <v>34</v>
      </c>
    </row>
    <row r="3051" spans="1:8" x14ac:dyDescent="0.35">
      <c r="A3051">
        <v>1126</v>
      </c>
      <c r="B3051">
        <v>2</v>
      </c>
      <c r="C3051">
        <v>58</v>
      </c>
      <c r="D3051">
        <v>1</v>
      </c>
      <c r="E3051">
        <v>4999.99</v>
      </c>
      <c r="F3051">
        <v>0.2</v>
      </c>
      <c r="G3051">
        <v>4999.79</v>
      </c>
      <c r="H3051" t="s">
        <v>59</v>
      </c>
    </row>
    <row r="3052" spans="1:8" x14ac:dyDescent="0.35">
      <c r="A3052">
        <v>1126</v>
      </c>
      <c r="B3052">
        <v>3</v>
      </c>
      <c r="C3052">
        <v>89</v>
      </c>
      <c r="D3052">
        <v>2</v>
      </c>
      <c r="E3052">
        <v>209.99</v>
      </c>
      <c r="F3052">
        <v>0.1</v>
      </c>
      <c r="G3052">
        <v>419.93</v>
      </c>
      <c r="H3052" t="s">
        <v>90</v>
      </c>
    </row>
    <row r="3053" spans="1:8" x14ac:dyDescent="0.35">
      <c r="A3053">
        <v>1127</v>
      </c>
      <c r="B3053">
        <v>1</v>
      </c>
      <c r="C3053">
        <v>23</v>
      </c>
      <c r="D3053">
        <v>2</v>
      </c>
      <c r="E3053">
        <v>299.99</v>
      </c>
      <c r="F3053">
        <v>0.1</v>
      </c>
      <c r="G3053">
        <v>599.88</v>
      </c>
      <c r="H3053" t="s">
        <v>26</v>
      </c>
    </row>
    <row r="3054" spans="1:8" x14ac:dyDescent="0.35">
      <c r="A3054">
        <v>1127</v>
      </c>
      <c r="B3054">
        <v>2</v>
      </c>
      <c r="C3054">
        <v>96</v>
      </c>
      <c r="D3054">
        <v>2</v>
      </c>
      <c r="E3054">
        <v>349.99</v>
      </c>
      <c r="F3054">
        <v>0.1</v>
      </c>
      <c r="G3054">
        <v>699.91</v>
      </c>
      <c r="H3054" t="s">
        <v>96</v>
      </c>
    </row>
    <row r="3055" spans="1:8" x14ac:dyDescent="0.35">
      <c r="A3055">
        <v>1127</v>
      </c>
      <c r="B3055">
        <v>3</v>
      </c>
      <c r="C3055">
        <v>37</v>
      </c>
      <c r="D3055">
        <v>1</v>
      </c>
      <c r="E3055">
        <v>379.99</v>
      </c>
      <c r="F3055">
        <v>0.2</v>
      </c>
      <c r="G3055">
        <v>379.79</v>
      </c>
      <c r="H3055" t="s">
        <v>38</v>
      </c>
    </row>
    <row r="3056" spans="1:8" x14ac:dyDescent="0.35">
      <c r="A3056">
        <v>1128</v>
      </c>
      <c r="B3056">
        <v>1</v>
      </c>
      <c r="C3056">
        <v>44</v>
      </c>
      <c r="D3056">
        <v>1</v>
      </c>
      <c r="E3056">
        <v>539.99</v>
      </c>
      <c r="F3056">
        <v>0.1</v>
      </c>
      <c r="G3056">
        <v>539.94000000000005</v>
      </c>
      <c r="H3056" t="s">
        <v>45</v>
      </c>
    </row>
    <row r="3057" spans="1:8" x14ac:dyDescent="0.35">
      <c r="A3057">
        <v>1128</v>
      </c>
      <c r="B3057">
        <v>2</v>
      </c>
      <c r="C3057">
        <v>10</v>
      </c>
      <c r="D3057">
        <v>1</v>
      </c>
      <c r="E3057">
        <v>1549</v>
      </c>
      <c r="F3057">
        <v>0.2</v>
      </c>
      <c r="G3057">
        <v>1548.8</v>
      </c>
      <c r="H3057" t="s">
        <v>15</v>
      </c>
    </row>
    <row r="3058" spans="1:8" x14ac:dyDescent="0.35">
      <c r="A3058">
        <v>1128</v>
      </c>
      <c r="B3058">
        <v>3</v>
      </c>
      <c r="C3058">
        <v>65</v>
      </c>
      <c r="D3058">
        <v>2</v>
      </c>
      <c r="E3058">
        <v>346.99</v>
      </c>
      <c r="F3058">
        <v>0.1</v>
      </c>
      <c r="G3058">
        <v>693.93</v>
      </c>
      <c r="H3058" t="s">
        <v>66</v>
      </c>
    </row>
    <row r="3059" spans="1:8" x14ac:dyDescent="0.35">
      <c r="A3059">
        <v>1129</v>
      </c>
      <c r="B3059">
        <v>1</v>
      </c>
      <c r="C3059">
        <v>71</v>
      </c>
      <c r="D3059">
        <v>2</v>
      </c>
      <c r="E3059">
        <v>416.99</v>
      </c>
      <c r="F3059">
        <v>0.2</v>
      </c>
      <c r="G3059">
        <v>833.78</v>
      </c>
      <c r="H3059" t="s">
        <v>72</v>
      </c>
    </row>
    <row r="3060" spans="1:8" x14ac:dyDescent="0.35">
      <c r="A3060">
        <v>1129</v>
      </c>
      <c r="B3060">
        <v>2</v>
      </c>
      <c r="C3060">
        <v>56</v>
      </c>
      <c r="D3060">
        <v>1</v>
      </c>
      <c r="E3060">
        <v>5499.99</v>
      </c>
      <c r="F3060">
        <v>0.2</v>
      </c>
      <c r="G3060">
        <v>5499.79</v>
      </c>
      <c r="H3060" t="s">
        <v>57</v>
      </c>
    </row>
    <row r="3061" spans="1:8" x14ac:dyDescent="0.35">
      <c r="A3061">
        <v>1129</v>
      </c>
      <c r="B3061">
        <v>3</v>
      </c>
      <c r="C3061">
        <v>61</v>
      </c>
      <c r="D3061">
        <v>2</v>
      </c>
      <c r="E3061">
        <v>4999.99</v>
      </c>
      <c r="F3061">
        <v>0.1</v>
      </c>
      <c r="G3061">
        <v>9999.93</v>
      </c>
      <c r="H3061" t="s">
        <v>62</v>
      </c>
    </row>
    <row r="3062" spans="1:8" x14ac:dyDescent="0.35">
      <c r="A3062">
        <v>1131</v>
      </c>
      <c r="B3062">
        <v>1</v>
      </c>
      <c r="C3062">
        <v>60</v>
      </c>
      <c r="D3062">
        <v>2</v>
      </c>
      <c r="E3062">
        <v>1559.99</v>
      </c>
      <c r="F3062">
        <v>0.1</v>
      </c>
      <c r="G3062">
        <v>3119.91</v>
      </c>
      <c r="H3062" t="s">
        <v>61</v>
      </c>
    </row>
    <row r="3063" spans="1:8" x14ac:dyDescent="0.35">
      <c r="A3063">
        <v>1131</v>
      </c>
      <c r="B3063">
        <v>2</v>
      </c>
      <c r="C3063">
        <v>103</v>
      </c>
      <c r="D3063">
        <v>2</v>
      </c>
      <c r="E3063">
        <v>551.99</v>
      </c>
      <c r="F3063">
        <v>0.1</v>
      </c>
      <c r="G3063">
        <v>1103.93</v>
      </c>
      <c r="H3063" t="s">
        <v>102</v>
      </c>
    </row>
    <row r="3064" spans="1:8" x14ac:dyDescent="0.35">
      <c r="A3064">
        <v>1132</v>
      </c>
      <c r="B3064">
        <v>1</v>
      </c>
      <c r="C3064">
        <v>43</v>
      </c>
      <c r="D3064">
        <v>1</v>
      </c>
      <c r="E3064">
        <v>5299.99</v>
      </c>
      <c r="F3064">
        <v>0.1</v>
      </c>
      <c r="G3064">
        <v>5299.94</v>
      </c>
      <c r="H3064" t="s">
        <v>44</v>
      </c>
    </row>
    <row r="3065" spans="1:8" x14ac:dyDescent="0.35">
      <c r="A3065">
        <v>1132</v>
      </c>
      <c r="B3065">
        <v>2</v>
      </c>
      <c r="C3065">
        <v>10</v>
      </c>
      <c r="D3065">
        <v>1</v>
      </c>
      <c r="E3065">
        <v>1549</v>
      </c>
      <c r="F3065">
        <v>0.1</v>
      </c>
      <c r="G3065">
        <v>1548.9</v>
      </c>
      <c r="H3065" t="s">
        <v>15</v>
      </c>
    </row>
    <row r="3066" spans="1:8" x14ac:dyDescent="0.35">
      <c r="A3066">
        <v>1132</v>
      </c>
      <c r="B3066">
        <v>3</v>
      </c>
      <c r="C3066">
        <v>36</v>
      </c>
      <c r="D3066">
        <v>2</v>
      </c>
      <c r="E3066">
        <v>832.99</v>
      </c>
      <c r="F3066">
        <v>0.1</v>
      </c>
      <c r="G3066">
        <v>1665.88</v>
      </c>
      <c r="H3066" t="s">
        <v>37</v>
      </c>
    </row>
    <row r="3067" spans="1:8" x14ac:dyDescent="0.35">
      <c r="A3067">
        <v>1132</v>
      </c>
      <c r="B3067">
        <v>4</v>
      </c>
      <c r="C3067">
        <v>16</v>
      </c>
      <c r="D3067">
        <v>1</v>
      </c>
      <c r="E3067">
        <v>599.99</v>
      </c>
      <c r="F3067">
        <v>0.1</v>
      </c>
      <c r="G3067">
        <v>599.94000000000005</v>
      </c>
      <c r="H3067" t="s">
        <v>21</v>
      </c>
    </row>
    <row r="3068" spans="1:8" x14ac:dyDescent="0.35">
      <c r="A3068">
        <v>1133</v>
      </c>
      <c r="B3068">
        <v>1</v>
      </c>
      <c r="C3068">
        <v>4</v>
      </c>
      <c r="D3068">
        <v>2</v>
      </c>
      <c r="E3068">
        <v>2899.99</v>
      </c>
      <c r="F3068">
        <v>0.1</v>
      </c>
      <c r="G3068">
        <v>5799.93</v>
      </c>
      <c r="H3068" t="s">
        <v>9</v>
      </c>
    </row>
    <row r="3069" spans="1:8" x14ac:dyDescent="0.35">
      <c r="A3069">
        <v>1133</v>
      </c>
      <c r="B3069">
        <v>2</v>
      </c>
      <c r="C3069">
        <v>17</v>
      </c>
      <c r="D3069">
        <v>1</v>
      </c>
      <c r="E3069">
        <v>429</v>
      </c>
      <c r="F3069">
        <v>0.1</v>
      </c>
      <c r="G3069">
        <v>428.93</v>
      </c>
      <c r="H3069" t="s">
        <v>22</v>
      </c>
    </row>
    <row r="3070" spans="1:8" x14ac:dyDescent="0.35">
      <c r="A3070">
        <v>1133</v>
      </c>
      <c r="B3070">
        <v>3</v>
      </c>
      <c r="C3070">
        <v>90</v>
      </c>
      <c r="D3070">
        <v>2</v>
      </c>
      <c r="E3070">
        <v>209.99</v>
      </c>
      <c r="F3070">
        <v>0.2</v>
      </c>
      <c r="G3070">
        <v>419.78</v>
      </c>
      <c r="H3070" t="s">
        <v>91</v>
      </c>
    </row>
    <row r="3071" spans="1:8" x14ac:dyDescent="0.35">
      <c r="A3071">
        <v>1133</v>
      </c>
      <c r="B3071">
        <v>4</v>
      </c>
      <c r="C3071">
        <v>62</v>
      </c>
      <c r="D3071">
        <v>1</v>
      </c>
      <c r="E3071">
        <v>3499.99</v>
      </c>
      <c r="F3071">
        <v>0.2</v>
      </c>
      <c r="G3071">
        <v>3499.79</v>
      </c>
      <c r="H3071" t="s">
        <v>63</v>
      </c>
    </row>
    <row r="3072" spans="1:8" x14ac:dyDescent="0.35">
      <c r="A3072">
        <v>1134</v>
      </c>
      <c r="B3072">
        <v>1</v>
      </c>
      <c r="C3072">
        <v>97</v>
      </c>
      <c r="D3072">
        <v>1</v>
      </c>
      <c r="E3072">
        <v>349.99</v>
      </c>
      <c r="F3072">
        <v>0.1</v>
      </c>
      <c r="G3072">
        <v>349.89</v>
      </c>
      <c r="H3072" t="s">
        <v>97</v>
      </c>
    </row>
    <row r="3073" spans="1:8" x14ac:dyDescent="0.35">
      <c r="A3073">
        <v>1134</v>
      </c>
      <c r="B3073">
        <v>2</v>
      </c>
      <c r="C3073">
        <v>36</v>
      </c>
      <c r="D3073">
        <v>1</v>
      </c>
      <c r="E3073">
        <v>832.99</v>
      </c>
      <c r="F3073">
        <v>0.1</v>
      </c>
      <c r="G3073">
        <v>832.89</v>
      </c>
      <c r="H3073" t="s">
        <v>37</v>
      </c>
    </row>
    <row r="3074" spans="1:8" x14ac:dyDescent="0.35">
      <c r="A3074">
        <v>1135</v>
      </c>
      <c r="B3074">
        <v>1</v>
      </c>
      <c r="C3074">
        <v>101</v>
      </c>
      <c r="D3074">
        <v>2</v>
      </c>
      <c r="E3074">
        <v>339.99</v>
      </c>
      <c r="F3074">
        <v>0.1</v>
      </c>
      <c r="G3074">
        <v>679.93</v>
      </c>
      <c r="H3074" t="s">
        <v>101</v>
      </c>
    </row>
    <row r="3075" spans="1:8" x14ac:dyDescent="0.35">
      <c r="A3075">
        <v>1135</v>
      </c>
      <c r="B3075">
        <v>2</v>
      </c>
      <c r="C3075">
        <v>51</v>
      </c>
      <c r="D3075">
        <v>1</v>
      </c>
      <c r="E3075">
        <v>6499.99</v>
      </c>
      <c r="F3075">
        <v>0.1</v>
      </c>
      <c r="G3075">
        <v>6499.89</v>
      </c>
      <c r="H3075" t="s">
        <v>52</v>
      </c>
    </row>
    <row r="3076" spans="1:8" x14ac:dyDescent="0.35">
      <c r="A3076">
        <v>1137</v>
      </c>
      <c r="B3076">
        <v>1</v>
      </c>
      <c r="C3076">
        <v>28</v>
      </c>
      <c r="D3076">
        <v>1</v>
      </c>
      <c r="E3076">
        <v>2499.9899999999998</v>
      </c>
      <c r="F3076">
        <v>0.2</v>
      </c>
      <c r="G3076">
        <v>2499.79</v>
      </c>
      <c r="H3076" t="s">
        <v>29</v>
      </c>
    </row>
    <row r="3077" spans="1:8" x14ac:dyDescent="0.35">
      <c r="A3077">
        <v>1137</v>
      </c>
      <c r="B3077">
        <v>2</v>
      </c>
      <c r="C3077">
        <v>58</v>
      </c>
      <c r="D3077">
        <v>2</v>
      </c>
      <c r="E3077">
        <v>4999.99</v>
      </c>
      <c r="F3077">
        <v>0.2</v>
      </c>
      <c r="G3077">
        <v>9999.7800000000007</v>
      </c>
      <c r="H3077" t="s">
        <v>59</v>
      </c>
    </row>
    <row r="3078" spans="1:8" x14ac:dyDescent="0.35">
      <c r="A3078">
        <v>1137</v>
      </c>
      <c r="B3078">
        <v>3</v>
      </c>
      <c r="C3078">
        <v>84</v>
      </c>
      <c r="D3078">
        <v>2</v>
      </c>
      <c r="E3078">
        <v>109.99</v>
      </c>
      <c r="F3078">
        <v>0.2</v>
      </c>
      <c r="G3078">
        <v>219.78</v>
      </c>
      <c r="H3078" t="s">
        <v>85</v>
      </c>
    </row>
    <row r="3079" spans="1:8" x14ac:dyDescent="0.35">
      <c r="A3079">
        <v>1137</v>
      </c>
      <c r="B3079">
        <v>4</v>
      </c>
      <c r="C3079">
        <v>69</v>
      </c>
      <c r="D3079">
        <v>2</v>
      </c>
      <c r="E3079">
        <v>416.99</v>
      </c>
      <c r="F3079">
        <v>0.1</v>
      </c>
      <c r="G3079">
        <v>833.91</v>
      </c>
      <c r="H3079" t="s">
        <v>70</v>
      </c>
    </row>
    <row r="3080" spans="1:8" x14ac:dyDescent="0.35">
      <c r="A3080">
        <v>1138</v>
      </c>
      <c r="B3080">
        <v>1</v>
      </c>
      <c r="C3080">
        <v>13</v>
      </c>
      <c r="D3080">
        <v>2</v>
      </c>
      <c r="E3080">
        <v>269.99</v>
      </c>
      <c r="F3080">
        <v>0.1</v>
      </c>
      <c r="G3080">
        <v>539.92999999999995</v>
      </c>
      <c r="H3080" t="s">
        <v>18</v>
      </c>
    </row>
    <row r="3081" spans="1:8" x14ac:dyDescent="0.35">
      <c r="A3081">
        <v>1138</v>
      </c>
      <c r="B3081">
        <v>2</v>
      </c>
      <c r="C3081">
        <v>105</v>
      </c>
      <c r="D3081">
        <v>2</v>
      </c>
      <c r="E3081">
        <v>533.99</v>
      </c>
      <c r="F3081">
        <v>0.1</v>
      </c>
      <c r="G3081">
        <v>1067.93</v>
      </c>
      <c r="H3081" t="s">
        <v>104</v>
      </c>
    </row>
    <row r="3082" spans="1:8" x14ac:dyDescent="0.35">
      <c r="A3082">
        <v>1138</v>
      </c>
      <c r="B3082">
        <v>3</v>
      </c>
      <c r="C3082">
        <v>93</v>
      </c>
      <c r="D3082">
        <v>1</v>
      </c>
      <c r="E3082">
        <v>209.99</v>
      </c>
      <c r="F3082">
        <v>0.1</v>
      </c>
      <c r="G3082">
        <v>209.89</v>
      </c>
      <c r="H3082" t="s">
        <v>94</v>
      </c>
    </row>
    <row r="3083" spans="1:8" x14ac:dyDescent="0.35">
      <c r="A3083">
        <v>1139</v>
      </c>
      <c r="B3083">
        <v>1</v>
      </c>
      <c r="C3083">
        <v>106</v>
      </c>
      <c r="D3083">
        <v>2</v>
      </c>
      <c r="E3083">
        <v>449.99</v>
      </c>
      <c r="F3083">
        <v>0.1</v>
      </c>
      <c r="G3083">
        <v>899.93</v>
      </c>
      <c r="H3083" t="s">
        <v>69</v>
      </c>
    </row>
    <row r="3084" spans="1:8" x14ac:dyDescent="0.35">
      <c r="A3084">
        <v>1139</v>
      </c>
      <c r="B3084">
        <v>2</v>
      </c>
      <c r="C3084">
        <v>44</v>
      </c>
      <c r="D3084">
        <v>2</v>
      </c>
      <c r="E3084">
        <v>539.99</v>
      </c>
      <c r="F3084">
        <v>0.1</v>
      </c>
      <c r="G3084">
        <v>1079.8800000000001</v>
      </c>
      <c r="H3084" t="s">
        <v>45</v>
      </c>
    </row>
    <row r="3085" spans="1:8" x14ac:dyDescent="0.35">
      <c r="A3085">
        <v>1139</v>
      </c>
      <c r="B3085">
        <v>3</v>
      </c>
      <c r="C3085">
        <v>69</v>
      </c>
      <c r="D3085">
        <v>1</v>
      </c>
      <c r="E3085">
        <v>416.99</v>
      </c>
      <c r="F3085">
        <v>0.1</v>
      </c>
      <c r="G3085">
        <v>416.94</v>
      </c>
      <c r="H3085" t="s">
        <v>70</v>
      </c>
    </row>
    <row r="3086" spans="1:8" x14ac:dyDescent="0.35">
      <c r="A3086">
        <v>1139</v>
      </c>
      <c r="B3086">
        <v>4</v>
      </c>
      <c r="C3086">
        <v>25</v>
      </c>
      <c r="D3086">
        <v>2</v>
      </c>
      <c r="E3086">
        <v>499.99</v>
      </c>
      <c r="F3086">
        <v>0.1</v>
      </c>
      <c r="G3086">
        <v>999.88</v>
      </c>
      <c r="H3086" t="s">
        <v>27</v>
      </c>
    </row>
    <row r="3087" spans="1:8" x14ac:dyDescent="0.35">
      <c r="A3087">
        <v>1139</v>
      </c>
      <c r="B3087">
        <v>5</v>
      </c>
      <c r="C3087">
        <v>7</v>
      </c>
      <c r="D3087">
        <v>1</v>
      </c>
      <c r="E3087">
        <v>3999.99</v>
      </c>
      <c r="F3087">
        <v>0.1</v>
      </c>
      <c r="G3087">
        <v>3999.89</v>
      </c>
      <c r="H3087" t="s">
        <v>12</v>
      </c>
    </row>
    <row r="3088" spans="1:8" x14ac:dyDescent="0.35">
      <c r="A3088">
        <v>1140</v>
      </c>
      <c r="B3088">
        <v>1</v>
      </c>
      <c r="C3088">
        <v>39</v>
      </c>
      <c r="D3088">
        <v>2</v>
      </c>
      <c r="E3088">
        <v>1499.99</v>
      </c>
      <c r="F3088">
        <v>0.1</v>
      </c>
      <c r="G3088">
        <v>2999.88</v>
      </c>
      <c r="H3088" t="s">
        <v>40</v>
      </c>
    </row>
    <row r="3089" spans="1:8" x14ac:dyDescent="0.35">
      <c r="A3089">
        <v>1140</v>
      </c>
      <c r="B3089">
        <v>2</v>
      </c>
      <c r="C3089">
        <v>71</v>
      </c>
      <c r="D3089">
        <v>2</v>
      </c>
      <c r="E3089">
        <v>416.99</v>
      </c>
      <c r="F3089">
        <v>0.1</v>
      </c>
      <c r="G3089">
        <v>833.91</v>
      </c>
      <c r="H3089" t="s">
        <v>72</v>
      </c>
    </row>
    <row r="3090" spans="1:8" x14ac:dyDescent="0.35">
      <c r="A3090">
        <v>1140</v>
      </c>
      <c r="B3090">
        <v>3</v>
      </c>
      <c r="C3090">
        <v>38</v>
      </c>
      <c r="D3090">
        <v>2</v>
      </c>
      <c r="E3090">
        <v>549.99</v>
      </c>
      <c r="F3090">
        <v>0.1</v>
      </c>
      <c r="G3090">
        <v>1099.8800000000001</v>
      </c>
      <c r="H3090" t="s">
        <v>39</v>
      </c>
    </row>
    <row r="3091" spans="1:8" x14ac:dyDescent="0.35">
      <c r="A3091">
        <v>1140</v>
      </c>
      <c r="B3091">
        <v>4</v>
      </c>
      <c r="C3091">
        <v>40</v>
      </c>
      <c r="D3091">
        <v>2</v>
      </c>
      <c r="E3091">
        <v>4999.99</v>
      </c>
      <c r="F3091">
        <v>0.1</v>
      </c>
      <c r="G3091">
        <v>9999.91</v>
      </c>
      <c r="H3091" t="s">
        <v>41</v>
      </c>
    </row>
    <row r="3092" spans="1:8" x14ac:dyDescent="0.35">
      <c r="A3092">
        <v>1142</v>
      </c>
      <c r="B3092">
        <v>1</v>
      </c>
      <c r="C3092">
        <v>20</v>
      </c>
      <c r="D3092">
        <v>2</v>
      </c>
      <c r="E3092">
        <v>599.99</v>
      </c>
      <c r="F3092">
        <v>0.1</v>
      </c>
      <c r="G3092">
        <v>1199.9100000000001</v>
      </c>
      <c r="H3092" t="s">
        <v>25</v>
      </c>
    </row>
    <row r="3093" spans="1:8" x14ac:dyDescent="0.35">
      <c r="A3093">
        <v>1142</v>
      </c>
      <c r="B3093">
        <v>2</v>
      </c>
      <c r="C3093">
        <v>30</v>
      </c>
      <c r="D3093">
        <v>1</v>
      </c>
      <c r="E3093">
        <v>999.99</v>
      </c>
      <c r="F3093">
        <v>0.1</v>
      </c>
      <c r="G3093">
        <v>999.89</v>
      </c>
      <c r="H3093" t="s">
        <v>31</v>
      </c>
    </row>
    <row r="3094" spans="1:8" x14ac:dyDescent="0.35">
      <c r="A3094">
        <v>1142</v>
      </c>
      <c r="B3094">
        <v>3</v>
      </c>
      <c r="C3094">
        <v>109</v>
      </c>
      <c r="D3094">
        <v>2</v>
      </c>
      <c r="E3094">
        <v>416.99</v>
      </c>
      <c r="F3094">
        <v>0.1</v>
      </c>
      <c r="G3094">
        <v>833.93</v>
      </c>
      <c r="H3094" t="s">
        <v>106</v>
      </c>
    </row>
    <row r="3095" spans="1:8" x14ac:dyDescent="0.35">
      <c r="A3095">
        <v>1142</v>
      </c>
      <c r="B3095">
        <v>4</v>
      </c>
      <c r="C3095">
        <v>108</v>
      </c>
      <c r="D3095">
        <v>2</v>
      </c>
      <c r="E3095">
        <v>449.99</v>
      </c>
      <c r="F3095">
        <v>0.2</v>
      </c>
      <c r="G3095">
        <v>899.78</v>
      </c>
      <c r="H3095" t="s">
        <v>105</v>
      </c>
    </row>
    <row r="3096" spans="1:8" x14ac:dyDescent="0.35">
      <c r="A3096">
        <v>1142</v>
      </c>
      <c r="B3096">
        <v>5</v>
      </c>
      <c r="C3096">
        <v>100</v>
      </c>
      <c r="D3096">
        <v>2</v>
      </c>
      <c r="E3096">
        <v>489.99</v>
      </c>
      <c r="F3096">
        <v>0.1</v>
      </c>
      <c r="G3096">
        <v>979.93</v>
      </c>
      <c r="H3096" t="s">
        <v>100</v>
      </c>
    </row>
    <row r="3097" spans="1:8" x14ac:dyDescent="0.35">
      <c r="A3097">
        <v>1143</v>
      </c>
      <c r="B3097">
        <v>1</v>
      </c>
      <c r="C3097">
        <v>99</v>
      </c>
      <c r="D3097">
        <v>1</v>
      </c>
      <c r="E3097">
        <v>299.99</v>
      </c>
      <c r="F3097">
        <v>0.2</v>
      </c>
      <c r="G3097">
        <v>299.79000000000002</v>
      </c>
      <c r="H3097" t="s">
        <v>99</v>
      </c>
    </row>
    <row r="3098" spans="1:8" x14ac:dyDescent="0.35">
      <c r="A3098">
        <v>1143</v>
      </c>
      <c r="B3098">
        <v>2</v>
      </c>
      <c r="C3098">
        <v>48</v>
      </c>
      <c r="D3098">
        <v>1</v>
      </c>
      <c r="E3098">
        <v>1499.99</v>
      </c>
      <c r="F3098">
        <v>0.2</v>
      </c>
      <c r="G3098">
        <v>1499.79</v>
      </c>
      <c r="H3098" t="s">
        <v>49</v>
      </c>
    </row>
    <row r="3099" spans="1:8" x14ac:dyDescent="0.35">
      <c r="A3099">
        <v>1143</v>
      </c>
      <c r="B3099">
        <v>3</v>
      </c>
      <c r="C3099">
        <v>69</v>
      </c>
      <c r="D3099">
        <v>2</v>
      </c>
      <c r="E3099">
        <v>416.99</v>
      </c>
      <c r="F3099">
        <v>0.1</v>
      </c>
      <c r="G3099">
        <v>833.88</v>
      </c>
      <c r="H3099" t="s">
        <v>70</v>
      </c>
    </row>
    <row r="3100" spans="1:8" x14ac:dyDescent="0.35">
      <c r="A3100">
        <v>1146</v>
      </c>
      <c r="B3100">
        <v>1</v>
      </c>
      <c r="C3100">
        <v>36</v>
      </c>
      <c r="D3100">
        <v>1</v>
      </c>
      <c r="E3100">
        <v>832.99</v>
      </c>
      <c r="F3100">
        <v>0.1</v>
      </c>
      <c r="G3100">
        <v>832.92</v>
      </c>
      <c r="H3100" t="s">
        <v>37</v>
      </c>
    </row>
    <row r="3101" spans="1:8" x14ac:dyDescent="0.35">
      <c r="A3101">
        <v>1146</v>
      </c>
      <c r="B3101">
        <v>2</v>
      </c>
      <c r="C3101">
        <v>64</v>
      </c>
      <c r="D3101">
        <v>1</v>
      </c>
      <c r="E3101">
        <v>489.99</v>
      </c>
      <c r="F3101">
        <v>0.2</v>
      </c>
      <c r="G3101">
        <v>489.79</v>
      </c>
      <c r="H3101" t="s">
        <v>65</v>
      </c>
    </row>
    <row r="3102" spans="1:8" x14ac:dyDescent="0.35">
      <c r="A3102">
        <v>1146</v>
      </c>
      <c r="B3102">
        <v>3</v>
      </c>
      <c r="C3102">
        <v>11</v>
      </c>
      <c r="D3102">
        <v>1</v>
      </c>
      <c r="E3102">
        <v>1680.99</v>
      </c>
      <c r="F3102">
        <v>0.2</v>
      </c>
      <c r="G3102">
        <v>1680.79</v>
      </c>
      <c r="H3102" t="s">
        <v>16</v>
      </c>
    </row>
    <row r="3103" spans="1:8" x14ac:dyDescent="0.35">
      <c r="A3103">
        <v>1147</v>
      </c>
      <c r="B3103">
        <v>1</v>
      </c>
      <c r="C3103">
        <v>82</v>
      </c>
      <c r="D3103">
        <v>1</v>
      </c>
      <c r="E3103">
        <v>659.99</v>
      </c>
      <c r="F3103">
        <v>0.2</v>
      </c>
      <c r="G3103">
        <v>659.79</v>
      </c>
      <c r="H3103" t="s">
        <v>83</v>
      </c>
    </row>
    <row r="3104" spans="1:8" x14ac:dyDescent="0.35">
      <c r="A3104">
        <v>1147</v>
      </c>
      <c r="B3104">
        <v>2</v>
      </c>
      <c r="C3104">
        <v>39</v>
      </c>
      <c r="D3104">
        <v>2</v>
      </c>
      <c r="E3104">
        <v>1499.99</v>
      </c>
      <c r="F3104">
        <v>0.1</v>
      </c>
      <c r="G3104">
        <v>2999.93</v>
      </c>
      <c r="H3104" t="s">
        <v>40</v>
      </c>
    </row>
    <row r="3105" spans="1:8" x14ac:dyDescent="0.35">
      <c r="A3105">
        <v>1148</v>
      </c>
      <c r="B3105">
        <v>1</v>
      </c>
      <c r="C3105">
        <v>82</v>
      </c>
      <c r="D3105">
        <v>1</v>
      </c>
      <c r="E3105">
        <v>659.99</v>
      </c>
      <c r="F3105">
        <v>0.1</v>
      </c>
      <c r="G3105">
        <v>659.92</v>
      </c>
      <c r="H3105" t="s">
        <v>83</v>
      </c>
    </row>
    <row r="3106" spans="1:8" x14ac:dyDescent="0.35">
      <c r="A3106">
        <v>1148</v>
      </c>
      <c r="B3106">
        <v>2</v>
      </c>
      <c r="C3106">
        <v>22</v>
      </c>
      <c r="D3106">
        <v>1</v>
      </c>
      <c r="E3106">
        <v>269.99</v>
      </c>
      <c r="F3106">
        <v>0.1</v>
      </c>
      <c r="G3106">
        <v>269.92</v>
      </c>
      <c r="H3106" t="s">
        <v>19</v>
      </c>
    </row>
    <row r="3107" spans="1:8" x14ac:dyDescent="0.35">
      <c r="A3107">
        <v>1148</v>
      </c>
      <c r="B3107">
        <v>3</v>
      </c>
      <c r="C3107">
        <v>77</v>
      </c>
      <c r="D3107">
        <v>2</v>
      </c>
      <c r="E3107">
        <v>799.99</v>
      </c>
      <c r="F3107">
        <v>0.1</v>
      </c>
      <c r="G3107">
        <v>1599.93</v>
      </c>
      <c r="H3107" t="s">
        <v>78</v>
      </c>
    </row>
    <row r="3108" spans="1:8" x14ac:dyDescent="0.35">
      <c r="A3108">
        <v>1148</v>
      </c>
      <c r="B3108">
        <v>4</v>
      </c>
      <c r="C3108">
        <v>94</v>
      </c>
      <c r="D3108">
        <v>2</v>
      </c>
      <c r="E3108">
        <v>249.99</v>
      </c>
      <c r="F3108">
        <v>0.1</v>
      </c>
      <c r="G3108">
        <v>499.88</v>
      </c>
      <c r="H3108" t="s">
        <v>95</v>
      </c>
    </row>
    <row r="3109" spans="1:8" x14ac:dyDescent="0.35">
      <c r="A3109">
        <v>1149</v>
      </c>
      <c r="B3109">
        <v>1</v>
      </c>
      <c r="C3109">
        <v>98</v>
      </c>
      <c r="D3109">
        <v>2</v>
      </c>
      <c r="E3109">
        <v>489.99</v>
      </c>
      <c r="F3109">
        <v>0.1</v>
      </c>
      <c r="G3109">
        <v>979.91</v>
      </c>
      <c r="H3109" t="s">
        <v>98</v>
      </c>
    </row>
    <row r="3110" spans="1:8" x14ac:dyDescent="0.35">
      <c r="A3110">
        <v>1149</v>
      </c>
      <c r="B3110">
        <v>2</v>
      </c>
      <c r="C3110">
        <v>48</v>
      </c>
      <c r="D3110">
        <v>1</v>
      </c>
      <c r="E3110">
        <v>1499.99</v>
      </c>
      <c r="F3110">
        <v>0.1</v>
      </c>
      <c r="G3110">
        <v>1499.94</v>
      </c>
      <c r="H3110" t="s">
        <v>49</v>
      </c>
    </row>
    <row r="3111" spans="1:8" x14ac:dyDescent="0.35">
      <c r="A3111">
        <v>1149</v>
      </c>
      <c r="B3111">
        <v>3</v>
      </c>
      <c r="C3111">
        <v>58</v>
      </c>
      <c r="D3111">
        <v>1</v>
      </c>
      <c r="E3111">
        <v>4999.99</v>
      </c>
      <c r="F3111">
        <v>0.1</v>
      </c>
      <c r="G3111">
        <v>4999.9399999999996</v>
      </c>
      <c r="H3111" t="s">
        <v>59</v>
      </c>
    </row>
    <row r="3112" spans="1:8" x14ac:dyDescent="0.35">
      <c r="A3112">
        <v>1149</v>
      </c>
      <c r="B3112">
        <v>4</v>
      </c>
      <c r="C3112">
        <v>85</v>
      </c>
      <c r="D3112">
        <v>1</v>
      </c>
      <c r="E3112">
        <v>329.99</v>
      </c>
      <c r="F3112">
        <v>0.2</v>
      </c>
      <c r="G3112">
        <v>329.79</v>
      </c>
      <c r="H3112" t="s">
        <v>86</v>
      </c>
    </row>
    <row r="3113" spans="1:8" x14ac:dyDescent="0.35">
      <c r="A3113">
        <v>1149</v>
      </c>
      <c r="B3113">
        <v>5</v>
      </c>
      <c r="C3113">
        <v>94</v>
      </c>
      <c r="D3113">
        <v>1</v>
      </c>
      <c r="E3113">
        <v>249.99</v>
      </c>
      <c r="F3113">
        <v>0.1</v>
      </c>
      <c r="G3113">
        <v>249.89</v>
      </c>
      <c r="H3113" t="s">
        <v>95</v>
      </c>
    </row>
    <row r="3114" spans="1:8" x14ac:dyDescent="0.35">
      <c r="A3114">
        <v>1150</v>
      </c>
      <c r="B3114">
        <v>1</v>
      </c>
      <c r="C3114">
        <v>29</v>
      </c>
      <c r="D3114">
        <v>1</v>
      </c>
      <c r="E3114">
        <v>999.99</v>
      </c>
      <c r="F3114">
        <v>0.1</v>
      </c>
      <c r="G3114">
        <v>999.94</v>
      </c>
      <c r="H3114" t="s">
        <v>30</v>
      </c>
    </row>
    <row r="3115" spans="1:8" x14ac:dyDescent="0.35">
      <c r="A3115">
        <v>1150</v>
      </c>
      <c r="B3115">
        <v>2</v>
      </c>
      <c r="C3115">
        <v>91</v>
      </c>
      <c r="D3115">
        <v>1</v>
      </c>
      <c r="E3115">
        <v>349.99</v>
      </c>
      <c r="F3115">
        <v>0.1</v>
      </c>
      <c r="G3115">
        <v>349.94</v>
      </c>
      <c r="H3115" t="s">
        <v>92</v>
      </c>
    </row>
    <row r="3116" spans="1:8" x14ac:dyDescent="0.35">
      <c r="A3116">
        <v>1150</v>
      </c>
      <c r="B3116">
        <v>3</v>
      </c>
      <c r="C3116">
        <v>104</v>
      </c>
      <c r="D3116">
        <v>2</v>
      </c>
      <c r="E3116">
        <v>481.99</v>
      </c>
      <c r="F3116">
        <v>0.1</v>
      </c>
      <c r="G3116">
        <v>963.91</v>
      </c>
      <c r="H3116" t="s">
        <v>103</v>
      </c>
    </row>
    <row r="3117" spans="1:8" x14ac:dyDescent="0.35">
      <c r="A3117">
        <v>1150</v>
      </c>
      <c r="B3117">
        <v>4</v>
      </c>
      <c r="C3117">
        <v>21</v>
      </c>
      <c r="D3117">
        <v>2</v>
      </c>
      <c r="E3117">
        <v>269.99</v>
      </c>
      <c r="F3117">
        <v>0.1</v>
      </c>
      <c r="G3117">
        <v>539.88</v>
      </c>
      <c r="H3117" t="s">
        <v>18</v>
      </c>
    </row>
    <row r="3118" spans="1:8" x14ac:dyDescent="0.35">
      <c r="A3118">
        <v>1152</v>
      </c>
      <c r="B3118">
        <v>1</v>
      </c>
      <c r="C3118">
        <v>58</v>
      </c>
      <c r="D3118">
        <v>1</v>
      </c>
      <c r="E3118">
        <v>4999.99</v>
      </c>
      <c r="F3118">
        <v>0.1</v>
      </c>
      <c r="G3118">
        <v>4999.92</v>
      </c>
      <c r="H3118" t="s">
        <v>59</v>
      </c>
    </row>
    <row r="3119" spans="1:8" x14ac:dyDescent="0.35">
      <c r="A3119">
        <v>1152</v>
      </c>
      <c r="B3119">
        <v>2</v>
      </c>
      <c r="C3119">
        <v>91</v>
      </c>
      <c r="D3119">
        <v>2</v>
      </c>
      <c r="E3119">
        <v>349.99</v>
      </c>
      <c r="F3119">
        <v>0.2</v>
      </c>
      <c r="G3119">
        <v>699.78</v>
      </c>
      <c r="H3119" t="s">
        <v>92</v>
      </c>
    </row>
    <row r="3120" spans="1:8" x14ac:dyDescent="0.35">
      <c r="A3120">
        <v>1152</v>
      </c>
      <c r="B3120">
        <v>3</v>
      </c>
      <c r="C3120">
        <v>24</v>
      </c>
      <c r="D3120">
        <v>1</v>
      </c>
      <c r="E3120">
        <v>549.99</v>
      </c>
      <c r="F3120">
        <v>0.1</v>
      </c>
      <c r="G3120">
        <v>549.94000000000005</v>
      </c>
      <c r="H3120" t="s">
        <v>17</v>
      </c>
    </row>
    <row r="3121" spans="1:8" x14ac:dyDescent="0.35">
      <c r="A3121">
        <v>1153</v>
      </c>
      <c r="B3121">
        <v>1</v>
      </c>
      <c r="C3121">
        <v>103</v>
      </c>
      <c r="D3121">
        <v>1</v>
      </c>
      <c r="E3121">
        <v>551.99</v>
      </c>
      <c r="F3121">
        <v>0.1</v>
      </c>
      <c r="G3121">
        <v>551.89</v>
      </c>
      <c r="H3121" t="s">
        <v>102</v>
      </c>
    </row>
    <row r="3122" spans="1:8" x14ac:dyDescent="0.35">
      <c r="A3122">
        <v>1153</v>
      </c>
      <c r="B3122">
        <v>2</v>
      </c>
      <c r="C3122">
        <v>6</v>
      </c>
      <c r="D3122">
        <v>2</v>
      </c>
      <c r="E3122">
        <v>469.99</v>
      </c>
      <c r="F3122">
        <v>0.1</v>
      </c>
      <c r="G3122">
        <v>939.93</v>
      </c>
      <c r="H3122" t="s">
        <v>11</v>
      </c>
    </row>
    <row r="3123" spans="1:8" x14ac:dyDescent="0.35">
      <c r="A3123">
        <v>1154</v>
      </c>
      <c r="B3123">
        <v>1</v>
      </c>
      <c r="C3123">
        <v>17</v>
      </c>
      <c r="D3123">
        <v>1</v>
      </c>
      <c r="E3123">
        <v>429</v>
      </c>
      <c r="F3123">
        <v>0.2</v>
      </c>
      <c r="G3123">
        <v>428.8</v>
      </c>
      <c r="H3123" t="s">
        <v>22</v>
      </c>
    </row>
    <row r="3124" spans="1:8" x14ac:dyDescent="0.35">
      <c r="A3124">
        <v>1154</v>
      </c>
      <c r="B3124">
        <v>2</v>
      </c>
      <c r="C3124">
        <v>60</v>
      </c>
      <c r="D3124">
        <v>1</v>
      </c>
      <c r="E3124">
        <v>1559.99</v>
      </c>
      <c r="F3124">
        <v>0.1</v>
      </c>
      <c r="G3124">
        <v>1559.92</v>
      </c>
      <c r="H3124" t="s">
        <v>61</v>
      </c>
    </row>
    <row r="3125" spans="1:8" x14ac:dyDescent="0.35">
      <c r="A3125">
        <v>1154</v>
      </c>
      <c r="B3125">
        <v>3</v>
      </c>
      <c r="C3125">
        <v>67</v>
      </c>
      <c r="D3125">
        <v>2</v>
      </c>
      <c r="E3125">
        <v>250.99</v>
      </c>
      <c r="F3125">
        <v>0.2</v>
      </c>
      <c r="G3125">
        <v>501.78</v>
      </c>
      <c r="H3125" t="s">
        <v>68</v>
      </c>
    </row>
    <row r="3126" spans="1:8" x14ac:dyDescent="0.35">
      <c r="A3126">
        <v>1155</v>
      </c>
      <c r="B3126">
        <v>1</v>
      </c>
      <c r="C3126">
        <v>68</v>
      </c>
      <c r="D3126">
        <v>2</v>
      </c>
      <c r="E3126">
        <v>449.99</v>
      </c>
      <c r="F3126">
        <v>0.1</v>
      </c>
      <c r="G3126">
        <v>899.93</v>
      </c>
      <c r="H3126" t="s">
        <v>69</v>
      </c>
    </row>
    <row r="3127" spans="1:8" x14ac:dyDescent="0.35">
      <c r="A3127">
        <v>1155</v>
      </c>
      <c r="B3127">
        <v>2</v>
      </c>
      <c r="C3127">
        <v>6</v>
      </c>
      <c r="D3127">
        <v>2</v>
      </c>
      <c r="E3127">
        <v>469.99</v>
      </c>
      <c r="F3127">
        <v>0.1</v>
      </c>
      <c r="G3127">
        <v>939.88</v>
      </c>
      <c r="H3127" t="s">
        <v>11</v>
      </c>
    </row>
    <row r="3128" spans="1:8" x14ac:dyDescent="0.35">
      <c r="A3128">
        <v>1155</v>
      </c>
      <c r="B3128">
        <v>3</v>
      </c>
      <c r="C3128">
        <v>35</v>
      </c>
      <c r="D3128">
        <v>1</v>
      </c>
      <c r="E3128">
        <v>832.99</v>
      </c>
      <c r="F3128">
        <v>0.1</v>
      </c>
      <c r="G3128">
        <v>832.92</v>
      </c>
      <c r="H3128" t="s">
        <v>36</v>
      </c>
    </row>
    <row r="3129" spans="1:8" x14ac:dyDescent="0.35">
      <c r="A3129">
        <v>1155</v>
      </c>
      <c r="B3129">
        <v>4</v>
      </c>
      <c r="C3129">
        <v>77</v>
      </c>
      <c r="D3129">
        <v>2</v>
      </c>
      <c r="E3129">
        <v>799.99</v>
      </c>
      <c r="F3129">
        <v>0.1</v>
      </c>
      <c r="G3129">
        <v>1599.93</v>
      </c>
      <c r="H3129" t="s">
        <v>78</v>
      </c>
    </row>
    <row r="3130" spans="1:8" x14ac:dyDescent="0.35">
      <c r="A3130">
        <v>1156</v>
      </c>
      <c r="B3130">
        <v>1</v>
      </c>
      <c r="C3130">
        <v>111</v>
      </c>
      <c r="D3130">
        <v>2</v>
      </c>
      <c r="E3130">
        <v>470.99</v>
      </c>
      <c r="F3130">
        <v>0.1</v>
      </c>
      <c r="G3130">
        <v>941.93</v>
      </c>
      <c r="H3130" t="s">
        <v>108</v>
      </c>
    </row>
    <row r="3131" spans="1:8" x14ac:dyDescent="0.35">
      <c r="A3131">
        <v>1156</v>
      </c>
      <c r="B3131">
        <v>2</v>
      </c>
      <c r="C3131">
        <v>86</v>
      </c>
      <c r="D3131">
        <v>1</v>
      </c>
      <c r="E3131">
        <v>149.99</v>
      </c>
      <c r="F3131">
        <v>0.1</v>
      </c>
      <c r="G3131">
        <v>149.94</v>
      </c>
      <c r="H3131" t="s">
        <v>87</v>
      </c>
    </row>
    <row r="3132" spans="1:8" x14ac:dyDescent="0.35">
      <c r="A3132">
        <v>1157</v>
      </c>
      <c r="B3132">
        <v>1</v>
      </c>
      <c r="C3132">
        <v>20</v>
      </c>
      <c r="D3132">
        <v>1</v>
      </c>
      <c r="E3132">
        <v>599.99</v>
      </c>
      <c r="F3132">
        <v>0.1</v>
      </c>
      <c r="G3132">
        <v>599.89</v>
      </c>
      <c r="H3132" t="s">
        <v>25</v>
      </c>
    </row>
    <row r="3133" spans="1:8" x14ac:dyDescent="0.35">
      <c r="A3133">
        <v>1157</v>
      </c>
      <c r="B3133">
        <v>2</v>
      </c>
      <c r="C3133">
        <v>31</v>
      </c>
      <c r="D3133">
        <v>2</v>
      </c>
      <c r="E3133">
        <v>1632.99</v>
      </c>
      <c r="F3133">
        <v>0.1</v>
      </c>
      <c r="G3133">
        <v>3265.88</v>
      </c>
      <c r="H3133" t="s">
        <v>32</v>
      </c>
    </row>
    <row r="3134" spans="1:8" x14ac:dyDescent="0.35">
      <c r="A3134">
        <v>1157</v>
      </c>
      <c r="B3134">
        <v>3</v>
      </c>
      <c r="C3134">
        <v>37</v>
      </c>
      <c r="D3134">
        <v>2</v>
      </c>
      <c r="E3134">
        <v>379.99</v>
      </c>
      <c r="F3134">
        <v>0.2</v>
      </c>
      <c r="G3134">
        <v>759.78</v>
      </c>
      <c r="H3134" t="s">
        <v>38</v>
      </c>
    </row>
    <row r="3135" spans="1:8" x14ac:dyDescent="0.35">
      <c r="A3135">
        <v>1157</v>
      </c>
      <c r="B3135">
        <v>4</v>
      </c>
      <c r="C3135">
        <v>41</v>
      </c>
      <c r="D3135">
        <v>1</v>
      </c>
      <c r="E3135">
        <v>1469.99</v>
      </c>
      <c r="F3135">
        <v>0.1</v>
      </c>
      <c r="G3135">
        <v>1469.92</v>
      </c>
      <c r="H3135" t="s">
        <v>42</v>
      </c>
    </row>
    <row r="3136" spans="1:8" x14ac:dyDescent="0.35">
      <c r="A3136">
        <v>1158</v>
      </c>
      <c r="B3136">
        <v>1</v>
      </c>
      <c r="C3136">
        <v>95</v>
      </c>
      <c r="D3136">
        <v>2</v>
      </c>
      <c r="E3136">
        <v>299.99</v>
      </c>
      <c r="F3136">
        <v>0.1</v>
      </c>
      <c r="G3136">
        <v>599.88</v>
      </c>
      <c r="H3136" t="s">
        <v>77</v>
      </c>
    </row>
    <row r="3137" spans="1:8" x14ac:dyDescent="0.35">
      <c r="A3137">
        <v>1158</v>
      </c>
      <c r="B3137">
        <v>2</v>
      </c>
      <c r="C3137">
        <v>74</v>
      </c>
      <c r="D3137">
        <v>1</v>
      </c>
      <c r="E3137">
        <v>439.99</v>
      </c>
      <c r="F3137">
        <v>0.1</v>
      </c>
      <c r="G3137">
        <v>439.92</v>
      </c>
      <c r="H3137" t="s">
        <v>75</v>
      </c>
    </row>
    <row r="3138" spans="1:8" x14ac:dyDescent="0.35">
      <c r="A3138">
        <v>1160</v>
      </c>
      <c r="B3138">
        <v>1</v>
      </c>
      <c r="C3138">
        <v>41</v>
      </c>
      <c r="D3138">
        <v>1</v>
      </c>
      <c r="E3138">
        <v>1469.99</v>
      </c>
      <c r="F3138">
        <v>0.1</v>
      </c>
      <c r="G3138">
        <v>1469.89</v>
      </c>
      <c r="H3138" t="s">
        <v>42</v>
      </c>
    </row>
    <row r="3139" spans="1:8" x14ac:dyDescent="0.35">
      <c r="A3139">
        <v>1160</v>
      </c>
      <c r="B3139">
        <v>2</v>
      </c>
      <c r="C3139">
        <v>9</v>
      </c>
      <c r="D3139">
        <v>1</v>
      </c>
      <c r="E3139">
        <v>2999.99</v>
      </c>
      <c r="F3139">
        <v>0.2</v>
      </c>
      <c r="G3139">
        <v>2999.79</v>
      </c>
      <c r="H3139" t="s">
        <v>14</v>
      </c>
    </row>
    <row r="3140" spans="1:8" x14ac:dyDescent="0.35">
      <c r="A3140">
        <v>1161</v>
      </c>
      <c r="B3140">
        <v>1</v>
      </c>
      <c r="C3140">
        <v>71</v>
      </c>
      <c r="D3140">
        <v>2</v>
      </c>
      <c r="E3140">
        <v>416.99</v>
      </c>
      <c r="F3140">
        <v>0.1</v>
      </c>
      <c r="G3140">
        <v>833.88</v>
      </c>
      <c r="H3140" t="s">
        <v>72</v>
      </c>
    </row>
    <row r="3141" spans="1:8" x14ac:dyDescent="0.35">
      <c r="A3141">
        <v>1161</v>
      </c>
      <c r="B3141">
        <v>2</v>
      </c>
      <c r="C3141">
        <v>38</v>
      </c>
      <c r="D3141">
        <v>1</v>
      </c>
      <c r="E3141">
        <v>549.99</v>
      </c>
      <c r="F3141">
        <v>0.1</v>
      </c>
      <c r="G3141">
        <v>549.91999999999996</v>
      </c>
      <c r="H3141" t="s">
        <v>39</v>
      </c>
    </row>
    <row r="3142" spans="1:8" x14ac:dyDescent="0.35">
      <c r="A3142">
        <v>1161</v>
      </c>
      <c r="B3142">
        <v>3</v>
      </c>
      <c r="C3142">
        <v>22</v>
      </c>
      <c r="D3142">
        <v>1</v>
      </c>
      <c r="E3142">
        <v>269.99</v>
      </c>
      <c r="F3142">
        <v>0.2</v>
      </c>
      <c r="G3142">
        <v>269.79000000000002</v>
      </c>
      <c r="H3142" t="s">
        <v>19</v>
      </c>
    </row>
    <row r="3143" spans="1:8" x14ac:dyDescent="0.35">
      <c r="A3143">
        <v>1161</v>
      </c>
      <c r="B3143">
        <v>4</v>
      </c>
      <c r="C3143">
        <v>29</v>
      </c>
      <c r="D3143">
        <v>2</v>
      </c>
      <c r="E3143">
        <v>999.99</v>
      </c>
      <c r="F3143">
        <v>0.1</v>
      </c>
      <c r="G3143">
        <v>1999.88</v>
      </c>
      <c r="H3143" t="s">
        <v>30</v>
      </c>
    </row>
    <row r="3144" spans="1:8" x14ac:dyDescent="0.35">
      <c r="A3144">
        <v>1162</v>
      </c>
      <c r="B3144">
        <v>1</v>
      </c>
      <c r="C3144">
        <v>88</v>
      </c>
      <c r="D3144">
        <v>1</v>
      </c>
      <c r="E3144">
        <v>189.99</v>
      </c>
      <c r="F3144">
        <v>0.2</v>
      </c>
      <c r="G3144">
        <v>189.79</v>
      </c>
      <c r="H3144" t="s">
        <v>89</v>
      </c>
    </row>
    <row r="3145" spans="1:8" x14ac:dyDescent="0.35">
      <c r="A3145">
        <v>1162</v>
      </c>
      <c r="B3145">
        <v>2</v>
      </c>
      <c r="C3145">
        <v>40</v>
      </c>
      <c r="D3145">
        <v>2</v>
      </c>
      <c r="E3145">
        <v>4999.99</v>
      </c>
      <c r="F3145">
        <v>0.2</v>
      </c>
      <c r="G3145">
        <v>9999.7800000000007</v>
      </c>
      <c r="H3145" t="s">
        <v>41</v>
      </c>
    </row>
    <row r="3146" spans="1:8" x14ac:dyDescent="0.35">
      <c r="A3146">
        <v>1162</v>
      </c>
      <c r="B3146">
        <v>3</v>
      </c>
      <c r="C3146">
        <v>86</v>
      </c>
      <c r="D3146">
        <v>1</v>
      </c>
      <c r="E3146">
        <v>149.99</v>
      </c>
      <c r="F3146">
        <v>0.1</v>
      </c>
      <c r="G3146">
        <v>149.88999999999999</v>
      </c>
      <c r="H3146" t="s">
        <v>87</v>
      </c>
    </row>
    <row r="3147" spans="1:8" x14ac:dyDescent="0.35">
      <c r="A3147">
        <v>1162</v>
      </c>
      <c r="B3147">
        <v>4</v>
      </c>
      <c r="C3147">
        <v>41</v>
      </c>
      <c r="D3147">
        <v>1</v>
      </c>
      <c r="E3147">
        <v>1469.99</v>
      </c>
      <c r="F3147">
        <v>0.1</v>
      </c>
      <c r="G3147">
        <v>1469.94</v>
      </c>
      <c r="H3147" t="s">
        <v>42</v>
      </c>
    </row>
    <row r="3148" spans="1:8" x14ac:dyDescent="0.35">
      <c r="A3148">
        <v>1162</v>
      </c>
      <c r="B3148">
        <v>5</v>
      </c>
      <c r="C3148">
        <v>12</v>
      </c>
      <c r="D3148">
        <v>2</v>
      </c>
      <c r="E3148">
        <v>549.99</v>
      </c>
      <c r="F3148">
        <v>0.1</v>
      </c>
      <c r="G3148">
        <v>1099.93</v>
      </c>
      <c r="H3148" t="s">
        <v>17</v>
      </c>
    </row>
    <row r="3149" spans="1:8" x14ac:dyDescent="0.35">
      <c r="A3149">
        <v>1163</v>
      </c>
      <c r="B3149">
        <v>1</v>
      </c>
      <c r="C3149">
        <v>63</v>
      </c>
      <c r="D3149">
        <v>2</v>
      </c>
      <c r="E3149">
        <v>3499.99</v>
      </c>
      <c r="F3149">
        <v>0.1</v>
      </c>
      <c r="G3149">
        <v>6999.93</v>
      </c>
      <c r="H3149" t="s">
        <v>64</v>
      </c>
    </row>
    <row r="3150" spans="1:8" x14ac:dyDescent="0.35">
      <c r="A3150">
        <v>1163</v>
      </c>
      <c r="B3150">
        <v>2</v>
      </c>
      <c r="C3150">
        <v>53</v>
      </c>
      <c r="D3150">
        <v>2</v>
      </c>
      <c r="E3150">
        <v>749.99</v>
      </c>
      <c r="F3150">
        <v>0.1</v>
      </c>
      <c r="G3150">
        <v>1499.88</v>
      </c>
      <c r="H3150" t="s">
        <v>54</v>
      </c>
    </row>
    <row r="3151" spans="1:8" x14ac:dyDescent="0.35">
      <c r="A3151">
        <v>1164</v>
      </c>
      <c r="B3151">
        <v>1</v>
      </c>
      <c r="C3151">
        <v>8</v>
      </c>
      <c r="D3151">
        <v>1</v>
      </c>
      <c r="E3151">
        <v>1799.99</v>
      </c>
      <c r="F3151">
        <v>0.2</v>
      </c>
      <c r="G3151">
        <v>1799.79</v>
      </c>
      <c r="H3151" t="s">
        <v>13</v>
      </c>
    </row>
    <row r="3152" spans="1:8" x14ac:dyDescent="0.35">
      <c r="A3152">
        <v>1164</v>
      </c>
      <c r="B3152">
        <v>2</v>
      </c>
      <c r="C3152">
        <v>78</v>
      </c>
      <c r="D3152">
        <v>1</v>
      </c>
      <c r="E3152">
        <v>647.99</v>
      </c>
      <c r="F3152">
        <v>0.1</v>
      </c>
      <c r="G3152">
        <v>647.94000000000005</v>
      </c>
      <c r="H3152" t="s">
        <v>79</v>
      </c>
    </row>
    <row r="3153" spans="1:8" x14ac:dyDescent="0.35">
      <c r="A3153">
        <v>1164</v>
      </c>
      <c r="B3153">
        <v>3</v>
      </c>
      <c r="C3153">
        <v>103</v>
      </c>
      <c r="D3153">
        <v>2</v>
      </c>
      <c r="E3153">
        <v>551.99</v>
      </c>
      <c r="F3153">
        <v>0.1</v>
      </c>
      <c r="G3153">
        <v>1103.93</v>
      </c>
      <c r="H3153" t="s">
        <v>102</v>
      </c>
    </row>
    <row r="3154" spans="1:8" x14ac:dyDescent="0.35">
      <c r="A3154">
        <v>1164</v>
      </c>
      <c r="B3154">
        <v>4</v>
      </c>
      <c r="C3154">
        <v>44</v>
      </c>
      <c r="D3154">
        <v>2</v>
      </c>
      <c r="E3154">
        <v>539.99</v>
      </c>
      <c r="F3154">
        <v>0.1</v>
      </c>
      <c r="G3154">
        <v>1079.93</v>
      </c>
      <c r="H3154" t="s">
        <v>45</v>
      </c>
    </row>
    <row r="3155" spans="1:8" x14ac:dyDescent="0.35">
      <c r="A3155">
        <v>1165</v>
      </c>
      <c r="B3155">
        <v>1</v>
      </c>
      <c r="C3155">
        <v>65</v>
      </c>
      <c r="D3155">
        <v>2</v>
      </c>
      <c r="E3155">
        <v>346.99</v>
      </c>
      <c r="F3155">
        <v>0.1</v>
      </c>
      <c r="G3155">
        <v>693.91</v>
      </c>
      <c r="H3155" t="s">
        <v>66</v>
      </c>
    </row>
    <row r="3156" spans="1:8" x14ac:dyDescent="0.35">
      <c r="A3156">
        <v>1165</v>
      </c>
      <c r="B3156">
        <v>2</v>
      </c>
      <c r="C3156">
        <v>68</v>
      </c>
      <c r="D3156">
        <v>1</v>
      </c>
      <c r="E3156">
        <v>449.99</v>
      </c>
      <c r="F3156">
        <v>0.1</v>
      </c>
      <c r="G3156">
        <v>449.92</v>
      </c>
      <c r="H3156" t="s">
        <v>69</v>
      </c>
    </row>
    <row r="3157" spans="1:8" x14ac:dyDescent="0.35">
      <c r="A3157">
        <v>1167</v>
      </c>
      <c r="B3157">
        <v>1</v>
      </c>
      <c r="C3157">
        <v>29</v>
      </c>
      <c r="D3157">
        <v>2</v>
      </c>
      <c r="E3157">
        <v>999.99</v>
      </c>
      <c r="F3157">
        <v>0.1</v>
      </c>
      <c r="G3157">
        <v>1999.93</v>
      </c>
      <c r="H3157" t="s">
        <v>30</v>
      </c>
    </row>
    <row r="3158" spans="1:8" x14ac:dyDescent="0.35">
      <c r="A3158">
        <v>1167</v>
      </c>
      <c r="B3158">
        <v>2</v>
      </c>
      <c r="C3158">
        <v>81</v>
      </c>
      <c r="D3158">
        <v>2</v>
      </c>
      <c r="E3158">
        <v>1099.99</v>
      </c>
      <c r="F3158">
        <v>0.1</v>
      </c>
      <c r="G3158">
        <v>2199.88</v>
      </c>
      <c r="H3158" t="s">
        <v>82</v>
      </c>
    </row>
    <row r="3159" spans="1:8" x14ac:dyDescent="0.35">
      <c r="A3159">
        <v>1167</v>
      </c>
      <c r="B3159">
        <v>3</v>
      </c>
      <c r="C3159">
        <v>68</v>
      </c>
      <c r="D3159">
        <v>1</v>
      </c>
      <c r="E3159">
        <v>449.99</v>
      </c>
      <c r="F3159">
        <v>0.1</v>
      </c>
      <c r="G3159">
        <v>449.92</v>
      </c>
      <c r="H3159" t="s">
        <v>69</v>
      </c>
    </row>
    <row r="3160" spans="1:8" x14ac:dyDescent="0.35">
      <c r="A3160">
        <v>1168</v>
      </c>
      <c r="B3160">
        <v>1</v>
      </c>
      <c r="C3160">
        <v>23</v>
      </c>
      <c r="D3160">
        <v>2</v>
      </c>
      <c r="E3160">
        <v>299.99</v>
      </c>
      <c r="F3160">
        <v>0.1</v>
      </c>
      <c r="G3160">
        <v>599.88</v>
      </c>
      <c r="H3160" t="s">
        <v>26</v>
      </c>
    </row>
    <row r="3161" spans="1:8" x14ac:dyDescent="0.35">
      <c r="A3161">
        <v>1168</v>
      </c>
      <c r="B3161">
        <v>2</v>
      </c>
      <c r="C3161">
        <v>82</v>
      </c>
      <c r="D3161">
        <v>1</v>
      </c>
      <c r="E3161">
        <v>659.99</v>
      </c>
      <c r="F3161">
        <v>0.2</v>
      </c>
      <c r="G3161">
        <v>659.79</v>
      </c>
      <c r="H3161" t="s">
        <v>83</v>
      </c>
    </row>
    <row r="3162" spans="1:8" x14ac:dyDescent="0.35">
      <c r="A3162">
        <v>1168</v>
      </c>
      <c r="B3162">
        <v>3</v>
      </c>
      <c r="C3162">
        <v>51</v>
      </c>
      <c r="D3162">
        <v>1</v>
      </c>
      <c r="E3162">
        <v>6499.99</v>
      </c>
      <c r="F3162">
        <v>0.1</v>
      </c>
      <c r="G3162">
        <v>6499.92</v>
      </c>
      <c r="H3162" t="s">
        <v>52</v>
      </c>
    </row>
    <row r="3163" spans="1:8" x14ac:dyDescent="0.35">
      <c r="A3163">
        <v>1168</v>
      </c>
      <c r="B3163">
        <v>4</v>
      </c>
      <c r="C3163">
        <v>107</v>
      </c>
      <c r="D3163">
        <v>2</v>
      </c>
      <c r="E3163">
        <v>416.99</v>
      </c>
      <c r="F3163">
        <v>0.2</v>
      </c>
      <c r="G3163">
        <v>833.78</v>
      </c>
      <c r="H3163" t="s">
        <v>70</v>
      </c>
    </row>
    <row r="3164" spans="1:8" x14ac:dyDescent="0.35">
      <c r="A3164">
        <v>1168</v>
      </c>
      <c r="B3164">
        <v>5</v>
      </c>
      <c r="C3164">
        <v>15</v>
      </c>
      <c r="D3164">
        <v>2</v>
      </c>
      <c r="E3164">
        <v>529.99</v>
      </c>
      <c r="F3164">
        <v>0.1</v>
      </c>
      <c r="G3164">
        <v>1059.93</v>
      </c>
      <c r="H3164" t="s">
        <v>20</v>
      </c>
    </row>
    <row r="3165" spans="1:8" x14ac:dyDescent="0.35">
      <c r="A3165">
        <v>1169</v>
      </c>
      <c r="B3165">
        <v>1</v>
      </c>
      <c r="C3165">
        <v>91</v>
      </c>
      <c r="D3165">
        <v>2</v>
      </c>
      <c r="E3165">
        <v>349.99</v>
      </c>
      <c r="F3165">
        <v>0.2</v>
      </c>
      <c r="G3165">
        <v>699.78</v>
      </c>
      <c r="H3165" t="s">
        <v>92</v>
      </c>
    </row>
    <row r="3166" spans="1:8" x14ac:dyDescent="0.35">
      <c r="A3166">
        <v>1169</v>
      </c>
      <c r="B3166">
        <v>2</v>
      </c>
      <c r="C3166">
        <v>51</v>
      </c>
      <c r="D3166">
        <v>1</v>
      </c>
      <c r="E3166">
        <v>6499.99</v>
      </c>
      <c r="F3166">
        <v>0.1</v>
      </c>
      <c r="G3166">
        <v>6499.94</v>
      </c>
      <c r="H3166" t="s">
        <v>52</v>
      </c>
    </row>
    <row r="3167" spans="1:8" x14ac:dyDescent="0.35">
      <c r="A3167">
        <v>1169</v>
      </c>
      <c r="B3167">
        <v>3</v>
      </c>
      <c r="C3167">
        <v>58</v>
      </c>
      <c r="D3167">
        <v>2</v>
      </c>
      <c r="E3167">
        <v>4999.99</v>
      </c>
      <c r="F3167">
        <v>0.1</v>
      </c>
      <c r="G3167">
        <v>9999.8799999999992</v>
      </c>
      <c r="H3167" t="s">
        <v>59</v>
      </c>
    </row>
    <row r="3168" spans="1:8" x14ac:dyDescent="0.35">
      <c r="A3168">
        <v>1169</v>
      </c>
      <c r="B3168">
        <v>4</v>
      </c>
      <c r="C3168">
        <v>81</v>
      </c>
      <c r="D3168">
        <v>2</v>
      </c>
      <c r="E3168">
        <v>1099.99</v>
      </c>
      <c r="F3168">
        <v>0.2</v>
      </c>
      <c r="G3168">
        <v>2199.7800000000002</v>
      </c>
      <c r="H3168" t="s">
        <v>82</v>
      </c>
    </row>
    <row r="3169" spans="1:8" x14ac:dyDescent="0.35">
      <c r="A3169">
        <v>1170</v>
      </c>
      <c r="B3169">
        <v>1</v>
      </c>
      <c r="C3169">
        <v>15</v>
      </c>
      <c r="D3169">
        <v>1</v>
      </c>
      <c r="E3169">
        <v>529.99</v>
      </c>
      <c r="F3169">
        <v>0.1</v>
      </c>
      <c r="G3169">
        <v>529.89</v>
      </c>
      <c r="H3169" t="s">
        <v>20</v>
      </c>
    </row>
    <row r="3170" spans="1:8" x14ac:dyDescent="0.35">
      <c r="A3170">
        <v>1170</v>
      </c>
      <c r="B3170">
        <v>2</v>
      </c>
      <c r="C3170">
        <v>47</v>
      </c>
      <c r="D3170">
        <v>2</v>
      </c>
      <c r="E3170">
        <v>5299.99</v>
      </c>
      <c r="F3170">
        <v>0.1</v>
      </c>
      <c r="G3170">
        <v>10599.93</v>
      </c>
      <c r="H3170" t="s">
        <v>48</v>
      </c>
    </row>
    <row r="3171" spans="1:8" x14ac:dyDescent="0.35">
      <c r="A3171">
        <v>1170</v>
      </c>
      <c r="B3171">
        <v>3</v>
      </c>
      <c r="C3171">
        <v>62</v>
      </c>
      <c r="D3171">
        <v>2</v>
      </c>
      <c r="E3171">
        <v>3499.99</v>
      </c>
      <c r="F3171">
        <v>0.1</v>
      </c>
      <c r="G3171">
        <v>6999.88</v>
      </c>
      <c r="H3171" t="s">
        <v>63</v>
      </c>
    </row>
    <row r="3172" spans="1:8" x14ac:dyDescent="0.35">
      <c r="A3172">
        <v>1171</v>
      </c>
      <c r="B3172">
        <v>1</v>
      </c>
      <c r="C3172">
        <v>94</v>
      </c>
      <c r="D3172">
        <v>2</v>
      </c>
      <c r="E3172">
        <v>249.99</v>
      </c>
      <c r="F3172">
        <v>0.2</v>
      </c>
      <c r="G3172">
        <v>499.78</v>
      </c>
      <c r="H3172" t="s">
        <v>95</v>
      </c>
    </row>
    <row r="3173" spans="1:8" x14ac:dyDescent="0.35">
      <c r="A3173">
        <v>1171</v>
      </c>
      <c r="B3173">
        <v>2</v>
      </c>
      <c r="C3173">
        <v>92</v>
      </c>
      <c r="D3173">
        <v>2</v>
      </c>
      <c r="E3173">
        <v>209.99</v>
      </c>
      <c r="F3173">
        <v>0.1</v>
      </c>
      <c r="G3173">
        <v>419.91</v>
      </c>
      <c r="H3173" t="s">
        <v>93</v>
      </c>
    </row>
    <row r="3174" spans="1:8" x14ac:dyDescent="0.35">
      <c r="A3174">
        <v>1171</v>
      </c>
      <c r="B3174">
        <v>3</v>
      </c>
      <c r="C3174">
        <v>10</v>
      </c>
      <c r="D3174">
        <v>2</v>
      </c>
      <c r="E3174">
        <v>1549</v>
      </c>
      <c r="F3174">
        <v>0.1</v>
      </c>
      <c r="G3174">
        <v>3097.93</v>
      </c>
      <c r="H3174" t="s">
        <v>15</v>
      </c>
    </row>
    <row r="3175" spans="1:8" x14ac:dyDescent="0.35">
      <c r="A3175">
        <v>1172</v>
      </c>
      <c r="B3175">
        <v>1</v>
      </c>
      <c r="C3175">
        <v>78</v>
      </c>
      <c r="D3175">
        <v>2</v>
      </c>
      <c r="E3175">
        <v>647.99</v>
      </c>
      <c r="F3175">
        <v>0.1</v>
      </c>
      <c r="G3175">
        <v>1295.9100000000001</v>
      </c>
      <c r="H3175" t="s">
        <v>79</v>
      </c>
    </row>
    <row r="3176" spans="1:8" x14ac:dyDescent="0.35">
      <c r="A3176">
        <v>1172</v>
      </c>
      <c r="B3176">
        <v>2</v>
      </c>
      <c r="C3176">
        <v>104</v>
      </c>
      <c r="D3176">
        <v>1</v>
      </c>
      <c r="E3176">
        <v>481.99</v>
      </c>
      <c r="F3176">
        <v>0.2</v>
      </c>
      <c r="G3176">
        <v>481.79</v>
      </c>
      <c r="H3176" t="s">
        <v>103</v>
      </c>
    </row>
    <row r="3177" spans="1:8" x14ac:dyDescent="0.35">
      <c r="A3177">
        <v>1173</v>
      </c>
      <c r="B3177">
        <v>1</v>
      </c>
      <c r="C3177">
        <v>95</v>
      </c>
      <c r="D3177">
        <v>1</v>
      </c>
      <c r="E3177">
        <v>299.99</v>
      </c>
      <c r="F3177">
        <v>0.2</v>
      </c>
      <c r="G3177">
        <v>299.79000000000002</v>
      </c>
      <c r="H3177" t="s">
        <v>77</v>
      </c>
    </row>
    <row r="3178" spans="1:8" x14ac:dyDescent="0.35">
      <c r="A3178">
        <v>1173</v>
      </c>
      <c r="B3178">
        <v>2</v>
      </c>
      <c r="C3178">
        <v>17</v>
      </c>
      <c r="D3178">
        <v>1</v>
      </c>
      <c r="E3178">
        <v>429</v>
      </c>
      <c r="F3178">
        <v>0.1</v>
      </c>
      <c r="G3178">
        <v>428.93</v>
      </c>
      <c r="H3178" t="s">
        <v>22</v>
      </c>
    </row>
    <row r="3179" spans="1:8" x14ac:dyDescent="0.35">
      <c r="A3179">
        <v>1173</v>
      </c>
      <c r="B3179">
        <v>3</v>
      </c>
      <c r="C3179">
        <v>68</v>
      </c>
      <c r="D3179">
        <v>1</v>
      </c>
      <c r="E3179">
        <v>449.99</v>
      </c>
      <c r="F3179">
        <v>0.1</v>
      </c>
      <c r="G3179">
        <v>449.94</v>
      </c>
      <c r="H3179" t="s">
        <v>69</v>
      </c>
    </row>
    <row r="3180" spans="1:8" x14ac:dyDescent="0.35">
      <c r="A3180">
        <v>1173</v>
      </c>
      <c r="B3180">
        <v>4</v>
      </c>
      <c r="C3180">
        <v>103</v>
      </c>
      <c r="D3180">
        <v>2</v>
      </c>
      <c r="E3180">
        <v>551.99</v>
      </c>
      <c r="F3180">
        <v>0.2</v>
      </c>
      <c r="G3180">
        <v>1103.78</v>
      </c>
      <c r="H3180" t="s">
        <v>102</v>
      </c>
    </row>
    <row r="3181" spans="1:8" x14ac:dyDescent="0.35">
      <c r="A3181">
        <v>1174</v>
      </c>
      <c r="B3181">
        <v>1</v>
      </c>
      <c r="C3181">
        <v>110</v>
      </c>
      <c r="D3181">
        <v>2</v>
      </c>
      <c r="E3181">
        <v>470.99</v>
      </c>
      <c r="F3181">
        <v>0.2</v>
      </c>
      <c r="G3181">
        <v>941.78</v>
      </c>
      <c r="H3181" t="s">
        <v>107</v>
      </c>
    </row>
    <row r="3182" spans="1:8" x14ac:dyDescent="0.35">
      <c r="A3182">
        <v>1174</v>
      </c>
      <c r="B3182">
        <v>2</v>
      </c>
      <c r="C3182">
        <v>6</v>
      </c>
      <c r="D3182">
        <v>1</v>
      </c>
      <c r="E3182">
        <v>469.99</v>
      </c>
      <c r="F3182">
        <v>0.1</v>
      </c>
      <c r="G3182">
        <v>469.92</v>
      </c>
      <c r="H3182" t="s">
        <v>11</v>
      </c>
    </row>
    <row r="3183" spans="1:8" x14ac:dyDescent="0.35">
      <c r="A3183">
        <v>1174</v>
      </c>
      <c r="B3183">
        <v>3</v>
      </c>
      <c r="C3183">
        <v>106</v>
      </c>
      <c r="D3183">
        <v>1</v>
      </c>
      <c r="E3183">
        <v>449.99</v>
      </c>
      <c r="F3183">
        <v>0.1</v>
      </c>
      <c r="G3183">
        <v>449.89</v>
      </c>
      <c r="H3183" t="s">
        <v>69</v>
      </c>
    </row>
    <row r="3184" spans="1:8" x14ac:dyDescent="0.35">
      <c r="A3184">
        <v>1175</v>
      </c>
      <c r="B3184">
        <v>1</v>
      </c>
      <c r="C3184">
        <v>58</v>
      </c>
      <c r="D3184">
        <v>2</v>
      </c>
      <c r="E3184">
        <v>4999.99</v>
      </c>
      <c r="F3184">
        <v>0.1</v>
      </c>
      <c r="G3184">
        <v>9999.91</v>
      </c>
      <c r="H3184" t="s">
        <v>59</v>
      </c>
    </row>
    <row r="3185" spans="1:8" x14ac:dyDescent="0.35">
      <c r="A3185">
        <v>1175</v>
      </c>
      <c r="B3185">
        <v>2</v>
      </c>
      <c r="C3185">
        <v>65</v>
      </c>
      <c r="D3185">
        <v>1</v>
      </c>
      <c r="E3185">
        <v>346.99</v>
      </c>
      <c r="F3185">
        <v>0.2</v>
      </c>
      <c r="G3185">
        <v>346.79</v>
      </c>
      <c r="H3185" t="s">
        <v>66</v>
      </c>
    </row>
    <row r="3186" spans="1:8" x14ac:dyDescent="0.35">
      <c r="A3186">
        <v>1175</v>
      </c>
      <c r="B3186">
        <v>3</v>
      </c>
      <c r="C3186">
        <v>20</v>
      </c>
      <c r="D3186">
        <v>1</v>
      </c>
      <c r="E3186">
        <v>599.99</v>
      </c>
      <c r="F3186">
        <v>0.1</v>
      </c>
      <c r="G3186">
        <v>599.94000000000005</v>
      </c>
      <c r="H3186" t="s">
        <v>25</v>
      </c>
    </row>
    <row r="3187" spans="1:8" x14ac:dyDescent="0.35">
      <c r="A3187">
        <v>1175</v>
      </c>
      <c r="B3187">
        <v>4</v>
      </c>
      <c r="C3187">
        <v>3</v>
      </c>
      <c r="D3187">
        <v>1</v>
      </c>
      <c r="E3187">
        <v>999.99</v>
      </c>
      <c r="F3187">
        <v>0.1</v>
      </c>
      <c r="G3187">
        <v>999.94</v>
      </c>
      <c r="H3187" t="s">
        <v>8</v>
      </c>
    </row>
    <row r="3188" spans="1:8" x14ac:dyDescent="0.35">
      <c r="A3188">
        <v>1175</v>
      </c>
      <c r="B3188">
        <v>5</v>
      </c>
      <c r="C3188">
        <v>9</v>
      </c>
      <c r="D3188">
        <v>1</v>
      </c>
      <c r="E3188">
        <v>2999.99</v>
      </c>
      <c r="F3188">
        <v>0.1</v>
      </c>
      <c r="G3188">
        <v>2999.94</v>
      </c>
      <c r="H3188" t="s">
        <v>14</v>
      </c>
    </row>
    <row r="3189" spans="1:8" x14ac:dyDescent="0.35">
      <c r="A3189">
        <v>1177</v>
      </c>
      <c r="B3189">
        <v>1</v>
      </c>
      <c r="C3189">
        <v>62</v>
      </c>
      <c r="D3189">
        <v>2</v>
      </c>
      <c r="E3189">
        <v>3499.99</v>
      </c>
      <c r="F3189">
        <v>0.1</v>
      </c>
      <c r="G3189">
        <v>6999.91</v>
      </c>
      <c r="H3189" t="s">
        <v>63</v>
      </c>
    </row>
    <row r="3190" spans="1:8" x14ac:dyDescent="0.35">
      <c r="A3190">
        <v>1177</v>
      </c>
      <c r="B3190">
        <v>2</v>
      </c>
      <c r="C3190">
        <v>74</v>
      </c>
      <c r="D3190">
        <v>1</v>
      </c>
      <c r="E3190">
        <v>439.99</v>
      </c>
      <c r="F3190">
        <v>0.1</v>
      </c>
      <c r="G3190">
        <v>439.89</v>
      </c>
      <c r="H3190" t="s">
        <v>75</v>
      </c>
    </row>
    <row r="3191" spans="1:8" x14ac:dyDescent="0.35">
      <c r="A3191">
        <v>1178</v>
      </c>
      <c r="B3191">
        <v>1</v>
      </c>
      <c r="C3191">
        <v>46</v>
      </c>
      <c r="D3191">
        <v>1</v>
      </c>
      <c r="E3191">
        <v>1409.99</v>
      </c>
      <c r="F3191">
        <v>0.1</v>
      </c>
      <c r="G3191">
        <v>1409.92</v>
      </c>
      <c r="H3191" t="s">
        <v>47</v>
      </c>
    </row>
    <row r="3192" spans="1:8" x14ac:dyDescent="0.35">
      <c r="A3192">
        <v>1178</v>
      </c>
      <c r="B3192">
        <v>2</v>
      </c>
      <c r="C3192">
        <v>77</v>
      </c>
      <c r="D3192">
        <v>1</v>
      </c>
      <c r="E3192">
        <v>799.99</v>
      </c>
      <c r="F3192">
        <v>0.2</v>
      </c>
      <c r="G3192">
        <v>799.79</v>
      </c>
      <c r="H3192" t="s">
        <v>78</v>
      </c>
    </row>
    <row r="3193" spans="1:8" x14ac:dyDescent="0.35">
      <c r="A3193">
        <v>1178</v>
      </c>
      <c r="B3193">
        <v>3</v>
      </c>
      <c r="C3193">
        <v>108</v>
      </c>
      <c r="D3193">
        <v>1</v>
      </c>
      <c r="E3193">
        <v>449.99</v>
      </c>
      <c r="F3193">
        <v>0.1</v>
      </c>
      <c r="G3193">
        <v>449.94</v>
      </c>
      <c r="H3193" t="s">
        <v>105</v>
      </c>
    </row>
    <row r="3194" spans="1:8" x14ac:dyDescent="0.35">
      <c r="A3194">
        <v>1178</v>
      </c>
      <c r="B3194">
        <v>4</v>
      </c>
      <c r="C3194">
        <v>13</v>
      </c>
      <c r="D3194">
        <v>2</v>
      </c>
      <c r="E3194">
        <v>269.99</v>
      </c>
      <c r="F3194">
        <v>0.1</v>
      </c>
      <c r="G3194">
        <v>539.92999999999995</v>
      </c>
      <c r="H3194" t="s">
        <v>18</v>
      </c>
    </row>
    <row r="3195" spans="1:8" x14ac:dyDescent="0.35">
      <c r="A3195">
        <v>1179</v>
      </c>
      <c r="B3195">
        <v>1</v>
      </c>
      <c r="C3195">
        <v>93</v>
      </c>
      <c r="D3195">
        <v>2</v>
      </c>
      <c r="E3195">
        <v>209.99</v>
      </c>
      <c r="F3195">
        <v>0.1</v>
      </c>
      <c r="G3195">
        <v>419.93</v>
      </c>
      <c r="H3195" t="s">
        <v>94</v>
      </c>
    </row>
    <row r="3196" spans="1:8" x14ac:dyDescent="0.35">
      <c r="A3196">
        <v>1179</v>
      </c>
      <c r="B3196">
        <v>2</v>
      </c>
      <c r="C3196">
        <v>88</v>
      </c>
      <c r="D3196">
        <v>2</v>
      </c>
      <c r="E3196">
        <v>189.99</v>
      </c>
      <c r="F3196">
        <v>0.1</v>
      </c>
      <c r="G3196">
        <v>379.93</v>
      </c>
      <c r="H3196" t="s">
        <v>89</v>
      </c>
    </row>
    <row r="3197" spans="1:8" x14ac:dyDescent="0.35">
      <c r="A3197">
        <v>1179</v>
      </c>
      <c r="B3197">
        <v>3</v>
      </c>
      <c r="C3197">
        <v>33</v>
      </c>
      <c r="D3197">
        <v>2</v>
      </c>
      <c r="E3197">
        <v>469.99</v>
      </c>
      <c r="F3197">
        <v>0.2</v>
      </c>
      <c r="G3197">
        <v>939.78</v>
      </c>
      <c r="H3197" t="s">
        <v>34</v>
      </c>
    </row>
    <row r="3198" spans="1:8" x14ac:dyDescent="0.35">
      <c r="A3198">
        <v>1179</v>
      </c>
      <c r="B3198">
        <v>4</v>
      </c>
      <c r="C3198">
        <v>50</v>
      </c>
      <c r="D3198">
        <v>1</v>
      </c>
      <c r="E3198">
        <v>5999.99</v>
      </c>
      <c r="F3198">
        <v>0.1</v>
      </c>
      <c r="G3198">
        <v>5999.92</v>
      </c>
      <c r="H3198" t="s">
        <v>51</v>
      </c>
    </row>
    <row r="3199" spans="1:8" x14ac:dyDescent="0.35">
      <c r="A3199">
        <v>1182</v>
      </c>
      <c r="B3199">
        <v>1</v>
      </c>
      <c r="C3199">
        <v>35</v>
      </c>
      <c r="D3199">
        <v>1</v>
      </c>
      <c r="E3199">
        <v>832.99</v>
      </c>
      <c r="F3199">
        <v>0.1</v>
      </c>
      <c r="G3199">
        <v>832.89</v>
      </c>
      <c r="H3199" t="s">
        <v>36</v>
      </c>
    </row>
    <row r="3200" spans="1:8" x14ac:dyDescent="0.35">
      <c r="A3200">
        <v>1182</v>
      </c>
      <c r="B3200">
        <v>2</v>
      </c>
      <c r="C3200">
        <v>49</v>
      </c>
      <c r="D3200">
        <v>2</v>
      </c>
      <c r="E3200">
        <v>3499.99</v>
      </c>
      <c r="F3200">
        <v>0.1</v>
      </c>
      <c r="G3200">
        <v>6999.88</v>
      </c>
      <c r="H3200" t="s">
        <v>50</v>
      </c>
    </row>
    <row r="3201" spans="1:8" x14ac:dyDescent="0.35">
      <c r="A3201">
        <v>1183</v>
      </c>
      <c r="B3201">
        <v>1</v>
      </c>
      <c r="C3201">
        <v>63</v>
      </c>
      <c r="D3201">
        <v>1</v>
      </c>
      <c r="E3201">
        <v>3499.99</v>
      </c>
      <c r="F3201">
        <v>0.2</v>
      </c>
      <c r="G3201">
        <v>3499.79</v>
      </c>
      <c r="H3201" t="s">
        <v>64</v>
      </c>
    </row>
    <row r="3202" spans="1:8" x14ac:dyDescent="0.35">
      <c r="A3202">
        <v>1183</v>
      </c>
      <c r="B3202">
        <v>2</v>
      </c>
      <c r="C3202">
        <v>80</v>
      </c>
      <c r="D3202">
        <v>2</v>
      </c>
      <c r="E3202">
        <v>761.99</v>
      </c>
      <c r="F3202">
        <v>0.2</v>
      </c>
      <c r="G3202">
        <v>1523.78</v>
      </c>
      <c r="H3202" t="s">
        <v>81</v>
      </c>
    </row>
    <row r="3203" spans="1:8" x14ac:dyDescent="0.35">
      <c r="A3203">
        <v>1183</v>
      </c>
      <c r="B3203">
        <v>3</v>
      </c>
      <c r="C3203">
        <v>6</v>
      </c>
      <c r="D3203">
        <v>2</v>
      </c>
      <c r="E3203">
        <v>469.99</v>
      </c>
      <c r="F3203">
        <v>0.1</v>
      </c>
      <c r="G3203">
        <v>939.93</v>
      </c>
      <c r="H3203" t="s">
        <v>11</v>
      </c>
    </row>
    <row r="3204" spans="1:8" x14ac:dyDescent="0.35">
      <c r="A3204">
        <v>1184</v>
      </c>
      <c r="B3204">
        <v>1</v>
      </c>
      <c r="C3204">
        <v>16</v>
      </c>
      <c r="D3204">
        <v>2</v>
      </c>
      <c r="E3204">
        <v>599.99</v>
      </c>
      <c r="F3204">
        <v>0.1</v>
      </c>
      <c r="G3204">
        <v>1199.93</v>
      </c>
      <c r="H3204" t="s">
        <v>21</v>
      </c>
    </row>
    <row r="3205" spans="1:8" x14ac:dyDescent="0.35">
      <c r="A3205">
        <v>1184</v>
      </c>
      <c r="B3205">
        <v>2</v>
      </c>
      <c r="C3205">
        <v>71</v>
      </c>
      <c r="D3205">
        <v>1</v>
      </c>
      <c r="E3205">
        <v>416.99</v>
      </c>
      <c r="F3205">
        <v>0.1</v>
      </c>
      <c r="G3205">
        <v>416.94</v>
      </c>
      <c r="H3205" t="s">
        <v>72</v>
      </c>
    </row>
    <row r="3206" spans="1:8" x14ac:dyDescent="0.35">
      <c r="A3206">
        <v>1185</v>
      </c>
      <c r="B3206">
        <v>1</v>
      </c>
      <c r="C3206">
        <v>19</v>
      </c>
      <c r="D3206">
        <v>2</v>
      </c>
      <c r="E3206">
        <v>449</v>
      </c>
      <c r="F3206">
        <v>0.1</v>
      </c>
      <c r="G3206">
        <v>897.93</v>
      </c>
      <c r="H3206" t="s">
        <v>24</v>
      </c>
    </row>
    <row r="3207" spans="1:8" x14ac:dyDescent="0.35">
      <c r="A3207">
        <v>1185</v>
      </c>
      <c r="B3207">
        <v>2</v>
      </c>
      <c r="C3207">
        <v>21</v>
      </c>
      <c r="D3207">
        <v>1</v>
      </c>
      <c r="E3207">
        <v>269.99</v>
      </c>
      <c r="F3207">
        <v>0.1</v>
      </c>
      <c r="G3207">
        <v>269.92</v>
      </c>
      <c r="H3207" t="s">
        <v>18</v>
      </c>
    </row>
    <row r="3208" spans="1:8" x14ac:dyDescent="0.35">
      <c r="A3208">
        <v>1185</v>
      </c>
      <c r="B3208">
        <v>3</v>
      </c>
      <c r="C3208">
        <v>63</v>
      </c>
      <c r="D3208">
        <v>2</v>
      </c>
      <c r="E3208">
        <v>3499.99</v>
      </c>
      <c r="F3208">
        <v>0.1</v>
      </c>
      <c r="G3208">
        <v>6999.88</v>
      </c>
      <c r="H3208" t="s">
        <v>64</v>
      </c>
    </row>
    <row r="3209" spans="1:8" x14ac:dyDescent="0.35">
      <c r="A3209">
        <v>1185</v>
      </c>
      <c r="B3209">
        <v>4</v>
      </c>
      <c r="C3209">
        <v>80</v>
      </c>
      <c r="D3209">
        <v>1</v>
      </c>
      <c r="E3209">
        <v>761.99</v>
      </c>
      <c r="F3209">
        <v>0.2</v>
      </c>
      <c r="G3209">
        <v>761.79</v>
      </c>
      <c r="H3209" t="s">
        <v>81</v>
      </c>
    </row>
    <row r="3210" spans="1:8" x14ac:dyDescent="0.35">
      <c r="A3210">
        <v>1186</v>
      </c>
      <c r="B3210">
        <v>1</v>
      </c>
      <c r="C3210">
        <v>48</v>
      </c>
      <c r="D3210">
        <v>2</v>
      </c>
      <c r="E3210">
        <v>1499.99</v>
      </c>
      <c r="F3210">
        <v>0.1</v>
      </c>
      <c r="G3210">
        <v>2999.88</v>
      </c>
      <c r="H3210" t="s">
        <v>49</v>
      </c>
    </row>
    <row r="3211" spans="1:8" x14ac:dyDescent="0.35">
      <c r="A3211">
        <v>1186</v>
      </c>
      <c r="B3211">
        <v>2</v>
      </c>
      <c r="C3211">
        <v>49</v>
      </c>
      <c r="D3211">
        <v>1</v>
      </c>
      <c r="E3211">
        <v>3499.99</v>
      </c>
      <c r="F3211">
        <v>0.1</v>
      </c>
      <c r="G3211">
        <v>3499.92</v>
      </c>
      <c r="H3211" t="s">
        <v>50</v>
      </c>
    </row>
    <row r="3212" spans="1:8" x14ac:dyDescent="0.35">
      <c r="A3212">
        <v>1186</v>
      </c>
      <c r="B3212">
        <v>3</v>
      </c>
      <c r="C3212">
        <v>106</v>
      </c>
      <c r="D3212">
        <v>1</v>
      </c>
      <c r="E3212">
        <v>449.99</v>
      </c>
      <c r="F3212">
        <v>0.1</v>
      </c>
      <c r="G3212">
        <v>449.89</v>
      </c>
      <c r="H3212" t="s">
        <v>69</v>
      </c>
    </row>
    <row r="3213" spans="1:8" x14ac:dyDescent="0.35">
      <c r="A3213">
        <v>1186</v>
      </c>
      <c r="B3213">
        <v>4</v>
      </c>
      <c r="C3213">
        <v>27</v>
      </c>
      <c r="D3213">
        <v>1</v>
      </c>
      <c r="E3213">
        <v>999.99</v>
      </c>
      <c r="F3213">
        <v>0.2</v>
      </c>
      <c r="G3213">
        <v>999.79</v>
      </c>
      <c r="H3213" t="s">
        <v>28</v>
      </c>
    </row>
    <row r="3214" spans="1:8" x14ac:dyDescent="0.35">
      <c r="A3214">
        <v>1187</v>
      </c>
      <c r="B3214">
        <v>1</v>
      </c>
      <c r="C3214">
        <v>36</v>
      </c>
      <c r="D3214">
        <v>2</v>
      </c>
      <c r="E3214">
        <v>832.99</v>
      </c>
      <c r="F3214">
        <v>0.1</v>
      </c>
      <c r="G3214">
        <v>1665.88</v>
      </c>
      <c r="H3214" t="s">
        <v>37</v>
      </c>
    </row>
    <row r="3215" spans="1:8" x14ac:dyDescent="0.35">
      <c r="A3215">
        <v>1187</v>
      </c>
      <c r="B3215">
        <v>2</v>
      </c>
      <c r="C3215">
        <v>79</v>
      </c>
      <c r="D3215">
        <v>1</v>
      </c>
      <c r="E3215">
        <v>402.99</v>
      </c>
      <c r="F3215">
        <v>0.1</v>
      </c>
      <c r="G3215">
        <v>402.92</v>
      </c>
      <c r="H3215" t="s">
        <v>80</v>
      </c>
    </row>
    <row r="3216" spans="1:8" x14ac:dyDescent="0.35">
      <c r="A3216">
        <v>1187</v>
      </c>
      <c r="B3216">
        <v>3</v>
      </c>
      <c r="C3216">
        <v>4</v>
      </c>
      <c r="D3216">
        <v>1</v>
      </c>
      <c r="E3216">
        <v>2899.99</v>
      </c>
      <c r="F3216">
        <v>0.1</v>
      </c>
      <c r="G3216">
        <v>2899.89</v>
      </c>
      <c r="H3216" t="s">
        <v>9</v>
      </c>
    </row>
    <row r="3217" spans="1:8" x14ac:dyDescent="0.35">
      <c r="A3217">
        <v>1187</v>
      </c>
      <c r="B3217">
        <v>4</v>
      </c>
      <c r="C3217">
        <v>53</v>
      </c>
      <c r="D3217">
        <v>2</v>
      </c>
      <c r="E3217">
        <v>749.99</v>
      </c>
      <c r="F3217">
        <v>0.1</v>
      </c>
      <c r="G3217">
        <v>1499.88</v>
      </c>
      <c r="H3217" t="s">
        <v>54</v>
      </c>
    </row>
    <row r="3218" spans="1:8" x14ac:dyDescent="0.35">
      <c r="A3218">
        <v>1188</v>
      </c>
      <c r="B3218">
        <v>1</v>
      </c>
      <c r="C3218">
        <v>66</v>
      </c>
      <c r="D3218">
        <v>2</v>
      </c>
      <c r="E3218">
        <v>250.99</v>
      </c>
      <c r="F3218">
        <v>0.1</v>
      </c>
      <c r="G3218">
        <v>501.88</v>
      </c>
      <c r="H3218" t="s">
        <v>67</v>
      </c>
    </row>
    <row r="3219" spans="1:8" x14ac:dyDescent="0.35">
      <c r="A3219">
        <v>1188</v>
      </c>
      <c r="B3219">
        <v>2</v>
      </c>
      <c r="C3219">
        <v>91</v>
      </c>
      <c r="D3219">
        <v>2</v>
      </c>
      <c r="E3219">
        <v>349.99</v>
      </c>
      <c r="F3219">
        <v>0.2</v>
      </c>
      <c r="G3219">
        <v>699.78</v>
      </c>
      <c r="H3219" t="s">
        <v>92</v>
      </c>
    </row>
    <row r="3220" spans="1:8" x14ac:dyDescent="0.35">
      <c r="A3220">
        <v>1188</v>
      </c>
      <c r="B3220">
        <v>3</v>
      </c>
      <c r="C3220">
        <v>87</v>
      </c>
      <c r="D3220">
        <v>2</v>
      </c>
      <c r="E3220">
        <v>189.99</v>
      </c>
      <c r="F3220">
        <v>0.1</v>
      </c>
      <c r="G3220">
        <v>379.88</v>
      </c>
      <c r="H3220" t="s">
        <v>88</v>
      </c>
    </row>
    <row r="3221" spans="1:8" x14ac:dyDescent="0.35">
      <c r="A3221">
        <v>1189</v>
      </c>
      <c r="B3221">
        <v>1</v>
      </c>
      <c r="C3221">
        <v>55</v>
      </c>
      <c r="D3221">
        <v>1</v>
      </c>
      <c r="E3221">
        <v>2699.99</v>
      </c>
      <c r="F3221">
        <v>0.1</v>
      </c>
      <c r="G3221">
        <v>2699.92</v>
      </c>
      <c r="H3221" t="s">
        <v>56</v>
      </c>
    </row>
    <row r="3222" spans="1:8" x14ac:dyDescent="0.35">
      <c r="A3222">
        <v>1189</v>
      </c>
      <c r="B3222">
        <v>2</v>
      </c>
      <c r="C3222">
        <v>102</v>
      </c>
      <c r="D3222">
        <v>2</v>
      </c>
      <c r="E3222">
        <v>489.99</v>
      </c>
      <c r="F3222">
        <v>0.1</v>
      </c>
      <c r="G3222">
        <v>979.88</v>
      </c>
      <c r="H3222" t="s">
        <v>65</v>
      </c>
    </row>
    <row r="3223" spans="1:8" x14ac:dyDescent="0.35">
      <c r="A3223">
        <v>1189</v>
      </c>
      <c r="B3223">
        <v>3</v>
      </c>
      <c r="C3223">
        <v>40</v>
      </c>
      <c r="D3223">
        <v>2</v>
      </c>
      <c r="E3223">
        <v>4999.99</v>
      </c>
      <c r="F3223">
        <v>0.1</v>
      </c>
      <c r="G3223">
        <v>9999.8799999999992</v>
      </c>
      <c r="H3223" t="s">
        <v>41</v>
      </c>
    </row>
    <row r="3224" spans="1:8" x14ac:dyDescent="0.35">
      <c r="A3224">
        <v>1191</v>
      </c>
      <c r="B3224">
        <v>1</v>
      </c>
      <c r="C3224">
        <v>40</v>
      </c>
      <c r="D3224">
        <v>2</v>
      </c>
      <c r="E3224">
        <v>4999.99</v>
      </c>
      <c r="F3224">
        <v>0.1</v>
      </c>
      <c r="G3224">
        <v>9999.8799999999992</v>
      </c>
      <c r="H3224" t="s">
        <v>41</v>
      </c>
    </row>
    <row r="3225" spans="1:8" x14ac:dyDescent="0.35">
      <c r="A3225">
        <v>1191</v>
      </c>
      <c r="B3225">
        <v>2</v>
      </c>
      <c r="C3225">
        <v>89</v>
      </c>
      <c r="D3225">
        <v>2</v>
      </c>
      <c r="E3225">
        <v>209.99</v>
      </c>
      <c r="F3225">
        <v>0.1</v>
      </c>
      <c r="G3225">
        <v>419.88</v>
      </c>
      <c r="H3225" t="s">
        <v>90</v>
      </c>
    </row>
    <row r="3226" spans="1:8" x14ac:dyDescent="0.35">
      <c r="A3226">
        <v>1191</v>
      </c>
      <c r="B3226">
        <v>3</v>
      </c>
      <c r="C3226">
        <v>100</v>
      </c>
      <c r="D3226">
        <v>1</v>
      </c>
      <c r="E3226">
        <v>489.99</v>
      </c>
      <c r="F3226">
        <v>0.1</v>
      </c>
      <c r="G3226">
        <v>489.92</v>
      </c>
      <c r="H3226" t="s">
        <v>100</v>
      </c>
    </row>
    <row r="3227" spans="1:8" x14ac:dyDescent="0.35">
      <c r="A3227">
        <v>1192</v>
      </c>
      <c r="B3227">
        <v>1</v>
      </c>
      <c r="C3227">
        <v>24</v>
      </c>
      <c r="D3227">
        <v>2</v>
      </c>
      <c r="E3227">
        <v>549.99</v>
      </c>
      <c r="F3227">
        <v>0.1</v>
      </c>
      <c r="G3227">
        <v>1099.8800000000001</v>
      </c>
      <c r="H3227" t="s">
        <v>17</v>
      </c>
    </row>
    <row r="3228" spans="1:8" x14ac:dyDescent="0.35">
      <c r="A3228">
        <v>1192</v>
      </c>
      <c r="B3228">
        <v>2</v>
      </c>
      <c r="C3228">
        <v>88</v>
      </c>
      <c r="D3228">
        <v>2</v>
      </c>
      <c r="E3228">
        <v>189.99</v>
      </c>
      <c r="F3228">
        <v>0.1</v>
      </c>
      <c r="G3228">
        <v>379.91</v>
      </c>
      <c r="H3228" t="s">
        <v>89</v>
      </c>
    </row>
    <row r="3229" spans="1:8" x14ac:dyDescent="0.35">
      <c r="A3229">
        <v>1192</v>
      </c>
      <c r="B3229">
        <v>3</v>
      </c>
      <c r="C3229">
        <v>37</v>
      </c>
      <c r="D3229">
        <v>2</v>
      </c>
      <c r="E3229">
        <v>379.99</v>
      </c>
      <c r="F3229">
        <v>0.2</v>
      </c>
      <c r="G3229">
        <v>759.78</v>
      </c>
      <c r="H3229" t="s">
        <v>38</v>
      </c>
    </row>
    <row r="3230" spans="1:8" x14ac:dyDescent="0.35">
      <c r="A3230">
        <v>1193</v>
      </c>
      <c r="B3230">
        <v>1</v>
      </c>
      <c r="C3230">
        <v>83</v>
      </c>
      <c r="D3230">
        <v>2</v>
      </c>
      <c r="E3230">
        <v>149.99</v>
      </c>
      <c r="F3230">
        <v>0.1</v>
      </c>
      <c r="G3230">
        <v>299.93</v>
      </c>
      <c r="H3230" t="s">
        <v>84</v>
      </c>
    </row>
    <row r="3231" spans="1:8" x14ac:dyDescent="0.35">
      <c r="A3231">
        <v>1193</v>
      </c>
      <c r="B3231">
        <v>2</v>
      </c>
      <c r="C3231">
        <v>27</v>
      </c>
      <c r="D3231">
        <v>1</v>
      </c>
      <c r="E3231">
        <v>999.99</v>
      </c>
      <c r="F3231">
        <v>0.1</v>
      </c>
      <c r="G3231">
        <v>999.94</v>
      </c>
      <c r="H3231" t="s">
        <v>28</v>
      </c>
    </row>
    <row r="3232" spans="1:8" x14ac:dyDescent="0.35">
      <c r="A3232">
        <v>1194</v>
      </c>
      <c r="B3232">
        <v>1</v>
      </c>
      <c r="C3232">
        <v>71</v>
      </c>
      <c r="D3232">
        <v>1</v>
      </c>
      <c r="E3232">
        <v>416.99</v>
      </c>
      <c r="F3232">
        <v>0.1</v>
      </c>
      <c r="G3232">
        <v>416.94</v>
      </c>
      <c r="H3232" t="s">
        <v>72</v>
      </c>
    </row>
    <row r="3233" spans="1:8" x14ac:dyDescent="0.35">
      <c r="A3233">
        <v>1194</v>
      </c>
      <c r="B3233">
        <v>2</v>
      </c>
      <c r="C3233">
        <v>7</v>
      </c>
      <c r="D3233">
        <v>2</v>
      </c>
      <c r="E3233">
        <v>3999.99</v>
      </c>
      <c r="F3233">
        <v>0.1</v>
      </c>
      <c r="G3233">
        <v>7999.91</v>
      </c>
      <c r="H3233" t="s">
        <v>12</v>
      </c>
    </row>
    <row r="3234" spans="1:8" x14ac:dyDescent="0.35">
      <c r="A3234">
        <v>1194</v>
      </c>
      <c r="B3234">
        <v>3</v>
      </c>
      <c r="C3234">
        <v>105</v>
      </c>
      <c r="D3234">
        <v>2</v>
      </c>
      <c r="E3234">
        <v>533.99</v>
      </c>
      <c r="F3234">
        <v>0.1</v>
      </c>
      <c r="G3234">
        <v>1067.8800000000001</v>
      </c>
      <c r="H3234" t="s">
        <v>104</v>
      </c>
    </row>
    <row r="3235" spans="1:8" x14ac:dyDescent="0.35">
      <c r="A3235">
        <v>1194</v>
      </c>
      <c r="B3235">
        <v>4</v>
      </c>
      <c r="C3235">
        <v>84</v>
      </c>
      <c r="D3235">
        <v>1</v>
      </c>
      <c r="E3235">
        <v>109.99</v>
      </c>
      <c r="F3235">
        <v>0.1</v>
      </c>
      <c r="G3235">
        <v>109.94</v>
      </c>
      <c r="H3235" t="s">
        <v>85</v>
      </c>
    </row>
    <row r="3236" spans="1:8" x14ac:dyDescent="0.35">
      <c r="A3236">
        <v>1197</v>
      </c>
      <c r="B3236">
        <v>1</v>
      </c>
      <c r="C3236">
        <v>13</v>
      </c>
      <c r="D3236">
        <v>1</v>
      </c>
      <c r="E3236">
        <v>269.99</v>
      </c>
      <c r="F3236">
        <v>0.1</v>
      </c>
      <c r="G3236">
        <v>269.92</v>
      </c>
      <c r="H3236" t="s">
        <v>18</v>
      </c>
    </row>
    <row r="3237" spans="1:8" x14ac:dyDescent="0.35">
      <c r="A3237">
        <v>1197</v>
      </c>
      <c r="B3237">
        <v>2</v>
      </c>
      <c r="C3237">
        <v>108</v>
      </c>
      <c r="D3237">
        <v>2</v>
      </c>
      <c r="E3237">
        <v>449.99</v>
      </c>
      <c r="F3237">
        <v>0.1</v>
      </c>
      <c r="G3237">
        <v>899.93</v>
      </c>
      <c r="H3237" t="s">
        <v>105</v>
      </c>
    </row>
    <row r="3238" spans="1:8" x14ac:dyDescent="0.35">
      <c r="A3238">
        <v>1197</v>
      </c>
      <c r="B3238">
        <v>3</v>
      </c>
      <c r="C3238">
        <v>9</v>
      </c>
      <c r="D3238">
        <v>2</v>
      </c>
      <c r="E3238">
        <v>2999.99</v>
      </c>
      <c r="F3238">
        <v>0.1</v>
      </c>
      <c r="G3238">
        <v>5999.93</v>
      </c>
      <c r="H3238" t="s">
        <v>14</v>
      </c>
    </row>
    <row r="3239" spans="1:8" x14ac:dyDescent="0.35">
      <c r="A3239">
        <v>1197</v>
      </c>
      <c r="B3239">
        <v>4</v>
      </c>
      <c r="C3239">
        <v>106</v>
      </c>
      <c r="D3239">
        <v>2</v>
      </c>
      <c r="E3239">
        <v>449.99</v>
      </c>
      <c r="F3239">
        <v>0.2</v>
      </c>
      <c r="G3239">
        <v>899.78</v>
      </c>
      <c r="H3239" t="s">
        <v>69</v>
      </c>
    </row>
    <row r="3240" spans="1:8" x14ac:dyDescent="0.35">
      <c r="A3240">
        <v>1199</v>
      </c>
      <c r="B3240">
        <v>1</v>
      </c>
      <c r="C3240">
        <v>32</v>
      </c>
      <c r="D3240">
        <v>1</v>
      </c>
      <c r="E3240">
        <v>469.99</v>
      </c>
      <c r="F3240">
        <v>0.1</v>
      </c>
      <c r="G3240">
        <v>469.94</v>
      </c>
      <c r="H3240" t="s">
        <v>33</v>
      </c>
    </row>
    <row r="3241" spans="1:8" x14ac:dyDescent="0.35">
      <c r="A3241">
        <v>1199</v>
      </c>
      <c r="B3241">
        <v>2</v>
      </c>
      <c r="C3241">
        <v>94</v>
      </c>
      <c r="D3241">
        <v>2</v>
      </c>
      <c r="E3241">
        <v>249.99</v>
      </c>
      <c r="F3241">
        <v>0.1</v>
      </c>
      <c r="G3241">
        <v>499.91</v>
      </c>
      <c r="H3241" t="s">
        <v>95</v>
      </c>
    </row>
    <row r="3242" spans="1:8" x14ac:dyDescent="0.35">
      <c r="A3242">
        <v>1199</v>
      </c>
      <c r="B3242">
        <v>3</v>
      </c>
      <c r="C3242">
        <v>109</v>
      </c>
      <c r="D3242">
        <v>2</v>
      </c>
      <c r="E3242">
        <v>416.99</v>
      </c>
      <c r="F3242">
        <v>0.1</v>
      </c>
      <c r="G3242">
        <v>833.88</v>
      </c>
      <c r="H3242" t="s">
        <v>106</v>
      </c>
    </row>
    <row r="3243" spans="1:8" x14ac:dyDescent="0.35">
      <c r="A3243">
        <v>1201</v>
      </c>
      <c r="B3243">
        <v>1</v>
      </c>
      <c r="C3243">
        <v>95</v>
      </c>
      <c r="D3243">
        <v>1</v>
      </c>
      <c r="E3243">
        <v>299.99</v>
      </c>
      <c r="F3243">
        <v>0.1</v>
      </c>
      <c r="G3243">
        <v>299.92</v>
      </c>
      <c r="H3243" t="s">
        <v>77</v>
      </c>
    </row>
    <row r="3244" spans="1:8" x14ac:dyDescent="0.35">
      <c r="A3244">
        <v>1201</v>
      </c>
      <c r="B3244">
        <v>2</v>
      </c>
      <c r="C3244">
        <v>13</v>
      </c>
      <c r="D3244">
        <v>1</v>
      </c>
      <c r="E3244">
        <v>269.99</v>
      </c>
      <c r="F3244">
        <v>0.1</v>
      </c>
      <c r="G3244">
        <v>269.94</v>
      </c>
      <c r="H3244" t="s">
        <v>18</v>
      </c>
    </row>
    <row r="3245" spans="1:8" x14ac:dyDescent="0.35">
      <c r="A3245">
        <v>1201</v>
      </c>
      <c r="B3245">
        <v>3</v>
      </c>
      <c r="C3245">
        <v>26</v>
      </c>
      <c r="D3245">
        <v>1</v>
      </c>
      <c r="E3245">
        <v>599.99</v>
      </c>
      <c r="F3245">
        <v>0.2</v>
      </c>
      <c r="G3245">
        <v>599.79</v>
      </c>
      <c r="H3245" t="s">
        <v>21</v>
      </c>
    </row>
    <row r="3246" spans="1:8" x14ac:dyDescent="0.35">
      <c r="A3246">
        <v>1201</v>
      </c>
      <c r="B3246">
        <v>4</v>
      </c>
      <c r="C3246">
        <v>17</v>
      </c>
      <c r="D3246">
        <v>2</v>
      </c>
      <c r="E3246">
        <v>429</v>
      </c>
      <c r="F3246">
        <v>0.1</v>
      </c>
      <c r="G3246">
        <v>857.95</v>
      </c>
      <c r="H3246" t="s">
        <v>22</v>
      </c>
    </row>
    <row r="3247" spans="1:8" x14ac:dyDescent="0.35">
      <c r="A3247">
        <v>1201</v>
      </c>
      <c r="B3247">
        <v>5</v>
      </c>
      <c r="C3247">
        <v>19</v>
      </c>
      <c r="D3247">
        <v>2</v>
      </c>
      <c r="E3247">
        <v>449</v>
      </c>
      <c r="F3247">
        <v>0.2</v>
      </c>
      <c r="G3247">
        <v>897.8</v>
      </c>
      <c r="H3247" t="s">
        <v>24</v>
      </c>
    </row>
    <row r="3248" spans="1:8" x14ac:dyDescent="0.35">
      <c r="A3248">
        <v>1203</v>
      </c>
      <c r="B3248">
        <v>1</v>
      </c>
      <c r="C3248">
        <v>6</v>
      </c>
      <c r="D3248">
        <v>2</v>
      </c>
      <c r="E3248">
        <v>469.99</v>
      </c>
      <c r="F3248">
        <v>0.1</v>
      </c>
      <c r="G3248">
        <v>939.91</v>
      </c>
      <c r="H3248" t="s">
        <v>11</v>
      </c>
    </row>
    <row r="3249" spans="1:8" x14ac:dyDescent="0.35">
      <c r="A3249">
        <v>1203</v>
      </c>
      <c r="B3249">
        <v>2</v>
      </c>
      <c r="C3249">
        <v>55</v>
      </c>
      <c r="D3249">
        <v>1</v>
      </c>
      <c r="E3249">
        <v>2699.99</v>
      </c>
      <c r="F3249">
        <v>0.1</v>
      </c>
      <c r="G3249">
        <v>2699.94</v>
      </c>
      <c r="H3249" t="s">
        <v>56</v>
      </c>
    </row>
    <row r="3250" spans="1:8" x14ac:dyDescent="0.35">
      <c r="A3250">
        <v>1205</v>
      </c>
      <c r="B3250">
        <v>1</v>
      </c>
      <c r="C3250">
        <v>105</v>
      </c>
      <c r="D3250">
        <v>2</v>
      </c>
      <c r="E3250">
        <v>533.99</v>
      </c>
      <c r="F3250">
        <v>0.2</v>
      </c>
      <c r="G3250">
        <v>1067.78</v>
      </c>
      <c r="H3250" t="s">
        <v>104</v>
      </c>
    </row>
    <row r="3251" spans="1:8" x14ac:dyDescent="0.35">
      <c r="A3251">
        <v>1205</v>
      </c>
      <c r="B3251">
        <v>2</v>
      </c>
      <c r="C3251">
        <v>46</v>
      </c>
      <c r="D3251">
        <v>2</v>
      </c>
      <c r="E3251">
        <v>1409.99</v>
      </c>
      <c r="F3251">
        <v>0.2</v>
      </c>
      <c r="G3251">
        <v>2819.78</v>
      </c>
      <c r="H3251" t="s">
        <v>47</v>
      </c>
    </row>
    <row r="3252" spans="1:8" x14ac:dyDescent="0.35">
      <c r="A3252">
        <v>1205</v>
      </c>
      <c r="B3252">
        <v>3</v>
      </c>
      <c r="C3252">
        <v>71</v>
      </c>
      <c r="D3252">
        <v>1</v>
      </c>
      <c r="E3252">
        <v>416.99</v>
      </c>
      <c r="F3252">
        <v>0.1</v>
      </c>
      <c r="G3252">
        <v>416.94</v>
      </c>
      <c r="H3252" t="s">
        <v>72</v>
      </c>
    </row>
    <row r="3253" spans="1:8" x14ac:dyDescent="0.35">
      <c r="A3253">
        <v>1205</v>
      </c>
      <c r="B3253">
        <v>4</v>
      </c>
      <c r="C3253">
        <v>79</v>
      </c>
      <c r="D3253">
        <v>2</v>
      </c>
      <c r="E3253">
        <v>402.99</v>
      </c>
      <c r="F3253">
        <v>0.1</v>
      </c>
      <c r="G3253">
        <v>805.91</v>
      </c>
      <c r="H3253" t="s">
        <v>80</v>
      </c>
    </row>
    <row r="3254" spans="1:8" x14ac:dyDescent="0.35">
      <c r="A3254">
        <v>1205</v>
      </c>
      <c r="B3254">
        <v>5</v>
      </c>
      <c r="C3254">
        <v>92</v>
      </c>
      <c r="D3254">
        <v>1</v>
      </c>
      <c r="E3254">
        <v>209.99</v>
      </c>
      <c r="F3254">
        <v>0.1</v>
      </c>
      <c r="G3254">
        <v>209.89</v>
      </c>
      <c r="H3254" t="s">
        <v>93</v>
      </c>
    </row>
    <row r="3255" spans="1:8" x14ac:dyDescent="0.35">
      <c r="A3255">
        <v>1206</v>
      </c>
      <c r="B3255">
        <v>1</v>
      </c>
      <c r="C3255">
        <v>73</v>
      </c>
      <c r="D3255">
        <v>1</v>
      </c>
      <c r="E3255">
        <v>749.99</v>
      </c>
      <c r="F3255">
        <v>0.1</v>
      </c>
      <c r="G3255">
        <v>749.92</v>
      </c>
      <c r="H3255" t="s">
        <v>74</v>
      </c>
    </row>
    <row r="3256" spans="1:8" x14ac:dyDescent="0.35">
      <c r="A3256">
        <v>1206</v>
      </c>
      <c r="B3256">
        <v>2</v>
      </c>
      <c r="C3256">
        <v>29</v>
      </c>
      <c r="D3256">
        <v>1</v>
      </c>
      <c r="E3256">
        <v>999.99</v>
      </c>
      <c r="F3256">
        <v>0.2</v>
      </c>
      <c r="G3256">
        <v>999.79</v>
      </c>
      <c r="H3256" t="s">
        <v>30</v>
      </c>
    </row>
    <row r="3257" spans="1:8" x14ac:dyDescent="0.35">
      <c r="A3257">
        <v>1207</v>
      </c>
      <c r="B3257">
        <v>1</v>
      </c>
      <c r="C3257">
        <v>104</v>
      </c>
      <c r="D3257">
        <v>1</v>
      </c>
      <c r="E3257">
        <v>481.99</v>
      </c>
      <c r="F3257">
        <v>0.1</v>
      </c>
      <c r="G3257">
        <v>481.94</v>
      </c>
      <c r="H3257" t="s">
        <v>103</v>
      </c>
    </row>
    <row r="3258" spans="1:8" x14ac:dyDescent="0.35">
      <c r="A3258">
        <v>1207</v>
      </c>
      <c r="B3258">
        <v>2</v>
      </c>
      <c r="C3258">
        <v>103</v>
      </c>
      <c r="D3258">
        <v>1</v>
      </c>
      <c r="E3258">
        <v>551.99</v>
      </c>
      <c r="F3258">
        <v>0.1</v>
      </c>
      <c r="G3258">
        <v>551.89</v>
      </c>
      <c r="H3258" t="s">
        <v>102</v>
      </c>
    </row>
    <row r="3259" spans="1:8" x14ac:dyDescent="0.35">
      <c r="A3259">
        <v>1207</v>
      </c>
      <c r="B3259">
        <v>3</v>
      </c>
      <c r="C3259">
        <v>23</v>
      </c>
      <c r="D3259">
        <v>1</v>
      </c>
      <c r="E3259">
        <v>299.99</v>
      </c>
      <c r="F3259">
        <v>0.1</v>
      </c>
      <c r="G3259">
        <v>299.92</v>
      </c>
      <c r="H3259" t="s">
        <v>26</v>
      </c>
    </row>
    <row r="3260" spans="1:8" x14ac:dyDescent="0.35">
      <c r="A3260">
        <v>1208</v>
      </c>
      <c r="B3260">
        <v>1</v>
      </c>
      <c r="C3260">
        <v>12</v>
      </c>
      <c r="D3260">
        <v>1</v>
      </c>
      <c r="E3260">
        <v>549.99</v>
      </c>
      <c r="F3260">
        <v>0.2</v>
      </c>
      <c r="G3260">
        <v>549.79</v>
      </c>
      <c r="H3260" t="s">
        <v>17</v>
      </c>
    </row>
    <row r="3261" spans="1:8" x14ac:dyDescent="0.35">
      <c r="A3261">
        <v>1208</v>
      </c>
      <c r="B3261">
        <v>2</v>
      </c>
      <c r="C3261">
        <v>65</v>
      </c>
      <c r="D3261">
        <v>2</v>
      </c>
      <c r="E3261">
        <v>346.99</v>
      </c>
      <c r="F3261">
        <v>0.1</v>
      </c>
      <c r="G3261">
        <v>693.91</v>
      </c>
      <c r="H3261" t="s">
        <v>66</v>
      </c>
    </row>
    <row r="3262" spans="1:8" x14ac:dyDescent="0.35">
      <c r="A3262">
        <v>1208</v>
      </c>
      <c r="B3262">
        <v>3</v>
      </c>
      <c r="C3262">
        <v>86</v>
      </c>
      <c r="D3262">
        <v>2</v>
      </c>
      <c r="E3262">
        <v>149.99</v>
      </c>
      <c r="F3262">
        <v>0.2</v>
      </c>
      <c r="G3262">
        <v>299.77999999999997</v>
      </c>
      <c r="H3262" t="s">
        <v>87</v>
      </c>
    </row>
    <row r="3263" spans="1:8" x14ac:dyDescent="0.35">
      <c r="A3263">
        <v>1208</v>
      </c>
      <c r="B3263">
        <v>4</v>
      </c>
      <c r="C3263">
        <v>13</v>
      </c>
      <c r="D3263">
        <v>2</v>
      </c>
      <c r="E3263">
        <v>269.99</v>
      </c>
      <c r="F3263">
        <v>0.1</v>
      </c>
      <c r="G3263">
        <v>539.88</v>
      </c>
      <c r="H3263" t="s">
        <v>18</v>
      </c>
    </row>
    <row r="3264" spans="1:8" x14ac:dyDescent="0.35">
      <c r="A3264">
        <v>1208</v>
      </c>
      <c r="B3264">
        <v>5</v>
      </c>
      <c r="C3264">
        <v>87</v>
      </c>
      <c r="D3264">
        <v>1</v>
      </c>
      <c r="E3264">
        <v>189.99</v>
      </c>
      <c r="F3264">
        <v>0.1</v>
      </c>
      <c r="G3264">
        <v>189.92</v>
      </c>
      <c r="H3264" t="s">
        <v>88</v>
      </c>
    </row>
    <row r="3265" spans="1:8" x14ac:dyDescent="0.35">
      <c r="A3265">
        <v>1209</v>
      </c>
      <c r="B3265">
        <v>1</v>
      </c>
      <c r="C3265">
        <v>89</v>
      </c>
      <c r="D3265">
        <v>1</v>
      </c>
      <c r="E3265">
        <v>209.99</v>
      </c>
      <c r="F3265">
        <v>0.1</v>
      </c>
      <c r="G3265">
        <v>209.92</v>
      </c>
      <c r="H3265" t="s">
        <v>90</v>
      </c>
    </row>
    <row r="3266" spans="1:8" x14ac:dyDescent="0.35">
      <c r="A3266">
        <v>1209</v>
      </c>
      <c r="B3266">
        <v>2</v>
      </c>
      <c r="C3266">
        <v>97</v>
      </c>
      <c r="D3266">
        <v>1</v>
      </c>
      <c r="E3266">
        <v>349.99</v>
      </c>
      <c r="F3266">
        <v>0.1</v>
      </c>
      <c r="G3266">
        <v>349.94</v>
      </c>
      <c r="H3266" t="s">
        <v>97</v>
      </c>
    </row>
    <row r="3267" spans="1:8" x14ac:dyDescent="0.35">
      <c r="A3267">
        <v>1210</v>
      </c>
      <c r="B3267">
        <v>1</v>
      </c>
      <c r="C3267">
        <v>26</v>
      </c>
      <c r="D3267">
        <v>1</v>
      </c>
      <c r="E3267">
        <v>599.99</v>
      </c>
      <c r="F3267">
        <v>0.1</v>
      </c>
      <c r="G3267">
        <v>599.89</v>
      </c>
      <c r="H3267" t="s">
        <v>21</v>
      </c>
    </row>
    <row r="3268" spans="1:8" x14ac:dyDescent="0.35">
      <c r="A3268">
        <v>1210</v>
      </c>
      <c r="B3268">
        <v>2</v>
      </c>
      <c r="C3268">
        <v>6</v>
      </c>
      <c r="D3268">
        <v>2</v>
      </c>
      <c r="E3268">
        <v>469.99</v>
      </c>
      <c r="F3268">
        <v>0.1</v>
      </c>
      <c r="G3268">
        <v>939.91</v>
      </c>
      <c r="H3268" t="s">
        <v>11</v>
      </c>
    </row>
    <row r="3269" spans="1:8" x14ac:dyDescent="0.35">
      <c r="A3269">
        <v>1210</v>
      </c>
      <c r="B3269">
        <v>3</v>
      </c>
      <c r="C3269">
        <v>78</v>
      </c>
      <c r="D3269">
        <v>2</v>
      </c>
      <c r="E3269">
        <v>647.99</v>
      </c>
      <c r="F3269">
        <v>0.1</v>
      </c>
      <c r="G3269">
        <v>1295.93</v>
      </c>
      <c r="H3269" t="s">
        <v>79</v>
      </c>
    </row>
    <row r="3270" spans="1:8" x14ac:dyDescent="0.35">
      <c r="A3270">
        <v>1210</v>
      </c>
      <c r="B3270">
        <v>4</v>
      </c>
      <c r="C3270">
        <v>84</v>
      </c>
      <c r="D3270">
        <v>1</v>
      </c>
      <c r="E3270">
        <v>109.99</v>
      </c>
      <c r="F3270">
        <v>0.1</v>
      </c>
      <c r="G3270">
        <v>109.89</v>
      </c>
      <c r="H3270" t="s">
        <v>85</v>
      </c>
    </row>
    <row r="3271" spans="1:8" x14ac:dyDescent="0.35">
      <c r="A3271">
        <v>1210</v>
      </c>
      <c r="B3271">
        <v>5</v>
      </c>
      <c r="C3271">
        <v>35</v>
      </c>
      <c r="D3271">
        <v>2</v>
      </c>
      <c r="E3271">
        <v>832.99</v>
      </c>
      <c r="F3271">
        <v>0.1</v>
      </c>
      <c r="G3271">
        <v>1665.93</v>
      </c>
      <c r="H3271" t="s">
        <v>36</v>
      </c>
    </row>
    <row r="3272" spans="1:8" x14ac:dyDescent="0.35">
      <c r="A3272">
        <v>1211</v>
      </c>
      <c r="B3272">
        <v>1</v>
      </c>
      <c r="C3272">
        <v>15</v>
      </c>
      <c r="D3272">
        <v>2</v>
      </c>
      <c r="E3272">
        <v>529.99</v>
      </c>
      <c r="F3272">
        <v>0.2</v>
      </c>
      <c r="G3272">
        <v>1059.78</v>
      </c>
      <c r="H3272" t="s">
        <v>20</v>
      </c>
    </row>
    <row r="3273" spans="1:8" x14ac:dyDescent="0.35">
      <c r="A3273">
        <v>1211</v>
      </c>
      <c r="B3273">
        <v>2</v>
      </c>
      <c r="C3273">
        <v>59</v>
      </c>
      <c r="D3273">
        <v>1</v>
      </c>
      <c r="E3273">
        <v>2599.9899999999998</v>
      </c>
      <c r="F3273">
        <v>0.1</v>
      </c>
      <c r="G3273">
        <v>2599.94</v>
      </c>
      <c r="H3273" t="s">
        <v>60</v>
      </c>
    </row>
    <row r="3274" spans="1:8" x14ac:dyDescent="0.35">
      <c r="A3274">
        <v>1211</v>
      </c>
      <c r="B3274">
        <v>3</v>
      </c>
      <c r="C3274">
        <v>92</v>
      </c>
      <c r="D3274">
        <v>1</v>
      </c>
      <c r="E3274">
        <v>209.99</v>
      </c>
      <c r="F3274">
        <v>0.2</v>
      </c>
      <c r="G3274">
        <v>209.79</v>
      </c>
      <c r="H3274" t="s">
        <v>93</v>
      </c>
    </row>
    <row r="3275" spans="1:8" x14ac:dyDescent="0.35">
      <c r="A3275">
        <v>1211</v>
      </c>
      <c r="B3275">
        <v>4</v>
      </c>
      <c r="C3275">
        <v>93</v>
      </c>
      <c r="D3275">
        <v>1</v>
      </c>
      <c r="E3275">
        <v>209.99</v>
      </c>
      <c r="F3275">
        <v>0.1</v>
      </c>
      <c r="G3275">
        <v>209.89</v>
      </c>
      <c r="H3275" t="s">
        <v>94</v>
      </c>
    </row>
    <row r="3276" spans="1:8" x14ac:dyDescent="0.35">
      <c r="A3276">
        <v>1211</v>
      </c>
      <c r="B3276">
        <v>5</v>
      </c>
      <c r="C3276">
        <v>108</v>
      </c>
      <c r="D3276">
        <v>2</v>
      </c>
      <c r="E3276">
        <v>449.99</v>
      </c>
      <c r="F3276">
        <v>0.2</v>
      </c>
      <c r="G3276">
        <v>899.78</v>
      </c>
      <c r="H3276" t="s">
        <v>105</v>
      </c>
    </row>
    <row r="3277" spans="1:8" x14ac:dyDescent="0.35">
      <c r="A3277">
        <v>1212</v>
      </c>
      <c r="B3277">
        <v>1</v>
      </c>
      <c r="C3277">
        <v>74</v>
      </c>
      <c r="D3277">
        <v>1</v>
      </c>
      <c r="E3277">
        <v>439.99</v>
      </c>
      <c r="F3277">
        <v>0.1</v>
      </c>
      <c r="G3277">
        <v>439.89</v>
      </c>
      <c r="H3277" t="s">
        <v>75</v>
      </c>
    </row>
    <row r="3278" spans="1:8" x14ac:dyDescent="0.35">
      <c r="A3278">
        <v>1212</v>
      </c>
      <c r="B3278">
        <v>2</v>
      </c>
      <c r="C3278">
        <v>37</v>
      </c>
      <c r="D3278">
        <v>2</v>
      </c>
      <c r="E3278">
        <v>379.99</v>
      </c>
      <c r="F3278">
        <v>0.1</v>
      </c>
      <c r="G3278">
        <v>759.91</v>
      </c>
      <c r="H3278" t="s">
        <v>38</v>
      </c>
    </row>
    <row r="3279" spans="1:8" x14ac:dyDescent="0.35">
      <c r="A3279">
        <v>1212</v>
      </c>
      <c r="B3279">
        <v>3</v>
      </c>
      <c r="C3279">
        <v>39</v>
      </c>
      <c r="D3279">
        <v>2</v>
      </c>
      <c r="E3279">
        <v>1499.99</v>
      </c>
      <c r="F3279">
        <v>0.1</v>
      </c>
      <c r="G3279">
        <v>2999.93</v>
      </c>
      <c r="H3279" t="s">
        <v>40</v>
      </c>
    </row>
    <row r="3280" spans="1:8" x14ac:dyDescent="0.35">
      <c r="A3280">
        <v>1212</v>
      </c>
      <c r="B3280">
        <v>4</v>
      </c>
      <c r="C3280">
        <v>68</v>
      </c>
      <c r="D3280">
        <v>2</v>
      </c>
      <c r="E3280">
        <v>449.99</v>
      </c>
      <c r="F3280">
        <v>0.1</v>
      </c>
      <c r="G3280">
        <v>899.91</v>
      </c>
      <c r="H3280" t="s">
        <v>69</v>
      </c>
    </row>
    <row r="3281" spans="1:8" x14ac:dyDescent="0.35">
      <c r="A3281">
        <v>1213</v>
      </c>
      <c r="B3281">
        <v>1</v>
      </c>
      <c r="C3281">
        <v>64</v>
      </c>
      <c r="D3281">
        <v>2</v>
      </c>
      <c r="E3281">
        <v>489.99</v>
      </c>
      <c r="F3281">
        <v>0.1</v>
      </c>
      <c r="G3281">
        <v>979.91</v>
      </c>
      <c r="H3281" t="s">
        <v>65</v>
      </c>
    </row>
    <row r="3282" spans="1:8" x14ac:dyDescent="0.35">
      <c r="A3282">
        <v>1213</v>
      </c>
      <c r="B3282">
        <v>2</v>
      </c>
      <c r="C3282">
        <v>78</v>
      </c>
      <c r="D3282">
        <v>1</v>
      </c>
      <c r="E3282">
        <v>647.99</v>
      </c>
      <c r="F3282">
        <v>0.1</v>
      </c>
      <c r="G3282">
        <v>647.91999999999996</v>
      </c>
      <c r="H3282" t="s">
        <v>79</v>
      </c>
    </row>
    <row r="3283" spans="1:8" x14ac:dyDescent="0.35">
      <c r="A3283">
        <v>1213</v>
      </c>
      <c r="B3283">
        <v>3</v>
      </c>
      <c r="C3283">
        <v>102</v>
      </c>
      <c r="D3283">
        <v>2</v>
      </c>
      <c r="E3283">
        <v>489.99</v>
      </c>
      <c r="F3283">
        <v>0.1</v>
      </c>
      <c r="G3283">
        <v>979.88</v>
      </c>
      <c r="H3283" t="s">
        <v>65</v>
      </c>
    </row>
    <row r="3284" spans="1:8" x14ac:dyDescent="0.35">
      <c r="A3284">
        <v>1213</v>
      </c>
      <c r="B3284">
        <v>4</v>
      </c>
      <c r="C3284">
        <v>15</v>
      </c>
      <c r="D3284">
        <v>1</v>
      </c>
      <c r="E3284">
        <v>529.99</v>
      </c>
      <c r="F3284">
        <v>0.1</v>
      </c>
      <c r="G3284">
        <v>529.94000000000005</v>
      </c>
      <c r="H3284" t="s">
        <v>20</v>
      </c>
    </row>
    <row r="3285" spans="1:8" x14ac:dyDescent="0.35">
      <c r="A3285">
        <v>1214</v>
      </c>
      <c r="B3285">
        <v>1</v>
      </c>
      <c r="C3285">
        <v>9</v>
      </c>
      <c r="D3285">
        <v>2</v>
      </c>
      <c r="E3285">
        <v>2999.99</v>
      </c>
      <c r="F3285">
        <v>0.1</v>
      </c>
      <c r="G3285">
        <v>5999.93</v>
      </c>
      <c r="H3285" t="s">
        <v>14</v>
      </c>
    </row>
    <row r="3286" spans="1:8" x14ac:dyDescent="0.35">
      <c r="A3286">
        <v>1214</v>
      </c>
      <c r="B3286">
        <v>2</v>
      </c>
      <c r="C3286">
        <v>7</v>
      </c>
      <c r="D3286">
        <v>1</v>
      </c>
      <c r="E3286">
        <v>3999.99</v>
      </c>
      <c r="F3286">
        <v>0.2</v>
      </c>
      <c r="G3286">
        <v>3999.79</v>
      </c>
      <c r="H3286" t="s">
        <v>12</v>
      </c>
    </row>
    <row r="3287" spans="1:8" x14ac:dyDescent="0.35">
      <c r="A3287">
        <v>1214</v>
      </c>
      <c r="B3287">
        <v>3</v>
      </c>
      <c r="C3287">
        <v>22</v>
      </c>
      <c r="D3287">
        <v>1</v>
      </c>
      <c r="E3287">
        <v>269.99</v>
      </c>
      <c r="F3287">
        <v>0.1</v>
      </c>
      <c r="G3287">
        <v>269.94</v>
      </c>
      <c r="H3287" t="s">
        <v>19</v>
      </c>
    </row>
    <row r="3288" spans="1:8" x14ac:dyDescent="0.35">
      <c r="A3288">
        <v>1214</v>
      </c>
      <c r="B3288">
        <v>4</v>
      </c>
      <c r="C3288">
        <v>77</v>
      </c>
      <c r="D3288">
        <v>2</v>
      </c>
      <c r="E3288">
        <v>799.99</v>
      </c>
      <c r="F3288">
        <v>0.1</v>
      </c>
      <c r="G3288">
        <v>1599.88</v>
      </c>
      <c r="H3288" t="s">
        <v>78</v>
      </c>
    </row>
    <row r="3289" spans="1:8" x14ac:dyDescent="0.35">
      <c r="A3289">
        <v>1214</v>
      </c>
      <c r="B3289">
        <v>5</v>
      </c>
      <c r="C3289">
        <v>67</v>
      </c>
      <c r="D3289">
        <v>2</v>
      </c>
      <c r="E3289">
        <v>250.99</v>
      </c>
      <c r="F3289">
        <v>0.2</v>
      </c>
      <c r="G3289">
        <v>501.78</v>
      </c>
      <c r="H3289" t="s">
        <v>68</v>
      </c>
    </row>
    <row r="3290" spans="1:8" x14ac:dyDescent="0.35">
      <c r="A3290">
        <v>1215</v>
      </c>
      <c r="B3290">
        <v>1</v>
      </c>
      <c r="C3290">
        <v>73</v>
      </c>
      <c r="D3290">
        <v>2</v>
      </c>
      <c r="E3290">
        <v>749.99</v>
      </c>
      <c r="F3290">
        <v>0.1</v>
      </c>
      <c r="G3290">
        <v>1499.88</v>
      </c>
      <c r="H3290" t="s">
        <v>74</v>
      </c>
    </row>
    <row r="3291" spans="1:8" x14ac:dyDescent="0.35">
      <c r="A3291">
        <v>1215</v>
      </c>
      <c r="B3291">
        <v>2</v>
      </c>
      <c r="C3291">
        <v>10</v>
      </c>
      <c r="D3291">
        <v>2</v>
      </c>
      <c r="E3291">
        <v>1549</v>
      </c>
      <c r="F3291">
        <v>0.1</v>
      </c>
      <c r="G3291">
        <v>3097.93</v>
      </c>
      <c r="H3291" t="s">
        <v>15</v>
      </c>
    </row>
    <row r="3292" spans="1:8" x14ac:dyDescent="0.35">
      <c r="A3292">
        <v>1216</v>
      </c>
      <c r="B3292">
        <v>1</v>
      </c>
      <c r="C3292">
        <v>64</v>
      </c>
      <c r="D3292">
        <v>2</v>
      </c>
      <c r="E3292">
        <v>489.99</v>
      </c>
      <c r="F3292">
        <v>0.1</v>
      </c>
      <c r="G3292">
        <v>979.88</v>
      </c>
      <c r="H3292" t="s">
        <v>65</v>
      </c>
    </row>
    <row r="3293" spans="1:8" x14ac:dyDescent="0.35">
      <c r="A3293">
        <v>1216</v>
      </c>
      <c r="B3293">
        <v>2</v>
      </c>
      <c r="C3293">
        <v>54</v>
      </c>
      <c r="D3293">
        <v>1</v>
      </c>
      <c r="E3293">
        <v>3199.99</v>
      </c>
      <c r="F3293">
        <v>0.1</v>
      </c>
      <c r="G3293">
        <v>3199.94</v>
      </c>
      <c r="H3293" t="s">
        <v>55</v>
      </c>
    </row>
    <row r="3294" spans="1:8" x14ac:dyDescent="0.35">
      <c r="A3294">
        <v>1216</v>
      </c>
      <c r="B3294">
        <v>3</v>
      </c>
      <c r="C3294">
        <v>19</v>
      </c>
      <c r="D3294">
        <v>1</v>
      </c>
      <c r="E3294">
        <v>449</v>
      </c>
      <c r="F3294">
        <v>0.2</v>
      </c>
      <c r="G3294">
        <v>448.8</v>
      </c>
      <c r="H3294" t="s">
        <v>24</v>
      </c>
    </row>
    <row r="3295" spans="1:8" x14ac:dyDescent="0.35">
      <c r="A3295">
        <v>1216</v>
      </c>
      <c r="B3295">
        <v>4</v>
      </c>
      <c r="C3295">
        <v>110</v>
      </c>
      <c r="D3295">
        <v>2</v>
      </c>
      <c r="E3295">
        <v>470.99</v>
      </c>
      <c r="F3295">
        <v>0.1</v>
      </c>
      <c r="G3295">
        <v>941.91</v>
      </c>
      <c r="H3295" t="s">
        <v>107</v>
      </c>
    </row>
    <row r="3296" spans="1:8" x14ac:dyDescent="0.35">
      <c r="A3296">
        <v>1216</v>
      </c>
      <c r="B3296">
        <v>5</v>
      </c>
      <c r="C3296">
        <v>43</v>
      </c>
      <c r="D3296">
        <v>1</v>
      </c>
      <c r="E3296">
        <v>5299.99</v>
      </c>
      <c r="F3296">
        <v>0.1</v>
      </c>
      <c r="G3296">
        <v>5299.89</v>
      </c>
      <c r="H3296" t="s">
        <v>44</v>
      </c>
    </row>
    <row r="3297" spans="1:8" x14ac:dyDescent="0.35">
      <c r="A3297">
        <v>1217</v>
      </c>
      <c r="B3297">
        <v>1</v>
      </c>
      <c r="C3297">
        <v>73</v>
      </c>
      <c r="D3297">
        <v>1</v>
      </c>
      <c r="E3297">
        <v>749.99</v>
      </c>
      <c r="F3297">
        <v>0.1</v>
      </c>
      <c r="G3297">
        <v>749.94</v>
      </c>
      <c r="H3297" t="s">
        <v>74</v>
      </c>
    </row>
    <row r="3298" spans="1:8" x14ac:dyDescent="0.35">
      <c r="A3298">
        <v>1217</v>
      </c>
      <c r="B3298">
        <v>2</v>
      </c>
      <c r="C3298">
        <v>106</v>
      </c>
      <c r="D3298">
        <v>2</v>
      </c>
      <c r="E3298">
        <v>449.99</v>
      </c>
      <c r="F3298">
        <v>0.1</v>
      </c>
      <c r="G3298">
        <v>899.93</v>
      </c>
      <c r="H3298" t="s">
        <v>69</v>
      </c>
    </row>
    <row r="3299" spans="1:8" x14ac:dyDescent="0.35">
      <c r="A3299">
        <v>1218</v>
      </c>
      <c r="B3299">
        <v>1</v>
      </c>
      <c r="C3299">
        <v>32</v>
      </c>
      <c r="D3299">
        <v>1</v>
      </c>
      <c r="E3299">
        <v>469.99</v>
      </c>
      <c r="F3299">
        <v>0.1</v>
      </c>
      <c r="G3299">
        <v>469.92</v>
      </c>
      <c r="H3299" t="s">
        <v>33</v>
      </c>
    </row>
    <row r="3300" spans="1:8" x14ac:dyDescent="0.35">
      <c r="A3300">
        <v>1218</v>
      </c>
      <c r="B3300">
        <v>2</v>
      </c>
      <c r="C3300">
        <v>102</v>
      </c>
      <c r="D3300">
        <v>2</v>
      </c>
      <c r="E3300">
        <v>489.99</v>
      </c>
      <c r="F3300">
        <v>0.1</v>
      </c>
      <c r="G3300">
        <v>979.93</v>
      </c>
      <c r="H3300" t="s">
        <v>65</v>
      </c>
    </row>
    <row r="3301" spans="1:8" x14ac:dyDescent="0.35">
      <c r="A3301">
        <v>1219</v>
      </c>
      <c r="B3301">
        <v>1</v>
      </c>
      <c r="C3301">
        <v>17</v>
      </c>
      <c r="D3301">
        <v>2</v>
      </c>
      <c r="E3301">
        <v>429</v>
      </c>
      <c r="F3301">
        <v>0.1</v>
      </c>
      <c r="G3301">
        <v>857.93</v>
      </c>
      <c r="H3301" t="s">
        <v>22</v>
      </c>
    </row>
    <row r="3302" spans="1:8" x14ac:dyDescent="0.35">
      <c r="A3302">
        <v>1219</v>
      </c>
      <c r="B3302">
        <v>2</v>
      </c>
      <c r="C3302">
        <v>62</v>
      </c>
      <c r="D3302">
        <v>2</v>
      </c>
      <c r="E3302">
        <v>3499.99</v>
      </c>
      <c r="F3302">
        <v>0.1</v>
      </c>
      <c r="G3302">
        <v>6999.88</v>
      </c>
      <c r="H3302" t="s">
        <v>63</v>
      </c>
    </row>
    <row r="3303" spans="1:8" x14ac:dyDescent="0.35">
      <c r="A3303">
        <v>1219</v>
      </c>
      <c r="B3303">
        <v>3</v>
      </c>
      <c r="C3303">
        <v>40</v>
      </c>
      <c r="D3303">
        <v>2</v>
      </c>
      <c r="E3303">
        <v>4999.99</v>
      </c>
      <c r="F3303">
        <v>0.2</v>
      </c>
      <c r="G3303">
        <v>9999.7800000000007</v>
      </c>
      <c r="H3303" t="s">
        <v>41</v>
      </c>
    </row>
    <row r="3304" spans="1:8" x14ac:dyDescent="0.35">
      <c r="A3304">
        <v>1220</v>
      </c>
      <c r="B3304">
        <v>1</v>
      </c>
      <c r="C3304">
        <v>47</v>
      </c>
      <c r="D3304">
        <v>2</v>
      </c>
      <c r="E3304">
        <v>5299.99</v>
      </c>
      <c r="F3304">
        <v>0.1</v>
      </c>
      <c r="G3304">
        <v>10599.88</v>
      </c>
      <c r="H3304" t="s">
        <v>48</v>
      </c>
    </row>
    <row r="3305" spans="1:8" x14ac:dyDescent="0.35">
      <c r="A3305">
        <v>1220</v>
      </c>
      <c r="B3305">
        <v>2</v>
      </c>
      <c r="C3305">
        <v>49</v>
      </c>
      <c r="D3305">
        <v>1</v>
      </c>
      <c r="E3305">
        <v>3499.99</v>
      </c>
      <c r="F3305">
        <v>0.2</v>
      </c>
      <c r="G3305">
        <v>3499.79</v>
      </c>
      <c r="H3305" t="s">
        <v>50</v>
      </c>
    </row>
    <row r="3306" spans="1:8" x14ac:dyDescent="0.35">
      <c r="A3306">
        <v>1220</v>
      </c>
      <c r="B3306">
        <v>3</v>
      </c>
      <c r="C3306">
        <v>85</v>
      </c>
      <c r="D3306">
        <v>2</v>
      </c>
      <c r="E3306">
        <v>329.99</v>
      </c>
      <c r="F3306">
        <v>0.2</v>
      </c>
      <c r="G3306">
        <v>659.78</v>
      </c>
      <c r="H3306" t="s">
        <v>86</v>
      </c>
    </row>
    <row r="3307" spans="1:8" x14ac:dyDescent="0.35">
      <c r="A3307">
        <v>1221</v>
      </c>
      <c r="B3307">
        <v>1</v>
      </c>
      <c r="C3307">
        <v>100</v>
      </c>
      <c r="D3307">
        <v>1</v>
      </c>
      <c r="E3307">
        <v>489.99</v>
      </c>
      <c r="F3307">
        <v>0.1</v>
      </c>
      <c r="G3307">
        <v>489.94</v>
      </c>
      <c r="H3307" t="s">
        <v>100</v>
      </c>
    </row>
    <row r="3308" spans="1:8" x14ac:dyDescent="0.35">
      <c r="A3308">
        <v>1221</v>
      </c>
      <c r="B3308">
        <v>2</v>
      </c>
      <c r="C3308">
        <v>81</v>
      </c>
      <c r="D3308">
        <v>2</v>
      </c>
      <c r="E3308">
        <v>1099.99</v>
      </c>
      <c r="F3308">
        <v>0.1</v>
      </c>
      <c r="G3308">
        <v>2199.9299999999998</v>
      </c>
      <c r="H3308" t="s">
        <v>82</v>
      </c>
    </row>
    <row r="3309" spans="1:8" x14ac:dyDescent="0.35">
      <c r="A3309">
        <v>1221</v>
      </c>
      <c r="B3309">
        <v>3</v>
      </c>
      <c r="C3309">
        <v>42</v>
      </c>
      <c r="D3309">
        <v>2</v>
      </c>
      <c r="E3309">
        <v>2299.9899999999998</v>
      </c>
      <c r="F3309">
        <v>0.1</v>
      </c>
      <c r="G3309">
        <v>4599.88</v>
      </c>
      <c r="H3309" t="s">
        <v>43</v>
      </c>
    </row>
    <row r="3310" spans="1:8" x14ac:dyDescent="0.35">
      <c r="A3310">
        <v>1221</v>
      </c>
      <c r="B3310">
        <v>4</v>
      </c>
      <c r="C3310">
        <v>38</v>
      </c>
      <c r="D3310">
        <v>2</v>
      </c>
      <c r="E3310">
        <v>549.99</v>
      </c>
      <c r="F3310">
        <v>0.1</v>
      </c>
      <c r="G3310">
        <v>1099.8800000000001</v>
      </c>
      <c r="H3310" t="s">
        <v>39</v>
      </c>
    </row>
    <row r="3311" spans="1:8" x14ac:dyDescent="0.35">
      <c r="A3311">
        <v>1221</v>
      </c>
      <c r="B3311">
        <v>5</v>
      </c>
      <c r="C3311">
        <v>97</v>
      </c>
      <c r="D3311">
        <v>2</v>
      </c>
      <c r="E3311">
        <v>349.99</v>
      </c>
      <c r="F3311">
        <v>0.1</v>
      </c>
      <c r="G3311">
        <v>699.91</v>
      </c>
      <c r="H3311" t="s">
        <v>97</v>
      </c>
    </row>
    <row r="3312" spans="1:8" x14ac:dyDescent="0.35">
      <c r="A3312">
        <v>1224</v>
      </c>
      <c r="B3312">
        <v>1</v>
      </c>
      <c r="C3312">
        <v>62</v>
      </c>
      <c r="D3312">
        <v>1</v>
      </c>
      <c r="E3312">
        <v>3499.99</v>
      </c>
      <c r="F3312">
        <v>0.1</v>
      </c>
      <c r="G3312">
        <v>3499.92</v>
      </c>
      <c r="H3312" t="s">
        <v>63</v>
      </c>
    </row>
    <row r="3313" spans="1:8" x14ac:dyDescent="0.35">
      <c r="A3313">
        <v>1224</v>
      </c>
      <c r="B3313">
        <v>2</v>
      </c>
      <c r="C3313">
        <v>51</v>
      </c>
      <c r="D3313">
        <v>1</v>
      </c>
      <c r="E3313">
        <v>6499.99</v>
      </c>
      <c r="F3313">
        <v>0.1</v>
      </c>
      <c r="G3313">
        <v>6499.89</v>
      </c>
      <c r="H3313" t="s">
        <v>52</v>
      </c>
    </row>
    <row r="3314" spans="1:8" x14ac:dyDescent="0.35">
      <c r="A3314">
        <v>1224</v>
      </c>
      <c r="B3314">
        <v>3</v>
      </c>
      <c r="C3314">
        <v>108</v>
      </c>
      <c r="D3314">
        <v>1</v>
      </c>
      <c r="E3314">
        <v>449.99</v>
      </c>
      <c r="F3314">
        <v>0.1</v>
      </c>
      <c r="G3314">
        <v>449.94</v>
      </c>
      <c r="H3314" t="s">
        <v>105</v>
      </c>
    </row>
    <row r="3315" spans="1:8" x14ac:dyDescent="0.35">
      <c r="A3315">
        <v>1224</v>
      </c>
      <c r="B3315">
        <v>4</v>
      </c>
      <c r="C3315">
        <v>32</v>
      </c>
      <c r="D3315">
        <v>1</v>
      </c>
      <c r="E3315">
        <v>469.99</v>
      </c>
      <c r="F3315">
        <v>0.2</v>
      </c>
      <c r="G3315">
        <v>469.79</v>
      </c>
      <c r="H3315" t="s">
        <v>33</v>
      </c>
    </row>
    <row r="3316" spans="1:8" x14ac:dyDescent="0.35">
      <c r="A3316">
        <v>1225</v>
      </c>
      <c r="B3316">
        <v>1</v>
      </c>
      <c r="C3316">
        <v>81</v>
      </c>
      <c r="D3316">
        <v>1</v>
      </c>
      <c r="E3316">
        <v>1099.99</v>
      </c>
      <c r="F3316">
        <v>0.1</v>
      </c>
      <c r="G3316">
        <v>1099.8900000000001</v>
      </c>
      <c r="H3316" t="s">
        <v>82</v>
      </c>
    </row>
    <row r="3317" spans="1:8" x14ac:dyDescent="0.35">
      <c r="A3317">
        <v>1225</v>
      </c>
      <c r="B3317">
        <v>2</v>
      </c>
      <c r="C3317">
        <v>59</v>
      </c>
      <c r="D3317">
        <v>2</v>
      </c>
      <c r="E3317">
        <v>2599.9899999999998</v>
      </c>
      <c r="F3317">
        <v>0.1</v>
      </c>
      <c r="G3317">
        <v>5199.88</v>
      </c>
      <c r="H3317" t="s">
        <v>60</v>
      </c>
    </row>
    <row r="3318" spans="1:8" x14ac:dyDescent="0.35">
      <c r="A3318">
        <v>1225</v>
      </c>
      <c r="B3318">
        <v>3</v>
      </c>
      <c r="C3318">
        <v>6</v>
      </c>
      <c r="D3318">
        <v>2</v>
      </c>
      <c r="E3318">
        <v>469.99</v>
      </c>
      <c r="F3318">
        <v>0.1</v>
      </c>
      <c r="G3318">
        <v>939.88</v>
      </c>
      <c r="H3318" t="s">
        <v>11</v>
      </c>
    </row>
    <row r="3319" spans="1:8" x14ac:dyDescent="0.35">
      <c r="A3319">
        <v>1226</v>
      </c>
      <c r="B3319">
        <v>1</v>
      </c>
      <c r="C3319">
        <v>77</v>
      </c>
      <c r="D3319">
        <v>2</v>
      </c>
      <c r="E3319">
        <v>799.99</v>
      </c>
      <c r="F3319">
        <v>0.1</v>
      </c>
      <c r="G3319">
        <v>1599.93</v>
      </c>
      <c r="H3319" t="s">
        <v>78</v>
      </c>
    </row>
    <row r="3320" spans="1:8" x14ac:dyDescent="0.35">
      <c r="A3320">
        <v>1226</v>
      </c>
      <c r="B3320">
        <v>2</v>
      </c>
      <c r="C3320">
        <v>101</v>
      </c>
      <c r="D3320">
        <v>1</v>
      </c>
      <c r="E3320">
        <v>339.99</v>
      </c>
      <c r="F3320">
        <v>0.2</v>
      </c>
      <c r="G3320">
        <v>339.79</v>
      </c>
      <c r="H3320" t="s">
        <v>101</v>
      </c>
    </row>
    <row r="3321" spans="1:8" x14ac:dyDescent="0.35">
      <c r="A3321">
        <v>1226</v>
      </c>
      <c r="B3321">
        <v>3</v>
      </c>
      <c r="C3321">
        <v>11</v>
      </c>
      <c r="D3321">
        <v>2</v>
      </c>
      <c r="E3321">
        <v>1680.99</v>
      </c>
      <c r="F3321">
        <v>0.1</v>
      </c>
      <c r="G3321">
        <v>3361.91</v>
      </c>
      <c r="H3321" t="s">
        <v>16</v>
      </c>
    </row>
    <row r="3322" spans="1:8" x14ac:dyDescent="0.35">
      <c r="A3322">
        <v>1226</v>
      </c>
      <c r="B3322">
        <v>4</v>
      </c>
      <c r="C3322">
        <v>51</v>
      </c>
      <c r="D3322">
        <v>1</v>
      </c>
      <c r="E3322">
        <v>6499.99</v>
      </c>
      <c r="F3322">
        <v>0.1</v>
      </c>
      <c r="G3322">
        <v>6499.92</v>
      </c>
      <c r="H3322" t="s">
        <v>52</v>
      </c>
    </row>
    <row r="3323" spans="1:8" x14ac:dyDescent="0.35">
      <c r="A3323">
        <v>1226</v>
      </c>
      <c r="B3323">
        <v>5</v>
      </c>
      <c r="C3323">
        <v>42</v>
      </c>
      <c r="D3323">
        <v>1</v>
      </c>
      <c r="E3323">
        <v>2299.9899999999998</v>
      </c>
      <c r="F3323">
        <v>0.1</v>
      </c>
      <c r="G3323">
        <v>2299.89</v>
      </c>
      <c r="H3323" t="s">
        <v>43</v>
      </c>
    </row>
    <row r="3324" spans="1:8" x14ac:dyDescent="0.35">
      <c r="A3324">
        <v>1227</v>
      </c>
      <c r="B3324">
        <v>1</v>
      </c>
      <c r="C3324">
        <v>90</v>
      </c>
      <c r="D3324">
        <v>2</v>
      </c>
      <c r="E3324">
        <v>209.99</v>
      </c>
      <c r="F3324">
        <v>0.2</v>
      </c>
      <c r="G3324">
        <v>419.78</v>
      </c>
      <c r="H3324" t="s">
        <v>91</v>
      </c>
    </row>
    <row r="3325" spans="1:8" x14ac:dyDescent="0.35">
      <c r="A3325">
        <v>1227</v>
      </c>
      <c r="B3325">
        <v>2</v>
      </c>
      <c r="C3325">
        <v>44</v>
      </c>
      <c r="D3325">
        <v>1</v>
      </c>
      <c r="E3325">
        <v>539.99</v>
      </c>
      <c r="F3325">
        <v>0.1</v>
      </c>
      <c r="G3325">
        <v>539.91999999999996</v>
      </c>
      <c r="H3325" t="s">
        <v>45</v>
      </c>
    </row>
    <row r="3326" spans="1:8" x14ac:dyDescent="0.35">
      <c r="A3326">
        <v>1227</v>
      </c>
      <c r="B3326">
        <v>3</v>
      </c>
      <c r="C3326">
        <v>26</v>
      </c>
      <c r="D3326">
        <v>1</v>
      </c>
      <c r="E3326">
        <v>599.99</v>
      </c>
      <c r="F3326">
        <v>0.1</v>
      </c>
      <c r="G3326">
        <v>599.94000000000005</v>
      </c>
      <c r="H3326" t="s">
        <v>21</v>
      </c>
    </row>
    <row r="3327" spans="1:8" x14ac:dyDescent="0.35">
      <c r="A3327">
        <v>1227</v>
      </c>
      <c r="B3327">
        <v>4</v>
      </c>
      <c r="C3327">
        <v>8</v>
      </c>
      <c r="D3327">
        <v>1</v>
      </c>
      <c r="E3327">
        <v>1799.99</v>
      </c>
      <c r="F3327">
        <v>0.1</v>
      </c>
      <c r="G3327">
        <v>1799.92</v>
      </c>
      <c r="H3327" t="s">
        <v>13</v>
      </c>
    </row>
    <row r="3328" spans="1:8" x14ac:dyDescent="0.35">
      <c r="A3328">
        <v>1227</v>
      </c>
      <c r="B3328">
        <v>5</v>
      </c>
      <c r="C3328">
        <v>42</v>
      </c>
      <c r="D3328">
        <v>2</v>
      </c>
      <c r="E3328">
        <v>2299.9899999999998</v>
      </c>
      <c r="F3328">
        <v>0.2</v>
      </c>
      <c r="G3328">
        <v>4599.78</v>
      </c>
      <c r="H3328" t="s">
        <v>43</v>
      </c>
    </row>
    <row r="3329" spans="1:8" x14ac:dyDescent="0.35">
      <c r="A3329">
        <v>1228</v>
      </c>
      <c r="B3329">
        <v>1</v>
      </c>
      <c r="C3329">
        <v>92</v>
      </c>
      <c r="D3329">
        <v>1</v>
      </c>
      <c r="E3329">
        <v>209.99</v>
      </c>
      <c r="F3329">
        <v>0.2</v>
      </c>
      <c r="G3329">
        <v>209.79</v>
      </c>
      <c r="H3329" t="s">
        <v>93</v>
      </c>
    </row>
    <row r="3330" spans="1:8" x14ac:dyDescent="0.35">
      <c r="A3330">
        <v>1228</v>
      </c>
      <c r="B3330">
        <v>2</v>
      </c>
      <c r="C3330">
        <v>55</v>
      </c>
      <c r="D3330">
        <v>2</v>
      </c>
      <c r="E3330">
        <v>2699.99</v>
      </c>
      <c r="F3330">
        <v>0.2</v>
      </c>
      <c r="G3330">
        <v>5399.78</v>
      </c>
      <c r="H3330" t="s">
        <v>56</v>
      </c>
    </row>
    <row r="3331" spans="1:8" x14ac:dyDescent="0.35">
      <c r="A3331">
        <v>1228</v>
      </c>
      <c r="B3331">
        <v>3</v>
      </c>
      <c r="C3331">
        <v>20</v>
      </c>
      <c r="D3331">
        <v>2</v>
      </c>
      <c r="E3331">
        <v>599.99</v>
      </c>
      <c r="F3331">
        <v>0.1</v>
      </c>
      <c r="G3331">
        <v>1199.93</v>
      </c>
      <c r="H3331" t="s">
        <v>25</v>
      </c>
    </row>
    <row r="3332" spans="1:8" x14ac:dyDescent="0.35">
      <c r="A3332">
        <v>1229</v>
      </c>
      <c r="B3332">
        <v>1</v>
      </c>
      <c r="C3332">
        <v>36</v>
      </c>
      <c r="D3332">
        <v>2</v>
      </c>
      <c r="E3332">
        <v>832.99</v>
      </c>
      <c r="F3332">
        <v>0.1</v>
      </c>
      <c r="G3332">
        <v>1665.91</v>
      </c>
      <c r="H3332" t="s">
        <v>37</v>
      </c>
    </row>
    <row r="3333" spans="1:8" x14ac:dyDescent="0.35">
      <c r="A3333">
        <v>1229</v>
      </c>
      <c r="B3333">
        <v>2</v>
      </c>
      <c r="C3333">
        <v>61</v>
      </c>
      <c r="D3333">
        <v>2</v>
      </c>
      <c r="E3333">
        <v>4999.99</v>
      </c>
      <c r="F3333">
        <v>0.1</v>
      </c>
      <c r="G3333">
        <v>9999.8799999999992</v>
      </c>
      <c r="H3333" t="s">
        <v>62</v>
      </c>
    </row>
    <row r="3334" spans="1:8" x14ac:dyDescent="0.35">
      <c r="A3334">
        <v>1230</v>
      </c>
      <c r="B3334">
        <v>1</v>
      </c>
      <c r="C3334">
        <v>32</v>
      </c>
      <c r="D3334">
        <v>2</v>
      </c>
      <c r="E3334">
        <v>469.99</v>
      </c>
      <c r="F3334">
        <v>0.1</v>
      </c>
      <c r="G3334">
        <v>939.88</v>
      </c>
      <c r="H3334" t="s">
        <v>33</v>
      </c>
    </row>
    <row r="3335" spans="1:8" x14ac:dyDescent="0.35">
      <c r="A3335">
        <v>1230</v>
      </c>
      <c r="B3335">
        <v>2</v>
      </c>
      <c r="C3335">
        <v>38</v>
      </c>
      <c r="D3335">
        <v>2</v>
      </c>
      <c r="E3335">
        <v>549.99</v>
      </c>
      <c r="F3335">
        <v>0.1</v>
      </c>
      <c r="G3335">
        <v>1099.9100000000001</v>
      </c>
      <c r="H3335" t="s">
        <v>39</v>
      </c>
    </row>
    <row r="3336" spans="1:8" x14ac:dyDescent="0.35">
      <c r="A3336">
        <v>1231</v>
      </c>
      <c r="B3336">
        <v>1</v>
      </c>
      <c r="C3336">
        <v>75</v>
      </c>
      <c r="D3336">
        <v>2</v>
      </c>
      <c r="E3336">
        <v>599.99</v>
      </c>
      <c r="F3336">
        <v>0.1</v>
      </c>
      <c r="G3336">
        <v>1199.93</v>
      </c>
      <c r="H3336" t="s">
        <v>76</v>
      </c>
    </row>
    <row r="3337" spans="1:8" x14ac:dyDescent="0.35">
      <c r="A3337">
        <v>1231</v>
      </c>
      <c r="B3337">
        <v>2</v>
      </c>
      <c r="C3337">
        <v>70</v>
      </c>
      <c r="D3337">
        <v>1</v>
      </c>
      <c r="E3337">
        <v>659.99</v>
      </c>
      <c r="F3337">
        <v>0.1</v>
      </c>
      <c r="G3337">
        <v>659.92</v>
      </c>
      <c r="H3337" t="s">
        <v>71</v>
      </c>
    </row>
    <row r="3338" spans="1:8" x14ac:dyDescent="0.35">
      <c r="A3338">
        <v>1232</v>
      </c>
      <c r="B3338">
        <v>1</v>
      </c>
      <c r="C3338">
        <v>4</v>
      </c>
      <c r="D3338">
        <v>2</v>
      </c>
      <c r="E3338">
        <v>2899.99</v>
      </c>
      <c r="F3338">
        <v>0.1</v>
      </c>
      <c r="G3338">
        <v>5799.91</v>
      </c>
      <c r="H3338" t="s">
        <v>9</v>
      </c>
    </row>
    <row r="3339" spans="1:8" x14ac:dyDescent="0.35">
      <c r="A3339">
        <v>1232</v>
      </c>
      <c r="B3339">
        <v>2</v>
      </c>
      <c r="C3339">
        <v>110</v>
      </c>
      <c r="D3339">
        <v>2</v>
      </c>
      <c r="E3339">
        <v>470.99</v>
      </c>
      <c r="F3339">
        <v>0.1</v>
      </c>
      <c r="G3339">
        <v>941.93</v>
      </c>
      <c r="H3339" t="s">
        <v>107</v>
      </c>
    </row>
    <row r="3340" spans="1:8" x14ac:dyDescent="0.35">
      <c r="A3340">
        <v>1232</v>
      </c>
      <c r="B3340">
        <v>3</v>
      </c>
      <c r="C3340">
        <v>6</v>
      </c>
      <c r="D3340">
        <v>2</v>
      </c>
      <c r="E3340">
        <v>469.99</v>
      </c>
      <c r="F3340">
        <v>0.2</v>
      </c>
      <c r="G3340">
        <v>939.78</v>
      </c>
      <c r="H3340" t="s">
        <v>11</v>
      </c>
    </row>
    <row r="3341" spans="1:8" x14ac:dyDescent="0.35">
      <c r="A3341">
        <v>1233</v>
      </c>
      <c r="B3341">
        <v>1</v>
      </c>
      <c r="C3341">
        <v>87</v>
      </c>
      <c r="D3341">
        <v>2</v>
      </c>
      <c r="E3341">
        <v>189.99</v>
      </c>
      <c r="F3341">
        <v>0.2</v>
      </c>
      <c r="G3341">
        <v>379.78</v>
      </c>
      <c r="H3341" t="s">
        <v>88</v>
      </c>
    </row>
    <row r="3342" spans="1:8" x14ac:dyDescent="0.35">
      <c r="A3342">
        <v>1233</v>
      </c>
      <c r="B3342">
        <v>2</v>
      </c>
      <c r="C3342">
        <v>61</v>
      </c>
      <c r="D3342">
        <v>2</v>
      </c>
      <c r="E3342">
        <v>4999.99</v>
      </c>
      <c r="F3342">
        <v>0.1</v>
      </c>
      <c r="G3342">
        <v>9999.8799999999992</v>
      </c>
      <c r="H3342" t="s">
        <v>62</v>
      </c>
    </row>
    <row r="3343" spans="1:8" x14ac:dyDescent="0.35">
      <c r="A3343">
        <v>1233</v>
      </c>
      <c r="B3343">
        <v>3</v>
      </c>
      <c r="C3343">
        <v>55</v>
      </c>
      <c r="D3343">
        <v>1</v>
      </c>
      <c r="E3343">
        <v>2699.99</v>
      </c>
      <c r="F3343">
        <v>0.2</v>
      </c>
      <c r="G3343">
        <v>2699.79</v>
      </c>
      <c r="H3343" t="s">
        <v>56</v>
      </c>
    </row>
    <row r="3344" spans="1:8" x14ac:dyDescent="0.35">
      <c r="A3344">
        <v>1234</v>
      </c>
      <c r="B3344">
        <v>1</v>
      </c>
      <c r="C3344">
        <v>56</v>
      </c>
      <c r="D3344">
        <v>2</v>
      </c>
      <c r="E3344">
        <v>5499.99</v>
      </c>
      <c r="F3344">
        <v>0.1</v>
      </c>
      <c r="G3344">
        <v>10999.91</v>
      </c>
      <c r="H3344" t="s">
        <v>57</v>
      </c>
    </row>
    <row r="3345" spans="1:8" x14ac:dyDescent="0.35">
      <c r="A3345">
        <v>1234</v>
      </c>
      <c r="B3345">
        <v>2</v>
      </c>
      <c r="C3345">
        <v>71</v>
      </c>
      <c r="D3345">
        <v>2</v>
      </c>
      <c r="E3345">
        <v>416.99</v>
      </c>
      <c r="F3345">
        <v>0.1</v>
      </c>
      <c r="G3345">
        <v>833.91</v>
      </c>
      <c r="H3345" t="s">
        <v>72</v>
      </c>
    </row>
    <row r="3346" spans="1:8" x14ac:dyDescent="0.35">
      <c r="A3346">
        <v>1236</v>
      </c>
      <c r="B3346">
        <v>1</v>
      </c>
      <c r="C3346">
        <v>60</v>
      </c>
      <c r="D3346">
        <v>1</v>
      </c>
      <c r="E3346">
        <v>1559.99</v>
      </c>
      <c r="F3346">
        <v>0.1</v>
      </c>
      <c r="G3346">
        <v>1559.92</v>
      </c>
      <c r="H3346" t="s">
        <v>61</v>
      </c>
    </row>
    <row r="3347" spans="1:8" x14ac:dyDescent="0.35">
      <c r="A3347">
        <v>1236</v>
      </c>
      <c r="B3347">
        <v>2</v>
      </c>
      <c r="C3347">
        <v>32</v>
      </c>
      <c r="D3347">
        <v>2</v>
      </c>
      <c r="E3347">
        <v>469.99</v>
      </c>
      <c r="F3347">
        <v>0.1</v>
      </c>
      <c r="G3347">
        <v>939.93</v>
      </c>
      <c r="H3347" t="s">
        <v>33</v>
      </c>
    </row>
    <row r="3348" spans="1:8" x14ac:dyDescent="0.35">
      <c r="A3348">
        <v>1236</v>
      </c>
      <c r="B3348">
        <v>3</v>
      </c>
      <c r="C3348">
        <v>91</v>
      </c>
      <c r="D3348">
        <v>1</v>
      </c>
      <c r="E3348">
        <v>349.99</v>
      </c>
      <c r="F3348">
        <v>0.1</v>
      </c>
      <c r="G3348">
        <v>349.89</v>
      </c>
      <c r="H3348" t="s">
        <v>92</v>
      </c>
    </row>
    <row r="3349" spans="1:8" x14ac:dyDescent="0.35">
      <c r="A3349">
        <v>1237</v>
      </c>
      <c r="B3349">
        <v>1</v>
      </c>
      <c r="C3349">
        <v>23</v>
      </c>
      <c r="D3349">
        <v>1</v>
      </c>
      <c r="E3349">
        <v>299.99</v>
      </c>
      <c r="F3349">
        <v>0.1</v>
      </c>
      <c r="G3349">
        <v>299.89</v>
      </c>
      <c r="H3349" t="s">
        <v>26</v>
      </c>
    </row>
    <row r="3350" spans="1:8" x14ac:dyDescent="0.35">
      <c r="A3350">
        <v>1237</v>
      </c>
      <c r="B3350">
        <v>2</v>
      </c>
      <c r="C3350">
        <v>87</v>
      </c>
      <c r="D3350">
        <v>2</v>
      </c>
      <c r="E3350">
        <v>189.99</v>
      </c>
      <c r="F3350">
        <v>0.1</v>
      </c>
      <c r="G3350">
        <v>379.88</v>
      </c>
      <c r="H3350" t="s">
        <v>88</v>
      </c>
    </row>
    <row r="3351" spans="1:8" x14ac:dyDescent="0.35">
      <c r="A3351">
        <v>1237</v>
      </c>
      <c r="B3351">
        <v>3</v>
      </c>
      <c r="C3351">
        <v>95</v>
      </c>
      <c r="D3351">
        <v>2</v>
      </c>
      <c r="E3351">
        <v>299.99</v>
      </c>
      <c r="F3351">
        <v>0.2</v>
      </c>
      <c r="G3351">
        <v>599.78</v>
      </c>
      <c r="H3351" t="s">
        <v>77</v>
      </c>
    </row>
    <row r="3352" spans="1:8" x14ac:dyDescent="0.35">
      <c r="A3352">
        <v>1237</v>
      </c>
      <c r="B3352">
        <v>4</v>
      </c>
      <c r="C3352">
        <v>55</v>
      </c>
      <c r="D3352">
        <v>2</v>
      </c>
      <c r="E3352">
        <v>2699.99</v>
      </c>
      <c r="F3352">
        <v>0.1</v>
      </c>
      <c r="G3352">
        <v>5399.91</v>
      </c>
      <c r="H3352" t="s">
        <v>56</v>
      </c>
    </row>
    <row r="3353" spans="1:8" x14ac:dyDescent="0.35">
      <c r="A3353">
        <v>1237</v>
      </c>
      <c r="B3353">
        <v>5</v>
      </c>
      <c r="C3353">
        <v>25</v>
      </c>
      <c r="D3353">
        <v>1</v>
      </c>
      <c r="E3353">
        <v>499.99</v>
      </c>
      <c r="F3353">
        <v>0.1</v>
      </c>
      <c r="G3353">
        <v>499.92</v>
      </c>
      <c r="H3353" t="s">
        <v>27</v>
      </c>
    </row>
    <row r="3354" spans="1:8" x14ac:dyDescent="0.35">
      <c r="A3354">
        <v>1238</v>
      </c>
      <c r="B3354">
        <v>1</v>
      </c>
      <c r="C3354">
        <v>40</v>
      </c>
      <c r="D3354">
        <v>1</v>
      </c>
      <c r="E3354">
        <v>4999.99</v>
      </c>
      <c r="F3354">
        <v>0.1</v>
      </c>
      <c r="G3354">
        <v>4999.8900000000003</v>
      </c>
      <c r="H3354" t="s">
        <v>41</v>
      </c>
    </row>
    <row r="3355" spans="1:8" x14ac:dyDescent="0.35">
      <c r="A3355">
        <v>1238</v>
      </c>
      <c r="B3355">
        <v>2</v>
      </c>
      <c r="C3355">
        <v>14</v>
      </c>
      <c r="D3355">
        <v>1</v>
      </c>
      <c r="E3355">
        <v>269.99</v>
      </c>
      <c r="F3355">
        <v>0.1</v>
      </c>
      <c r="G3355">
        <v>269.89</v>
      </c>
      <c r="H3355" t="s">
        <v>19</v>
      </c>
    </row>
    <row r="3356" spans="1:8" x14ac:dyDescent="0.35">
      <c r="A3356">
        <v>1238</v>
      </c>
      <c r="B3356">
        <v>3</v>
      </c>
      <c r="C3356">
        <v>99</v>
      </c>
      <c r="D3356">
        <v>2</v>
      </c>
      <c r="E3356">
        <v>299.99</v>
      </c>
      <c r="F3356">
        <v>0.2</v>
      </c>
      <c r="G3356">
        <v>599.78</v>
      </c>
      <c r="H3356" t="s">
        <v>99</v>
      </c>
    </row>
    <row r="3357" spans="1:8" x14ac:dyDescent="0.35">
      <c r="A3357">
        <v>1238</v>
      </c>
      <c r="B3357">
        <v>4</v>
      </c>
      <c r="C3357">
        <v>101</v>
      </c>
      <c r="D3357">
        <v>1</v>
      </c>
      <c r="E3357">
        <v>339.99</v>
      </c>
      <c r="F3357">
        <v>0.1</v>
      </c>
      <c r="G3357">
        <v>339.89</v>
      </c>
      <c r="H3357" t="s">
        <v>101</v>
      </c>
    </row>
    <row r="3358" spans="1:8" x14ac:dyDescent="0.35">
      <c r="A3358">
        <v>1239</v>
      </c>
      <c r="B3358">
        <v>1</v>
      </c>
      <c r="C3358">
        <v>15</v>
      </c>
      <c r="D3358">
        <v>2</v>
      </c>
      <c r="E3358">
        <v>529.99</v>
      </c>
      <c r="F3358">
        <v>0.2</v>
      </c>
      <c r="G3358">
        <v>1059.78</v>
      </c>
      <c r="H3358" t="s">
        <v>20</v>
      </c>
    </row>
    <row r="3359" spans="1:8" x14ac:dyDescent="0.35">
      <c r="A3359">
        <v>1239</v>
      </c>
      <c r="B3359">
        <v>2</v>
      </c>
      <c r="C3359">
        <v>91</v>
      </c>
      <c r="D3359">
        <v>1</v>
      </c>
      <c r="E3359">
        <v>349.99</v>
      </c>
      <c r="F3359">
        <v>0.1</v>
      </c>
      <c r="G3359">
        <v>349.89</v>
      </c>
      <c r="H3359" t="s">
        <v>92</v>
      </c>
    </row>
    <row r="3360" spans="1:8" x14ac:dyDescent="0.35">
      <c r="A3360">
        <v>1239</v>
      </c>
      <c r="B3360">
        <v>3</v>
      </c>
      <c r="C3360">
        <v>34</v>
      </c>
      <c r="D3360">
        <v>2</v>
      </c>
      <c r="E3360">
        <v>469.99</v>
      </c>
      <c r="F3360">
        <v>0.1</v>
      </c>
      <c r="G3360">
        <v>939.88</v>
      </c>
      <c r="H3360" t="s">
        <v>35</v>
      </c>
    </row>
    <row r="3361" spans="1:8" x14ac:dyDescent="0.35">
      <c r="A3361">
        <v>1239</v>
      </c>
      <c r="B3361">
        <v>4</v>
      </c>
      <c r="C3361">
        <v>36</v>
      </c>
      <c r="D3361">
        <v>1</v>
      </c>
      <c r="E3361">
        <v>832.99</v>
      </c>
      <c r="F3361">
        <v>0.1</v>
      </c>
      <c r="G3361">
        <v>832.94</v>
      </c>
      <c r="H3361" t="s">
        <v>37</v>
      </c>
    </row>
    <row r="3362" spans="1:8" x14ac:dyDescent="0.35">
      <c r="A3362">
        <v>1240</v>
      </c>
      <c r="B3362">
        <v>1</v>
      </c>
      <c r="C3362">
        <v>107</v>
      </c>
      <c r="D3362">
        <v>2</v>
      </c>
      <c r="E3362">
        <v>416.99</v>
      </c>
      <c r="F3362">
        <v>0.1</v>
      </c>
      <c r="G3362">
        <v>833.88</v>
      </c>
      <c r="H3362" t="s">
        <v>70</v>
      </c>
    </row>
    <row r="3363" spans="1:8" x14ac:dyDescent="0.35">
      <c r="A3363">
        <v>1240</v>
      </c>
      <c r="B3363">
        <v>2</v>
      </c>
      <c r="C3363">
        <v>23</v>
      </c>
      <c r="D3363">
        <v>2</v>
      </c>
      <c r="E3363">
        <v>299.99</v>
      </c>
      <c r="F3363">
        <v>0.1</v>
      </c>
      <c r="G3363">
        <v>599.92999999999995</v>
      </c>
      <c r="H3363" t="s">
        <v>26</v>
      </c>
    </row>
    <row r="3364" spans="1:8" x14ac:dyDescent="0.35">
      <c r="A3364">
        <v>1240</v>
      </c>
      <c r="B3364">
        <v>3</v>
      </c>
      <c r="C3364">
        <v>15</v>
      </c>
      <c r="D3364">
        <v>2</v>
      </c>
      <c r="E3364">
        <v>529.99</v>
      </c>
      <c r="F3364">
        <v>0.2</v>
      </c>
      <c r="G3364">
        <v>1059.78</v>
      </c>
      <c r="H3364" t="s">
        <v>20</v>
      </c>
    </row>
    <row r="3365" spans="1:8" x14ac:dyDescent="0.35">
      <c r="A3365">
        <v>1240</v>
      </c>
      <c r="B3365">
        <v>4</v>
      </c>
      <c r="C3365">
        <v>77</v>
      </c>
      <c r="D3365">
        <v>2</v>
      </c>
      <c r="E3365">
        <v>799.99</v>
      </c>
      <c r="F3365">
        <v>0.1</v>
      </c>
      <c r="G3365">
        <v>1599.93</v>
      </c>
      <c r="H3365" t="s">
        <v>78</v>
      </c>
    </row>
    <row r="3366" spans="1:8" x14ac:dyDescent="0.35">
      <c r="A3366">
        <v>1240</v>
      </c>
      <c r="B3366">
        <v>5</v>
      </c>
      <c r="C3366">
        <v>57</v>
      </c>
      <c r="D3366">
        <v>1</v>
      </c>
      <c r="E3366">
        <v>1999.99</v>
      </c>
      <c r="F3366">
        <v>0.1</v>
      </c>
      <c r="G3366">
        <v>1999.94</v>
      </c>
      <c r="H3366" t="s">
        <v>58</v>
      </c>
    </row>
    <row r="3367" spans="1:8" x14ac:dyDescent="0.35">
      <c r="A3367">
        <v>1241</v>
      </c>
      <c r="B3367">
        <v>1</v>
      </c>
      <c r="C3367">
        <v>74</v>
      </c>
      <c r="D3367">
        <v>1</v>
      </c>
      <c r="E3367">
        <v>439.99</v>
      </c>
      <c r="F3367">
        <v>0.1</v>
      </c>
      <c r="G3367">
        <v>439.94</v>
      </c>
      <c r="H3367" t="s">
        <v>75</v>
      </c>
    </row>
    <row r="3368" spans="1:8" x14ac:dyDescent="0.35">
      <c r="A3368">
        <v>1241</v>
      </c>
      <c r="B3368">
        <v>2</v>
      </c>
      <c r="C3368">
        <v>71</v>
      </c>
      <c r="D3368">
        <v>2</v>
      </c>
      <c r="E3368">
        <v>416.99</v>
      </c>
      <c r="F3368">
        <v>0.1</v>
      </c>
      <c r="G3368">
        <v>833.93</v>
      </c>
      <c r="H3368" t="s">
        <v>72</v>
      </c>
    </row>
    <row r="3369" spans="1:8" x14ac:dyDescent="0.35">
      <c r="A3369">
        <v>1242</v>
      </c>
      <c r="B3369">
        <v>1</v>
      </c>
      <c r="C3369">
        <v>94</v>
      </c>
      <c r="D3369">
        <v>1</v>
      </c>
      <c r="E3369">
        <v>249.99</v>
      </c>
      <c r="F3369">
        <v>0.1</v>
      </c>
      <c r="G3369">
        <v>249.94</v>
      </c>
      <c r="H3369" t="s">
        <v>95</v>
      </c>
    </row>
    <row r="3370" spans="1:8" x14ac:dyDescent="0.35">
      <c r="A3370">
        <v>1242</v>
      </c>
      <c r="B3370">
        <v>2</v>
      </c>
      <c r="C3370">
        <v>27</v>
      </c>
      <c r="D3370">
        <v>1</v>
      </c>
      <c r="E3370">
        <v>999.99</v>
      </c>
      <c r="F3370">
        <v>0.1</v>
      </c>
      <c r="G3370">
        <v>999.92</v>
      </c>
      <c r="H3370" t="s">
        <v>28</v>
      </c>
    </row>
    <row r="3371" spans="1:8" x14ac:dyDescent="0.35">
      <c r="A3371">
        <v>1242</v>
      </c>
      <c r="B3371">
        <v>3</v>
      </c>
      <c r="C3371">
        <v>10</v>
      </c>
      <c r="D3371">
        <v>1</v>
      </c>
      <c r="E3371">
        <v>1549</v>
      </c>
      <c r="F3371">
        <v>0.1</v>
      </c>
      <c r="G3371">
        <v>1548.93</v>
      </c>
      <c r="H3371" t="s">
        <v>15</v>
      </c>
    </row>
    <row r="3372" spans="1:8" x14ac:dyDescent="0.35">
      <c r="A3372">
        <v>1242</v>
      </c>
      <c r="B3372">
        <v>4</v>
      </c>
      <c r="C3372">
        <v>70</v>
      </c>
      <c r="D3372">
        <v>1</v>
      </c>
      <c r="E3372">
        <v>659.99</v>
      </c>
      <c r="F3372">
        <v>0.2</v>
      </c>
      <c r="G3372">
        <v>659.79</v>
      </c>
      <c r="H3372" t="s">
        <v>71</v>
      </c>
    </row>
    <row r="3373" spans="1:8" x14ac:dyDescent="0.35">
      <c r="A3373">
        <v>1244</v>
      </c>
      <c r="B3373">
        <v>1</v>
      </c>
      <c r="C3373">
        <v>45</v>
      </c>
      <c r="D3373">
        <v>1</v>
      </c>
      <c r="E3373">
        <v>869.99</v>
      </c>
      <c r="F3373">
        <v>0.2</v>
      </c>
      <c r="G3373">
        <v>869.79</v>
      </c>
      <c r="H3373" t="s">
        <v>46</v>
      </c>
    </row>
    <row r="3374" spans="1:8" x14ac:dyDescent="0.35">
      <c r="A3374">
        <v>1244</v>
      </c>
      <c r="B3374">
        <v>2</v>
      </c>
      <c r="C3374">
        <v>38</v>
      </c>
      <c r="D3374">
        <v>2</v>
      </c>
      <c r="E3374">
        <v>549.99</v>
      </c>
      <c r="F3374">
        <v>0.1</v>
      </c>
      <c r="G3374">
        <v>1099.9100000000001</v>
      </c>
      <c r="H3374" t="s">
        <v>39</v>
      </c>
    </row>
    <row r="3375" spans="1:8" x14ac:dyDescent="0.35">
      <c r="A3375">
        <v>1244</v>
      </c>
      <c r="B3375">
        <v>3</v>
      </c>
      <c r="C3375">
        <v>33</v>
      </c>
      <c r="D3375">
        <v>1</v>
      </c>
      <c r="E3375">
        <v>469.99</v>
      </c>
      <c r="F3375">
        <v>0.1</v>
      </c>
      <c r="G3375">
        <v>469.92</v>
      </c>
      <c r="H3375" t="s">
        <v>34</v>
      </c>
    </row>
    <row r="3376" spans="1:8" x14ac:dyDescent="0.35">
      <c r="A3376">
        <v>1244</v>
      </c>
      <c r="B3376">
        <v>4</v>
      </c>
      <c r="C3376">
        <v>37</v>
      </c>
      <c r="D3376">
        <v>2</v>
      </c>
      <c r="E3376">
        <v>379.99</v>
      </c>
      <c r="F3376">
        <v>0.1</v>
      </c>
      <c r="G3376">
        <v>759.88</v>
      </c>
      <c r="H3376" t="s">
        <v>38</v>
      </c>
    </row>
    <row r="3377" spans="1:8" x14ac:dyDescent="0.35">
      <c r="A3377">
        <v>1246</v>
      </c>
      <c r="B3377">
        <v>1</v>
      </c>
      <c r="C3377">
        <v>78</v>
      </c>
      <c r="D3377">
        <v>2</v>
      </c>
      <c r="E3377">
        <v>647.99</v>
      </c>
      <c r="F3377">
        <v>0.2</v>
      </c>
      <c r="G3377">
        <v>1295.78</v>
      </c>
      <c r="H3377" t="s">
        <v>79</v>
      </c>
    </row>
    <row r="3378" spans="1:8" x14ac:dyDescent="0.35">
      <c r="A3378">
        <v>1246</v>
      </c>
      <c r="B3378">
        <v>2</v>
      </c>
      <c r="C3378">
        <v>46</v>
      </c>
      <c r="D3378">
        <v>1</v>
      </c>
      <c r="E3378">
        <v>1409.99</v>
      </c>
      <c r="F3378">
        <v>0.1</v>
      </c>
      <c r="G3378">
        <v>1409.94</v>
      </c>
      <c r="H3378" t="s">
        <v>47</v>
      </c>
    </row>
    <row r="3379" spans="1:8" x14ac:dyDescent="0.35">
      <c r="A3379">
        <v>1246</v>
      </c>
      <c r="B3379">
        <v>3</v>
      </c>
      <c r="C3379">
        <v>45</v>
      </c>
      <c r="D3379">
        <v>2</v>
      </c>
      <c r="E3379">
        <v>869.99</v>
      </c>
      <c r="F3379">
        <v>0.1</v>
      </c>
      <c r="G3379">
        <v>1739.91</v>
      </c>
      <c r="H3379" t="s">
        <v>46</v>
      </c>
    </row>
    <row r="3380" spans="1:8" x14ac:dyDescent="0.35">
      <c r="A3380">
        <v>1247</v>
      </c>
      <c r="B3380">
        <v>1</v>
      </c>
      <c r="C3380">
        <v>15</v>
      </c>
      <c r="D3380">
        <v>2</v>
      </c>
      <c r="E3380">
        <v>529.99</v>
      </c>
      <c r="F3380">
        <v>0.1</v>
      </c>
      <c r="G3380">
        <v>1059.8800000000001</v>
      </c>
      <c r="H3380" t="s">
        <v>20</v>
      </c>
    </row>
    <row r="3381" spans="1:8" x14ac:dyDescent="0.35">
      <c r="A3381">
        <v>1247</v>
      </c>
      <c r="B3381">
        <v>2</v>
      </c>
      <c r="C3381">
        <v>28</v>
      </c>
      <c r="D3381">
        <v>2</v>
      </c>
      <c r="E3381">
        <v>2499.9899999999998</v>
      </c>
      <c r="F3381">
        <v>0.1</v>
      </c>
      <c r="G3381">
        <v>4999.88</v>
      </c>
      <c r="H3381" t="s">
        <v>29</v>
      </c>
    </row>
    <row r="3382" spans="1:8" x14ac:dyDescent="0.35">
      <c r="A3382">
        <v>1247</v>
      </c>
      <c r="B3382">
        <v>3</v>
      </c>
      <c r="C3382">
        <v>26</v>
      </c>
      <c r="D3382">
        <v>1</v>
      </c>
      <c r="E3382">
        <v>599.99</v>
      </c>
      <c r="F3382">
        <v>0.1</v>
      </c>
      <c r="G3382">
        <v>599.94000000000005</v>
      </c>
      <c r="H3382" t="s">
        <v>21</v>
      </c>
    </row>
    <row r="3383" spans="1:8" x14ac:dyDescent="0.35">
      <c r="A3383">
        <v>1248</v>
      </c>
      <c r="B3383">
        <v>1</v>
      </c>
      <c r="C3383">
        <v>94</v>
      </c>
      <c r="D3383">
        <v>2</v>
      </c>
      <c r="E3383">
        <v>249.99</v>
      </c>
      <c r="F3383">
        <v>0.1</v>
      </c>
      <c r="G3383">
        <v>499.93</v>
      </c>
      <c r="H3383" t="s">
        <v>95</v>
      </c>
    </row>
    <row r="3384" spans="1:8" x14ac:dyDescent="0.35">
      <c r="A3384">
        <v>1248</v>
      </c>
      <c r="B3384">
        <v>2</v>
      </c>
      <c r="C3384">
        <v>33</v>
      </c>
      <c r="D3384">
        <v>2</v>
      </c>
      <c r="E3384">
        <v>469.99</v>
      </c>
      <c r="F3384">
        <v>0.1</v>
      </c>
      <c r="G3384">
        <v>939.88</v>
      </c>
      <c r="H3384" t="s">
        <v>34</v>
      </c>
    </row>
    <row r="3385" spans="1:8" x14ac:dyDescent="0.35">
      <c r="A3385">
        <v>1248</v>
      </c>
      <c r="B3385">
        <v>3</v>
      </c>
      <c r="C3385">
        <v>92</v>
      </c>
      <c r="D3385">
        <v>1</v>
      </c>
      <c r="E3385">
        <v>209.99</v>
      </c>
      <c r="F3385">
        <v>0.1</v>
      </c>
      <c r="G3385">
        <v>209.89</v>
      </c>
      <c r="H3385" t="s">
        <v>93</v>
      </c>
    </row>
    <row r="3386" spans="1:8" x14ac:dyDescent="0.35">
      <c r="A3386">
        <v>1248</v>
      </c>
      <c r="B3386">
        <v>4</v>
      </c>
      <c r="C3386">
        <v>12</v>
      </c>
      <c r="D3386">
        <v>1</v>
      </c>
      <c r="E3386">
        <v>549.99</v>
      </c>
      <c r="F3386">
        <v>0.1</v>
      </c>
      <c r="G3386">
        <v>549.94000000000005</v>
      </c>
      <c r="H3386" t="s">
        <v>17</v>
      </c>
    </row>
    <row r="3387" spans="1:8" x14ac:dyDescent="0.35">
      <c r="A3387">
        <v>1249</v>
      </c>
      <c r="B3387">
        <v>1</v>
      </c>
      <c r="C3387">
        <v>62</v>
      </c>
      <c r="D3387">
        <v>1</v>
      </c>
      <c r="E3387">
        <v>3499.99</v>
      </c>
      <c r="F3387">
        <v>0.1</v>
      </c>
      <c r="G3387">
        <v>3499.94</v>
      </c>
      <c r="H3387" t="s">
        <v>63</v>
      </c>
    </row>
    <row r="3388" spans="1:8" x14ac:dyDescent="0.35">
      <c r="A3388">
        <v>1249</v>
      </c>
      <c r="B3388">
        <v>2</v>
      </c>
      <c r="C3388">
        <v>104</v>
      </c>
      <c r="D3388">
        <v>1</v>
      </c>
      <c r="E3388">
        <v>481.99</v>
      </c>
      <c r="F3388">
        <v>0.1</v>
      </c>
      <c r="G3388">
        <v>481.94</v>
      </c>
      <c r="H3388" t="s">
        <v>103</v>
      </c>
    </row>
    <row r="3389" spans="1:8" x14ac:dyDescent="0.35">
      <c r="A3389">
        <v>1249</v>
      </c>
      <c r="B3389">
        <v>3</v>
      </c>
      <c r="C3389">
        <v>61</v>
      </c>
      <c r="D3389">
        <v>1</v>
      </c>
      <c r="E3389">
        <v>4999.99</v>
      </c>
      <c r="F3389">
        <v>0.2</v>
      </c>
      <c r="G3389">
        <v>4999.79</v>
      </c>
      <c r="H3389" t="s">
        <v>62</v>
      </c>
    </row>
    <row r="3390" spans="1:8" x14ac:dyDescent="0.35">
      <c r="A3390">
        <v>1250</v>
      </c>
      <c r="B3390">
        <v>1</v>
      </c>
      <c r="C3390">
        <v>78</v>
      </c>
      <c r="D3390">
        <v>2</v>
      </c>
      <c r="E3390">
        <v>647.99</v>
      </c>
      <c r="F3390">
        <v>0.1</v>
      </c>
      <c r="G3390">
        <v>1295.93</v>
      </c>
      <c r="H3390" t="s">
        <v>79</v>
      </c>
    </row>
    <row r="3391" spans="1:8" x14ac:dyDescent="0.35">
      <c r="A3391">
        <v>1250</v>
      </c>
      <c r="B3391">
        <v>2</v>
      </c>
      <c r="C3391">
        <v>66</v>
      </c>
      <c r="D3391">
        <v>2</v>
      </c>
      <c r="E3391">
        <v>250.99</v>
      </c>
      <c r="F3391">
        <v>0.1</v>
      </c>
      <c r="G3391">
        <v>501.88</v>
      </c>
      <c r="H3391" t="s">
        <v>67</v>
      </c>
    </row>
    <row r="3392" spans="1:8" x14ac:dyDescent="0.35">
      <c r="A3392">
        <v>1250</v>
      </c>
      <c r="B3392">
        <v>3</v>
      </c>
      <c r="C3392">
        <v>20</v>
      </c>
      <c r="D3392">
        <v>2</v>
      </c>
      <c r="E3392">
        <v>599.99</v>
      </c>
      <c r="F3392">
        <v>0.1</v>
      </c>
      <c r="G3392">
        <v>1199.93</v>
      </c>
      <c r="H3392" t="s">
        <v>25</v>
      </c>
    </row>
    <row r="3393" spans="1:8" x14ac:dyDescent="0.35">
      <c r="A3393">
        <v>1250</v>
      </c>
      <c r="B3393">
        <v>4</v>
      </c>
      <c r="C3393">
        <v>6</v>
      </c>
      <c r="D3393">
        <v>2</v>
      </c>
      <c r="E3393">
        <v>469.99</v>
      </c>
      <c r="F3393">
        <v>0.1</v>
      </c>
      <c r="G3393">
        <v>939.88</v>
      </c>
      <c r="H3393" t="s">
        <v>11</v>
      </c>
    </row>
    <row r="3394" spans="1:8" x14ac:dyDescent="0.35">
      <c r="A3394">
        <v>1251</v>
      </c>
      <c r="B3394">
        <v>1</v>
      </c>
      <c r="C3394">
        <v>40</v>
      </c>
      <c r="D3394">
        <v>2</v>
      </c>
      <c r="E3394">
        <v>4999.99</v>
      </c>
      <c r="F3394">
        <v>0.1</v>
      </c>
      <c r="G3394">
        <v>9999.8799999999992</v>
      </c>
      <c r="H3394" t="s">
        <v>41</v>
      </c>
    </row>
    <row r="3395" spans="1:8" x14ac:dyDescent="0.35">
      <c r="A3395">
        <v>1251</v>
      </c>
      <c r="B3395">
        <v>2</v>
      </c>
      <c r="C3395">
        <v>56</v>
      </c>
      <c r="D3395">
        <v>1</v>
      </c>
      <c r="E3395">
        <v>5499.99</v>
      </c>
      <c r="F3395">
        <v>0.1</v>
      </c>
      <c r="G3395">
        <v>5499.92</v>
      </c>
      <c r="H3395" t="s">
        <v>57</v>
      </c>
    </row>
    <row r="3396" spans="1:8" x14ac:dyDescent="0.35">
      <c r="A3396">
        <v>1251</v>
      </c>
      <c r="B3396">
        <v>3</v>
      </c>
      <c r="C3396">
        <v>7</v>
      </c>
      <c r="D3396">
        <v>1</v>
      </c>
      <c r="E3396">
        <v>3999.99</v>
      </c>
      <c r="F3396">
        <v>0.1</v>
      </c>
      <c r="G3396">
        <v>3999.92</v>
      </c>
      <c r="H3396" t="s">
        <v>12</v>
      </c>
    </row>
    <row r="3397" spans="1:8" x14ac:dyDescent="0.35">
      <c r="A3397">
        <v>1252</v>
      </c>
      <c r="B3397">
        <v>1</v>
      </c>
      <c r="C3397">
        <v>79</v>
      </c>
      <c r="D3397">
        <v>1</v>
      </c>
      <c r="E3397">
        <v>402.99</v>
      </c>
      <c r="F3397">
        <v>0.2</v>
      </c>
      <c r="G3397">
        <v>402.79</v>
      </c>
      <c r="H3397" t="s">
        <v>80</v>
      </c>
    </row>
    <row r="3398" spans="1:8" x14ac:dyDescent="0.35">
      <c r="A3398">
        <v>1252</v>
      </c>
      <c r="B3398">
        <v>2</v>
      </c>
      <c r="C3398">
        <v>84</v>
      </c>
      <c r="D3398">
        <v>1</v>
      </c>
      <c r="E3398">
        <v>109.99</v>
      </c>
      <c r="F3398">
        <v>0.2</v>
      </c>
      <c r="G3398">
        <v>109.79</v>
      </c>
      <c r="H3398" t="s">
        <v>85</v>
      </c>
    </row>
    <row r="3399" spans="1:8" x14ac:dyDescent="0.35">
      <c r="A3399">
        <v>1252</v>
      </c>
      <c r="B3399">
        <v>3</v>
      </c>
      <c r="C3399">
        <v>57</v>
      </c>
      <c r="D3399">
        <v>2</v>
      </c>
      <c r="E3399">
        <v>1999.99</v>
      </c>
      <c r="F3399">
        <v>0.1</v>
      </c>
      <c r="G3399">
        <v>3999.93</v>
      </c>
      <c r="H3399" t="s">
        <v>58</v>
      </c>
    </row>
    <row r="3400" spans="1:8" x14ac:dyDescent="0.35">
      <c r="A3400">
        <v>1253</v>
      </c>
      <c r="B3400">
        <v>1</v>
      </c>
      <c r="C3400">
        <v>25</v>
      </c>
      <c r="D3400">
        <v>2</v>
      </c>
      <c r="E3400">
        <v>499.99</v>
      </c>
      <c r="F3400">
        <v>0.1</v>
      </c>
      <c r="G3400">
        <v>999.88</v>
      </c>
      <c r="H3400" t="s">
        <v>27</v>
      </c>
    </row>
    <row r="3401" spans="1:8" x14ac:dyDescent="0.35">
      <c r="A3401">
        <v>1253</v>
      </c>
      <c r="B3401">
        <v>2</v>
      </c>
      <c r="C3401">
        <v>21</v>
      </c>
      <c r="D3401">
        <v>1</v>
      </c>
      <c r="E3401">
        <v>269.99</v>
      </c>
      <c r="F3401">
        <v>0.1</v>
      </c>
      <c r="G3401">
        <v>269.92</v>
      </c>
      <c r="H3401" t="s">
        <v>18</v>
      </c>
    </row>
    <row r="3402" spans="1:8" x14ac:dyDescent="0.35">
      <c r="A3402">
        <v>1253</v>
      </c>
      <c r="B3402">
        <v>3</v>
      </c>
      <c r="C3402">
        <v>88</v>
      </c>
      <c r="D3402">
        <v>1</v>
      </c>
      <c r="E3402">
        <v>189.99</v>
      </c>
      <c r="F3402">
        <v>0.2</v>
      </c>
      <c r="G3402">
        <v>189.79</v>
      </c>
      <c r="H3402" t="s">
        <v>89</v>
      </c>
    </row>
    <row r="3403" spans="1:8" x14ac:dyDescent="0.35">
      <c r="A3403">
        <v>1254</v>
      </c>
      <c r="B3403">
        <v>1</v>
      </c>
      <c r="C3403">
        <v>80</v>
      </c>
      <c r="D3403">
        <v>1</v>
      </c>
      <c r="E3403">
        <v>761.99</v>
      </c>
      <c r="F3403">
        <v>0.2</v>
      </c>
      <c r="G3403">
        <v>761.79</v>
      </c>
      <c r="H3403" t="s">
        <v>81</v>
      </c>
    </row>
    <row r="3404" spans="1:8" x14ac:dyDescent="0.35">
      <c r="A3404">
        <v>1254</v>
      </c>
      <c r="B3404">
        <v>2</v>
      </c>
      <c r="C3404">
        <v>91</v>
      </c>
      <c r="D3404">
        <v>1</v>
      </c>
      <c r="E3404">
        <v>349.99</v>
      </c>
      <c r="F3404">
        <v>0.2</v>
      </c>
      <c r="G3404">
        <v>349.79</v>
      </c>
      <c r="H3404" t="s">
        <v>92</v>
      </c>
    </row>
    <row r="3405" spans="1:8" x14ac:dyDescent="0.35">
      <c r="A3405">
        <v>1255</v>
      </c>
      <c r="B3405">
        <v>1</v>
      </c>
      <c r="C3405">
        <v>43</v>
      </c>
      <c r="D3405">
        <v>2</v>
      </c>
      <c r="E3405">
        <v>5299.99</v>
      </c>
      <c r="F3405">
        <v>0.2</v>
      </c>
      <c r="G3405">
        <v>10599.78</v>
      </c>
      <c r="H3405" t="s">
        <v>44</v>
      </c>
    </row>
    <row r="3406" spans="1:8" x14ac:dyDescent="0.35">
      <c r="A3406">
        <v>1255</v>
      </c>
      <c r="B3406">
        <v>2</v>
      </c>
      <c r="C3406">
        <v>53</v>
      </c>
      <c r="D3406">
        <v>1</v>
      </c>
      <c r="E3406">
        <v>749.99</v>
      </c>
      <c r="F3406">
        <v>0.1</v>
      </c>
      <c r="G3406">
        <v>749.94</v>
      </c>
      <c r="H3406" t="s">
        <v>54</v>
      </c>
    </row>
    <row r="3407" spans="1:8" x14ac:dyDescent="0.35">
      <c r="A3407">
        <v>1255</v>
      </c>
      <c r="B3407">
        <v>3</v>
      </c>
      <c r="C3407">
        <v>14</v>
      </c>
      <c r="D3407">
        <v>2</v>
      </c>
      <c r="E3407">
        <v>269.99</v>
      </c>
      <c r="F3407">
        <v>0.2</v>
      </c>
      <c r="G3407">
        <v>539.78</v>
      </c>
      <c r="H3407" t="s">
        <v>19</v>
      </c>
    </row>
    <row r="3408" spans="1:8" x14ac:dyDescent="0.35">
      <c r="A3408">
        <v>1255</v>
      </c>
      <c r="B3408">
        <v>4</v>
      </c>
      <c r="C3408">
        <v>26</v>
      </c>
      <c r="D3408">
        <v>2</v>
      </c>
      <c r="E3408">
        <v>599.99</v>
      </c>
      <c r="F3408">
        <v>0.1</v>
      </c>
      <c r="G3408">
        <v>1199.93</v>
      </c>
      <c r="H3408" t="s">
        <v>21</v>
      </c>
    </row>
    <row r="3409" spans="1:8" x14ac:dyDescent="0.35">
      <c r="A3409">
        <v>1255</v>
      </c>
      <c r="B3409">
        <v>5</v>
      </c>
      <c r="C3409">
        <v>82</v>
      </c>
      <c r="D3409">
        <v>1</v>
      </c>
      <c r="E3409">
        <v>659.99</v>
      </c>
      <c r="F3409">
        <v>0.1</v>
      </c>
      <c r="G3409">
        <v>659.94</v>
      </c>
      <c r="H3409" t="s">
        <v>83</v>
      </c>
    </row>
    <row r="3410" spans="1:8" x14ac:dyDescent="0.35">
      <c r="A3410">
        <v>1256</v>
      </c>
      <c r="B3410">
        <v>1</v>
      </c>
      <c r="C3410">
        <v>44</v>
      </c>
      <c r="D3410">
        <v>2</v>
      </c>
      <c r="E3410">
        <v>539.99</v>
      </c>
      <c r="F3410">
        <v>0.2</v>
      </c>
      <c r="G3410">
        <v>1079.78</v>
      </c>
      <c r="H3410" t="s">
        <v>45</v>
      </c>
    </row>
    <row r="3411" spans="1:8" x14ac:dyDescent="0.35">
      <c r="A3411">
        <v>1256</v>
      </c>
      <c r="B3411">
        <v>2</v>
      </c>
      <c r="C3411">
        <v>100</v>
      </c>
      <c r="D3411">
        <v>1</v>
      </c>
      <c r="E3411">
        <v>489.99</v>
      </c>
      <c r="F3411">
        <v>0.1</v>
      </c>
      <c r="G3411">
        <v>489.89</v>
      </c>
      <c r="H3411" t="s">
        <v>100</v>
      </c>
    </row>
    <row r="3412" spans="1:8" x14ac:dyDescent="0.35">
      <c r="A3412">
        <v>1257</v>
      </c>
      <c r="B3412">
        <v>1</v>
      </c>
      <c r="C3412">
        <v>30</v>
      </c>
      <c r="D3412">
        <v>2</v>
      </c>
      <c r="E3412">
        <v>999.99</v>
      </c>
      <c r="F3412">
        <v>0.1</v>
      </c>
      <c r="G3412">
        <v>1999.93</v>
      </c>
      <c r="H3412" t="s">
        <v>31</v>
      </c>
    </row>
    <row r="3413" spans="1:8" x14ac:dyDescent="0.35">
      <c r="A3413">
        <v>1257</v>
      </c>
      <c r="B3413">
        <v>2</v>
      </c>
      <c r="C3413">
        <v>61</v>
      </c>
      <c r="D3413">
        <v>1</v>
      </c>
      <c r="E3413">
        <v>4999.99</v>
      </c>
      <c r="F3413">
        <v>0.1</v>
      </c>
      <c r="G3413">
        <v>4999.9399999999996</v>
      </c>
      <c r="H3413" t="s">
        <v>62</v>
      </c>
    </row>
    <row r="3414" spans="1:8" x14ac:dyDescent="0.35">
      <c r="A3414">
        <v>1257</v>
      </c>
      <c r="B3414">
        <v>3</v>
      </c>
      <c r="C3414">
        <v>17</v>
      </c>
      <c r="D3414">
        <v>2</v>
      </c>
      <c r="E3414">
        <v>429</v>
      </c>
      <c r="F3414">
        <v>0.1</v>
      </c>
      <c r="G3414">
        <v>857.9</v>
      </c>
      <c r="H3414" t="s">
        <v>22</v>
      </c>
    </row>
    <row r="3415" spans="1:8" x14ac:dyDescent="0.35">
      <c r="A3415">
        <v>1257</v>
      </c>
      <c r="B3415">
        <v>4</v>
      </c>
      <c r="C3415">
        <v>41</v>
      </c>
      <c r="D3415">
        <v>1</v>
      </c>
      <c r="E3415">
        <v>1469.99</v>
      </c>
      <c r="F3415">
        <v>0.1</v>
      </c>
      <c r="G3415">
        <v>1469.94</v>
      </c>
      <c r="H3415" t="s">
        <v>42</v>
      </c>
    </row>
    <row r="3416" spans="1:8" x14ac:dyDescent="0.35">
      <c r="A3416">
        <v>1257</v>
      </c>
      <c r="B3416">
        <v>5</v>
      </c>
      <c r="C3416">
        <v>4</v>
      </c>
      <c r="D3416">
        <v>1</v>
      </c>
      <c r="E3416">
        <v>2899.99</v>
      </c>
      <c r="F3416">
        <v>0.1</v>
      </c>
      <c r="G3416">
        <v>2899.89</v>
      </c>
      <c r="H3416" t="s">
        <v>9</v>
      </c>
    </row>
    <row r="3417" spans="1:8" x14ac:dyDescent="0.35">
      <c r="A3417">
        <v>1258</v>
      </c>
      <c r="B3417">
        <v>1</v>
      </c>
      <c r="C3417">
        <v>94</v>
      </c>
      <c r="D3417">
        <v>2</v>
      </c>
      <c r="E3417">
        <v>249.99</v>
      </c>
      <c r="F3417">
        <v>0.1</v>
      </c>
      <c r="G3417">
        <v>499.88</v>
      </c>
      <c r="H3417" t="s">
        <v>95</v>
      </c>
    </row>
    <row r="3418" spans="1:8" x14ac:dyDescent="0.35">
      <c r="A3418">
        <v>1258</v>
      </c>
      <c r="B3418">
        <v>2</v>
      </c>
      <c r="C3418">
        <v>99</v>
      </c>
      <c r="D3418">
        <v>2</v>
      </c>
      <c r="E3418">
        <v>299.99</v>
      </c>
      <c r="F3418">
        <v>0.1</v>
      </c>
      <c r="G3418">
        <v>599.92999999999995</v>
      </c>
      <c r="H3418" t="s">
        <v>99</v>
      </c>
    </row>
    <row r="3419" spans="1:8" x14ac:dyDescent="0.35">
      <c r="A3419">
        <v>1259</v>
      </c>
      <c r="B3419">
        <v>1</v>
      </c>
      <c r="C3419">
        <v>60</v>
      </c>
      <c r="D3419">
        <v>1</v>
      </c>
      <c r="E3419">
        <v>1559.99</v>
      </c>
      <c r="F3419">
        <v>0.1</v>
      </c>
      <c r="G3419">
        <v>1559.89</v>
      </c>
      <c r="H3419" t="s">
        <v>61</v>
      </c>
    </row>
    <row r="3420" spans="1:8" x14ac:dyDescent="0.35">
      <c r="A3420">
        <v>1259</v>
      </c>
      <c r="B3420">
        <v>2</v>
      </c>
      <c r="C3420">
        <v>19</v>
      </c>
      <c r="D3420">
        <v>1</v>
      </c>
      <c r="E3420">
        <v>449</v>
      </c>
      <c r="F3420">
        <v>0.2</v>
      </c>
      <c r="G3420">
        <v>448.8</v>
      </c>
      <c r="H3420" t="s">
        <v>24</v>
      </c>
    </row>
    <row r="3421" spans="1:8" x14ac:dyDescent="0.35">
      <c r="A3421">
        <v>1260</v>
      </c>
      <c r="B3421">
        <v>1</v>
      </c>
      <c r="C3421">
        <v>8</v>
      </c>
      <c r="D3421">
        <v>1</v>
      </c>
      <c r="E3421">
        <v>1799.99</v>
      </c>
      <c r="F3421">
        <v>0.1</v>
      </c>
      <c r="G3421">
        <v>1799.89</v>
      </c>
      <c r="H3421" t="s">
        <v>13</v>
      </c>
    </row>
    <row r="3422" spans="1:8" x14ac:dyDescent="0.35">
      <c r="A3422">
        <v>1260</v>
      </c>
      <c r="B3422">
        <v>2</v>
      </c>
      <c r="C3422">
        <v>66</v>
      </c>
      <c r="D3422">
        <v>1</v>
      </c>
      <c r="E3422">
        <v>250.99</v>
      </c>
      <c r="F3422">
        <v>0.1</v>
      </c>
      <c r="G3422">
        <v>250.89</v>
      </c>
      <c r="H3422" t="s">
        <v>67</v>
      </c>
    </row>
    <row r="3423" spans="1:8" x14ac:dyDescent="0.35">
      <c r="A3423">
        <v>1261</v>
      </c>
      <c r="B3423">
        <v>1</v>
      </c>
      <c r="C3423">
        <v>73</v>
      </c>
      <c r="D3423">
        <v>1</v>
      </c>
      <c r="E3423">
        <v>749.99</v>
      </c>
      <c r="F3423">
        <v>0.2</v>
      </c>
      <c r="G3423">
        <v>749.79</v>
      </c>
      <c r="H3423" t="s">
        <v>74</v>
      </c>
    </row>
    <row r="3424" spans="1:8" x14ac:dyDescent="0.35">
      <c r="A3424">
        <v>1261</v>
      </c>
      <c r="B3424">
        <v>2</v>
      </c>
      <c r="C3424">
        <v>88</v>
      </c>
      <c r="D3424">
        <v>2</v>
      </c>
      <c r="E3424">
        <v>189.99</v>
      </c>
      <c r="F3424">
        <v>0.2</v>
      </c>
      <c r="G3424">
        <v>379.78</v>
      </c>
      <c r="H3424" t="s">
        <v>89</v>
      </c>
    </row>
    <row r="3425" spans="1:8" x14ac:dyDescent="0.35">
      <c r="A3425">
        <v>1261</v>
      </c>
      <c r="B3425">
        <v>3</v>
      </c>
      <c r="C3425">
        <v>100</v>
      </c>
      <c r="D3425">
        <v>1</v>
      </c>
      <c r="E3425">
        <v>489.99</v>
      </c>
      <c r="F3425">
        <v>0.1</v>
      </c>
      <c r="G3425">
        <v>489.94</v>
      </c>
      <c r="H3425" t="s">
        <v>100</v>
      </c>
    </row>
    <row r="3426" spans="1:8" x14ac:dyDescent="0.35">
      <c r="A3426">
        <v>1261</v>
      </c>
      <c r="B3426">
        <v>4</v>
      </c>
      <c r="C3426">
        <v>42</v>
      </c>
      <c r="D3426">
        <v>1</v>
      </c>
      <c r="E3426">
        <v>2299.9899999999998</v>
      </c>
      <c r="F3426">
        <v>0.1</v>
      </c>
      <c r="G3426">
        <v>2299.89</v>
      </c>
      <c r="H3426" t="s">
        <v>43</v>
      </c>
    </row>
    <row r="3427" spans="1:8" x14ac:dyDescent="0.35">
      <c r="A3427">
        <v>1262</v>
      </c>
      <c r="B3427">
        <v>1</v>
      </c>
      <c r="C3427">
        <v>37</v>
      </c>
      <c r="D3427">
        <v>1</v>
      </c>
      <c r="E3427">
        <v>379.99</v>
      </c>
      <c r="F3427">
        <v>0.1</v>
      </c>
      <c r="G3427">
        <v>379.92</v>
      </c>
      <c r="H3427" t="s">
        <v>38</v>
      </c>
    </row>
    <row r="3428" spans="1:8" x14ac:dyDescent="0.35">
      <c r="A3428">
        <v>1262</v>
      </c>
      <c r="B3428">
        <v>2</v>
      </c>
      <c r="C3428">
        <v>52</v>
      </c>
      <c r="D3428">
        <v>1</v>
      </c>
      <c r="E3428">
        <v>875.99</v>
      </c>
      <c r="F3428">
        <v>0.1</v>
      </c>
      <c r="G3428">
        <v>875.94</v>
      </c>
      <c r="H3428" t="s">
        <v>53</v>
      </c>
    </row>
    <row r="3429" spans="1:8" x14ac:dyDescent="0.35">
      <c r="A3429">
        <v>1262</v>
      </c>
      <c r="B3429">
        <v>3</v>
      </c>
      <c r="C3429">
        <v>43</v>
      </c>
      <c r="D3429">
        <v>2</v>
      </c>
      <c r="E3429">
        <v>5299.99</v>
      </c>
      <c r="F3429">
        <v>0.1</v>
      </c>
      <c r="G3429">
        <v>10599.91</v>
      </c>
      <c r="H3429" t="s">
        <v>44</v>
      </c>
    </row>
    <row r="3430" spans="1:8" x14ac:dyDescent="0.35">
      <c r="A3430">
        <v>1262</v>
      </c>
      <c r="B3430">
        <v>4</v>
      </c>
      <c r="C3430">
        <v>77</v>
      </c>
      <c r="D3430">
        <v>1</v>
      </c>
      <c r="E3430">
        <v>799.99</v>
      </c>
      <c r="F3430">
        <v>0.1</v>
      </c>
      <c r="G3430">
        <v>799.92</v>
      </c>
      <c r="H3430" t="s">
        <v>78</v>
      </c>
    </row>
    <row r="3431" spans="1:8" x14ac:dyDescent="0.35">
      <c r="A3431">
        <v>1263</v>
      </c>
      <c r="B3431">
        <v>1</v>
      </c>
      <c r="C3431">
        <v>45</v>
      </c>
      <c r="D3431">
        <v>1</v>
      </c>
      <c r="E3431">
        <v>869.99</v>
      </c>
      <c r="F3431">
        <v>0.2</v>
      </c>
      <c r="G3431">
        <v>869.79</v>
      </c>
      <c r="H3431" t="s">
        <v>46</v>
      </c>
    </row>
    <row r="3432" spans="1:8" x14ac:dyDescent="0.35">
      <c r="A3432">
        <v>1263</v>
      </c>
      <c r="B3432">
        <v>2</v>
      </c>
      <c r="C3432">
        <v>62</v>
      </c>
      <c r="D3432">
        <v>1</v>
      </c>
      <c r="E3432">
        <v>3499.99</v>
      </c>
      <c r="F3432">
        <v>0.1</v>
      </c>
      <c r="G3432">
        <v>3499.94</v>
      </c>
      <c r="H3432" t="s">
        <v>63</v>
      </c>
    </row>
    <row r="3433" spans="1:8" x14ac:dyDescent="0.35">
      <c r="A3433">
        <v>1263</v>
      </c>
      <c r="B3433">
        <v>3</v>
      </c>
      <c r="C3433">
        <v>19</v>
      </c>
      <c r="D3433">
        <v>2</v>
      </c>
      <c r="E3433">
        <v>449</v>
      </c>
      <c r="F3433">
        <v>0.1</v>
      </c>
      <c r="G3433">
        <v>897.9</v>
      </c>
      <c r="H3433" t="s">
        <v>24</v>
      </c>
    </row>
    <row r="3434" spans="1:8" x14ac:dyDescent="0.35">
      <c r="A3434">
        <v>1264</v>
      </c>
      <c r="B3434">
        <v>1</v>
      </c>
      <c r="C3434">
        <v>101</v>
      </c>
      <c r="D3434">
        <v>1</v>
      </c>
      <c r="E3434">
        <v>339.99</v>
      </c>
      <c r="F3434">
        <v>0.1</v>
      </c>
      <c r="G3434">
        <v>339.92</v>
      </c>
      <c r="H3434" t="s">
        <v>101</v>
      </c>
    </row>
    <row r="3435" spans="1:8" x14ac:dyDescent="0.35">
      <c r="A3435">
        <v>1264</v>
      </c>
      <c r="B3435">
        <v>2</v>
      </c>
      <c r="C3435">
        <v>77</v>
      </c>
      <c r="D3435">
        <v>2</v>
      </c>
      <c r="E3435">
        <v>799.99</v>
      </c>
      <c r="F3435">
        <v>0.1</v>
      </c>
      <c r="G3435">
        <v>1599.91</v>
      </c>
      <c r="H3435" t="s">
        <v>78</v>
      </c>
    </row>
    <row r="3436" spans="1:8" x14ac:dyDescent="0.35">
      <c r="A3436">
        <v>1264</v>
      </c>
      <c r="B3436">
        <v>3</v>
      </c>
      <c r="C3436">
        <v>29</v>
      </c>
      <c r="D3436">
        <v>2</v>
      </c>
      <c r="E3436">
        <v>999.99</v>
      </c>
      <c r="F3436">
        <v>0.2</v>
      </c>
      <c r="G3436">
        <v>1999.78</v>
      </c>
      <c r="H3436" t="s">
        <v>30</v>
      </c>
    </row>
    <row r="3437" spans="1:8" x14ac:dyDescent="0.35">
      <c r="A3437">
        <v>1264</v>
      </c>
      <c r="B3437">
        <v>4</v>
      </c>
      <c r="C3437">
        <v>52</v>
      </c>
      <c r="D3437">
        <v>1</v>
      </c>
      <c r="E3437">
        <v>875.99</v>
      </c>
      <c r="F3437">
        <v>0.1</v>
      </c>
      <c r="G3437">
        <v>875.94</v>
      </c>
      <c r="H3437" t="s">
        <v>53</v>
      </c>
    </row>
    <row r="3438" spans="1:8" x14ac:dyDescent="0.35">
      <c r="A3438">
        <v>1265</v>
      </c>
      <c r="B3438">
        <v>1</v>
      </c>
      <c r="C3438">
        <v>41</v>
      </c>
      <c r="D3438">
        <v>2</v>
      </c>
      <c r="E3438">
        <v>1469.99</v>
      </c>
      <c r="F3438">
        <v>0.1</v>
      </c>
      <c r="G3438">
        <v>2939.88</v>
      </c>
      <c r="H3438" t="s">
        <v>42</v>
      </c>
    </row>
    <row r="3439" spans="1:8" x14ac:dyDescent="0.35">
      <c r="A3439">
        <v>1265</v>
      </c>
      <c r="B3439">
        <v>2</v>
      </c>
      <c r="C3439">
        <v>72</v>
      </c>
      <c r="D3439">
        <v>2</v>
      </c>
      <c r="E3439">
        <v>619.99</v>
      </c>
      <c r="F3439">
        <v>0.1</v>
      </c>
      <c r="G3439">
        <v>1239.9100000000001</v>
      </c>
      <c r="H3439" t="s">
        <v>73</v>
      </c>
    </row>
    <row r="3440" spans="1:8" x14ac:dyDescent="0.35">
      <c r="A3440">
        <v>1266</v>
      </c>
      <c r="B3440">
        <v>1</v>
      </c>
      <c r="C3440">
        <v>90</v>
      </c>
      <c r="D3440">
        <v>1</v>
      </c>
      <c r="E3440">
        <v>209.99</v>
      </c>
      <c r="F3440">
        <v>0.2</v>
      </c>
      <c r="G3440">
        <v>209.79</v>
      </c>
      <c r="H3440" t="s">
        <v>91</v>
      </c>
    </row>
    <row r="3441" spans="1:8" x14ac:dyDescent="0.35">
      <c r="A3441">
        <v>1266</v>
      </c>
      <c r="B3441">
        <v>2</v>
      </c>
      <c r="C3441">
        <v>48</v>
      </c>
      <c r="D3441">
        <v>1</v>
      </c>
      <c r="E3441">
        <v>1499.99</v>
      </c>
      <c r="F3441">
        <v>0.2</v>
      </c>
      <c r="G3441">
        <v>1499.79</v>
      </c>
      <c r="H3441" t="s">
        <v>49</v>
      </c>
    </row>
    <row r="3442" spans="1:8" x14ac:dyDescent="0.35">
      <c r="A3442">
        <v>1267</v>
      </c>
      <c r="B3442">
        <v>1</v>
      </c>
      <c r="C3442">
        <v>45</v>
      </c>
      <c r="D3442">
        <v>1</v>
      </c>
      <c r="E3442">
        <v>869.99</v>
      </c>
      <c r="F3442">
        <v>0.1</v>
      </c>
      <c r="G3442">
        <v>869.89</v>
      </c>
      <c r="H3442" t="s">
        <v>46</v>
      </c>
    </row>
    <row r="3443" spans="1:8" x14ac:dyDescent="0.35">
      <c r="A3443">
        <v>1267</v>
      </c>
      <c r="B3443">
        <v>2</v>
      </c>
      <c r="C3443">
        <v>27</v>
      </c>
      <c r="D3443">
        <v>1</v>
      </c>
      <c r="E3443">
        <v>999.99</v>
      </c>
      <c r="F3443">
        <v>0.1</v>
      </c>
      <c r="G3443">
        <v>999.92</v>
      </c>
      <c r="H3443" t="s">
        <v>28</v>
      </c>
    </row>
    <row r="3444" spans="1:8" x14ac:dyDescent="0.35">
      <c r="A3444">
        <v>1267</v>
      </c>
      <c r="B3444">
        <v>3</v>
      </c>
      <c r="C3444">
        <v>108</v>
      </c>
      <c r="D3444">
        <v>1</v>
      </c>
      <c r="E3444">
        <v>449.99</v>
      </c>
      <c r="F3444">
        <v>0.2</v>
      </c>
      <c r="G3444">
        <v>449.79</v>
      </c>
      <c r="H3444" t="s">
        <v>105</v>
      </c>
    </row>
    <row r="3445" spans="1:8" x14ac:dyDescent="0.35">
      <c r="A3445">
        <v>1267</v>
      </c>
      <c r="B3445">
        <v>4</v>
      </c>
      <c r="C3445">
        <v>95</v>
      </c>
      <c r="D3445">
        <v>1</v>
      </c>
      <c r="E3445">
        <v>299.99</v>
      </c>
      <c r="F3445">
        <v>0.1</v>
      </c>
      <c r="G3445">
        <v>299.94</v>
      </c>
      <c r="H3445" t="s">
        <v>77</v>
      </c>
    </row>
    <row r="3446" spans="1:8" x14ac:dyDescent="0.35">
      <c r="A3446">
        <v>1268</v>
      </c>
      <c r="B3446">
        <v>1</v>
      </c>
      <c r="C3446">
        <v>68</v>
      </c>
      <c r="D3446">
        <v>2</v>
      </c>
      <c r="E3446">
        <v>449.99</v>
      </c>
      <c r="F3446">
        <v>0.1</v>
      </c>
      <c r="G3446">
        <v>899.91</v>
      </c>
      <c r="H3446" t="s">
        <v>69</v>
      </c>
    </row>
    <row r="3447" spans="1:8" x14ac:dyDescent="0.35">
      <c r="A3447">
        <v>1268</v>
      </c>
      <c r="B3447">
        <v>2</v>
      </c>
      <c r="C3447">
        <v>87</v>
      </c>
      <c r="D3447">
        <v>2</v>
      </c>
      <c r="E3447">
        <v>189.99</v>
      </c>
      <c r="F3447">
        <v>0.1</v>
      </c>
      <c r="G3447">
        <v>379.91</v>
      </c>
      <c r="H3447" t="s">
        <v>88</v>
      </c>
    </row>
    <row r="3448" spans="1:8" x14ac:dyDescent="0.35">
      <c r="A3448">
        <v>1268</v>
      </c>
      <c r="B3448">
        <v>3</v>
      </c>
      <c r="C3448">
        <v>59</v>
      </c>
      <c r="D3448">
        <v>2</v>
      </c>
      <c r="E3448">
        <v>2599.9899999999998</v>
      </c>
      <c r="F3448">
        <v>0.2</v>
      </c>
      <c r="G3448">
        <v>5199.78</v>
      </c>
      <c r="H3448" t="s">
        <v>60</v>
      </c>
    </row>
    <row r="3449" spans="1:8" x14ac:dyDescent="0.35">
      <c r="A3449">
        <v>1268</v>
      </c>
      <c r="B3449">
        <v>4</v>
      </c>
      <c r="C3449">
        <v>100</v>
      </c>
      <c r="D3449">
        <v>1</v>
      </c>
      <c r="E3449">
        <v>489.99</v>
      </c>
      <c r="F3449">
        <v>0.1</v>
      </c>
      <c r="G3449">
        <v>489.92</v>
      </c>
      <c r="H3449" t="s">
        <v>100</v>
      </c>
    </row>
    <row r="3450" spans="1:8" x14ac:dyDescent="0.35">
      <c r="A3450">
        <v>1269</v>
      </c>
      <c r="B3450">
        <v>1</v>
      </c>
      <c r="C3450">
        <v>4</v>
      </c>
      <c r="D3450">
        <v>2</v>
      </c>
      <c r="E3450">
        <v>2899.99</v>
      </c>
      <c r="F3450">
        <v>0.2</v>
      </c>
      <c r="G3450">
        <v>5799.78</v>
      </c>
      <c r="H3450" t="s">
        <v>9</v>
      </c>
    </row>
    <row r="3451" spans="1:8" x14ac:dyDescent="0.35">
      <c r="A3451">
        <v>1269</v>
      </c>
      <c r="B3451">
        <v>2</v>
      </c>
      <c r="C3451">
        <v>7</v>
      </c>
      <c r="D3451">
        <v>1</v>
      </c>
      <c r="E3451">
        <v>3999.99</v>
      </c>
      <c r="F3451">
        <v>0.2</v>
      </c>
      <c r="G3451">
        <v>3999.79</v>
      </c>
      <c r="H3451" t="s">
        <v>12</v>
      </c>
    </row>
    <row r="3452" spans="1:8" x14ac:dyDescent="0.35">
      <c r="A3452">
        <v>1269</v>
      </c>
      <c r="B3452">
        <v>3</v>
      </c>
      <c r="C3452">
        <v>111</v>
      </c>
      <c r="D3452">
        <v>1</v>
      </c>
      <c r="E3452">
        <v>470.99</v>
      </c>
      <c r="F3452">
        <v>0.1</v>
      </c>
      <c r="G3452">
        <v>470.89</v>
      </c>
      <c r="H3452" t="s">
        <v>108</v>
      </c>
    </row>
    <row r="3453" spans="1:8" x14ac:dyDescent="0.35">
      <c r="A3453">
        <v>1271</v>
      </c>
      <c r="B3453">
        <v>1</v>
      </c>
      <c r="C3453">
        <v>25</v>
      </c>
      <c r="D3453">
        <v>2</v>
      </c>
      <c r="E3453">
        <v>499.99</v>
      </c>
      <c r="F3453">
        <v>0.1</v>
      </c>
      <c r="G3453">
        <v>999.88</v>
      </c>
      <c r="H3453" t="s">
        <v>27</v>
      </c>
    </row>
    <row r="3454" spans="1:8" x14ac:dyDescent="0.35">
      <c r="A3454">
        <v>1271</v>
      </c>
      <c r="B3454">
        <v>2</v>
      </c>
      <c r="C3454">
        <v>50</v>
      </c>
      <c r="D3454">
        <v>2</v>
      </c>
      <c r="E3454">
        <v>5999.99</v>
      </c>
      <c r="F3454">
        <v>0.1</v>
      </c>
      <c r="G3454">
        <v>11999.91</v>
      </c>
      <c r="H3454" t="s">
        <v>51</v>
      </c>
    </row>
    <row r="3455" spans="1:8" x14ac:dyDescent="0.35">
      <c r="A3455">
        <v>1271</v>
      </c>
      <c r="B3455">
        <v>3</v>
      </c>
      <c r="C3455">
        <v>87</v>
      </c>
      <c r="D3455">
        <v>2</v>
      </c>
      <c r="E3455">
        <v>189.99</v>
      </c>
      <c r="F3455">
        <v>0.1</v>
      </c>
      <c r="G3455">
        <v>379.91</v>
      </c>
      <c r="H3455" t="s">
        <v>88</v>
      </c>
    </row>
    <row r="3456" spans="1:8" x14ac:dyDescent="0.35">
      <c r="A3456">
        <v>1271</v>
      </c>
      <c r="B3456">
        <v>4</v>
      </c>
      <c r="C3456">
        <v>32</v>
      </c>
      <c r="D3456">
        <v>2</v>
      </c>
      <c r="E3456">
        <v>469.99</v>
      </c>
      <c r="F3456">
        <v>0.1</v>
      </c>
      <c r="G3456">
        <v>939.91</v>
      </c>
      <c r="H3456" t="s">
        <v>33</v>
      </c>
    </row>
    <row r="3457" spans="1:8" x14ac:dyDescent="0.35">
      <c r="A3457">
        <v>1272</v>
      </c>
      <c r="B3457">
        <v>1</v>
      </c>
      <c r="C3457">
        <v>16</v>
      </c>
      <c r="D3457">
        <v>2</v>
      </c>
      <c r="E3457">
        <v>599.99</v>
      </c>
      <c r="F3457">
        <v>0.2</v>
      </c>
      <c r="G3457">
        <v>1199.78</v>
      </c>
      <c r="H3457" t="s">
        <v>21</v>
      </c>
    </row>
    <row r="3458" spans="1:8" x14ac:dyDescent="0.35">
      <c r="A3458">
        <v>1272</v>
      </c>
      <c r="B3458">
        <v>2</v>
      </c>
      <c r="C3458">
        <v>71</v>
      </c>
      <c r="D3458">
        <v>2</v>
      </c>
      <c r="E3458">
        <v>416.99</v>
      </c>
      <c r="F3458">
        <v>0.1</v>
      </c>
      <c r="G3458">
        <v>833.88</v>
      </c>
      <c r="H3458" t="s">
        <v>72</v>
      </c>
    </row>
    <row r="3459" spans="1:8" x14ac:dyDescent="0.35">
      <c r="A3459">
        <v>1272</v>
      </c>
      <c r="B3459">
        <v>3</v>
      </c>
      <c r="C3459">
        <v>86</v>
      </c>
      <c r="D3459">
        <v>1</v>
      </c>
      <c r="E3459">
        <v>149.99</v>
      </c>
      <c r="F3459">
        <v>0.1</v>
      </c>
      <c r="G3459">
        <v>149.91999999999999</v>
      </c>
      <c r="H3459" t="s">
        <v>87</v>
      </c>
    </row>
    <row r="3460" spans="1:8" x14ac:dyDescent="0.35">
      <c r="A3460">
        <v>1273</v>
      </c>
      <c r="B3460">
        <v>1</v>
      </c>
      <c r="C3460">
        <v>95</v>
      </c>
      <c r="D3460">
        <v>2</v>
      </c>
      <c r="E3460">
        <v>299.99</v>
      </c>
      <c r="F3460">
        <v>0.1</v>
      </c>
      <c r="G3460">
        <v>599.91</v>
      </c>
      <c r="H3460" t="s">
        <v>77</v>
      </c>
    </row>
    <row r="3461" spans="1:8" x14ac:dyDescent="0.35">
      <c r="A3461">
        <v>1273</v>
      </c>
      <c r="B3461">
        <v>2</v>
      </c>
      <c r="C3461">
        <v>20</v>
      </c>
      <c r="D3461">
        <v>1</v>
      </c>
      <c r="E3461">
        <v>599.99</v>
      </c>
      <c r="F3461">
        <v>0.1</v>
      </c>
      <c r="G3461">
        <v>599.91999999999996</v>
      </c>
      <c r="H3461" t="s">
        <v>25</v>
      </c>
    </row>
    <row r="3462" spans="1:8" x14ac:dyDescent="0.35">
      <c r="A3462">
        <v>1273</v>
      </c>
      <c r="B3462">
        <v>3</v>
      </c>
      <c r="C3462">
        <v>58</v>
      </c>
      <c r="D3462">
        <v>1</v>
      </c>
      <c r="E3462">
        <v>4999.99</v>
      </c>
      <c r="F3462">
        <v>0.2</v>
      </c>
      <c r="G3462">
        <v>4999.79</v>
      </c>
      <c r="H3462" t="s">
        <v>59</v>
      </c>
    </row>
    <row r="3463" spans="1:8" x14ac:dyDescent="0.35">
      <c r="A3463">
        <v>1275</v>
      </c>
      <c r="B3463">
        <v>1</v>
      </c>
      <c r="C3463">
        <v>58</v>
      </c>
      <c r="D3463">
        <v>1</v>
      </c>
      <c r="E3463">
        <v>4999.99</v>
      </c>
      <c r="F3463">
        <v>0.1</v>
      </c>
      <c r="G3463">
        <v>4999.92</v>
      </c>
      <c r="H3463" t="s">
        <v>59</v>
      </c>
    </row>
    <row r="3464" spans="1:8" x14ac:dyDescent="0.35">
      <c r="A3464">
        <v>1275</v>
      </c>
      <c r="B3464">
        <v>2</v>
      </c>
      <c r="C3464">
        <v>30</v>
      </c>
      <c r="D3464">
        <v>1</v>
      </c>
      <c r="E3464">
        <v>999.99</v>
      </c>
      <c r="F3464">
        <v>0.1</v>
      </c>
      <c r="G3464">
        <v>999.89</v>
      </c>
      <c r="H3464" t="s">
        <v>31</v>
      </c>
    </row>
    <row r="3465" spans="1:8" x14ac:dyDescent="0.35">
      <c r="A3465">
        <v>1276</v>
      </c>
      <c r="B3465">
        <v>1</v>
      </c>
      <c r="C3465">
        <v>18</v>
      </c>
      <c r="D3465">
        <v>2</v>
      </c>
      <c r="E3465">
        <v>449</v>
      </c>
      <c r="F3465">
        <v>0.2</v>
      </c>
      <c r="G3465">
        <v>897.8</v>
      </c>
      <c r="H3465" t="s">
        <v>23</v>
      </c>
    </row>
    <row r="3466" spans="1:8" x14ac:dyDescent="0.35">
      <c r="A3466">
        <v>1276</v>
      </c>
      <c r="B3466">
        <v>2</v>
      </c>
      <c r="C3466">
        <v>58</v>
      </c>
      <c r="D3466">
        <v>1</v>
      </c>
      <c r="E3466">
        <v>4999.99</v>
      </c>
      <c r="F3466">
        <v>0.2</v>
      </c>
      <c r="G3466">
        <v>4999.79</v>
      </c>
      <c r="H3466" t="s">
        <v>59</v>
      </c>
    </row>
    <row r="3467" spans="1:8" x14ac:dyDescent="0.35">
      <c r="A3467">
        <v>1276</v>
      </c>
      <c r="B3467">
        <v>3</v>
      </c>
      <c r="C3467">
        <v>42</v>
      </c>
      <c r="D3467">
        <v>1</v>
      </c>
      <c r="E3467">
        <v>2299.9899999999998</v>
      </c>
      <c r="F3467">
        <v>0.1</v>
      </c>
      <c r="G3467">
        <v>2299.94</v>
      </c>
      <c r="H3467" t="s">
        <v>43</v>
      </c>
    </row>
    <row r="3468" spans="1:8" x14ac:dyDescent="0.35">
      <c r="A3468">
        <v>1276</v>
      </c>
      <c r="B3468">
        <v>4</v>
      </c>
      <c r="C3468">
        <v>24</v>
      </c>
      <c r="D3468">
        <v>2</v>
      </c>
      <c r="E3468">
        <v>549.99</v>
      </c>
      <c r="F3468">
        <v>0.2</v>
      </c>
      <c r="G3468">
        <v>1099.78</v>
      </c>
      <c r="H3468" t="s">
        <v>17</v>
      </c>
    </row>
    <row r="3469" spans="1:8" x14ac:dyDescent="0.35">
      <c r="A3469">
        <v>1276</v>
      </c>
      <c r="B3469">
        <v>5</v>
      </c>
      <c r="C3469">
        <v>78</v>
      </c>
      <c r="D3469">
        <v>2</v>
      </c>
      <c r="E3469">
        <v>647.99</v>
      </c>
      <c r="F3469">
        <v>0.2</v>
      </c>
      <c r="G3469">
        <v>1295.78</v>
      </c>
      <c r="H3469" t="s">
        <v>79</v>
      </c>
    </row>
    <row r="3470" spans="1:8" x14ac:dyDescent="0.35">
      <c r="A3470">
        <v>1277</v>
      </c>
      <c r="B3470">
        <v>1</v>
      </c>
      <c r="C3470">
        <v>56</v>
      </c>
      <c r="D3470">
        <v>2</v>
      </c>
      <c r="E3470">
        <v>5499.99</v>
      </c>
      <c r="F3470">
        <v>0.2</v>
      </c>
      <c r="G3470">
        <v>10999.78</v>
      </c>
      <c r="H3470" t="s">
        <v>57</v>
      </c>
    </row>
    <row r="3471" spans="1:8" x14ac:dyDescent="0.35">
      <c r="A3471">
        <v>1277</v>
      </c>
      <c r="B3471">
        <v>2</v>
      </c>
      <c r="C3471">
        <v>93</v>
      </c>
      <c r="D3471">
        <v>2</v>
      </c>
      <c r="E3471">
        <v>209.99</v>
      </c>
      <c r="F3471">
        <v>0.1</v>
      </c>
      <c r="G3471">
        <v>419.93</v>
      </c>
      <c r="H3471" t="s">
        <v>94</v>
      </c>
    </row>
    <row r="3472" spans="1:8" x14ac:dyDescent="0.35">
      <c r="A3472">
        <v>1277</v>
      </c>
      <c r="B3472">
        <v>3</v>
      </c>
      <c r="C3472">
        <v>9</v>
      </c>
      <c r="D3472">
        <v>2</v>
      </c>
      <c r="E3472">
        <v>2999.99</v>
      </c>
      <c r="F3472">
        <v>0.1</v>
      </c>
      <c r="G3472">
        <v>5999.88</v>
      </c>
      <c r="H3472" t="s">
        <v>14</v>
      </c>
    </row>
    <row r="3473" spans="1:8" x14ac:dyDescent="0.35">
      <c r="A3473">
        <v>1277</v>
      </c>
      <c r="B3473">
        <v>4</v>
      </c>
      <c r="C3473">
        <v>4</v>
      </c>
      <c r="D3473">
        <v>1</v>
      </c>
      <c r="E3473">
        <v>2899.99</v>
      </c>
      <c r="F3473">
        <v>0.1</v>
      </c>
      <c r="G3473">
        <v>2899.89</v>
      </c>
      <c r="H3473" t="s">
        <v>9</v>
      </c>
    </row>
    <row r="3474" spans="1:8" x14ac:dyDescent="0.35">
      <c r="A3474">
        <v>1277</v>
      </c>
      <c r="B3474">
        <v>5</v>
      </c>
      <c r="C3474">
        <v>11</v>
      </c>
      <c r="D3474">
        <v>1</v>
      </c>
      <c r="E3474">
        <v>1680.99</v>
      </c>
      <c r="F3474">
        <v>0.2</v>
      </c>
      <c r="G3474">
        <v>1680.79</v>
      </c>
      <c r="H3474" t="s">
        <v>16</v>
      </c>
    </row>
    <row r="3475" spans="1:8" x14ac:dyDescent="0.35">
      <c r="A3475">
        <v>1278</v>
      </c>
      <c r="B3475">
        <v>1</v>
      </c>
      <c r="C3475">
        <v>103</v>
      </c>
      <c r="D3475">
        <v>2</v>
      </c>
      <c r="E3475">
        <v>551.99</v>
      </c>
      <c r="F3475">
        <v>0.1</v>
      </c>
      <c r="G3475">
        <v>1103.8800000000001</v>
      </c>
      <c r="H3475" t="s">
        <v>102</v>
      </c>
    </row>
    <row r="3476" spans="1:8" x14ac:dyDescent="0.35">
      <c r="A3476">
        <v>1278</v>
      </c>
      <c r="B3476">
        <v>2</v>
      </c>
      <c r="C3476">
        <v>32</v>
      </c>
      <c r="D3476">
        <v>1</v>
      </c>
      <c r="E3476">
        <v>469.99</v>
      </c>
      <c r="F3476">
        <v>0.1</v>
      </c>
      <c r="G3476">
        <v>469.89</v>
      </c>
      <c r="H3476" t="s">
        <v>33</v>
      </c>
    </row>
    <row r="3477" spans="1:8" x14ac:dyDescent="0.35">
      <c r="A3477">
        <v>1280</v>
      </c>
      <c r="B3477">
        <v>1</v>
      </c>
      <c r="C3477">
        <v>72</v>
      </c>
      <c r="D3477">
        <v>2</v>
      </c>
      <c r="E3477">
        <v>619.99</v>
      </c>
      <c r="F3477">
        <v>0.1</v>
      </c>
      <c r="G3477">
        <v>1239.9100000000001</v>
      </c>
      <c r="H3477" t="s">
        <v>73</v>
      </c>
    </row>
    <row r="3478" spans="1:8" x14ac:dyDescent="0.35">
      <c r="A3478">
        <v>1280</v>
      </c>
      <c r="B3478">
        <v>2</v>
      </c>
      <c r="C3478">
        <v>74</v>
      </c>
      <c r="D3478">
        <v>1</v>
      </c>
      <c r="E3478">
        <v>439.99</v>
      </c>
      <c r="F3478">
        <v>0.1</v>
      </c>
      <c r="G3478">
        <v>439.94</v>
      </c>
      <c r="H3478" t="s">
        <v>75</v>
      </c>
    </row>
    <row r="3479" spans="1:8" x14ac:dyDescent="0.35">
      <c r="A3479">
        <v>1280</v>
      </c>
      <c r="B3479">
        <v>3</v>
      </c>
      <c r="C3479">
        <v>52</v>
      </c>
      <c r="D3479">
        <v>1</v>
      </c>
      <c r="E3479">
        <v>875.99</v>
      </c>
      <c r="F3479">
        <v>0.1</v>
      </c>
      <c r="G3479">
        <v>875.92</v>
      </c>
      <c r="H3479" t="s">
        <v>53</v>
      </c>
    </row>
    <row r="3480" spans="1:8" x14ac:dyDescent="0.35">
      <c r="A3480">
        <v>1280</v>
      </c>
      <c r="B3480">
        <v>4</v>
      </c>
      <c r="C3480">
        <v>63</v>
      </c>
      <c r="D3480">
        <v>1</v>
      </c>
      <c r="E3480">
        <v>3499.99</v>
      </c>
      <c r="F3480">
        <v>0.2</v>
      </c>
      <c r="G3480">
        <v>3499.79</v>
      </c>
      <c r="H3480" t="s">
        <v>64</v>
      </c>
    </row>
    <row r="3481" spans="1:8" x14ac:dyDescent="0.35">
      <c r="A3481">
        <v>1281</v>
      </c>
      <c r="B3481">
        <v>1</v>
      </c>
      <c r="C3481">
        <v>36</v>
      </c>
      <c r="D3481">
        <v>1</v>
      </c>
      <c r="E3481">
        <v>832.99</v>
      </c>
      <c r="F3481">
        <v>0.1</v>
      </c>
      <c r="G3481">
        <v>832.94</v>
      </c>
      <c r="H3481" t="s">
        <v>37</v>
      </c>
    </row>
    <row r="3482" spans="1:8" x14ac:dyDescent="0.35">
      <c r="A3482">
        <v>1281</v>
      </c>
      <c r="B3482">
        <v>2</v>
      </c>
      <c r="C3482">
        <v>49</v>
      </c>
      <c r="D3482">
        <v>2</v>
      </c>
      <c r="E3482">
        <v>3499.99</v>
      </c>
      <c r="F3482">
        <v>0.1</v>
      </c>
      <c r="G3482">
        <v>6999.93</v>
      </c>
      <c r="H3482" t="s">
        <v>50</v>
      </c>
    </row>
    <row r="3483" spans="1:8" x14ac:dyDescent="0.35">
      <c r="A3483">
        <v>1281</v>
      </c>
      <c r="B3483">
        <v>3</v>
      </c>
      <c r="C3483">
        <v>75</v>
      </c>
      <c r="D3483">
        <v>1</v>
      </c>
      <c r="E3483">
        <v>599.99</v>
      </c>
      <c r="F3483">
        <v>0.1</v>
      </c>
      <c r="G3483">
        <v>599.94000000000005</v>
      </c>
      <c r="H3483" t="s">
        <v>76</v>
      </c>
    </row>
    <row r="3484" spans="1:8" x14ac:dyDescent="0.35">
      <c r="A3484">
        <v>1282</v>
      </c>
      <c r="B3484">
        <v>1</v>
      </c>
      <c r="C3484">
        <v>111</v>
      </c>
      <c r="D3484">
        <v>1</v>
      </c>
      <c r="E3484">
        <v>470.99</v>
      </c>
      <c r="F3484">
        <v>0.1</v>
      </c>
      <c r="G3484">
        <v>470.94</v>
      </c>
      <c r="H3484" t="s">
        <v>108</v>
      </c>
    </row>
    <row r="3485" spans="1:8" x14ac:dyDescent="0.35">
      <c r="A3485">
        <v>1282</v>
      </c>
      <c r="B3485">
        <v>2</v>
      </c>
      <c r="C3485">
        <v>50</v>
      </c>
      <c r="D3485">
        <v>2</v>
      </c>
      <c r="E3485">
        <v>5999.99</v>
      </c>
      <c r="F3485">
        <v>0.2</v>
      </c>
      <c r="G3485">
        <v>11999.78</v>
      </c>
      <c r="H3485" t="s">
        <v>51</v>
      </c>
    </row>
    <row r="3486" spans="1:8" x14ac:dyDescent="0.35">
      <c r="A3486">
        <v>1283</v>
      </c>
      <c r="B3486">
        <v>1</v>
      </c>
      <c r="C3486">
        <v>61</v>
      </c>
      <c r="D3486">
        <v>2</v>
      </c>
      <c r="E3486">
        <v>4999.99</v>
      </c>
      <c r="F3486">
        <v>0.1</v>
      </c>
      <c r="G3486">
        <v>9999.93</v>
      </c>
      <c r="H3486" t="s">
        <v>62</v>
      </c>
    </row>
    <row r="3487" spans="1:8" x14ac:dyDescent="0.35">
      <c r="A3487">
        <v>1283</v>
      </c>
      <c r="B3487">
        <v>2</v>
      </c>
      <c r="C3487">
        <v>81</v>
      </c>
      <c r="D3487">
        <v>1</v>
      </c>
      <c r="E3487">
        <v>1099.99</v>
      </c>
      <c r="F3487">
        <v>0.2</v>
      </c>
      <c r="G3487">
        <v>1099.79</v>
      </c>
      <c r="H3487" t="s">
        <v>82</v>
      </c>
    </row>
    <row r="3488" spans="1:8" x14ac:dyDescent="0.35">
      <c r="A3488">
        <v>1283</v>
      </c>
      <c r="B3488">
        <v>3</v>
      </c>
      <c r="C3488">
        <v>7</v>
      </c>
      <c r="D3488">
        <v>1</v>
      </c>
      <c r="E3488">
        <v>3999.99</v>
      </c>
      <c r="F3488">
        <v>0.1</v>
      </c>
      <c r="G3488">
        <v>3999.89</v>
      </c>
      <c r="H3488" t="s">
        <v>12</v>
      </c>
    </row>
    <row r="3489" spans="1:8" x14ac:dyDescent="0.35">
      <c r="A3489">
        <v>1283</v>
      </c>
      <c r="B3489">
        <v>4</v>
      </c>
      <c r="C3489">
        <v>32</v>
      </c>
      <c r="D3489">
        <v>1</v>
      </c>
      <c r="E3489">
        <v>469.99</v>
      </c>
      <c r="F3489">
        <v>0.1</v>
      </c>
      <c r="G3489">
        <v>469.89</v>
      </c>
      <c r="H3489" t="s">
        <v>33</v>
      </c>
    </row>
    <row r="3490" spans="1:8" x14ac:dyDescent="0.35">
      <c r="A3490">
        <v>1283</v>
      </c>
      <c r="B3490">
        <v>5</v>
      </c>
      <c r="C3490">
        <v>11</v>
      </c>
      <c r="D3490">
        <v>1</v>
      </c>
      <c r="E3490">
        <v>1680.99</v>
      </c>
      <c r="F3490">
        <v>0.2</v>
      </c>
      <c r="G3490">
        <v>1680.79</v>
      </c>
      <c r="H3490" t="s">
        <v>16</v>
      </c>
    </row>
    <row r="3491" spans="1:8" x14ac:dyDescent="0.35">
      <c r="A3491">
        <v>1284</v>
      </c>
      <c r="B3491">
        <v>1</v>
      </c>
      <c r="C3491">
        <v>101</v>
      </c>
      <c r="D3491">
        <v>1</v>
      </c>
      <c r="E3491">
        <v>339.99</v>
      </c>
      <c r="F3491">
        <v>0.1</v>
      </c>
      <c r="G3491">
        <v>339.92</v>
      </c>
      <c r="H3491" t="s">
        <v>101</v>
      </c>
    </row>
    <row r="3492" spans="1:8" x14ac:dyDescent="0.35">
      <c r="A3492">
        <v>1284</v>
      </c>
      <c r="B3492">
        <v>2</v>
      </c>
      <c r="C3492">
        <v>8</v>
      </c>
      <c r="D3492">
        <v>1</v>
      </c>
      <c r="E3492">
        <v>1799.99</v>
      </c>
      <c r="F3492">
        <v>0.1</v>
      </c>
      <c r="G3492">
        <v>1799.94</v>
      </c>
      <c r="H3492" t="s">
        <v>13</v>
      </c>
    </row>
    <row r="3493" spans="1:8" x14ac:dyDescent="0.35">
      <c r="A3493">
        <v>1284</v>
      </c>
      <c r="B3493">
        <v>3</v>
      </c>
      <c r="C3493">
        <v>4</v>
      </c>
      <c r="D3493">
        <v>2</v>
      </c>
      <c r="E3493">
        <v>2899.99</v>
      </c>
      <c r="F3493">
        <v>0.1</v>
      </c>
      <c r="G3493">
        <v>5799.93</v>
      </c>
      <c r="H3493" t="s">
        <v>9</v>
      </c>
    </row>
    <row r="3494" spans="1:8" x14ac:dyDescent="0.35">
      <c r="A3494">
        <v>1285</v>
      </c>
      <c r="B3494">
        <v>1</v>
      </c>
      <c r="C3494">
        <v>78</v>
      </c>
      <c r="D3494">
        <v>2</v>
      </c>
      <c r="E3494">
        <v>647.99</v>
      </c>
      <c r="F3494">
        <v>0.1</v>
      </c>
      <c r="G3494">
        <v>1295.9100000000001</v>
      </c>
      <c r="H3494" t="s">
        <v>79</v>
      </c>
    </row>
    <row r="3495" spans="1:8" x14ac:dyDescent="0.35">
      <c r="A3495">
        <v>1285</v>
      </c>
      <c r="B3495">
        <v>2</v>
      </c>
      <c r="C3495">
        <v>93</v>
      </c>
      <c r="D3495">
        <v>1</v>
      </c>
      <c r="E3495">
        <v>209.99</v>
      </c>
      <c r="F3495">
        <v>0.1</v>
      </c>
      <c r="G3495">
        <v>209.89</v>
      </c>
      <c r="H3495" t="s">
        <v>94</v>
      </c>
    </row>
    <row r="3496" spans="1:8" x14ac:dyDescent="0.35">
      <c r="A3496">
        <v>1285</v>
      </c>
      <c r="B3496">
        <v>3</v>
      </c>
      <c r="C3496">
        <v>69</v>
      </c>
      <c r="D3496">
        <v>2</v>
      </c>
      <c r="E3496">
        <v>416.99</v>
      </c>
      <c r="F3496">
        <v>0.2</v>
      </c>
      <c r="G3496">
        <v>833.78</v>
      </c>
      <c r="H3496" t="s">
        <v>70</v>
      </c>
    </row>
    <row r="3497" spans="1:8" x14ac:dyDescent="0.35">
      <c r="A3497">
        <v>1285</v>
      </c>
      <c r="B3497">
        <v>4</v>
      </c>
      <c r="C3497">
        <v>6</v>
      </c>
      <c r="D3497">
        <v>1</v>
      </c>
      <c r="E3497">
        <v>469.99</v>
      </c>
      <c r="F3497">
        <v>0.1</v>
      </c>
      <c r="G3497">
        <v>469.89</v>
      </c>
      <c r="H3497" t="s">
        <v>11</v>
      </c>
    </row>
    <row r="3498" spans="1:8" x14ac:dyDescent="0.35">
      <c r="A3498">
        <v>1286</v>
      </c>
      <c r="B3498">
        <v>1</v>
      </c>
      <c r="C3498">
        <v>109</v>
      </c>
      <c r="D3498">
        <v>2</v>
      </c>
      <c r="E3498">
        <v>416.99</v>
      </c>
      <c r="F3498">
        <v>0.2</v>
      </c>
      <c r="G3498">
        <v>833.78</v>
      </c>
      <c r="H3498" t="s">
        <v>106</v>
      </c>
    </row>
    <row r="3499" spans="1:8" x14ac:dyDescent="0.35">
      <c r="A3499">
        <v>1286</v>
      </c>
      <c r="B3499">
        <v>2</v>
      </c>
      <c r="C3499">
        <v>81</v>
      </c>
      <c r="D3499">
        <v>2</v>
      </c>
      <c r="E3499">
        <v>1099.99</v>
      </c>
      <c r="F3499">
        <v>0.1</v>
      </c>
      <c r="G3499">
        <v>2199.91</v>
      </c>
      <c r="H3499" t="s">
        <v>82</v>
      </c>
    </row>
    <row r="3500" spans="1:8" x14ac:dyDescent="0.35">
      <c r="A3500">
        <v>1286</v>
      </c>
      <c r="B3500">
        <v>3</v>
      </c>
      <c r="C3500">
        <v>87</v>
      </c>
      <c r="D3500">
        <v>1</v>
      </c>
      <c r="E3500">
        <v>189.99</v>
      </c>
      <c r="F3500">
        <v>0.1</v>
      </c>
      <c r="G3500">
        <v>189.92</v>
      </c>
      <c r="H3500" t="s">
        <v>88</v>
      </c>
    </row>
    <row r="3501" spans="1:8" x14ac:dyDescent="0.35">
      <c r="A3501">
        <v>1287</v>
      </c>
      <c r="B3501">
        <v>1</v>
      </c>
      <c r="C3501">
        <v>27</v>
      </c>
      <c r="D3501">
        <v>2</v>
      </c>
      <c r="E3501">
        <v>999.99</v>
      </c>
      <c r="F3501">
        <v>0.2</v>
      </c>
      <c r="G3501">
        <v>1999.78</v>
      </c>
      <c r="H3501" t="s">
        <v>28</v>
      </c>
    </row>
    <row r="3502" spans="1:8" x14ac:dyDescent="0.35">
      <c r="A3502">
        <v>1287</v>
      </c>
      <c r="B3502">
        <v>2</v>
      </c>
      <c r="C3502">
        <v>62</v>
      </c>
      <c r="D3502">
        <v>2</v>
      </c>
      <c r="E3502">
        <v>3499.99</v>
      </c>
      <c r="F3502">
        <v>0.1</v>
      </c>
      <c r="G3502">
        <v>6999.88</v>
      </c>
      <c r="H3502" t="s">
        <v>63</v>
      </c>
    </row>
    <row r="3503" spans="1:8" x14ac:dyDescent="0.35">
      <c r="A3503">
        <v>1287</v>
      </c>
      <c r="B3503">
        <v>3</v>
      </c>
      <c r="C3503">
        <v>103</v>
      </c>
      <c r="D3503">
        <v>1</v>
      </c>
      <c r="E3503">
        <v>551.99</v>
      </c>
      <c r="F3503">
        <v>0.1</v>
      </c>
      <c r="G3503">
        <v>551.89</v>
      </c>
      <c r="H3503" t="s">
        <v>102</v>
      </c>
    </row>
    <row r="3504" spans="1:8" x14ac:dyDescent="0.35">
      <c r="A3504">
        <v>1287</v>
      </c>
      <c r="B3504">
        <v>4</v>
      </c>
      <c r="C3504">
        <v>100</v>
      </c>
      <c r="D3504">
        <v>2</v>
      </c>
      <c r="E3504">
        <v>489.99</v>
      </c>
      <c r="F3504">
        <v>0.1</v>
      </c>
      <c r="G3504">
        <v>979.93</v>
      </c>
      <c r="H3504" t="s">
        <v>100</v>
      </c>
    </row>
    <row r="3505" spans="1:8" x14ac:dyDescent="0.35">
      <c r="A3505">
        <v>1288</v>
      </c>
      <c r="B3505">
        <v>1</v>
      </c>
      <c r="C3505">
        <v>73</v>
      </c>
      <c r="D3505">
        <v>1</v>
      </c>
      <c r="E3505">
        <v>749.99</v>
      </c>
      <c r="F3505">
        <v>0.2</v>
      </c>
      <c r="G3505">
        <v>749.79</v>
      </c>
      <c r="H3505" t="s">
        <v>74</v>
      </c>
    </row>
    <row r="3506" spans="1:8" x14ac:dyDescent="0.35">
      <c r="A3506">
        <v>1288</v>
      </c>
      <c r="B3506">
        <v>2</v>
      </c>
      <c r="C3506">
        <v>64</v>
      </c>
      <c r="D3506">
        <v>2</v>
      </c>
      <c r="E3506">
        <v>489.99</v>
      </c>
      <c r="F3506">
        <v>0.2</v>
      </c>
      <c r="G3506">
        <v>979.78</v>
      </c>
      <c r="H3506" t="s">
        <v>65</v>
      </c>
    </row>
    <row r="3507" spans="1:8" x14ac:dyDescent="0.35">
      <c r="A3507">
        <v>1288</v>
      </c>
      <c r="B3507">
        <v>3</v>
      </c>
      <c r="C3507">
        <v>62</v>
      </c>
      <c r="D3507">
        <v>2</v>
      </c>
      <c r="E3507">
        <v>3499.99</v>
      </c>
      <c r="F3507">
        <v>0.1</v>
      </c>
      <c r="G3507">
        <v>6999.88</v>
      </c>
      <c r="H3507" t="s">
        <v>63</v>
      </c>
    </row>
    <row r="3508" spans="1:8" x14ac:dyDescent="0.35">
      <c r="A3508">
        <v>1288</v>
      </c>
      <c r="B3508">
        <v>4</v>
      </c>
      <c r="C3508">
        <v>17</v>
      </c>
      <c r="D3508">
        <v>2</v>
      </c>
      <c r="E3508">
        <v>429</v>
      </c>
      <c r="F3508">
        <v>0.1</v>
      </c>
      <c r="G3508">
        <v>857.93</v>
      </c>
      <c r="H3508" t="s">
        <v>22</v>
      </c>
    </row>
    <row r="3509" spans="1:8" x14ac:dyDescent="0.35">
      <c r="A3509">
        <v>1289</v>
      </c>
      <c r="B3509">
        <v>1</v>
      </c>
      <c r="C3509">
        <v>89</v>
      </c>
      <c r="D3509">
        <v>1</v>
      </c>
      <c r="E3509">
        <v>209.99</v>
      </c>
      <c r="F3509">
        <v>0.1</v>
      </c>
      <c r="G3509">
        <v>209.94</v>
      </c>
      <c r="H3509" t="s">
        <v>90</v>
      </c>
    </row>
    <row r="3510" spans="1:8" x14ac:dyDescent="0.35">
      <c r="A3510">
        <v>1289</v>
      </c>
      <c r="B3510">
        <v>2</v>
      </c>
      <c r="C3510">
        <v>3</v>
      </c>
      <c r="D3510">
        <v>1</v>
      </c>
      <c r="E3510">
        <v>999.99</v>
      </c>
      <c r="F3510">
        <v>0.1</v>
      </c>
      <c r="G3510">
        <v>999.89</v>
      </c>
      <c r="H3510" t="s">
        <v>8</v>
      </c>
    </row>
    <row r="3511" spans="1:8" x14ac:dyDescent="0.35">
      <c r="A3511">
        <v>1290</v>
      </c>
      <c r="B3511">
        <v>1</v>
      </c>
      <c r="C3511">
        <v>75</v>
      </c>
      <c r="D3511">
        <v>2</v>
      </c>
      <c r="E3511">
        <v>599.99</v>
      </c>
      <c r="F3511">
        <v>0.1</v>
      </c>
      <c r="G3511">
        <v>1199.93</v>
      </c>
      <c r="H3511" t="s">
        <v>76</v>
      </c>
    </row>
    <row r="3512" spans="1:8" x14ac:dyDescent="0.35">
      <c r="A3512">
        <v>1290</v>
      </c>
      <c r="B3512">
        <v>2</v>
      </c>
      <c r="C3512">
        <v>36</v>
      </c>
      <c r="D3512">
        <v>1</v>
      </c>
      <c r="E3512">
        <v>832.99</v>
      </c>
      <c r="F3512">
        <v>0.1</v>
      </c>
      <c r="G3512">
        <v>832.94</v>
      </c>
      <c r="H3512" t="s">
        <v>37</v>
      </c>
    </row>
    <row r="3513" spans="1:8" x14ac:dyDescent="0.35">
      <c r="A3513">
        <v>1290</v>
      </c>
      <c r="B3513">
        <v>3</v>
      </c>
      <c r="C3513">
        <v>92</v>
      </c>
      <c r="D3513">
        <v>2</v>
      </c>
      <c r="E3513">
        <v>209.99</v>
      </c>
      <c r="F3513">
        <v>0.1</v>
      </c>
      <c r="G3513">
        <v>419.88</v>
      </c>
      <c r="H3513" t="s">
        <v>93</v>
      </c>
    </row>
    <row r="3514" spans="1:8" x14ac:dyDescent="0.35">
      <c r="A3514">
        <v>1291</v>
      </c>
      <c r="B3514">
        <v>1</v>
      </c>
      <c r="C3514">
        <v>57</v>
      </c>
      <c r="D3514">
        <v>1</v>
      </c>
      <c r="E3514">
        <v>1999.99</v>
      </c>
      <c r="F3514">
        <v>0.1</v>
      </c>
      <c r="G3514">
        <v>1999.89</v>
      </c>
      <c r="H3514" t="s">
        <v>58</v>
      </c>
    </row>
    <row r="3515" spans="1:8" x14ac:dyDescent="0.35">
      <c r="A3515">
        <v>1291</v>
      </c>
      <c r="B3515">
        <v>2</v>
      </c>
      <c r="C3515">
        <v>58</v>
      </c>
      <c r="D3515">
        <v>2</v>
      </c>
      <c r="E3515">
        <v>4999.99</v>
      </c>
      <c r="F3515">
        <v>0.1</v>
      </c>
      <c r="G3515">
        <v>9999.93</v>
      </c>
      <c r="H3515" t="s">
        <v>59</v>
      </c>
    </row>
    <row r="3516" spans="1:8" x14ac:dyDescent="0.35">
      <c r="A3516">
        <v>1293</v>
      </c>
      <c r="B3516">
        <v>1</v>
      </c>
      <c r="C3516">
        <v>88</v>
      </c>
      <c r="D3516">
        <v>2</v>
      </c>
      <c r="E3516">
        <v>189.99</v>
      </c>
      <c r="F3516">
        <v>0.1</v>
      </c>
      <c r="G3516">
        <v>379.88</v>
      </c>
      <c r="H3516" t="s">
        <v>89</v>
      </c>
    </row>
    <row r="3517" spans="1:8" x14ac:dyDescent="0.35">
      <c r="A3517">
        <v>1293</v>
      </c>
      <c r="B3517">
        <v>2</v>
      </c>
      <c r="C3517">
        <v>74</v>
      </c>
      <c r="D3517">
        <v>2</v>
      </c>
      <c r="E3517">
        <v>439.99</v>
      </c>
      <c r="F3517">
        <v>0.1</v>
      </c>
      <c r="G3517">
        <v>879.93</v>
      </c>
      <c r="H3517" t="s">
        <v>75</v>
      </c>
    </row>
    <row r="3518" spans="1:8" x14ac:dyDescent="0.35">
      <c r="A3518">
        <v>1293</v>
      </c>
      <c r="B3518">
        <v>3</v>
      </c>
      <c r="C3518">
        <v>38</v>
      </c>
      <c r="D3518">
        <v>2</v>
      </c>
      <c r="E3518">
        <v>549.99</v>
      </c>
      <c r="F3518">
        <v>0.1</v>
      </c>
      <c r="G3518">
        <v>1099.9100000000001</v>
      </c>
      <c r="H3518" t="s">
        <v>39</v>
      </c>
    </row>
    <row r="3519" spans="1:8" x14ac:dyDescent="0.35">
      <c r="A3519">
        <v>1294</v>
      </c>
      <c r="B3519">
        <v>1</v>
      </c>
      <c r="C3519">
        <v>95</v>
      </c>
      <c r="D3519">
        <v>2</v>
      </c>
      <c r="E3519">
        <v>299.99</v>
      </c>
      <c r="F3519">
        <v>0.1</v>
      </c>
      <c r="G3519">
        <v>599.92999999999995</v>
      </c>
      <c r="H3519" t="s">
        <v>77</v>
      </c>
    </row>
    <row r="3520" spans="1:8" x14ac:dyDescent="0.35">
      <c r="A3520">
        <v>1294</v>
      </c>
      <c r="B3520">
        <v>2</v>
      </c>
      <c r="C3520">
        <v>44</v>
      </c>
      <c r="D3520">
        <v>1</v>
      </c>
      <c r="E3520">
        <v>539.99</v>
      </c>
      <c r="F3520">
        <v>0.1</v>
      </c>
      <c r="G3520">
        <v>539.94000000000005</v>
      </c>
      <c r="H3520" t="s">
        <v>45</v>
      </c>
    </row>
    <row r="3521" spans="1:8" x14ac:dyDescent="0.35">
      <c r="A3521">
        <v>1295</v>
      </c>
      <c r="B3521">
        <v>1</v>
      </c>
      <c r="C3521">
        <v>5</v>
      </c>
      <c r="D3521">
        <v>2</v>
      </c>
      <c r="E3521">
        <v>1320.99</v>
      </c>
      <c r="F3521">
        <v>0.2</v>
      </c>
      <c r="G3521">
        <v>2641.78</v>
      </c>
      <c r="H3521" t="s">
        <v>10</v>
      </c>
    </row>
    <row r="3522" spans="1:8" x14ac:dyDescent="0.35">
      <c r="A3522">
        <v>1295</v>
      </c>
      <c r="B3522">
        <v>2</v>
      </c>
      <c r="C3522">
        <v>61</v>
      </c>
      <c r="D3522">
        <v>1</v>
      </c>
      <c r="E3522">
        <v>4999.99</v>
      </c>
      <c r="F3522">
        <v>0.2</v>
      </c>
      <c r="G3522">
        <v>4999.79</v>
      </c>
      <c r="H3522" t="s">
        <v>62</v>
      </c>
    </row>
    <row r="3523" spans="1:8" x14ac:dyDescent="0.35">
      <c r="A3523">
        <v>1295</v>
      </c>
      <c r="B3523">
        <v>3</v>
      </c>
      <c r="C3523">
        <v>52</v>
      </c>
      <c r="D3523">
        <v>1</v>
      </c>
      <c r="E3523">
        <v>875.99</v>
      </c>
      <c r="F3523">
        <v>0.1</v>
      </c>
      <c r="G3523">
        <v>875.94</v>
      </c>
      <c r="H3523" t="s">
        <v>53</v>
      </c>
    </row>
    <row r="3524" spans="1:8" x14ac:dyDescent="0.35">
      <c r="A3524">
        <v>1296</v>
      </c>
      <c r="B3524">
        <v>1</v>
      </c>
      <c r="C3524">
        <v>25</v>
      </c>
      <c r="D3524">
        <v>2</v>
      </c>
      <c r="E3524">
        <v>499.99</v>
      </c>
      <c r="F3524">
        <v>0.1</v>
      </c>
      <c r="G3524">
        <v>999.93</v>
      </c>
      <c r="H3524" t="s">
        <v>27</v>
      </c>
    </row>
    <row r="3525" spans="1:8" x14ac:dyDescent="0.35">
      <c r="A3525">
        <v>1296</v>
      </c>
      <c r="B3525">
        <v>2</v>
      </c>
      <c r="C3525">
        <v>90</v>
      </c>
      <c r="D3525">
        <v>1</v>
      </c>
      <c r="E3525">
        <v>209.99</v>
      </c>
      <c r="F3525">
        <v>0.1</v>
      </c>
      <c r="G3525">
        <v>209.89</v>
      </c>
      <c r="H3525" t="s">
        <v>91</v>
      </c>
    </row>
    <row r="3526" spans="1:8" x14ac:dyDescent="0.35">
      <c r="A3526">
        <v>1296</v>
      </c>
      <c r="B3526">
        <v>3</v>
      </c>
      <c r="C3526">
        <v>16</v>
      </c>
      <c r="D3526">
        <v>1</v>
      </c>
      <c r="E3526">
        <v>599.99</v>
      </c>
      <c r="F3526">
        <v>0.1</v>
      </c>
      <c r="G3526">
        <v>599.94000000000005</v>
      </c>
      <c r="H3526" t="s">
        <v>21</v>
      </c>
    </row>
    <row r="3527" spans="1:8" x14ac:dyDescent="0.35">
      <c r="A3527">
        <v>1296</v>
      </c>
      <c r="B3527">
        <v>4</v>
      </c>
      <c r="C3527">
        <v>2</v>
      </c>
      <c r="D3527">
        <v>2</v>
      </c>
      <c r="E3527">
        <v>749.99</v>
      </c>
      <c r="F3527">
        <v>0.1</v>
      </c>
      <c r="G3527">
        <v>1499.88</v>
      </c>
      <c r="H3527" t="s">
        <v>7</v>
      </c>
    </row>
    <row r="3528" spans="1:8" x14ac:dyDescent="0.35">
      <c r="A3528">
        <v>1297</v>
      </c>
      <c r="B3528">
        <v>1</v>
      </c>
      <c r="C3528">
        <v>104</v>
      </c>
      <c r="D3528">
        <v>2</v>
      </c>
      <c r="E3528">
        <v>481.99</v>
      </c>
      <c r="F3528">
        <v>0.1</v>
      </c>
      <c r="G3528">
        <v>963.91</v>
      </c>
      <c r="H3528" t="s">
        <v>103</v>
      </c>
    </row>
    <row r="3529" spans="1:8" x14ac:dyDescent="0.35">
      <c r="A3529">
        <v>1297</v>
      </c>
      <c r="B3529">
        <v>2</v>
      </c>
      <c r="C3529">
        <v>43</v>
      </c>
      <c r="D3529">
        <v>1</v>
      </c>
      <c r="E3529">
        <v>5299.99</v>
      </c>
      <c r="F3529">
        <v>0.1</v>
      </c>
      <c r="G3529">
        <v>5299.94</v>
      </c>
      <c r="H3529" t="s">
        <v>44</v>
      </c>
    </row>
    <row r="3530" spans="1:8" x14ac:dyDescent="0.35">
      <c r="A3530">
        <v>1297</v>
      </c>
      <c r="B3530">
        <v>3</v>
      </c>
      <c r="C3530">
        <v>51</v>
      </c>
      <c r="D3530">
        <v>2</v>
      </c>
      <c r="E3530">
        <v>6499.99</v>
      </c>
      <c r="F3530">
        <v>0.1</v>
      </c>
      <c r="G3530">
        <v>12999.93</v>
      </c>
      <c r="H3530" t="s">
        <v>52</v>
      </c>
    </row>
    <row r="3531" spans="1:8" x14ac:dyDescent="0.35">
      <c r="A3531">
        <v>1298</v>
      </c>
      <c r="B3531">
        <v>1</v>
      </c>
      <c r="C3531">
        <v>59</v>
      </c>
      <c r="D3531">
        <v>1</v>
      </c>
      <c r="E3531">
        <v>2599.9899999999998</v>
      </c>
      <c r="F3531">
        <v>0.1</v>
      </c>
      <c r="G3531">
        <v>2599.94</v>
      </c>
      <c r="H3531" t="s">
        <v>60</v>
      </c>
    </row>
    <row r="3532" spans="1:8" x14ac:dyDescent="0.35">
      <c r="A3532">
        <v>1298</v>
      </c>
      <c r="B3532">
        <v>2</v>
      </c>
      <c r="C3532">
        <v>110</v>
      </c>
      <c r="D3532">
        <v>2</v>
      </c>
      <c r="E3532">
        <v>470.99</v>
      </c>
      <c r="F3532">
        <v>0.1</v>
      </c>
      <c r="G3532">
        <v>941.91</v>
      </c>
      <c r="H3532" t="s">
        <v>107</v>
      </c>
    </row>
    <row r="3533" spans="1:8" x14ac:dyDescent="0.35">
      <c r="A3533">
        <v>1299</v>
      </c>
      <c r="B3533">
        <v>1</v>
      </c>
      <c r="C3533">
        <v>14</v>
      </c>
      <c r="D3533">
        <v>2</v>
      </c>
      <c r="E3533">
        <v>269.99</v>
      </c>
      <c r="F3533">
        <v>0.1</v>
      </c>
      <c r="G3533">
        <v>539.88</v>
      </c>
      <c r="H3533" t="s">
        <v>19</v>
      </c>
    </row>
    <row r="3534" spans="1:8" x14ac:dyDescent="0.35">
      <c r="A3534">
        <v>1299</v>
      </c>
      <c r="B3534">
        <v>2</v>
      </c>
      <c r="C3534">
        <v>101</v>
      </c>
      <c r="D3534">
        <v>1</v>
      </c>
      <c r="E3534">
        <v>339.99</v>
      </c>
      <c r="F3534">
        <v>0.1</v>
      </c>
      <c r="G3534">
        <v>339.94</v>
      </c>
      <c r="H3534" t="s">
        <v>101</v>
      </c>
    </row>
    <row r="3535" spans="1:8" x14ac:dyDescent="0.35">
      <c r="A3535">
        <v>1299</v>
      </c>
      <c r="B3535">
        <v>3</v>
      </c>
      <c r="C3535">
        <v>75</v>
      </c>
      <c r="D3535">
        <v>1</v>
      </c>
      <c r="E3535">
        <v>599.99</v>
      </c>
      <c r="F3535">
        <v>0.1</v>
      </c>
      <c r="G3535">
        <v>599.94000000000005</v>
      </c>
      <c r="H3535" t="s">
        <v>76</v>
      </c>
    </row>
    <row r="3536" spans="1:8" x14ac:dyDescent="0.35">
      <c r="A3536">
        <v>1299</v>
      </c>
      <c r="B3536">
        <v>4</v>
      </c>
      <c r="C3536">
        <v>52</v>
      </c>
      <c r="D3536">
        <v>2</v>
      </c>
      <c r="E3536">
        <v>875.99</v>
      </c>
      <c r="F3536">
        <v>0.2</v>
      </c>
      <c r="G3536">
        <v>1751.78</v>
      </c>
      <c r="H3536" t="s">
        <v>53</v>
      </c>
    </row>
    <row r="3537" spans="1:8" x14ac:dyDescent="0.35">
      <c r="A3537">
        <v>1300</v>
      </c>
      <c r="B3537">
        <v>1</v>
      </c>
      <c r="C3537">
        <v>101</v>
      </c>
      <c r="D3537">
        <v>2</v>
      </c>
      <c r="E3537">
        <v>339.99</v>
      </c>
      <c r="F3537">
        <v>0.1</v>
      </c>
      <c r="G3537">
        <v>679.91</v>
      </c>
      <c r="H3537" t="s">
        <v>101</v>
      </c>
    </row>
    <row r="3538" spans="1:8" x14ac:dyDescent="0.35">
      <c r="A3538">
        <v>1300</v>
      </c>
      <c r="B3538">
        <v>2</v>
      </c>
      <c r="C3538">
        <v>58</v>
      </c>
      <c r="D3538">
        <v>2</v>
      </c>
      <c r="E3538">
        <v>4999.99</v>
      </c>
      <c r="F3538">
        <v>0.1</v>
      </c>
      <c r="G3538">
        <v>9999.93</v>
      </c>
      <c r="H3538" t="s">
        <v>59</v>
      </c>
    </row>
    <row r="3539" spans="1:8" x14ac:dyDescent="0.35">
      <c r="A3539">
        <v>1301</v>
      </c>
      <c r="B3539">
        <v>1</v>
      </c>
      <c r="C3539">
        <v>45</v>
      </c>
      <c r="D3539">
        <v>2</v>
      </c>
      <c r="E3539">
        <v>869.99</v>
      </c>
      <c r="F3539">
        <v>0.2</v>
      </c>
      <c r="G3539">
        <v>1739.78</v>
      </c>
      <c r="H3539" t="s">
        <v>46</v>
      </c>
    </row>
    <row r="3540" spans="1:8" x14ac:dyDescent="0.35">
      <c r="A3540">
        <v>1301</v>
      </c>
      <c r="B3540">
        <v>2</v>
      </c>
      <c r="C3540">
        <v>105</v>
      </c>
      <c r="D3540">
        <v>2</v>
      </c>
      <c r="E3540">
        <v>533.99</v>
      </c>
      <c r="F3540">
        <v>0.1</v>
      </c>
      <c r="G3540">
        <v>1067.8800000000001</v>
      </c>
      <c r="H3540" t="s">
        <v>104</v>
      </c>
    </row>
    <row r="3541" spans="1:8" x14ac:dyDescent="0.35">
      <c r="A3541">
        <v>1301</v>
      </c>
      <c r="B3541">
        <v>3</v>
      </c>
      <c r="C3541">
        <v>8</v>
      </c>
      <c r="D3541">
        <v>1</v>
      </c>
      <c r="E3541">
        <v>1799.99</v>
      </c>
      <c r="F3541">
        <v>0.2</v>
      </c>
      <c r="G3541">
        <v>1799.79</v>
      </c>
      <c r="H3541" t="s">
        <v>13</v>
      </c>
    </row>
    <row r="3542" spans="1:8" x14ac:dyDescent="0.35">
      <c r="A3542">
        <v>1302</v>
      </c>
      <c r="B3542">
        <v>1</v>
      </c>
      <c r="C3542">
        <v>38</v>
      </c>
      <c r="D3542">
        <v>1</v>
      </c>
      <c r="E3542">
        <v>549.99</v>
      </c>
      <c r="F3542">
        <v>0.1</v>
      </c>
      <c r="G3542">
        <v>549.94000000000005</v>
      </c>
      <c r="H3542" t="s">
        <v>39</v>
      </c>
    </row>
    <row r="3543" spans="1:8" x14ac:dyDescent="0.35">
      <c r="A3543">
        <v>1302</v>
      </c>
      <c r="B3543">
        <v>2</v>
      </c>
      <c r="C3543">
        <v>20</v>
      </c>
      <c r="D3543">
        <v>2</v>
      </c>
      <c r="E3543">
        <v>599.99</v>
      </c>
      <c r="F3543">
        <v>0.1</v>
      </c>
      <c r="G3543">
        <v>1199.8800000000001</v>
      </c>
      <c r="H3543" t="s">
        <v>25</v>
      </c>
    </row>
    <row r="3544" spans="1:8" x14ac:dyDescent="0.35">
      <c r="A3544">
        <v>1302</v>
      </c>
      <c r="B3544">
        <v>3</v>
      </c>
      <c r="C3544">
        <v>56</v>
      </c>
      <c r="D3544">
        <v>2</v>
      </c>
      <c r="E3544">
        <v>5499.99</v>
      </c>
      <c r="F3544">
        <v>0.1</v>
      </c>
      <c r="G3544">
        <v>10999.91</v>
      </c>
      <c r="H3544" t="s">
        <v>57</v>
      </c>
    </row>
    <row r="3545" spans="1:8" x14ac:dyDescent="0.35">
      <c r="A3545">
        <v>1303</v>
      </c>
      <c r="B3545">
        <v>1</v>
      </c>
      <c r="C3545">
        <v>96</v>
      </c>
      <c r="D3545">
        <v>1</v>
      </c>
      <c r="E3545">
        <v>349.99</v>
      </c>
      <c r="F3545">
        <v>0.1</v>
      </c>
      <c r="G3545">
        <v>349.89</v>
      </c>
      <c r="H3545" t="s">
        <v>96</v>
      </c>
    </row>
    <row r="3546" spans="1:8" x14ac:dyDescent="0.35">
      <c r="A3546">
        <v>1303</v>
      </c>
      <c r="B3546">
        <v>2</v>
      </c>
      <c r="C3546">
        <v>63</v>
      </c>
      <c r="D3546">
        <v>2</v>
      </c>
      <c r="E3546">
        <v>3499.99</v>
      </c>
      <c r="F3546">
        <v>0.2</v>
      </c>
      <c r="G3546">
        <v>6999.78</v>
      </c>
      <c r="H3546" t="s">
        <v>64</v>
      </c>
    </row>
    <row r="3547" spans="1:8" x14ac:dyDescent="0.35">
      <c r="A3547">
        <v>1303</v>
      </c>
      <c r="B3547">
        <v>3</v>
      </c>
      <c r="C3547">
        <v>108</v>
      </c>
      <c r="D3547">
        <v>1</v>
      </c>
      <c r="E3547">
        <v>449.99</v>
      </c>
      <c r="F3547">
        <v>0.1</v>
      </c>
      <c r="G3547">
        <v>449.89</v>
      </c>
      <c r="H3547" t="s">
        <v>105</v>
      </c>
    </row>
    <row r="3548" spans="1:8" x14ac:dyDescent="0.35">
      <c r="A3548">
        <v>1303</v>
      </c>
      <c r="B3548">
        <v>4</v>
      </c>
      <c r="C3548">
        <v>73</v>
      </c>
      <c r="D3548">
        <v>1</v>
      </c>
      <c r="E3548">
        <v>749.99</v>
      </c>
      <c r="F3548">
        <v>0.1</v>
      </c>
      <c r="G3548">
        <v>749.89</v>
      </c>
      <c r="H3548" t="s">
        <v>74</v>
      </c>
    </row>
    <row r="3549" spans="1:8" x14ac:dyDescent="0.35">
      <c r="A3549">
        <v>1303</v>
      </c>
      <c r="B3549">
        <v>5</v>
      </c>
      <c r="C3549">
        <v>24</v>
      </c>
      <c r="D3549">
        <v>2</v>
      </c>
      <c r="E3549">
        <v>549.99</v>
      </c>
      <c r="F3549">
        <v>0.1</v>
      </c>
      <c r="G3549">
        <v>1099.8800000000001</v>
      </c>
      <c r="H3549" t="s">
        <v>17</v>
      </c>
    </row>
    <row r="3550" spans="1:8" x14ac:dyDescent="0.35">
      <c r="A3550">
        <v>1304</v>
      </c>
      <c r="B3550">
        <v>1</v>
      </c>
      <c r="C3550">
        <v>80</v>
      </c>
      <c r="D3550">
        <v>1</v>
      </c>
      <c r="E3550">
        <v>761.99</v>
      </c>
      <c r="F3550">
        <v>0.1</v>
      </c>
      <c r="G3550">
        <v>761.94</v>
      </c>
      <c r="H3550" t="s">
        <v>81</v>
      </c>
    </row>
    <row r="3551" spans="1:8" x14ac:dyDescent="0.35">
      <c r="A3551">
        <v>1304</v>
      </c>
      <c r="B3551">
        <v>2</v>
      </c>
      <c r="C3551">
        <v>99</v>
      </c>
      <c r="D3551">
        <v>2</v>
      </c>
      <c r="E3551">
        <v>299.99</v>
      </c>
      <c r="F3551">
        <v>0.1</v>
      </c>
      <c r="G3551">
        <v>599.92999999999995</v>
      </c>
      <c r="H3551" t="s">
        <v>99</v>
      </c>
    </row>
    <row r="3552" spans="1:8" x14ac:dyDescent="0.35">
      <c r="A3552">
        <v>1304</v>
      </c>
      <c r="B3552">
        <v>3</v>
      </c>
      <c r="C3552">
        <v>102</v>
      </c>
      <c r="D3552">
        <v>1</v>
      </c>
      <c r="E3552">
        <v>489.99</v>
      </c>
      <c r="F3552">
        <v>0.2</v>
      </c>
      <c r="G3552">
        <v>489.79</v>
      </c>
      <c r="H3552" t="s">
        <v>65</v>
      </c>
    </row>
    <row r="3553" spans="1:8" x14ac:dyDescent="0.35">
      <c r="A3553">
        <v>1304</v>
      </c>
      <c r="B3553">
        <v>4</v>
      </c>
      <c r="C3553">
        <v>17</v>
      </c>
      <c r="D3553">
        <v>1</v>
      </c>
      <c r="E3553">
        <v>429</v>
      </c>
      <c r="F3553">
        <v>0.1</v>
      </c>
      <c r="G3553">
        <v>428.95</v>
      </c>
      <c r="H3553" t="s">
        <v>22</v>
      </c>
    </row>
    <row r="3554" spans="1:8" x14ac:dyDescent="0.35">
      <c r="A3554">
        <v>1305</v>
      </c>
      <c r="B3554">
        <v>1</v>
      </c>
      <c r="C3554">
        <v>85</v>
      </c>
      <c r="D3554">
        <v>1</v>
      </c>
      <c r="E3554">
        <v>329.99</v>
      </c>
      <c r="F3554">
        <v>0.2</v>
      </c>
      <c r="G3554">
        <v>329.79</v>
      </c>
      <c r="H3554" t="s">
        <v>86</v>
      </c>
    </row>
    <row r="3555" spans="1:8" x14ac:dyDescent="0.35">
      <c r="A3555">
        <v>1305</v>
      </c>
      <c r="B3555">
        <v>2</v>
      </c>
      <c r="C3555">
        <v>9</v>
      </c>
      <c r="D3555">
        <v>1</v>
      </c>
      <c r="E3555">
        <v>2999.99</v>
      </c>
      <c r="F3555">
        <v>0.1</v>
      </c>
      <c r="G3555">
        <v>2999.92</v>
      </c>
      <c r="H3555" t="s">
        <v>14</v>
      </c>
    </row>
    <row r="3556" spans="1:8" x14ac:dyDescent="0.35">
      <c r="A3556">
        <v>1305</v>
      </c>
      <c r="B3556">
        <v>3</v>
      </c>
      <c r="C3556">
        <v>11</v>
      </c>
      <c r="D3556">
        <v>1</v>
      </c>
      <c r="E3556">
        <v>1680.99</v>
      </c>
      <c r="F3556">
        <v>0.1</v>
      </c>
      <c r="G3556">
        <v>1680.94</v>
      </c>
      <c r="H3556" t="s">
        <v>16</v>
      </c>
    </row>
    <row r="3557" spans="1:8" x14ac:dyDescent="0.35">
      <c r="A3557">
        <v>1305</v>
      </c>
      <c r="B3557">
        <v>4</v>
      </c>
      <c r="C3557">
        <v>91</v>
      </c>
      <c r="D3557">
        <v>2</v>
      </c>
      <c r="E3557">
        <v>349.99</v>
      </c>
      <c r="F3557">
        <v>0.1</v>
      </c>
      <c r="G3557">
        <v>699.93</v>
      </c>
      <c r="H3557" t="s">
        <v>92</v>
      </c>
    </row>
    <row r="3558" spans="1:8" x14ac:dyDescent="0.35">
      <c r="A3558">
        <v>1306</v>
      </c>
      <c r="B3558">
        <v>1</v>
      </c>
      <c r="C3558">
        <v>103</v>
      </c>
      <c r="D3558">
        <v>2</v>
      </c>
      <c r="E3558">
        <v>551.99</v>
      </c>
      <c r="F3558">
        <v>0.1</v>
      </c>
      <c r="G3558">
        <v>1103.93</v>
      </c>
      <c r="H3558" t="s">
        <v>102</v>
      </c>
    </row>
    <row r="3559" spans="1:8" x14ac:dyDescent="0.35">
      <c r="A3559">
        <v>1306</v>
      </c>
      <c r="B3559">
        <v>2</v>
      </c>
      <c r="C3559">
        <v>81</v>
      </c>
      <c r="D3559">
        <v>2</v>
      </c>
      <c r="E3559">
        <v>1099.99</v>
      </c>
      <c r="F3559">
        <v>0.1</v>
      </c>
      <c r="G3559">
        <v>2199.91</v>
      </c>
      <c r="H3559" t="s">
        <v>82</v>
      </c>
    </row>
    <row r="3560" spans="1:8" x14ac:dyDescent="0.35">
      <c r="A3560">
        <v>1306</v>
      </c>
      <c r="B3560">
        <v>3</v>
      </c>
      <c r="C3560">
        <v>45</v>
      </c>
      <c r="D3560">
        <v>1</v>
      </c>
      <c r="E3560">
        <v>869.99</v>
      </c>
      <c r="F3560">
        <v>0.2</v>
      </c>
      <c r="G3560">
        <v>869.79</v>
      </c>
      <c r="H3560" t="s">
        <v>46</v>
      </c>
    </row>
    <row r="3561" spans="1:8" x14ac:dyDescent="0.35">
      <c r="A3561">
        <v>1306</v>
      </c>
      <c r="B3561">
        <v>4</v>
      </c>
      <c r="C3561">
        <v>42</v>
      </c>
      <c r="D3561">
        <v>1</v>
      </c>
      <c r="E3561">
        <v>2299.9899999999998</v>
      </c>
      <c r="F3561">
        <v>0.2</v>
      </c>
      <c r="G3561">
        <v>2299.79</v>
      </c>
      <c r="H3561" t="s">
        <v>43</v>
      </c>
    </row>
    <row r="3562" spans="1:8" x14ac:dyDescent="0.35">
      <c r="A3562">
        <v>1306</v>
      </c>
      <c r="B3562">
        <v>5</v>
      </c>
      <c r="C3562">
        <v>9</v>
      </c>
      <c r="D3562">
        <v>2</v>
      </c>
      <c r="E3562">
        <v>2999.99</v>
      </c>
      <c r="F3562">
        <v>0.1</v>
      </c>
      <c r="G3562">
        <v>5999.91</v>
      </c>
      <c r="H3562" t="s">
        <v>14</v>
      </c>
    </row>
    <row r="3563" spans="1:8" x14ac:dyDescent="0.35">
      <c r="A3563">
        <v>1307</v>
      </c>
      <c r="B3563">
        <v>1</v>
      </c>
      <c r="C3563">
        <v>96</v>
      </c>
      <c r="D3563">
        <v>2</v>
      </c>
      <c r="E3563">
        <v>349.99</v>
      </c>
      <c r="F3563">
        <v>0.1</v>
      </c>
      <c r="G3563">
        <v>699.91</v>
      </c>
      <c r="H3563" t="s">
        <v>96</v>
      </c>
    </row>
    <row r="3564" spans="1:8" x14ac:dyDescent="0.35">
      <c r="A3564">
        <v>1307</v>
      </c>
      <c r="B3564">
        <v>2</v>
      </c>
      <c r="C3564">
        <v>53</v>
      </c>
      <c r="D3564">
        <v>2</v>
      </c>
      <c r="E3564">
        <v>749.99</v>
      </c>
      <c r="F3564">
        <v>0.2</v>
      </c>
      <c r="G3564">
        <v>1499.78</v>
      </c>
      <c r="H3564" t="s">
        <v>54</v>
      </c>
    </row>
    <row r="3565" spans="1:8" x14ac:dyDescent="0.35">
      <c r="A3565">
        <v>1307</v>
      </c>
      <c r="B3565">
        <v>3</v>
      </c>
      <c r="C3565">
        <v>69</v>
      </c>
      <c r="D3565">
        <v>2</v>
      </c>
      <c r="E3565">
        <v>416.99</v>
      </c>
      <c r="F3565">
        <v>0.2</v>
      </c>
      <c r="G3565">
        <v>833.78</v>
      </c>
      <c r="H3565" t="s">
        <v>70</v>
      </c>
    </row>
    <row r="3566" spans="1:8" x14ac:dyDescent="0.35">
      <c r="A3566">
        <v>1308</v>
      </c>
      <c r="B3566">
        <v>1</v>
      </c>
      <c r="C3566">
        <v>54</v>
      </c>
      <c r="D3566">
        <v>1</v>
      </c>
      <c r="E3566">
        <v>3199.99</v>
      </c>
      <c r="F3566">
        <v>0.1</v>
      </c>
      <c r="G3566">
        <v>3199.94</v>
      </c>
      <c r="H3566" t="s">
        <v>55</v>
      </c>
    </row>
    <row r="3567" spans="1:8" x14ac:dyDescent="0.35">
      <c r="A3567">
        <v>1308</v>
      </c>
      <c r="B3567">
        <v>2</v>
      </c>
      <c r="C3567">
        <v>69</v>
      </c>
      <c r="D3567">
        <v>1</v>
      </c>
      <c r="E3567">
        <v>416.99</v>
      </c>
      <c r="F3567">
        <v>0.2</v>
      </c>
      <c r="G3567">
        <v>416.79</v>
      </c>
      <c r="H3567" t="s">
        <v>70</v>
      </c>
    </row>
    <row r="3568" spans="1:8" x14ac:dyDescent="0.35">
      <c r="A3568">
        <v>1308</v>
      </c>
      <c r="B3568">
        <v>3</v>
      </c>
      <c r="C3568">
        <v>14</v>
      </c>
      <c r="D3568">
        <v>2</v>
      </c>
      <c r="E3568">
        <v>269.99</v>
      </c>
      <c r="F3568">
        <v>0.1</v>
      </c>
      <c r="G3568">
        <v>539.91</v>
      </c>
      <c r="H3568" t="s">
        <v>19</v>
      </c>
    </row>
    <row r="3569" spans="1:8" x14ac:dyDescent="0.35">
      <c r="A3569">
        <v>1308</v>
      </c>
      <c r="B3569">
        <v>4</v>
      </c>
      <c r="C3569">
        <v>56</v>
      </c>
      <c r="D3569">
        <v>1</v>
      </c>
      <c r="E3569">
        <v>5499.99</v>
      </c>
      <c r="F3569">
        <v>0.2</v>
      </c>
      <c r="G3569">
        <v>5499.79</v>
      </c>
      <c r="H3569" t="s">
        <v>57</v>
      </c>
    </row>
    <row r="3570" spans="1:8" x14ac:dyDescent="0.35">
      <c r="A3570">
        <v>1308</v>
      </c>
      <c r="B3570">
        <v>5</v>
      </c>
      <c r="C3570">
        <v>32</v>
      </c>
      <c r="D3570">
        <v>1</v>
      </c>
      <c r="E3570">
        <v>469.99</v>
      </c>
      <c r="F3570">
        <v>0.1</v>
      </c>
      <c r="G3570">
        <v>469.92</v>
      </c>
      <c r="H3570" t="s">
        <v>33</v>
      </c>
    </row>
    <row r="3571" spans="1:8" x14ac:dyDescent="0.35">
      <c r="A3571">
        <v>1309</v>
      </c>
      <c r="B3571">
        <v>1</v>
      </c>
      <c r="C3571">
        <v>65</v>
      </c>
      <c r="D3571">
        <v>1</v>
      </c>
      <c r="E3571">
        <v>346.99</v>
      </c>
      <c r="F3571">
        <v>0.1</v>
      </c>
      <c r="G3571">
        <v>346.94</v>
      </c>
      <c r="H3571" t="s">
        <v>66</v>
      </c>
    </row>
    <row r="3572" spans="1:8" x14ac:dyDescent="0.35">
      <c r="A3572">
        <v>1309</v>
      </c>
      <c r="B3572">
        <v>2</v>
      </c>
      <c r="C3572">
        <v>87</v>
      </c>
      <c r="D3572">
        <v>2</v>
      </c>
      <c r="E3572">
        <v>189.99</v>
      </c>
      <c r="F3572">
        <v>0.2</v>
      </c>
      <c r="G3572">
        <v>379.78</v>
      </c>
      <c r="H3572" t="s">
        <v>88</v>
      </c>
    </row>
    <row r="3573" spans="1:8" x14ac:dyDescent="0.35">
      <c r="A3573">
        <v>1310</v>
      </c>
      <c r="B3573">
        <v>1</v>
      </c>
      <c r="C3573">
        <v>59</v>
      </c>
      <c r="D3573">
        <v>1</v>
      </c>
      <c r="E3573">
        <v>2599.9899999999998</v>
      </c>
      <c r="F3573">
        <v>0.2</v>
      </c>
      <c r="G3573">
        <v>2599.79</v>
      </c>
      <c r="H3573" t="s">
        <v>60</v>
      </c>
    </row>
    <row r="3574" spans="1:8" x14ac:dyDescent="0.35">
      <c r="A3574">
        <v>1310</v>
      </c>
      <c r="B3574">
        <v>2</v>
      </c>
      <c r="C3574">
        <v>77</v>
      </c>
      <c r="D3574">
        <v>2</v>
      </c>
      <c r="E3574">
        <v>799.99</v>
      </c>
      <c r="F3574">
        <v>0.2</v>
      </c>
      <c r="G3574">
        <v>1599.78</v>
      </c>
      <c r="H3574" t="s">
        <v>78</v>
      </c>
    </row>
    <row r="3575" spans="1:8" x14ac:dyDescent="0.35">
      <c r="A3575">
        <v>1310</v>
      </c>
      <c r="B3575">
        <v>3</v>
      </c>
      <c r="C3575">
        <v>11</v>
      </c>
      <c r="D3575">
        <v>2</v>
      </c>
      <c r="E3575">
        <v>1680.99</v>
      </c>
      <c r="F3575">
        <v>0.1</v>
      </c>
      <c r="G3575">
        <v>3361.88</v>
      </c>
      <c r="H3575" t="s">
        <v>16</v>
      </c>
    </row>
    <row r="3576" spans="1:8" x14ac:dyDescent="0.35">
      <c r="A3576">
        <v>1310</v>
      </c>
      <c r="B3576">
        <v>4</v>
      </c>
      <c r="C3576">
        <v>54</v>
      </c>
      <c r="D3576">
        <v>1</v>
      </c>
      <c r="E3576">
        <v>3199.99</v>
      </c>
      <c r="F3576">
        <v>0.2</v>
      </c>
      <c r="G3576">
        <v>3199.79</v>
      </c>
      <c r="H3576" t="s">
        <v>55</v>
      </c>
    </row>
    <row r="3577" spans="1:8" x14ac:dyDescent="0.35">
      <c r="A3577">
        <v>1311</v>
      </c>
      <c r="B3577">
        <v>1</v>
      </c>
      <c r="C3577">
        <v>69</v>
      </c>
      <c r="D3577">
        <v>1</v>
      </c>
      <c r="E3577">
        <v>416.99</v>
      </c>
      <c r="F3577">
        <v>0.1</v>
      </c>
      <c r="G3577">
        <v>416.89</v>
      </c>
      <c r="H3577" t="s">
        <v>70</v>
      </c>
    </row>
    <row r="3578" spans="1:8" x14ac:dyDescent="0.35">
      <c r="A3578">
        <v>1311</v>
      </c>
      <c r="B3578">
        <v>2</v>
      </c>
      <c r="C3578">
        <v>45</v>
      </c>
      <c r="D3578">
        <v>2</v>
      </c>
      <c r="E3578">
        <v>869.99</v>
      </c>
      <c r="F3578">
        <v>0.1</v>
      </c>
      <c r="G3578">
        <v>1739.91</v>
      </c>
      <c r="H3578" t="s">
        <v>46</v>
      </c>
    </row>
    <row r="3579" spans="1:8" x14ac:dyDescent="0.35">
      <c r="A3579">
        <v>1311</v>
      </c>
      <c r="B3579">
        <v>3</v>
      </c>
      <c r="C3579">
        <v>27</v>
      </c>
      <c r="D3579">
        <v>2</v>
      </c>
      <c r="E3579">
        <v>999.99</v>
      </c>
      <c r="F3579">
        <v>0.1</v>
      </c>
      <c r="G3579">
        <v>1999.88</v>
      </c>
      <c r="H3579" t="s">
        <v>28</v>
      </c>
    </row>
    <row r="3580" spans="1:8" x14ac:dyDescent="0.35">
      <c r="A3580">
        <v>1311</v>
      </c>
      <c r="B3580">
        <v>4</v>
      </c>
      <c r="C3580">
        <v>42</v>
      </c>
      <c r="D3580">
        <v>1</v>
      </c>
      <c r="E3580">
        <v>2299.9899999999998</v>
      </c>
      <c r="F3580">
        <v>0.1</v>
      </c>
      <c r="G3580">
        <v>2299.89</v>
      </c>
      <c r="H3580" t="s">
        <v>43</v>
      </c>
    </row>
    <row r="3581" spans="1:8" x14ac:dyDescent="0.35">
      <c r="A3581">
        <v>1312</v>
      </c>
      <c r="B3581">
        <v>1</v>
      </c>
      <c r="C3581">
        <v>67</v>
      </c>
      <c r="D3581">
        <v>2</v>
      </c>
      <c r="E3581">
        <v>250.99</v>
      </c>
      <c r="F3581">
        <v>0.1</v>
      </c>
      <c r="G3581">
        <v>501.93</v>
      </c>
      <c r="H3581" t="s">
        <v>68</v>
      </c>
    </row>
    <row r="3582" spans="1:8" x14ac:dyDescent="0.35">
      <c r="A3582">
        <v>1312</v>
      </c>
      <c r="B3582">
        <v>2</v>
      </c>
      <c r="C3582">
        <v>14</v>
      </c>
      <c r="D3582">
        <v>1</v>
      </c>
      <c r="E3582">
        <v>269.99</v>
      </c>
      <c r="F3582">
        <v>0.2</v>
      </c>
      <c r="G3582">
        <v>269.79000000000002</v>
      </c>
      <c r="H3582" t="s">
        <v>19</v>
      </c>
    </row>
    <row r="3583" spans="1:8" x14ac:dyDescent="0.35">
      <c r="A3583">
        <v>1312</v>
      </c>
      <c r="B3583">
        <v>3</v>
      </c>
      <c r="C3583">
        <v>20</v>
      </c>
      <c r="D3583">
        <v>1</v>
      </c>
      <c r="E3583">
        <v>599.99</v>
      </c>
      <c r="F3583">
        <v>0.1</v>
      </c>
      <c r="G3583">
        <v>599.91999999999996</v>
      </c>
      <c r="H3583" t="s">
        <v>25</v>
      </c>
    </row>
    <row r="3584" spans="1:8" x14ac:dyDescent="0.35">
      <c r="A3584">
        <v>1313</v>
      </c>
      <c r="B3584">
        <v>1</v>
      </c>
      <c r="C3584">
        <v>75</v>
      </c>
      <c r="D3584">
        <v>1</v>
      </c>
      <c r="E3584">
        <v>599.99</v>
      </c>
      <c r="F3584">
        <v>0.2</v>
      </c>
      <c r="G3584">
        <v>599.79</v>
      </c>
      <c r="H3584" t="s">
        <v>76</v>
      </c>
    </row>
    <row r="3585" spans="1:8" x14ac:dyDescent="0.35">
      <c r="A3585">
        <v>1313</v>
      </c>
      <c r="B3585">
        <v>2</v>
      </c>
      <c r="C3585">
        <v>33</v>
      </c>
      <c r="D3585">
        <v>1</v>
      </c>
      <c r="E3585">
        <v>469.99</v>
      </c>
      <c r="F3585">
        <v>0.2</v>
      </c>
      <c r="G3585">
        <v>469.79</v>
      </c>
      <c r="H3585" t="s">
        <v>34</v>
      </c>
    </row>
    <row r="3586" spans="1:8" x14ac:dyDescent="0.35">
      <c r="A3586">
        <v>1313</v>
      </c>
      <c r="B3586">
        <v>3</v>
      </c>
      <c r="C3586">
        <v>69</v>
      </c>
      <c r="D3586">
        <v>1</v>
      </c>
      <c r="E3586">
        <v>416.99</v>
      </c>
      <c r="F3586">
        <v>0.1</v>
      </c>
      <c r="G3586">
        <v>416.92</v>
      </c>
      <c r="H3586" t="s">
        <v>70</v>
      </c>
    </row>
    <row r="3587" spans="1:8" x14ac:dyDescent="0.35">
      <c r="A3587">
        <v>1314</v>
      </c>
      <c r="B3587">
        <v>1</v>
      </c>
      <c r="C3587">
        <v>52</v>
      </c>
      <c r="D3587">
        <v>1</v>
      </c>
      <c r="E3587">
        <v>875.99</v>
      </c>
      <c r="F3587">
        <v>0.1</v>
      </c>
      <c r="G3587">
        <v>875.92</v>
      </c>
      <c r="H3587" t="s">
        <v>53</v>
      </c>
    </row>
    <row r="3588" spans="1:8" x14ac:dyDescent="0.35">
      <c r="A3588">
        <v>1314</v>
      </c>
      <c r="B3588">
        <v>2</v>
      </c>
      <c r="C3588">
        <v>72</v>
      </c>
      <c r="D3588">
        <v>2</v>
      </c>
      <c r="E3588">
        <v>619.99</v>
      </c>
      <c r="F3588">
        <v>0.1</v>
      </c>
      <c r="G3588">
        <v>1239.93</v>
      </c>
      <c r="H3588" t="s">
        <v>73</v>
      </c>
    </row>
    <row r="3589" spans="1:8" x14ac:dyDescent="0.35">
      <c r="A3589">
        <v>1314</v>
      </c>
      <c r="B3589">
        <v>3</v>
      </c>
      <c r="C3589">
        <v>94</v>
      </c>
      <c r="D3589">
        <v>1</v>
      </c>
      <c r="E3589">
        <v>249.99</v>
      </c>
      <c r="F3589">
        <v>0.1</v>
      </c>
      <c r="G3589">
        <v>249.89</v>
      </c>
      <c r="H3589" t="s">
        <v>95</v>
      </c>
    </row>
    <row r="3590" spans="1:8" x14ac:dyDescent="0.35">
      <c r="A3590">
        <v>1315</v>
      </c>
      <c r="B3590">
        <v>1</v>
      </c>
      <c r="C3590">
        <v>104</v>
      </c>
      <c r="D3590">
        <v>2</v>
      </c>
      <c r="E3590">
        <v>481.99</v>
      </c>
      <c r="F3590">
        <v>0.1</v>
      </c>
      <c r="G3590">
        <v>963.91</v>
      </c>
      <c r="H3590" t="s">
        <v>103</v>
      </c>
    </row>
    <row r="3591" spans="1:8" x14ac:dyDescent="0.35">
      <c r="A3591">
        <v>1315</v>
      </c>
      <c r="B3591">
        <v>2</v>
      </c>
      <c r="C3591">
        <v>41</v>
      </c>
      <c r="D3591">
        <v>1</v>
      </c>
      <c r="E3591">
        <v>1469.99</v>
      </c>
      <c r="F3591">
        <v>0.1</v>
      </c>
      <c r="G3591">
        <v>1469.94</v>
      </c>
      <c r="H3591" t="s">
        <v>42</v>
      </c>
    </row>
    <row r="3592" spans="1:8" x14ac:dyDescent="0.35">
      <c r="A3592">
        <v>1315</v>
      </c>
      <c r="B3592">
        <v>3</v>
      </c>
      <c r="C3592">
        <v>24</v>
      </c>
      <c r="D3592">
        <v>1</v>
      </c>
      <c r="E3592">
        <v>549.99</v>
      </c>
      <c r="F3592">
        <v>0.1</v>
      </c>
      <c r="G3592">
        <v>549.89</v>
      </c>
      <c r="H3592" t="s">
        <v>17</v>
      </c>
    </row>
    <row r="3593" spans="1:8" x14ac:dyDescent="0.35">
      <c r="A3593">
        <v>1315</v>
      </c>
      <c r="B3593">
        <v>4</v>
      </c>
      <c r="C3593">
        <v>26</v>
      </c>
      <c r="D3593">
        <v>1</v>
      </c>
      <c r="E3593">
        <v>599.99</v>
      </c>
      <c r="F3593">
        <v>0.1</v>
      </c>
      <c r="G3593">
        <v>599.91999999999996</v>
      </c>
      <c r="H3593" t="s">
        <v>21</v>
      </c>
    </row>
    <row r="3594" spans="1:8" x14ac:dyDescent="0.35">
      <c r="A3594">
        <v>1315</v>
      </c>
      <c r="B3594">
        <v>5</v>
      </c>
      <c r="C3594">
        <v>16</v>
      </c>
      <c r="D3594">
        <v>2</v>
      </c>
      <c r="E3594">
        <v>599.99</v>
      </c>
      <c r="F3594">
        <v>0.2</v>
      </c>
      <c r="G3594">
        <v>1199.78</v>
      </c>
      <c r="H3594" t="s">
        <v>21</v>
      </c>
    </row>
    <row r="3595" spans="1:8" x14ac:dyDescent="0.35">
      <c r="A3595">
        <v>1316</v>
      </c>
      <c r="B3595">
        <v>1</v>
      </c>
      <c r="C3595">
        <v>76</v>
      </c>
      <c r="D3595">
        <v>2</v>
      </c>
      <c r="E3595">
        <v>299.99</v>
      </c>
      <c r="F3595">
        <v>0.1</v>
      </c>
      <c r="G3595">
        <v>599.88</v>
      </c>
      <c r="H3595" t="s">
        <v>77</v>
      </c>
    </row>
    <row r="3596" spans="1:8" x14ac:dyDescent="0.35">
      <c r="A3596">
        <v>1316</v>
      </c>
      <c r="B3596">
        <v>2</v>
      </c>
      <c r="C3596">
        <v>90</v>
      </c>
      <c r="D3596">
        <v>1</v>
      </c>
      <c r="E3596">
        <v>209.99</v>
      </c>
      <c r="F3596">
        <v>0.1</v>
      </c>
      <c r="G3596">
        <v>209.89</v>
      </c>
      <c r="H3596" t="s">
        <v>91</v>
      </c>
    </row>
    <row r="3597" spans="1:8" x14ac:dyDescent="0.35">
      <c r="A3597">
        <v>1318</v>
      </c>
      <c r="B3597">
        <v>1</v>
      </c>
      <c r="C3597">
        <v>82</v>
      </c>
      <c r="D3597">
        <v>2</v>
      </c>
      <c r="E3597">
        <v>659.99</v>
      </c>
      <c r="F3597">
        <v>0.2</v>
      </c>
      <c r="G3597">
        <v>1319.78</v>
      </c>
      <c r="H3597" t="s">
        <v>83</v>
      </c>
    </row>
    <row r="3598" spans="1:8" x14ac:dyDescent="0.35">
      <c r="A3598">
        <v>1318</v>
      </c>
      <c r="B3598">
        <v>2</v>
      </c>
      <c r="C3598">
        <v>62</v>
      </c>
      <c r="D3598">
        <v>2</v>
      </c>
      <c r="E3598">
        <v>3499.99</v>
      </c>
      <c r="F3598">
        <v>0.2</v>
      </c>
      <c r="G3598">
        <v>6999.78</v>
      </c>
      <c r="H3598" t="s">
        <v>63</v>
      </c>
    </row>
    <row r="3599" spans="1:8" x14ac:dyDescent="0.35">
      <c r="A3599">
        <v>1318</v>
      </c>
      <c r="B3599">
        <v>3</v>
      </c>
      <c r="C3599">
        <v>111</v>
      </c>
      <c r="D3599">
        <v>1</v>
      </c>
      <c r="E3599">
        <v>470.99</v>
      </c>
      <c r="F3599">
        <v>0.2</v>
      </c>
      <c r="G3599">
        <v>470.79</v>
      </c>
      <c r="H3599" t="s">
        <v>108</v>
      </c>
    </row>
    <row r="3600" spans="1:8" x14ac:dyDescent="0.35">
      <c r="A3600">
        <v>1318</v>
      </c>
      <c r="B3600">
        <v>4</v>
      </c>
      <c r="C3600">
        <v>92</v>
      </c>
      <c r="D3600">
        <v>1</v>
      </c>
      <c r="E3600">
        <v>209.99</v>
      </c>
      <c r="F3600">
        <v>0.1</v>
      </c>
      <c r="G3600">
        <v>209.92</v>
      </c>
      <c r="H3600" t="s">
        <v>93</v>
      </c>
    </row>
    <row r="3601" spans="1:8" x14ac:dyDescent="0.35">
      <c r="A3601">
        <v>1319</v>
      </c>
      <c r="B3601">
        <v>1</v>
      </c>
      <c r="C3601">
        <v>75</v>
      </c>
      <c r="D3601">
        <v>1</v>
      </c>
      <c r="E3601">
        <v>599.99</v>
      </c>
      <c r="F3601">
        <v>0.1</v>
      </c>
      <c r="G3601">
        <v>599.91999999999996</v>
      </c>
      <c r="H3601" t="s">
        <v>76</v>
      </c>
    </row>
    <row r="3602" spans="1:8" x14ac:dyDescent="0.35">
      <c r="A3602">
        <v>1319</v>
      </c>
      <c r="B3602">
        <v>2</v>
      </c>
      <c r="C3602">
        <v>91</v>
      </c>
      <c r="D3602">
        <v>1</v>
      </c>
      <c r="E3602">
        <v>349.99</v>
      </c>
      <c r="F3602">
        <v>0.2</v>
      </c>
      <c r="G3602">
        <v>349.79</v>
      </c>
      <c r="H3602" t="s">
        <v>92</v>
      </c>
    </row>
    <row r="3603" spans="1:8" x14ac:dyDescent="0.35">
      <c r="A3603">
        <v>1320</v>
      </c>
      <c r="B3603">
        <v>1</v>
      </c>
      <c r="C3603">
        <v>104</v>
      </c>
      <c r="D3603">
        <v>1</v>
      </c>
      <c r="E3603">
        <v>481.99</v>
      </c>
      <c r="F3603">
        <v>0.1</v>
      </c>
      <c r="G3603">
        <v>481.89</v>
      </c>
      <c r="H3603" t="s">
        <v>103</v>
      </c>
    </row>
    <row r="3604" spans="1:8" x14ac:dyDescent="0.35">
      <c r="A3604">
        <v>1320</v>
      </c>
      <c r="B3604">
        <v>2</v>
      </c>
      <c r="C3604">
        <v>93</v>
      </c>
      <c r="D3604">
        <v>1</v>
      </c>
      <c r="E3604">
        <v>209.99</v>
      </c>
      <c r="F3604">
        <v>0.1</v>
      </c>
      <c r="G3604">
        <v>209.94</v>
      </c>
      <c r="H3604" t="s">
        <v>94</v>
      </c>
    </row>
    <row r="3605" spans="1:8" x14ac:dyDescent="0.35">
      <c r="A3605">
        <v>1320</v>
      </c>
      <c r="B3605">
        <v>3</v>
      </c>
      <c r="C3605">
        <v>99</v>
      </c>
      <c r="D3605">
        <v>2</v>
      </c>
      <c r="E3605">
        <v>299.99</v>
      </c>
      <c r="F3605">
        <v>0.2</v>
      </c>
      <c r="G3605">
        <v>599.78</v>
      </c>
      <c r="H3605" t="s">
        <v>99</v>
      </c>
    </row>
    <row r="3606" spans="1:8" x14ac:dyDescent="0.35">
      <c r="A3606">
        <v>1321</v>
      </c>
      <c r="B3606">
        <v>1</v>
      </c>
      <c r="C3606">
        <v>34</v>
      </c>
      <c r="D3606">
        <v>1</v>
      </c>
      <c r="E3606">
        <v>469.99</v>
      </c>
      <c r="F3606">
        <v>0.1</v>
      </c>
      <c r="G3606">
        <v>469.89</v>
      </c>
      <c r="H3606" t="s">
        <v>35</v>
      </c>
    </row>
    <row r="3607" spans="1:8" x14ac:dyDescent="0.35">
      <c r="A3607">
        <v>1321</v>
      </c>
      <c r="B3607">
        <v>2</v>
      </c>
      <c r="C3607">
        <v>107</v>
      </c>
      <c r="D3607">
        <v>1</v>
      </c>
      <c r="E3607">
        <v>416.99</v>
      </c>
      <c r="F3607">
        <v>0.1</v>
      </c>
      <c r="G3607">
        <v>416.89</v>
      </c>
      <c r="H3607" t="s">
        <v>70</v>
      </c>
    </row>
    <row r="3608" spans="1:8" x14ac:dyDescent="0.35">
      <c r="A3608">
        <v>1321</v>
      </c>
      <c r="B3608">
        <v>3</v>
      </c>
      <c r="C3608">
        <v>11</v>
      </c>
      <c r="D3608">
        <v>2</v>
      </c>
      <c r="E3608">
        <v>1680.99</v>
      </c>
      <c r="F3608">
        <v>0.1</v>
      </c>
      <c r="G3608">
        <v>3361.88</v>
      </c>
      <c r="H3608" t="s">
        <v>16</v>
      </c>
    </row>
    <row r="3609" spans="1:8" x14ac:dyDescent="0.35">
      <c r="A3609">
        <v>1322</v>
      </c>
      <c r="B3609">
        <v>1</v>
      </c>
      <c r="C3609">
        <v>28</v>
      </c>
      <c r="D3609">
        <v>2</v>
      </c>
      <c r="E3609">
        <v>2499.9899999999998</v>
      </c>
      <c r="F3609">
        <v>0.1</v>
      </c>
      <c r="G3609">
        <v>4999.93</v>
      </c>
      <c r="H3609" t="s">
        <v>29</v>
      </c>
    </row>
    <row r="3610" spans="1:8" x14ac:dyDescent="0.35">
      <c r="A3610">
        <v>1322</v>
      </c>
      <c r="B3610">
        <v>2</v>
      </c>
      <c r="C3610">
        <v>104</v>
      </c>
      <c r="D3610">
        <v>2</v>
      </c>
      <c r="E3610">
        <v>481.99</v>
      </c>
      <c r="F3610">
        <v>0.1</v>
      </c>
      <c r="G3610">
        <v>963.93</v>
      </c>
      <c r="H3610" t="s">
        <v>103</v>
      </c>
    </row>
    <row r="3611" spans="1:8" x14ac:dyDescent="0.35">
      <c r="A3611">
        <v>1323</v>
      </c>
      <c r="B3611">
        <v>1</v>
      </c>
      <c r="C3611">
        <v>27</v>
      </c>
      <c r="D3611">
        <v>2</v>
      </c>
      <c r="E3611">
        <v>999.99</v>
      </c>
      <c r="F3611">
        <v>0.1</v>
      </c>
      <c r="G3611">
        <v>1999.91</v>
      </c>
      <c r="H3611" t="s">
        <v>28</v>
      </c>
    </row>
    <row r="3612" spans="1:8" x14ac:dyDescent="0.35">
      <c r="A3612">
        <v>1323</v>
      </c>
      <c r="B3612">
        <v>2</v>
      </c>
      <c r="C3612">
        <v>20</v>
      </c>
      <c r="D3612">
        <v>1</v>
      </c>
      <c r="E3612">
        <v>599.99</v>
      </c>
      <c r="F3612">
        <v>0.1</v>
      </c>
      <c r="G3612">
        <v>599.94000000000005</v>
      </c>
      <c r="H3612" t="s">
        <v>25</v>
      </c>
    </row>
    <row r="3613" spans="1:8" x14ac:dyDescent="0.35">
      <c r="A3613">
        <v>1323</v>
      </c>
      <c r="B3613">
        <v>3</v>
      </c>
      <c r="C3613">
        <v>70</v>
      </c>
      <c r="D3613">
        <v>1</v>
      </c>
      <c r="E3613">
        <v>659.99</v>
      </c>
      <c r="F3613">
        <v>0.1</v>
      </c>
      <c r="G3613">
        <v>659.94</v>
      </c>
      <c r="H3613" t="s">
        <v>71</v>
      </c>
    </row>
    <row r="3614" spans="1:8" x14ac:dyDescent="0.35">
      <c r="A3614">
        <v>1324</v>
      </c>
      <c r="B3614">
        <v>1</v>
      </c>
      <c r="C3614">
        <v>66</v>
      </c>
      <c r="D3614">
        <v>1</v>
      </c>
      <c r="E3614">
        <v>250.99</v>
      </c>
      <c r="F3614">
        <v>0.1</v>
      </c>
      <c r="G3614">
        <v>250.89</v>
      </c>
      <c r="H3614" t="s">
        <v>67</v>
      </c>
    </row>
    <row r="3615" spans="1:8" x14ac:dyDescent="0.35">
      <c r="A3615">
        <v>1324</v>
      </c>
      <c r="B3615">
        <v>2</v>
      </c>
      <c r="C3615">
        <v>120</v>
      </c>
      <c r="D3615">
        <v>2</v>
      </c>
      <c r="E3615">
        <v>2499.9899999999998</v>
      </c>
      <c r="F3615">
        <v>0.2</v>
      </c>
      <c r="G3615">
        <v>4999.78</v>
      </c>
      <c r="H3615" t="s">
        <v>117</v>
      </c>
    </row>
    <row r="3616" spans="1:8" x14ac:dyDescent="0.35">
      <c r="A3616">
        <v>1324</v>
      </c>
      <c r="B3616">
        <v>3</v>
      </c>
      <c r="C3616">
        <v>235</v>
      </c>
      <c r="D3616">
        <v>1</v>
      </c>
      <c r="E3616">
        <v>899.99</v>
      </c>
      <c r="F3616">
        <v>0.1</v>
      </c>
      <c r="G3616">
        <v>899.89</v>
      </c>
      <c r="H3616" t="s">
        <v>230</v>
      </c>
    </row>
    <row r="3617" spans="1:8" x14ac:dyDescent="0.35">
      <c r="A3617">
        <v>1324</v>
      </c>
      <c r="B3617">
        <v>4</v>
      </c>
      <c r="C3617">
        <v>3</v>
      </c>
      <c r="D3617">
        <v>1</v>
      </c>
      <c r="E3617">
        <v>999.99</v>
      </c>
      <c r="F3617">
        <v>0.2</v>
      </c>
      <c r="G3617">
        <v>999.79</v>
      </c>
      <c r="H3617" t="s">
        <v>8</v>
      </c>
    </row>
    <row r="3618" spans="1:8" x14ac:dyDescent="0.35">
      <c r="A3618">
        <v>1325</v>
      </c>
      <c r="B3618">
        <v>1</v>
      </c>
      <c r="C3618">
        <v>139</v>
      </c>
      <c r="D3618">
        <v>1</v>
      </c>
      <c r="E3618">
        <v>2999.99</v>
      </c>
      <c r="F3618">
        <v>0.1</v>
      </c>
      <c r="G3618">
        <v>2999.94</v>
      </c>
      <c r="H3618" t="s">
        <v>136</v>
      </c>
    </row>
    <row r="3619" spans="1:8" x14ac:dyDescent="0.35">
      <c r="A3619">
        <v>1325</v>
      </c>
      <c r="B3619">
        <v>2</v>
      </c>
      <c r="C3619">
        <v>257</v>
      </c>
      <c r="D3619">
        <v>1</v>
      </c>
      <c r="E3619">
        <v>899.99</v>
      </c>
      <c r="F3619">
        <v>0.1</v>
      </c>
      <c r="G3619">
        <v>899.94</v>
      </c>
      <c r="H3619" t="s">
        <v>248</v>
      </c>
    </row>
    <row r="3620" spans="1:8" x14ac:dyDescent="0.35">
      <c r="A3620">
        <v>1325</v>
      </c>
      <c r="B3620">
        <v>3</v>
      </c>
      <c r="C3620">
        <v>209</v>
      </c>
      <c r="D3620">
        <v>1</v>
      </c>
      <c r="E3620">
        <v>2999.99</v>
      </c>
      <c r="F3620">
        <v>0.1</v>
      </c>
      <c r="G3620">
        <v>2999.89</v>
      </c>
      <c r="H3620" t="s">
        <v>206</v>
      </c>
    </row>
    <row r="3621" spans="1:8" x14ac:dyDescent="0.35">
      <c r="A3621">
        <v>1325</v>
      </c>
      <c r="B3621">
        <v>4</v>
      </c>
      <c r="C3621">
        <v>28</v>
      </c>
      <c r="D3621">
        <v>1</v>
      </c>
      <c r="E3621">
        <v>2499.9899999999998</v>
      </c>
      <c r="F3621">
        <v>0.1</v>
      </c>
      <c r="G3621">
        <v>2499.92</v>
      </c>
      <c r="H3621" t="s">
        <v>29</v>
      </c>
    </row>
    <row r="3622" spans="1:8" x14ac:dyDescent="0.35">
      <c r="A3622">
        <v>1326</v>
      </c>
      <c r="B3622">
        <v>1</v>
      </c>
      <c r="C3622">
        <v>190</v>
      </c>
      <c r="D3622">
        <v>2</v>
      </c>
      <c r="E3622">
        <v>2799.99</v>
      </c>
      <c r="F3622">
        <v>0.1</v>
      </c>
      <c r="G3622">
        <v>5599.91</v>
      </c>
      <c r="H3622" t="s">
        <v>187</v>
      </c>
    </row>
    <row r="3623" spans="1:8" x14ac:dyDescent="0.35">
      <c r="A3623">
        <v>1326</v>
      </c>
      <c r="B3623">
        <v>2</v>
      </c>
      <c r="C3623">
        <v>269</v>
      </c>
      <c r="D3623">
        <v>2</v>
      </c>
      <c r="E3623">
        <v>199.99</v>
      </c>
      <c r="F3623">
        <v>0.1</v>
      </c>
      <c r="G3623">
        <v>399.91</v>
      </c>
      <c r="H3623" t="s">
        <v>260</v>
      </c>
    </row>
    <row r="3624" spans="1:8" x14ac:dyDescent="0.35">
      <c r="A3624">
        <v>1327</v>
      </c>
      <c r="B3624">
        <v>1</v>
      </c>
      <c r="C3624">
        <v>151</v>
      </c>
      <c r="D3624">
        <v>2</v>
      </c>
      <c r="E3624">
        <v>1549.99</v>
      </c>
      <c r="F3624">
        <v>0.1</v>
      </c>
      <c r="G3624">
        <v>3099.91</v>
      </c>
      <c r="H3624" t="s">
        <v>148</v>
      </c>
    </row>
    <row r="3625" spans="1:8" x14ac:dyDescent="0.35">
      <c r="A3625">
        <v>1327</v>
      </c>
      <c r="B3625">
        <v>2</v>
      </c>
      <c r="C3625">
        <v>235</v>
      </c>
      <c r="D3625">
        <v>2</v>
      </c>
      <c r="E3625">
        <v>899.99</v>
      </c>
      <c r="F3625">
        <v>0.1</v>
      </c>
      <c r="G3625">
        <v>1799.88</v>
      </c>
      <c r="H3625" t="s">
        <v>230</v>
      </c>
    </row>
    <row r="3626" spans="1:8" x14ac:dyDescent="0.35">
      <c r="A3626">
        <v>1327</v>
      </c>
      <c r="B3626">
        <v>3</v>
      </c>
      <c r="C3626">
        <v>48</v>
      </c>
      <c r="D3626">
        <v>2</v>
      </c>
      <c r="E3626">
        <v>1499.99</v>
      </c>
      <c r="F3626">
        <v>0.1</v>
      </c>
      <c r="G3626">
        <v>2999.88</v>
      </c>
      <c r="H3626" t="s">
        <v>49</v>
      </c>
    </row>
    <row r="3627" spans="1:8" x14ac:dyDescent="0.35">
      <c r="A3627">
        <v>1327</v>
      </c>
      <c r="B3627">
        <v>4</v>
      </c>
      <c r="C3627">
        <v>180</v>
      </c>
      <c r="D3627">
        <v>1</v>
      </c>
      <c r="E3627">
        <v>919.99</v>
      </c>
      <c r="F3627">
        <v>0.2</v>
      </c>
      <c r="G3627">
        <v>919.79</v>
      </c>
      <c r="H3627" t="s">
        <v>177</v>
      </c>
    </row>
    <row r="3628" spans="1:8" x14ac:dyDescent="0.35">
      <c r="A3628">
        <v>1328</v>
      </c>
      <c r="B3628">
        <v>1</v>
      </c>
      <c r="C3628">
        <v>241</v>
      </c>
      <c r="D3628">
        <v>1</v>
      </c>
      <c r="E3628">
        <v>749.99</v>
      </c>
      <c r="F3628">
        <v>0.1</v>
      </c>
      <c r="G3628">
        <v>749.92</v>
      </c>
      <c r="H3628" t="s">
        <v>236</v>
      </c>
    </row>
    <row r="3629" spans="1:8" x14ac:dyDescent="0.35">
      <c r="A3629">
        <v>1328</v>
      </c>
      <c r="B3629">
        <v>2</v>
      </c>
      <c r="C3629">
        <v>129</v>
      </c>
      <c r="D3629">
        <v>2</v>
      </c>
      <c r="E3629">
        <v>919.99</v>
      </c>
      <c r="F3629">
        <v>0.1</v>
      </c>
      <c r="G3629">
        <v>1839.88</v>
      </c>
      <c r="H3629" t="s">
        <v>126</v>
      </c>
    </row>
    <row r="3630" spans="1:8" x14ac:dyDescent="0.35">
      <c r="A3630">
        <v>1328</v>
      </c>
      <c r="B3630">
        <v>3</v>
      </c>
      <c r="C3630">
        <v>228</v>
      </c>
      <c r="D3630">
        <v>1</v>
      </c>
      <c r="E3630">
        <v>319.99</v>
      </c>
      <c r="F3630">
        <v>0.1</v>
      </c>
      <c r="G3630">
        <v>319.92</v>
      </c>
      <c r="H3630" t="s">
        <v>223</v>
      </c>
    </row>
    <row r="3631" spans="1:8" x14ac:dyDescent="0.35">
      <c r="A3631">
        <v>1328</v>
      </c>
      <c r="B3631">
        <v>4</v>
      </c>
      <c r="C3631">
        <v>311</v>
      </c>
      <c r="D3631">
        <v>1</v>
      </c>
      <c r="E3631">
        <v>749.99</v>
      </c>
      <c r="F3631">
        <v>0.1</v>
      </c>
      <c r="G3631">
        <v>749.89</v>
      </c>
      <c r="H3631" t="s">
        <v>236</v>
      </c>
    </row>
    <row r="3632" spans="1:8" x14ac:dyDescent="0.35">
      <c r="A3632">
        <v>1328</v>
      </c>
      <c r="B3632">
        <v>5</v>
      </c>
      <c r="C3632">
        <v>247</v>
      </c>
      <c r="D3632">
        <v>1</v>
      </c>
      <c r="E3632">
        <v>599.99</v>
      </c>
      <c r="F3632">
        <v>0.1</v>
      </c>
      <c r="G3632">
        <v>599.89</v>
      </c>
      <c r="H3632" t="s">
        <v>242</v>
      </c>
    </row>
    <row r="3633" spans="1:8" x14ac:dyDescent="0.35">
      <c r="A3633">
        <v>1329</v>
      </c>
      <c r="B3633">
        <v>1</v>
      </c>
      <c r="C3633">
        <v>143</v>
      </c>
      <c r="D3633">
        <v>1</v>
      </c>
      <c r="E3633">
        <v>1099.99</v>
      </c>
      <c r="F3633">
        <v>0.1</v>
      </c>
      <c r="G3633">
        <v>1099.92</v>
      </c>
      <c r="H3633" t="s">
        <v>140</v>
      </c>
    </row>
    <row r="3634" spans="1:8" x14ac:dyDescent="0.35">
      <c r="A3634">
        <v>1329</v>
      </c>
      <c r="B3634">
        <v>2</v>
      </c>
      <c r="C3634">
        <v>107</v>
      </c>
      <c r="D3634">
        <v>1</v>
      </c>
      <c r="E3634">
        <v>416.99</v>
      </c>
      <c r="F3634">
        <v>0.1</v>
      </c>
      <c r="G3634">
        <v>416.94</v>
      </c>
      <c r="H3634" t="s">
        <v>70</v>
      </c>
    </row>
    <row r="3635" spans="1:8" x14ac:dyDescent="0.35">
      <c r="A3635">
        <v>1329</v>
      </c>
      <c r="B3635">
        <v>3</v>
      </c>
      <c r="C3635">
        <v>55</v>
      </c>
      <c r="D3635">
        <v>1</v>
      </c>
      <c r="E3635">
        <v>2699.99</v>
      </c>
      <c r="F3635">
        <v>0.1</v>
      </c>
      <c r="G3635">
        <v>2699.92</v>
      </c>
      <c r="H3635" t="s">
        <v>56</v>
      </c>
    </row>
    <row r="3636" spans="1:8" x14ac:dyDescent="0.35">
      <c r="A3636">
        <v>1329</v>
      </c>
      <c r="B3636">
        <v>4</v>
      </c>
      <c r="C3636">
        <v>283</v>
      </c>
      <c r="D3636">
        <v>2</v>
      </c>
      <c r="E3636">
        <v>319.99</v>
      </c>
      <c r="F3636">
        <v>0.2</v>
      </c>
      <c r="G3636">
        <v>639.78</v>
      </c>
      <c r="H3636" t="s">
        <v>273</v>
      </c>
    </row>
    <row r="3637" spans="1:8" x14ac:dyDescent="0.35">
      <c r="A3637">
        <v>1329</v>
      </c>
      <c r="B3637">
        <v>5</v>
      </c>
      <c r="C3637">
        <v>13</v>
      </c>
      <c r="D3637">
        <v>1</v>
      </c>
      <c r="E3637">
        <v>269.99</v>
      </c>
      <c r="F3637">
        <v>0.1</v>
      </c>
      <c r="G3637">
        <v>269.89</v>
      </c>
      <c r="H3637" t="s">
        <v>18</v>
      </c>
    </row>
    <row r="3638" spans="1:8" x14ac:dyDescent="0.35">
      <c r="A3638">
        <v>1330</v>
      </c>
      <c r="B3638">
        <v>1</v>
      </c>
      <c r="C3638">
        <v>232</v>
      </c>
      <c r="D3638">
        <v>1</v>
      </c>
      <c r="E3638">
        <v>479.99</v>
      </c>
      <c r="F3638">
        <v>0.2</v>
      </c>
      <c r="G3638">
        <v>479.79</v>
      </c>
      <c r="H3638" t="s">
        <v>227</v>
      </c>
    </row>
    <row r="3639" spans="1:8" x14ac:dyDescent="0.35">
      <c r="A3639">
        <v>1330</v>
      </c>
      <c r="B3639">
        <v>2</v>
      </c>
      <c r="C3639">
        <v>243</v>
      </c>
      <c r="D3639">
        <v>2</v>
      </c>
      <c r="E3639">
        <v>679.99</v>
      </c>
      <c r="F3639">
        <v>0.1</v>
      </c>
      <c r="G3639">
        <v>1359.93</v>
      </c>
      <c r="H3639" t="s">
        <v>238</v>
      </c>
    </row>
    <row r="3640" spans="1:8" x14ac:dyDescent="0.35">
      <c r="A3640">
        <v>1330</v>
      </c>
      <c r="B3640">
        <v>3</v>
      </c>
      <c r="C3640">
        <v>230</v>
      </c>
      <c r="D3640">
        <v>2</v>
      </c>
      <c r="E3640">
        <v>429.99</v>
      </c>
      <c r="F3640">
        <v>0.2</v>
      </c>
      <c r="G3640">
        <v>859.78</v>
      </c>
      <c r="H3640" t="s">
        <v>225</v>
      </c>
    </row>
    <row r="3641" spans="1:8" x14ac:dyDescent="0.35">
      <c r="A3641">
        <v>1330</v>
      </c>
      <c r="B3641">
        <v>4</v>
      </c>
      <c r="C3641">
        <v>102</v>
      </c>
      <c r="D3641">
        <v>2</v>
      </c>
      <c r="E3641">
        <v>489.99</v>
      </c>
      <c r="F3641">
        <v>0.1</v>
      </c>
      <c r="G3641">
        <v>979.93</v>
      </c>
      <c r="H3641" t="s">
        <v>65</v>
      </c>
    </row>
    <row r="3642" spans="1:8" x14ac:dyDescent="0.35">
      <c r="A3642">
        <v>1330</v>
      </c>
      <c r="B3642">
        <v>5</v>
      </c>
      <c r="C3642">
        <v>282</v>
      </c>
      <c r="D3642">
        <v>1</v>
      </c>
      <c r="E3642">
        <v>279.99</v>
      </c>
      <c r="F3642">
        <v>0.1</v>
      </c>
      <c r="G3642">
        <v>279.89</v>
      </c>
      <c r="H3642" t="s">
        <v>272</v>
      </c>
    </row>
    <row r="3643" spans="1:8" x14ac:dyDescent="0.35">
      <c r="A3643">
        <v>1331</v>
      </c>
      <c r="B3643">
        <v>1</v>
      </c>
      <c r="C3643">
        <v>253</v>
      </c>
      <c r="D3643">
        <v>1</v>
      </c>
      <c r="E3643">
        <v>2599.9899999999998</v>
      </c>
      <c r="F3643">
        <v>0.1</v>
      </c>
      <c r="G3643">
        <v>2599.94</v>
      </c>
      <c r="H3643" t="s">
        <v>192</v>
      </c>
    </row>
    <row r="3644" spans="1:8" x14ac:dyDescent="0.35">
      <c r="A3644">
        <v>1331</v>
      </c>
      <c r="B3644">
        <v>2</v>
      </c>
      <c r="C3644">
        <v>290</v>
      </c>
      <c r="D3644">
        <v>1</v>
      </c>
      <c r="E3644">
        <v>369.99</v>
      </c>
      <c r="F3644">
        <v>0.1</v>
      </c>
      <c r="G3644">
        <v>369.94</v>
      </c>
      <c r="H3644" t="s">
        <v>280</v>
      </c>
    </row>
    <row r="3645" spans="1:8" x14ac:dyDescent="0.35">
      <c r="A3645">
        <v>1331</v>
      </c>
      <c r="B3645">
        <v>3</v>
      </c>
      <c r="C3645">
        <v>145</v>
      </c>
      <c r="D3645">
        <v>2</v>
      </c>
      <c r="E3645">
        <v>1799.99</v>
      </c>
      <c r="F3645">
        <v>0.1</v>
      </c>
      <c r="G3645">
        <v>3599.88</v>
      </c>
      <c r="H3645" t="s">
        <v>142</v>
      </c>
    </row>
    <row r="3646" spans="1:8" x14ac:dyDescent="0.35">
      <c r="A3646">
        <v>1331</v>
      </c>
      <c r="B3646">
        <v>4</v>
      </c>
      <c r="C3646">
        <v>300</v>
      </c>
      <c r="D3646">
        <v>1</v>
      </c>
      <c r="E3646">
        <v>799.99</v>
      </c>
      <c r="F3646">
        <v>0.2</v>
      </c>
      <c r="G3646">
        <v>799.79</v>
      </c>
      <c r="H3646" t="s">
        <v>251</v>
      </c>
    </row>
    <row r="3647" spans="1:8" x14ac:dyDescent="0.35">
      <c r="A3647">
        <v>1332</v>
      </c>
      <c r="B3647">
        <v>1</v>
      </c>
      <c r="C3647">
        <v>296</v>
      </c>
      <c r="D3647">
        <v>1</v>
      </c>
      <c r="E3647">
        <v>369.99</v>
      </c>
      <c r="F3647">
        <v>0.2</v>
      </c>
      <c r="G3647">
        <v>369.79</v>
      </c>
      <c r="H3647" t="s">
        <v>286</v>
      </c>
    </row>
    <row r="3648" spans="1:8" x14ac:dyDescent="0.35">
      <c r="A3648">
        <v>1332</v>
      </c>
      <c r="B3648">
        <v>2</v>
      </c>
      <c r="C3648">
        <v>93</v>
      </c>
      <c r="D3648">
        <v>2</v>
      </c>
      <c r="E3648">
        <v>209.99</v>
      </c>
      <c r="F3648">
        <v>0.1</v>
      </c>
      <c r="G3648">
        <v>419.93</v>
      </c>
      <c r="H3648" t="s">
        <v>94</v>
      </c>
    </row>
    <row r="3649" spans="1:8" x14ac:dyDescent="0.35">
      <c r="A3649">
        <v>1332</v>
      </c>
      <c r="B3649">
        <v>3</v>
      </c>
      <c r="C3649">
        <v>179</v>
      </c>
      <c r="D3649">
        <v>2</v>
      </c>
      <c r="E3649">
        <v>919.99</v>
      </c>
      <c r="F3649">
        <v>0.1</v>
      </c>
      <c r="G3649">
        <v>1839.91</v>
      </c>
      <c r="H3649" t="s">
        <v>176</v>
      </c>
    </row>
    <row r="3650" spans="1:8" x14ac:dyDescent="0.35">
      <c r="A3650">
        <v>1332</v>
      </c>
      <c r="B3650">
        <v>4</v>
      </c>
      <c r="C3650">
        <v>298</v>
      </c>
      <c r="D3650">
        <v>1</v>
      </c>
      <c r="E3650">
        <v>279.99</v>
      </c>
      <c r="F3650">
        <v>0.1</v>
      </c>
      <c r="G3650">
        <v>279.89</v>
      </c>
      <c r="H3650" t="s">
        <v>288</v>
      </c>
    </row>
    <row r="3651" spans="1:8" x14ac:dyDescent="0.35">
      <c r="A3651">
        <v>1333</v>
      </c>
      <c r="B3651">
        <v>1</v>
      </c>
      <c r="C3651">
        <v>205</v>
      </c>
      <c r="D3651">
        <v>2</v>
      </c>
      <c r="E3651">
        <v>4999.99</v>
      </c>
      <c r="F3651">
        <v>0.1</v>
      </c>
      <c r="G3651">
        <v>9999.93</v>
      </c>
      <c r="H3651" t="s">
        <v>202</v>
      </c>
    </row>
    <row r="3652" spans="1:8" x14ac:dyDescent="0.35">
      <c r="A3652">
        <v>1333</v>
      </c>
      <c r="B3652">
        <v>2</v>
      </c>
      <c r="C3652">
        <v>304</v>
      </c>
      <c r="D3652">
        <v>2</v>
      </c>
      <c r="E3652">
        <v>679.99</v>
      </c>
      <c r="F3652">
        <v>0.1</v>
      </c>
      <c r="G3652">
        <v>1359.88</v>
      </c>
      <c r="H3652" t="s">
        <v>221</v>
      </c>
    </row>
    <row r="3653" spans="1:8" x14ac:dyDescent="0.35">
      <c r="A3653">
        <v>1333</v>
      </c>
      <c r="B3653">
        <v>3</v>
      </c>
      <c r="C3653">
        <v>99</v>
      </c>
      <c r="D3653">
        <v>2</v>
      </c>
      <c r="E3653">
        <v>299.99</v>
      </c>
      <c r="F3653">
        <v>0.1</v>
      </c>
      <c r="G3653">
        <v>599.88</v>
      </c>
      <c r="H3653" t="s">
        <v>99</v>
      </c>
    </row>
    <row r="3654" spans="1:8" x14ac:dyDescent="0.35">
      <c r="A3654">
        <v>1333</v>
      </c>
      <c r="B3654">
        <v>4</v>
      </c>
      <c r="C3654">
        <v>12</v>
      </c>
      <c r="D3654">
        <v>1</v>
      </c>
      <c r="E3654">
        <v>549.99</v>
      </c>
      <c r="F3654">
        <v>0.1</v>
      </c>
      <c r="G3654">
        <v>549.94000000000005</v>
      </c>
      <c r="H3654" t="s">
        <v>17</v>
      </c>
    </row>
    <row r="3655" spans="1:8" x14ac:dyDescent="0.35">
      <c r="A3655">
        <v>1333</v>
      </c>
      <c r="B3655">
        <v>5</v>
      </c>
      <c r="C3655">
        <v>78</v>
      </c>
      <c r="D3655">
        <v>1</v>
      </c>
      <c r="E3655">
        <v>647.99</v>
      </c>
      <c r="F3655">
        <v>0.1</v>
      </c>
      <c r="G3655">
        <v>647.89</v>
      </c>
      <c r="H3655" t="s">
        <v>79</v>
      </c>
    </row>
    <row r="3656" spans="1:8" x14ac:dyDescent="0.35">
      <c r="A3656">
        <v>1334</v>
      </c>
      <c r="B3656">
        <v>1</v>
      </c>
      <c r="C3656">
        <v>203</v>
      </c>
      <c r="D3656">
        <v>2</v>
      </c>
      <c r="E3656">
        <v>4999.99</v>
      </c>
      <c r="F3656">
        <v>0.1</v>
      </c>
      <c r="G3656">
        <v>9999.93</v>
      </c>
      <c r="H3656" t="s">
        <v>200</v>
      </c>
    </row>
    <row r="3657" spans="1:8" x14ac:dyDescent="0.35">
      <c r="A3657">
        <v>1334</v>
      </c>
      <c r="B3657">
        <v>2</v>
      </c>
      <c r="C3657">
        <v>160</v>
      </c>
      <c r="D3657">
        <v>2</v>
      </c>
      <c r="E3657">
        <v>4499.99</v>
      </c>
      <c r="F3657">
        <v>0.1</v>
      </c>
      <c r="G3657">
        <v>8999.91</v>
      </c>
      <c r="H3657" t="s">
        <v>157</v>
      </c>
    </row>
    <row r="3658" spans="1:8" x14ac:dyDescent="0.35">
      <c r="A3658">
        <v>1334</v>
      </c>
      <c r="B3658">
        <v>3</v>
      </c>
      <c r="C3658">
        <v>84</v>
      </c>
      <c r="D3658">
        <v>2</v>
      </c>
      <c r="E3658">
        <v>109.99</v>
      </c>
      <c r="F3658">
        <v>0.1</v>
      </c>
      <c r="G3658">
        <v>219.88</v>
      </c>
      <c r="H3658" t="s">
        <v>85</v>
      </c>
    </row>
    <row r="3659" spans="1:8" x14ac:dyDescent="0.35">
      <c r="A3659">
        <v>1334</v>
      </c>
      <c r="B3659">
        <v>4</v>
      </c>
      <c r="C3659">
        <v>13</v>
      </c>
      <c r="D3659">
        <v>1</v>
      </c>
      <c r="E3659">
        <v>269.99</v>
      </c>
      <c r="F3659">
        <v>0.1</v>
      </c>
      <c r="G3659">
        <v>269.94</v>
      </c>
      <c r="H3659" t="s">
        <v>18</v>
      </c>
    </row>
    <row r="3660" spans="1:8" x14ac:dyDescent="0.35">
      <c r="A3660">
        <v>1334</v>
      </c>
      <c r="B3660">
        <v>5</v>
      </c>
      <c r="C3660">
        <v>42</v>
      </c>
      <c r="D3660">
        <v>1</v>
      </c>
      <c r="E3660">
        <v>2299.9899999999998</v>
      </c>
      <c r="F3660">
        <v>0.1</v>
      </c>
      <c r="G3660">
        <v>2299.94</v>
      </c>
      <c r="H3660" t="s">
        <v>43</v>
      </c>
    </row>
    <row r="3661" spans="1:8" x14ac:dyDescent="0.35">
      <c r="A3661">
        <v>1336</v>
      </c>
      <c r="B3661">
        <v>1</v>
      </c>
      <c r="C3661">
        <v>29</v>
      </c>
      <c r="D3661">
        <v>2</v>
      </c>
      <c r="E3661">
        <v>999.99</v>
      </c>
      <c r="F3661">
        <v>0.2</v>
      </c>
      <c r="G3661">
        <v>1999.78</v>
      </c>
      <c r="H3661" t="s">
        <v>30</v>
      </c>
    </row>
    <row r="3662" spans="1:8" x14ac:dyDescent="0.35">
      <c r="A3662">
        <v>1336</v>
      </c>
      <c r="B3662">
        <v>2</v>
      </c>
      <c r="C3662">
        <v>157</v>
      </c>
      <c r="D3662">
        <v>1</v>
      </c>
      <c r="E3662">
        <v>6499.99</v>
      </c>
      <c r="F3662">
        <v>0.1</v>
      </c>
      <c r="G3662">
        <v>6499.94</v>
      </c>
      <c r="H3662" t="s">
        <v>154</v>
      </c>
    </row>
    <row r="3663" spans="1:8" x14ac:dyDescent="0.35">
      <c r="A3663">
        <v>1336</v>
      </c>
      <c r="B3663">
        <v>3</v>
      </c>
      <c r="C3663">
        <v>21</v>
      </c>
      <c r="D3663">
        <v>2</v>
      </c>
      <c r="E3663">
        <v>269.99</v>
      </c>
      <c r="F3663">
        <v>0.1</v>
      </c>
      <c r="G3663">
        <v>539.91</v>
      </c>
      <c r="H3663" t="s">
        <v>18</v>
      </c>
    </row>
    <row r="3664" spans="1:8" x14ac:dyDescent="0.35">
      <c r="A3664">
        <v>1336</v>
      </c>
      <c r="B3664">
        <v>4</v>
      </c>
      <c r="C3664">
        <v>207</v>
      </c>
      <c r="D3664">
        <v>1</v>
      </c>
      <c r="E3664">
        <v>3999.99</v>
      </c>
      <c r="F3664">
        <v>0.1</v>
      </c>
      <c r="G3664">
        <v>3999.89</v>
      </c>
      <c r="H3664" t="s">
        <v>204</v>
      </c>
    </row>
    <row r="3665" spans="1:8" x14ac:dyDescent="0.35">
      <c r="A3665">
        <v>1336</v>
      </c>
      <c r="B3665">
        <v>5</v>
      </c>
      <c r="C3665">
        <v>185</v>
      </c>
      <c r="D3665">
        <v>1</v>
      </c>
      <c r="E3665">
        <v>2799.99</v>
      </c>
      <c r="F3665">
        <v>0.1</v>
      </c>
      <c r="G3665">
        <v>2799.89</v>
      </c>
      <c r="H3665" t="s">
        <v>182</v>
      </c>
    </row>
    <row r="3666" spans="1:8" x14ac:dyDescent="0.35">
      <c r="A3666">
        <v>1340</v>
      </c>
      <c r="B3666">
        <v>1</v>
      </c>
      <c r="C3666">
        <v>253</v>
      </c>
      <c r="D3666">
        <v>1</v>
      </c>
      <c r="E3666">
        <v>2599.9899999999998</v>
      </c>
      <c r="F3666">
        <v>0.2</v>
      </c>
      <c r="G3666">
        <v>2599.79</v>
      </c>
      <c r="H3666" t="s">
        <v>192</v>
      </c>
    </row>
    <row r="3667" spans="1:8" x14ac:dyDescent="0.35">
      <c r="A3667">
        <v>1340</v>
      </c>
      <c r="B3667">
        <v>2</v>
      </c>
      <c r="C3667">
        <v>92</v>
      </c>
      <c r="D3667">
        <v>2</v>
      </c>
      <c r="E3667">
        <v>209.99</v>
      </c>
      <c r="F3667">
        <v>0.2</v>
      </c>
      <c r="G3667">
        <v>419.78</v>
      </c>
      <c r="H3667" t="s">
        <v>93</v>
      </c>
    </row>
    <row r="3668" spans="1:8" x14ac:dyDescent="0.35">
      <c r="A3668">
        <v>1340</v>
      </c>
      <c r="B3668">
        <v>3</v>
      </c>
      <c r="C3668">
        <v>237</v>
      </c>
      <c r="D3668">
        <v>2</v>
      </c>
      <c r="E3668">
        <v>849.99</v>
      </c>
      <c r="F3668">
        <v>0.1</v>
      </c>
      <c r="G3668">
        <v>1699.93</v>
      </c>
      <c r="H3668" t="s">
        <v>232</v>
      </c>
    </row>
    <row r="3669" spans="1:8" x14ac:dyDescent="0.35">
      <c r="A3669">
        <v>1341</v>
      </c>
      <c r="B3669">
        <v>1</v>
      </c>
      <c r="C3669">
        <v>215</v>
      </c>
      <c r="D3669">
        <v>2</v>
      </c>
      <c r="E3669">
        <v>749.99</v>
      </c>
      <c r="F3669">
        <v>0.1</v>
      </c>
      <c r="G3669">
        <v>1499.91</v>
      </c>
      <c r="H3669" t="s">
        <v>210</v>
      </c>
    </row>
    <row r="3670" spans="1:8" x14ac:dyDescent="0.35">
      <c r="A3670">
        <v>1341</v>
      </c>
      <c r="B3670">
        <v>2</v>
      </c>
      <c r="C3670">
        <v>56</v>
      </c>
      <c r="D3670">
        <v>2</v>
      </c>
      <c r="E3670">
        <v>5499.99</v>
      </c>
      <c r="F3670">
        <v>0.2</v>
      </c>
      <c r="G3670">
        <v>10999.78</v>
      </c>
      <c r="H3670" t="s">
        <v>57</v>
      </c>
    </row>
    <row r="3671" spans="1:8" x14ac:dyDescent="0.35">
      <c r="A3671">
        <v>1341</v>
      </c>
      <c r="B3671">
        <v>3</v>
      </c>
      <c r="C3671">
        <v>234</v>
      </c>
      <c r="D3671">
        <v>2</v>
      </c>
      <c r="E3671">
        <v>899.99</v>
      </c>
      <c r="F3671">
        <v>0.1</v>
      </c>
      <c r="G3671">
        <v>1799.93</v>
      </c>
      <c r="H3671" t="s">
        <v>229</v>
      </c>
    </row>
    <row r="3672" spans="1:8" x14ac:dyDescent="0.35">
      <c r="A3672">
        <v>1341</v>
      </c>
      <c r="B3672">
        <v>4</v>
      </c>
      <c r="C3672">
        <v>66</v>
      </c>
      <c r="D3672">
        <v>2</v>
      </c>
      <c r="E3672">
        <v>250.99</v>
      </c>
      <c r="F3672">
        <v>0.1</v>
      </c>
      <c r="G3672">
        <v>501.93</v>
      </c>
      <c r="H3672" t="s">
        <v>67</v>
      </c>
    </row>
    <row r="3673" spans="1:8" x14ac:dyDescent="0.35">
      <c r="A3673">
        <v>1342</v>
      </c>
      <c r="B3673">
        <v>1</v>
      </c>
      <c r="C3673">
        <v>60</v>
      </c>
      <c r="D3673">
        <v>1</v>
      </c>
      <c r="E3673">
        <v>1559.99</v>
      </c>
      <c r="F3673">
        <v>0.1</v>
      </c>
      <c r="G3673">
        <v>1559.94</v>
      </c>
      <c r="H3673" t="s">
        <v>61</v>
      </c>
    </row>
    <row r="3674" spans="1:8" x14ac:dyDescent="0.35">
      <c r="A3674">
        <v>1342</v>
      </c>
      <c r="B3674">
        <v>2</v>
      </c>
      <c r="C3674">
        <v>270</v>
      </c>
      <c r="D3674">
        <v>1</v>
      </c>
      <c r="E3674">
        <v>209.99</v>
      </c>
      <c r="F3674">
        <v>0.1</v>
      </c>
      <c r="G3674">
        <v>209.94</v>
      </c>
      <c r="H3674" t="s">
        <v>261</v>
      </c>
    </row>
    <row r="3675" spans="1:8" x14ac:dyDescent="0.35">
      <c r="A3675">
        <v>1343</v>
      </c>
      <c r="B3675">
        <v>1</v>
      </c>
      <c r="C3675">
        <v>244</v>
      </c>
      <c r="D3675">
        <v>1</v>
      </c>
      <c r="E3675">
        <v>559.99</v>
      </c>
      <c r="F3675">
        <v>0.1</v>
      </c>
      <c r="G3675">
        <v>559.94000000000005</v>
      </c>
      <c r="H3675" t="s">
        <v>239</v>
      </c>
    </row>
    <row r="3676" spans="1:8" x14ac:dyDescent="0.35">
      <c r="A3676">
        <v>1343</v>
      </c>
      <c r="B3676">
        <v>2</v>
      </c>
      <c r="C3676">
        <v>99</v>
      </c>
      <c r="D3676">
        <v>1</v>
      </c>
      <c r="E3676">
        <v>299.99</v>
      </c>
      <c r="F3676">
        <v>0.1</v>
      </c>
      <c r="G3676">
        <v>299.94</v>
      </c>
      <c r="H3676" t="s">
        <v>99</v>
      </c>
    </row>
    <row r="3677" spans="1:8" x14ac:dyDescent="0.35">
      <c r="A3677">
        <v>1343</v>
      </c>
      <c r="B3677">
        <v>3</v>
      </c>
      <c r="C3677">
        <v>184</v>
      </c>
      <c r="D3677">
        <v>2</v>
      </c>
      <c r="E3677">
        <v>3499.99</v>
      </c>
      <c r="F3677">
        <v>0.2</v>
      </c>
      <c r="G3677">
        <v>6999.78</v>
      </c>
      <c r="H3677" t="s">
        <v>181</v>
      </c>
    </row>
    <row r="3678" spans="1:8" x14ac:dyDescent="0.35">
      <c r="A3678">
        <v>1343</v>
      </c>
      <c r="B3678">
        <v>4</v>
      </c>
      <c r="C3678">
        <v>65</v>
      </c>
      <c r="D3678">
        <v>2</v>
      </c>
      <c r="E3678">
        <v>346.99</v>
      </c>
      <c r="F3678">
        <v>0.2</v>
      </c>
      <c r="G3678">
        <v>693.78</v>
      </c>
      <c r="H3678" t="s">
        <v>66</v>
      </c>
    </row>
    <row r="3679" spans="1:8" x14ac:dyDescent="0.35">
      <c r="A3679">
        <v>1343</v>
      </c>
      <c r="B3679">
        <v>5</v>
      </c>
      <c r="C3679">
        <v>206</v>
      </c>
      <c r="D3679">
        <v>1</v>
      </c>
      <c r="E3679">
        <v>3299.99</v>
      </c>
      <c r="F3679">
        <v>0.1</v>
      </c>
      <c r="G3679">
        <v>3299.89</v>
      </c>
      <c r="H3679" t="s">
        <v>203</v>
      </c>
    </row>
    <row r="3680" spans="1:8" x14ac:dyDescent="0.35">
      <c r="A3680">
        <v>1344</v>
      </c>
      <c r="B3680">
        <v>1</v>
      </c>
      <c r="C3680">
        <v>77</v>
      </c>
      <c r="D3680">
        <v>2</v>
      </c>
      <c r="E3680">
        <v>799.99</v>
      </c>
      <c r="F3680">
        <v>0.1</v>
      </c>
      <c r="G3680">
        <v>1599.91</v>
      </c>
      <c r="H3680" t="s">
        <v>78</v>
      </c>
    </row>
    <row r="3681" spans="1:8" x14ac:dyDescent="0.35">
      <c r="A3681">
        <v>1344</v>
      </c>
      <c r="B3681">
        <v>2</v>
      </c>
      <c r="C3681">
        <v>103</v>
      </c>
      <c r="D3681">
        <v>2</v>
      </c>
      <c r="E3681">
        <v>551.99</v>
      </c>
      <c r="F3681">
        <v>0.2</v>
      </c>
      <c r="G3681">
        <v>1103.78</v>
      </c>
      <c r="H3681" t="s">
        <v>102</v>
      </c>
    </row>
    <row r="3682" spans="1:8" x14ac:dyDescent="0.35">
      <c r="A3682">
        <v>1344</v>
      </c>
      <c r="B3682">
        <v>3</v>
      </c>
      <c r="C3682">
        <v>3</v>
      </c>
      <c r="D3682">
        <v>1</v>
      </c>
      <c r="E3682">
        <v>999.99</v>
      </c>
      <c r="F3682">
        <v>0.1</v>
      </c>
      <c r="G3682">
        <v>999.92</v>
      </c>
      <c r="H3682" t="s">
        <v>8</v>
      </c>
    </row>
    <row r="3683" spans="1:8" x14ac:dyDescent="0.35">
      <c r="A3683">
        <v>1344</v>
      </c>
      <c r="B3683">
        <v>4</v>
      </c>
      <c r="C3683">
        <v>61</v>
      </c>
      <c r="D3683">
        <v>1</v>
      </c>
      <c r="E3683">
        <v>4999.99</v>
      </c>
      <c r="F3683">
        <v>0.1</v>
      </c>
      <c r="G3683">
        <v>4999.92</v>
      </c>
      <c r="H3683" t="s">
        <v>62</v>
      </c>
    </row>
    <row r="3684" spans="1:8" x14ac:dyDescent="0.35">
      <c r="A3684">
        <v>1345</v>
      </c>
      <c r="B3684">
        <v>1</v>
      </c>
      <c r="C3684">
        <v>40</v>
      </c>
      <c r="D3684">
        <v>2</v>
      </c>
      <c r="E3684">
        <v>4999.99</v>
      </c>
      <c r="F3684">
        <v>0.2</v>
      </c>
      <c r="G3684">
        <v>9999.7800000000007</v>
      </c>
      <c r="H3684" t="s">
        <v>41</v>
      </c>
    </row>
    <row r="3685" spans="1:8" x14ac:dyDescent="0.35">
      <c r="A3685">
        <v>1345</v>
      </c>
      <c r="B3685">
        <v>2</v>
      </c>
      <c r="C3685">
        <v>172</v>
      </c>
      <c r="D3685">
        <v>2</v>
      </c>
      <c r="E3685">
        <v>3199.99</v>
      </c>
      <c r="F3685">
        <v>0.1</v>
      </c>
      <c r="G3685">
        <v>6399.93</v>
      </c>
      <c r="H3685" t="s">
        <v>169</v>
      </c>
    </row>
    <row r="3686" spans="1:8" x14ac:dyDescent="0.35">
      <c r="A3686">
        <v>1345</v>
      </c>
      <c r="B3686">
        <v>3</v>
      </c>
      <c r="C3686">
        <v>164</v>
      </c>
      <c r="D3686">
        <v>2</v>
      </c>
      <c r="E3686">
        <v>1549</v>
      </c>
      <c r="F3686">
        <v>0.2</v>
      </c>
      <c r="G3686">
        <v>3097.8</v>
      </c>
      <c r="H3686" t="s">
        <v>161</v>
      </c>
    </row>
    <row r="3687" spans="1:8" x14ac:dyDescent="0.35">
      <c r="A3687">
        <v>1345</v>
      </c>
      <c r="B3687">
        <v>4</v>
      </c>
      <c r="C3687">
        <v>2</v>
      </c>
      <c r="D3687">
        <v>2</v>
      </c>
      <c r="E3687">
        <v>749.99</v>
      </c>
      <c r="F3687">
        <v>0.2</v>
      </c>
      <c r="G3687">
        <v>1499.78</v>
      </c>
      <c r="H3687" t="s">
        <v>7</v>
      </c>
    </row>
    <row r="3688" spans="1:8" x14ac:dyDescent="0.35">
      <c r="A3688">
        <v>1346</v>
      </c>
      <c r="B3688">
        <v>1</v>
      </c>
      <c r="C3688">
        <v>134</v>
      </c>
      <c r="D3688">
        <v>2</v>
      </c>
      <c r="E3688">
        <v>1499.99</v>
      </c>
      <c r="F3688">
        <v>0.1</v>
      </c>
      <c r="G3688">
        <v>2999.93</v>
      </c>
      <c r="H3688" t="s">
        <v>131</v>
      </c>
    </row>
    <row r="3689" spans="1:8" x14ac:dyDescent="0.35">
      <c r="A3689">
        <v>1346</v>
      </c>
      <c r="B3689">
        <v>2</v>
      </c>
      <c r="C3689">
        <v>150</v>
      </c>
      <c r="D3689">
        <v>1</v>
      </c>
      <c r="E3689">
        <v>4499.99</v>
      </c>
      <c r="F3689">
        <v>0.1</v>
      </c>
      <c r="G3689">
        <v>4499.9399999999996</v>
      </c>
      <c r="H3689" t="s">
        <v>147</v>
      </c>
    </row>
    <row r="3690" spans="1:8" x14ac:dyDescent="0.35">
      <c r="A3690">
        <v>1346</v>
      </c>
      <c r="B3690">
        <v>3</v>
      </c>
      <c r="C3690">
        <v>18</v>
      </c>
      <c r="D3690">
        <v>2</v>
      </c>
      <c r="E3690">
        <v>449</v>
      </c>
      <c r="F3690">
        <v>0.1</v>
      </c>
      <c r="G3690">
        <v>897.95</v>
      </c>
      <c r="H3690" t="s">
        <v>23</v>
      </c>
    </row>
    <row r="3691" spans="1:8" x14ac:dyDescent="0.35">
      <c r="A3691">
        <v>1346</v>
      </c>
      <c r="B3691">
        <v>4</v>
      </c>
      <c r="C3691">
        <v>249</v>
      </c>
      <c r="D3691">
        <v>1</v>
      </c>
      <c r="E3691">
        <v>749.99</v>
      </c>
      <c r="F3691">
        <v>0.1</v>
      </c>
      <c r="G3691">
        <v>749.89</v>
      </c>
      <c r="H3691" t="s">
        <v>244</v>
      </c>
    </row>
    <row r="3692" spans="1:8" x14ac:dyDescent="0.35">
      <c r="A3692">
        <v>1346</v>
      </c>
      <c r="B3692">
        <v>5</v>
      </c>
      <c r="C3692">
        <v>263</v>
      </c>
      <c r="D3692">
        <v>2</v>
      </c>
      <c r="E3692">
        <v>89.99</v>
      </c>
      <c r="F3692">
        <v>0.2</v>
      </c>
      <c r="G3692">
        <v>179.78</v>
      </c>
      <c r="H3692" t="s">
        <v>254</v>
      </c>
    </row>
    <row r="3693" spans="1:8" x14ac:dyDescent="0.35">
      <c r="A3693">
        <v>1347</v>
      </c>
      <c r="B3693">
        <v>1</v>
      </c>
      <c r="C3693">
        <v>43</v>
      </c>
      <c r="D3693">
        <v>2</v>
      </c>
      <c r="E3693">
        <v>5299.99</v>
      </c>
      <c r="F3693">
        <v>0.1</v>
      </c>
      <c r="G3693">
        <v>10599.91</v>
      </c>
      <c r="H3693" t="s">
        <v>44</v>
      </c>
    </row>
    <row r="3694" spans="1:8" x14ac:dyDescent="0.35">
      <c r="A3694">
        <v>1347</v>
      </c>
      <c r="B3694">
        <v>2</v>
      </c>
      <c r="C3694">
        <v>53</v>
      </c>
      <c r="D3694">
        <v>1</v>
      </c>
      <c r="E3694">
        <v>749.99</v>
      </c>
      <c r="F3694">
        <v>0.1</v>
      </c>
      <c r="G3694">
        <v>749.94</v>
      </c>
      <c r="H3694" t="s">
        <v>54</v>
      </c>
    </row>
    <row r="3695" spans="1:8" x14ac:dyDescent="0.35">
      <c r="A3695">
        <v>1348</v>
      </c>
      <c r="B3695">
        <v>1</v>
      </c>
      <c r="C3695">
        <v>203</v>
      </c>
      <c r="D3695">
        <v>1</v>
      </c>
      <c r="E3695">
        <v>4999.99</v>
      </c>
      <c r="F3695">
        <v>0.1</v>
      </c>
      <c r="G3695">
        <v>4999.9399999999996</v>
      </c>
      <c r="H3695" t="s">
        <v>200</v>
      </c>
    </row>
    <row r="3696" spans="1:8" x14ac:dyDescent="0.35">
      <c r="A3696">
        <v>1348</v>
      </c>
      <c r="B3696">
        <v>2</v>
      </c>
      <c r="C3696">
        <v>148</v>
      </c>
      <c r="D3696">
        <v>1</v>
      </c>
      <c r="E3696">
        <v>5499.99</v>
      </c>
      <c r="F3696">
        <v>0.1</v>
      </c>
      <c r="G3696">
        <v>5499.94</v>
      </c>
      <c r="H3696" t="s">
        <v>145</v>
      </c>
    </row>
    <row r="3697" spans="1:8" x14ac:dyDescent="0.35">
      <c r="A3697">
        <v>1348</v>
      </c>
      <c r="B3697">
        <v>3</v>
      </c>
      <c r="C3697">
        <v>58</v>
      </c>
      <c r="D3697">
        <v>2</v>
      </c>
      <c r="E3697">
        <v>4999.99</v>
      </c>
      <c r="F3697">
        <v>0.1</v>
      </c>
      <c r="G3697">
        <v>9999.8799999999992</v>
      </c>
      <c r="H3697" t="s">
        <v>59</v>
      </c>
    </row>
    <row r="3698" spans="1:8" x14ac:dyDescent="0.35">
      <c r="A3698">
        <v>1348</v>
      </c>
      <c r="B3698">
        <v>4</v>
      </c>
      <c r="C3698">
        <v>147</v>
      </c>
      <c r="D3698">
        <v>1</v>
      </c>
      <c r="E3698">
        <v>1799.99</v>
      </c>
      <c r="F3698">
        <v>0.1</v>
      </c>
      <c r="G3698">
        <v>1799.92</v>
      </c>
      <c r="H3698" t="s">
        <v>144</v>
      </c>
    </row>
    <row r="3699" spans="1:8" x14ac:dyDescent="0.35">
      <c r="A3699">
        <v>1349</v>
      </c>
      <c r="B3699">
        <v>1</v>
      </c>
      <c r="C3699">
        <v>138</v>
      </c>
      <c r="D3699">
        <v>2</v>
      </c>
      <c r="E3699">
        <v>2249.9899999999998</v>
      </c>
      <c r="F3699">
        <v>0.1</v>
      </c>
      <c r="G3699">
        <v>4499.93</v>
      </c>
      <c r="H3699" t="s">
        <v>135</v>
      </c>
    </row>
    <row r="3700" spans="1:8" x14ac:dyDescent="0.35">
      <c r="A3700">
        <v>1349</v>
      </c>
      <c r="B3700">
        <v>2</v>
      </c>
      <c r="C3700">
        <v>205</v>
      </c>
      <c r="D3700">
        <v>2</v>
      </c>
      <c r="E3700">
        <v>4999.99</v>
      </c>
      <c r="F3700">
        <v>0.1</v>
      </c>
      <c r="G3700">
        <v>9999.91</v>
      </c>
      <c r="H3700" t="s">
        <v>202</v>
      </c>
    </row>
    <row r="3701" spans="1:8" x14ac:dyDescent="0.35">
      <c r="A3701">
        <v>1349</v>
      </c>
      <c r="B3701">
        <v>3</v>
      </c>
      <c r="C3701">
        <v>168</v>
      </c>
      <c r="D3701">
        <v>2</v>
      </c>
      <c r="E3701">
        <v>1549</v>
      </c>
      <c r="F3701">
        <v>0.2</v>
      </c>
      <c r="G3701">
        <v>3097.8</v>
      </c>
      <c r="H3701" t="s">
        <v>165</v>
      </c>
    </row>
    <row r="3702" spans="1:8" x14ac:dyDescent="0.35">
      <c r="A3702">
        <v>1349</v>
      </c>
      <c r="B3702">
        <v>4</v>
      </c>
      <c r="C3702">
        <v>184</v>
      </c>
      <c r="D3702">
        <v>1</v>
      </c>
      <c r="E3702">
        <v>3499.99</v>
      </c>
      <c r="F3702">
        <v>0.2</v>
      </c>
      <c r="G3702">
        <v>3499.79</v>
      </c>
      <c r="H3702" t="s">
        <v>181</v>
      </c>
    </row>
    <row r="3703" spans="1:8" x14ac:dyDescent="0.35">
      <c r="A3703">
        <v>1350</v>
      </c>
      <c r="B3703">
        <v>1</v>
      </c>
      <c r="C3703">
        <v>305</v>
      </c>
      <c r="D3703">
        <v>1</v>
      </c>
      <c r="E3703">
        <v>749.99</v>
      </c>
      <c r="F3703">
        <v>0.1</v>
      </c>
      <c r="G3703">
        <v>749.89</v>
      </c>
      <c r="H3703" t="s">
        <v>245</v>
      </c>
    </row>
    <row r="3704" spans="1:8" x14ac:dyDescent="0.35">
      <c r="A3704">
        <v>1350</v>
      </c>
      <c r="B3704">
        <v>2</v>
      </c>
      <c r="C3704">
        <v>250</v>
      </c>
      <c r="D3704">
        <v>1</v>
      </c>
      <c r="E3704">
        <v>2599.9899999999998</v>
      </c>
      <c r="F3704">
        <v>0.1</v>
      </c>
      <c r="G3704">
        <v>2599.92</v>
      </c>
      <c r="H3704" t="s">
        <v>189</v>
      </c>
    </row>
    <row r="3705" spans="1:8" x14ac:dyDescent="0.35">
      <c r="A3705">
        <v>1350</v>
      </c>
      <c r="B3705">
        <v>3</v>
      </c>
      <c r="C3705">
        <v>253</v>
      </c>
      <c r="D3705">
        <v>1</v>
      </c>
      <c r="E3705">
        <v>2599.9899999999998</v>
      </c>
      <c r="F3705">
        <v>0.1</v>
      </c>
      <c r="G3705">
        <v>2599.92</v>
      </c>
      <c r="H3705" t="s">
        <v>192</v>
      </c>
    </row>
    <row r="3706" spans="1:8" x14ac:dyDescent="0.35">
      <c r="A3706">
        <v>1350</v>
      </c>
      <c r="B3706">
        <v>4</v>
      </c>
      <c r="C3706">
        <v>159</v>
      </c>
      <c r="D3706">
        <v>1</v>
      </c>
      <c r="E3706">
        <v>2299.9899999999998</v>
      </c>
      <c r="F3706">
        <v>0.1</v>
      </c>
      <c r="G3706">
        <v>2299.94</v>
      </c>
      <c r="H3706" t="s">
        <v>156</v>
      </c>
    </row>
    <row r="3707" spans="1:8" x14ac:dyDescent="0.35">
      <c r="A3707">
        <v>1350</v>
      </c>
      <c r="B3707">
        <v>5</v>
      </c>
      <c r="C3707">
        <v>13</v>
      </c>
      <c r="D3707">
        <v>2</v>
      </c>
      <c r="E3707">
        <v>269.99</v>
      </c>
      <c r="F3707">
        <v>0.2</v>
      </c>
      <c r="G3707">
        <v>539.78</v>
      </c>
      <c r="H3707" t="s">
        <v>18</v>
      </c>
    </row>
    <row r="3708" spans="1:8" x14ac:dyDescent="0.35">
      <c r="A3708">
        <v>1351</v>
      </c>
      <c r="B3708">
        <v>1</v>
      </c>
      <c r="C3708">
        <v>297</v>
      </c>
      <c r="D3708">
        <v>2</v>
      </c>
      <c r="E3708">
        <v>279.99</v>
      </c>
      <c r="F3708">
        <v>0.2</v>
      </c>
      <c r="G3708">
        <v>559.78</v>
      </c>
      <c r="H3708" t="s">
        <v>287</v>
      </c>
    </row>
    <row r="3709" spans="1:8" x14ac:dyDescent="0.35">
      <c r="A3709">
        <v>1351</v>
      </c>
      <c r="B3709">
        <v>2</v>
      </c>
      <c r="C3709">
        <v>133</v>
      </c>
      <c r="D3709">
        <v>1</v>
      </c>
      <c r="E3709">
        <v>1499.99</v>
      </c>
      <c r="F3709">
        <v>0.1</v>
      </c>
      <c r="G3709">
        <v>1499.89</v>
      </c>
      <c r="H3709" t="s">
        <v>130</v>
      </c>
    </row>
    <row r="3710" spans="1:8" x14ac:dyDescent="0.35">
      <c r="A3710">
        <v>1352</v>
      </c>
      <c r="B3710">
        <v>1</v>
      </c>
      <c r="C3710">
        <v>136</v>
      </c>
      <c r="D3710">
        <v>1</v>
      </c>
      <c r="E3710">
        <v>1799.99</v>
      </c>
      <c r="F3710">
        <v>0.2</v>
      </c>
      <c r="G3710">
        <v>1799.79</v>
      </c>
      <c r="H3710" t="s">
        <v>133</v>
      </c>
    </row>
    <row r="3711" spans="1:8" x14ac:dyDescent="0.35">
      <c r="A3711">
        <v>1352</v>
      </c>
      <c r="B3711">
        <v>2</v>
      </c>
      <c r="C3711">
        <v>52</v>
      </c>
      <c r="D3711">
        <v>2</v>
      </c>
      <c r="E3711">
        <v>875.99</v>
      </c>
      <c r="F3711">
        <v>0.1</v>
      </c>
      <c r="G3711">
        <v>1751.88</v>
      </c>
      <c r="H3711" t="s">
        <v>53</v>
      </c>
    </row>
    <row r="3712" spans="1:8" x14ac:dyDescent="0.35">
      <c r="A3712">
        <v>1352</v>
      </c>
      <c r="B3712">
        <v>3</v>
      </c>
      <c r="C3712">
        <v>282</v>
      </c>
      <c r="D3712">
        <v>2</v>
      </c>
      <c r="E3712">
        <v>279.99</v>
      </c>
      <c r="F3712">
        <v>0.1</v>
      </c>
      <c r="G3712">
        <v>559.88</v>
      </c>
      <c r="H3712" t="s">
        <v>272</v>
      </c>
    </row>
    <row r="3713" spans="1:8" x14ac:dyDescent="0.35">
      <c r="A3713">
        <v>1352</v>
      </c>
      <c r="B3713">
        <v>4</v>
      </c>
      <c r="C3713">
        <v>86</v>
      </c>
      <c r="D3713">
        <v>2</v>
      </c>
      <c r="E3713">
        <v>149.99</v>
      </c>
      <c r="F3713">
        <v>0.2</v>
      </c>
      <c r="G3713">
        <v>299.77999999999997</v>
      </c>
      <c r="H3713" t="s">
        <v>87</v>
      </c>
    </row>
    <row r="3714" spans="1:8" x14ac:dyDescent="0.35">
      <c r="A3714">
        <v>1352</v>
      </c>
      <c r="B3714">
        <v>5</v>
      </c>
      <c r="C3714">
        <v>100</v>
      </c>
      <c r="D3714">
        <v>1</v>
      </c>
      <c r="E3714">
        <v>489.99</v>
      </c>
      <c r="F3714">
        <v>0.1</v>
      </c>
      <c r="G3714">
        <v>489.94</v>
      </c>
      <c r="H3714" t="s">
        <v>100</v>
      </c>
    </row>
    <row r="3715" spans="1:8" x14ac:dyDescent="0.35">
      <c r="A3715">
        <v>1353</v>
      </c>
      <c r="B3715">
        <v>1</v>
      </c>
      <c r="C3715">
        <v>107</v>
      </c>
      <c r="D3715">
        <v>2</v>
      </c>
      <c r="E3715">
        <v>416.99</v>
      </c>
      <c r="F3715">
        <v>0.1</v>
      </c>
      <c r="G3715">
        <v>833.93</v>
      </c>
      <c r="H3715" t="s">
        <v>70</v>
      </c>
    </row>
    <row r="3716" spans="1:8" x14ac:dyDescent="0.35">
      <c r="A3716">
        <v>1353</v>
      </c>
      <c r="B3716">
        <v>2</v>
      </c>
      <c r="C3716">
        <v>233</v>
      </c>
      <c r="D3716">
        <v>1</v>
      </c>
      <c r="E3716">
        <v>639.99</v>
      </c>
      <c r="F3716">
        <v>0.1</v>
      </c>
      <c r="G3716">
        <v>639.91999999999996</v>
      </c>
      <c r="H3716" t="s">
        <v>228</v>
      </c>
    </row>
    <row r="3717" spans="1:8" x14ac:dyDescent="0.35">
      <c r="A3717">
        <v>1353</v>
      </c>
      <c r="B3717">
        <v>3</v>
      </c>
      <c r="C3717">
        <v>300</v>
      </c>
      <c r="D3717">
        <v>1</v>
      </c>
      <c r="E3717">
        <v>799.99</v>
      </c>
      <c r="F3717">
        <v>0.2</v>
      </c>
      <c r="G3717">
        <v>799.79</v>
      </c>
      <c r="H3717" t="s">
        <v>251</v>
      </c>
    </row>
    <row r="3718" spans="1:8" x14ac:dyDescent="0.35">
      <c r="A3718">
        <v>1353</v>
      </c>
      <c r="B3718">
        <v>4</v>
      </c>
      <c r="C3718">
        <v>86</v>
      </c>
      <c r="D3718">
        <v>2</v>
      </c>
      <c r="E3718">
        <v>149.99</v>
      </c>
      <c r="F3718">
        <v>0.1</v>
      </c>
      <c r="G3718">
        <v>299.93</v>
      </c>
      <c r="H3718" t="s">
        <v>87</v>
      </c>
    </row>
    <row r="3719" spans="1:8" x14ac:dyDescent="0.35">
      <c r="A3719">
        <v>1355</v>
      </c>
      <c r="B3719">
        <v>1</v>
      </c>
      <c r="C3719">
        <v>297</v>
      </c>
      <c r="D3719">
        <v>1</v>
      </c>
      <c r="E3719">
        <v>279.99</v>
      </c>
      <c r="F3719">
        <v>0.1</v>
      </c>
      <c r="G3719">
        <v>279.89</v>
      </c>
      <c r="H3719" t="s">
        <v>287</v>
      </c>
    </row>
    <row r="3720" spans="1:8" x14ac:dyDescent="0.35">
      <c r="A3720">
        <v>1355</v>
      </c>
      <c r="B3720">
        <v>2</v>
      </c>
      <c r="C3720">
        <v>253</v>
      </c>
      <c r="D3720">
        <v>1</v>
      </c>
      <c r="E3720">
        <v>2599.9899999999998</v>
      </c>
      <c r="F3720">
        <v>0.1</v>
      </c>
      <c r="G3720">
        <v>2599.92</v>
      </c>
      <c r="H3720" t="s">
        <v>192</v>
      </c>
    </row>
    <row r="3721" spans="1:8" x14ac:dyDescent="0.35">
      <c r="A3721">
        <v>1355</v>
      </c>
      <c r="B3721">
        <v>3</v>
      </c>
      <c r="C3721">
        <v>149</v>
      </c>
      <c r="D3721">
        <v>1</v>
      </c>
      <c r="E3721">
        <v>7499.99</v>
      </c>
      <c r="F3721">
        <v>0.2</v>
      </c>
      <c r="G3721">
        <v>7499.79</v>
      </c>
      <c r="H3721" t="s">
        <v>146</v>
      </c>
    </row>
    <row r="3722" spans="1:8" x14ac:dyDescent="0.35">
      <c r="A3722">
        <v>1355</v>
      </c>
      <c r="B3722">
        <v>4</v>
      </c>
      <c r="C3722">
        <v>313</v>
      </c>
      <c r="D3722">
        <v>2</v>
      </c>
      <c r="E3722">
        <v>449.99</v>
      </c>
      <c r="F3722">
        <v>0.1</v>
      </c>
      <c r="G3722">
        <v>899.88</v>
      </c>
      <c r="H3722" t="s">
        <v>290</v>
      </c>
    </row>
    <row r="3723" spans="1:8" x14ac:dyDescent="0.35">
      <c r="A3723">
        <v>1356</v>
      </c>
      <c r="B3723">
        <v>1</v>
      </c>
      <c r="C3723">
        <v>192</v>
      </c>
      <c r="D3723">
        <v>1</v>
      </c>
      <c r="E3723">
        <v>2599.9899999999998</v>
      </c>
      <c r="F3723">
        <v>0.1</v>
      </c>
      <c r="G3723">
        <v>2599.94</v>
      </c>
      <c r="H3723" t="s">
        <v>189</v>
      </c>
    </row>
    <row r="3724" spans="1:8" x14ac:dyDescent="0.35">
      <c r="A3724">
        <v>1356</v>
      </c>
      <c r="B3724">
        <v>2</v>
      </c>
      <c r="C3724">
        <v>199</v>
      </c>
      <c r="D3724">
        <v>2</v>
      </c>
      <c r="E3724">
        <v>2999.99</v>
      </c>
      <c r="F3724">
        <v>0.1</v>
      </c>
      <c r="G3724">
        <v>5999.88</v>
      </c>
      <c r="H3724" t="s">
        <v>196</v>
      </c>
    </row>
    <row r="3725" spans="1:8" x14ac:dyDescent="0.35">
      <c r="A3725">
        <v>1356</v>
      </c>
      <c r="B3725">
        <v>3</v>
      </c>
      <c r="C3725">
        <v>276</v>
      </c>
      <c r="D3725">
        <v>2</v>
      </c>
      <c r="E3725">
        <v>319.99</v>
      </c>
      <c r="F3725">
        <v>0.1</v>
      </c>
      <c r="G3725">
        <v>639.88</v>
      </c>
      <c r="H3725" t="s">
        <v>267</v>
      </c>
    </row>
    <row r="3726" spans="1:8" x14ac:dyDescent="0.35">
      <c r="A3726">
        <v>1357</v>
      </c>
      <c r="B3726">
        <v>1</v>
      </c>
      <c r="C3726">
        <v>145</v>
      </c>
      <c r="D3726">
        <v>2</v>
      </c>
      <c r="E3726">
        <v>1799.99</v>
      </c>
      <c r="F3726">
        <v>0.2</v>
      </c>
      <c r="G3726">
        <v>3599.78</v>
      </c>
      <c r="H3726" t="s">
        <v>142</v>
      </c>
    </row>
    <row r="3727" spans="1:8" x14ac:dyDescent="0.35">
      <c r="A3727">
        <v>1357</v>
      </c>
      <c r="B3727">
        <v>2</v>
      </c>
      <c r="C3727">
        <v>60</v>
      </c>
      <c r="D3727">
        <v>1</v>
      </c>
      <c r="E3727">
        <v>1559.99</v>
      </c>
      <c r="F3727">
        <v>0.2</v>
      </c>
      <c r="G3727">
        <v>1559.79</v>
      </c>
      <c r="H3727" t="s">
        <v>61</v>
      </c>
    </row>
    <row r="3728" spans="1:8" x14ac:dyDescent="0.35">
      <c r="A3728">
        <v>1357</v>
      </c>
      <c r="B3728">
        <v>3</v>
      </c>
      <c r="C3728">
        <v>130</v>
      </c>
      <c r="D3728">
        <v>1</v>
      </c>
      <c r="E3728">
        <v>919.99</v>
      </c>
      <c r="F3728">
        <v>0.2</v>
      </c>
      <c r="G3728">
        <v>919.79</v>
      </c>
      <c r="H3728" t="s">
        <v>127</v>
      </c>
    </row>
    <row r="3729" spans="1:8" x14ac:dyDescent="0.35">
      <c r="A3729">
        <v>1359</v>
      </c>
      <c r="B3729">
        <v>1</v>
      </c>
      <c r="C3729">
        <v>282</v>
      </c>
      <c r="D3729">
        <v>1</v>
      </c>
      <c r="E3729">
        <v>279.99</v>
      </c>
      <c r="F3729">
        <v>0.1</v>
      </c>
      <c r="G3729">
        <v>279.94</v>
      </c>
      <c r="H3729" t="s">
        <v>272</v>
      </c>
    </row>
    <row r="3730" spans="1:8" x14ac:dyDescent="0.35">
      <c r="A3730">
        <v>1359</v>
      </c>
      <c r="B3730">
        <v>2</v>
      </c>
      <c r="C3730">
        <v>82</v>
      </c>
      <c r="D3730">
        <v>1</v>
      </c>
      <c r="E3730">
        <v>659.99</v>
      </c>
      <c r="F3730">
        <v>0.1</v>
      </c>
      <c r="G3730">
        <v>659.94</v>
      </c>
      <c r="H3730" t="s">
        <v>83</v>
      </c>
    </row>
    <row r="3731" spans="1:8" x14ac:dyDescent="0.35">
      <c r="A3731">
        <v>1361</v>
      </c>
      <c r="B3731">
        <v>1</v>
      </c>
      <c r="C3731">
        <v>307</v>
      </c>
      <c r="D3731">
        <v>2</v>
      </c>
      <c r="E3731">
        <v>749.99</v>
      </c>
      <c r="F3731">
        <v>0.1</v>
      </c>
      <c r="G3731">
        <v>1499.91</v>
      </c>
      <c r="H3731" t="s">
        <v>233</v>
      </c>
    </row>
    <row r="3732" spans="1:8" x14ac:dyDescent="0.35">
      <c r="A3732">
        <v>1361</v>
      </c>
      <c r="B3732">
        <v>2</v>
      </c>
      <c r="C3732">
        <v>153</v>
      </c>
      <c r="D3732">
        <v>1</v>
      </c>
      <c r="E3732">
        <v>4999.99</v>
      </c>
      <c r="F3732">
        <v>0.1</v>
      </c>
      <c r="G3732">
        <v>4999.9399999999996</v>
      </c>
      <c r="H3732" t="s">
        <v>150</v>
      </c>
    </row>
    <row r="3733" spans="1:8" x14ac:dyDescent="0.35">
      <c r="A3733">
        <v>1361</v>
      </c>
      <c r="B3733">
        <v>3</v>
      </c>
      <c r="C3733">
        <v>163</v>
      </c>
      <c r="D3733">
        <v>2</v>
      </c>
      <c r="E3733">
        <v>1349</v>
      </c>
      <c r="F3733">
        <v>0.2</v>
      </c>
      <c r="G3733">
        <v>2697.8</v>
      </c>
      <c r="H3733" t="s">
        <v>160</v>
      </c>
    </row>
    <row r="3734" spans="1:8" x14ac:dyDescent="0.35">
      <c r="A3734">
        <v>1362</v>
      </c>
      <c r="B3734">
        <v>1</v>
      </c>
      <c r="C3734">
        <v>27</v>
      </c>
      <c r="D3734">
        <v>2</v>
      </c>
      <c r="E3734">
        <v>999.99</v>
      </c>
      <c r="F3734">
        <v>0.2</v>
      </c>
      <c r="G3734">
        <v>1999.78</v>
      </c>
      <c r="H3734" t="s">
        <v>28</v>
      </c>
    </row>
    <row r="3735" spans="1:8" x14ac:dyDescent="0.35">
      <c r="A3735">
        <v>1362</v>
      </c>
      <c r="B3735">
        <v>2</v>
      </c>
      <c r="C3735">
        <v>204</v>
      </c>
      <c r="D3735">
        <v>2</v>
      </c>
      <c r="E3735">
        <v>3599.99</v>
      </c>
      <c r="F3735">
        <v>0.1</v>
      </c>
      <c r="G3735">
        <v>7199.91</v>
      </c>
      <c r="H3735" t="s">
        <v>201</v>
      </c>
    </row>
    <row r="3736" spans="1:8" x14ac:dyDescent="0.35">
      <c r="A3736">
        <v>1362</v>
      </c>
      <c r="B3736">
        <v>3</v>
      </c>
      <c r="C3736">
        <v>4</v>
      </c>
      <c r="D3736">
        <v>2</v>
      </c>
      <c r="E3736">
        <v>2899.99</v>
      </c>
      <c r="F3736">
        <v>0.2</v>
      </c>
      <c r="G3736">
        <v>5799.78</v>
      </c>
      <c r="H3736" t="s">
        <v>9</v>
      </c>
    </row>
    <row r="3737" spans="1:8" x14ac:dyDescent="0.35">
      <c r="A3737">
        <v>1364</v>
      </c>
      <c r="B3737">
        <v>1</v>
      </c>
      <c r="C3737">
        <v>78</v>
      </c>
      <c r="D3737">
        <v>1</v>
      </c>
      <c r="E3737">
        <v>647.99</v>
      </c>
      <c r="F3737">
        <v>0.1</v>
      </c>
      <c r="G3737">
        <v>647.91999999999996</v>
      </c>
      <c r="H3737" t="s">
        <v>79</v>
      </c>
    </row>
    <row r="3738" spans="1:8" x14ac:dyDescent="0.35">
      <c r="A3738">
        <v>1364</v>
      </c>
      <c r="B3738">
        <v>2</v>
      </c>
      <c r="C3738">
        <v>155</v>
      </c>
      <c r="D3738">
        <v>2</v>
      </c>
      <c r="E3738">
        <v>11999.99</v>
      </c>
      <c r="F3738">
        <v>0.1</v>
      </c>
      <c r="G3738">
        <v>23999.88</v>
      </c>
      <c r="H3738" t="s">
        <v>152</v>
      </c>
    </row>
    <row r="3739" spans="1:8" x14ac:dyDescent="0.35">
      <c r="A3739">
        <v>1364</v>
      </c>
      <c r="B3739">
        <v>3</v>
      </c>
      <c r="C3739">
        <v>152</v>
      </c>
      <c r="D3739">
        <v>1</v>
      </c>
      <c r="E3739">
        <v>2499.9899999999998</v>
      </c>
      <c r="F3739">
        <v>0.1</v>
      </c>
      <c r="G3739">
        <v>2499.89</v>
      </c>
      <c r="H3739" t="s">
        <v>149</v>
      </c>
    </row>
    <row r="3740" spans="1:8" x14ac:dyDescent="0.35">
      <c r="A3740">
        <v>1364</v>
      </c>
      <c r="B3740">
        <v>4</v>
      </c>
      <c r="C3740">
        <v>110</v>
      </c>
      <c r="D3740">
        <v>1</v>
      </c>
      <c r="E3740">
        <v>470.99</v>
      </c>
      <c r="F3740">
        <v>0.1</v>
      </c>
      <c r="G3740">
        <v>470.92</v>
      </c>
      <c r="H3740" t="s">
        <v>107</v>
      </c>
    </row>
    <row r="3741" spans="1:8" x14ac:dyDescent="0.35">
      <c r="A3741">
        <v>1365</v>
      </c>
      <c r="B3741">
        <v>1</v>
      </c>
      <c r="C3741">
        <v>144</v>
      </c>
      <c r="D3741">
        <v>1</v>
      </c>
      <c r="E3741">
        <v>1549.99</v>
      </c>
      <c r="F3741">
        <v>0.1</v>
      </c>
      <c r="G3741">
        <v>1549.92</v>
      </c>
      <c r="H3741" t="s">
        <v>141</v>
      </c>
    </row>
    <row r="3742" spans="1:8" x14ac:dyDescent="0.35">
      <c r="A3742">
        <v>1365</v>
      </c>
      <c r="B3742">
        <v>2</v>
      </c>
      <c r="C3742">
        <v>58</v>
      </c>
      <c r="D3742">
        <v>1</v>
      </c>
      <c r="E3742">
        <v>4999.99</v>
      </c>
      <c r="F3742">
        <v>0.1</v>
      </c>
      <c r="G3742">
        <v>4999.92</v>
      </c>
      <c r="H3742" t="s">
        <v>59</v>
      </c>
    </row>
    <row r="3743" spans="1:8" x14ac:dyDescent="0.35">
      <c r="A3743">
        <v>1365</v>
      </c>
      <c r="B3743">
        <v>3</v>
      </c>
      <c r="C3743">
        <v>236</v>
      </c>
      <c r="D3743">
        <v>1</v>
      </c>
      <c r="E3743">
        <v>749.99</v>
      </c>
      <c r="F3743">
        <v>0.1</v>
      </c>
      <c r="G3743">
        <v>749.94</v>
      </c>
      <c r="H3743" t="s">
        <v>231</v>
      </c>
    </row>
    <row r="3744" spans="1:8" x14ac:dyDescent="0.35">
      <c r="A3744">
        <v>1366</v>
      </c>
      <c r="B3744">
        <v>1</v>
      </c>
      <c r="C3744">
        <v>115</v>
      </c>
      <c r="D3744">
        <v>1</v>
      </c>
      <c r="E3744">
        <v>3199.99</v>
      </c>
      <c r="F3744">
        <v>0.1</v>
      </c>
      <c r="G3744">
        <v>3199.89</v>
      </c>
      <c r="H3744" t="s">
        <v>112</v>
      </c>
    </row>
    <row r="3745" spans="1:8" x14ac:dyDescent="0.35">
      <c r="A3745">
        <v>1366</v>
      </c>
      <c r="B3745">
        <v>2</v>
      </c>
      <c r="C3745">
        <v>128</v>
      </c>
      <c r="D3745">
        <v>2</v>
      </c>
      <c r="E3745">
        <v>1899</v>
      </c>
      <c r="F3745">
        <v>0.2</v>
      </c>
      <c r="G3745">
        <v>3797.8</v>
      </c>
      <c r="H3745" t="s">
        <v>125</v>
      </c>
    </row>
    <row r="3746" spans="1:8" x14ac:dyDescent="0.35">
      <c r="A3746">
        <v>1366</v>
      </c>
      <c r="B3746">
        <v>3</v>
      </c>
      <c r="C3746">
        <v>200</v>
      </c>
      <c r="D3746">
        <v>1</v>
      </c>
      <c r="E3746">
        <v>3499.99</v>
      </c>
      <c r="F3746">
        <v>0.1</v>
      </c>
      <c r="G3746">
        <v>3499.92</v>
      </c>
      <c r="H3746" t="s">
        <v>197</v>
      </c>
    </row>
    <row r="3747" spans="1:8" x14ac:dyDescent="0.35">
      <c r="A3747">
        <v>1367</v>
      </c>
      <c r="B3747">
        <v>1</v>
      </c>
      <c r="C3747">
        <v>132</v>
      </c>
      <c r="D3747">
        <v>1</v>
      </c>
      <c r="E3747">
        <v>1499.99</v>
      </c>
      <c r="F3747">
        <v>0.1</v>
      </c>
      <c r="G3747">
        <v>1499.89</v>
      </c>
      <c r="H3747" t="s">
        <v>129</v>
      </c>
    </row>
    <row r="3748" spans="1:8" x14ac:dyDescent="0.35">
      <c r="A3748">
        <v>1367</v>
      </c>
      <c r="B3748">
        <v>2</v>
      </c>
      <c r="C3748">
        <v>131</v>
      </c>
      <c r="D3748">
        <v>2</v>
      </c>
      <c r="E3748">
        <v>2599</v>
      </c>
      <c r="F3748">
        <v>0.2</v>
      </c>
      <c r="G3748">
        <v>5197.8</v>
      </c>
      <c r="H3748" t="s">
        <v>128</v>
      </c>
    </row>
    <row r="3749" spans="1:8" x14ac:dyDescent="0.35">
      <c r="A3749">
        <v>1367</v>
      </c>
      <c r="B3749">
        <v>3</v>
      </c>
      <c r="C3749">
        <v>124</v>
      </c>
      <c r="D3749">
        <v>1</v>
      </c>
      <c r="E3749">
        <v>1499</v>
      </c>
      <c r="F3749">
        <v>0.1</v>
      </c>
      <c r="G3749">
        <v>1498.93</v>
      </c>
      <c r="H3749" t="s">
        <v>121</v>
      </c>
    </row>
    <row r="3750" spans="1:8" x14ac:dyDescent="0.35">
      <c r="A3750">
        <v>1367</v>
      </c>
      <c r="B3750">
        <v>4</v>
      </c>
      <c r="C3750">
        <v>24</v>
      </c>
      <c r="D3750">
        <v>2</v>
      </c>
      <c r="E3750">
        <v>549.99</v>
      </c>
      <c r="F3750">
        <v>0.1</v>
      </c>
      <c r="G3750">
        <v>1099.93</v>
      </c>
      <c r="H3750" t="s">
        <v>17</v>
      </c>
    </row>
    <row r="3751" spans="1:8" x14ac:dyDescent="0.35">
      <c r="A3751">
        <v>1368</v>
      </c>
      <c r="B3751">
        <v>1</v>
      </c>
      <c r="C3751">
        <v>66</v>
      </c>
      <c r="D3751">
        <v>1</v>
      </c>
      <c r="E3751">
        <v>250.99</v>
      </c>
      <c r="F3751">
        <v>0.1</v>
      </c>
      <c r="G3751">
        <v>250.89</v>
      </c>
      <c r="H3751" t="s">
        <v>67</v>
      </c>
    </row>
    <row r="3752" spans="1:8" x14ac:dyDescent="0.35">
      <c r="A3752">
        <v>1368</v>
      </c>
      <c r="B3752">
        <v>2</v>
      </c>
      <c r="C3752">
        <v>113</v>
      </c>
      <c r="D3752">
        <v>2</v>
      </c>
      <c r="E3752">
        <v>489.99</v>
      </c>
      <c r="F3752">
        <v>0.1</v>
      </c>
      <c r="G3752">
        <v>979.91</v>
      </c>
      <c r="H3752" t="s">
        <v>110</v>
      </c>
    </row>
    <row r="3753" spans="1:8" x14ac:dyDescent="0.35">
      <c r="A3753">
        <v>1368</v>
      </c>
      <c r="B3753">
        <v>3</v>
      </c>
      <c r="C3753">
        <v>186</v>
      </c>
      <c r="D3753">
        <v>1</v>
      </c>
      <c r="E3753">
        <v>4499.99</v>
      </c>
      <c r="F3753">
        <v>0.2</v>
      </c>
      <c r="G3753">
        <v>4499.79</v>
      </c>
      <c r="H3753" t="s">
        <v>183</v>
      </c>
    </row>
    <row r="3754" spans="1:8" x14ac:dyDescent="0.35">
      <c r="A3754">
        <v>1370</v>
      </c>
      <c r="B3754">
        <v>1</v>
      </c>
      <c r="C3754">
        <v>7</v>
      </c>
      <c r="D3754">
        <v>1</v>
      </c>
      <c r="E3754">
        <v>3999.99</v>
      </c>
      <c r="F3754">
        <v>0.1</v>
      </c>
      <c r="G3754">
        <v>3999.92</v>
      </c>
      <c r="H3754" t="s">
        <v>12</v>
      </c>
    </row>
    <row r="3755" spans="1:8" x14ac:dyDescent="0.35">
      <c r="A3755">
        <v>1370</v>
      </c>
      <c r="B3755">
        <v>2</v>
      </c>
      <c r="C3755">
        <v>89</v>
      </c>
      <c r="D3755">
        <v>2</v>
      </c>
      <c r="E3755">
        <v>209.99</v>
      </c>
      <c r="F3755">
        <v>0.1</v>
      </c>
      <c r="G3755">
        <v>419.88</v>
      </c>
      <c r="H3755" t="s">
        <v>90</v>
      </c>
    </row>
    <row r="3756" spans="1:8" x14ac:dyDescent="0.35">
      <c r="A3756">
        <v>1370</v>
      </c>
      <c r="B3756">
        <v>3</v>
      </c>
      <c r="C3756">
        <v>208</v>
      </c>
      <c r="D3756">
        <v>2</v>
      </c>
      <c r="E3756">
        <v>1799.99</v>
      </c>
      <c r="F3756">
        <v>0.2</v>
      </c>
      <c r="G3756">
        <v>3599.78</v>
      </c>
      <c r="H3756" t="s">
        <v>205</v>
      </c>
    </row>
    <row r="3757" spans="1:8" x14ac:dyDescent="0.35">
      <c r="A3757">
        <v>1370</v>
      </c>
      <c r="B3757">
        <v>4</v>
      </c>
      <c r="C3757">
        <v>134</v>
      </c>
      <c r="D3757">
        <v>1</v>
      </c>
      <c r="E3757">
        <v>1499.99</v>
      </c>
      <c r="F3757">
        <v>0.1</v>
      </c>
      <c r="G3757">
        <v>1499.89</v>
      </c>
      <c r="H3757" t="s">
        <v>131</v>
      </c>
    </row>
    <row r="3758" spans="1:8" x14ac:dyDescent="0.35">
      <c r="A3758">
        <v>1371</v>
      </c>
      <c r="B3758">
        <v>1</v>
      </c>
      <c r="C3758">
        <v>223</v>
      </c>
      <c r="D3758">
        <v>2</v>
      </c>
      <c r="E3758">
        <v>529.99</v>
      </c>
      <c r="F3758">
        <v>0.1</v>
      </c>
      <c r="G3758">
        <v>1059.9100000000001</v>
      </c>
      <c r="H3758" t="s">
        <v>218</v>
      </c>
    </row>
    <row r="3759" spans="1:8" x14ac:dyDescent="0.35">
      <c r="A3759">
        <v>1371</v>
      </c>
      <c r="B3759">
        <v>2</v>
      </c>
      <c r="C3759">
        <v>8</v>
      </c>
      <c r="D3759">
        <v>2</v>
      </c>
      <c r="E3759">
        <v>1799.99</v>
      </c>
      <c r="F3759">
        <v>0.2</v>
      </c>
      <c r="G3759">
        <v>3599.78</v>
      </c>
      <c r="H3759" t="s">
        <v>13</v>
      </c>
    </row>
    <row r="3760" spans="1:8" x14ac:dyDescent="0.35">
      <c r="A3760">
        <v>1372</v>
      </c>
      <c r="B3760">
        <v>1</v>
      </c>
      <c r="C3760">
        <v>307</v>
      </c>
      <c r="D3760">
        <v>1</v>
      </c>
      <c r="E3760">
        <v>749.99</v>
      </c>
      <c r="F3760">
        <v>0.1</v>
      </c>
      <c r="G3760">
        <v>749.92</v>
      </c>
      <c r="H3760" t="s">
        <v>233</v>
      </c>
    </row>
    <row r="3761" spans="1:8" x14ac:dyDescent="0.35">
      <c r="A3761">
        <v>1372</v>
      </c>
      <c r="B3761">
        <v>2</v>
      </c>
      <c r="C3761">
        <v>283</v>
      </c>
      <c r="D3761">
        <v>2</v>
      </c>
      <c r="E3761">
        <v>319.99</v>
      </c>
      <c r="F3761">
        <v>0.2</v>
      </c>
      <c r="G3761">
        <v>639.78</v>
      </c>
      <c r="H3761" t="s">
        <v>273</v>
      </c>
    </row>
    <row r="3762" spans="1:8" x14ac:dyDescent="0.35">
      <c r="A3762">
        <v>1374</v>
      </c>
      <c r="B3762">
        <v>1</v>
      </c>
      <c r="C3762">
        <v>181</v>
      </c>
      <c r="D3762">
        <v>2</v>
      </c>
      <c r="E3762">
        <v>2199.9899999999998</v>
      </c>
      <c r="F3762">
        <v>0.1</v>
      </c>
      <c r="G3762">
        <v>4399.93</v>
      </c>
      <c r="H3762" t="s">
        <v>178</v>
      </c>
    </row>
    <row r="3763" spans="1:8" x14ac:dyDescent="0.35">
      <c r="A3763">
        <v>1374</v>
      </c>
      <c r="B3763">
        <v>2</v>
      </c>
      <c r="C3763">
        <v>130</v>
      </c>
      <c r="D3763">
        <v>2</v>
      </c>
      <c r="E3763">
        <v>919.99</v>
      </c>
      <c r="F3763">
        <v>0.1</v>
      </c>
      <c r="G3763">
        <v>1839.91</v>
      </c>
      <c r="H3763" t="s">
        <v>127</v>
      </c>
    </row>
    <row r="3764" spans="1:8" x14ac:dyDescent="0.35">
      <c r="A3764">
        <v>1375</v>
      </c>
      <c r="B3764">
        <v>1</v>
      </c>
      <c r="C3764">
        <v>147</v>
      </c>
      <c r="D3764">
        <v>2</v>
      </c>
      <c r="E3764">
        <v>1799.99</v>
      </c>
      <c r="F3764">
        <v>0.1</v>
      </c>
      <c r="G3764">
        <v>3599.93</v>
      </c>
      <c r="H3764" t="s">
        <v>144</v>
      </c>
    </row>
    <row r="3765" spans="1:8" x14ac:dyDescent="0.35">
      <c r="A3765">
        <v>1375</v>
      </c>
      <c r="B3765">
        <v>2</v>
      </c>
      <c r="C3765">
        <v>182</v>
      </c>
      <c r="D3765">
        <v>1</v>
      </c>
      <c r="E3765">
        <v>2499.9899999999998</v>
      </c>
      <c r="F3765">
        <v>0.2</v>
      </c>
      <c r="G3765">
        <v>2499.79</v>
      </c>
      <c r="H3765" t="s">
        <v>179</v>
      </c>
    </row>
    <row r="3766" spans="1:8" x14ac:dyDescent="0.35">
      <c r="A3766">
        <v>1377</v>
      </c>
      <c r="B3766">
        <v>1</v>
      </c>
      <c r="C3766">
        <v>153</v>
      </c>
      <c r="D3766">
        <v>2</v>
      </c>
      <c r="E3766">
        <v>4999.99</v>
      </c>
      <c r="F3766">
        <v>0.1</v>
      </c>
      <c r="G3766">
        <v>9999.93</v>
      </c>
      <c r="H3766" t="s">
        <v>150</v>
      </c>
    </row>
    <row r="3767" spans="1:8" x14ac:dyDescent="0.35">
      <c r="A3767">
        <v>1377</v>
      </c>
      <c r="B3767">
        <v>2</v>
      </c>
      <c r="C3767">
        <v>130</v>
      </c>
      <c r="D3767">
        <v>1</v>
      </c>
      <c r="E3767">
        <v>919.99</v>
      </c>
      <c r="F3767">
        <v>0.1</v>
      </c>
      <c r="G3767">
        <v>919.94</v>
      </c>
      <c r="H3767" t="s">
        <v>127</v>
      </c>
    </row>
    <row r="3768" spans="1:8" x14ac:dyDescent="0.35">
      <c r="A3768">
        <v>1377</v>
      </c>
      <c r="B3768">
        <v>3</v>
      </c>
      <c r="C3768">
        <v>48</v>
      </c>
      <c r="D3768">
        <v>1</v>
      </c>
      <c r="E3768">
        <v>1499.99</v>
      </c>
      <c r="F3768">
        <v>0.1</v>
      </c>
      <c r="G3768">
        <v>1499.92</v>
      </c>
      <c r="H3768" t="s">
        <v>49</v>
      </c>
    </row>
    <row r="3769" spans="1:8" x14ac:dyDescent="0.35">
      <c r="A3769">
        <v>1377</v>
      </c>
      <c r="B3769">
        <v>4</v>
      </c>
      <c r="C3769">
        <v>188</v>
      </c>
      <c r="D3769">
        <v>2</v>
      </c>
      <c r="E3769">
        <v>3499.99</v>
      </c>
      <c r="F3769">
        <v>0.1</v>
      </c>
      <c r="G3769">
        <v>6999.91</v>
      </c>
      <c r="H3769" t="s">
        <v>185</v>
      </c>
    </row>
    <row r="3770" spans="1:8" x14ac:dyDescent="0.35">
      <c r="A3770">
        <v>1378</v>
      </c>
      <c r="B3770">
        <v>1</v>
      </c>
      <c r="C3770">
        <v>96</v>
      </c>
      <c r="D3770">
        <v>2</v>
      </c>
      <c r="E3770">
        <v>349.99</v>
      </c>
      <c r="F3770">
        <v>0.1</v>
      </c>
      <c r="G3770">
        <v>699.91</v>
      </c>
      <c r="H3770" t="s">
        <v>96</v>
      </c>
    </row>
    <row r="3771" spans="1:8" x14ac:dyDescent="0.35">
      <c r="A3771">
        <v>1378</v>
      </c>
      <c r="B3771">
        <v>2</v>
      </c>
      <c r="C3771">
        <v>142</v>
      </c>
      <c r="D3771">
        <v>2</v>
      </c>
      <c r="E3771">
        <v>3199.99</v>
      </c>
      <c r="F3771">
        <v>0.1</v>
      </c>
      <c r="G3771">
        <v>6399.91</v>
      </c>
      <c r="H3771" t="s">
        <v>139</v>
      </c>
    </row>
    <row r="3772" spans="1:8" x14ac:dyDescent="0.35">
      <c r="A3772">
        <v>1378</v>
      </c>
      <c r="B3772">
        <v>3</v>
      </c>
      <c r="C3772">
        <v>2</v>
      </c>
      <c r="D3772">
        <v>2</v>
      </c>
      <c r="E3772">
        <v>749.99</v>
      </c>
      <c r="F3772">
        <v>0.2</v>
      </c>
      <c r="G3772">
        <v>1499.78</v>
      </c>
      <c r="H3772" t="s">
        <v>7</v>
      </c>
    </row>
    <row r="3773" spans="1:8" x14ac:dyDescent="0.35">
      <c r="A3773">
        <v>1378</v>
      </c>
      <c r="B3773">
        <v>4</v>
      </c>
      <c r="C3773">
        <v>110</v>
      </c>
      <c r="D3773">
        <v>1</v>
      </c>
      <c r="E3773">
        <v>470.99</v>
      </c>
      <c r="F3773">
        <v>0.1</v>
      </c>
      <c r="G3773">
        <v>470.92</v>
      </c>
      <c r="H3773" t="s">
        <v>107</v>
      </c>
    </row>
    <row r="3774" spans="1:8" x14ac:dyDescent="0.35">
      <c r="A3774">
        <v>1378</v>
      </c>
      <c r="B3774">
        <v>5</v>
      </c>
      <c r="C3774">
        <v>129</v>
      </c>
      <c r="D3774">
        <v>2</v>
      </c>
      <c r="E3774">
        <v>919.99</v>
      </c>
      <c r="F3774">
        <v>0.2</v>
      </c>
      <c r="G3774">
        <v>1839.78</v>
      </c>
      <c r="H3774" t="s">
        <v>126</v>
      </c>
    </row>
    <row r="3775" spans="1:8" x14ac:dyDescent="0.35">
      <c r="A3775">
        <v>1379</v>
      </c>
      <c r="B3775">
        <v>1</v>
      </c>
      <c r="C3775">
        <v>15</v>
      </c>
      <c r="D3775">
        <v>1</v>
      </c>
      <c r="E3775">
        <v>529.99</v>
      </c>
      <c r="F3775">
        <v>0.1</v>
      </c>
      <c r="G3775">
        <v>529.89</v>
      </c>
      <c r="H3775" t="s">
        <v>20</v>
      </c>
    </row>
    <row r="3776" spans="1:8" x14ac:dyDescent="0.35">
      <c r="A3776">
        <v>1379</v>
      </c>
      <c r="B3776">
        <v>2</v>
      </c>
      <c r="C3776">
        <v>118</v>
      </c>
      <c r="D3776">
        <v>1</v>
      </c>
      <c r="E3776">
        <v>999.99</v>
      </c>
      <c r="F3776">
        <v>0.1</v>
      </c>
      <c r="G3776">
        <v>999.89</v>
      </c>
      <c r="H3776" t="s">
        <v>115</v>
      </c>
    </row>
    <row r="3777" spans="1:8" x14ac:dyDescent="0.35">
      <c r="A3777">
        <v>1379</v>
      </c>
      <c r="B3777">
        <v>3</v>
      </c>
      <c r="C3777">
        <v>263</v>
      </c>
      <c r="D3777">
        <v>2</v>
      </c>
      <c r="E3777">
        <v>89.99</v>
      </c>
      <c r="F3777">
        <v>0.1</v>
      </c>
      <c r="G3777">
        <v>179.88</v>
      </c>
      <c r="H3777" t="s">
        <v>254</v>
      </c>
    </row>
    <row r="3778" spans="1:8" x14ac:dyDescent="0.35">
      <c r="A3778">
        <v>1380</v>
      </c>
      <c r="B3778">
        <v>1</v>
      </c>
      <c r="C3778">
        <v>255</v>
      </c>
      <c r="D3778">
        <v>2</v>
      </c>
      <c r="E3778">
        <v>899.99</v>
      </c>
      <c r="F3778">
        <v>0.1</v>
      </c>
      <c r="G3778">
        <v>1799.88</v>
      </c>
      <c r="H3778" t="s">
        <v>246</v>
      </c>
    </row>
    <row r="3779" spans="1:8" x14ac:dyDescent="0.35">
      <c r="A3779">
        <v>1380</v>
      </c>
      <c r="B3779">
        <v>2</v>
      </c>
      <c r="C3779">
        <v>229</v>
      </c>
      <c r="D3779">
        <v>2</v>
      </c>
      <c r="E3779">
        <v>429.99</v>
      </c>
      <c r="F3779">
        <v>0.1</v>
      </c>
      <c r="G3779">
        <v>859.91</v>
      </c>
      <c r="H3779" t="s">
        <v>224</v>
      </c>
    </row>
    <row r="3780" spans="1:8" x14ac:dyDescent="0.35">
      <c r="A3780">
        <v>1381</v>
      </c>
      <c r="B3780">
        <v>1</v>
      </c>
      <c r="C3780">
        <v>274</v>
      </c>
      <c r="D3780">
        <v>2</v>
      </c>
      <c r="E3780">
        <v>229.99</v>
      </c>
      <c r="F3780">
        <v>0.2</v>
      </c>
      <c r="G3780">
        <v>459.78</v>
      </c>
      <c r="H3780" t="s">
        <v>265</v>
      </c>
    </row>
    <row r="3781" spans="1:8" x14ac:dyDescent="0.35">
      <c r="A3781">
        <v>1381</v>
      </c>
      <c r="B3781">
        <v>2</v>
      </c>
      <c r="C3781">
        <v>214</v>
      </c>
      <c r="D3781">
        <v>2</v>
      </c>
      <c r="E3781">
        <v>899.99</v>
      </c>
      <c r="F3781">
        <v>0.1</v>
      </c>
      <c r="G3781">
        <v>1799.88</v>
      </c>
      <c r="H3781" t="s">
        <v>209</v>
      </c>
    </row>
    <row r="3782" spans="1:8" x14ac:dyDescent="0.35">
      <c r="A3782">
        <v>1382</v>
      </c>
      <c r="B3782">
        <v>1</v>
      </c>
      <c r="C3782">
        <v>232</v>
      </c>
      <c r="D3782">
        <v>1</v>
      </c>
      <c r="E3782">
        <v>479.99</v>
      </c>
      <c r="F3782">
        <v>0.2</v>
      </c>
      <c r="G3782">
        <v>479.79</v>
      </c>
      <c r="H3782" t="s">
        <v>227</v>
      </c>
    </row>
    <row r="3783" spans="1:8" x14ac:dyDescent="0.35">
      <c r="A3783">
        <v>1382</v>
      </c>
      <c r="B3783">
        <v>2</v>
      </c>
      <c r="C3783">
        <v>81</v>
      </c>
      <c r="D3783">
        <v>2</v>
      </c>
      <c r="E3783">
        <v>1099.99</v>
      </c>
      <c r="F3783">
        <v>0.1</v>
      </c>
      <c r="G3783">
        <v>2199.9299999999998</v>
      </c>
      <c r="H3783" t="s">
        <v>82</v>
      </c>
    </row>
    <row r="3784" spans="1:8" x14ac:dyDescent="0.35">
      <c r="A3784">
        <v>1382</v>
      </c>
      <c r="B3784">
        <v>3</v>
      </c>
      <c r="C3784">
        <v>225</v>
      </c>
      <c r="D3784">
        <v>1</v>
      </c>
      <c r="E3784">
        <v>959.99</v>
      </c>
      <c r="F3784">
        <v>0.1</v>
      </c>
      <c r="G3784">
        <v>959.89</v>
      </c>
      <c r="H3784" t="s">
        <v>220</v>
      </c>
    </row>
    <row r="3785" spans="1:8" x14ac:dyDescent="0.35">
      <c r="A3785">
        <v>1382</v>
      </c>
      <c r="B3785">
        <v>4</v>
      </c>
      <c r="C3785">
        <v>135</v>
      </c>
      <c r="D3785">
        <v>1</v>
      </c>
      <c r="E3785">
        <v>1499.99</v>
      </c>
      <c r="F3785">
        <v>0.1</v>
      </c>
      <c r="G3785">
        <v>1499.92</v>
      </c>
      <c r="H3785" t="s">
        <v>132</v>
      </c>
    </row>
    <row r="3786" spans="1:8" x14ac:dyDescent="0.35">
      <c r="A3786">
        <v>1382</v>
      </c>
      <c r="B3786">
        <v>5</v>
      </c>
      <c r="C3786">
        <v>238</v>
      </c>
      <c r="D3786">
        <v>1</v>
      </c>
      <c r="E3786">
        <v>749.99</v>
      </c>
      <c r="F3786">
        <v>0.2</v>
      </c>
      <c r="G3786">
        <v>749.79</v>
      </c>
      <c r="H3786" t="s">
        <v>233</v>
      </c>
    </row>
    <row r="3787" spans="1:8" x14ac:dyDescent="0.35">
      <c r="A3787">
        <v>1383</v>
      </c>
      <c r="B3787">
        <v>1</v>
      </c>
      <c r="C3787">
        <v>188</v>
      </c>
      <c r="D3787">
        <v>2</v>
      </c>
      <c r="E3787">
        <v>3499.99</v>
      </c>
      <c r="F3787">
        <v>0.2</v>
      </c>
      <c r="G3787">
        <v>6999.78</v>
      </c>
      <c r="H3787" t="s">
        <v>185</v>
      </c>
    </row>
    <row r="3788" spans="1:8" x14ac:dyDescent="0.35">
      <c r="A3788">
        <v>1383</v>
      </c>
      <c r="B3788">
        <v>2</v>
      </c>
      <c r="C3788">
        <v>65</v>
      </c>
      <c r="D3788">
        <v>2</v>
      </c>
      <c r="E3788">
        <v>346.99</v>
      </c>
      <c r="F3788">
        <v>0.1</v>
      </c>
      <c r="G3788">
        <v>693.93</v>
      </c>
      <c r="H3788" t="s">
        <v>66</v>
      </c>
    </row>
    <row r="3789" spans="1:8" x14ac:dyDescent="0.35">
      <c r="A3789">
        <v>1384</v>
      </c>
      <c r="B3789">
        <v>1</v>
      </c>
      <c r="C3789">
        <v>32</v>
      </c>
      <c r="D3789">
        <v>1</v>
      </c>
      <c r="E3789">
        <v>469.99</v>
      </c>
      <c r="F3789">
        <v>0.1</v>
      </c>
      <c r="G3789">
        <v>469.92</v>
      </c>
      <c r="H3789" t="s">
        <v>33</v>
      </c>
    </row>
    <row r="3790" spans="1:8" x14ac:dyDescent="0.35">
      <c r="A3790">
        <v>1384</v>
      </c>
      <c r="B3790">
        <v>2</v>
      </c>
      <c r="C3790">
        <v>142</v>
      </c>
      <c r="D3790">
        <v>2</v>
      </c>
      <c r="E3790">
        <v>3199.99</v>
      </c>
      <c r="F3790">
        <v>0.1</v>
      </c>
      <c r="G3790">
        <v>6399.88</v>
      </c>
      <c r="H3790" t="s">
        <v>139</v>
      </c>
    </row>
    <row r="3791" spans="1:8" x14ac:dyDescent="0.35">
      <c r="A3791">
        <v>1384</v>
      </c>
      <c r="B3791">
        <v>3</v>
      </c>
      <c r="C3791">
        <v>89</v>
      </c>
      <c r="D3791">
        <v>1</v>
      </c>
      <c r="E3791">
        <v>209.99</v>
      </c>
      <c r="F3791">
        <v>0.1</v>
      </c>
      <c r="G3791">
        <v>209.89</v>
      </c>
      <c r="H3791" t="s">
        <v>90</v>
      </c>
    </row>
    <row r="3792" spans="1:8" x14ac:dyDescent="0.35">
      <c r="A3792">
        <v>1384</v>
      </c>
      <c r="B3792">
        <v>4</v>
      </c>
      <c r="C3792">
        <v>97</v>
      </c>
      <c r="D3792">
        <v>1</v>
      </c>
      <c r="E3792">
        <v>349.99</v>
      </c>
      <c r="F3792">
        <v>0.1</v>
      </c>
      <c r="G3792">
        <v>349.94</v>
      </c>
      <c r="H3792" t="s">
        <v>97</v>
      </c>
    </row>
    <row r="3793" spans="1:8" x14ac:dyDescent="0.35">
      <c r="A3793">
        <v>1385</v>
      </c>
      <c r="B3793">
        <v>1</v>
      </c>
      <c r="C3793">
        <v>24</v>
      </c>
      <c r="D3793">
        <v>2</v>
      </c>
      <c r="E3793">
        <v>549.99</v>
      </c>
      <c r="F3793">
        <v>0.1</v>
      </c>
      <c r="G3793">
        <v>1099.93</v>
      </c>
      <c r="H3793" t="s">
        <v>17</v>
      </c>
    </row>
    <row r="3794" spans="1:8" x14ac:dyDescent="0.35">
      <c r="A3794">
        <v>1385</v>
      </c>
      <c r="B3794">
        <v>2</v>
      </c>
      <c r="C3794">
        <v>145</v>
      </c>
      <c r="D3794">
        <v>1</v>
      </c>
      <c r="E3794">
        <v>1799.99</v>
      </c>
      <c r="F3794">
        <v>0.1</v>
      </c>
      <c r="G3794">
        <v>1799.92</v>
      </c>
      <c r="H3794" t="s">
        <v>142</v>
      </c>
    </row>
    <row r="3795" spans="1:8" x14ac:dyDescent="0.35">
      <c r="A3795">
        <v>1385</v>
      </c>
      <c r="B3795">
        <v>3</v>
      </c>
      <c r="C3795">
        <v>39</v>
      </c>
      <c r="D3795">
        <v>2</v>
      </c>
      <c r="E3795">
        <v>1499.99</v>
      </c>
      <c r="F3795">
        <v>0.1</v>
      </c>
      <c r="G3795">
        <v>2999.88</v>
      </c>
      <c r="H3795" t="s">
        <v>40</v>
      </c>
    </row>
    <row r="3796" spans="1:8" x14ac:dyDescent="0.35">
      <c r="A3796">
        <v>1385</v>
      </c>
      <c r="B3796">
        <v>4</v>
      </c>
      <c r="C3796">
        <v>135</v>
      </c>
      <c r="D3796">
        <v>1</v>
      </c>
      <c r="E3796">
        <v>1499.99</v>
      </c>
      <c r="F3796">
        <v>0.1</v>
      </c>
      <c r="G3796">
        <v>1499.94</v>
      </c>
      <c r="H3796" t="s">
        <v>132</v>
      </c>
    </row>
    <row r="3797" spans="1:8" x14ac:dyDescent="0.35">
      <c r="A3797">
        <v>1386</v>
      </c>
      <c r="B3797">
        <v>1</v>
      </c>
      <c r="C3797">
        <v>292</v>
      </c>
      <c r="D3797">
        <v>1</v>
      </c>
      <c r="E3797">
        <v>369.99</v>
      </c>
      <c r="F3797">
        <v>0.2</v>
      </c>
      <c r="G3797">
        <v>369.79</v>
      </c>
      <c r="H3797" t="s">
        <v>282</v>
      </c>
    </row>
    <row r="3798" spans="1:8" x14ac:dyDescent="0.35">
      <c r="A3798">
        <v>1386</v>
      </c>
      <c r="B3798">
        <v>2</v>
      </c>
      <c r="C3798">
        <v>262</v>
      </c>
      <c r="D3798">
        <v>1</v>
      </c>
      <c r="E3798">
        <v>249.99</v>
      </c>
      <c r="F3798">
        <v>0.1</v>
      </c>
      <c r="G3798">
        <v>249.89</v>
      </c>
      <c r="H3798" t="s">
        <v>253</v>
      </c>
    </row>
    <row r="3799" spans="1:8" x14ac:dyDescent="0.35">
      <c r="A3799">
        <v>1386</v>
      </c>
      <c r="B3799">
        <v>3</v>
      </c>
      <c r="C3799">
        <v>306</v>
      </c>
      <c r="D3799">
        <v>1</v>
      </c>
      <c r="E3799">
        <v>899.99</v>
      </c>
      <c r="F3799">
        <v>0.1</v>
      </c>
      <c r="G3799">
        <v>899.89</v>
      </c>
      <c r="H3799" t="s">
        <v>246</v>
      </c>
    </row>
    <row r="3800" spans="1:8" x14ac:dyDescent="0.35">
      <c r="A3800">
        <v>1386</v>
      </c>
      <c r="B3800">
        <v>4</v>
      </c>
      <c r="C3800">
        <v>150</v>
      </c>
      <c r="D3800">
        <v>1</v>
      </c>
      <c r="E3800">
        <v>4499.99</v>
      </c>
      <c r="F3800">
        <v>0.1</v>
      </c>
      <c r="G3800">
        <v>4499.92</v>
      </c>
      <c r="H3800" t="s">
        <v>147</v>
      </c>
    </row>
    <row r="3801" spans="1:8" x14ac:dyDescent="0.35">
      <c r="A3801">
        <v>1389</v>
      </c>
      <c r="B3801">
        <v>1</v>
      </c>
      <c r="C3801">
        <v>85</v>
      </c>
      <c r="D3801">
        <v>2</v>
      </c>
      <c r="E3801">
        <v>329.99</v>
      </c>
      <c r="F3801">
        <v>0.1</v>
      </c>
      <c r="G3801">
        <v>659.88</v>
      </c>
      <c r="H3801" t="s">
        <v>86</v>
      </c>
    </row>
    <row r="3802" spans="1:8" x14ac:dyDescent="0.35">
      <c r="A3802">
        <v>1389</v>
      </c>
      <c r="B3802">
        <v>2</v>
      </c>
      <c r="C3802">
        <v>171</v>
      </c>
      <c r="D3802">
        <v>2</v>
      </c>
      <c r="E3802">
        <v>3199.99</v>
      </c>
      <c r="F3802">
        <v>0.1</v>
      </c>
      <c r="G3802">
        <v>6399.93</v>
      </c>
      <c r="H3802" t="s">
        <v>168</v>
      </c>
    </row>
    <row r="3803" spans="1:8" x14ac:dyDescent="0.35">
      <c r="A3803">
        <v>1389</v>
      </c>
      <c r="B3803">
        <v>3</v>
      </c>
      <c r="C3803">
        <v>227</v>
      </c>
      <c r="D3803">
        <v>1</v>
      </c>
      <c r="E3803">
        <v>319.99</v>
      </c>
      <c r="F3803">
        <v>0.1</v>
      </c>
      <c r="G3803">
        <v>319.92</v>
      </c>
      <c r="H3803" t="s">
        <v>222</v>
      </c>
    </row>
    <row r="3804" spans="1:8" x14ac:dyDescent="0.35">
      <c r="A3804">
        <v>1390</v>
      </c>
      <c r="B3804">
        <v>1</v>
      </c>
      <c r="C3804">
        <v>41</v>
      </c>
      <c r="D3804">
        <v>2</v>
      </c>
      <c r="E3804">
        <v>1469.99</v>
      </c>
      <c r="F3804">
        <v>0.1</v>
      </c>
      <c r="G3804">
        <v>2939.93</v>
      </c>
      <c r="H3804" t="s">
        <v>42</v>
      </c>
    </row>
    <row r="3805" spans="1:8" x14ac:dyDescent="0.35">
      <c r="A3805">
        <v>1390</v>
      </c>
      <c r="B3805">
        <v>2</v>
      </c>
      <c r="C3805">
        <v>27</v>
      </c>
      <c r="D3805">
        <v>2</v>
      </c>
      <c r="E3805">
        <v>999.99</v>
      </c>
      <c r="F3805">
        <v>0.1</v>
      </c>
      <c r="G3805">
        <v>1999.93</v>
      </c>
      <c r="H3805" t="s">
        <v>28</v>
      </c>
    </row>
    <row r="3806" spans="1:8" x14ac:dyDescent="0.35">
      <c r="A3806">
        <v>1390</v>
      </c>
      <c r="B3806">
        <v>3</v>
      </c>
      <c r="C3806">
        <v>306</v>
      </c>
      <c r="D3806">
        <v>1</v>
      </c>
      <c r="E3806">
        <v>899.99</v>
      </c>
      <c r="F3806">
        <v>0.1</v>
      </c>
      <c r="G3806">
        <v>899.89</v>
      </c>
      <c r="H3806" t="s">
        <v>246</v>
      </c>
    </row>
    <row r="3807" spans="1:8" x14ac:dyDescent="0.35">
      <c r="A3807">
        <v>1390</v>
      </c>
      <c r="B3807">
        <v>4</v>
      </c>
      <c r="C3807">
        <v>104</v>
      </c>
      <c r="D3807">
        <v>1</v>
      </c>
      <c r="E3807">
        <v>481.99</v>
      </c>
      <c r="F3807">
        <v>0.1</v>
      </c>
      <c r="G3807">
        <v>481.94</v>
      </c>
      <c r="H3807" t="s">
        <v>103</v>
      </c>
    </row>
    <row r="3808" spans="1:8" x14ac:dyDescent="0.35">
      <c r="A3808">
        <v>1390</v>
      </c>
      <c r="B3808">
        <v>5</v>
      </c>
      <c r="C3808">
        <v>147</v>
      </c>
      <c r="D3808">
        <v>2</v>
      </c>
      <c r="E3808">
        <v>1799.99</v>
      </c>
      <c r="F3808">
        <v>0.1</v>
      </c>
      <c r="G3808">
        <v>3599.88</v>
      </c>
      <c r="H3808" t="s">
        <v>144</v>
      </c>
    </row>
    <row r="3809" spans="1:8" x14ac:dyDescent="0.35">
      <c r="A3809">
        <v>1391</v>
      </c>
      <c r="B3809">
        <v>1</v>
      </c>
      <c r="C3809">
        <v>223</v>
      </c>
      <c r="D3809">
        <v>2</v>
      </c>
      <c r="E3809">
        <v>529.99</v>
      </c>
      <c r="F3809">
        <v>0.1</v>
      </c>
      <c r="G3809">
        <v>1059.9100000000001</v>
      </c>
      <c r="H3809" t="s">
        <v>218</v>
      </c>
    </row>
    <row r="3810" spans="1:8" x14ac:dyDescent="0.35">
      <c r="A3810">
        <v>1391</v>
      </c>
      <c r="B3810">
        <v>2</v>
      </c>
      <c r="C3810">
        <v>295</v>
      </c>
      <c r="D3810">
        <v>2</v>
      </c>
      <c r="E3810">
        <v>319.99</v>
      </c>
      <c r="F3810">
        <v>0.2</v>
      </c>
      <c r="G3810">
        <v>639.78</v>
      </c>
      <c r="H3810" t="s">
        <v>285</v>
      </c>
    </row>
    <row r="3811" spans="1:8" x14ac:dyDescent="0.35">
      <c r="A3811">
        <v>1391</v>
      </c>
      <c r="B3811">
        <v>3</v>
      </c>
      <c r="C3811">
        <v>277</v>
      </c>
      <c r="D3811">
        <v>1</v>
      </c>
      <c r="E3811">
        <v>369.99</v>
      </c>
      <c r="F3811">
        <v>0.2</v>
      </c>
      <c r="G3811">
        <v>369.79</v>
      </c>
      <c r="H3811" t="s">
        <v>268</v>
      </c>
    </row>
    <row r="3812" spans="1:8" x14ac:dyDescent="0.35">
      <c r="A3812">
        <v>1392</v>
      </c>
      <c r="B3812">
        <v>1</v>
      </c>
      <c r="C3812">
        <v>87</v>
      </c>
      <c r="D3812">
        <v>2</v>
      </c>
      <c r="E3812">
        <v>189.99</v>
      </c>
      <c r="F3812">
        <v>0.2</v>
      </c>
      <c r="G3812">
        <v>379.78</v>
      </c>
      <c r="H3812" t="s">
        <v>88</v>
      </c>
    </row>
    <row r="3813" spans="1:8" x14ac:dyDescent="0.35">
      <c r="A3813">
        <v>1392</v>
      </c>
      <c r="B3813">
        <v>2</v>
      </c>
      <c r="C3813">
        <v>240</v>
      </c>
      <c r="D3813">
        <v>2</v>
      </c>
      <c r="E3813">
        <v>899.99</v>
      </c>
      <c r="F3813">
        <v>0.1</v>
      </c>
      <c r="G3813">
        <v>1799.93</v>
      </c>
      <c r="H3813" t="s">
        <v>235</v>
      </c>
    </row>
    <row r="3814" spans="1:8" x14ac:dyDescent="0.35">
      <c r="A3814">
        <v>1393</v>
      </c>
      <c r="B3814">
        <v>1</v>
      </c>
      <c r="C3814">
        <v>92</v>
      </c>
      <c r="D3814">
        <v>1</v>
      </c>
      <c r="E3814">
        <v>209.99</v>
      </c>
      <c r="F3814">
        <v>0.1</v>
      </c>
      <c r="G3814">
        <v>209.92</v>
      </c>
      <c r="H3814" t="s">
        <v>93</v>
      </c>
    </row>
    <row r="3815" spans="1:8" x14ac:dyDescent="0.35">
      <c r="A3815">
        <v>1393</v>
      </c>
      <c r="B3815">
        <v>2</v>
      </c>
      <c r="C3815">
        <v>82</v>
      </c>
      <c r="D3815">
        <v>1</v>
      </c>
      <c r="E3815">
        <v>659.99</v>
      </c>
      <c r="F3815">
        <v>0.1</v>
      </c>
      <c r="G3815">
        <v>659.92</v>
      </c>
      <c r="H3815" t="s">
        <v>83</v>
      </c>
    </row>
    <row r="3816" spans="1:8" x14ac:dyDescent="0.35">
      <c r="A3816">
        <v>1393</v>
      </c>
      <c r="B3816">
        <v>3</v>
      </c>
      <c r="C3816">
        <v>47</v>
      </c>
      <c r="D3816">
        <v>2</v>
      </c>
      <c r="E3816">
        <v>5299.99</v>
      </c>
      <c r="F3816">
        <v>0.1</v>
      </c>
      <c r="G3816">
        <v>10599.93</v>
      </c>
      <c r="H3816" t="s">
        <v>48</v>
      </c>
    </row>
    <row r="3817" spans="1:8" x14ac:dyDescent="0.35">
      <c r="A3817">
        <v>1393</v>
      </c>
      <c r="B3817">
        <v>4</v>
      </c>
      <c r="C3817">
        <v>268</v>
      </c>
      <c r="D3817">
        <v>2</v>
      </c>
      <c r="E3817">
        <v>159.99</v>
      </c>
      <c r="F3817">
        <v>0.1</v>
      </c>
      <c r="G3817">
        <v>319.93</v>
      </c>
      <c r="H3817" t="s">
        <v>259</v>
      </c>
    </row>
    <row r="3818" spans="1:8" x14ac:dyDescent="0.35">
      <c r="A3818">
        <v>1395</v>
      </c>
      <c r="B3818">
        <v>1</v>
      </c>
      <c r="C3818">
        <v>204</v>
      </c>
      <c r="D3818">
        <v>1</v>
      </c>
      <c r="E3818">
        <v>3599.99</v>
      </c>
      <c r="F3818">
        <v>0.2</v>
      </c>
      <c r="G3818">
        <v>3599.79</v>
      </c>
      <c r="H3818" t="s">
        <v>201</v>
      </c>
    </row>
    <row r="3819" spans="1:8" x14ac:dyDescent="0.35">
      <c r="A3819">
        <v>1395</v>
      </c>
      <c r="B3819">
        <v>2</v>
      </c>
      <c r="C3819">
        <v>48</v>
      </c>
      <c r="D3819">
        <v>2</v>
      </c>
      <c r="E3819">
        <v>1499.99</v>
      </c>
      <c r="F3819">
        <v>0.1</v>
      </c>
      <c r="G3819">
        <v>2999.88</v>
      </c>
      <c r="H3819" t="s">
        <v>49</v>
      </c>
    </row>
    <row r="3820" spans="1:8" x14ac:dyDescent="0.35">
      <c r="A3820">
        <v>1395</v>
      </c>
      <c r="B3820">
        <v>3</v>
      </c>
      <c r="C3820">
        <v>180</v>
      </c>
      <c r="D3820">
        <v>2</v>
      </c>
      <c r="E3820">
        <v>919.99</v>
      </c>
      <c r="F3820">
        <v>0.2</v>
      </c>
      <c r="G3820">
        <v>1839.78</v>
      </c>
      <c r="H3820" t="s">
        <v>177</v>
      </c>
    </row>
    <row r="3821" spans="1:8" x14ac:dyDescent="0.35">
      <c r="A3821">
        <v>1395</v>
      </c>
      <c r="B3821">
        <v>4</v>
      </c>
      <c r="C3821">
        <v>226</v>
      </c>
      <c r="D3821">
        <v>1</v>
      </c>
      <c r="E3821">
        <v>679.99</v>
      </c>
      <c r="F3821">
        <v>0.1</v>
      </c>
      <c r="G3821">
        <v>679.89</v>
      </c>
      <c r="H3821" t="s">
        <v>221</v>
      </c>
    </row>
    <row r="3822" spans="1:8" x14ac:dyDescent="0.35">
      <c r="A3822">
        <v>1396</v>
      </c>
      <c r="B3822">
        <v>1</v>
      </c>
      <c r="C3822">
        <v>57</v>
      </c>
      <c r="D3822">
        <v>1</v>
      </c>
      <c r="E3822">
        <v>1999.99</v>
      </c>
      <c r="F3822">
        <v>0.1</v>
      </c>
      <c r="G3822">
        <v>1999.94</v>
      </c>
      <c r="H3822" t="s">
        <v>58</v>
      </c>
    </row>
    <row r="3823" spans="1:8" x14ac:dyDescent="0.35">
      <c r="A3823">
        <v>1396</v>
      </c>
      <c r="B3823">
        <v>2</v>
      </c>
      <c r="C3823">
        <v>181</v>
      </c>
      <c r="D3823">
        <v>1</v>
      </c>
      <c r="E3823">
        <v>2199.9899999999998</v>
      </c>
      <c r="F3823">
        <v>0.2</v>
      </c>
      <c r="G3823">
        <v>2199.79</v>
      </c>
      <c r="H3823" t="s">
        <v>178</v>
      </c>
    </row>
    <row r="3824" spans="1:8" x14ac:dyDescent="0.35">
      <c r="A3824">
        <v>1397</v>
      </c>
      <c r="B3824">
        <v>1</v>
      </c>
      <c r="C3824">
        <v>127</v>
      </c>
      <c r="D3824">
        <v>2</v>
      </c>
      <c r="E3824">
        <v>469.99</v>
      </c>
      <c r="F3824">
        <v>0.1</v>
      </c>
      <c r="G3824">
        <v>939.88</v>
      </c>
      <c r="H3824" t="s">
        <v>124</v>
      </c>
    </row>
    <row r="3825" spans="1:8" x14ac:dyDescent="0.35">
      <c r="A3825">
        <v>1397</v>
      </c>
      <c r="B3825">
        <v>2</v>
      </c>
      <c r="C3825">
        <v>139</v>
      </c>
      <c r="D3825">
        <v>1</v>
      </c>
      <c r="E3825">
        <v>2999.99</v>
      </c>
      <c r="F3825">
        <v>0.1</v>
      </c>
      <c r="G3825">
        <v>2999.92</v>
      </c>
      <c r="H3825" t="s">
        <v>136</v>
      </c>
    </row>
    <row r="3826" spans="1:8" x14ac:dyDescent="0.35">
      <c r="A3826">
        <v>1397</v>
      </c>
      <c r="B3826">
        <v>3</v>
      </c>
      <c r="C3826">
        <v>7</v>
      </c>
      <c r="D3826">
        <v>1</v>
      </c>
      <c r="E3826">
        <v>3999.99</v>
      </c>
      <c r="F3826">
        <v>0.1</v>
      </c>
      <c r="G3826">
        <v>3999.94</v>
      </c>
      <c r="H3826" t="s">
        <v>12</v>
      </c>
    </row>
    <row r="3827" spans="1:8" x14ac:dyDescent="0.35">
      <c r="A3827">
        <v>1397</v>
      </c>
      <c r="B3827">
        <v>4</v>
      </c>
      <c r="C3827">
        <v>249</v>
      </c>
      <c r="D3827">
        <v>1</v>
      </c>
      <c r="E3827">
        <v>749.99</v>
      </c>
      <c r="F3827">
        <v>0.1</v>
      </c>
      <c r="G3827">
        <v>749.94</v>
      </c>
      <c r="H3827" t="s">
        <v>244</v>
      </c>
    </row>
    <row r="3828" spans="1:8" x14ac:dyDescent="0.35">
      <c r="A3828">
        <v>1397</v>
      </c>
      <c r="B3828">
        <v>5</v>
      </c>
      <c r="C3828">
        <v>78</v>
      </c>
      <c r="D3828">
        <v>2</v>
      </c>
      <c r="E3828">
        <v>647.99</v>
      </c>
      <c r="F3828">
        <v>0.1</v>
      </c>
      <c r="G3828">
        <v>1295.8800000000001</v>
      </c>
      <c r="H3828" t="s">
        <v>79</v>
      </c>
    </row>
    <row r="3829" spans="1:8" x14ac:dyDescent="0.35">
      <c r="A3829">
        <v>1398</v>
      </c>
      <c r="B3829">
        <v>1</v>
      </c>
      <c r="C3829">
        <v>69</v>
      </c>
      <c r="D3829">
        <v>2</v>
      </c>
      <c r="E3829">
        <v>416.99</v>
      </c>
      <c r="F3829">
        <v>0.1</v>
      </c>
      <c r="G3829">
        <v>833.93</v>
      </c>
      <c r="H3829" t="s">
        <v>70</v>
      </c>
    </row>
    <row r="3830" spans="1:8" x14ac:dyDescent="0.35">
      <c r="A3830">
        <v>1398</v>
      </c>
      <c r="B3830">
        <v>2</v>
      </c>
      <c r="C3830">
        <v>53</v>
      </c>
      <c r="D3830">
        <v>1</v>
      </c>
      <c r="E3830">
        <v>749.99</v>
      </c>
      <c r="F3830">
        <v>0.2</v>
      </c>
      <c r="G3830">
        <v>749.79</v>
      </c>
      <c r="H3830" t="s">
        <v>54</v>
      </c>
    </row>
    <row r="3831" spans="1:8" x14ac:dyDescent="0.35">
      <c r="A3831">
        <v>1399</v>
      </c>
      <c r="B3831">
        <v>1</v>
      </c>
      <c r="C3831">
        <v>210</v>
      </c>
      <c r="D3831">
        <v>2</v>
      </c>
      <c r="E3831">
        <v>1549</v>
      </c>
      <c r="F3831">
        <v>0.2</v>
      </c>
      <c r="G3831">
        <v>3097.8</v>
      </c>
      <c r="H3831" t="s">
        <v>165</v>
      </c>
    </row>
    <row r="3832" spans="1:8" x14ac:dyDescent="0.35">
      <c r="A3832">
        <v>1399</v>
      </c>
      <c r="B3832">
        <v>2</v>
      </c>
      <c r="C3832">
        <v>224</v>
      </c>
      <c r="D3832">
        <v>1</v>
      </c>
      <c r="E3832">
        <v>479.99</v>
      </c>
      <c r="F3832">
        <v>0.1</v>
      </c>
      <c r="G3832">
        <v>479.94</v>
      </c>
      <c r="H3832" t="s">
        <v>219</v>
      </c>
    </row>
    <row r="3833" spans="1:8" x14ac:dyDescent="0.35">
      <c r="A3833">
        <v>1399</v>
      </c>
      <c r="B3833">
        <v>3</v>
      </c>
      <c r="C3833">
        <v>127</v>
      </c>
      <c r="D3833">
        <v>2</v>
      </c>
      <c r="E3833">
        <v>469.99</v>
      </c>
      <c r="F3833">
        <v>0.1</v>
      </c>
      <c r="G3833">
        <v>939.91</v>
      </c>
      <c r="H3833" t="s">
        <v>124</v>
      </c>
    </row>
    <row r="3834" spans="1:8" x14ac:dyDescent="0.35">
      <c r="A3834">
        <v>1399</v>
      </c>
      <c r="B3834">
        <v>4</v>
      </c>
      <c r="C3834">
        <v>28</v>
      </c>
      <c r="D3834">
        <v>1</v>
      </c>
      <c r="E3834">
        <v>2499.9899999999998</v>
      </c>
      <c r="F3834">
        <v>0.1</v>
      </c>
      <c r="G3834">
        <v>2499.94</v>
      </c>
      <c r="H3834" t="s">
        <v>29</v>
      </c>
    </row>
    <row r="3835" spans="1:8" x14ac:dyDescent="0.35">
      <c r="A3835">
        <v>1400</v>
      </c>
      <c r="B3835">
        <v>1</v>
      </c>
      <c r="C3835">
        <v>24</v>
      </c>
      <c r="D3835">
        <v>2</v>
      </c>
      <c r="E3835">
        <v>549.99</v>
      </c>
      <c r="F3835">
        <v>0.2</v>
      </c>
      <c r="G3835">
        <v>1099.78</v>
      </c>
      <c r="H3835" t="s">
        <v>17</v>
      </c>
    </row>
    <row r="3836" spans="1:8" x14ac:dyDescent="0.35">
      <c r="A3836">
        <v>1400</v>
      </c>
      <c r="B3836">
        <v>2</v>
      </c>
      <c r="C3836">
        <v>217</v>
      </c>
      <c r="D3836">
        <v>2</v>
      </c>
      <c r="E3836">
        <v>909.99</v>
      </c>
      <c r="F3836">
        <v>0.2</v>
      </c>
      <c r="G3836">
        <v>1819.78</v>
      </c>
      <c r="H3836" t="s">
        <v>212</v>
      </c>
    </row>
    <row r="3837" spans="1:8" x14ac:dyDescent="0.35">
      <c r="A3837">
        <v>1400</v>
      </c>
      <c r="B3837">
        <v>3</v>
      </c>
      <c r="C3837">
        <v>275</v>
      </c>
      <c r="D3837">
        <v>1</v>
      </c>
      <c r="E3837">
        <v>229.99</v>
      </c>
      <c r="F3837">
        <v>0.1</v>
      </c>
      <c r="G3837">
        <v>229.89</v>
      </c>
      <c r="H3837" t="s">
        <v>266</v>
      </c>
    </row>
    <row r="3838" spans="1:8" x14ac:dyDescent="0.35">
      <c r="A3838">
        <v>1400</v>
      </c>
      <c r="B3838">
        <v>4</v>
      </c>
      <c r="C3838">
        <v>90</v>
      </c>
      <c r="D3838">
        <v>1</v>
      </c>
      <c r="E3838">
        <v>209.99</v>
      </c>
      <c r="F3838">
        <v>0.1</v>
      </c>
      <c r="G3838">
        <v>209.92</v>
      </c>
      <c r="H3838" t="s">
        <v>91</v>
      </c>
    </row>
    <row r="3839" spans="1:8" x14ac:dyDescent="0.35">
      <c r="A3839">
        <v>1401</v>
      </c>
      <c r="B3839">
        <v>1</v>
      </c>
      <c r="C3839">
        <v>112</v>
      </c>
      <c r="D3839">
        <v>1</v>
      </c>
      <c r="E3839">
        <v>379.99</v>
      </c>
      <c r="F3839">
        <v>0.1</v>
      </c>
      <c r="G3839">
        <v>379.92</v>
      </c>
      <c r="H3839" t="s">
        <v>109</v>
      </c>
    </row>
    <row r="3840" spans="1:8" x14ac:dyDescent="0.35">
      <c r="A3840">
        <v>1401</v>
      </c>
      <c r="B3840">
        <v>2</v>
      </c>
      <c r="C3840">
        <v>230</v>
      </c>
      <c r="D3840">
        <v>1</v>
      </c>
      <c r="E3840">
        <v>429.99</v>
      </c>
      <c r="F3840">
        <v>0.1</v>
      </c>
      <c r="G3840">
        <v>429.94</v>
      </c>
      <c r="H3840" t="s">
        <v>225</v>
      </c>
    </row>
    <row r="3841" spans="1:8" x14ac:dyDescent="0.35">
      <c r="A3841">
        <v>1401</v>
      </c>
      <c r="B3841">
        <v>3</v>
      </c>
      <c r="C3841">
        <v>254</v>
      </c>
      <c r="D3841">
        <v>2</v>
      </c>
      <c r="E3841">
        <v>749.99</v>
      </c>
      <c r="F3841">
        <v>0.2</v>
      </c>
      <c r="G3841">
        <v>1499.78</v>
      </c>
      <c r="H3841" t="s">
        <v>245</v>
      </c>
    </row>
    <row r="3842" spans="1:8" x14ac:dyDescent="0.35">
      <c r="A3842">
        <v>1402</v>
      </c>
      <c r="B3842">
        <v>1</v>
      </c>
      <c r="C3842">
        <v>189</v>
      </c>
      <c r="D3842">
        <v>2</v>
      </c>
      <c r="E3842">
        <v>2799.99</v>
      </c>
      <c r="F3842">
        <v>0.2</v>
      </c>
      <c r="G3842">
        <v>5599.78</v>
      </c>
      <c r="H3842" t="s">
        <v>186</v>
      </c>
    </row>
    <row r="3843" spans="1:8" x14ac:dyDescent="0.35">
      <c r="A3843">
        <v>1402</v>
      </c>
      <c r="B3843">
        <v>2</v>
      </c>
      <c r="C3843">
        <v>28</v>
      </c>
      <c r="D3843">
        <v>2</v>
      </c>
      <c r="E3843">
        <v>2499.9899999999998</v>
      </c>
      <c r="F3843">
        <v>0.1</v>
      </c>
      <c r="G3843">
        <v>4999.93</v>
      </c>
      <c r="H3843" t="s">
        <v>29</v>
      </c>
    </row>
    <row r="3844" spans="1:8" x14ac:dyDescent="0.35">
      <c r="A3844">
        <v>1402</v>
      </c>
      <c r="B3844">
        <v>3</v>
      </c>
      <c r="C3844">
        <v>203</v>
      </c>
      <c r="D3844">
        <v>1</v>
      </c>
      <c r="E3844">
        <v>4999.99</v>
      </c>
      <c r="F3844">
        <v>0.1</v>
      </c>
      <c r="G3844">
        <v>4999.9399999999996</v>
      </c>
      <c r="H3844" t="s">
        <v>200</v>
      </c>
    </row>
    <row r="3845" spans="1:8" x14ac:dyDescent="0.35">
      <c r="A3845">
        <v>1402</v>
      </c>
      <c r="B3845">
        <v>4</v>
      </c>
      <c r="C3845">
        <v>273</v>
      </c>
      <c r="D3845">
        <v>1</v>
      </c>
      <c r="E3845">
        <v>289.99</v>
      </c>
      <c r="F3845">
        <v>0.1</v>
      </c>
      <c r="G3845">
        <v>289.92</v>
      </c>
      <c r="H3845" t="s">
        <v>264</v>
      </c>
    </row>
    <row r="3846" spans="1:8" x14ac:dyDescent="0.35">
      <c r="A3846">
        <v>1404</v>
      </c>
      <c r="B3846">
        <v>1</v>
      </c>
      <c r="C3846">
        <v>112</v>
      </c>
      <c r="D3846">
        <v>2</v>
      </c>
      <c r="E3846">
        <v>379.99</v>
      </c>
      <c r="F3846">
        <v>0.1</v>
      </c>
      <c r="G3846">
        <v>759.93</v>
      </c>
      <c r="H3846" t="s">
        <v>109</v>
      </c>
    </row>
    <row r="3847" spans="1:8" x14ac:dyDescent="0.35">
      <c r="A3847">
        <v>1404</v>
      </c>
      <c r="B3847">
        <v>2</v>
      </c>
      <c r="C3847">
        <v>220</v>
      </c>
      <c r="D3847">
        <v>1</v>
      </c>
      <c r="E3847">
        <v>269.99</v>
      </c>
      <c r="F3847">
        <v>0.1</v>
      </c>
      <c r="G3847">
        <v>269.89</v>
      </c>
      <c r="H3847" t="s">
        <v>215</v>
      </c>
    </row>
    <row r="3848" spans="1:8" x14ac:dyDescent="0.35">
      <c r="A3848">
        <v>1404</v>
      </c>
      <c r="B3848">
        <v>3</v>
      </c>
      <c r="C3848">
        <v>193</v>
      </c>
      <c r="D3848">
        <v>2</v>
      </c>
      <c r="E3848">
        <v>2799.99</v>
      </c>
      <c r="F3848">
        <v>0.2</v>
      </c>
      <c r="G3848">
        <v>5599.78</v>
      </c>
      <c r="H3848" t="s">
        <v>190</v>
      </c>
    </row>
    <row r="3849" spans="1:8" x14ac:dyDescent="0.35">
      <c r="A3849">
        <v>1406</v>
      </c>
      <c r="B3849">
        <v>1</v>
      </c>
      <c r="C3849">
        <v>230</v>
      </c>
      <c r="D3849">
        <v>2</v>
      </c>
      <c r="E3849">
        <v>429.99</v>
      </c>
      <c r="F3849">
        <v>0.1</v>
      </c>
      <c r="G3849">
        <v>859.93</v>
      </c>
      <c r="H3849" t="s">
        <v>225</v>
      </c>
    </row>
    <row r="3850" spans="1:8" x14ac:dyDescent="0.35">
      <c r="A3850">
        <v>1406</v>
      </c>
      <c r="B3850">
        <v>2</v>
      </c>
      <c r="C3850">
        <v>113</v>
      </c>
      <c r="D3850">
        <v>1</v>
      </c>
      <c r="E3850">
        <v>489.99</v>
      </c>
      <c r="F3850">
        <v>0.1</v>
      </c>
      <c r="G3850">
        <v>489.89</v>
      </c>
      <c r="H3850" t="s">
        <v>110</v>
      </c>
    </row>
    <row r="3851" spans="1:8" x14ac:dyDescent="0.35">
      <c r="A3851">
        <v>1407</v>
      </c>
      <c r="B3851">
        <v>1</v>
      </c>
      <c r="C3851">
        <v>300</v>
      </c>
      <c r="D3851">
        <v>1</v>
      </c>
      <c r="E3851">
        <v>799.99</v>
      </c>
      <c r="F3851">
        <v>0.1</v>
      </c>
      <c r="G3851">
        <v>799.94</v>
      </c>
      <c r="H3851" t="s">
        <v>251</v>
      </c>
    </row>
    <row r="3852" spans="1:8" x14ac:dyDescent="0.35">
      <c r="A3852">
        <v>1407</v>
      </c>
      <c r="B3852">
        <v>2</v>
      </c>
      <c r="C3852">
        <v>36</v>
      </c>
      <c r="D3852">
        <v>2</v>
      </c>
      <c r="E3852">
        <v>832.99</v>
      </c>
      <c r="F3852">
        <v>0.1</v>
      </c>
      <c r="G3852">
        <v>1665.88</v>
      </c>
      <c r="H3852" t="s">
        <v>37</v>
      </c>
    </row>
    <row r="3853" spans="1:8" x14ac:dyDescent="0.35">
      <c r="A3853">
        <v>1407</v>
      </c>
      <c r="B3853">
        <v>3</v>
      </c>
      <c r="C3853">
        <v>266</v>
      </c>
      <c r="D3853">
        <v>1</v>
      </c>
      <c r="E3853">
        <v>399.99</v>
      </c>
      <c r="F3853">
        <v>0.1</v>
      </c>
      <c r="G3853">
        <v>399.89</v>
      </c>
      <c r="H3853" t="s">
        <v>257</v>
      </c>
    </row>
    <row r="3854" spans="1:8" x14ac:dyDescent="0.35">
      <c r="A3854">
        <v>1407</v>
      </c>
      <c r="B3854">
        <v>4</v>
      </c>
      <c r="C3854">
        <v>35</v>
      </c>
      <c r="D3854">
        <v>1</v>
      </c>
      <c r="E3854">
        <v>832.99</v>
      </c>
      <c r="F3854">
        <v>0.2</v>
      </c>
      <c r="G3854">
        <v>832.79</v>
      </c>
      <c r="H3854" t="s">
        <v>36</v>
      </c>
    </row>
    <row r="3855" spans="1:8" x14ac:dyDescent="0.35">
      <c r="A3855">
        <v>1408</v>
      </c>
      <c r="B3855">
        <v>1</v>
      </c>
      <c r="C3855">
        <v>23</v>
      </c>
      <c r="D3855">
        <v>2</v>
      </c>
      <c r="E3855">
        <v>299.99</v>
      </c>
      <c r="F3855">
        <v>0.2</v>
      </c>
      <c r="G3855">
        <v>599.78</v>
      </c>
      <c r="H3855" t="s">
        <v>26</v>
      </c>
    </row>
    <row r="3856" spans="1:8" x14ac:dyDescent="0.35">
      <c r="A3856">
        <v>1408</v>
      </c>
      <c r="B3856">
        <v>2</v>
      </c>
      <c r="C3856">
        <v>166</v>
      </c>
      <c r="D3856">
        <v>1</v>
      </c>
      <c r="E3856">
        <v>749.99</v>
      </c>
      <c r="F3856">
        <v>0.2</v>
      </c>
      <c r="G3856">
        <v>749.79</v>
      </c>
      <c r="H3856" t="s">
        <v>163</v>
      </c>
    </row>
    <row r="3857" spans="1:8" x14ac:dyDescent="0.35">
      <c r="A3857">
        <v>1408</v>
      </c>
      <c r="B3857">
        <v>3</v>
      </c>
      <c r="C3857">
        <v>114</v>
      </c>
      <c r="D3857">
        <v>1</v>
      </c>
      <c r="E3857">
        <v>579.99</v>
      </c>
      <c r="F3857">
        <v>0.1</v>
      </c>
      <c r="G3857">
        <v>579.91999999999996</v>
      </c>
      <c r="H3857" t="s">
        <v>111</v>
      </c>
    </row>
    <row r="3858" spans="1:8" x14ac:dyDescent="0.35">
      <c r="A3858">
        <v>1408</v>
      </c>
      <c r="B3858">
        <v>4</v>
      </c>
      <c r="C3858">
        <v>137</v>
      </c>
      <c r="D3858">
        <v>2</v>
      </c>
      <c r="E3858">
        <v>2599</v>
      </c>
      <c r="F3858">
        <v>0.2</v>
      </c>
      <c r="G3858">
        <v>5197.8</v>
      </c>
      <c r="H3858" t="s">
        <v>134</v>
      </c>
    </row>
    <row r="3859" spans="1:8" x14ac:dyDescent="0.35">
      <c r="A3859">
        <v>1409</v>
      </c>
      <c r="B3859">
        <v>1</v>
      </c>
      <c r="C3859">
        <v>301</v>
      </c>
      <c r="D3859">
        <v>2</v>
      </c>
      <c r="E3859">
        <v>899.99</v>
      </c>
      <c r="F3859">
        <v>0.1</v>
      </c>
      <c r="G3859">
        <v>1799.91</v>
      </c>
      <c r="H3859" t="s">
        <v>252</v>
      </c>
    </row>
    <row r="3860" spans="1:8" x14ac:dyDescent="0.35">
      <c r="A3860">
        <v>1409</v>
      </c>
      <c r="B3860">
        <v>2</v>
      </c>
      <c r="C3860">
        <v>170</v>
      </c>
      <c r="D3860">
        <v>1</v>
      </c>
      <c r="E3860">
        <v>1299.99</v>
      </c>
      <c r="F3860">
        <v>0.1</v>
      </c>
      <c r="G3860">
        <v>1299.92</v>
      </c>
      <c r="H3860" t="s">
        <v>167</v>
      </c>
    </row>
    <row r="3861" spans="1:8" x14ac:dyDescent="0.35">
      <c r="A3861">
        <v>1409</v>
      </c>
      <c r="B3861">
        <v>3</v>
      </c>
      <c r="C3861">
        <v>171</v>
      </c>
      <c r="D3861">
        <v>2</v>
      </c>
      <c r="E3861">
        <v>3199.99</v>
      </c>
      <c r="F3861">
        <v>0.1</v>
      </c>
      <c r="G3861">
        <v>6399.93</v>
      </c>
      <c r="H3861" t="s">
        <v>168</v>
      </c>
    </row>
    <row r="3862" spans="1:8" x14ac:dyDescent="0.35">
      <c r="A3862">
        <v>1409</v>
      </c>
      <c r="B3862">
        <v>4</v>
      </c>
      <c r="C3862">
        <v>265</v>
      </c>
      <c r="D3862">
        <v>1</v>
      </c>
      <c r="E3862">
        <v>289.99</v>
      </c>
      <c r="F3862">
        <v>0.1</v>
      </c>
      <c r="G3862">
        <v>289.94</v>
      </c>
      <c r="H3862" t="s">
        <v>256</v>
      </c>
    </row>
    <row r="3863" spans="1:8" x14ac:dyDescent="0.35">
      <c r="A3863">
        <v>1409</v>
      </c>
      <c r="B3863">
        <v>5</v>
      </c>
      <c r="C3863">
        <v>222</v>
      </c>
      <c r="D3863">
        <v>1</v>
      </c>
      <c r="E3863">
        <v>269.99</v>
      </c>
      <c r="F3863">
        <v>0.1</v>
      </c>
      <c r="G3863">
        <v>269.89</v>
      </c>
      <c r="H3863" t="s">
        <v>217</v>
      </c>
    </row>
    <row r="3864" spans="1:8" x14ac:dyDescent="0.35">
      <c r="A3864">
        <v>1410</v>
      </c>
      <c r="B3864">
        <v>1</v>
      </c>
      <c r="C3864">
        <v>205</v>
      </c>
      <c r="D3864">
        <v>2</v>
      </c>
      <c r="E3864">
        <v>4999.99</v>
      </c>
      <c r="F3864">
        <v>0.1</v>
      </c>
      <c r="G3864">
        <v>9999.8799999999992</v>
      </c>
      <c r="H3864" t="s">
        <v>202</v>
      </c>
    </row>
    <row r="3865" spans="1:8" x14ac:dyDescent="0.35">
      <c r="A3865">
        <v>1410</v>
      </c>
      <c r="B3865">
        <v>2</v>
      </c>
      <c r="C3865">
        <v>203</v>
      </c>
      <c r="D3865">
        <v>2</v>
      </c>
      <c r="E3865">
        <v>4999.99</v>
      </c>
      <c r="F3865">
        <v>0.2</v>
      </c>
      <c r="G3865">
        <v>9999.7800000000007</v>
      </c>
      <c r="H3865" t="s">
        <v>200</v>
      </c>
    </row>
    <row r="3866" spans="1:8" x14ac:dyDescent="0.35">
      <c r="A3866">
        <v>1410</v>
      </c>
      <c r="B3866">
        <v>3</v>
      </c>
      <c r="C3866">
        <v>304</v>
      </c>
      <c r="D3866">
        <v>1</v>
      </c>
      <c r="E3866">
        <v>679.99</v>
      </c>
      <c r="F3866">
        <v>0.1</v>
      </c>
      <c r="G3866">
        <v>679.89</v>
      </c>
      <c r="H3866" t="s">
        <v>221</v>
      </c>
    </row>
    <row r="3867" spans="1:8" x14ac:dyDescent="0.35">
      <c r="A3867">
        <v>1411</v>
      </c>
      <c r="B3867">
        <v>1</v>
      </c>
      <c r="C3867">
        <v>9</v>
      </c>
      <c r="D3867">
        <v>1</v>
      </c>
      <c r="E3867">
        <v>2999.99</v>
      </c>
      <c r="F3867">
        <v>0.1</v>
      </c>
      <c r="G3867">
        <v>2999.89</v>
      </c>
      <c r="H3867" t="s">
        <v>14</v>
      </c>
    </row>
    <row r="3868" spans="1:8" x14ac:dyDescent="0.35">
      <c r="A3868">
        <v>1411</v>
      </c>
      <c r="B3868">
        <v>2</v>
      </c>
      <c r="C3868">
        <v>308</v>
      </c>
      <c r="D3868">
        <v>2</v>
      </c>
      <c r="E3868">
        <v>749.99</v>
      </c>
      <c r="F3868">
        <v>0.2</v>
      </c>
      <c r="G3868">
        <v>1499.78</v>
      </c>
      <c r="H3868" t="s">
        <v>234</v>
      </c>
    </row>
    <row r="3869" spans="1:8" x14ac:dyDescent="0.35">
      <c r="A3869">
        <v>1412</v>
      </c>
      <c r="B3869">
        <v>1</v>
      </c>
      <c r="C3869">
        <v>180</v>
      </c>
      <c r="D3869">
        <v>2</v>
      </c>
      <c r="E3869">
        <v>919.99</v>
      </c>
      <c r="F3869">
        <v>0.1</v>
      </c>
      <c r="G3869">
        <v>1839.91</v>
      </c>
      <c r="H3869" t="s">
        <v>177</v>
      </c>
    </row>
    <row r="3870" spans="1:8" x14ac:dyDescent="0.35">
      <c r="A3870">
        <v>1412</v>
      </c>
      <c r="B3870">
        <v>2</v>
      </c>
      <c r="C3870">
        <v>43</v>
      </c>
      <c r="D3870">
        <v>1</v>
      </c>
      <c r="E3870">
        <v>5299.99</v>
      </c>
      <c r="F3870">
        <v>0.1</v>
      </c>
      <c r="G3870">
        <v>5299.89</v>
      </c>
      <c r="H3870" t="s">
        <v>44</v>
      </c>
    </row>
    <row r="3871" spans="1:8" x14ac:dyDescent="0.35">
      <c r="A3871">
        <v>1412</v>
      </c>
      <c r="B3871">
        <v>3</v>
      </c>
      <c r="C3871">
        <v>109</v>
      </c>
      <c r="D3871">
        <v>2</v>
      </c>
      <c r="E3871">
        <v>416.99</v>
      </c>
      <c r="F3871">
        <v>0.1</v>
      </c>
      <c r="G3871">
        <v>833.91</v>
      </c>
      <c r="H3871" t="s">
        <v>106</v>
      </c>
    </row>
    <row r="3872" spans="1:8" x14ac:dyDescent="0.35">
      <c r="A3872">
        <v>1414</v>
      </c>
      <c r="B3872">
        <v>1</v>
      </c>
      <c r="C3872">
        <v>162</v>
      </c>
      <c r="D3872">
        <v>2</v>
      </c>
      <c r="E3872">
        <v>2999.99</v>
      </c>
      <c r="F3872">
        <v>0.1</v>
      </c>
      <c r="G3872">
        <v>5999.88</v>
      </c>
      <c r="H3872" t="s">
        <v>159</v>
      </c>
    </row>
    <row r="3873" spans="1:8" x14ac:dyDescent="0.35">
      <c r="A3873">
        <v>1414</v>
      </c>
      <c r="B3873">
        <v>2</v>
      </c>
      <c r="C3873">
        <v>292</v>
      </c>
      <c r="D3873">
        <v>2</v>
      </c>
      <c r="E3873">
        <v>369.99</v>
      </c>
      <c r="F3873">
        <v>0.1</v>
      </c>
      <c r="G3873">
        <v>739.93</v>
      </c>
      <c r="H3873" t="s">
        <v>282</v>
      </c>
    </row>
    <row r="3874" spans="1:8" x14ac:dyDescent="0.35">
      <c r="A3874">
        <v>1415</v>
      </c>
      <c r="B3874">
        <v>1</v>
      </c>
      <c r="C3874">
        <v>31</v>
      </c>
      <c r="D3874">
        <v>2</v>
      </c>
      <c r="E3874">
        <v>1632.99</v>
      </c>
      <c r="F3874">
        <v>0.1</v>
      </c>
      <c r="G3874">
        <v>3265.91</v>
      </c>
      <c r="H3874" t="s">
        <v>32</v>
      </c>
    </row>
    <row r="3875" spans="1:8" x14ac:dyDescent="0.35">
      <c r="A3875">
        <v>1415</v>
      </c>
      <c r="B3875">
        <v>2</v>
      </c>
      <c r="C3875">
        <v>17</v>
      </c>
      <c r="D3875">
        <v>1</v>
      </c>
      <c r="E3875">
        <v>429</v>
      </c>
      <c r="F3875">
        <v>0.1</v>
      </c>
      <c r="G3875">
        <v>428.95</v>
      </c>
      <c r="H3875" t="s">
        <v>22</v>
      </c>
    </row>
    <row r="3876" spans="1:8" x14ac:dyDescent="0.35">
      <c r="A3876">
        <v>1415</v>
      </c>
      <c r="B3876">
        <v>3</v>
      </c>
      <c r="C3876">
        <v>264</v>
      </c>
      <c r="D3876">
        <v>2</v>
      </c>
      <c r="E3876">
        <v>249.99</v>
      </c>
      <c r="F3876">
        <v>0.1</v>
      </c>
      <c r="G3876">
        <v>499.88</v>
      </c>
      <c r="H3876" t="s">
        <v>255</v>
      </c>
    </row>
    <row r="3877" spans="1:8" x14ac:dyDescent="0.35">
      <c r="A3877">
        <v>1415</v>
      </c>
      <c r="B3877">
        <v>4</v>
      </c>
      <c r="C3877">
        <v>245</v>
      </c>
      <c r="D3877">
        <v>1</v>
      </c>
      <c r="E3877">
        <v>659.99</v>
      </c>
      <c r="F3877">
        <v>0.1</v>
      </c>
      <c r="G3877">
        <v>659.94</v>
      </c>
      <c r="H3877" t="s">
        <v>240</v>
      </c>
    </row>
    <row r="3878" spans="1:8" x14ac:dyDescent="0.35">
      <c r="A3878">
        <v>1416</v>
      </c>
      <c r="B3878">
        <v>1</v>
      </c>
      <c r="C3878">
        <v>194</v>
      </c>
      <c r="D3878">
        <v>1</v>
      </c>
      <c r="E3878">
        <v>3499.99</v>
      </c>
      <c r="F3878">
        <v>0.2</v>
      </c>
      <c r="G3878">
        <v>3499.79</v>
      </c>
      <c r="H3878" t="s">
        <v>191</v>
      </c>
    </row>
    <row r="3879" spans="1:8" x14ac:dyDescent="0.35">
      <c r="A3879">
        <v>1416</v>
      </c>
      <c r="B3879">
        <v>2</v>
      </c>
      <c r="C3879">
        <v>242</v>
      </c>
      <c r="D3879">
        <v>2</v>
      </c>
      <c r="E3879">
        <v>699.99</v>
      </c>
      <c r="F3879">
        <v>0.1</v>
      </c>
      <c r="G3879">
        <v>1399.88</v>
      </c>
      <c r="H3879" t="s">
        <v>237</v>
      </c>
    </row>
    <row r="3880" spans="1:8" x14ac:dyDescent="0.35">
      <c r="A3880">
        <v>1416</v>
      </c>
      <c r="B3880">
        <v>3</v>
      </c>
      <c r="C3880">
        <v>92</v>
      </c>
      <c r="D3880">
        <v>2</v>
      </c>
      <c r="E3880">
        <v>209.99</v>
      </c>
      <c r="F3880">
        <v>0.1</v>
      </c>
      <c r="G3880">
        <v>419.93</v>
      </c>
      <c r="H3880" t="s">
        <v>93</v>
      </c>
    </row>
    <row r="3881" spans="1:8" x14ac:dyDescent="0.35">
      <c r="A3881">
        <v>1418</v>
      </c>
      <c r="B3881">
        <v>1</v>
      </c>
      <c r="C3881">
        <v>120</v>
      </c>
      <c r="D3881">
        <v>2</v>
      </c>
      <c r="E3881">
        <v>2499.9899999999998</v>
      </c>
      <c r="F3881">
        <v>0.2</v>
      </c>
      <c r="G3881">
        <v>4999.78</v>
      </c>
      <c r="H3881" t="s">
        <v>117</v>
      </c>
    </row>
    <row r="3882" spans="1:8" x14ac:dyDescent="0.35">
      <c r="A3882">
        <v>1418</v>
      </c>
      <c r="B3882">
        <v>2</v>
      </c>
      <c r="C3882">
        <v>243</v>
      </c>
      <c r="D3882">
        <v>2</v>
      </c>
      <c r="E3882">
        <v>679.99</v>
      </c>
      <c r="F3882">
        <v>0.1</v>
      </c>
      <c r="G3882">
        <v>1359.93</v>
      </c>
      <c r="H3882" t="s">
        <v>238</v>
      </c>
    </row>
    <row r="3883" spans="1:8" x14ac:dyDescent="0.35">
      <c r="A3883">
        <v>1419</v>
      </c>
      <c r="B3883">
        <v>1</v>
      </c>
      <c r="C3883">
        <v>124</v>
      </c>
      <c r="D3883">
        <v>1</v>
      </c>
      <c r="E3883">
        <v>1499</v>
      </c>
      <c r="F3883">
        <v>0.1</v>
      </c>
      <c r="G3883">
        <v>1498.93</v>
      </c>
      <c r="H3883" t="s">
        <v>121</v>
      </c>
    </row>
    <row r="3884" spans="1:8" x14ac:dyDescent="0.35">
      <c r="A3884">
        <v>1419</v>
      </c>
      <c r="B3884">
        <v>2</v>
      </c>
      <c r="C3884">
        <v>235</v>
      </c>
      <c r="D3884">
        <v>2</v>
      </c>
      <c r="E3884">
        <v>899.99</v>
      </c>
      <c r="F3884">
        <v>0.2</v>
      </c>
      <c r="G3884">
        <v>1799.78</v>
      </c>
      <c r="H3884" t="s">
        <v>230</v>
      </c>
    </row>
    <row r="3885" spans="1:8" x14ac:dyDescent="0.35">
      <c r="A3885">
        <v>1419</v>
      </c>
      <c r="B3885">
        <v>3</v>
      </c>
      <c r="C3885">
        <v>234</v>
      </c>
      <c r="D3885">
        <v>1</v>
      </c>
      <c r="E3885">
        <v>899.99</v>
      </c>
      <c r="F3885">
        <v>0.1</v>
      </c>
      <c r="G3885">
        <v>899.89</v>
      </c>
      <c r="H3885" t="s">
        <v>229</v>
      </c>
    </row>
    <row r="3886" spans="1:8" x14ac:dyDescent="0.35">
      <c r="A3886">
        <v>1420</v>
      </c>
      <c r="B3886">
        <v>1</v>
      </c>
      <c r="C3886">
        <v>197</v>
      </c>
      <c r="D3886">
        <v>1</v>
      </c>
      <c r="E3886">
        <v>2299.9899999999998</v>
      </c>
      <c r="F3886">
        <v>0.2</v>
      </c>
      <c r="G3886">
        <v>2299.79</v>
      </c>
      <c r="H3886" t="s">
        <v>194</v>
      </c>
    </row>
    <row r="3887" spans="1:8" x14ac:dyDescent="0.35">
      <c r="A3887">
        <v>1420</v>
      </c>
      <c r="B3887">
        <v>2</v>
      </c>
      <c r="C3887">
        <v>194</v>
      </c>
      <c r="D3887">
        <v>2</v>
      </c>
      <c r="E3887">
        <v>3499.99</v>
      </c>
      <c r="F3887">
        <v>0.1</v>
      </c>
      <c r="G3887">
        <v>6999.88</v>
      </c>
      <c r="H3887" t="s">
        <v>191</v>
      </c>
    </row>
    <row r="3888" spans="1:8" x14ac:dyDescent="0.35">
      <c r="A3888">
        <v>1420</v>
      </c>
      <c r="B3888">
        <v>3</v>
      </c>
      <c r="C3888">
        <v>128</v>
      </c>
      <c r="D3888">
        <v>1</v>
      </c>
      <c r="E3888">
        <v>1899</v>
      </c>
      <c r="F3888">
        <v>0.1</v>
      </c>
      <c r="G3888">
        <v>1898.9</v>
      </c>
      <c r="H3888" t="s">
        <v>125</v>
      </c>
    </row>
    <row r="3889" spans="1:8" x14ac:dyDescent="0.35">
      <c r="A3889">
        <v>1422</v>
      </c>
      <c r="B3889">
        <v>1</v>
      </c>
      <c r="C3889">
        <v>80</v>
      </c>
      <c r="D3889">
        <v>2</v>
      </c>
      <c r="E3889">
        <v>761.99</v>
      </c>
      <c r="F3889">
        <v>0.1</v>
      </c>
      <c r="G3889">
        <v>1523.91</v>
      </c>
      <c r="H3889" t="s">
        <v>81</v>
      </c>
    </row>
    <row r="3890" spans="1:8" x14ac:dyDescent="0.35">
      <c r="A3890">
        <v>1422</v>
      </c>
      <c r="B3890">
        <v>2</v>
      </c>
      <c r="C3890">
        <v>180</v>
      </c>
      <c r="D3890">
        <v>2</v>
      </c>
      <c r="E3890">
        <v>919.99</v>
      </c>
      <c r="F3890">
        <v>0.2</v>
      </c>
      <c r="G3890">
        <v>1839.78</v>
      </c>
      <c r="H3890" t="s">
        <v>177</v>
      </c>
    </row>
    <row r="3891" spans="1:8" x14ac:dyDescent="0.35">
      <c r="A3891">
        <v>1422</v>
      </c>
      <c r="B3891">
        <v>3</v>
      </c>
      <c r="C3891">
        <v>243</v>
      </c>
      <c r="D3891">
        <v>1</v>
      </c>
      <c r="E3891">
        <v>679.99</v>
      </c>
      <c r="F3891">
        <v>0.1</v>
      </c>
      <c r="G3891">
        <v>679.94</v>
      </c>
      <c r="H3891" t="s">
        <v>238</v>
      </c>
    </row>
    <row r="3892" spans="1:8" x14ac:dyDescent="0.35">
      <c r="A3892">
        <v>1423</v>
      </c>
      <c r="B3892">
        <v>1</v>
      </c>
      <c r="C3892">
        <v>249</v>
      </c>
      <c r="D3892">
        <v>1</v>
      </c>
      <c r="E3892">
        <v>749.99</v>
      </c>
      <c r="F3892">
        <v>0.2</v>
      </c>
      <c r="G3892">
        <v>749.79</v>
      </c>
      <c r="H3892" t="s">
        <v>244</v>
      </c>
    </row>
    <row r="3893" spans="1:8" x14ac:dyDescent="0.35">
      <c r="A3893">
        <v>1423</v>
      </c>
      <c r="B3893">
        <v>2</v>
      </c>
      <c r="C3893">
        <v>71</v>
      </c>
      <c r="D3893">
        <v>1</v>
      </c>
      <c r="E3893">
        <v>416.99</v>
      </c>
      <c r="F3893">
        <v>0.1</v>
      </c>
      <c r="G3893">
        <v>416.89</v>
      </c>
      <c r="H3893" t="s">
        <v>72</v>
      </c>
    </row>
    <row r="3894" spans="1:8" x14ac:dyDescent="0.35">
      <c r="A3894">
        <v>1423</v>
      </c>
      <c r="B3894">
        <v>3</v>
      </c>
      <c r="C3894">
        <v>302</v>
      </c>
      <c r="D3894">
        <v>1</v>
      </c>
      <c r="E3894">
        <v>449.99</v>
      </c>
      <c r="F3894">
        <v>0.2</v>
      </c>
      <c r="G3894">
        <v>449.79</v>
      </c>
      <c r="H3894" t="s">
        <v>289</v>
      </c>
    </row>
    <row r="3895" spans="1:8" x14ac:dyDescent="0.35">
      <c r="A3895">
        <v>1423</v>
      </c>
      <c r="B3895">
        <v>4</v>
      </c>
      <c r="C3895">
        <v>113</v>
      </c>
      <c r="D3895">
        <v>2</v>
      </c>
      <c r="E3895">
        <v>489.99</v>
      </c>
      <c r="F3895">
        <v>0.2</v>
      </c>
      <c r="G3895">
        <v>979.78</v>
      </c>
      <c r="H3895" t="s">
        <v>110</v>
      </c>
    </row>
    <row r="3896" spans="1:8" x14ac:dyDescent="0.35">
      <c r="A3896">
        <v>1425</v>
      </c>
      <c r="B3896">
        <v>1</v>
      </c>
      <c r="C3896">
        <v>227</v>
      </c>
      <c r="D3896">
        <v>2</v>
      </c>
      <c r="E3896">
        <v>319.99</v>
      </c>
      <c r="F3896">
        <v>0.1</v>
      </c>
      <c r="G3896">
        <v>639.92999999999995</v>
      </c>
      <c r="H3896" t="s">
        <v>222</v>
      </c>
    </row>
    <row r="3897" spans="1:8" x14ac:dyDescent="0.35">
      <c r="A3897">
        <v>1425</v>
      </c>
      <c r="B3897">
        <v>2</v>
      </c>
      <c r="C3897">
        <v>263</v>
      </c>
      <c r="D3897">
        <v>1</v>
      </c>
      <c r="E3897">
        <v>89.99</v>
      </c>
      <c r="F3897">
        <v>0.1</v>
      </c>
      <c r="G3897">
        <v>89.92</v>
      </c>
      <c r="H3897" t="s">
        <v>254</v>
      </c>
    </row>
    <row r="3898" spans="1:8" x14ac:dyDescent="0.35">
      <c r="A3898">
        <v>1425</v>
      </c>
      <c r="B3898">
        <v>3</v>
      </c>
      <c r="C3898">
        <v>93</v>
      </c>
      <c r="D3898">
        <v>1</v>
      </c>
      <c r="E3898">
        <v>209.99</v>
      </c>
      <c r="F3898">
        <v>0.1</v>
      </c>
      <c r="G3898">
        <v>209.92</v>
      </c>
      <c r="H3898" t="s">
        <v>94</v>
      </c>
    </row>
    <row r="3899" spans="1:8" x14ac:dyDescent="0.35">
      <c r="A3899">
        <v>1425</v>
      </c>
      <c r="B3899">
        <v>4</v>
      </c>
      <c r="C3899">
        <v>54</v>
      </c>
      <c r="D3899">
        <v>2</v>
      </c>
      <c r="E3899">
        <v>3199.99</v>
      </c>
      <c r="F3899">
        <v>0.1</v>
      </c>
      <c r="G3899">
        <v>6399.93</v>
      </c>
      <c r="H3899" t="s">
        <v>55</v>
      </c>
    </row>
    <row r="3900" spans="1:8" x14ac:dyDescent="0.35">
      <c r="A3900">
        <v>1425</v>
      </c>
      <c r="B3900">
        <v>5</v>
      </c>
      <c r="C3900">
        <v>145</v>
      </c>
      <c r="D3900">
        <v>2</v>
      </c>
      <c r="E3900">
        <v>1799.99</v>
      </c>
      <c r="F3900">
        <v>0.1</v>
      </c>
      <c r="G3900">
        <v>3599.91</v>
      </c>
      <c r="H3900" t="s">
        <v>142</v>
      </c>
    </row>
    <row r="3901" spans="1:8" x14ac:dyDescent="0.35">
      <c r="A3901">
        <v>1426</v>
      </c>
      <c r="B3901">
        <v>1</v>
      </c>
      <c r="C3901">
        <v>215</v>
      </c>
      <c r="D3901">
        <v>1</v>
      </c>
      <c r="E3901">
        <v>749.99</v>
      </c>
      <c r="F3901">
        <v>0.1</v>
      </c>
      <c r="G3901">
        <v>749.92</v>
      </c>
      <c r="H3901" t="s">
        <v>210</v>
      </c>
    </row>
    <row r="3902" spans="1:8" x14ac:dyDescent="0.35">
      <c r="A3902">
        <v>1426</v>
      </c>
      <c r="B3902">
        <v>2</v>
      </c>
      <c r="C3902">
        <v>20</v>
      </c>
      <c r="D3902">
        <v>2</v>
      </c>
      <c r="E3902">
        <v>599.99</v>
      </c>
      <c r="F3902">
        <v>0.1</v>
      </c>
      <c r="G3902">
        <v>1199.93</v>
      </c>
      <c r="H3902" t="s">
        <v>25</v>
      </c>
    </row>
    <row r="3903" spans="1:8" x14ac:dyDescent="0.35">
      <c r="A3903">
        <v>1426</v>
      </c>
      <c r="B3903">
        <v>3</v>
      </c>
      <c r="C3903">
        <v>281</v>
      </c>
      <c r="D3903">
        <v>1</v>
      </c>
      <c r="E3903">
        <v>319.99</v>
      </c>
      <c r="F3903">
        <v>0.1</v>
      </c>
      <c r="G3903">
        <v>319.92</v>
      </c>
      <c r="H3903" t="s">
        <v>222</v>
      </c>
    </row>
    <row r="3904" spans="1:8" x14ac:dyDescent="0.35">
      <c r="A3904">
        <v>1427</v>
      </c>
      <c r="B3904">
        <v>1</v>
      </c>
      <c r="C3904">
        <v>230</v>
      </c>
      <c r="D3904">
        <v>2</v>
      </c>
      <c r="E3904">
        <v>429.99</v>
      </c>
      <c r="F3904">
        <v>0.1</v>
      </c>
      <c r="G3904">
        <v>859.91</v>
      </c>
      <c r="H3904" t="s">
        <v>225</v>
      </c>
    </row>
    <row r="3905" spans="1:8" x14ac:dyDescent="0.35">
      <c r="A3905">
        <v>1427</v>
      </c>
      <c r="B3905">
        <v>2</v>
      </c>
      <c r="C3905">
        <v>139</v>
      </c>
      <c r="D3905">
        <v>1</v>
      </c>
      <c r="E3905">
        <v>2999.99</v>
      </c>
      <c r="F3905">
        <v>0.1</v>
      </c>
      <c r="G3905">
        <v>2999.94</v>
      </c>
      <c r="H3905" t="s">
        <v>136</v>
      </c>
    </row>
    <row r="3906" spans="1:8" x14ac:dyDescent="0.35">
      <c r="A3906">
        <v>1427</v>
      </c>
      <c r="B3906">
        <v>3</v>
      </c>
      <c r="C3906">
        <v>164</v>
      </c>
      <c r="D3906">
        <v>2</v>
      </c>
      <c r="E3906">
        <v>1549</v>
      </c>
      <c r="F3906">
        <v>0.1</v>
      </c>
      <c r="G3906">
        <v>3097.93</v>
      </c>
      <c r="H3906" t="s">
        <v>161</v>
      </c>
    </row>
    <row r="3907" spans="1:8" x14ac:dyDescent="0.35">
      <c r="A3907">
        <v>1428</v>
      </c>
      <c r="B3907">
        <v>1</v>
      </c>
      <c r="C3907">
        <v>216</v>
      </c>
      <c r="D3907">
        <v>2</v>
      </c>
      <c r="E3907">
        <v>899.99</v>
      </c>
      <c r="F3907">
        <v>0.2</v>
      </c>
      <c r="G3907">
        <v>1799.78</v>
      </c>
      <c r="H3907" t="s">
        <v>211</v>
      </c>
    </row>
    <row r="3908" spans="1:8" x14ac:dyDescent="0.35">
      <c r="A3908">
        <v>1428</v>
      </c>
      <c r="B3908">
        <v>2</v>
      </c>
      <c r="C3908">
        <v>126</v>
      </c>
      <c r="D3908">
        <v>1</v>
      </c>
      <c r="E3908">
        <v>469.99</v>
      </c>
      <c r="F3908">
        <v>0.1</v>
      </c>
      <c r="G3908">
        <v>469.92</v>
      </c>
      <c r="H3908" t="s">
        <v>123</v>
      </c>
    </row>
    <row r="3909" spans="1:8" x14ac:dyDescent="0.35">
      <c r="A3909">
        <v>1428</v>
      </c>
      <c r="B3909">
        <v>3</v>
      </c>
      <c r="C3909">
        <v>187</v>
      </c>
      <c r="D3909">
        <v>2</v>
      </c>
      <c r="E3909">
        <v>2799.99</v>
      </c>
      <c r="F3909">
        <v>0.1</v>
      </c>
      <c r="G3909">
        <v>5599.91</v>
      </c>
      <c r="H3909" t="s">
        <v>184</v>
      </c>
    </row>
    <row r="3910" spans="1:8" x14ac:dyDescent="0.35">
      <c r="A3910">
        <v>1428</v>
      </c>
      <c r="B3910">
        <v>4</v>
      </c>
      <c r="C3910">
        <v>28</v>
      </c>
      <c r="D3910">
        <v>1</v>
      </c>
      <c r="E3910">
        <v>2499.9899999999998</v>
      </c>
      <c r="F3910">
        <v>0.1</v>
      </c>
      <c r="G3910">
        <v>2499.89</v>
      </c>
      <c r="H3910" t="s">
        <v>29</v>
      </c>
    </row>
    <row r="3911" spans="1:8" x14ac:dyDescent="0.35">
      <c r="A3911">
        <v>1428</v>
      </c>
      <c r="B3911">
        <v>5</v>
      </c>
      <c r="C3911">
        <v>194</v>
      </c>
      <c r="D3911">
        <v>2</v>
      </c>
      <c r="E3911">
        <v>3499.99</v>
      </c>
      <c r="F3911">
        <v>0.2</v>
      </c>
      <c r="G3911">
        <v>6999.78</v>
      </c>
      <c r="H3911" t="s">
        <v>191</v>
      </c>
    </row>
    <row r="3912" spans="1:8" x14ac:dyDescent="0.35">
      <c r="A3912">
        <v>1430</v>
      </c>
      <c r="B3912">
        <v>1</v>
      </c>
      <c r="C3912">
        <v>221</v>
      </c>
      <c r="D3912">
        <v>1</v>
      </c>
      <c r="E3912">
        <v>319.99</v>
      </c>
      <c r="F3912">
        <v>0.1</v>
      </c>
      <c r="G3912">
        <v>319.94</v>
      </c>
      <c r="H3912" t="s">
        <v>216</v>
      </c>
    </row>
    <row r="3913" spans="1:8" x14ac:dyDescent="0.35">
      <c r="A3913">
        <v>1430</v>
      </c>
      <c r="B3913">
        <v>2</v>
      </c>
      <c r="C3913">
        <v>281</v>
      </c>
      <c r="D3913">
        <v>1</v>
      </c>
      <c r="E3913">
        <v>319.99</v>
      </c>
      <c r="F3913">
        <v>0.1</v>
      </c>
      <c r="G3913">
        <v>319.92</v>
      </c>
      <c r="H3913" t="s">
        <v>222</v>
      </c>
    </row>
    <row r="3914" spans="1:8" x14ac:dyDescent="0.35">
      <c r="A3914">
        <v>1431</v>
      </c>
      <c r="B3914">
        <v>1</v>
      </c>
      <c r="C3914">
        <v>207</v>
      </c>
      <c r="D3914">
        <v>1</v>
      </c>
      <c r="E3914">
        <v>3999.99</v>
      </c>
      <c r="F3914">
        <v>0.1</v>
      </c>
      <c r="G3914">
        <v>3999.89</v>
      </c>
      <c r="H3914" t="s">
        <v>204</v>
      </c>
    </row>
    <row r="3915" spans="1:8" x14ac:dyDescent="0.35">
      <c r="A3915">
        <v>1431</v>
      </c>
      <c r="B3915">
        <v>2</v>
      </c>
      <c r="C3915">
        <v>53</v>
      </c>
      <c r="D3915">
        <v>1</v>
      </c>
      <c r="E3915">
        <v>749.99</v>
      </c>
      <c r="F3915">
        <v>0.1</v>
      </c>
      <c r="G3915">
        <v>749.92</v>
      </c>
      <c r="H3915" t="s">
        <v>54</v>
      </c>
    </row>
    <row r="3916" spans="1:8" x14ac:dyDescent="0.35">
      <c r="A3916">
        <v>1431</v>
      </c>
      <c r="B3916">
        <v>3</v>
      </c>
      <c r="C3916">
        <v>252</v>
      </c>
      <c r="D3916">
        <v>1</v>
      </c>
      <c r="E3916">
        <v>2999.99</v>
      </c>
      <c r="F3916">
        <v>0.2</v>
      </c>
      <c r="G3916">
        <v>2999.79</v>
      </c>
      <c r="H3916" t="s">
        <v>196</v>
      </c>
    </row>
    <row r="3917" spans="1:8" x14ac:dyDescent="0.35">
      <c r="A3917">
        <v>1431</v>
      </c>
      <c r="B3917">
        <v>4</v>
      </c>
      <c r="C3917">
        <v>254</v>
      </c>
      <c r="D3917">
        <v>1</v>
      </c>
      <c r="E3917">
        <v>749.99</v>
      </c>
      <c r="F3917">
        <v>0.1</v>
      </c>
      <c r="G3917">
        <v>749.92</v>
      </c>
      <c r="H3917" t="s">
        <v>245</v>
      </c>
    </row>
    <row r="3918" spans="1:8" x14ac:dyDescent="0.35">
      <c r="A3918">
        <v>1434</v>
      </c>
      <c r="B3918">
        <v>1</v>
      </c>
      <c r="C3918">
        <v>229</v>
      </c>
      <c r="D3918">
        <v>2</v>
      </c>
      <c r="E3918">
        <v>429.99</v>
      </c>
      <c r="F3918">
        <v>0.2</v>
      </c>
      <c r="G3918">
        <v>859.78</v>
      </c>
      <c r="H3918" t="s">
        <v>224</v>
      </c>
    </row>
    <row r="3919" spans="1:8" x14ac:dyDescent="0.35">
      <c r="A3919">
        <v>1434</v>
      </c>
      <c r="B3919">
        <v>2</v>
      </c>
      <c r="C3919">
        <v>198</v>
      </c>
      <c r="D3919">
        <v>1</v>
      </c>
      <c r="E3919">
        <v>2999.99</v>
      </c>
      <c r="F3919">
        <v>0.1</v>
      </c>
      <c r="G3919">
        <v>2999.89</v>
      </c>
      <c r="H3919" t="s">
        <v>195</v>
      </c>
    </row>
    <row r="3920" spans="1:8" x14ac:dyDescent="0.35">
      <c r="A3920">
        <v>1434</v>
      </c>
      <c r="B3920">
        <v>3</v>
      </c>
      <c r="C3920">
        <v>286</v>
      </c>
      <c r="D3920">
        <v>2</v>
      </c>
      <c r="E3920">
        <v>279.99</v>
      </c>
      <c r="F3920">
        <v>0.1</v>
      </c>
      <c r="G3920">
        <v>559.88</v>
      </c>
      <c r="H3920" t="s">
        <v>276</v>
      </c>
    </row>
    <row r="3921" spans="1:8" x14ac:dyDescent="0.35">
      <c r="A3921">
        <v>1434</v>
      </c>
      <c r="B3921">
        <v>4</v>
      </c>
      <c r="C3921">
        <v>61</v>
      </c>
      <c r="D3921">
        <v>2</v>
      </c>
      <c r="E3921">
        <v>4999.99</v>
      </c>
      <c r="F3921">
        <v>0.1</v>
      </c>
      <c r="G3921">
        <v>9999.91</v>
      </c>
      <c r="H3921" t="s">
        <v>62</v>
      </c>
    </row>
    <row r="3922" spans="1:8" x14ac:dyDescent="0.35">
      <c r="A3922">
        <v>1435</v>
      </c>
      <c r="B3922">
        <v>1</v>
      </c>
      <c r="C3922">
        <v>141</v>
      </c>
      <c r="D3922">
        <v>2</v>
      </c>
      <c r="E3922">
        <v>1599.99</v>
      </c>
      <c r="F3922">
        <v>0.1</v>
      </c>
      <c r="G3922">
        <v>3199.91</v>
      </c>
      <c r="H3922" t="s">
        <v>138</v>
      </c>
    </row>
    <row r="3923" spans="1:8" x14ac:dyDescent="0.35">
      <c r="A3923">
        <v>1435</v>
      </c>
      <c r="B3923">
        <v>2</v>
      </c>
      <c r="C3923">
        <v>29</v>
      </c>
      <c r="D3923">
        <v>1</v>
      </c>
      <c r="E3923">
        <v>999.99</v>
      </c>
      <c r="F3923">
        <v>0.2</v>
      </c>
      <c r="G3923">
        <v>999.79</v>
      </c>
      <c r="H3923" t="s">
        <v>30</v>
      </c>
    </row>
    <row r="3924" spans="1:8" x14ac:dyDescent="0.35">
      <c r="A3924">
        <v>1435</v>
      </c>
      <c r="B3924">
        <v>3</v>
      </c>
      <c r="C3924">
        <v>60</v>
      </c>
      <c r="D3924">
        <v>1</v>
      </c>
      <c r="E3924">
        <v>1559.99</v>
      </c>
      <c r="F3924">
        <v>0.1</v>
      </c>
      <c r="G3924">
        <v>1559.89</v>
      </c>
      <c r="H3924" t="s">
        <v>61</v>
      </c>
    </row>
    <row r="3925" spans="1:8" x14ac:dyDescent="0.35">
      <c r="A3925">
        <v>1435</v>
      </c>
      <c r="B3925">
        <v>4</v>
      </c>
      <c r="C3925">
        <v>260</v>
      </c>
      <c r="D3925">
        <v>1</v>
      </c>
      <c r="E3925">
        <v>799.99</v>
      </c>
      <c r="F3925">
        <v>0.1</v>
      </c>
      <c r="G3925">
        <v>799.92</v>
      </c>
      <c r="H3925" t="s">
        <v>251</v>
      </c>
    </row>
    <row r="3926" spans="1:8" x14ac:dyDescent="0.35">
      <c r="A3926">
        <v>1438</v>
      </c>
      <c r="B3926">
        <v>1</v>
      </c>
      <c r="C3926">
        <v>225</v>
      </c>
      <c r="D3926">
        <v>1</v>
      </c>
      <c r="E3926">
        <v>959.99</v>
      </c>
      <c r="F3926">
        <v>0.2</v>
      </c>
      <c r="G3926">
        <v>959.79</v>
      </c>
      <c r="H3926" t="s">
        <v>220</v>
      </c>
    </row>
    <row r="3927" spans="1:8" x14ac:dyDescent="0.35">
      <c r="A3927">
        <v>1438</v>
      </c>
      <c r="B3927">
        <v>2</v>
      </c>
      <c r="C3927">
        <v>140</v>
      </c>
      <c r="D3927">
        <v>1</v>
      </c>
      <c r="E3927">
        <v>4999.99</v>
      </c>
      <c r="F3927">
        <v>0.2</v>
      </c>
      <c r="G3927">
        <v>4999.79</v>
      </c>
      <c r="H3927" t="s">
        <v>137</v>
      </c>
    </row>
    <row r="3928" spans="1:8" x14ac:dyDescent="0.35">
      <c r="A3928">
        <v>1438</v>
      </c>
      <c r="B3928">
        <v>3</v>
      </c>
      <c r="C3928">
        <v>81</v>
      </c>
      <c r="D3928">
        <v>2</v>
      </c>
      <c r="E3928">
        <v>1099.99</v>
      </c>
      <c r="F3928">
        <v>0.1</v>
      </c>
      <c r="G3928">
        <v>2199.9299999999998</v>
      </c>
      <c r="H3928" t="s">
        <v>82</v>
      </c>
    </row>
    <row r="3929" spans="1:8" x14ac:dyDescent="0.35">
      <c r="A3929">
        <v>1438</v>
      </c>
      <c r="B3929">
        <v>4</v>
      </c>
      <c r="C3929">
        <v>137</v>
      </c>
      <c r="D3929">
        <v>1</v>
      </c>
      <c r="E3929">
        <v>2599</v>
      </c>
      <c r="F3929">
        <v>0.1</v>
      </c>
      <c r="G3929">
        <v>2598.9</v>
      </c>
      <c r="H3929" t="s">
        <v>134</v>
      </c>
    </row>
    <row r="3930" spans="1:8" x14ac:dyDescent="0.35">
      <c r="A3930">
        <v>1438</v>
      </c>
      <c r="B3930">
        <v>5</v>
      </c>
      <c r="C3930">
        <v>190</v>
      </c>
      <c r="D3930">
        <v>2</v>
      </c>
      <c r="E3930">
        <v>2799.99</v>
      </c>
      <c r="F3930">
        <v>0.1</v>
      </c>
      <c r="G3930">
        <v>5599.91</v>
      </c>
      <c r="H3930" t="s">
        <v>187</v>
      </c>
    </row>
    <row r="3931" spans="1:8" x14ac:dyDescent="0.35">
      <c r="A3931">
        <v>1439</v>
      </c>
      <c r="B3931">
        <v>1</v>
      </c>
      <c r="C3931">
        <v>42</v>
      </c>
      <c r="D3931">
        <v>1</v>
      </c>
      <c r="E3931">
        <v>2299.9899999999998</v>
      </c>
      <c r="F3931">
        <v>0.1</v>
      </c>
      <c r="G3931">
        <v>2299.92</v>
      </c>
      <c r="H3931" t="s">
        <v>43</v>
      </c>
    </row>
    <row r="3932" spans="1:8" x14ac:dyDescent="0.35">
      <c r="A3932">
        <v>1439</v>
      </c>
      <c r="B3932">
        <v>2</v>
      </c>
      <c r="C3932">
        <v>263</v>
      </c>
      <c r="D3932">
        <v>1</v>
      </c>
      <c r="E3932">
        <v>89.99</v>
      </c>
      <c r="F3932">
        <v>0.2</v>
      </c>
      <c r="G3932">
        <v>89.79</v>
      </c>
      <c r="H3932" t="s">
        <v>254</v>
      </c>
    </row>
    <row r="3933" spans="1:8" x14ac:dyDescent="0.35">
      <c r="A3933">
        <v>1439</v>
      </c>
      <c r="B3933">
        <v>3</v>
      </c>
      <c r="C3933">
        <v>102</v>
      </c>
      <c r="D3933">
        <v>2</v>
      </c>
      <c r="E3933">
        <v>489.99</v>
      </c>
      <c r="F3933">
        <v>0.1</v>
      </c>
      <c r="G3933">
        <v>979.93</v>
      </c>
      <c r="H3933" t="s">
        <v>65</v>
      </c>
    </row>
    <row r="3934" spans="1:8" x14ac:dyDescent="0.35">
      <c r="A3934">
        <v>1439</v>
      </c>
      <c r="B3934">
        <v>4</v>
      </c>
      <c r="C3934">
        <v>149</v>
      </c>
      <c r="D3934">
        <v>1</v>
      </c>
      <c r="E3934">
        <v>7499.99</v>
      </c>
      <c r="F3934">
        <v>0.1</v>
      </c>
      <c r="G3934">
        <v>7499.94</v>
      </c>
      <c r="H3934" t="s">
        <v>146</v>
      </c>
    </row>
    <row r="3935" spans="1:8" x14ac:dyDescent="0.35">
      <c r="A3935">
        <v>1440</v>
      </c>
      <c r="B3935">
        <v>1</v>
      </c>
      <c r="C3935">
        <v>116</v>
      </c>
      <c r="D3935">
        <v>2</v>
      </c>
      <c r="E3935">
        <v>749.99</v>
      </c>
      <c r="F3935">
        <v>0.1</v>
      </c>
      <c r="G3935">
        <v>1499.91</v>
      </c>
      <c r="H3935" t="s">
        <v>113</v>
      </c>
    </row>
    <row r="3936" spans="1:8" x14ac:dyDescent="0.35">
      <c r="A3936">
        <v>1440</v>
      </c>
      <c r="B3936">
        <v>2</v>
      </c>
      <c r="C3936">
        <v>109</v>
      </c>
      <c r="D3936">
        <v>1</v>
      </c>
      <c r="E3936">
        <v>416.99</v>
      </c>
      <c r="F3936">
        <v>0.1</v>
      </c>
      <c r="G3936">
        <v>416.92</v>
      </c>
      <c r="H3936" t="s">
        <v>106</v>
      </c>
    </row>
    <row r="3937" spans="1:8" x14ac:dyDescent="0.35">
      <c r="A3937">
        <v>1440</v>
      </c>
      <c r="B3937">
        <v>3</v>
      </c>
      <c r="C3937">
        <v>186</v>
      </c>
      <c r="D3937">
        <v>1</v>
      </c>
      <c r="E3937">
        <v>4499.99</v>
      </c>
      <c r="F3937">
        <v>0.1</v>
      </c>
      <c r="G3937">
        <v>4499.8900000000003</v>
      </c>
      <c r="H3937" t="s">
        <v>183</v>
      </c>
    </row>
    <row r="3938" spans="1:8" x14ac:dyDescent="0.35">
      <c r="A3938">
        <v>1440</v>
      </c>
      <c r="B3938">
        <v>4</v>
      </c>
      <c r="C3938">
        <v>178</v>
      </c>
      <c r="D3938">
        <v>2</v>
      </c>
      <c r="E3938">
        <v>749.99</v>
      </c>
      <c r="F3938">
        <v>0.1</v>
      </c>
      <c r="G3938">
        <v>1499.93</v>
      </c>
      <c r="H3938" t="s">
        <v>175</v>
      </c>
    </row>
    <row r="3939" spans="1:8" x14ac:dyDescent="0.35">
      <c r="A3939">
        <v>1440</v>
      </c>
      <c r="B3939">
        <v>5</v>
      </c>
      <c r="C3939">
        <v>67</v>
      </c>
      <c r="D3939">
        <v>2</v>
      </c>
      <c r="E3939">
        <v>250.99</v>
      </c>
      <c r="F3939">
        <v>0.2</v>
      </c>
      <c r="G3939">
        <v>501.78</v>
      </c>
      <c r="H3939" t="s">
        <v>68</v>
      </c>
    </row>
    <row r="3940" spans="1:8" x14ac:dyDescent="0.35">
      <c r="A3940">
        <v>1441</v>
      </c>
      <c r="B3940">
        <v>1</v>
      </c>
      <c r="C3940">
        <v>6</v>
      </c>
      <c r="D3940">
        <v>1</v>
      </c>
      <c r="E3940">
        <v>469.99</v>
      </c>
      <c r="F3940">
        <v>0.1</v>
      </c>
      <c r="G3940">
        <v>469.94</v>
      </c>
      <c r="H3940" t="s">
        <v>11</v>
      </c>
    </row>
    <row r="3941" spans="1:8" x14ac:dyDescent="0.35">
      <c r="A3941">
        <v>1441</v>
      </c>
      <c r="B3941">
        <v>2</v>
      </c>
      <c r="C3941">
        <v>242</v>
      </c>
      <c r="D3941">
        <v>2</v>
      </c>
      <c r="E3941">
        <v>699.99</v>
      </c>
      <c r="F3941">
        <v>0.2</v>
      </c>
      <c r="G3941">
        <v>1399.78</v>
      </c>
      <c r="H3941" t="s">
        <v>237</v>
      </c>
    </row>
    <row r="3942" spans="1:8" x14ac:dyDescent="0.35">
      <c r="A3942">
        <v>1441</v>
      </c>
      <c r="B3942">
        <v>3</v>
      </c>
      <c r="C3942">
        <v>46</v>
      </c>
      <c r="D3942">
        <v>1</v>
      </c>
      <c r="E3942">
        <v>1409.99</v>
      </c>
      <c r="F3942">
        <v>0.1</v>
      </c>
      <c r="G3942">
        <v>1409.92</v>
      </c>
      <c r="H3942" t="s">
        <v>47</v>
      </c>
    </row>
    <row r="3943" spans="1:8" x14ac:dyDescent="0.35">
      <c r="A3943">
        <v>1442</v>
      </c>
      <c r="B3943">
        <v>1</v>
      </c>
      <c r="C3943">
        <v>160</v>
      </c>
      <c r="D3943">
        <v>1</v>
      </c>
      <c r="E3943">
        <v>4499.99</v>
      </c>
      <c r="F3943">
        <v>0.1</v>
      </c>
      <c r="G3943">
        <v>4499.8900000000003</v>
      </c>
      <c r="H3943" t="s">
        <v>157</v>
      </c>
    </row>
    <row r="3944" spans="1:8" x14ac:dyDescent="0.35">
      <c r="A3944">
        <v>1442</v>
      </c>
      <c r="B3944">
        <v>2</v>
      </c>
      <c r="C3944">
        <v>220</v>
      </c>
      <c r="D3944">
        <v>1</v>
      </c>
      <c r="E3944">
        <v>269.99</v>
      </c>
      <c r="F3944">
        <v>0.1</v>
      </c>
      <c r="G3944">
        <v>269.92</v>
      </c>
      <c r="H3944" t="s">
        <v>215</v>
      </c>
    </row>
    <row r="3945" spans="1:8" x14ac:dyDescent="0.35">
      <c r="A3945">
        <v>1442</v>
      </c>
      <c r="B3945">
        <v>3</v>
      </c>
      <c r="C3945">
        <v>271</v>
      </c>
      <c r="D3945">
        <v>2</v>
      </c>
      <c r="E3945">
        <v>209.99</v>
      </c>
      <c r="F3945">
        <v>0.1</v>
      </c>
      <c r="G3945">
        <v>419.93</v>
      </c>
      <c r="H3945" t="s">
        <v>262</v>
      </c>
    </row>
    <row r="3946" spans="1:8" x14ac:dyDescent="0.35">
      <c r="A3946">
        <v>1443</v>
      </c>
      <c r="B3946">
        <v>1</v>
      </c>
      <c r="C3946">
        <v>160</v>
      </c>
      <c r="D3946">
        <v>1</v>
      </c>
      <c r="E3946">
        <v>4499.99</v>
      </c>
      <c r="F3946">
        <v>0.1</v>
      </c>
      <c r="G3946">
        <v>4499.92</v>
      </c>
      <c r="H3946" t="s">
        <v>157</v>
      </c>
    </row>
    <row r="3947" spans="1:8" x14ac:dyDescent="0.35">
      <c r="A3947">
        <v>1443</v>
      </c>
      <c r="B3947">
        <v>2</v>
      </c>
      <c r="C3947">
        <v>57</v>
      </c>
      <c r="D3947">
        <v>1</v>
      </c>
      <c r="E3947">
        <v>1999.99</v>
      </c>
      <c r="F3947">
        <v>0.2</v>
      </c>
      <c r="G3947">
        <v>1999.79</v>
      </c>
      <c r="H3947" t="s">
        <v>58</v>
      </c>
    </row>
    <row r="3948" spans="1:8" x14ac:dyDescent="0.35">
      <c r="A3948">
        <v>1443</v>
      </c>
      <c r="B3948">
        <v>3</v>
      </c>
      <c r="C3948">
        <v>101</v>
      </c>
      <c r="D3948">
        <v>2</v>
      </c>
      <c r="E3948">
        <v>339.99</v>
      </c>
      <c r="F3948">
        <v>0.1</v>
      </c>
      <c r="G3948">
        <v>679.88</v>
      </c>
      <c r="H3948" t="s">
        <v>101</v>
      </c>
    </row>
    <row r="3949" spans="1:8" x14ac:dyDescent="0.35">
      <c r="A3949">
        <v>1444</v>
      </c>
      <c r="B3949">
        <v>1</v>
      </c>
      <c r="C3949">
        <v>90</v>
      </c>
      <c r="D3949">
        <v>1</v>
      </c>
      <c r="E3949">
        <v>209.99</v>
      </c>
      <c r="F3949">
        <v>0.1</v>
      </c>
      <c r="G3949">
        <v>209.89</v>
      </c>
      <c r="H3949" t="s">
        <v>91</v>
      </c>
    </row>
    <row r="3950" spans="1:8" x14ac:dyDescent="0.35">
      <c r="A3950">
        <v>1444</v>
      </c>
      <c r="B3950">
        <v>2</v>
      </c>
      <c r="C3950">
        <v>128</v>
      </c>
      <c r="D3950">
        <v>2</v>
      </c>
      <c r="E3950">
        <v>1899</v>
      </c>
      <c r="F3950">
        <v>0.2</v>
      </c>
      <c r="G3950">
        <v>3797.8</v>
      </c>
      <c r="H3950" t="s">
        <v>125</v>
      </c>
    </row>
    <row r="3951" spans="1:8" x14ac:dyDescent="0.35">
      <c r="A3951">
        <v>1445</v>
      </c>
      <c r="B3951">
        <v>1</v>
      </c>
      <c r="C3951">
        <v>219</v>
      </c>
      <c r="D3951">
        <v>2</v>
      </c>
      <c r="E3951">
        <v>639.99</v>
      </c>
      <c r="F3951">
        <v>0.1</v>
      </c>
      <c r="G3951">
        <v>1279.8800000000001</v>
      </c>
      <c r="H3951" t="s">
        <v>214</v>
      </c>
    </row>
    <row r="3952" spans="1:8" x14ac:dyDescent="0.35">
      <c r="A3952">
        <v>1445</v>
      </c>
      <c r="B3952">
        <v>2</v>
      </c>
      <c r="C3952">
        <v>52</v>
      </c>
      <c r="D3952">
        <v>1</v>
      </c>
      <c r="E3952">
        <v>875.99</v>
      </c>
      <c r="F3952">
        <v>0.1</v>
      </c>
      <c r="G3952">
        <v>875.92</v>
      </c>
      <c r="H3952" t="s">
        <v>53</v>
      </c>
    </row>
    <row r="3953" spans="1:8" x14ac:dyDescent="0.35">
      <c r="A3953">
        <v>1445</v>
      </c>
      <c r="B3953">
        <v>3</v>
      </c>
      <c r="C3953">
        <v>123</v>
      </c>
      <c r="D3953">
        <v>2</v>
      </c>
      <c r="E3953">
        <v>999.99</v>
      </c>
      <c r="F3953">
        <v>0.1</v>
      </c>
      <c r="G3953">
        <v>1999.88</v>
      </c>
      <c r="H3953" t="s">
        <v>120</v>
      </c>
    </row>
    <row r="3954" spans="1:8" x14ac:dyDescent="0.35">
      <c r="A3954">
        <v>1446</v>
      </c>
      <c r="B3954">
        <v>1</v>
      </c>
      <c r="C3954">
        <v>227</v>
      </c>
      <c r="D3954">
        <v>1</v>
      </c>
      <c r="E3954">
        <v>319.99</v>
      </c>
      <c r="F3954">
        <v>0.1</v>
      </c>
      <c r="G3954">
        <v>319.94</v>
      </c>
      <c r="H3954" t="s">
        <v>222</v>
      </c>
    </row>
    <row r="3955" spans="1:8" x14ac:dyDescent="0.35">
      <c r="A3955">
        <v>1446</v>
      </c>
      <c r="B3955">
        <v>2</v>
      </c>
      <c r="C3955">
        <v>233</v>
      </c>
      <c r="D3955">
        <v>2</v>
      </c>
      <c r="E3955">
        <v>639.99</v>
      </c>
      <c r="F3955">
        <v>0.1</v>
      </c>
      <c r="G3955">
        <v>1279.93</v>
      </c>
      <c r="H3955" t="s">
        <v>228</v>
      </c>
    </row>
    <row r="3956" spans="1:8" x14ac:dyDescent="0.35">
      <c r="A3956">
        <v>1446</v>
      </c>
      <c r="B3956">
        <v>3</v>
      </c>
      <c r="C3956">
        <v>234</v>
      </c>
      <c r="D3956">
        <v>2</v>
      </c>
      <c r="E3956">
        <v>899.99</v>
      </c>
      <c r="F3956">
        <v>0.1</v>
      </c>
      <c r="G3956">
        <v>1799.93</v>
      </c>
      <c r="H3956" t="s">
        <v>229</v>
      </c>
    </row>
    <row r="3957" spans="1:8" x14ac:dyDescent="0.35">
      <c r="A3957">
        <v>1449</v>
      </c>
      <c r="B3957">
        <v>1</v>
      </c>
      <c r="C3957">
        <v>159</v>
      </c>
      <c r="D3957">
        <v>1</v>
      </c>
      <c r="E3957">
        <v>2299.9899999999998</v>
      </c>
      <c r="F3957">
        <v>0.1</v>
      </c>
      <c r="G3957">
        <v>2299.92</v>
      </c>
      <c r="H3957" t="s">
        <v>156</v>
      </c>
    </row>
    <row r="3958" spans="1:8" x14ac:dyDescent="0.35">
      <c r="A3958">
        <v>1449</v>
      </c>
      <c r="B3958">
        <v>2</v>
      </c>
      <c r="C3958">
        <v>55</v>
      </c>
      <c r="D3958">
        <v>1</v>
      </c>
      <c r="E3958">
        <v>2699.99</v>
      </c>
      <c r="F3958">
        <v>0.2</v>
      </c>
      <c r="G3958">
        <v>2699.79</v>
      </c>
      <c r="H3958" t="s">
        <v>56</v>
      </c>
    </row>
    <row r="3959" spans="1:8" x14ac:dyDescent="0.35">
      <c r="A3959">
        <v>1449</v>
      </c>
      <c r="B3959">
        <v>3</v>
      </c>
      <c r="C3959">
        <v>260</v>
      </c>
      <c r="D3959">
        <v>2</v>
      </c>
      <c r="E3959">
        <v>799.99</v>
      </c>
      <c r="F3959">
        <v>0.1</v>
      </c>
      <c r="G3959">
        <v>1599.91</v>
      </c>
      <c r="H3959" t="s">
        <v>251</v>
      </c>
    </row>
    <row r="3960" spans="1:8" x14ac:dyDescent="0.35">
      <c r="A3960">
        <v>1449</v>
      </c>
      <c r="B3960">
        <v>4</v>
      </c>
      <c r="C3960">
        <v>252</v>
      </c>
      <c r="D3960">
        <v>2</v>
      </c>
      <c r="E3960">
        <v>2999.99</v>
      </c>
      <c r="F3960">
        <v>0.1</v>
      </c>
      <c r="G3960">
        <v>5999.93</v>
      </c>
      <c r="H3960" t="s">
        <v>196</v>
      </c>
    </row>
    <row r="3961" spans="1:8" x14ac:dyDescent="0.35">
      <c r="A3961">
        <v>1449</v>
      </c>
      <c r="B3961">
        <v>5</v>
      </c>
      <c r="C3961">
        <v>14</v>
      </c>
      <c r="D3961">
        <v>2</v>
      </c>
      <c r="E3961">
        <v>269.99</v>
      </c>
      <c r="F3961">
        <v>0.1</v>
      </c>
      <c r="G3961">
        <v>539.88</v>
      </c>
      <c r="H3961" t="s">
        <v>19</v>
      </c>
    </row>
    <row r="3962" spans="1:8" x14ac:dyDescent="0.35">
      <c r="A3962">
        <v>1450</v>
      </c>
      <c r="B3962">
        <v>1</v>
      </c>
      <c r="C3962">
        <v>98</v>
      </c>
      <c r="D3962">
        <v>1</v>
      </c>
      <c r="E3962">
        <v>489.99</v>
      </c>
      <c r="F3962">
        <v>0.1</v>
      </c>
      <c r="G3962">
        <v>489.92</v>
      </c>
      <c r="H3962" t="s">
        <v>98</v>
      </c>
    </row>
    <row r="3963" spans="1:8" x14ac:dyDescent="0.35">
      <c r="A3963">
        <v>1450</v>
      </c>
      <c r="B3963">
        <v>2</v>
      </c>
      <c r="C3963">
        <v>173</v>
      </c>
      <c r="D3963">
        <v>2</v>
      </c>
      <c r="E3963">
        <v>3199.99</v>
      </c>
      <c r="F3963">
        <v>0.1</v>
      </c>
      <c r="G3963">
        <v>6399.88</v>
      </c>
      <c r="H3963" t="s">
        <v>170</v>
      </c>
    </row>
    <row r="3964" spans="1:8" x14ac:dyDescent="0.35">
      <c r="A3964">
        <v>1450</v>
      </c>
      <c r="B3964">
        <v>3</v>
      </c>
      <c r="C3964">
        <v>299</v>
      </c>
      <c r="D3964">
        <v>1</v>
      </c>
      <c r="E3964">
        <v>559.99</v>
      </c>
      <c r="F3964">
        <v>0.2</v>
      </c>
      <c r="G3964">
        <v>559.79</v>
      </c>
      <c r="H3964" t="s">
        <v>207</v>
      </c>
    </row>
    <row r="3965" spans="1:8" x14ac:dyDescent="0.35">
      <c r="A3965">
        <v>1450</v>
      </c>
      <c r="B3965">
        <v>4</v>
      </c>
      <c r="C3965">
        <v>209</v>
      </c>
      <c r="D3965">
        <v>2</v>
      </c>
      <c r="E3965">
        <v>2999.99</v>
      </c>
      <c r="F3965">
        <v>0.1</v>
      </c>
      <c r="G3965">
        <v>5999.88</v>
      </c>
      <c r="H3965" t="s">
        <v>206</v>
      </c>
    </row>
    <row r="3966" spans="1:8" x14ac:dyDescent="0.35">
      <c r="A3966">
        <v>1450</v>
      </c>
      <c r="B3966">
        <v>5</v>
      </c>
      <c r="C3966">
        <v>235</v>
      </c>
      <c r="D3966">
        <v>2</v>
      </c>
      <c r="E3966">
        <v>899.99</v>
      </c>
      <c r="F3966">
        <v>0.1</v>
      </c>
      <c r="G3966">
        <v>1799.93</v>
      </c>
      <c r="H3966" t="s">
        <v>230</v>
      </c>
    </row>
    <row r="3967" spans="1:8" x14ac:dyDescent="0.35">
      <c r="A3967">
        <v>1452</v>
      </c>
      <c r="B3967">
        <v>1</v>
      </c>
      <c r="C3967">
        <v>99</v>
      </c>
      <c r="D3967">
        <v>2</v>
      </c>
      <c r="E3967">
        <v>299.99</v>
      </c>
      <c r="F3967">
        <v>0.1</v>
      </c>
      <c r="G3967">
        <v>599.88</v>
      </c>
      <c r="H3967" t="s">
        <v>99</v>
      </c>
    </row>
    <row r="3968" spans="1:8" x14ac:dyDescent="0.35">
      <c r="A3968">
        <v>1452</v>
      </c>
      <c r="B3968">
        <v>2</v>
      </c>
      <c r="C3968">
        <v>234</v>
      </c>
      <c r="D3968">
        <v>1</v>
      </c>
      <c r="E3968">
        <v>899.99</v>
      </c>
      <c r="F3968">
        <v>0.2</v>
      </c>
      <c r="G3968">
        <v>899.79</v>
      </c>
      <c r="H3968" t="s">
        <v>229</v>
      </c>
    </row>
    <row r="3969" spans="1:8" x14ac:dyDescent="0.35">
      <c r="A3969">
        <v>1452</v>
      </c>
      <c r="B3969">
        <v>3</v>
      </c>
      <c r="C3969">
        <v>86</v>
      </c>
      <c r="D3969">
        <v>2</v>
      </c>
      <c r="E3969">
        <v>149.99</v>
      </c>
      <c r="F3969">
        <v>0.1</v>
      </c>
      <c r="G3969">
        <v>299.93</v>
      </c>
      <c r="H3969" t="s">
        <v>87</v>
      </c>
    </row>
    <row r="3970" spans="1:8" x14ac:dyDescent="0.35">
      <c r="A3970">
        <v>1452</v>
      </c>
      <c r="B3970">
        <v>4</v>
      </c>
      <c r="C3970">
        <v>109</v>
      </c>
      <c r="D3970">
        <v>2</v>
      </c>
      <c r="E3970">
        <v>416.99</v>
      </c>
      <c r="F3970">
        <v>0.1</v>
      </c>
      <c r="G3970">
        <v>833.91</v>
      </c>
      <c r="H3970" t="s">
        <v>106</v>
      </c>
    </row>
    <row r="3971" spans="1:8" x14ac:dyDescent="0.35">
      <c r="A3971">
        <v>1454</v>
      </c>
      <c r="B3971">
        <v>1</v>
      </c>
      <c r="C3971">
        <v>283</v>
      </c>
      <c r="D3971">
        <v>1</v>
      </c>
      <c r="E3971">
        <v>319.99</v>
      </c>
      <c r="F3971">
        <v>0.1</v>
      </c>
      <c r="G3971">
        <v>319.92</v>
      </c>
      <c r="H3971" t="s">
        <v>273</v>
      </c>
    </row>
    <row r="3972" spans="1:8" x14ac:dyDescent="0.35">
      <c r="A3972">
        <v>1454</v>
      </c>
      <c r="B3972">
        <v>2</v>
      </c>
      <c r="C3972">
        <v>35</v>
      </c>
      <c r="D3972">
        <v>2</v>
      </c>
      <c r="E3972">
        <v>832.99</v>
      </c>
      <c r="F3972">
        <v>0.1</v>
      </c>
      <c r="G3972">
        <v>1665.88</v>
      </c>
      <c r="H3972" t="s">
        <v>36</v>
      </c>
    </row>
    <row r="3973" spans="1:8" x14ac:dyDescent="0.35">
      <c r="A3973">
        <v>1454</v>
      </c>
      <c r="B3973">
        <v>3</v>
      </c>
      <c r="C3973">
        <v>124</v>
      </c>
      <c r="D3973">
        <v>1</v>
      </c>
      <c r="E3973">
        <v>1499</v>
      </c>
      <c r="F3973">
        <v>0.2</v>
      </c>
      <c r="G3973">
        <v>1498.8</v>
      </c>
      <c r="H3973" t="s">
        <v>121</v>
      </c>
    </row>
    <row r="3974" spans="1:8" x14ac:dyDescent="0.35">
      <c r="A3974">
        <v>1454</v>
      </c>
      <c r="B3974">
        <v>4</v>
      </c>
      <c r="C3974">
        <v>38</v>
      </c>
      <c r="D3974">
        <v>2</v>
      </c>
      <c r="E3974">
        <v>549.99</v>
      </c>
      <c r="F3974">
        <v>0.1</v>
      </c>
      <c r="G3974">
        <v>1099.93</v>
      </c>
      <c r="H3974" t="s">
        <v>39</v>
      </c>
    </row>
    <row r="3975" spans="1:8" x14ac:dyDescent="0.35">
      <c r="A3975">
        <v>1455</v>
      </c>
      <c r="B3975">
        <v>1</v>
      </c>
      <c r="C3975">
        <v>101</v>
      </c>
      <c r="D3975">
        <v>2</v>
      </c>
      <c r="E3975">
        <v>339.99</v>
      </c>
      <c r="F3975">
        <v>0.1</v>
      </c>
      <c r="G3975">
        <v>679.93</v>
      </c>
      <c r="H3975" t="s">
        <v>101</v>
      </c>
    </row>
    <row r="3976" spans="1:8" x14ac:dyDescent="0.35">
      <c r="A3976">
        <v>1455</v>
      </c>
      <c r="B3976">
        <v>2</v>
      </c>
      <c r="C3976">
        <v>254</v>
      </c>
      <c r="D3976">
        <v>1</v>
      </c>
      <c r="E3976">
        <v>749.99</v>
      </c>
      <c r="F3976">
        <v>0.2</v>
      </c>
      <c r="G3976">
        <v>749.79</v>
      </c>
      <c r="H3976" t="s">
        <v>245</v>
      </c>
    </row>
    <row r="3977" spans="1:8" x14ac:dyDescent="0.35">
      <c r="A3977">
        <v>1456</v>
      </c>
      <c r="B3977">
        <v>1</v>
      </c>
      <c r="C3977">
        <v>193</v>
      </c>
      <c r="D3977">
        <v>2</v>
      </c>
      <c r="E3977">
        <v>2799.99</v>
      </c>
      <c r="F3977">
        <v>0.1</v>
      </c>
      <c r="G3977">
        <v>5599.93</v>
      </c>
      <c r="H3977" t="s">
        <v>190</v>
      </c>
    </row>
    <row r="3978" spans="1:8" x14ac:dyDescent="0.35">
      <c r="A3978">
        <v>1456</v>
      </c>
      <c r="B3978">
        <v>2</v>
      </c>
      <c r="C3978">
        <v>246</v>
      </c>
      <c r="D3978">
        <v>1</v>
      </c>
      <c r="E3978">
        <v>639.99</v>
      </c>
      <c r="F3978">
        <v>0.1</v>
      </c>
      <c r="G3978">
        <v>639.91999999999996</v>
      </c>
      <c r="H3978" t="s">
        <v>241</v>
      </c>
    </row>
    <row r="3979" spans="1:8" x14ac:dyDescent="0.35">
      <c r="A3979">
        <v>1456</v>
      </c>
      <c r="B3979">
        <v>3</v>
      </c>
      <c r="C3979">
        <v>268</v>
      </c>
      <c r="D3979">
        <v>2</v>
      </c>
      <c r="E3979">
        <v>159.99</v>
      </c>
      <c r="F3979">
        <v>0.1</v>
      </c>
      <c r="G3979">
        <v>319.88</v>
      </c>
      <c r="H3979" t="s">
        <v>259</v>
      </c>
    </row>
    <row r="3980" spans="1:8" x14ac:dyDescent="0.35">
      <c r="A3980">
        <v>1456</v>
      </c>
      <c r="B3980">
        <v>4</v>
      </c>
      <c r="C3980">
        <v>272</v>
      </c>
      <c r="D3980">
        <v>1</v>
      </c>
      <c r="E3980">
        <v>289.99</v>
      </c>
      <c r="F3980">
        <v>0.1</v>
      </c>
      <c r="G3980">
        <v>289.89</v>
      </c>
      <c r="H3980" t="s">
        <v>263</v>
      </c>
    </row>
    <row r="3981" spans="1:8" x14ac:dyDescent="0.35">
      <c r="A3981">
        <v>1456</v>
      </c>
      <c r="B3981">
        <v>5</v>
      </c>
      <c r="C3981">
        <v>126</v>
      </c>
      <c r="D3981">
        <v>1</v>
      </c>
      <c r="E3981">
        <v>469.99</v>
      </c>
      <c r="F3981">
        <v>0.1</v>
      </c>
      <c r="G3981">
        <v>469.89</v>
      </c>
      <c r="H3981" t="s">
        <v>123</v>
      </c>
    </row>
    <row r="3982" spans="1:8" x14ac:dyDescent="0.35">
      <c r="A3982">
        <v>1457</v>
      </c>
      <c r="B3982">
        <v>1</v>
      </c>
      <c r="C3982">
        <v>113</v>
      </c>
      <c r="D3982">
        <v>1</v>
      </c>
      <c r="E3982">
        <v>489.99</v>
      </c>
      <c r="F3982">
        <v>0.1</v>
      </c>
      <c r="G3982">
        <v>489.92</v>
      </c>
      <c r="H3982" t="s">
        <v>110</v>
      </c>
    </row>
    <row r="3983" spans="1:8" x14ac:dyDescent="0.35">
      <c r="A3983">
        <v>1457</v>
      </c>
      <c r="B3983">
        <v>2</v>
      </c>
      <c r="C3983">
        <v>111</v>
      </c>
      <c r="D3983">
        <v>1</v>
      </c>
      <c r="E3983">
        <v>470.99</v>
      </c>
      <c r="F3983">
        <v>0.2</v>
      </c>
      <c r="G3983">
        <v>470.79</v>
      </c>
      <c r="H3983" t="s">
        <v>108</v>
      </c>
    </row>
    <row r="3984" spans="1:8" x14ac:dyDescent="0.35">
      <c r="A3984">
        <v>1457</v>
      </c>
      <c r="B3984">
        <v>3</v>
      </c>
      <c r="C3984">
        <v>268</v>
      </c>
      <c r="D3984">
        <v>1</v>
      </c>
      <c r="E3984">
        <v>159.99</v>
      </c>
      <c r="F3984">
        <v>0.2</v>
      </c>
      <c r="G3984">
        <v>159.79</v>
      </c>
      <c r="H3984" t="s">
        <v>259</v>
      </c>
    </row>
    <row r="3985" spans="1:8" x14ac:dyDescent="0.35">
      <c r="A3985">
        <v>1457</v>
      </c>
      <c r="B3985">
        <v>4</v>
      </c>
      <c r="C3985">
        <v>152</v>
      </c>
      <c r="D3985">
        <v>2</v>
      </c>
      <c r="E3985">
        <v>2499.9899999999998</v>
      </c>
      <c r="F3985">
        <v>0.2</v>
      </c>
      <c r="G3985">
        <v>4999.78</v>
      </c>
      <c r="H3985" t="s">
        <v>149</v>
      </c>
    </row>
    <row r="3986" spans="1:8" x14ac:dyDescent="0.35">
      <c r="A3986">
        <v>1458</v>
      </c>
      <c r="B3986">
        <v>1</v>
      </c>
      <c r="C3986">
        <v>295</v>
      </c>
      <c r="D3986">
        <v>2</v>
      </c>
      <c r="E3986">
        <v>319.99</v>
      </c>
      <c r="F3986">
        <v>0.1</v>
      </c>
      <c r="G3986">
        <v>639.92999999999995</v>
      </c>
      <c r="H3986" t="s">
        <v>285</v>
      </c>
    </row>
    <row r="3987" spans="1:8" x14ac:dyDescent="0.35">
      <c r="A3987">
        <v>1458</v>
      </c>
      <c r="B3987">
        <v>2</v>
      </c>
      <c r="C3987">
        <v>105</v>
      </c>
      <c r="D3987">
        <v>1</v>
      </c>
      <c r="E3987">
        <v>533.99</v>
      </c>
      <c r="F3987">
        <v>0.1</v>
      </c>
      <c r="G3987">
        <v>533.94000000000005</v>
      </c>
      <c r="H3987" t="s">
        <v>104</v>
      </c>
    </row>
    <row r="3988" spans="1:8" x14ac:dyDescent="0.35">
      <c r="A3988">
        <v>1458</v>
      </c>
      <c r="B3988">
        <v>3</v>
      </c>
      <c r="C3988">
        <v>12</v>
      </c>
      <c r="D3988">
        <v>1</v>
      </c>
      <c r="E3988">
        <v>549.99</v>
      </c>
      <c r="F3988">
        <v>0.1</v>
      </c>
      <c r="G3988">
        <v>549.94000000000005</v>
      </c>
      <c r="H3988" t="s">
        <v>17</v>
      </c>
    </row>
    <row r="3989" spans="1:8" x14ac:dyDescent="0.35">
      <c r="A3989">
        <v>1458</v>
      </c>
      <c r="B3989">
        <v>4</v>
      </c>
      <c r="C3989">
        <v>78</v>
      </c>
      <c r="D3989">
        <v>2</v>
      </c>
      <c r="E3989">
        <v>647.99</v>
      </c>
      <c r="F3989">
        <v>0.1</v>
      </c>
      <c r="G3989">
        <v>1295.8800000000001</v>
      </c>
      <c r="H3989" t="s">
        <v>79</v>
      </c>
    </row>
    <row r="3990" spans="1:8" x14ac:dyDescent="0.35">
      <c r="A3990">
        <v>1460</v>
      </c>
      <c r="B3990">
        <v>1</v>
      </c>
      <c r="C3990">
        <v>201</v>
      </c>
      <c r="D3990">
        <v>1</v>
      </c>
      <c r="E3990">
        <v>4499.99</v>
      </c>
      <c r="F3990">
        <v>0.1</v>
      </c>
      <c r="G3990">
        <v>4499.9399999999996</v>
      </c>
      <c r="H3990" t="s">
        <v>198</v>
      </c>
    </row>
    <row r="3991" spans="1:8" x14ac:dyDescent="0.35">
      <c r="A3991">
        <v>1460</v>
      </c>
      <c r="B3991">
        <v>2</v>
      </c>
      <c r="C3991">
        <v>76</v>
      </c>
      <c r="D3991">
        <v>1</v>
      </c>
      <c r="E3991">
        <v>299.99</v>
      </c>
      <c r="F3991">
        <v>0.1</v>
      </c>
      <c r="G3991">
        <v>299.92</v>
      </c>
      <c r="H3991" t="s">
        <v>77</v>
      </c>
    </row>
    <row r="3992" spans="1:8" x14ac:dyDescent="0.35">
      <c r="A3992">
        <v>1460</v>
      </c>
      <c r="B3992">
        <v>3</v>
      </c>
      <c r="C3992">
        <v>167</v>
      </c>
      <c r="D3992">
        <v>1</v>
      </c>
      <c r="E3992">
        <v>749.99</v>
      </c>
      <c r="F3992">
        <v>0.1</v>
      </c>
      <c r="G3992">
        <v>749.94</v>
      </c>
      <c r="H3992" t="s">
        <v>164</v>
      </c>
    </row>
    <row r="3993" spans="1:8" x14ac:dyDescent="0.35">
      <c r="A3993">
        <v>1460</v>
      </c>
      <c r="B3993">
        <v>4</v>
      </c>
      <c r="C3993">
        <v>7</v>
      </c>
      <c r="D3993">
        <v>2</v>
      </c>
      <c r="E3993">
        <v>3999.99</v>
      </c>
      <c r="F3993">
        <v>0.1</v>
      </c>
      <c r="G3993">
        <v>7999.91</v>
      </c>
      <c r="H3993" t="s">
        <v>12</v>
      </c>
    </row>
    <row r="3994" spans="1:8" x14ac:dyDescent="0.35">
      <c r="A3994">
        <v>1460</v>
      </c>
      <c r="B3994">
        <v>5</v>
      </c>
      <c r="C3994">
        <v>123</v>
      </c>
      <c r="D3994">
        <v>2</v>
      </c>
      <c r="E3994">
        <v>999.99</v>
      </c>
      <c r="F3994">
        <v>0.1</v>
      </c>
      <c r="G3994">
        <v>1999.91</v>
      </c>
      <c r="H3994" t="s">
        <v>120</v>
      </c>
    </row>
    <row r="3995" spans="1:8" x14ac:dyDescent="0.35">
      <c r="A3995">
        <v>1461</v>
      </c>
      <c r="B3995">
        <v>1</v>
      </c>
      <c r="C3995">
        <v>48</v>
      </c>
      <c r="D3995">
        <v>1</v>
      </c>
      <c r="E3995">
        <v>1499.99</v>
      </c>
      <c r="F3995">
        <v>0.2</v>
      </c>
      <c r="G3995">
        <v>1499.79</v>
      </c>
      <c r="H3995" t="s">
        <v>49</v>
      </c>
    </row>
    <row r="3996" spans="1:8" x14ac:dyDescent="0.35">
      <c r="A3996">
        <v>1461</v>
      </c>
      <c r="B3996">
        <v>2</v>
      </c>
      <c r="C3996">
        <v>242</v>
      </c>
      <c r="D3996">
        <v>2</v>
      </c>
      <c r="E3996">
        <v>699.99</v>
      </c>
      <c r="F3996">
        <v>0.2</v>
      </c>
      <c r="G3996">
        <v>1399.78</v>
      </c>
      <c r="H3996" t="s">
        <v>237</v>
      </c>
    </row>
    <row r="3997" spans="1:8" x14ac:dyDescent="0.35">
      <c r="A3997">
        <v>1462</v>
      </c>
      <c r="B3997">
        <v>1</v>
      </c>
      <c r="C3997">
        <v>263</v>
      </c>
      <c r="D3997">
        <v>1</v>
      </c>
      <c r="E3997">
        <v>89.99</v>
      </c>
      <c r="F3997">
        <v>0.2</v>
      </c>
      <c r="G3997">
        <v>89.79</v>
      </c>
      <c r="H3997" t="s">
        <v>254</v>
      </c>
    </row>
    <row r="3998" spans="1:8" x14ac:dyDescent="0.35">
      <c r="A3998">
        <v>1462</v>
      </c>
      <c r="B3998">
        <v>2</v>
      </c>
      <c r="C3998">
        <v>25</v>
      </c>
      <c r="D3998">
        <v>1</v>
      </c>
      <c r="E3998">
        <v>499.99</v>
      </c>
      <c r="F3998">
        <v>0.1</v>
      </c>
      <c r="G3998">
        <v>499.92</v>
      </c>
      <c r="H3998" t="s">
        <v>27</v>
      </c>
    </row>
    <row r="3999" spans="1:8" x14ac:dyDescent="0.35">
      <c r="A3999">
        <v>1462</v>
      </c>
      <c r="B3999">
        <v>3</v>
      </c>
      <c r="C3999">
        <v>223</v>
      </c>
      <c r="D3999">
        <v>1</v>
      </c>
      <c r="E3999">
        <v>529.99</v>
      </c>
      <c r="F3999">
        <v>0.1</v>
      </c>
      <c r="G3999">
        <v>529.89</v>
      </c>
      <c r="H3999" t="s">
        <v>218</v>
      </c>
    </row>
    <row r="4000" spans="1:8" x14ac:dyDescent="0.35">
      <c r="A4000">
        <v>1462</v>
      </c>
      <c r="B4000">
        <v>4</v>
      </c>
      <c r="C4000">
        <v>294</v>
      </c>
      <c r="D4000">
        <v>1</v>
      </c>
      <c r="E4000">
        <v>369.99</v>
      </c>
      <c r="F4000">
        <v>0.1</v>
      </c>
      <c r="G4000">
        <v>369.89</v>
      </c>
      <c r="H4000" t="s">
        <v>284</v>
      </c>
    </row>
    <row r="4001" spans="1:8" x14ac:dyDescent="0.35">
      <c r="A4001">
        <v>1462</v>
      </c>
      <c r="B4001">
        <v>5</v>
      </c>
      <c r="C4001">
        <v>251</v>
      </c>
      <c r="D4001">
        <v>1</v>
      </c>
      <c r="E4001">
        <v>2999.99</v>
      </c>
      <c r="F4001">
        <v>0.1</v>
      </c>
      <c r="G4001">
        <v>2999.94</v>
      </c>
      <c r="H4001" t="s">
        <v>195</v>
      </c>
    </row>
    <row r="4002" spans="1:8" x14ac:dyDescent="0.35">
      <c r="A4002">
        <v>1463</v>
      </c>
      <c r="B4002">
        <v>1</v>
      </c>
      <c r="C4002">
        <v>51</v>
      </c>
      <c r="D4002">
        <v>2</v>
      </c>
      <c r="E4002">
        <v>6499.99</v>
      </c>
      <c r="F4002">
        <v>0.1</v>
      </c>
      <c r="G4002">
        <v>12999.93</v>
      </c>
      <c r="H4002" t="s">
        <v>52</v>
      </c>
    </row>
    <row r="4003" spans="1:8" x14ac:dyDescent="0.35">
      <c r="A4003">
        <v>1463</v>
      </c>
      <c r="B4003">
        <v>2</v>
      </c>
      <c r="C4003">
        <v>168</v>
      </c>
      <c r="D4003">
        <v>1</v>
      </c>
      <c r="E4003">
        <v>1549</v>
      </c>
      <c r="F4003">
        <v>0.1</v>
      </c>
      <c r="G4003">
        <v>1548.95</v>
      </c>
      <c r="H4003" t="s">
        <v>165</v>
      </c>
    </row>
    <row r="4004" spans="1:8" x14ac:dyDescent="0.35">
      <c r="A4004">
        <v>1464</v>
      </c>
      <c r="B4004">
        <v>1</v>
      </c>
      <c r="C4004">
        <v>109</v>
      </c>
      <c r="D4004">
        <v>2</v>
      </c>
      <c r="E4004">
        <v>416.99</v>
      </c>
      <c r="F4004">
        <v>0.1</v>
      </c>
      <c r="G4004">
        <v>833.93</v>
      </c>
      <c r="H4004" t="s">
        <v>106</v>
      </c>
    </row>
    <row r="4005" spans="1:8" x14ac:dyDescent="0.35">
      <c r="A4005">
        <v>1464</v>
      </c>
      <c r="B4005">
        <v>2</v>
      </c>
      <c r="C4005">
        <v>124</v>
      </c>
      <c r="D4005">
        <v>1</v>
      </c>
      <c r="E4005">
        <v>1499</v>
      </c>
      <c r="F4005">
        <v>0.2</v>
      </c>
      <c r="G4005">
        <v>1498.8</v>
      </c>
      <c r="H4005" t="s">
        <v>121</v>
      </c>
    </row>
    <row r="4006" spans="1:8" x14ac:dyDescent="0.35">
      <c r="A4006">
        <v>1464</v>
      </c>
      <c r="B4006">
        <v>3</v>
      </c>
      <c r="C4006">
        <v>165</v>
      </c>
      <c r="D4006">
        <v>2</v>
      </c>
      <c r="E4006">
        <v>2499.9899999999998</v>
      </c>
      <c r="F4006">
        <v>0.2</v>
      </c>
      <c r="G4006">
        <v>4999.78</v>
      </c>
      <c r="H4006" t="s">
        <v>162</v>
      </c>
    </row>
    <row r="4007" spans="1:8" x14ac:dyDescent="0.35">
      <c r="A4007">
        <v>1464</v>
      </c>
      <c r="B4007">
        <v>4</v>
      </c>
      <c r="C4007">
        <v>151</v>
      </c>
      <c r="D4007">
        <v>2</v>
      </c>
      <c r="E4007">
        <v>1549.99</v>
      </c>
      <c r="F4007">
        <v>0.1</v>
      </c>
      <c r="G4007">
        <v>3099.93</v>
      </c>
      <c r="H4007" t="s">
        <v>148</v>
      </c>
    </row>
    <row r="4008" spans="1:8" x14ac:dyDescent="0.35">
      <c r="A4008">
        <v>1466</v>
      </c>
      <c r="B4008">
        <v>1</v>
      </c>
      <c r="C4008">
        <v>310</v>
      </c>
      <c r="D4008">
        <v>2</v>
      </c>
      <c r="E4008">
        <v>899.99</v>
      </c>
      <c r="F4008">
        <v>0.1</v>
      </c>
      <c r="G4008">
        <v>1799.91</v>
      </c>
      <c r="H4008" t="s">
        <v>235</v>
      </c>
    </row>
    <row r="4009" spans="1:8" x14ac:dyDescent="0.35">
      <c r="A4009">
        <v>1466</v>
      </c>
      <c r="B4009">
        <v>2</v>
      </c>
      <c r="C4009">
        <v>251</v>
      </c>
      <c r="D4009">
        <v>1</v>
      </c>
      <c r="E4009">
        <v>2999.99</v>
      </c>
      <c r="F4009">
        <v>0.1</v>
      </c>
      <c r="G4009">
        <v>2999.94</v>
      </c>
      <c r="H4009" t="s">
        <v>195</v>
      </c>
    </row>
    <row r="4010" spans="1:8" x14ac:dyDescent="0.35">
      <c r="A4010">
        <v>1466</v>
      </c>
      <c r="B4010">
        <v>3</v>
      </c>
      <c r="C4010">
        <v>163</v>
      </c>
      <c r="D4010">
        <v>2</v>
      </c>
      <c r="E4010">
        <v>1349</v>
      </c>
      <c r="F4010">
        <v>0.2</v>
      </c>
      <c r="G4010">
        <v>2697.8</v>
      </c>
      <c r="H4010" t="s">
        <v>160</v>
      </c>
    </row>
    <row r="4011" spans="1:8" x14ac:dyDescent="0.35">
      <c r="A4011">
        <v>1466</v>
      </c>
      <c r="B4011">
        <v>4</v>
      </c>
      <c r="C4011">
        <v>39</v>
      </c>
      <c r="D4011">
        <v>2</v>
      </c>
      <c r="E4011">
        <v>1499.99</v>
      </c>
      <c r="F4011">
        <v>0.1</v>
      </c>
      <c r="G4011">
        <v>2999.93</v>
      </c>
      <c r="H4011" t="s">
        <v>40</v>
      </c>
    </row>
    <row r="4012" spans="1:8" x14ac:dyDescent="0.35">
      <c r="A4012">
        <v>1467</v>
      </c>
      <c r="B4012">
        <v>1</v>
      </c>
      <c r="C4012">
        <v>18</v>
      </c>
      <c r="D4012">
        <v>1</v>
      </c>
      <c r="E4012">
        <v>449</v>
      </c>
      <c r="F4012">
        <v>0.1</v>
      </c>
      <c r="G4012">
        <v>448.93</v>
      </c>
      <c r="H4012" t="s">
        <v>23</v>
      </c>
    </row>
    <row r="4013" spans="1:8" x14ac:dyDescent="0.35">
      <c r="A4013">
        <v>1467</v>
      </c>
      <c r="B4013">
        <v>2</v>
      </c>
      <c r="C4013">
        <v>115</v>
      </c>
      <c r="D4013">
        <v>1</v>
      </c>
      <c r="E4013">
        <v>3199.99</v>
      </c>
      <c r="F4013">
        <v>0.2</v>
      </c>
      <c r="G4013">
        <v>3199.79</v>
      </c>
      <c r="H4013" t="s">
        <v>112</v>
      </c>
    </row>
    <row r="4014" spans="1:8" x14ac:dyDescent="0.35">
      <c r="A4014">
        <v>1467</v>
      </c>
      <c r="B4014">
        <v>3</v>
      </c>
      <c r="C4014">
        <v>278</v>
      </c>
      <c r="D4014">
        <v>2</v>
      </c>
      <c r="E4014">
        <v>369.99</v>
      </c>
      <c r="F4014">
        <v>0.1</v>
      </c>
      <c r="G4014">
        <v>739.88</v>
      </c>
      <c r="H4014" t="s">
        <v>269</v>
      </c>
    </row>
    <row r="4015" spans="1:8" x14ac:dyDescent="0.35">
      <c r="A4015">
        <v>1468</v>
      </c>
      <c r="B4015">
        <v>1</v>
      </c>
      <c r="C4015">
        <v>269</v>
      </c>
      <c r="D4015">
        <v>1</v>
      </c>
      <c r="E4015">
        <v>199.99</v>
      </c>
      <c r="F4015">
        <v>0.1</v>
      </c>
      <c r="G4015">
        <v>199.94</v>
      </c>
      <c r="H4015" t="s">
        <v>260</v>
      </c>
    </row>
    <row r="4016" spans="1:8" x14ac:dyDescent="0.35">
      <c r="A4016">
        <v>1468</v>
      </c>
      <c r="B4016">
        <v>2</v>
      </c>
      <c r="C4016">
        <v>58</v>
      </c>
      <c r="D4016">
        <v>1</v>
      </c>
      <c r="E4016">
        <v>4999.99</v>
      </c>
      <c r="F4016">
        <v>0.1</v>
      </c>
      <c r="G4016">
        <v>4999.92</v>
      </c>
      <c r="H4016" t="s">
        <v>59</v>
      </c>
    </row>
    <row r="4017" spans="1:8" x14ac:dyDescent="0.35">
      <c r="A4017">
        <v>1468</v>
      </c>
      <c r="B4017">
        <v>3</v>
      </c>
      <c r="C4017">
        <v>50</v>
      </c>
      <c r="D4017">
        <v>2</v>
      </c>
      <c r="E4017">
        <v>5999.99</v>
      </c>
      <c r="F4017">
        <v>0.1</v>
      </c>
      <c r="G4017">
        <v>11999.91</v>
      </c>
      <c r="H4017" t="s">
        <v>51</v>
      </c>
    </row>
    <row r="4018" spans="1:8" x14ac:dyDescent="0.35">
      <c r="A4018">
        <v>1469</v>
      </c>
      <c r="B4018">
        <v>1</v>
      </c>
      <c r="C4018">
        <v>77</v>
      </c>
      <c r="D4018">
        <v>2</v>
      </c>
      <c r="E4018">
        <v>799.99</v>
      </c>
      <c r="F4018">
        <v>0.2</v>
      </c>
      <c r="G4018">
        <v>1599.78</v>
      </c>
      <c r="H4018" t="s">
        <v>78</v>
      </c>
    </row>
    <row r="4019" spans="1:8" x14ac:dyDescent="0.35">
      <c r="A4019">
        <v>1469</v>
      </c>
      <c r="B4019">
        <v>2</v>
      </c>
      <c r="C4019">
        <v>237</v>
      </c>
      <c r="D4019">
        <v>2</v>
      </c>
      <c r="E4019">
        <v>849.99</v>
      </c>
      <c r="F4019">
        <v>0.1</v>
      </c>
      <c r="G4019">
        <v>1699.93</v>
      </c>
      <c r="H4019" t="s">
        <v>232</v>
      </c>
    </row>
    <row r="4020" spans="1:8" x14ac:dyDescent="0.35">
      <c r="A4020">
        <v>1469</v>
      </c>
      <c r="B4020">
        <v>3</v>
      </c>
      <c r="C4020">
        <v>182</v>
      </c>
      <c r="D4020">
        <v>1</v>
      </c>
      <c r="E4020">
        <v>2499.9899999999998</v>
      </c>
      <c r="F4020">
        <v>0.1</v>
      </c>
      <c r="G4020">
        <v>2499.92</v>
      </c>
      <c r="H4020" t="s">
        <v>179</v>
      </c>
    </row>
    <row r="4021" spans="1:8" x14ac:dyDescent="0.35">
      <c r="A4021">
        <v>1469</v>
      </c>
      <c r="B4021">
        <v>4</v>
      </c>
      <c r="C4021">
        <v>100</v>
      </c>
      <c r="D4021">
        <v>2</v>
      </c>
      <c r="E4021">
        <v>489.99</v>
      </c>
      <c r="F4021">
        <v>0.1</v>
      </c>
      <c r="G4021">
        <v>979.93</v>
      </c>
      <c r="H4021" t="s">
        <v>100</v>
      </c>
    </row>
    <row r="4022" spans="1:8" x14ac:dyDescent="0.35">
      <c r="A4022">
        <v>1470</v>
      </c>
      <c r="B4022">
        <v>1</v>
      </c>
      <c r="C4022">
        <v>110</v>
      </c>
      <c r="D4022">
        <v>2</v>
      </c>
      <c r="E4022">
        <v>470.99</v>
      </c>
      <c r="F4022">
        <v>0.1</v>
      </c>
      <c r="G4022">
        <v>941.88</v>
      </c>
      <c r="H4022" t="s">
        <v>107</v>
      </c>
    </row>
    <row r="4023" spans="1:8" x14ac:dyDescent="0.35">
      <c r="A4023">
        <v>1470</v>
      </c>
      <c r="B4023">
        <v>2</v>
      </c>
      <c r="C4023">
        <v>287</v>
      </c>
      <c r="D4023">
        <v>1</v>
      </c>
      <c r="E4023">
        <v>279.99</v>
      </c>
      <c r="F4023">
        <v>0.1</v>
      </c>
      <c r="G4023">
        <v>279.94</v>
      </c>
      <c r="H4023" t="s">
        <v>277</v>
      </c>
    </row>
    <row r="4024" spans="1:8" x14ac:dyDescent="0.35">
      <c r="A4024">
        <v>1470</v>
      </c>
      <c r="B4024">
        <v>3</v>
      </c>
      <c r="C4024">
        <v>252</v>
      </c>
      <c r="D4024">
        <v>2</v>
      </c>
      <c r="E4024">
        <v>2999.99</v>
      </c>
      <c r="F4024">
        <v>0.1</v>
      </c>
      <c r="G4024">
        <v>5999.93</v>
      </c>
      <c r="H4024" t="s">
        <v>196</v>
      </c>
    </row>
    <row r="4025" spans="1:8" x14ac:dyDescent="0.35">
      <c r="A4025">
        <v>1471</v>
      </c>
      <c r="B4025">
        <v>1</v>
      </c>
      <c r="C4025">
        <v>59</v>
      </c>
      <c r="D4025">
        <v>2</v>
      </c>
      <c r="E4025">
        <v>2599.9899999999998</v>
      </c>
      <c r="F4025">
        <v>0.2</v>
      </c>
      <c r="G4025">
        <v>5199.78</v>
      </c>
      <c r="H4025" t="s">
        <v>60</v>
      </c>
    </row>
    <row r="4026" spans="1:8" x14ac:dyDescent="0.35">
      <c r="A4026">
        <v>1471</v>
      </c>
      <c r="B4026">
        <v>2</v>
      </c>
      <c r="C4026">
        <v>136</v>
      </c>
      <c r="D4026">
        <v>1</v>
      </c>
      <c r="E4026">
        <v>1799.99</v>
      </c>
      <c r="F4026">
        <v>0.1</v>
      </c>
      <c r="G4026">
        <v>1799.92</v>
      </c>
      <c r="H4026" t="s">
        <v>133</v>
      </c>
    </row>
    <row r="4027" spans="1:8" x14ac:dyDescent="0.35">
      <c r="A4027">
        <v>1472</v>
      </c>
      <c r="B4027">
        <v>1</v>
      </c>
      <c r="C4027">
        <v>84</v>
      </c>
      <c r="D4027">
        <v>1</v>
      </c>
      <c r="E4027">
        <v>109.99</v>
      </c>
      <c r="F4027">
        <v>0.2</v>
      </c>
      <c r="G4027">
        <v>109.79</v>
      </c>
      <c r="H4027" t="s">
        <v>85</v>
      </c>
    </row>
    <row r="4028" spans="1:8" x14ac:dyDescent="0.35">
      <c r="A4028">
        <v>1472</v>
      </c>
      <c r="B4028">
        <v>2</v>
      </c>
      <c r="C4028">
        <v>300</v>
      </c>
      <c r="D4028">
        <v>1</v>
      </c>
      <c r="E4028">
        <v>799.99</v>
      </c>
      <c r="F4028">
        <v>0.2</v>
      </c>
      <c r="G4028">
        <v>799.79</v>
      </c>
      <c r="H4028" t="s">
        <v>251</v>
      </c>
    </row>
    <row r="4029" spans="1:8" x14ac:dyDescent="0.35">
      <c r="A4029">
        <v>1473</v>
      </c>
      <c r="B4029">
        <v>1</v>
      </c>
      <c r="C4029">
        <v>84</v>
      </c>
      <c r="D4029">
        <v>2</v>
      </c>
      <c r="E4029">
        <v>109.99</v>
      </c>
      <c r="F4029">
        <v>0.2</v>
      </c>
      <c r="G4029">
        <v>219.78</v>
      </c>
      <c r="H4029" t="s">
        <v>85</v>
      </c>
    </row>
    <row r="4030" spans="1:8" x14ac:dyDescent="0.35">
      <c r="A4030">
        <v>1473</v>
      </c>
      <c r="B4030">
        <v>2</v>
      </c>
      <c r="C4030">
        <v>102</v>
      </c>
      <c r="D4030">
        <v>1</v>
      </c>
      <c r="E4030">
        <v>489.99</v>
      </c>
      <c r="F4030">
        <v>0.1</v>
      </c>
      <c r="G4030">
        <v>489.92</v>
      </c>
      <c r="H4030" t="s">
        <v>65</v>
      </c>
    </row>
    <row r="4031" spans="1:8" x14ac:dyDescent="0.35">
      <c r="A4031">
        <v>1474</v>
      </c>
      <c r="B4031">
        <v>1</v>
      </c>
      <c r="C4031">
        <v>301</v>
      </c>
      <c r="D4031">
        <v>1</v>
      </c>
      <c r="E4031">
        <v>899.99</v>
      </c>
      <c r="F4031">
        <v>0.2</v>
      </c>
      <c r="G4031">
        <v>899.79</v>
      </c>
      <c r="H4031" t="s">
        <v>252</v>
      </c>
    </row>
    <row r="4032" spans="1:8" x14ac:dyDescent="0.35">
      <c r="A4032">
        <v>1474</v>
      </c>
      <c r="B4032">
        <v>2</v>
      </c>
      <c r="C4032">
        <v>123</v>
      </c>
      <c r="D4032">
        <v>1</v>
      </c>
      <c r="E4032">
        <v>999.99</v>
      </c>
      <c r="F4032">
        <v>0.1</v>
      </c>
      <c r="G4032">
        <v>999.94</v>
      </c>
      <c r="H4032" t="s">
        <v>120</v>
      </c>
    </row>
    <row r="4033" spans="1:8" x14ac:dyDescent="0.35">
      <c r="A4033">
        <v>1475</v>
      </c>
      <c r="B4033">
        <v>1</v>
      </c>
      <c r="C4033">
        <v>306</v>
      </c>
      <c r="D4033">
        <v>2</v>
      </c>
      <c r="E4033">
        <v>899.99</v>
      </c>
      <c r="F4033">
        <v>0.1</v>
      </c>
      <c r="G4033">
        <v>1799.93</v>
      </c>
      <c r="H4033" t="s">
        <v>246</v>
      </c>
    </row>
    <row r="4034" spans="1:8" x14ac:dyDescent="0.35">
      <c r="A4034">
        <v>1475</v>
      </c>
      <c r="B4034">
        <v>2</v>
      </c>
      <c r="C4034">
        <v>261</v>
      </c>
      <c r="D4034">
        <v>2</v>
      </c>
      <c r="E4034">
        <v>899.99</v>
      </c>
      <c r="F4034">
        <v>0.1</v>
      </c>
      <c r="G4034">
        <v>1799.91</v>
      </c>
      <c r="H4034" t="s">
        <v>252</v>
      </c>
    </row>
    <row r="4035" spans="1:8" x14ac:dyDescent="0.35">
      <c r="A4035">
        <v>1475</v>
      </c>
      <c r="B4035">
        <v>3</v>
      </c>
      <c r="C4035">
        <v>161</v>
      </c>
      <c r="D4035">
        <v>2</v>
      </c>
      <c r="E4035">
        <v>1899</v>
      </c>
      <c r="F4035">
        <v>0.1</v>
      </c>
      <c r="G4035">
        <v>3797.95</v>
      </c>
      <c r="H4035" t="s">
        <v>158</v>
      </c>
    </row>
    <row r="4036" spans="1:8" x14ac:dyDescent="0.35">
      <c r="A4036">
        <v>1475</v>
      </c>
      <c r="B4036">
        <v>4</v>
      </c>
      <c r="C4036">
        <v>248</v>
      </c>
      <c r="D4036">
        <v>2</v>
      </c>
      <c r="E4036">
        <v>599.99</v>
      </c>
      <c r="F4036">
        <v>0.2</v>
      </c>
      <c r="G4036">
        <v>1199.78</v>
      </c>
      <c r="H4036" t="s">
        <v>243</v>
      </c>
    </row>
    <row r="4037" spans="1:8" x14ac:dyDescent="0.35">
      <c r="A4037">
        <v>1476</v>
      </c>
      <c r="B4037">
        <v>1</v>
      </c>
      <c r="C4037">
        <v>142</v>
      </c>
      <c r="D4037">
        <v>2</v>
      </c>
      <c r="E4037">
        <v>3199.99</v>
      </c>
      <c r="F4037">
        <v>0.1</v>
      </c>
      <c r="G4037">
        <v>6399.91</v>
      </c>
      <c r="H4037" t="s">
        <v>139</v>
      </c>
    </row>
    <row r="4038" spans="1:8" x14ac:dyDescent="0.35">
      <c r="A4038">
        <v>1476</v>
      </c>
      <c r="B4038">
        <v>2</v>
      </c>
      <c r="C4038">
        <v>91</v>
      </c>
      <c r="D4038">
        <v>2</v>
      </c>
      <c r="E4038">
        <v>349.99</v>
      </c>
      <c r="F4038">
        <v>0.1</v>
      </c>
      <c r="G4038">
        <v>699.91</v>
      </c>
      <c r="H4038" t="s">
        <v>92</v>
      </c>
    </row>
    <row r="4039" spans="1:8" x14ac:dyDescent="0.35">
      <c r="A4039">
        <v>1476</v>
      </c>
      <c r="B4039">
        <v>3</v>
      </c>
      <c r="C4039">
        <v>43</v>
      </c>
      <c r="D4039">
        <v>1</v>
      </c>
      <c r="E4039">
        <v>5299.99</v>
      </c>
      <c r="F4039">
        <v>0.1</v>
      </c>
      <c r="G4039">
        <v>5299.92</v>
      </c>
      <c r="H4039" t="s">
        <v>44</v>
      </c>
    </row>
    <row r="4040" spans="1:8" x14ac:dyDescent="0.35">
      <c r="A4040">
        <v>1476</v>
      </c>
      <c r="B4040">
        <v>4</v>
      </c>
      <c r="C4040">
        <v>191</v>
      </c>
      <c r="D4040">
        <v>1</v>
      </c>
      <c r="E4040">
        <v>2799.99</v>
      </c>
      <c r="F4040">
        <v>0.1</v>
      </c>
      <c r="G4040">
        <v>2799.89</v>
      </c>
      <c r="H4040" t="s">
        <v>188</v>
      </c>
    </row>
    <row r="4041" spans="1:8" x14ac:dyDescent="0.35">
      <c r="A4041">
        <v>1476</v>
      </c>
      <c r="B4041">
        <v>5</v>
      </c>
      <c r="C4041">
        <v>265</v>
      </c>
      <c r="D4041">
        <v>2</v>
      </c>
      <c r="E4041">
        <v>289.99</v>
      </c>
      <c r="F4041">
        <v>0.1</v>
      </c>
      <c r="G4041">
        <v>579.88</v>
      </c>
      <c r="H4041" t="s">
        <v>256</v>
      </c>
    </row>
    <row r="4042" spans="1:8" x14ac:dyDescent="0.35">
      <c r="A4042">
        <v>1478</v>
      </c>
      <c r="B4042">
        <v>1</v>
      </c>
      <c r="C4042">
        <v>100</v>
      </c>
      <c r="D4042">
        <v>2</v>
      </c>
      <c r="E4042">
        <v>489.99</v>
      </c>
      <c r="F4042">
        <v>0.1</v>
      </c>
      <c r="G4042">
        <v>979.88</v>
      </c>
      <c r="H4042" t="s">
        <v>100</v>
      </c>
    </row>
    <row r="4043" spans="1:8" x14ac:dyDescent="0.35">
      <c r="A4043">
        <v>1478</v>
      </c>
      <c r="B4043">
        <v>2</v>
      </c>
      <c r="C4043">
        <v>123</v>
      </c>
      <c r="D4043">
        <v>1</v>
      </c>
      <c r="E4043">
        <v>999.99</v>
      </c>
      <c r="F4043">
        <v>0.2</v>
      </c>
      <c r="G4043">
        <v>999.79</v>
      </c>
      <c r="H4043" t="s">
        <v>120</v>
      </c>
    </row>
    <row r="4044" spans="1:8" x14ac:dyDescent="0.35">
      <c r="A4044">
        <v>1479</v>
      </c>
      <c r="B4044">
        <v>1</v>
      </c>
      <c r="C4044">
        <v>252</v>
      </c>
      <c r="D4044">
        <v>1</v>
      </c>
      <c r="E4044">
        <v>2999.99</v>
      </c>
      <c r="F4044">
        <v>0.1</v>
      </c>
      <c r="G4044">
        <v>2999.94</v>
      </c>
      <c r="H4044" t="s">
        <v>196</v>
      </c>
    </row>
    <row r="4045" spans="1:8" x14ac:dyDescent="0.35">
      <c r="A4045">
        <v>1479</v>
      </c>
      <c r="B4045">
        <v>2</v>
      </c>
      <c r="C4045">
        <v>256</v>
      </c>
      <c r="D4045">
        <v>1</v>
      </c>
      <c r="E4045">
        <v>899.99</v>
      </c>
      <c r="F4045">
        <v>0.1</v>
      </c>
      <c r="G4045">
        <v>899.89</v>
      </c>
      <c r="H4045" t="s">
        <v>247</v>
      </c>
    </row>
    <row r="4046" spans="1:8" x14ac:dyDescent="0.35">
      <c r="A4046">
        <v>1480</v>
      </c>
      <c r="B4046">
        <v>1</v>
      </c>
      <c r="C4046">
        <v>308</v>
      </c>
      <c r="D4046">
        <v>2</v>
      </c>
      <c r="E4046">
        <v>749.99</v>
      </c>
      <c r="F4046">
        <v>0.1</v>
      </c>
      <c r="G4046">
        <v>1499.88</v>
      </c>
      <c r="H4046" t="s">
        <v>234</v>
      </c>
    </row>
    <row r="4047" spans="1:8" x14ac:dyDescent="0.35">
      <c r="A4047">
        <v>1480</v>
      </c>
      <c r="B4047">
        <v>2</v>
      </c>
      <c r="C4047">
        <v>82</v>
      </c>
      <c r="D4047">
        <v>2</v>
      </c>
      <c r="E4047">
        <v>659.99</v>
      </c>
      <c r="F4047">
        <v>0.1</v>
      </c>
      <c r="G4047">
        <v>1319.88</v>
      </c>
      <c r="H4047" t="s">
        <v>83</v>
      </c>
    </row>
    <row r="4048" spans="1:8" x14ac:dyDescent="0.35">
      <c r="A4048">
        <v>1480</v>
      </c>
      <c r="B4048">
        <v>3</v>
      </c>
      <c r="C4048">
        <v>92</v>
      </c>
      <c r="D4048">
        <v>2</v>
      </c>
      <c r="E4048">
        <v>209.99</v>
      </c>
      <c r="F4048">
        <v>0.1</v>
      </c>
      <c r="G4048">
        <v>419.91</v>
      </c>
      <c r="H4048" t="s">
        <v>93</v>
      </c>
    </row>
    <row r="4049" spans="1:8" x14ac:dyDescent="0.35">
      <c r="A4049">
        <v>1480</v>
      </c>
      <c r="B4049">
        <v>4</v>
      </c>
      <c r="C4049">
        <v>225</v>
      </c>
      <c r="D4049">
        <v>2</v>
      </c>
      <c r="E4049">
        <v>959.99</v>
      </c>
      <c r="F4049">
        <v>0.1</v>
      </c>
      <c r="G4049">
        <v>1919.91</v>
      </c>
      <c r="H4049" t="s">
        <v>220</v>
      </c>
    </row>
    <row r="4050" spans="1:8" x14ac:dyDescent="0.35">
      <c r="A4050">
        <v>1481</v>
      </c>
      <c r="B4050">
        <v>1</v>
      </c>
      <c r="C4050">
        <v>53</v>
      </c>
      <c r="D4050">
        <v>2</v>
      </c>
      <c r="E4050">
        <v>749.99</v>
      </c>
      <c r="F4050">
        <v>0.1</v>
      </c>
      <c r="G4050">
        <v>1499.91</v>
      </c>
      <c r="H4050" t="s">
        <v>54</v>
      </c>
    </row>
    <row r="4051" spans="1:8" x14ac:dyDescent="0.35">
      <c r="A4051">
        <v>1481</v>
      </c>
      <c r="B4051">
        <v>2</v>
      </c>
      <c r="C4051">
        <v>130</v>
      </c>
      <c r="D4051">
        <v>1</v>
      </c>
      <c r="E4051">
        <v>919.99</v>
      </c>
      <c r="F4051">
        <v>0.1</v>
      </c>
      <c r="G4051">
        <v>919.89</v>
      </c>
      <c r="H4051" t="s">
        <v>127</v>
      </c>
    </row>
    <row r="4052" spans="1:8" x14ac:dyDescent="0.35">
      <c r="A4052">
        <v>1482</v>
      </c>
      <c r="B4052">
        <v>1</v>
      </c>
      <c r="C4052">
        <v>48</v>
      </c>
      <c r="D4052">
        <v>1</v>
      </c>
      <c r="E4052">
        <v>1499.99</v>
      </c>
      <c r="F4052">
        <v>0.1</v>
      </c>
      <c r="G4052">
        <v>1499.89</v>
      </c>
      <c r="H4052" t="s">
        <v>49</v>
      </c>
    </row>
    <row r="4053" spans="1:8" x14ac:dyDescent="0.35">
      <c r="A4053">
        <v>1482</v>
      </c>
      <c r="B4053">
        <v>2</v>
      </c>
      <c r="C4053">
        <v>113</v>
      </c>
      <c r="D4053">
        <v>1</v>
      </c>
      <c r="E4053">
        <v>489.99</v>
      </c>
      <c r="F4053">
        <v>0.1</v>
      </c>
      <c r="G4053">
        <v>489.94</v>
      </c>
      <c r="H4053" t="s">
        <v>110</v>
      </c>
    </row>
    <row r="4054" spans="1:8" x14ac:dyDescent="0.35">
      <c r="A4054">
        <v>1482</v>
      </c>
      <c r="B4054">
        <v>3</v>
      </c>
      <c r="C4054">
        <v>58</v>
      </c>
      <c r="D4054">
        <v>2</v>
      </c>
      <c r="E4054">
        <v>4999.99</v>
      </c>
      <c r="F4054">
        <v>0.1</v>
      </c>
      <c r="G4054">
        <v>9999.91</v>
      </c>
      <c r="H4054" t="s">
        <v>59</v>
      </c>
    </row>
    <row r="4055" spans="1:8" x14ac:dyDescent="0.35">
      <c r="A4055">
        <v>1482</v>
      </c>
      <c r="B4055">
        <v>4</v>
      </c>
      <c r="C4055">
        <v>40</v>
      </c>
      <c r="D4055">
        <v>1</v>
      </c>
      <c r="E4055">
        <v>4999.99</v>
      </c>
      <c r="F4055">
        <v>0.1</v>
      </c>
      <c r="G4055">
        <v>4999.9399999999996</v>
      </c>
      <c r="H4055" t="s">
        <v>41</v>
      </c>
    </row>
    <row r="4056" spans="1:8" x14ac:dyDescent="0.35">
      <c r="A4056">
        <v>1482</v>
      </c>
      <c r="B4056">
        <v>5</v>
      </c>
      <c r="C4056">
        <v>205</v>
      </c>
      <c r="D4056">
        <v>2</v>
      </c>
      <c r="E4056">
        <v>4999.99</v>
      </c>
      <c r="F4056">
        <v>0.1</v>
      </c>
      <c r="G4056">
        <v>9999.93</v>
      </c>
      <c r="H4056" t="s">
        <v>202</v>
      </c>
    </row>
    <row r="4057" spans="1:8" x14ac:dyDescent="0.35">
      <c r="A4057">
        <v>1483</v>
      </c>
      <c r="B4057">
        <v>1</v>
      </c>
      <c r="C4057">
        <v>280</v>
      </c>
      <c r="D4057">
        <v>1</v>
      </c>
      <c r="E4057">
        <v>489.99</v>
      </c>
      <c r="F4057">
        <v>0.1</v>
      </c>
      <c r="G4057">
        <v>489.94</v>
      </c>
      <c r="H4057" t="s">
        <v>271</v>
      </c>
    </row>
    <row r="4058" spans="1:8" x14ac:dyDescent="0.35">
      <c r="A4058">
        <v>1483</v>
      </c>
      <c r="B4058">
        <v>2</v>
      </c>
      <c r="C4058">
        <v>226</v>
      </c>
      <c r="D4058">
        <v>2</v>
      </c>
      <c r="E4058">
        <v>679.99</v>
      </c>
      <c r="F4058">
        <v>0.1</v>
      </c>
      <c r="G4058">
        <v>1359.91</v>
      </c>
      <c r="H4058" t="s">
        <v>221</v>
      </c>
    </row>
    <row r="4059" spans="1:8" x14ac:dyDescent="0.35">
      <c r="A4059">
        <v>1484</v>
      </c>
      <c r="B4059">
        <v>1</v>
      </c>
      <c r="C4059">
        <v>295</v>
      </c>
      <c r="D4059">
        <v>2</v>
      </c>
      <c r="E4059">
        <v>319.99</v>
      </c>
      <c r="F4059">
        <v>0.1</v>
      </c>
      <c r="G4059">
        <v>639.91</v>
      </c>
      <c r="H4059" t="s">
        <v>285</v>
      </c>
    </row>
    <row r="4060" spans="1:8" x14ac:dyDescent="0.35">
      <c r="A4060">
        <v>1484</v>
      </c>
      <c r="B4060">
        <v>2</v>
      </c>
      <c r="C4060">
        <v>49</v>
      </c>
      <c r="D4060">
        <v>2</v>
      </c>
      <c r="E4060">
        <v>3499.99</v>
      </c>
      <c r="F4060">
        <v>0.2</v>
      </c>
      <c r="G4060">
        <v>6999.78</v>
      </c>
      <c r="H4060" t="s">
        <v>50</v>
      </c>
    </row>
    <row r="4061" spans="1:8" x14ac:dyDescent="0.35">
      <c r="A4061">
        <v>1484</v>
      </c>
      <c r="B4061">
        <v>3</v>
      </c>
      <c r="C4061">
        <v>304</v>
      </c>
      <c r="D4061">
        <v>2</v>
      </c>
      <c r="E4061">
        <v>679.99</v>
      </c>
      <c r="F4061">
        <v>0.1</v>
      </c>
      <c r="G4061">
        <v>1359.93</v>
      </c>
      <c r="H4061" t="s">
        <v>221</v>
      </c>
    </row>
    <row r="4062" spans="1:8" x14ac:dyDescent="0.35">
      <c r="A4062">
        <v>1485</v>
      </c>
      <c r="B4062">
        <v>1</v>
      </c>
      <c r="C4062">
        <v>122</v>
      </c>
      <c r="D4062">
        <v>2</v>
      </c>
      <c r="E4062">
        <v>2499.9899999999998</v>
      </c>
      <c r="F4062">
        <v>0.2</v>
      </c>
      <c r="G4062">
        <v>4999.78</v>
      </c>
      <c r="H4062" t="s">
        <v>119</v>
      </c>
    </row>
    <row r="4063" spans="1:8" x14ac:dyDescent="0.35">
      <c r="A4063">
        <v>1485</v>
      </c>
      <c r="B4063">
        <v>2</v>
      </c>
      <c r="C4063">
        <v>276</v>
      </c>
      <c r="D4063">
        <v>1</v>
      </c>
      <c r="E4063">
        <v>319.99</v>
      </c>
      <c r="F4063">
        <v>0.2</v>
      </c>
      <c r="G4063">
        <v>319.79000000000002</v>
      </c>
      <c r="H4063" t="s">
        <v>267</v>
      </c>
    </row>
    <row r="4064" spans="1:8" x14ac:dyDescent="0.35">
      <c r="A4064">
        <v>1486</v>
      </c>
      <c r="B4064">
        <v>1</v>
      </c>
      <c r="C4064">
        <v>60</v>
      </c>
      <c r="D4064">
        <v>2</v>
      </c>
      <c r="E4064">
        <v>1559.99</v>
      </c>
      <c r="F4064">
        <v>0.1</v>
      </c>
      <c r="G4064">
        <v>3119.93</v>
      </c>
      <c r="H4064" t="s">
        <v>61</v>
      </c>
    </row>
    <row r="4065" spans="1:8" x14ac:dyDescent="0.35">
      <c r="A4065">
        <v>1486</v>
      </c>
      <c r="B4065">
        <v>2</v>
      </c>
      <c r="C4065">
        <v>98</v>
      </c>
      <c r="D4065">
        <v>1</v>
      </c>
      <c r="E4065">
        <v>489.99</v>
      </c>
      <c r="F4065">
        <v>0.1</v>
      </c>
      <c r="G4065">
        <v>489.94</v>
      </c>
      <c r="H4065" t="s">
        <v>98</v>
      </c>
    </row>
    <row r="4066" spans="1:8" x14ac:dyDescent="0.35">
      <c r="A4066">
        <v>1486</v>
      </c>
      <c r="B4066">
        <v>3</v>
      </c>
      <c r="C4066">
        <v>113</v>
      </c>
      <c r="D4066">
        <v>1</v>
      </c>
      <c r="E4066">
        <v>489.99</v>
      </c>
      <c r="F4066">
        <v>0.1</v>
      </c>
      <c r="G4066">
        <v>489.89</v>
      </c>
      <c r="H4066" t="s">
        <v>110</v>
      </c>
    </row>
    <row r="4067" spans="1:8" x14ac:dyDescent="0.35">
      <c r="A4067">
        <v>1486</v>
      </c>
      <c r="B4067">
        <v>4</v>
      </c>
      <c r="C4067">
        <v>269</v>
      </c>
      <c r="D4067">
        <v>1</v>
      </c>
      <c r="E4067">
        <v>199.99</v>
      </c>
      <c r="F4067">
        <v>0.1</v>
      </c>
      <c r="G4067">
        <v>199.89</v>
      </c>
      <c r="H4067" t="s">
        <v>260</v>
      </c>
    </row>
    <row r="4068" spans="1:8" x14ac:dyDescent="0.35">
      <c r="A4068">
        <v>1487</v>
      </c>
      <c r="B4068">
        <v>1</v>
      </c>
      <c r="C4068">
        <v>160</v>
      </c>
      <c r="D4068">
        <v>1</v>
      </c>
      <c r="E4068">
        <v>4499.99</v>
      </c>
      <c r="F4068">
        <v>0.1</v>
      </c>
      <c r="G4068">
        <v>4499.92</v>
      </c>
      <c r="H4068" t="s">
        <v>157</v>
      </c>
    </row>
    <row r="4069" spans="1:8" x14ac:dyDescent="0.35">
      <c r="A4069">
        <v>1487</v>
      </c>
      <c r="B4069">
        <v>2</v>
      </c>
      <c r="C4069">
        <v>151</v>
      </c>
      <c r="D4069">
        <v>2</v>
      </c>
      <c r="E4069">
        <v>1549.99</v>
      </c>
      <c r="F4069">
        <v>0.2</v>
      </c>
      <c r="G4069">
        <v>3099.78</v>
      </c>
      <c r="H4069" t="s">
        <v>148</v>
      </c>
    </row>
    <row r="4070" spans="1:8" x14ac:dyDescent="0.35">
      <c r="A4070">
        <v>1487</v>
      </c>
      <c r="B4070">
        <v>3</v>
      </c>
      <c r="C4070">
        <v>198</v>
      </c>
      <c r="D4070">
        <v>1</v>
      </c>
      <c r="E4070">
        <v>2999.99</v>
      </c>
      <c r="F4070">
        <v>0.1</v>
      </c>
      <c r="G4070">
        <v>2999.94</v>
      </c>
      <c r="H4070" t="s">
        <v>195</v>
      </c>
    </row>
    <row r="4071" spans="1:8" x14ac:dyDescent="0.35">
      <c r="A4071">
        <v>1487</v>
      </c>
      <c r="B4071">
        <v>4</v>
      </c>
      <c r="C4071">
        <v>196</v>
      </c>
      <c r="D4071">
        <v>1</v>
      </c>
      <c r="E4071">
        <v>2299.9899999999998</v>
      </c>
      <c r="F4071">
        <v>0.1</v>
      </c>
      <c r="G4071">
        <v>2299.94</v>
      </c>
      <c r="H4071" t="s">
        <v>193</v>
      </c>
    </row>
    <row r="4072" spans="1:8" x14ac:dyDescent="0.35">
      <c r="A4072">
        <v>1487</v>
      </c>
      <c r="B4072">
        <v>5</v>
      </c>
      <c r="C4072">
        <v>96</v>
      </c>
      <c r="D4072">
        <v>2</v>
      </c>
      <c r="E4072">
        <v>349.99</v>
      </c>
      <c r="F4072">
        <v>0.2</v>
      </c>
      <c r="G4072">
        <v>699.78</v>
      </c>
      <c r="H4072" t="s">
        <v>96</v>
      </c>
    </row>
    <row r="4073" spans="1:8" x14ac:dyDescent="0.35">
      <c r="A4073">
        <v>1488</v>
      </c>
      <c r="B4073">
        <v>1</v>
      </c>
      <c r="C4073">
        <v>42</v>
      </c>
      <c r="D4073">
        <v>1</v>
      </c>
      <c r="E4073">
        <v>2299.9899999999998</v>
      </c>
      <c r="F4073">
        <v>0.1</v>
      </c>
      <c r="G4073">
        <v>2299.92</v>
      </c>
      <c r="H4073" t="s">
        <v>43</v>
      </c>
    </row>
    <row r="4074" spans="1:8" x14ac:dyDescent="0.35">
      <c r="A4074">
        <v>1488</v>
      </c>
      <c r="B4074">
        <v>2</v>
      </c>
      <c r="C4074">
        <v>122</v>
      </c>
      <c r="D4074">
        <v>1</v>
      </c>
      <c r="E4074">
        <v>2499.9899999999998</v>
      </c>
      <c r="F4074">
        <v>0.1</v>
      </c>
      <c r="G4074">
        <v>2499.92</v>
      </c>
      <c r="H4074" t="s">
        <v>119</v>
      </c>
    </row>
    <row r="4075" spans="1:8" x14ac:dyDescent="0.35">
      <c r="A4075">
        <v>1489</v>
      </c>
      <c r="B4075">
        <v>1</v>
      </c>
      <c r="C4075">
        <v>198</v>
      </c>
      <c r="D4075">
        <v>1</v>
      </c>
      <c r="E4075">
        <v>2999.99</v>
      </c>
      <c r="F4075">
        <v>0.2</v>
      </c>
      <c r="G4075">
        <v>2999.79</v>
      </c>
      <c r="H4075" t="s">
        <v>195</v>
      </c>
    </row>
    <row r="4076" spans="1:8" x14ac:dyDescent="0.35">
      <c r="A4076">
        <v>1489</v>
      </c>
      <c r="B4076">
        <v>2</v>
      </c>
      <c r="C4076">
        <v>282</v>
      </c>
      <c r="D4076">
        <v>2</v>
      </c>
      <c r="E4076">
        <v>279.99</v>
      </c>
      <c r="F4076">
        <v>0.2</v>
      </c>
      <c r="G4076">
        <v>559.78</v>
      </c>
      <c r="H4076" t="s">
        <v>272</v>
      </c>
    </row>
    <row r="4077" spans="1:8" x14ac:dyDescent="0.35">
      <c r="A4077">
        <v>1489</v>
      </c>
      <c r="B4077">
        <v>3</v>
      </c>
      <c r="C4077">
        <v>52</v>
      </c>
      <c r="D4077">
        <v>1</v>
      </c>
      <c r="E4077">
        <v>875.99</v>
      </c>
      <c r="F4077">
        <v>0.1</v>
      </c>
      <c r="G4077">
        <v>875.89</v>
      </c>
      <c r="H4077" t="s">
        <v>53</v>
      </c>
    </row>
    <row r="4078" spans="1:8" x14ac:dyDescent="0.35">
      <c r="A4078">
        <v>1490</v>
      </c>
      <c r="B4078">
        <v>1</v>
      </c>
      <c r="C4078">
        <v>99</v>
      </c>
      <c r="D4078">
        <v>1</v>
      </c>
      <c r="E4078">
        <v>299.99</v>
      </c>
      <c r="F4078">
        <v>0.1</v>
      </c>
      <c r="G4078">
        <v>299.89</v>
      </c>
      <c r="H4078" t="s">
        <v>99</v>
      </c>
    </row>
    <row r="4079" spans="1:8" x14ac:dyDescent="0.35">
      <c r="A4079">
        <v>1490</v>
      </c>
      <c r="B4079">
        <v>2</v>
      </c>
      <c r="C4079">
        <v>254</v>
      </c>
      <c r="D4079">
        <v>1</v>
      </c>
      <c r="E4079">
        <v>749.99</v>
      </c>
      <c r="F4079">
        <v>0.1</v>
      </c>
      <c r="G4079">
        <v>749.89</v>
      </c>
      <c r="H4079" t="s">
        <v>245</v>
      </c>
    </row>
    <row r="4080" spans="1:8" x14ac:dyDescent="0.35">
      <c r="A4080">
        <v>1490</v>
      </c>
      <c r="B4080">
        <v>3</v>
      </c>
      <c r="C4080">
        <v>218</v>
      </c>
      <c r="D4080">
        <v>1</v>
      </c>
      <c r="E4080">
        <v>319.99</v>
      </c>
      <c r="F4080">
        <v>0.1</v>
      </c>
      <c r="G4080">
        <v>319.94</v>
      </c>
      <c r="H4080" t="s">
        <v>213</v>
      </c>
    </row>
    <row r="4081" spans="1:8" x14ac:dyDescent="0.35">
      <c r="A4081">
        <v>1491</v>
      </c>
      <c r="B4081">
        <v>1</v>
      </c>
      <c r="C4081">
        <v>95</v>
      </c>
      <c r="D4081">
        <v>2</v>
      </c>
      <c r="E4081">
        <v>299.99</v>
      </c>
      <c r="F4081">
        <v>0.2</v>
      </c>
      <c r="G4081">
        <v>599.78</v>
      </c>
      <c r="H4081" t="s">
        <v>77</v>
      </c>
    </row>
    <row r="4082" spans="1:8" x14ac:dyDescent="0.35">
      <c r="A4082">
        <v>1491</v>
      </c>
      <c r="B4082">
        <v>2</v>
      </c>
      <c r="C4082">
        <v>302</v>
      </c>
      <c r="D4082">
        <v>1</v>
      </c>
      <c r="E4082">
        <v>449.99</v>
      </c>
      <c r="F4082">
        <v>0.1</v>
      </c>
      <c r="G4082">
        <v>449.94</v>
      </c>
      <c r="H4082" t="s">
        <v>289</v>
      </c>
    </row>
    <row r="4083" spans="1:8" x14ac:dyDescent="0.35">
      <c r="A4083">
        <v>1491</v>
      </c>
      <c r="B4083">
        <v>3</v>
      </c>
      <c r="C4083">
        <v>60</v>
      </c>
      <c r="D4083">
        <v>2</v>
      </c>
      <c r="E4083">
        <v>1559.99</v>
      </c>
      <c r="F4083">
        <v>0.1</v>
      </c>
      <c r="G4083">
        <v>3119.91</v>
      </c>
      <c r="H4083" t="s">
        <v>61</v>
      </c>
    </row>
    <row r="4084" spans="1:8" x14ac:dyDescent="0.35">
      <c r="A4084">
        <v>1491</v>
      </c>
      <c r="B4084">
        <v>4</v>
      </c>
      <c r="C4084">
        <v>139</v>
      </c>
      <c r="D4084">
        <v>2</v>
      </c>
      <c r="E4084">
        <v>2999.99</v>
      </c>
      <c r="F4084">
        <v>0.1</v>
      </c>
      <c r="G4084">
        <v>5999.91</v>
      </c>
      <c r="H4084" t="s">
        <v>136</v>
      </c>
    </row>
    <row r="4085" spans="1:8" x14ac:dyDescent="0.35">
      <c r="A4085">
        <v>1494</v>
      </c>
      <c r="B4085">
        <v>1</v>
      </c>
      <c r="C4085">
        <v>230</v>
      </c>
      <c r="D4085">
        <v>2</v>
      </c>
      <c r="E4085">
        <v>429.99</v>
      </c>
      <c r="F4085">
        <v>0.1</v>
      </c>
      <c r="G4085">
        <v>859.88</v>
      </c>
      <c r="H4085" t="s">
        <v>225</v>
      </c>
    </row>
    <row r="4086" spans="1:8" x14ac:dyDescent="0.35">
      <c r="A4086">
        <v>1494</v>
      </c>
      <c r="B4086">
        <v>2</v>
      </c>
      <c r="C4086">
        <v>178</v>
      </c>
      <c r="D4086">
        <v>2</v>
      </c>
      <c r="E4086">
        <v>749.99</v>
      </c>
      <c r="F4086">
        <v>0.2</v>
      </c>
      <c r="G4086">
        <v>1499.78</v>
      </c>
      <c r="H4086" t="s">
        <v>175</v>
      </c>
    </row>
    <row r="4087" spans="1:8" x14ac:dyDescent="0.35">
      <c r="A4087">
        <v>1494</v>
      </c>
      <c r="B4087">
        <v>3</v>
      </c>
      <c r="C4087">
        <v>264</v>
      </c>
      <c r="D4087">
        <v>2</v>
      </c>
      <c r="E4087">
        <v>249.99</v>
      </c>
      <c r="F4087">
        <v>0.1</v>
      </c>
      <c r="G4087">
        <v>499.93</v>
      </c>
      <c r="H4087" t="s">
        <v>255</v>
      </c>
    </row>
    <row r="4088" spans="1:8" x14ac:dyDescent="0.35">
      <c r="A4088">
        <v>1495</v>
      </c>
      <c r="B4088">
        <v>1</v>
      </c>
      <c r="C4088">
        <v>292</v>
      </c>
      <c r="D4088">
        <v>2</v>
      </c>
      <c r="E4088">
        <v>369.99</v>
      </c>
      <c r="F4088">
        <v>0.1</v>
      </c>
      <c r="G4088">
        <v>739.93</v>
      </c>
      <c r="H4088" t="s">
        <v>282</v>
      </c>
    </row>
    <row r="4089" spans="1:8" x14ac:dyDescent="0.35">
      <c r="A4089">
        <v>1495</v>
      </c>
      <c r="B4089">
        <v>2</v>
      </c>
      <c r="C4089">
        <v>308</v>
      </c>
      <c r="D4089">
        <v>2</v>
      </c>
      <c r="E4089">
        <v>749.99</v>
      </c>
      <c r="F4089">
        <v>0.2</v>
      </c>
      <c r="G4089">
        <v>1499.78</v>
      </c>
      <c r="H4089" t="s">
        <v>234</v>
      </c>
    </row>
    <row r="4090" spans="1:8" x14ac:dyDescent="0.35">
      <c r="A4090">
        <v>1495</v>
      </c>
      <c r="B4090">
        <v>3</v>
      </c>
      <c r="C4090">
        <v>137</v>
      </c>
      <c r="D4090">
        <v>1</v>
      </c>
      <c r="E4090">
        <v>2599</v>
      </c>
      <c r="F4090">
        <v>0.1</v>
      </c>
      <c r="G4090">
        <v>2598.9</v>
      </c>
      <c r="H4090" t="s">
        <v>134</v>
      </c>
    </row>
    <row r="4091" spans="1:8" x14ac:dyDescent="0.35">
      <c r="A4091">
        <v>1496</v>
      </c>
      <c r="B4091">
        <v>1</v>
      </c>
      <c r="C4091">
        <v>248</v>
      </c>
      <c r="D4091">
        <v>1</v>
      </c>
      <c r="E4091">
        <v>599.99</v>
      </c>
      <c r="F4091">
        <v>0.1</v>
      </c>
      <c r="G4091">
        <v>599.91999999999996</v>
      </c>
      <c r="H4091" t="s">
        <v>243</v>
      </c>
    </row>
    <row r="4092" spans="1:8" x14ac:dyDescent="0.35">
      <c r="A4092">
        <v>1496</v>
      </c>
      <c r="B4092">
        <v>2</v>
      </c>
      <c r="C4092">
        <v>214</v>
      </c>
      <c r="D4092">
        <v>1</v>
      </c>
      <c r="E4092">
        <v>899.99</v>
      </c>
      <c r="F4092">
        <v>0.1</v>
      </c>
      <c r="G4092">
        <v>899.92</v>
      </c>
      <c r="H4092" t="s">
        <v>209</v>
      </c>
    </row>
    <row r="4093" spans="1:8" x14ac:dyDescent="0.35">
      <c r="A4093">
        <v>1496</v>
      </c>
      <c r="B4093">
        <v>3</v>
      </c>
      <c r="C4093">
        <v>224</v>
      </c>
      <c r="D4093">
        <v>2</v>
      </c>
      <c r="E4093">
        <v>479.99</v>
      </c>
      <c r="F4093">
        <v>0.1</v>
      </c>
      <c r="G4093">
        <v>959.93</v>
      </c>
      <c r="H4093" t="s">
        <v>219</v>
      </c>
    </row>
    <row r="4094" spans="1:8" x14ac:dyDescent="0.35">
      <c r="A4094">
        <v>1496</v>
      </c>
      <c r="B4094">
        <v>4</v>
      </c>
      <c r="C4094">
        <v>302</v>
      </c>
      <c r="D4094">
        <v>1</v>
      </c>
      <c r="E4094">
        <v>449.99</v>
      </c>
      <c r="F4094">
        <v>0.1</v>
      </c>
      <c r="G4094">
        <v>449.94</v>
      </c>
      <c r="H4094" t="s">
        <v>289</v>
      </c>
    </row>
    <row r="4095" spans="1:8" x14ac:dyDescent="0.35">
      <c r="A4095">
        <v>1496</v>
      </c>
      <c r="B4095">
        <v>5</v>
      </c>
      <c r="C4095">
        <v>225</v>
      </c>
      <c r="D4095">
        <v>2</v>
      </c>
      <c r="E4095">
        <v>959.99</v>
      </c>
      <c r="F4095">
        <v>0.2</v>
      </c>
      <c r="G4095">
        <v>1919.78</v>
      </c>
      <c r="H4095" t="s">
        <v>220</v>
      </c>
    </row>
    <row r="4096" spans="1:8" x14ac:dyDescent="0.35">
      <c r="A4096">
        <v>1497</v>
      </c>
      <c r="B4096">
        <v>1</v>
      </c>
      <c r="C4096">
        <v>141</v>
      </c>
      <c r="D4096">
        <v>2</v>
      </c>
      <c r="E4096">
        <v>1599.99</v>
      </c>
      <c r="F4096">
        <v>0.2</v>
      </c>
      <c r="G4096">
        <v>3199.78</v>
      </c>
      <c r="H4096" t="s">
        <v>138</v>
      </c>
    </row>
    <row r="4097" spans="1:8" x14ac:dyDescent="0.35">
      <c r="A4097">
        <v>1497</v>
      </c>
      <c r="B4097">
        <v>2</v>
      </c>
      <c r="C4097">
        <v>198</v>
      </c>
      <c r="D4097">
        <v>2</v>
      </c>
      <c r="E4097">
        <v>2999.99</v>
      </c>
      <c r="F4097">
        <v>0.1</v>
      </c>
      <c r="G4097">
        <v>5999.88</v>
      </c>
      <c r="H4097" t="s">
        <v>195</v>
      </c>
    </row>
    <row r="4098" spans="1:8" x14ac:dyDescent="0.35">
      <c r="A4098">
        <v>1497</v>
      </c>
      <c r="B4098">
        <v>3</v>
      </c>
      <c r="C4098">
        <v>204</v>
      </c>
      <c r="D4098">
        <v>2</v>
      </c>
      <c r="E4098">
        <v>3599.99</v>
      </c>
      <c r="F4098">
        <v>0.1</v>
      </c>
      <c r="G4098">
        <v>7199.91</v>
      </c>
      <c r="H4098" t="s">
        <v>201</v>
      </c>
    </row>
    <row r="4099" spans="1:8" x14ac:dyDescent="0.35">
      <c r="A4099">
        <v>1498</v>
      </c>
      <c r="B4099">
        <v>1</v>
      </c>
      <c r="C4099">
        <v>172</v>
      </c>
      <c r="D4099">
        <v>1</v>
      </c>
      <c r="E4099">
        <v>3199.99</v>
      </c>
      <c r="F4099">
        <v>0.1</v>
      </c>
      <c r="G4099">
        <v>3199.94</v>
      </c>
      <c r="H4099" t="s">
        <v>169</v>
      </c>
    </row>
    <row r="4100" spans="1:8" x14ac:dyDescent="0.35">
      <c r="A4100">
        <v>1498</v>
      </c>
      <c r="B4100">
        <v>2</v>
      </c>
      <c r="C4100">
        <v>260</v>
      </c>
      <c r="D4100">
        <v>2</v>
      </c>
      <c r="E4100">
        <v>799.99</v>
      </c>
      <c r="F4100">
        <v>0.1</v>
      </c>
      <c r="G4100">
        <v>1599.91</v>
      </c>
      <c r="H4100" t="s">
        <v>251</v>
      </c>
    </row>
    <row r="4101" spans="1:8" x14ac:dyDescent="0.35">
      <c r="A4101">
        <v>1499</v>
      </c>
      <c r="B4101">
        <v>1</v>
      </c>
      <c r="C4101">
        <v>110</v>
      </c>
      <c r="D4101">
        <v>1</v>
      </c>
      <c r="E4101">
        <v>470.99</v>
      </c>
      <c r="F4101">
        <v>0.1</v>
      </c>
      <c r="G4101">
        <v>470.94</v>
      </c>
      <c r="H4101" t="s">
        <v>107</v>
      </c>
    </row>
    <row r="4102" spans="1:8" x14ac:dyDescent="0.35">
      <c r="A4102">
        <v>1499</v>
      </c>
      <c r="B4102">
        <v>2</v>
      </c>
      <c r="C4102">
        <v>208</v>
      </c>
      <c r="D4102">
        <v>1</v>
      </c>
      <c r="E4102">
        <v>1799.99</v>
      </c>
      <c r="F4102">
        <v>0.1</v>
      </c>
      <c r="G4102">
        <v>1799.92</v>
      </c>
      <c r="H4102" t="s">
        <v>205</v>
      </c>
    </row>
    <row r="4103" spans="1:8" x14ac:dyDescent="0.35">
      <c r="A4103">
        <v>1499</v>
      </c>
      <c r="B4103">
        <v>3</v>
      </c>
      <c r="C4103">
        <v>268</v>
      </c>
      <c r="D4103">
        <v>2</v>
      </c>
      <c r="E4103">
        <v>159.99</v>
      </c>
      <c r="F4103">
        <v>0.1</v>
      </c>
      <c r="G4103">
        <v>319.93</v>
      </c>
      <c r="H4103" t="s">
        <v>259</v>
      </c>
    </row>
    <row r="4104" spans="1:8" x14ac:dyDescent="0.35">
      <c r="A4104">
        <v>1499</v>
      </c>
      <c r="B4104">
        <v>4</v>
      </c>
      <c r="C4104">
        <v>2</v>
      </c>
      <c r="D4104">
        <v>1</v>
      </c>
      <c r="E4104">
        <v>749.99</v>
      </c>
      <c r="F4104">
        <v>0.1</v>
      </c>
      <c r="G4104">
        <v>749.94</v>
      </c>
      <c r="H4104" t="s">
        <v>7</v>
      </c>
    </row>
    <row r="4105" spans="1:8" x14ac:dyDescent="0.35">
      <c r="A4105">
        <v>1499</v>
      </c>
      <c r="B4105">
        <v>5</v>
      </c>
      <c r="C4105">
        <v>171</v>
      </c>
      <c r="D4105">
        <v>2</v>
      </c>
      <c r="E4105">
        <v>3199.99</v>
      </c>
      <c r="F4105">
        <v>0.1</v>
      </c>
      <c r="G4105">
        <v>6399.88</v>
      </c>
      <c r="H4105" t="s">
        <v>168</v>
      </c>
    </row>
    <row r="4106" spans="1:8" x14ac:dyDescent="0.35">
      <c r="A4106">
        <v>1500</v>
      </c>
      <c r="B4106">
        <v>1</v>
      </c>
      <c r="C4106">
        <v>41</v>
      </c>
      <c r="D4106">
        <v>2</v>
      </c>
      <c r="E4106">
        <v>1469.99</v>
      </c>
      <c r="F4106">
        <v>0.1</v>
      </c>
      <c r="G4106">
        <v>2939.91</v>
      </c>
      <c r="H4106" t="s">
        <v>42</v>
      </c>
    </row>
    <row r="4107" spans="1:8" x14ac:dyDescent="0.35">
      <c r="A4107">
        <v>1500</v>
      </c>
      <c r="B4107">
        <v>2</v>
      </c>
      <c r="C4107">
        <v>293</v>
      </c>
      <c r="D4107">
        <v>1</v>
      </c>
      <c r="E4107">
        <v>319.99</v>
      </c>
      <c r="F4107">
        <v>0.1</v>
      </c>
      <c r="G4107">
        <v>319.92</v>
      </c>
      <c r="H4107" t="s">
        <v>283</v>
      </c>
    </row>
    <row r="4108" spans="1:8" x14ac:dyDescent="0.35">
      <c r="A4108">
        <v>1501</v>
      </c>
      <c r="B4108">
        <v>1</v>
      </c>
      <c r="C4108">
        <v>248</v>
      </c>
      <c r="D4108">
        <v>1</v>
      </c>
      <c r="E4108">
        <v>599.99</v>
      </c>
      <c r="F4108">
        <v>0.1</v>
      </c>
      <c r="G4108">
        <v>599.94000000000005</v>
      </c>
      <c r="H4108" t="s">
        <v>243</v>
      </c>
    </row>
    <row r="4109" spans="1:8" x14ac:dyDescent="0.35">
      <c r="A4109">
        <v>1501</v>
      </c>
      <c r="B4109">
        <v>2</v>
      </c>
      <c r="C4109">
        <v>219</v>
      </c>
      <c r="D4109">
        <v>1</v>
      </c>
      <c r="E4109">
        <v>639.99</v>
      </c>
      <c r="F4109">
        <v>0.1</v>
      </c>
      <c r="G4109">
        <v>639.91999999999996</v>
      </c>
      <c r="H4109" t="s">
        <v>214</v>
      </c>
    </row>
    <row r="4110" spans="1:8" x14ac:dyDescent="0.35">
      <c r="A4110">
        <v>1501</v>
      </c>
      <c r="B4110">
        <v>3</v>
      </c>
      <c r="C4110">
        <v>15</v>
      </c>
      <c r="D4110">
        <v>1</v>
      </c>
      <c r="E4110">
        <v>529.99</v>
      </c>
      <c r="F4110">
        <v>0.1</v>
      </c>
      <c r="G4110">
        <v>529.94000000000005</v>
      </c>
      <c r="H4110" t="s">
        <v>20</v>
      </c>
    </row>
    <row r="4111" spans="1:8" x14ac:dyDescent="0.35">
      <c r="A4111">
        <v>1501</v>
      </c>
      <c r="B4111">
        <v>4</v>
      </c>
      <c r="C4111">
        <v>67</v>
      </c>
      <c r="D4111">
        <v>1</v>
      </c>
      <c r="E4111">
        <v>250.99</v>
      </c>
      <c r="F4111">
        <v>0.2</v>
      </c>
      <c r="G4111">
        <v>250.79</v>
      </c>
      <c r="H4111" t="s">
        <v>68</v>
      </c>
    </row>
    <row r="4112" spans="1:8" x14ac:dyDescent="0.35">
      <c r="A4112">
        <v>1501</v>
      </c>
      <c r="B4112">
        <v>5</v>
      </c>
      <c r="C4112">
        <v>210</v>
      </c>
      <c r="D4112">
        <v>1</v>
      </c>
      <c r="E4112">
        <v>1549</v>
      </c>
      <c r="F4112">
        <v>0.1</v>
      </c>
      <c r="G4112">
        <v>1548.95</v>
      </c>
      <c r="H4112" t="s">
        <v>165</v>
      </c>
    </row>
    <row r="4113" spans="1:8" x14ac:dyDescent="0.35">
      <c r="A4113">
        <v>1502</v>
      </c>
      <c r="B4113">
        <v>1</v>
      </c>
      <c r="C4113">
        <v>231</v>
      </c>
      <c r="D4113">
        <v>2</v>
      </c>
      <c r="E4113">
        <v>529.99</v>
      </c>
      <c r="F4113">
        <v>0.2</v>
      </c>
      <c r="G4113">
        <v>1059.78</v>
      </c>
      <c r="H4113" t="s">
        <v>226</v>
      </c>
    </row>
    <row r="4114" spans="1:8" x14ac:dyDescent="0.35">
      <c r="A4114">
        <v>1502</v>
      </c>
      <c r="B4114">
        <v>2</v>
      </c>
      <c r="C4114">
        <v>19</v>
      </c>
      <c r="D4114">
        <v>2</v>
      </c>
      <c r="E4114">
        <v>449</v>
      </c>
      <c r="F4114">
        <v>0.1</v>
      </c>
      <c r="G4114">
        <v>897.93</v>
      </c>
      <c r="H4114" t="s">
        <v>24</v>
      </c>
    </row>
    <row r="4115" spans="1:8" x14ac:dyDescent="0.35">
      <c r="A4115">
        <v>1502</v>
      </c>
      <c r="B4115">
        <v>3</v>
      </c>
      <c r="C4115">
        <v>26</v>
      </c>
      <c r="D4115">
        <v>2</v>
      </c>
      <c r="E4115">
        <v>599.99</v>
      </c>
      <c r="F4115">
        <v>0.1</v>
      </c>
      <c r="G4115">
        <v>1199.9100000000001</v>
      </c>
      <c r="H4115" t="s">
        <v>21</v>
      </c>
    </row>
    <row r="4116" spans="1:8" x14ac:dyDescent="0.35">
      <c r="A4116">
        <v>1502</v>
      </c>
      <c r="B4116">
        <v>4</v>
      </c>
      <c r="C4116">
        <v>268</v>
      </c>
      <c r="D4116">
        <v>1</v>
      </c>
      <c r="E4116">
        <v>159.99</v>
      </c>
      <c r="F4116">
        <v>0.2</v>
      </c>
      <c r="G4116">
        <v>159.79</v>
      </c>
      <c r="H4116" t="s">
        <v>259</v>
      </c>
    </row>
    <row r="4117" spans="1:8" x14ac:dyDescent="0.35">
      <c r="A4117">
        <v>1502</v>
      </c>
      <c r="B4117">
        <v>5</v>
      </c>
      <c r="C4117">
        <v>255</v>
      </c>
      <c r="D4117">
        <v>1</v>
      </c>
      <c r="E4117">
        <v>899.99</v>
      </c>
      <c r="F4117">
        <v>0.1</v>
      </c>
      <c r="G4117">
        <v>899.92</v>
      </c>
      <c r="H4117" t="s">
        <v>246</v>
      </c>
    </row>
    <row r="4118" spans="1:8" x14ac:dyDescent="0.35">
      <c r="A4118">
        <v>1503</v>
      </c>
      <c r="B4118">
        <v>1</v>
      </c>
      <c r="C4118">
        <v>217</v>
      </c>
      <c r="D4118">
        <v>1</v>
      </c>
      <c r="E4118">
        <v>909.99</v>
      </c>
      <c r="F4118">
        <v>0.1</v>
      </c>
      <c r="G4118">
        <v>909.89</v>
      </c>
      <c r="H4118" t="s">
        <v>212</v>
      </c>
    </row>
    <row r="4119" spans="1:8" x14ac:dyDescent="0.35">
      <c r="A4119">
        <v>1503</v>
      </c>
      <c r="B4119">
        <v>2</v>
      </c>
      <c r="C4119">
        <v>302</v>
      </c>
      <c r="D4119">
        <v>2</v>
      </c>
      <c r="E4119">
        <v>449.99</v>
      </c>
      <c r="F4119">
        <v>0.1</v>
      </c>
      <c r="G4119">
        <v>899.93</v>
      </c>
      <c r="H4119" t="s">
        <v>289</v>
      </c>
    </row>
    <row r="4120" spans="1:8" x14ac:dyDescent="0.35">
      <c r="A4120">
        <v>1505</v>
      </c>
      <c r="B4120">
        <v>1</v>
      </c>
      <c r="C4120">
        <v>223</v>
      </c>
      <c r="D4120">
        <v>2</v>
      </c>
      <c r="E4120">
        <v>529.99</v>
      </c>
      <c r="F4120">
        <v>0.1</v>
      </c>
      <c r="G4120">
        <v>1059.93</v>
      </c>
      <c r="H4120" t="s">
        <v>218</v>
      </c>
    </row>
    <row r="4121" spans="1:8" x14ac:dyDescent="0.35">
      <c r="A4121">
        <v>1505</v>
      </c>
      <c r="B4121">
        <v>2</v>
      </c>
      <c r="C4121">
        <v>24</v>
      </c>
      <c r="D4121">
        <v>2</v>
      </c>
      <c r="E4121">
        <v>549.99</v>
      </c>
      <c r="F4121">
        <v>0.1</v>
      </c>
      <c r="G4121">
        <v>1099.9100000000001</v>
      </c>
      <c r="H4121" t="s">
        <v>17</v>
      </c>
    </row>
    <row r="4122" spans="1:8" x14ac:dyDescent="0.35">
      <c r="A4122">
        <v>1505</v>
      </c>
      <c r="B4122">
        <v>3</v>
      </c>
      <c r="C4122">
        <v>43</v>
      </c>
      <c r="D4122">
        <v>2</v>
      </c>
      <c r="E4122">
        <v>5299.99</v>
      </c>
      <c r="F4122">
        <v>0.1</v>
      </c>
      <c r="G4122">
        <v>10599.93</v>
      </c>
      <c r="H4122" t="s">
        <v>44</v>
      </c>
    </row>
    <row r="4123" spans="1:8" x14ac:dyDescent="0.35">
      <c r="A4123">
        <v>1506</v>
      </c>
      <c r="B4123">
        <v>1</v>
      </c>
      <c r="C4123">
        <v>184</v>
      </c>
      <c r="D4123">
        <v>1</v>
      </c>
      <c r="E4123">
        <v>3499.99</v>
      </c>
      <c r="F4123">
        <v>0.1</v>
      </c>
      <c r="G4123">
        <v>3499.94</v>
      </c>
      <c r="H4123" t="s">
        <v>181</v>
      </c>
    </row>
    <row r="4124" spans="1:8" x14ac:dyDescent="0.35">
      <c r="A4124">
        <v>1506</v>
      </c>
      <c r="B4124">
        <v>2</v>
      </c>
      <c r="C4124">
        <v>153</v>
      </c>
      <c r="D4124">
        <v>2</v>
      </c>
      <c r="E4124">
        <v>4999.99</v>
      </c>
      <c r="F4124">
        <v>0.2</v>
      </c>
      <c r="G4124">
        <v>9999.7800000000007</v>
      </c>
      <c r="H4124" t="s">
        <v>150</v>
      </c>
    </row>
    <row r="4125" spans="1:8" x14ac:dyDescent="0.35">
      <c r="A4125">
        <v>1506</v>
      </c>
      <c r="B4125">
        <v>3</v>
      </c>
      <c r="C4125">
        <v>149</v>
      </c>
      <c r="D4125">
        <v>2</v>
      </c>
      <c r="E4125">
        <v>7499.99</v>
      </c>
      <c r="F4125">
        <v>0.1</v>
      </c>
      <c r="G4125">
        <v>14999.93</v>
      </c>
      <c r="H4125" t="s">
        <v>146</v>
      </c>
    </row>
    <row r="4126" spans="1:8" x14ac:dyDescent="0.35">
      <c r="A4126">
        <v>1507</v>
      </c>
      <c r="B4126">
        <v>1</v>
      </c>
      <c r="C4126">
        <v>39</v>
      </c>
      <c r="D4126">
        <v>2</v>
      </c>
      <c r="E4126">
        <v>1499.99</v>
      </c>
      <c r="F4126">
        <v>0.2</v>
      </c>
      <c r="G4126">
        <v>2999.78</v>
      </c>
      <c r="H4126" t="s">
        <v>40</v>
      </c>
    </row>
    <row r="4127" spans="1:8" x14ac:dyDescent="0.35">
      <c r="A4127">
        <v>1507</v>
      </c>
      <c r="B4127">
        <v>2</v>
      </c>
      <c r="C4127">
        <v>11</v>
      </c>
      <c r="D4127">
        <v>2</v>
      </c>
      <c r="E4127">
        <v>1680.99</v>
      </c>
      <c r="F4127">
        <v>0.1</v>
      </c>
      <c r="G4127">
        <v>3361.88</v>
      </c>
      <c r="H4127" t="s">
        <v>16</v>
      </c>
    </row>
    <row r="4128" spans="1:8" x14ac:dyDescent="0.35">
      <c r="A4128">
        <v>1507</v>
      </c>
      <c r="B4128">
        <v>3</v>
      </c>
      <c r="C4128">
        <v>259</v>
      </c>
      <c r="D4128">
        <v>1</v>
      </c>
      <c r="E4128">
        <v>1199.99</v>
      </c>
      <c r="F4128">
        <v>0.1</v>
      </c>
      <c r="G4128">
        <v>1199.92</v>
      </c>
      <c r="H4128" t="s">
        <v>250</v>
      </c>
    </row>
    <row r="4129" spans="1:8" x14ac:dyDescent="0.35">
      <c r="A4129">
        <v>1507</v>
      </c>
      <c r="B4129">
        <v>4</v>
      </c>
      <c r="C4129">
        <v>281</v>
      </c>
      <c r="D4129">
        <v>1</v>
      </c>
      <c r="E4129">
        <v>319.99</v>
      </c>
      <c r="F4129">
        <v>0.1</v>
      </c>
      <c r="G4129">
        <v>319.92</v>
      </c>
      <c r="H4129" t="s">
        <v>222</v>
      </c>
    </row>
    <row r="4130" spans="1:8" x14ac:dyDescent="0.35">
      <c r="A4130">
        <v>1507</v>
      </c>
      <c r="B4130">
        <v>5</v>
      </c>
      <c r="C4130">
        <v>293</v>
      </c>
      <c r="D4130">
        <v>2</v>
      </c>
      <c r="E4130">
        <v>319.99</v>
      </c>
      <c r="F4130">
        <v>0.1</v>
      </c>
      <c r="G4130">
        <v>639.92999999999995</v>
      </c>
      <c r="H4130" t="s">
        <v>283</v>
      </c>
    </row>
    <row r="4131" spans="1:8" x14ac:dyDescent="0.35">
      <c r="A4131">
        <v>1508</v>
      </c>
      <c r="B4131">
        <v>1</v>
      </c>
      <c r="C4131">
        <v>37</v>
      </c>
      <c r="D4131">
        <v>1</v>
      </c>
      <c r="E4131">
        <v>379.99</v>
      </c>
      <c r="F4131">
        <v>0.2</v>
      </c>
      <c r="G4131">
        <v>379.79</v>
      </c>
      <c r="H4131" t="s">
        <v>38</v>
      </c>
    </row>
    <row r="4132" spans="1:8" x14ac:dyDescent="0.35">
      <c r="A4132">
        <v>1508</v>
      </c>
      <c r="B4132">
        <v>2</v>
      </c>
      <c r="C4132">
        <v>109</v>
      </c>
      <c r="D4132">
        <v>1</v>
      </c>
      <c r="E4132">
        <v>416.99</v>
      </c>
      <c r="F4132">
        <v>0.1</v>
      </c>
      <c r="G4132">
        <v>416.89</v>
      </c>
      <c r="H4132" t="s">
        <v>106</v>
      </c>
    </row>
    <row r="4133" spans="1:8" x14ac:dyDescent="0.35">
      <c r="A4133">
        <v>1508</v>
      </c>
      <c r="B4133">
        <v>3</v>
      </c>
      <c r="C4133">
        <v>52</v>
      </c>
      <c r="D4133">
        <v>2</v>
      </c>
      <c r="E4133">
        <v>875.99</v>
      </c>
      <c r="F4133">
        <v>0.1</v>
      </c>
      <c r="G4133">
        <v>1751.93</v>
      </c>
      <c r="H4133" t="s">
        <v>53</v>
      </c>
    </row>
    <row r="4134" spans="1:8" x14ac:dyDescent="0.35">
      <c r="A4134">
        <v>1508</v>
      </c>
      <c r="B4134">
        <v>4</v>
      </c>
      <c r="C4134">
        <v>88</v>
      </c>
      <c r="D4134">
        <v>1</v>
      </c>
      <c r="E4134">
        <v>189.99</v>
      </c>
      <c r="F4134">
        <v>0.1</v>
      </c>
      <c r="G4134">
        <v>189.94</v>
      </c>
      <c r="H4134" t="s">
        <v>89</v>
      </c>
    </row>
    <row r="4135" spans="1:8" x14ac:dyDescent="0.35">
      <c r="A4135">
        <v>1510</v>
      </c>
      <c r="B4135">
        <v>1</v>
      </c>
      <c r="C4135">
        <v>142</v>
      </c>
      <c r="D4135">
        <v>2</v>
      </c>
      <c r="E4135">
        <v>3199.99</v>
      </c>
      <c r="F4135">
        <v>0.1</v>
      </c>
      <c r="G4135">
        <v>6399.93</v>
      </c>
      <c r="H4135" t="s">
        <v>139</v>
      </c>
    </row>
    <row r="4136" spans="1:8" x14ac:dyDescent="0.35">
      <c r="A4136">
        <v>1510</v>
      </c>
      <c r="B4136">
        <v>2</v>
      </c>
      <c r="C4136">
        <v>68</v>
      </c>
      <c r="D4136">
        <v>1</v>
      </c>
      <c r="E4136">
        <v>449.99</v>
      </c>
      <c r="F4136">
        <v>0.1</v>
      </c>
      <c r="G4136">
        <v>449.89</v>
      </c>
      <c r="H4136" t="s">
        <v>69</v>
      </c>
    </row>
    <row r="4137" spans="1:8" x14ac:dyDescent="0.35">
      <c r="A4137">
        <v>1510</v>
      </c>
      <c r="B4137">
        <v>3</v>
      </c>
      <c r="C4137">
        <v>251</v>
      </c>
      <c r="D4137">
        <v>2</v>
      </c>
      <c r="E4137">
        <v>2999.99</v>
      </c>
      <c r="F4137">
        <v>0.1</v>
      </c>
      <c r="G4137">
        <v>5999.88</v>
      </c>
      <c r="H4137" t="s">
        <v>195</v>
      </c>
    </row>
    <row r="4138" spans="1:8" x14ac:dyDescent="0.35">
      <c r="A4138">
        <v>1510</v>
      </c>
      <c r="B4138">
        <v>4</v>
      </c>
      <c r="C4138">
        <v>220</v>
      </c>
      <c r="D4138">
        <v>2</v>
      </c>
      <c r="E4138">
        <v>269.99</v>
      </c>
      <c r="F4138">
        <v>0.1</v>
      </c>
      <c r="G4138">
        <v>539.88</v>
      </c>
      <c r="H4138" t="s">
        <v>215</v>
      </c>
    </row>
    <row r="4139" spans="1:8" x14ac:dyDescent="0.35">
      <c r="A4139">
        <v>1510</v>
      </c>
      <c r="B4139">
        <v>5</v>
      </c>
      <c r="C4139">
        <v>137</v>
      </c>
      <c r="D4139">
        <v>1</v>
      </c>
      <c r="E4139">
        <v>2599</v>
      </c>
      <c r="F4139">
        <v>0.1</v>
      </c>
      <c r="G4139">
        <v>2598.9499999999998</v>
      </c>
      <c r="H4139" t="s">
        <v>134</v>
      </c>
    </row>
    <row r="4140" spans="1:8" x14ac:dyDescent="0.35">
      <c r="A4140">
        <v>1511</v>
      </c>
      <c r="B4140">
        <v>1</v>
      </c>
      <c r="C4140">
        <v>144</v>
      </c>
      <c r="D4140">
        <v>2</v>
      </c>
      <c r="E4140">
        <v>1549.99</v>
      </c>
      <c r="F4140">
        <v>0.2</v>
      </c>
      <c r="G4140">
        <v>3099.78</v>
      </c>
      <c r="H4140" t="s">
        <v>141</v>
      </c>
    </row>
    <row r="4141" spans="1:8" x14ac:dyDescent="0.35">
      <c r="A4141">
        <v>1511</v>
      </c>
      <c r="B4141">
        <v>2</v>
      </c>
      <c r="C4141">
        <v>288</v>
      </c>
      <c r="D4141">
        <v>1</v>
      </c>
      <c r="E4141">
        <v>389.99</v>
      </c>
      <c r="F4141">
        <v>0.1</v>
      </c>
      <c r="G4141">
        <v>389.92</v>
      </c>
      <c r="H4141" t="s">
        <v>278</v>
      </c>
    </row>
    <row r="4142" spans="1:8" x14ac:dyDescent="0.35">
      <c r="A4142">
        <v>1511</v>
      </c>
      <c r="B4142">
        <v>3</v>
      </c>
      <c r="C4142">
        <v>17</v>
      </c>
      <c r="D4142">
        <v>2</v>
      </c>
      <c r="E4142">
        <v>429</v>
      </c>
      <c r="F4142">
        <v>0.1</v>
      </c>
      <c r="G4142">
        <v>857.93</v>
      </c>
      <c r="H4142" t="s">
        <v>22</v>
      </c>
    </row>
    <row r="4143" spans="1:8" x14ac:dyDescent="0.35">
      <c r="A4143">
        <v>1511</v>
      </c>
      <c r="B4143">
        <v>4</v>
      </c>
      <c r="C4143">
        <v>41</v>
      </c>
      <c r="D4143">
        <v>1</v>
      </c>
      <c r="E4143">
        <v>1469.99</v>
      </c>
      <c r="F4143">
        <v>0.1</v>
      </c>
      <c r="G4143">
        <v>1469.94</v>
      </c>
      <c r="H4143" t="s">
        <v>42</v>
      </c>
    </row>
    <row r="4144" spans="1:8" x14ac:dyDescent="0.35">
      <c r="A4144">
        <v>1511</v>
      </c>
      <c r="B4144">
        <v>5</v>
      </c>
      <c r="C4144">
        <v>124</v>
      </c>
      <c r="D4144">
        <v>2</v>
      </c>
      <c r="E4144">
        <v>1499</v>
      </c>
      <c r="F4144">
        <v>0.2</v>
      </c>
      <c r="G4144">
        <v>2997.8</v>
      </c>
      <c r="H4144" t="s">
        <v>121</v>
      </c>
    </row>
    <row r="4145" spans="1:8" x14ac:dyDescent="0.35">
      <c r="A4145">
        <v>1513</v>
      </c>
      <c r="B4145">
        <v>1</v>
      </c>
      <c r="C4145">
        <v>166</v>
      </c>
      <c r="D4145">
        <v>1</v>
      </c>
      <c r="E4145">
        <v>749.99</v>
      </c>
      <c r="F4145">
        <v>0.1</v>
      </c>
      <c r="G4145">
        <v>749.89</v>
      </c>
      <c r="H4145" t="s">
        <v>163</v>
      </c>
    </row>
    <row r="4146" spans="1:8" x14ac:dyDescent="0.35">
      <c r="A4146">
        <v>1513</v>
      </c>
      <c r="B4146">
        <v>2</v>
      </c>
      <c r="C4146">
        <v>61</v>
      </c>
      <c r="D4146">
        <v>2</v>
      </c>
      <c r="E4146">
        <v>4999.99</v>
      </c>
      <c r="F4146">
        <v>0.1</v>
      </c>
      <c r="G4146">
        <v>9999.93</v>
      </c>
      <c r="H4146" t="s">
        <v>62</v>
      </c>
    </row>
    <row r="4147" spans="1:8" x14ac:dyDescent="0.35">
      <c r="A4147">
        <v>1513</v>
      </c>
      <c r="B4147">
        <v>3</v>
      </c>
      <c r="C4147">
        <v>159</v>
      </c>
      <c r="D4147">
        <v>2</v>
      </c>
      <c r="E4147">
        <v>2299.9899999999998</v>
      </c>
      <c r="F4147">
        <v>0.1</v>
      </c>
      <c r="G4147">
        <v>4599.93</v>
      </c>
      <c r="H4147" t="s">
        <v>156</v>
      </c>
    </row>
    <row r="4148" spans="1:8" x14ac:dyDescent="0.35">
      <c r="A4148">
        <v>1514</v>
      </c>
      <c r="B4148">
        <v>1</v>
      </c>
      <c r="C4148">
        <v>240</v>
      </c>
      <c r="D4148">
        <v>2</v>
      </c>
      <c r="E4148">
        <v>899.99</v>
      </c>
      <c r="F4148">
        <v>0.1</v>
      </c>
      <c r="G4148">
        <v>1799.88</v>
      </c>
      <c r="H4148" t="s">
        <v>235</v>
      </c>
    </row>
    <row r="4149" spans="1:8" x14ac:dyDescent="0.35">
      <c r="A4149">
        <v>1514</v>
      </c>
      <c r="B4149">
        <v>2</v>
      </c>
      <c r="C4149">
        <v>203</v>
      </c>
      <c r="D4149">
        <v>2</v>
      </c>
      <c r="E4149">
        <v>4999.99</v>
      </c>
      <c r="F4149">
        <v>0.1</v>
      </c>
      <c r="G4149">
        <v>9999.93</v>
      </c>
      <c r="H4149" t="s">
        <v>200</v>
      </c>
    </row>
    <row r="4150" spans="1:8" x14ac:dyDescent="0.35">
      <c r="A4150">
        <v>1515</v>
      </c>
      <c r="B4150">
        <v>1</v>
      </c>
      <c r="C4150">
        <v>27</v>
      </c>
      <c r="D4150">
        <v>2</v>
      </c>
      <c r="E4150">
        <v>999.99</v>
      </c>
      <c r="F4150">
        <v>0.2</v>
      </c>
      <c r="G4150">
        <v>1999.78</v>
      </c>
      <c r="H4150" t="s">
        <v>28</v>
      </c>
    </row>
    <row r="4151" spans="1:8" x14ac:dyDescent="0.35">
      <c r="A4151">
        <v>1515</v>
      </c>
      <c r="B4151">
        <v>2</v>
      </c>
      <c r="C4151">
        <v>202</v>
      </c>
      <c r="D4151">
        <v>2</v>
      </c>
      <c r="E4151">
        <v>3499.99</v>
      </c>
      <c r="F4151">
        <v>0.1</v>
      </c>
      <c r="G4151">
        <v>6999.88</v>
      </c>
      <c r="H4151" t="s">
        <v>199</v>
      </c>
    </row>
    <row r="4152" spans="1:8" x14ac:dyDescent="0.35">
      <c r="A4152">
        <v>1515</v>
      </c>
      <c r="B4152">
        <v>3</v>
      </c>
      <c r="C4152">
        <v>310</v>
      </c>
      <c r="D4152">
        <v>2</v>
      </c>
      <c r="E4152">
        <v>899.99</v>
      </c>
      <c r="F4152">
        <v>0.1</v>
      </c>
      <c r="G4152">
        <v>1799.93</v>
      </c>
      <c r="H4152" t="s">
        <v>235</v>
      </c>
    </row>
    <row r="4153" spans="1:8" x14ac:dyDescent="0.35">
      <c r="A4153">
        <v>1515</v>
      </c>
      <c r="B4153">
        <v>4</v>
      </c>
      <c r="C4153">
        <v>40</v>
      </c>
      <c r="D4153">
        <v>1</v>
      </c>
      <c r="E4153">
        <v>4999.99</v>
      </c>
      <c r="F4153">
        <v>0.1</v>
      </c>
      <c r="G4153">
        <v>4999.8900000000003</v>
      </c>
      <c r="H4153" t="s">
        <v>41</v>
      </c>
    </row>
    <row r="4154" spans="1:8" x14ac:dyDescent="0.35">
      <c r="A4154">
        <v>1515</v>
      </c>
      <c r="B4154">
        <v>5</v>
      </c>
      <c r="C4154">
        <v>158</v>
      </c>
      <c r="D4154">
        <v>2</v>
      </c>
      <c r="E4154">
        <v>959.99</v>
      </c>
      <c r="F4154">
        <v>0.2</v>
      </c>
      <c r="G4154">
        <v>1919.78</v>
      </c>
      <c r="H4154" t="s">
        <v>155</v>
      </c>
    </row>
    <row r="4155" spans="1:8" x14ac:dyDescent="0.35">
      <c r="A4155">
        <v>1516</v>
      </c>
      <c r="B4155">
        <v>1</v>
      </c>
      <c r="C4155">
        <v>172</v>
      </c>
      <c r="D4155">
        <v>2</v>
      </c>
      <c r="E4155">
        <v>3199.99</v>
      </c>
      <c r="F4155">
        <v>0.1</v>
      </c>
      <c r="G4155">
        <v>6399.88</v>
      </c>
      <c r="H4155" t="s">
        <v>169</v>
      </c>
    </row>
    <row r="4156" spans="1:8" x14ac:dyDescent="0.35">
      <c r="A4156">
        <v>1516</v>
      </c>
      <c r="B4156">
        <v>2</v>
      </c>
      <c r="C4156">
        <v>253</v>
      </c>
      <c r="D4156">
        <v>1</v>
      </c>
      <c r="E4156">
        <v>2599.9899999999998</v>
      </c>
      <c r="F4156">
        <v>0.1</v>
      </c>
      <c r="G4156">
        <v>2599.89</v>
      </c>
      <c r="H4156" t="s">
        <v>192</v>
      </c>
    </row>
    <row r="4157" spans="1:8" x14ac:dyDescent="0.35">
      <c r="A4157">
        <v>1516</v>
      </c>
      <c r="B4157">
        <v>3</v>
      </c>
      <c r="C4157">
        <v>196</v>
      </c>
      <c r="D4157">
        <v>2</v>
      </c>
      <c r="E4157">
        <v>2299.9899999999998</v>
      </c>
      <c r="F4157">
        <v>0.2</v>
      </c>
      <c r="G4157">
        <v>4599.78</v>
      </c>
      <c r="H4157" t="s">
        <v>193</v>
      </c>
    </row>
    <row r="4158" spans="1:8" x14ac:dyDescent="0.35">
      <c r="A4158">
        <v>1516</v>
      </c>
      <c r="B4158">
        <v>4</v>
      </c>
      <c r="C4158">
        <v>259</v>
      </c>
      <c r="D4158">
        <v>2</v>
      </c>
      <c r="E4158">
        <v>1199.99</v>
      </c>
      <c r="F4158">
        <v>0.2</v>
      </c>
      <c r="G4158">
        <v>2399.7800000000002</v>
      </c>
      <c r="H4158" t="s">
        <v>250</v>
      </c>
    </row>
    <row r="4159" spans="1:8" x14ac:dyDescent="0.35">
      <c r="A4159">
        <v>1516</v>
      </c>
      <c r="B4159">
        <v>5</v>
      </c>
      <c r="C4159">
        <v>271</v>
      </c>
      <c r="D4159">
        <v>2</v>
      </c>
      <c r="E4159">
        <v>209.99</v>
      </c>
      <c r="F4159">
        <v>0.2</v>
      </c>
      <c r="G4159">
        <v>419.78</v>
      </c>
      <c r="H4159" t="s">
        <v>262</v>
      </c>
    </row>
    <row r="4160" spans="1:8" x14ac:dyDescent="0.35">
      <c r="A4160">
        <v>1517</v>
      </c>
      <c r="B4160">
        <v>1</v>
      </c>
      <c r="C4160">
        <v>303</v>
      </c>
      <c r="D4160">
        <v>2</v>
      </c>
      <c r="E4160">
        <v>2599.9899999999998</v>
      </c>
      <c r="F4160">
        <v>0.1</v>
      </c>
      <c r="G4160">
        <v>5199.91</v>
      </c>
      <c r="H4160" t="s">
        <v>189</v>
      </c>
    </row>
    <row r="4161" spans="1:8" x14ac:dyDescent="0.35">
      <c r="A4161">
        <v>1517</v>
      </c>
      <c r="B4161">
        <v>2</v>
      </c>
      <c r="C4161">
        <v>226</v>
      </c>
      <c r="D4161">
        <v>2</v>
      </c>
      <c r="E4161">
        <v>679.99</v>
      </c>
      <c r="F4161">
        <v>0.1</v>
      </c>
      <c r="G4161">
        <v>1359.93</v>
      </c>
      <c r="H4161" t="s">
        <v>221</v>
      </c>
    </row>
    <row r="4162" spans="1:8" x14ac:dyDescent="0.35">
      <c r="A4162">
        <v>1518</v>
      </c>
      <c r="B4162">
        <v>1</v>
      </c>
      <c r="C4162">
        <v>304</v>
      </c>
      <c r="D4162">
        <v>2</v>
      </c>
      <c r="E4162">
        <v>679.99</v>
      </c>
      <c r="F4162">
        <v>0.1</v>
      </c>
      <c r="G4162">
        <v>1359.88</v>
      </c>
      <c r="H4162" t="s">
        <v>221</v>
      </c>
    </row>
    <row r="4163" spans="1:8" x14ac:dyDescent="0.35">
      <c r="A4163">
        <v>1518</v>
      </c>
      <c r="B4163">
        <v>2</v>
      </c>
      <c r="C4163">
        <v>182</v>
      </c>
      <c r="D4163">
        <v>2</v>
      </c>
      <c r="E4163">
        <v>2499.9899999999998</v>
      </c>
      <c r="F4163">
        <v>0.1</v>
      </c>
      <c r="G4163">
        <v>4999.93</v>
      </c>
      <c r="H4163" t="s">
        <v>179</v>
      </c>
    </row>
    <row r="4164" spans="1:8" x14ac:dyDescent="0.35">
      <c r="A4164">
        <v>1518</v>
      </c>
      <c r="B4164">
        <v>3</v>
      </c>
      <c r="C4164">
        <v>252</v>
      </c>
      <c r="D4164">
        <v>2</v>
      </c>
      <c r="E4164">
        <v>2999.99</v>
      </c>
      <c r="F4164">
        <v>0.1</v>
      </c>
      <c r="G4164">
        <v>5999.93</v>
      </c>
      <c r="H4164" t="s">
        <v>196</v>
      </c>
    </row>
    <row r="4165" spans="1:8" x14ac:dyDescent="0.35">
      <c r="A4165">
        <v>1519</v>
      </c>
      <c r="B4165">
        <v>1</v>
      </c>
      <c r="C4165">
        <v>150</v>
      </c>
      <c r="D4165">
        <v>1</v>
      </c>
      <c r="E4165">
        <v>4499.99</v>
      </c>
      <c r="F4165">
        <v>0.2</v>
      </c>
      <c r="G4165">
        <v>4499.79</v>
      </c>
      <c r="H4165" t="s">
        <v>147</v>
      </c>
    </row>
    <row r="4166" spans="1:8" x14ac:dyDescent="0.35">
      <c r="A4166">
        <v>1519</v>
      </c>
      <c r="B4166">
        <v>2</v>
      </c>
      <c r="C4166">
        <v>85</v>
      </c>
      <c r="D4166">
        <v>2</v>
      </c>
      <c r="E4166">
        <v>329.99</v>
      </c>
      <c r="F4166">
        <v>0.2</v>
      </c>
      <c r="G4166">
        <v>659.78</v>
      </c>
      <c r="H4166" t="s">
        <v>86</v>
      </c>
    </row>
    <row r="4167" spans="1:8" x14ac:dyDescent="0.35">
      <c r="A4167">
        <v>1519</v>
      </c>
      <c r="B4167">
        <v>3</v>
      </c>
      <c r="C4167">
        <v>124</v>
      </c>
      <c r="D4167">
        <v>2</v>
      </c>
      <c r="E4167">
        <v>1499</v>
      </c>
      <c r="F4167">
        <v>0.1</v>
      </c>
      <c r="G4167">
        <v>2997.93</v>
      </c>
      <c r="H4167" t="s">
        <v>121</v>
      </c>
    </row>
    <row r="4168" spans="1:8" x14ac:dyDescent="0.35">
      <c r="A4168">
        <v>1519</v>
      </c>
      <c r="B4168">
        <v>4</v>
      </c>
      <c r="C4168">
        <v>65</v>
      </c>
      <c r="D4168">
        <v>1</v>
      </c>
      <c r="E4168">
        <v>346.99</v>
      </c>
      <c r="F4168">
        <v>0.2</v>
      </c>
      <c r="G4168">
        <v>346.79</v>
      </c>
      <c r="H4168" t="s">
        <v>66</v>
      </c>
    </row>
    <row r="4169" spans="1:8" x14ac:dyDescent="0.35">
      <c r="A4169">
        <v>1519</v>
      </c>
      <c r="B4169">
        <v>5</v>
      </c>
      <c r="C4169">
        <v>265</v>
      </c>
      <c r="D4169">
        <v>2</v>
      </c>
      <c r="E4169">
        <v>289.99</v>
      </c>
      <c r="F4169">
        <v>0.1</v>
      </c>
      <c r="G4169">
        <v>579.92999999999995</v>
      </c>
      <c r="H4169" t="s">
        <v>256</v>
      </c>
    </row>
    <row r="4170" spans="1:8" x14ac:dyDescent="0.35">
      <c r="A4170">
        <v>1520</v>
      </c>
      <c r="B4170">
        <v>1</v>
      </c>
      <c r="C4170">
        <v>186</v>
      </c>
      <c r="D4170">
        <v>1</v>
      </c>
      <c r="E4170">
        <v>4499.99</v>
      </c>
      <c r="F4170">
        <v>0.1</v>
      </c>
      <c r="G4170">
        <v>4499.9399999999996</v>
      </c>
      <c r="H4170" t="s">
        <v>183</v>
      </c>
    </row>
    <row r="4171" spans="1:8" x14ac:dyDescent="0.35">
      <c r="A4171">
        <v>1520</v>
      </c>
      <c r="B4171">
        <v>2</v>
      </c>
      <c r="C4171">
        <v>188</v>
      </c>
      <c r="D4171">
        <v>2</v>
      </c>
      <c r="E4171">
        <v>3499.99</v>
      </c>
      <c r="F4171">
        <v>0.2</v>
      </c>
      <c r="G4171">
        <v>6999.78</v>
      </c>
      <c r="H4171" t="s">
        <v>185</v>
      </c>
    </row>
    <row r="4172" spans="1:8" x14ac:dyDescent="0.35">
      <c r="A4172">
        <v>1520</v>
      </c>
      <c r="B4172">
        <v>3</v>
      </c>
      <c r="C4172">
        <v>310</v>
      </c>
      <c r="D4172">
        <v>2</v>
      </c>
      <c r="E4172">
        <v>899.99</v>
      </c>
      <c r="F4172">
        <v>0.1</v>
      </c>
      <c r="G4172">
        <v>1799.91</v>
      </c>
      <c r="H4172" t="s">
        <v>235</v>
      </c>
    </row>
    <row r="4173" spans="1:8" x14ac:dyDescent="0.35">
      <c r="A4173">
        <v>1520</v>
      </c>
      <c r="B4173">
        <v>4</v>
      </c>
      <c r="C4173">
        <v>263</v>
      </c>
      <c r="D4173">
        <v>2</v>
      </c>
      <c r="E4173">
        <v>89.99</v>
      </c>
      <c r="F4173">
        <v>0.1</v>
      </c>
      <c r="G4173">
        <v>179.88</v>
      </c>
      <c r="H4173" t="s">
        <v>254</v>
      </c>
    </row>
    <row r="4174" spans="1:8" x14ac:dyDescent="0.35">
      <c r="A4174">
        <v>1521</v>
      </c>
      <c r="B4174">
        <v>1</v>
      </c>
      <c r="C4174">
        <v>100</v>
      </c>
      <c r="D4174">
        <v>1</v>
      </c>
      <c r="E4174">
        <v>489.99</v>
      </c>
      <c r="F4174">
        <v>0.2</v>
      </c>
      <c r="G4174">
        <v>489.79</v>
      </c>
      <c r="H4174" t="s">
        <v>100</v>
      </c>
    </row>
    <row r="4175" spans="1:8" x14ac:dyDescent="0.35">
      <c r="A4175">
        <v>1521</v>
      </c>
      <c r="B4175">
        <v>2</v>
      </c>
      <c r="C4175">
        <v>314</v>
      </c>
      <c r="D4175">
        <v>2</v>
      </c>
      <c r="E4175">
        <v>679.99</v>
      </c>
      <c r="F4175">
        <v>0.2</v>
      </c>
      <c r="G4175">
        <v>1359.78</v>
      </c>
      <c r="H4175" t="s">
        <v>238</v>
      </c>
    </row>
    <row r="4176" spans="1:8" x14ac:dyDescent="0.35">
      <c r="A4176">
        <v>1521</v>
      </c>
      <c r="B4176">
        <v>3</v>
      </c>
      <c r="C4176">
        <v>123</v>
      </c>
      <c r="D4176">
        <v>1</v>
      </c>
      <c r="E4176">
        <v>999.99</v>
      </c>
      <c r="F4176">
        <v>0.1</v>
      </c>
      <c r="G4176">
        <v>999.89</v>
      </c>
      <c r="H4176" t="s">
        <v>120</v>
      </c>
    </row>
    <row r="4177" spans="1:8" x14ac:dyDescent="0.35">
      <c r="A4177">
        <v>1521</v>
      </c>
      <c r="B4177">
        <v>4</v>
      </c>
      <c r="C4177">
        <v>135</v>
      </c>
      <c r="D4177">
        <v>2</v>
      </c>
      <c r="E4177">
        <v>1499.99</v>
      </c>
      <c r="F4177">
        <v>0.2</v>
      </c>
      <c r="G4177">
        <v>2999.78</v>
      </c>
      <c r="H4177" t="s">
        <v>132</v>
      </c>
    </row>
    <row r="4178" spans="1:8" x14ac:dyDescent="0.35">
      <c r="A4178">
        <v>1522</v>
      </c>
      <c r="B4178">
        <v>1</v>
      </c>
      <c r="C4178">
        <v>95</v>
      </c>
      <c r="D4178">
        <v>1</v>
      </c>
      <c r="E4178">
        <v>299.99</v>
      </c>
      <c r="F4178">
        <v>0.1</v>
      </c>
      <c r="G4178">
        <v>299.89</v>
      </c>
      <c r="H4178" t="s">
        <v>77</v>
      </c>
    </row>
    <row r="4179" spans="1:8" x14ac:dyDescent="0.35">
      <c r="A4179">
        <v>1522</v>
      </c>
      <c r="B4179">
        <v>2</v>
      </c>
      <c r="C4179">
        <v>141</v>
      </c>
      <c r="D4179">
        <v>1</v>
      </c>
      <c r="E4179">
        <v>1599.99</v>
      </c>
      <c r="F4179">
        <v>0.1</v>
      </c>
      <c r="G4179">
        <v>1599.92</v>
      </c>
      <c r="H4179" t="s">
        <v>138</v>
      </c>
    </row>
    <row r="4180" spans="1:8" x14ac:dyDescent="0.35">
      <c r="A4180">
        <v>1522</v>
      </c>
      <c r="B4180">
        <v>3</v>
      </c>
      <c r="C4180">
        <v>117</v>
      </c>
      <c r="D4180">
        <v>1</v>
      </c>
      <c r="E4180">
        <v>1469.99</v>
      </c>
      <c r="F4180">
        <v>0.1</v>
      </c>
      <c r="G4180">
        <v>1469.92</v>
      </c>
      <c r="H4180" t="s">
        <v>114</v>
      </c>
    </row>
    <row r="4181" spans="1:8" x14ac:dyDescent="0.35">
      <c r="A4181">
        <v>1524</v>
      </c>
      <c r="B4181">
        <v>1</v>
      </c>
      <c r="C4181">
        <v>168</v>
      </c>
      <c r="D4181">
        <v>1</v>
      </c>
      <c r="E4181">
        <v>1549</v>
      </c>
      <c r="F4181">
        <v>0.1</v>
      </c>
      <c r="G4181">
        <v>1548.9</v>
      </c>
      <c r="H4181" t="s">
        <v>165</v>
      </c>
    </row>
    <row r="4182" spans="1:8" x14ac:dyDescent="0.35">
      <c r="A4182">
        <v>1524</v>
      </c>
      <c r="B4182">
        <v>2</v>
      </c>
      <c r="C4182">
        <v>295</v>
      </c>
      <c r="D4182">
        <v>2</v>
      </c>
      <c r="E4182">
        <v>319.99</v>
      </c>
      <c r="F4182">
        <v>0.2</v>
      </c>
      <c r="G4182">
        <v>639.78</v>
      </c>
      <c r="H4182" t="s">
        <v>285</v>
      </c>
    </row>
    <row r="4183" spans="1:8" x14ac:dyDescent="0.35">
      <c r="A4183">
        <v>1524</v>
      </c>
      <c r="B4183">
        <v>3</v>
      </c>
      <c r="C4183">
        <v>313</v>
      </c>
      <c r="D4183">
        <v>1</v>
      </c>
      <c r="E4183">
        <v>449.99</v>
      </c>
      <c r="F4183">
        <v>0.2</v>
      </c>
      <c r="G4183">
        <v>449.79</v>
      </c>
      <c r="H4183" t="s">
        <v>290</v>
      </c>
    </row>
    <row r="4184" spans="1:8" x14ac:dyDescent="0.35">
      <c r="A4184">
        <v>1524</v>
      </c>
      <c r="B4184">
        <v>4</v>
      </c>
      <c r="C4184">
        <v>252</v>
      </c>
      <c r="D4184">
        <v>2</v>
      </c>
      <c r="E4184">
        <v>2999.99</v>
      </c>
      <c r="F4184">
        <v>0.2</v>
      </c>
      <c r="G4184">
        <v>5999.78</v>
      </c>
      <c r="H4184" t="s">
        <v>196</v>
      </c>
    </row>
    <row r="4185" spans="1:8" x14ac:dyDescent="0.35">
      <c r="A4185">
        <v>1525</v>
      </c>
      <c r="B4185">
        <v>1</v>
      </c>
      <c r="C4185">
        <v>156</v>
      </c>
      <c r="D4185">
        <v>1</v>
      </c>
      <c r="E4185">
        <v>6499.99</v>
      </c>
      <c r="F4185">
        <v>0.1</v>
      </c>
      <c r="G4185">
        <v>6499.89</v>
      </c>
      <c r="H4185" t="s">
        <v>153</v>
      </c>
    </row>
    <row r="4186" spans="1:8" x14ac:dyDescent="0.35">
      <c r="A4186">
        <v>1525</v>
      </c>
      <c r="B4186">
        <v>2</v>
      </c>
      <c r="C4186">
        <v>163</v>
      </c>
      <c r="D4186">
        <v>2</v>
      </c>
      <c r="E4186">
        <v>1349</v>
      </c>
      <c r="F4186">
        <v>0.1</v>
      </c>
      <c r="G4186">
        <v>2697.93</v>
      </c>
      <c r="H4186" t="s">
        <v>160</v>
      </c>
    </row>
    <row r="4187" spans="1:8" x14ac:dyDescent="0.35">
      <c r="A4187">
        <v>1525</v>
      </c>
      <c r="B4187">
        <v>3</v>
      </c>
      <c r="C4187">
        <v>193</v>
      </c>
      <c r="D4187">
        <v>1</v>
      </c>
      <c r="E4187">
        <v>2799.99</v>
      </c>
      <c r="F4187">
        <v>0.1</v>
      </c>
      <c r="G4187">
        <v>2799.92</v>
      </c>
      <c r="H4187" t="s">
        <v>190</v>
      </c>
    </row>
    <row r="4188" spans="1:8" x14ac:dyDescent="0.35">
      <c r="A4188">
        <v>1526</v>
      </c>
      <c r="B4188">
        <v>1</v>
      </c>
      <c r="C4188">
        <v>151</v>
      </c>
      <c r="D4188">
        <v>1</v>
      </c>
      <c r="E4188">
        <v>1549.99</v>
      </c>
      <c r="F4188">
        <v>0.1</v>
      </c>
      <c r="G4188">
        <v>1549.92</v>
      </c>
      <c r="H4188" t="s">
        <v>148</v>
      </c>
    </row>
    <row r="4189" spans="1:8" x14ac:dyDescent="0.35">
      <c r="A4189">
        <v>1526</v>
      </c>
      <c r="B4189">
        <v>2</v>
      </c>
      <c r="C4189">
        <v>56</v>
      </c>
      <c r="D4189">
        <v>1</v>
      </c>
      <c r="E4189">
        <v>5499.99</v>
      </c>
      <c r="F4189">
        <v>0.1</v>
      </c>
      <c r="G4189">
        <v>5499.89</v>
      </c>
      <c r="H4189" t="s">
        <v>57</v>
      </c>
    </row>
    <row r="4190" spans="1:8" x14ac:dyDescent="0.35">
      <c r="A4190">
        <v>1526</v>
      </c>
      <c r="B4190">
        <v>3</v>
      </c>
      <c r="C4190">
        <v>238</v>
      </c>
      <c r="D4190">
        <v>1</v>
      </c>
      <c r="E4190">
        <v>749.99</v>
      </c>
      <c r="F4190">
        <v>0.1</v>
      </c>
      <c r="G4190">
        <v>749.89</v>
      </c>
      <c r="H4190" t="s">
        <v>233</v>
      </c>
    </row>
    <row r="4191" spans="1:8" x14ac:dyDescent="0.35">
      <c r="A4191">
        <v>1526</v>
      </c>
      <c r="B4191">
        <v>4</v>
      </c>
      <c r="C4191">
        <v>243</v>
      </c>
      <c r="D4191">
        <v>1</v>
      </c>
      <c r="E4191">
        <v>679.99</v>
      </c>
      <c r="F4191">
        <v>0.1</v>
      </c>
      <c r="G4191">
        <v>679.94</v>
      </c>
      <c r="H4191" t="s">
        <v>238</v>
      </c>
    </row>
    <row r="4192" spans="1:8" x14ac:dyDescent="0.35">
      <c r="A4192">
        <v>1527</v>
      </c>
      <c r="B4192">
        <v>1</v>
      </c>
      <c r="C4192">
        <v>33</v>
      </c>
      <c r="D4192">
        <v>1</v>
      </c>
      <c r="E4192">
        <v>469.99</v>
      </c>
      <c r="F4192">
        <v>0.1</v>
      </c>
      <c r="G4192">
        <v>469.89</v>
      </c>
      <c r="H4192" t="s">
        <v>34</v>
      </c>
    </row>
    <row r="4193" spans="1:8" x14ac:dyDescent="0.35">
      <c r="A4193">
        <v>1527</v>
      </c>
      <c r="B4193">
        <v>2</v>
      </c>
      <c r="C4193">
        <v>103</v>
      </c>
      <c r="D4193">
        <v>1</v>
      </c>
      <c r="E4193">
        <v>551.99</v>
      </c>
      <c r="F4193">
        <v>0.1</v>
      </c>
      <c r="G4193">
        <v>551.94000000000005</v>
      </c>
      <c r="H4193" t="s">
        <v>102</v>
      </c>
    </row>
    <row r="4194" spans="1:8" x14ac:dyDescent="0.35">
      <c r="A4194">
        <v>1527</v>
      </c>
      <c r="B4194">
        <v>3</v>
      </c>
      <c r="C4194">
        <v>57</v>
      </c>
      <c r="D4194">
        <v>2</v>
      </c>
      <c r="E4194">
        <v>1999.99</v>
      </c>
      <c r="F4194">
        <v>0.1</v>
      </c>
      <c r="G4194">
        <v>3999.93</v>
      </c>
      <c r="H4194" t="s">
        <v>58</v>
      </c>
    </row>
    <row r="4195" spans="1:8" x14ac:dyDescent="0.35">
      <c r="A4195">
        <v>1529</v>
      </c>
      <c r="B4195">
        <v>1</v>
      </c>
      <c r="C4195">
        <v>23</v>
      </c>
      <c r="D4195">
        <v>1</v>
      </c>
      <c r="E4195">
        <v>299.99</v>
      </c>
      <c r="F4195">
        <v>0.1</v>
      </c>
      <c r="G4195">
        <v>299.94</v>
      </c>
      <c r="H4195" t="s">
        <v>26</v>
      </c>
    </row>
    <row r="4196" spans="1:8" x14ac:dyDescent="0.35">
      <c r="A4196">
        <v>1529</v>
      </c>
      <c r="B4196">
        <v>2</v>
      </c>
      <c r="C4196">
        <v>50</v>
      </c>
      <c r="D4196">
        <v>2</v>
      </c>
      <c r="E4196">
        <v>5999.99</v>
      </c>
      <c r="F4196">
        <v>0.1</v>
      </c>
      <c r="G4196">
        <v>11999.88</v>
      </c>
      <c r="H4196" t="s">
        <v>51</v>
      </c>
    </row>
    <row r="4197" spans="1:8" x14ac:dyDescent="0.35">
      <c r="A4197">
        <v>1530</v>
      </c>
      <c r="B4197">
        <v>1</v>
      </c>
      <c r="C4197">
        <v>213</v>
      </c>
      <c r="D4197">
        <v>2</v>
      </c>
      <c r="E4197">
        <v>269.99</v>
      </c>
      <c r="F4197">
        <v>0.1</v>
      </c>
      <c r="G4197">
        <v>539.88</v>
      </c>
      <c r="H4197" t="s">
        <v>208</v>
      </c>
    </row>
    <row r="4198" spans="1:8" x14ac:dyDescent="0.35">
      <c r="A4198">
        <v>1530</v>
      </c>
      <c r="B4198">
        <v>2</v>
      </c>
      <c r="C4198">
        <v>116</v>
      </c>
      <c r="D4198">
        <v>1</v>
      </c>
      <c r="E4198">
        <v>749.99</v>
      </c>
      <c r="F4198">
        <v>0.1</v>
      </c>
      <c r="G4198">
        <v>749.89</v>
      </c>
      <c r="H4198" t="s">
        <v>113</v>
      </c>
    </row>
    <row r="4199" spans="1:8" x14ac:dyDescent="0.35">
      <c r="A4199">
        <v>1533</v>
      </c>
      <c r="B4199">
        <v>1</v>
      </c>
      <c r="C4199">
        <v>274</v>
      </c>
      <c r="D4199">
        <v>2</v>
      </c>
      <c r="E4199">
        <v>229.99</v>
      </c>
      <c r="F4199">
        <v>0.1</v>
      </c>
      <c r="G4199">
        <v>459.88</v>
      </c>
      <c r="H4199" t="s">
        <v>265</v>
      </c>
    </row>
    <row r="4200" spans="1:8" x14ac:dyDescent="0.35">
      <c r="A4200">
        <v>1533</v>
      </c>
      <c r="B4200">
        <v>2</v>
      </c>
      <c r="C4200">
        <v>78</v>
      </c>
      <c r="D4200">
        <v>1</v>
      </c>
      <c r="E4200">
        <v>647.99</v>
      </c>
      <c r="F4200">
        <v>0.1</v>
      </c>
      <c r="G4200">
        <v>647.89</v>
      </c>
      <c r="H4200" t="s">
        <v>79</v>
      </c>
    </row>
    <row r="4201" spans="1:8" x14ac:dyDescent="0.35">
      <c r="A4201">
        <v>1533</v>
      </c>
      <c r="B4201">
        <v>3</v>
      </c>
      <c r="C4201">
        <v>96</v>
      </c>
      <c r="D4201">
        <v>1</v>
      </c>
      <c r="E4201">
        <v>349.99</v>
      </c>
      <c r="F4201">
        <v>0.1</v>
      </c>
      <c r="G4201">
        <v>349.89</v>
      </c>
      <c r="H4201" t="s">
        <v>96</v>
      </c>
    </row>
    <row r="4202" spans="1:8" x14ac:dyDescent="0.35">
      <c r="A4202">
        <v>1533</v>
      </c>
      <c r="B4202">
        <v>4</v>
      </c>
      <c r="C4202">
        <v>235</v>
      </c>
      <c r="D4202">
        <v>2</v>
      </c>
      <c r="E4202">
        <v>899.99</v>
      </c>
      <c r="F4202">
        <v>0.1</v>
      </c>
      <c r="G4202">
        <v>1799.88</v>
      </c>
      <c r="H4202" t="s">
        <v>230</v>
      </c>
    </row>
    <row r="4203" spans="1:8" x14ac:dyDescent="0.35">
      <c r="A4203">
        <v>1533</v>
      </c>
      <c r="B4203">
        <v>5</v>
      </c>
      <c r="C4203">
        <v>51</v>
      </c>
      <c r="D4203">
        <v>1</v>
      </c>
      <c r="E4203">
        <v>6499.99</v>
      </c>
      <c r="F4203">
        <v>0.1</v>
      </c>
      <c r="G4203">
        <v>6499.89</v>
      </c>
      <c r="H4203" t="s">
        <v>52</v>
      </c>
    </row>
    <row r="4204" spans="1:8" x14ac:dyDescent="0.35">
      <c r="A4204">
        <v>1534</v>
      </c>
      <c r="B4204">
        <v>1</v>
      </c>
      <c r="C4204">
        <v>194</v>
      </c>
      <c r="D4204">
        <v>1</v>
      </c>
      <c r="E4204">
        <v>3499.99</v>
      </c>
      <c r="F4204">
        <v>0.1</v>
      </c>
      <c r="G4204">
        <v>3499.89</v>
      </c>
      <c r="H4204" t="s">
        <v>191</v>
      </c>
    </row>
    <row r="4205" spans="1:8" x14ac:dyDescent="0.35">
      <c r="A4205">
        <v>1534</v>
      </c>
      <c r="B4205">
        <v>2</v>
      </c>
      <c r="C4205">
        <v>117</v>
      </c>
      <c r="D4205">
        <v>1</v>
      </c>
      <c r="E4205">
        <v>1469.99</v>
      </c>
      <c r="F4205">
        <v>0.1</v>
      </c>
      <c r="G4205">
        <v>1469.94</v>
      </c>
      <c r="H4205" t="s">
        <v>114</v>
      </c>
    </row>
    <row r="4206" spans="1:8" x14ac:dyDescent="0.35">
      <c r="A4206">
        <v>1534</v>
      </c>
      <c r="B4206">
        <v>3</v>
      </c>
      <c r="C4206">
        <v>269</v>
      </c>
      <c r="D4206">
        <v>2</v>
      </c>
      <c r="E4206">
        <v>199.99</v>
      </c>
      <c r="F4206">
        <v>0.2</v>
      </c>
      <c r="G4206">
        <v>399.78</v>
      </c>
      <c r="H4206" t="s">
        <v>260</v>
      </c>
    </row>
    <row r="4207" spans="1:8" x14ac:dyDescent="0.35">
      <c r="A4207">
        <v>1534</v>
      </c>
      <c r="B4207">
        <v>4</v>
      </c>
      <c r="C4207">
        <v>172</v>
      </c>
      <c r="D4207">
        <v>2</v>
      </c>
      <c r="E4207">
        <v>3199.99</v>
      </c>
      <c r="F4207">
        <v>0.2</v>
      </c>
      <c r="G4207">
        <v>6399.78</v>
      </c>
      <c r="H4207" t="s">
        <v>169</v>
      </c>
    </row>
    <row r="4208" spans="1:8" x14ac:dyDescent="0.35">
      <c r="A4208">
        <v>1535</v>
      </c>
      <c r="B4208">
        <v>1</v>
      </c>
      <c r="C4208">
        <v>92</v>
      </c>
      <c r="D4208">
        <v>1</v>
      </c>
      <c r="E4208">
        <v>209.99</v>
      </c>
      <c r="F4208">
        <v>0.1</v>
      </c>
      <c r="G4208">
        <v>209.94</v>
      </c>
      <c r="H4208" t="s">
        <v>93</v>
      </c>
    </row>
    <row r="4209" spans="1:8" x14ac:dyDescent="0.35">
      <c r="A4209">
        <v>1535</v>
      </c>
      <c r="B4209">
        <v>2</v>
      </c>
      <c r="C4209">
        <v>75</v>
      </c>
      <c r="D4209">
        <v>2</v>
      </c>
      <c r="E4209">
        <v>599.99</v>
      </c>
      <c r="F4209">
        <v>0.1</v>
      </c>
      <c r="G4209">
        <v>1199.93</v>
      </c>
      <c r="H4209" t="s">
        <v>76</v>
      </c>
    </row>
    <row r="4210" spans="1:8" x14ac:dyDescent="0.35">
      <c r="A4210">
        <v>1536</v>
      </c>
      <c r="B4210">
        <v>1</v>
      </c>
      <c r="C4210">
        <v>183</v>
      </c>
      <c r="D4210">
        <v>1</v>
      </c>
      <c r="E4210">
        <v>2199.9899999999998</v>
      </c>
      <c r="F4210">
        <v>0.2</v>
      </c>
      <c r="G4210">
        <v>2199.79</v>
      </c>
      <c r="H4210" t="s">
        <v>180</v>
      </c>
    </row>
    <row r="4211" spans="1:8" x14ac:dyDescent="0.35">
      <c r="A4211">
        <v>1536</v>
      </c>
      <c r="B4211">
        <v>2</v>
      </c>
      <c r="C4211">
        <v>185</v>
      </c>
      <c r="D4211">
        <v>2</v>
      </c>
      <c r="E4211">
        <v>2799.99</v>
      </c>
      <c r="F4211">
        <v>0.1</v>
      </c>
      <c r="G4211">
        <v>5599.91</v>
      </c>
      <c r="H4211" t="s">
        <v>182</v>
      </c>
    </row>
    <row r="4212" spans="1:8" x14ac:dyDescent="0.35">
      <c r="A4212">
        <v>1536</v>
      </c>
      <c r="B4212">
        <v>3</v>
      </c>
      <c r="C4212">
        <v>196</v>
      </c>
      <c r="D4212">
        <v>2</v>
      </c>
      <c r="E4212">
        <v>2299.9899999999998</v>
      </c>
      <c r="F4212">
        <v>0.2</v>
      </c>
      <c r="G4212">
        <v>4599.78</v>
      </c>
      <c r="H4212" t="s">
        <v>193</v>
      </c>
    </row>
    <row r="4213" spans="1:8" x14ac:dyDescent="0.35">
      <c r="A4213">
        <v>1538</v>
      </c>
      <c r="B4213">
        <v>1</v>
      </c>
      <c r="C4213">
        <v>206</v>
      </c>
      <c r="D4213">
        <v>1</v>
      </c>
      <c r="E4213">
        <v>3299.99</v>
      </c>
      <c r="F4213">
        <v>0.1</v>
      </c>
      <c r="G4213">
        <v>3299.92</v>
      </c>
      <c r="H4213" t="s">
        <v>203</v>
      </c>
    </row>
    <row r="4214" spans="1:8" x14ac:dyDescent="0.35">
      <c r="A4214">
        <v>1538</v>
      </c>
      <c r="B4214">
        <v>2</v>
      </c>
      <c r="C4214">
        <v>46</v>
      </c>
      <c r="D4214">
        <v>2</v>
      </c>
      <c r="E4214">
        <v>1409.99</v>
      </c>
      <c r="F4214">
        <v>0.1</v>
      </c>
      <c r="G4214">
        <v>2819.91</v>
      </c>
      <c r="H4214" t="s">
        <v>47</v>
      </c>
    </row>
    <row r="4215" spans="1:8" x14ac:dyDescent="0.35">
      <c r="A4215">
        <v>1538</v>
      </c>
      <c r="B4215">
        <v>3</v>
      </c>
      <c r="C4215">
        <v>117</v>
      </c>
      <c r="D4215">
        <v>1</v>
      </c>
      <c r="E4215">
        <v>1469.99</v>
      </c>
      <c r="F4215">
        <v>0.1</v>
      </c>
      <c r="G4215">
        <v>1469.92</v>
      </c>
      <c r="H4215" t="s">
        <v>114</v>
      </c>
    </row>
    <row r="4216" spans="1:8" x14ac:dyDescent="0.35">
      <c r="A4216">
        <v>1538</v>
      </c>
      <c r="B4216">
        <v>4</v>
      </c>
      <c r="C4216">
        <v>197</v>
      </c>
      <c r="D4216">
        <v>1</v>
      </c>
      <c r="E4216">
        <v>2299.9899999999998</v>
      </c>
      <c r="F4216">
        <v>0.2</v>
      </c>
      <c r="G4216">
        <v>2299.79</v>
      </c>
      <c r="H4216" t="s">
        <v>194</v>
      </c>
    </row>
    <row r="4217" spans="1:8" x14ac:dyDescent="0.35">
      <c r="A4217">
        <v>1538</v>
      </c>
      <c r="B4217">
        <v>5</v>
      </c>
      <c r="C4217">
        <v>306</v>
      </c>
      <c r="D4217">
        <v>2</v>
      </c>
      <c r="E4217">
        <v>899.99</v>
      </c>
      <c r="F4217">
        <v>0.1</v>
      </c>
      <c r="G4217">
        <v>1799.93</v>
      </c>
      <c r="H4217" t="s">
        <v>246</v>
      </c>
    </row>
    <row r="4218" spans="1:8" x14ac:dyDescent="0.35">
      <c r="A4218">
        <v>1539</v>
      </c>
      <c r="B4218">
        <v>1</v>
      </c>
      <c r="C4218">
        <v>6</v>
      </c>
      <c r="D4218">
        <v>2</v>
      </c>
      <c r="E4218">
        <v>469.99</v>
      </c>
      <c r="F4218">
        <v>0.1</v>
      </c>
      <c r="G4218">
        <v>939.93</v>
      </c>
      <c r="H4218" t="s">
        <v>11</v>
      </c>
    </row>
    <row r="4219" spans="1:8" x14ac:dyDescent="0.35">
      <c r="A4219">
        <v>1539</v>
      </c>
      <c r="B4219">
        <v>2</v>
      </c>
      <c r="C4219">
        <v>12</v>
      </c>
      <c r="D4219">
        <v>2</v>
      </c>
      <c r="E4219">
        <v>549.99</v>
      </c>
      <c r="F4219">
        <v>0.1</v>
      </c>
      <c r="G4219">
        <v>1099.93</v>
      </c>
      <c r="H4219" t="s">
        <v>17</v>
      </c>
    </row>
    <row r="4220" spans="1:8" x14ac:dyDescent="0.35">
      <c r="A4220">
        <v>1540</v>
      </c>
      <c r="B4220">
        <v>1</v>
      </c>
      <c r="C4220">
        <v>71</v>
      </c>
      <c r="D4220">
        <v>2</v>
      </c>
      <c r="E4220">
        <v>416.99</v>
      </c>
      <c r="F4220">
        <v>0.1</v>
      </c>
      <c r="G4220">
        <v>833.93</v>
      </c>
      <c r="H4220" t="s">
        <v>72</v>
      </c>
    </row>
    <row r="4221" spans="1:8" x14ac:dyDescent="0.35">
      <c r="A4221">
        <v>1540</v>
      </c>
      <c r="B4221">
        <v>2</v>
      </c>
      <c r="C4221">
        <v>236</v>
      </c>
      <c r="D4221">
        <v>1</v>
      </c>
      <c r="E4221">
        <v>749.99</v>
      </c>
      <c r="F4221">
        <v>0.1</v>
      </c>
      <c r="G4221">
        <v>749.92</v>
      </c>
      <c r="H4221" t="s">
        <v>231</v>
      </c>
    </row>
    <row r="4222" spans="1:8" x14ac:dyDescent="0.35">
      <c r="A4222">
        <v>1540</v>
      </c>
      <c r="B4222">
        <v>3</v>
      </c>
      <c r="C4222">
        <v>224</v>
      </c>
      <c r="D4222">
        <v>1</v>
      </c>
      <c r="E4222">
        <v>479.99</v>
      </c>
      <c r="F4222">
        <v>0.1</v>
      </c>
      <c r="G4222">
        <v>479.94</v>
      </c>
      <c r="H4222" t="s">
        <v>219</v>
      </c>
    </row>
    <row r="4223" spans="1:8" x14ac:dyDescent="0.35">
      <c r="A4223">
        <v>1540</v>
      </c>
      <c r="B4223">
        <v>4</v>
      </c>
      <c r="C4223">
        <v>177</v>
      </c>
      <c r="D4223">
        <v>2</v>
      </c>
      <c r="E4223">
        <v>5499.99</v>
      </c>
      <c r="F4223">
        <v>0.1</v>
      </c>
      <c r="G4223">
        <v>10999.93</v>
      </c>
      <c r="H4223" t="s">
        <v>174</v>
      </c>
    </row>
    <row r="4224" spans="1:8" x14ac:dyDescent="0.35">
      <c r="A4224">
        <v>1540</v>
      </c>
      <c r="B4224">
        <v>5</v>
      </c>
      <c r="C4224">
        <v>78</v>
      </c>
      <c r="D4224">
        <v>1</v>
      </c>
      <c r="E4224">
        <v>647.99</v>
      </c>
      <c r="F4224">
        <v>0.2</v>
      </c>
      <c r="G4224">
        <v>647.79</v>
      </c>
      <c r="H4224" t="s">
        <v>79</v>
      </c>
    </row>
    <row r="4225" spans="1:8" x14ac:dyDescent="0.35">
      <c r="A4225">
        <v>1541</v>
      </c>
      <c r="B4225">
        <v>1</v>
      </c>
      <c r="C4225">
        <v>155</v>
      </c>
      <c r="D4225">
        <v>2</v>
      </c>
      <c r="E4225">
        <v>11999.99</v>
      </c>
      <c r="F4225">
        <v>0.1</v>
      </c>
      <c r="G4225">
        <v>23999.88</v>
      </c>
      <c r="H4225" t="s">
        <v>152</v>
      </c>
    </row>
    <row r="4226" spans="1:8" x14ac:dyDescent="0.35">
      <c r="A4226">
        <v>1541</v>
      </c>
      <c r="B4226">
        <v>2</v>
      </c>
      <c r="C4226">
        <v>248</v>
      </c>
      <c r="D4226">
        <v>2</v>
      </c>
      <c r="E4226">
        <v>599.99</v>
      </c>
      <c r="F4226">
        <v>0.1</v>
      </c>
      <c r="G4226">
        <v>1199.9100000000001</v>
      </c>
      <c r="H4226" t="s">
        <v>243</v>
      </c>
    </row>
    <row r="4227" spans="1:8" x14ac:dyDescent="0.35">
      <c r="A4227">
        <v>1541</v>
      </c>
      <c r="B4227">
        <v>3</v>
      </c>
      <c r="C4227">
        <v>142</v>
      </c>
      <c r="D4227">
        <v>2</v>
      </c>
      <c r="E4227">
        <v>3199.99</v>
      </c>
      <c r="F4227">
        <v>0.1</v>
      </c>
      <c r="G4227">
        <v>6399.88</v>
      </c>
      <c r="H4227" t="s">
        <v>139</v>
      </c>
    </row>
    <row r="4228" spans="1:8" x14ac:dyDescent="0.35">
      <c r="A4228">
        <v>1541</v>
      </c>
      <c r="B4228">
        <v>4</v>
      </c>
      <c r="C4228">
        <v>17</v>
      </c>
      <c r="D4228">
        <v>1</v>
      </c>
      <c r="E4228">
        <v>429</v>
      </c>
      <c r="F4228">
        <v>0.1</v>
      </c>
      <c r="G4228">
        <v>428.9</v>
      </c>
      <c r="H4228" t="s">
        <v>22</v>
      </c>
    </row>
    <row r="4229" spans="1:8" x14ac:dyDescent="0.35">
      <c r="A4229">
        <v>1541</v>
      </c>
      <c r="B4229">
        <v>5</v>
      </c>
      <c r="C4229">
        <v>86</v>
      </c>
      <c r="D4229">
        <v>2</v>
      </c>
      <c r="E4229">
        <v>149.99</v>
      </c>
      <c r="F4229">
        <v>0.1</v>
      </c>
      <c r="G4229">
        <v>299.93</v>
      </c>
      <c r="H4229" t="s">
        <v>87</v>
      </c>
    </row>
    <row r="4230" spans="1:8" x14ac:dyDescent="0.35">
      <c r="A4230">
        <v>1542</v>
      </c>
      <c r="B4230">
        <v>1</v>
      </c>
      <c r="C4230">
        <v>79</v>
      </c>
      <c r="D4230">
        <v>1</v>
      </c>
      <c r="E4230">
        <v>402.99</v>
      </c>
      <c r="F4230">
        <v>0.2</v>
      </c>
      <c r="G4230">
        <v>402.79</v>
      </c>
      <c r="H4230" t="s">
        <v>80</v>
      </c>
    </row>
    <row r="4231" spans="1:8" x14ac:dyDescent="0.35">
      <c r="A4231">
        <v>1542</v>
      </c>
      <c r="B4231">
        <v>2</v>
      </c>
      <c r="C4231">
        <v>122</v>
      </c>
      <c r="D4231">
        <v>2</v>
      </c>
      <c r="E4231">
        <v>2499.9899999999998</v>
      </c>
      <c r="F4231">
        <v>0.1</v>
      </c>
      <c r="G4231">
        <v>4999.93</v>
      </c>
      <c r="H4231" t="s">
        <v>119</v>
      </c>
    </row>
    <row r="4232" spans="1:8" x14ac:dyDescent="0.35">
      <c r="A4232">
        <v>1542</v>
      </c>
      <c r="B4232">
        <v>3</v>
      </c>
      <c r="C4232">
        <v>184</v>
      </c>
      <c r="D4232">
        <v>2</v>
      </c>
      <c r="E4232">
        <v>3499.99</v>
      </c>
      <c r="F4232">
        <v>0.2</v>
      </c>
      <c r="G4232">
        <v>6999.78</v>
      </c>
      <c r="H4232" t="s">
        <v>181</v>
      </c>
    </row>
    <row r="4233" spans="1:8" x14ac:dyDescent="0.35">
      <c r="A4233">
        <v>1542</v>
      </c>
      <c r="B4233">
        <v>4</v>
      </c>
      <c r="C4233">
        <v>37</v>
      </c>
      <c r="D4233">
        <v>2</v>
      </c>
      <c r="E4233">
        <v>379.99</v>
      </c>
      <c r="F4233">
        <v>0.1</v>
      </c>
      <c r="G4233">
        <v>759.88</v>
      </c>
      <c r="H4233" t="s">
        <v>38</v>
      </c>
    </row>
    <row r="4234" spans="1:8" x14ac:dyDescent="0.35">
      <c r="A4234">
        <v>1542</v>
      </c>
      <c r="B4234">
        <v>5</v>
      </c>
      <c r="C4234">
        <v>297</v>
      </c>
      <c r="D4234">
        <v>1</v>
      </c>
      <c r="E4234">
        <v>279.99</v>
      </c>
      <c r="F4234">
        <v>0.2</v>
      </c>
      <c r="G4234">
        <v>279.79000000000002</v>
      </c>
      <c r="H4234" t="s">
        <v>287</v>
      </c>
    </row>
    <row r="4235" spans="1:8" x14ac:dyDescent="0.35">
      <c r="A4235">
        <v>1543</v>
      </c>
      <c r="B4235">
        <v>1</v>
      </c>
      <c r="C4235">
        <v>108</v>
      </c>
      <c r="D4235">
        <v>2</v>
      </c>
      <c r="E4235">
        <v>449.99</v>
      </c>
      <c r="F4235">
        <v>0.1</v>
      </c>
      <c r="G4235">
        <v>899.88</v>
      </c>
      <c r="H4235" t="s">
        <v>105</v>
      </c>
    </row>
    <row r="4236" spans="1:8" x14ac:dyDescent="0.35">
      <c r="A4236">
        <v>1543</v>
      </c>
      <c r="B4236">
        <v>2</v>
      </c>
      <c r="C4236">
        <v>93</v>
      </c>
      <c r="D4236">
        <v>1</v>
      </c>
      <c r="E4236">
        <v>209.99</v>
      </c>
      <c r="F4236">
        <v>0.2</v>
      </c>
      <c r="G4236">
        <v>209.79</v>
      </c>
      <c r="H4236" t="s">
        <v>94</v>
      </c>
    </row>
    <row r="4237" spans="1:8" x14ac:dyDescent="0.35">
      <c r="A4237">
        <v>1543</v>
      </c>
      <c r="B4237">
        <v>3</v>
      </c>
      <c r="C4237">
        <v>158</v>
      </c>
      <c r="D4237">
        <v>2</v>
      </c>
      <c r="E4237">
        <v>959.99</v>
      </c>
      <c r="F4237">
        <v>0.1</v>
      </c>
      <c r="G4237">
        <v>1919.91</v>
      </c>
      <c r="H4237" t="s">
        <v>155</v>
      </c>
    </row>
    <row r="4238" spans="1:8" x14ac:dyDescent="0.35">
      <c r="A4238">
        <v>1543</v>
      </c>
      <c r="B4238">
        <v>4</v>
      </c>
      <c r="C4238">
        <v>97</v>
      </c>
      <c r="D4238">
        <v>2</v>
      </c>
      <c r="E4238">
        <v>349.99</v>
      </c>
      <c r="F4238">
        <v>0.1</v>
      </c>
      <c r="G4238">
        <v>699.93</v>
      </c>
      <c r="H4238" t="s">
        <v>97</v>
      </c>
    </row>
    <row r="4239" spans="1:8" x14ac:dyDescent="0.35">
      <c r="A4239">
        <v>1543</v>
      </c>
      <c r="B4239">
        <v>5</v>
      </c>
      <c r="C4239">
        <v>136</v>
      </c>
      <c r="D4239">
        <v>1</v>
      </c>
      <c r="E4239">
        <v>1799.99</v>
      </c>
      <c r="F4239">
        <v>0.2</v>
      </c>
      <c r="G4239">
        <v>1799.79</v>
      </c>
      <c r="H4239" t="s">
        <v>133</v>
      </c>
    </row>
    <row r="4240" spans="1:8" x14ac:dyDescent="0.35">
      <c r="A4240">
        <v>1544</v>
      </c>
      <c r="B4240">
        <v>1</v>
      </c>
      <c r="C4240">
        <v>194</v>
      </c>
      <c r="D4240">
        <v>2</v>
      </c>
      <c r="E4240">
        <v>3499.99</v>
      </c>
      <c r="F4240">
        <v>0.1</v>
      </c>
      <c r="G4240">
        <v>6999.88</v>
      </c>
      <c r="H4240" t="s">
        <v>191</v>
      </c>
    </row>
    <row r="4241" spans="1:8" x14ac:dyDescent="0.35">
      <c r="A4241">
        <v>1544</v>
      </c>
      <c r="B4241">
        <v>2</v>
      </c>
      <c r="C4241">
        <v>107</v>
      </c>
      <c r="D4241">
        <v>2</v>
      </c>
      <c r="E4241">
        <v>416.99</v>
      </c>
      <c r="F4241">
        <v>0.2</v>
      </c>
      <c r="G4241">
        <v>833.78</v>
      </c>
      <c r="H4241" t="s">
        <v>70</v>
      </c>
    </row>
    <row r="4242" spans="1:8" x14ac:dyDescent="0.35">
      <c r="A4242">
        <v>1546</v>
      </c>
      <c r="B4242">
        <v>1</v>
      </c>
      <c r="C4242">
        <v>156</v>
      </c>
      <c r="D4242">
        <v>1</v>
      </c>
      <c r="E4242">
        <v>6499.99</v>
      </c>
      <c r="F4242">
        <v>0.1</v>
      </c>
      <c r="G4242">
        <v>6499.89</v>
      </c>
      <c r="H4242" t="s">
        <v>153</v>
      </c>
    </row>
    <row r="4243" spans="1:8" x14ac:dyDescent="0.35">
      <c r="A4243">
        <v>1546</v>
      </c>
      <c r="B4243">
        <v>2</v>
      </c>
      <c r="C4243">
        <v>185</v>
      </c>
      <c r="D4243">
        <v>2</v>
      </c>
      <c r="E4243">
        <v>2799.99</v>
      </c>
      <c r="F4243">
        <v>0.1</v>
      </c>
      <c r="G4243">
        <v>5599.88</v>
      </c>
      <c r="H4243" t="s">
        <v>182</v>
      </c>
    </row>
    <row r="4244" spans="1:8" x14ac:dyDescent="0.35">
      <c r="A4244">
        <v>1546</v>
      </c>
      <c r="B4244">
        <v>3</v>
      </c>
      <c r="C4244">
        <v>215</v>
      </c>
      <c r="D4244">
        <v>1</v>
      </c>
      <c r="E4244">
        <v>749.99</v>
      </c>
      <c r="F4244">
        <v>0.1</v>
      </c>
      <c r="G4244">
        <v>749.89</v>
      </c>
      <c r="H4244" t="s">
        <v>210</v>
      </c>
    </row>
    <row r="4245" spans="1:8" x14ac:dyDescent="0.35">
      <c r="A4245">
        <v>1546</v>
      </c>
      <c r="B4245">
        <v>4</v>
      </c>
      <c r="C4245">
        <v>25</v>
      </c>
      <c r="D4245">
        <v>1</v>
      </c>
      <c r="E4245">
        <v>499.99</v>
      </c>
      <c r="F4245">
        <v>0.1</v>
      </c>
      <c r="G4245">
        <v>499.94</v>
      </c>
      <c r="H4245" t="s">
        <v>27</v>
      </c>
    </row>
    <row r="4246" spans="1:8" x14ac:dyDescent="0.35">
      <c r="A4246">
        <v>1547</v>
      </c>
      <c r="B4246">
        <v>1</v>
      </c>
      <c r="C4246">
        <v>106</v>
      </c>
      <c r="D4246">
        <v>2</v>
      </c>
      <c r="E4246">
        <v>449.99</v>
      </c>
      <c r="F4246">
        <v>0.2</v>
      </c>
      <c r="G4246">
        <v>899.78</v>
      </c>
      <c r="H4246" t="s">
        <v>69</v>
      </c>
    </row>
    <row r="4247" spans="1:8" x14ac:dyDescent="0.35">
      <c r="A4247">
        <v>1547</v>
      </c>
      <c r="B4247">
        <v>2</v>
      </c>
      <c r="C4247">
        <v>204</v>
      </c>
      <c r="D4247">
        <v>1</v>
      </c>
      <c r="E4247">
        <v>3599.99</v>
      </c>
      <c r="F4247">
        <v>0.2</v>
      </c>
      <c r="G4247">
        <v>3599.79</v>
      </c>
      <c r="H4247" t="s">
        <v>201</v>
      </c>
    </row>
    <row r="4248" spans="1:8" x14ac:dyDescent="0.35">
      <c r="A4248">
        <v>1548</v>
      </c>
      <c r="B4248">
        <v>1</v>
      </c>
      <c r="C4248">
        <v>32</v>
      </c>
      <c r="D4248">
        <v>1</v>
      </c>
      <c r="E4248">
        <v>469.99</v>
      </c>
      <c r="F4248">
        <v>0.1</v>
      </c>
      <c r="G4248">
        <v>469.89</v>
      </c>
      <c r="H4248" t="s">
        <v>33</v>
      </c>
    </row>
    <row r="4249" spans="1:8" x14ac:dyDescent="0.35">
      <c r="A4249">
        <v>1548</v>
      </c>
      <c r="B4249">
        <v>2</v>
      </c>
      <c r="C4249">
        <v>202</v>
      </c>
      <c r="D4249">
        <v>1</v>
      </c>
      <c r="E4249">
        <v>3499.99</v>
      </c>
      <c r="F4249">
        <v>0.1</v>
      </c>
      <c r="G4249">
        <v>3499.92</v>
      </c>
      <c r="H4249" t="s">
        <v>199</v>
      </c>
    </row>
    <row r="4250" spans="1:8" x14ac:dyDescent="0.35">
      <c r="A4250">
        <v>1548</v>
      </c>
      <c r="B4250">
        <v>3</v>
      </c>
      <c r="C4250">
        <v>62</v>
      </c>
      <c r="D4250">
        <v>2</v>
      </c>
      <c r="E4250">
        <v>3499.99</v>
      </c>
      <c r="F4250">
        <v>0.2</v>
      </c>
      <c r="G4250">
        <v>6999.78</v>
      </c>
      <c r="H4250" t="s">
        <v>63</v>
      </c>
    </row>
    <row r="4251" spans="1:8" x14ac:dyDescent="0.35">
      <c r="A4251">
        <v>1549</v>
      </c>
      <c r="B4251">
        <v>1</v>
      </c>
      <c r="C4251">
        <v>158</v>
      </c>
      <c r="D4251">
        <v>1</v>
      </c>
      <c r="E4251">
        <v>959.99</v>
      </c>
      <c r="F4251">
        <v>0.2</v>
      </c>
      <c r="G4251">
        <v>959.79</v>
      </c>
      <c r="H4251" t="s">
        <v>155</v>
      </c>
    </row>
    <row r="4252" spans="1:8" x14ac:dyDescent="0.35">
      <c r="A4252">
        <v>1549</v>
      </c>
      <c r="B4252">
        <v>2</v>
      </c>
      <c r="C4252">
        <v>119</v>
      </c>
      <c r="D4252">
        <v>1</v>
      </c>
      <c r="E4252">
        <v>469.99</v>
      </c>
      <c r="F4252">
        <v>0.1</v>
      </c>
      <c r="G4252">
        <v>469.94</v>
      </c>
      <c r="H4252" t="s">
        <v>116</v>
      </c>
    </row>
    <row r="4253" spans="1:8" x14ac:dyDescent="0.35">
      <c r="A4253">
        <v>1549</v>
      </c>
      <c r="B4253">
        <v>3</v>
      </c>
      <c r="C4253">
        <v>249</v>
      </c>
      <c r="D4253">
        <v>2</v>
      </c>
      <c r="E4253">
        <v>749.99</v>
      </c>
      <c r="F4253">
        <v>0.1</v>
      </c>
      <c r="G4253">
        <v>1499.93</v>
      </c>
      <c r="H4253" t="s">
        <v>244</v>
      </c>
    </row>
    <row r="4254" spans="1:8" x14ac:dyDescent="0.35">
      <c r="A4254">
        <v>1549</v>
      </c>
      <c r="B4254">
        <v>4</v>
      </c>
      <c r="C4254">
        <v>242</v>
      </c>
      <c r="D4254">
        <v>2</v>
      </c>
      <c r="E4254">
        <v>699.99</v>
      </c>
      <c r="F4254">
        <v>0.1</v>
      </c>
      <c r="G4254">
        <v>1399.88</v>
      </c>
      <c r="H4254" t="s">
        <v>237</v>
      </c>
    </row>
    <row r="4255" spans="1:8" x14ac:dyDescent="0.35">
      <c r="A4255">
        <v>1550</v>
      </c>
      <c r="B4255">
        <v>1</v>
      </c>
      <c r="C4255">
        <v>315</v>
      </c>
      <c r="D4255">
        <v>2</v>
      </c>
      <c r="E4255">
        <v>559.99</v>
      </c>
      <c r="F4255">
        <v>0.1</v>
      </c>
      <c r="G4255">
        <v>1119.93</v>
      </c>
      <c r="H4255" t="s">
        <v>239</v>
      </c>
    </row>
    <row r="4256" spans="1:8" x14ac:dyDescent="0.35">
      <c r="A4256">
        <v>1550</v>
      </c>
      <c r="B4256">
        <v>2</v>
      </c>
      <c r="C4256">
        <v>245</v>
      </c>
      <c r="D4256">
        <v>1</v>
      </c>
      <c r="E4256">
        <v>659.99</v>
      </c>
      <c r="F4256">
        <v>0.1</v>
      </c>
      <c r="G4256">
        <v>659.92</v>
      </c>
      <c r="H4256" t="s">
        <v>240</v>
      </c>
    </row>
    <row r="4257" spans="1:8" x14ac:dyDescent="0.35">
      <c r="A4257">
        <v>1550</v>
      </c>
      <c r="B4257">
        <v>3</v>
      </c>
      <c r="C4257">
        <v>185</v>
      </c>
      <c r="D4257">
        <v>2</v>
      </c>
      <c r="E4257">
        <v>2799.99</v>
      </c>
      <c r="F4257">
        <v>0.1</v>
      </c>
      <c r="G4257">
        <v>5599.88</v>
      </c>
      <c r="H4257" t="s">
        <v>182</v>
      </c>
    </row>
    <row r="4258" spans="1:8" x14ac:dyDescent="0.35">
      <c r="A4258">
        <v>1550</v>
      </c>
      <c r="B4258">
        <v>4</v>
      </c>
      <c r="C4258">
        <v>148</v>
      </c>
      <c r="D4258">
        <v>1</v>
      </c>
      <c r="E4258">
        <v>5499.99</v>
      </c>
      <c r="F4258">
        <v>0.1</v>
      </c>
      <c r="G4258">
        <v>5499.92</v>
      </c>
      <c r="H4258" t="s">
        <v>145</v>
      </c>
    </row>
    <row r="4259" spans="1:8" x14ac:dyDescent="0.35">
      <c r="A4259">
        <v>1550</v>
      </c>
      <c r="B4259">
        <v>5</v>
      </c>
      <c r="C4259">
        <v>86</v>
      </c>
      <c r="D4259">
        <v>2</v>
      </c>
      <c r="E4259">
        <v>149.99</v>
      </c>
      <c r="F4259">
        <v>0.1</v>
      </c>
      <c r="G4259">
        <v>299.93</v>
      </c>
      <c r="H4259" t="s">
        <v>87</v>
      </c>
    </row>
    <row r="4260" spans="1:8" x14ac:dyDescent="0.35">
      <c r="A4260">
        <v>1552</v>
      </c>
      <c r="B4260">
        <v>1</v>
      </c>
      <c r="C4260">
        <v>197</v>
      </c>
      <c r="D4260">
        <v>1</v>
      </c>
      <c r="E4260">
        <v>2299.9899999999998</v>
      </c>
      <c r="F4260">
        <v>0.1</v>
      </c>
      <c r="G4260">
        <v>2299.89</v>
      </c>
      <c r="H4260" t="s">
        <v>194</v>
      </c>
    </row>
    <row r="4261" spans="1:8" x14ac:dyDescent="0.35">
      <c r="A4261">
        <v>1552</v>
      </c>
      <c r="B4261">
        <v>2</v>
      </c>
      <c r="C4261">
        <v>41</v>
      </c>
      <c r="D4261">
        <v>2</v>
      </c>
      <c r="E4261">
        <v>1469.99</v>
      </c>
      <c r="F4261">
        <v>0.1</v>
      </c>
      <c r="G4261">
        <v>2939.93</v>
      </c>
      <c r="H4261" t="s">
        <v>42</v>
      </c>
    </row>
    <row r="4262" spans="1:8" x14ac:dyDescent="0.35">
      <c r="A4262">
        <v>1553</v>
      </c>
      <c r="B4262">
        <v>1</v>
      </c>
      <c r="C4262">
        <v>102</v>
      </c>
      <c r="D4262">
        <v>1</v>
      </c>
      <c r="E4262">
        <v>489.99</v>
      </c>
      <c r="F4262">
        <v>0.1</v>
      </c>
      <c r="G4262">
        <v>489.92</v>
      </c>
      <c r="H4262" t="s">
        <v>65</v>
      </c>
    </row>
    <row r="4263" spans="1:8" x14ac:dyDescent="0.35">
      <c r="A4263">
        <v>1553</v>
      </c>
      <c r="B4263">
        <v>2</v>
      </c>
      <c r="C4263">
        <v>12</v>
      </c>
      <c r="D4263">
        <v>1</v>
      </c>
      <c r="E4263">
        <v>549.99</v>
      </c>
      <c r="F4263">
        <v>0.1</v>
      </c>
      <c r="G4263">
        <v>549.89</v>
      </c>
      <c r="H4263" t="s">
        <v>17</v>
      </c>
    </row>
    <row r="4264" spans="1:8" x14ac:dyDescent="0.35">
      <c r="A4264">
        <v>1553</v>
      </c>
      <c r="B4264">
        <v>3</v>
      </c>
      <c r="C4264">
        <v>251</v>
      </c>
      <c r="D4264">
        <v>1</v>
      </c>
      <c r="E4264">
        <v>2999.99</v>
      </c>
      <c r="F4264">
        <v>0.1</v>
      </c>
      <c r="G4264">
        <v>2999.94</v>
      </c>
      <c r="H4264" t="s">
        <v>195</v>
      </c>
    </row>
    <row r="4265" spans="1:8" x14ac:dyDescent="0.35">
      <c r="A4265">
        <v>1553</v>
      </c>
      <c r="B4265">
        <v>4</v>
      </c>
      <c r="C4265">
        <v>89</v>
      </c>
      <c r="D4265">
        <v>1</v>
      </c>
      <c r="E4265">
        <v>209.99</v>
      </c>
      <c r="F4265">
        <v>0.1</v>
      </c>
      <c r="G4265">
        <v>209.94</v>
      </c>
      <c r="H4265" t="s">
        <v>90</v>
      </c>
    </row>
    <row r="4266" spans="1:8" x14ac:dyDescent="0.35">
      <c r="A4266">
        <v>1554</v>
      </c>
      <c r="B4266">
        <v>1</v>
      </c>
      <c r="C4266">
        <v>166</v>
      </c>
      <c r="D4266">
        <v>1</v>
      </c>
      <c r="E4266">
        <v>749.99</v>
      </c>
      <c r="F4266">
        <v>0.1</v>
      </c>
      <c r="G4266">
        <v>749.94</v>
      </c>
      <c r="H4266" t="s">
        <v>163</v>
      </c>
    </row>
    <row r="4267" spans="1:8" x14ac:dyDescent="0.35">
      <c r="A4267">
        <v>1554</v>
      </c>
      <c r="B4267">
        <v>2</v>
      </c>
      <c r="C4267">
        <v>285</v>
      </c>
      <c r="D4267">
        <v>1</v>
      </c>
      <c r="E4267">
        <v>279.99</v>
      </c>
      <c r="F4267">
        <v>0.2</v>
      </c>
      <c r="G4267">
        <v>279.79000000000002</v>
      </c>
      <c r="H4267" t="s">
        <v>275</v>
      </c>
    </row>
    <row r="4268" spans="1:8" x14ac:dyDescent="0.35">
      <c r="A4268">
        <v>1555</v>
      </c>
      <c r="B4268">
        <v>1</v>
      </c>
      <c r="C4268">
        <v>24</v>
      </c>
      <c r="D4268">
        <v>2</v>
      </c>
      <c r="E4268">
        <v>549.99</v>
      </c>
      <c r="F4268">
        <v>0.1</v>
      </c>
      <c r="G4268">
        <v>1099.8800000000001</v>
      </c>
      <c r="H4268" t="s">
        <v>17</v>
      </c>
    </row>
    <row r="4269" spans="1:8" x14ac:dyDescent="0.35">
      <c r="A4269">
        <v>1555</v>
      </c>
      <c r="B4269">
        <v>2</v>
      </c>
      <c r="C4269">
        <v>156</v>
      </c>
      <c r="D4269">
        <v>1</v>
      </c>
      <c r="E4269">
        <v>6499.99</v>
      </c>
      <c r="F4269">
        <v>0.1</v>
      </c>
      <c r="G4269">
        <v>6499.89</v>
      </c>
      <c r="H4269" t="s">
        <v>153</v>
      </c>
    </row>
    <row r="4270" spans="1:8" x14ac:dyDescent="0.35">
      <c r="A4270">
        <v>1555</v>
      </c>
      <c r="B4270">
        <v>3</v>
      </c>
      <c r="C4270">
        <v>126</v>
      </c>
      <c r="D4270">
        <v>1</v>
      </c>
      <c r="E4270">
        <v>469.99</v>
      </c>
      <c r="F4270">
        <v>0.1</v>
      </c>
      <c r="G4270">
        <v>469.89</v>
      </c>
      <c r="H4270" t="s">
        <v>123</v>
      </c>
    </row>
    <row r="4271" spans="1:8" x14ac:dyDescent="0.35">
      <c r="A4271">
        <v>1555</v>
      </c>
      <c r="B4271">
        <v>4</v>
      </c>
      <c r="C4271">
        <v>128</v>
      </c>
      <c r="D4271">
        <v>2</v>
      </c>
      <c r="E4271">
        <v>1899</v>
      </c>
      <c r="F4271">
        <v>0.1</v>
      </c>
      <c r="G4271">
        <v>3797.95</v>
      </c>
      <c r="H4271" t="s">
        <v>125</v>
      </c>
    </row>
    <row r="4272" spans="1:8" x14ac:dyDescent="0.35">
      <c r="A4272">
        <v>1555</v>
      </c>
      <c r="B4272">
        <v>5</v>
      </c>
      <c r="C4272">
        <v>174</v>
      </c>
      <c r="D4272">
        <v>1</v>
      </c>
      <c r="E4272">
        <v>3199.99</v>
      </c>
      <c r="F4272">
        <v>0.2</v>
      </c>
      <c r="G4272">
        <v>3199.79</v>
      </c>
      <c r="H4272" t="s">
        <v>171</v>
      </c>
    </row>
    <row r="4273" spans="1:8" x14ac:dyDescent="0.35">
      <c r="A4273">
        <v>1556</v>
      </c>
      <c r="B4273">
        <v>1</v>
      </c>
      <c r="C4273">
        <v>49</v>
      </c>
      <c r="D4273">
        <v>2</v>
      </c>
      <c r="E4273">
        <v>3499.99</v>
      </c>
      <c r="F4273">
        <v>0.2</v>
      </c>
      <c r="G4273">
        <v>6999.78</v>
      </c>
      <c r="H4273" t="s">
        <v>50</v>
      </c>
    </row>
    <row r="4274" spans="1:8" x14ac:dyDescent="0.35">
      <c r="A4274">
        <v>1556</v>
      </c>
      <c r="B4274">
        <v>2</v>
      </c>
      <c r="C4274">
        <v>82</v>
      </c>
      <c r="D4274">
        <v>1</v>
      </c>
      <c r="E4274">
        <v>659.99</v>
      </c>
      <c r="F4274">
        <v>0.1</v>
      </c>
      <c r="G4274">
        <v>659.92</v>
      </c>
      <c r="H4274" t="s">
        <v>83</v>
      </c>
    </row>
    <row r="4275" spans="1:8" x14ac:dyDescent="0.35">
      <c r="A4275">
        <v>1556</v>
      </c>
      <c r="B4275">
        <v>3</v>
      </c>
      <c r="C4275">
        <v>265</v>
      </c>
      <c r="D4275">
        <v>1</v>
      </c>
      <c r="E4275">
        <v>289.99</v>
      </c>
      <c r="F4275">
        <v>0.1</v>
      </c>
      <c r="G4275">
        <v>289.89</v>
      </c>
      <c r="H4275" t="s">
        <v>256</v>
      </c>
    </row>
    <row r="4276" spans="1:8" x14ac:dyDescent="0.35">
      <c r="A4276">
        <v>1556</v>
      </c>
      <c r="B4276">
        <v>4</v>
      </c>
      <c r="C4276">
        <v>119</v>
      </c>
      <c r="D4276">
        <v>2</v>
      </c>
      <c r="E4276">
        <v>469.99</v>
      </c>
      <c r="F4276">
        <v>0.1</v>
      </c>
      <c r="G4276">
        <v>939.93</v>
      </c>
      <c r="H4276" t="s">
        <v>116</v>
      </c>
    </row>
    <row r="4277" spans="1:8" x14ac:dyDescent="0.35">
      <c r="A4277">
        <v>1556</v>
      </c>
      <c r="B4277">
        <v>5</v>
      </c>
      <c r="C4277">
        <v>235</v>
      </c>
      <c r="D4277">
        <v>2</v>
      </c>
      <c r="E4277">
        <v>899.99</v>
      </c>
      <c r="F4277">
        <v>0.1</v>
      </c>
      <c r="G4277">
        <v>1799.88</v>
      </c>
      <c r="H4277" t="s">
        <v>230</v>
      </c>
    </row>
    <row r="4278" spans="1:8" x14ac:dyDescent="0.35">
      <c r="A4278">
        <v>1558</v>
      </c>
      <c r="B4278">
        <v>1</v>
      </c>
      <c r="C4278">
        <v>46</v>
      </c>
      <c r="D4278">
        <v>2</v>
      </c>
      <c r="E4278">
        <v>1409.99</v>
      </c>
      <c r="F4278">
        <v>0.1</v>
      </c>
      <c r="G4278">
        <v>2819.91</v>
      </c>
      <c r="H4278" t="s">
        <v>47</v>
      </c>
    </row>
    <row r="4279" spans="1:8" x14ac:dyDescent="0.35">
      <c r="A4279">
        <v>1558</v>
      </c>
      <c r="B4279">
        <v>2</v>
      </c>
      <c r="C4279">
        <v>123</v>
      </c>
      <c r="D4279">
        <v>1</v>
      </c>
      <c r="E4279">
        <v>999.99</v>
      </c>
      <c r="F4279">
        <v>0.1</v>
      </c>
      <c r="G4279">
        <v>999.92</v>
      </c>
      <c r="H4279" t="s">
        <v>120</v>
      </c>
    </row>
    <row r="4280" spans="1:8" x14ac:dyDescent="0.35">
      <c r="A4280">
        <v>1558</v>
      </c>
      <c r="B4280">
        <v>3</v>
      </c>
      <c r="C4280">
        <v>4</v>
      </c>
      <c r="D4280">
        <v>1</v>
      </c>
      <c r="E4280">
        <v>2899.99</v>
      </c>
      <c r="F4280">
        <v>0.1</v>
      </c>
      <c r="G4280">
        <v>2899.94</v>
      </c>
      <c r="H4280" t="s">
        <v>9</v>
      </c>
    </row>
    <row r="4281" spans="1:8" x14ac:dyDescent="0.35">
      <c r="A4281">
        <v>1558</v>
      </c>
      <c r="B4281">
        <v>4</v>
      </c>
      <c r="C4281">
        <v>55</v>
      </c>
      <c r="D4281">
        <v>1</v>
      </c>
      <c r="E4281">
        <v>2699.99</v>
      </c>
      <c r="F4281">
        <v>0.2</v>
      </c>
      <c r="G4281">
        <v>2699.79</v>
      </c>
      <c r="H4281" t="s">
        <v>56</v>
      </c>
    </row>
    <row r="4282" spans="1:8" x14ac:dyDescent="0.35">
      <c r="A4282">
        <v>1558</v>
      </c>
      <c r="B4282">
        <v>5</v>
      </c>
      <c r="C4282">
        <v>253</v>
      </c>
      <c r="D4282">
        <v>1</v>
      </c>
      <c r="E4282">
        <v>2599.9899999999998</v>
      </c>
      <c r="F4282">
        <v>0.1</v>
      </c>
      <c r="G4282">
        <v>2599.92</v>
      </c>
      <c r="H4282" t="s">
        <v>192</v>
      </c>
    </row>
    <row r="4283" spans="1:8" x14ac:dyDescent="0.35">
      <c r="A4283">
        <v>1559</v>
      </c>
      <c r="B4283">
        <v>1</v>
      </c>
      <c r="C4283">
        <v>101</v>
      </c>
      <c r="D4283">
        <v>2</v>
      </c>
      <c r="E4283">
        <v>339.99</v>
      </c>
      <c r="F4283">
        <v>0.1</v>
      </c>
      <c r="G4283">
        <v>679.91</v>
      </c>
      <c r="H4283" t="s">
        <v>101</v>
      </c>
    </row>
    <row r="4284" spans="1:8" x14ac:dyDescent="0.35">
      <c r="A4284">
        <v>1559</v>
      </c>
      <c r="B4284">
        <v>2</v>
      </c>
      <c r="C4284">
        <v>18</v>
      </c>
      <c r="D4284">
        <v>1</v>
      </c>
      <c r="E4284">
        <v>449</v>
      </c>
      <c r="F4284">
        <v>0.1</v>
      </c>
      <c r="G4284">
        <v>448.9</v>
      </c>
      <c r="H4284" t="s">
        <v>23</v>
      </c>
    </row>
    <row r="4285" spans="1:8" x14ac:dyDescent="0.35">
      <c r="A4285">
        <v>1559</v>
      </c>
      <c r="B4285">
        <v>3</v>
      </c>
      <c r="C4285">
        <v>54</v>
      </c>
      <c r="D4285">
        <v>2</v>
      </c>
      <c r="E4285">
        <v>3199.99</v>
      </c>
      <c r="F4285">
        <v>0.1</v>
      </c>
      <c r="G4285">
        <v>6399.88</v>
      </c>
      <c r="H4285" t="s">
        <v>55</v>
      </c>
    </row>
    <row r="4286" spans="1:8" x14ac:dyDescent="0.35">
      <c r="A4286">
        <v>1559</v>
      </c>
      <c r="B4286">
        <v>4</v>
      </c>
      <c r="C4286">
        <v>221</v>
      </c>
      <c r="D4286">
        <v>1</v>
      </c>
      <c r="E4286">
        <v>319.99</v>
      </c>
      <c r="F4286">
        <v>0.1</v>
      </c>
      <c r="G4286">
        <v>319.89</v>
      </c>
      <c r="H4286" t="s">
        <v>216</v>
      </c>
    </row>
    <row r="4287" spans="1:8" x14ac:dyDescent="0.35">
      <c r="A4287">
        <v>1560</v>
      </c>
      <c r="B4287">
        <v>1</v>
      </c>
      <c r="C4287">
        <v>118</v>
      </c>
      <c r="D4287">
        <v>2</v>
      </c>
      <c r="E4287">
        <v>999.99</v>
      </c>
      <c r="F4287">
        <v>0.2</v>
      </c>
      <c r="G4287">
        <v>1999.78</v>
      </c>
      <c r="H4287" t="s">
        <v>115</v>
      </c>
    </row>
    <row r="4288" spans="1:8" x14ac:dyDescent="0.35">
      <c r="A4288">
        <v>1560</v>
      </c>
      <c r="B4288">
        <v>2</v>
      </c>
      <c r="C4288">
        <v>41</v>
      </c>
      <c r="D4288">
        <v>1</v>
      </c>
      <c r="E4288">
        <v>1469.99</v>
      </c>
      <c r="F4288">
        <v>0.2</v>
      </c>
      <c r="G4288">
        <v>1469.79</v>
      </c>
      <c r="H4288" t="s">
        <v>42</v>
      </c>
    </row>
    <row r="4289" spans="1:8" x14ac:dyDescent="0.35">
      <c r="A4289">
        <v>1561</v>
      </c>
      <c r="B4289">
        <v>1</v>
      </c>
      <c r="C4289">
        <v>181</v>
      </c>
      <c r="D4289">
        <v>2</v>
      </c>
      <c r="E4289">
        <v>2199.9899999999998</v>
      </c>
      <c r="F4289">
        <v>0.1</v>
      </c>
      <c r="G4289">
        <v>4399.91</v>
      </c>
      <c r="H4289" t="s">
        <v>178</v>
      </c>
    </row>
    <row r="4290" spans="1:8" x14ac:dyDescent="0.35">
      <c r="A4290">
        <v>1561</v>
      </c>
      <c r="B4290">
        <v>2</v>
      </c>
      <c r="C4290">
        <v>297</v>
      </c>
      <c r="D4290">
        <v>2</v>
      </c>
      <c r="E4290">
        <v>279.99</v>
      </c>
      <c r="F4290">
        <v>0.1</v>
      </c>
      <c r="G4290">
        <v>559.92999999999995</v>
      </c>
      <c r="H4290" t="s">
        <v>287</v>
      </c>
    </row>
    <row r="4291" spans="1:8" x14ac:dyDescent="0.35">
      <c r="A4291">
        <v>1562</v>
      </c>
      <c r="B4291">
        <v>1</v>
      </c>
      <c r="C4291">
        <v>54</v>
      </c>
      <c r="D4291">
        <v>1</v>
      </c>
      <c r="E4291">
        <v>3199.99</v>
      </c>
      <c r="F4291">
        <v>0.2</v>
      </c>
      <c r="G4291">
        <v>3199.79</v>
      </c>
      <c r="H4291" t="s">
        <v>55</v>
      </c>
    </row>
    <row r="4292" spans="1:8" x14ac:dyDescent="0.35">
      <c r="A4292">
        <v>1562</v>
      </c>
      <c r="B4292">
        <v>2</v>
      </c>
      <c r="C4292">
        <v>66</v>
      </c>
      <c r="D4292">
        <v>1</v>
      </c>
      <c r="E4292">
        <v>250.99</v>
      </c>
      <c r="F4292">
        <v>0.2</v>
      </c>
      <c r="G4292">
        <v>250.79</v>
      </c>
      <c r="H4292" t="s">
        <v>67</v>
      </c>
    </row>
    <row r="4293" spans="1:8" x14ac:dyDescent="0.35">
      <c r="A4293">
        <v>1562</v>
      </c>
      <c r="B4293">
        <v>3</v>
      </c>
      <c r="C4293">
        <v>115</v>
      </c>
      <c r="D4293">
        <v>2</v>
      </c>
      <c r="E4293">
        <v>3199.99</v>
      </c>
      <c r="F4293">
        <v>0.1</v>
      </c>
      <c r="G4293">
        <v>6399.91</v>
      </c>
      <c r="H4293" t="s">
        <v>112</v>
      </c>
    </row>
    <row r="4294" spans="1:8" x14ac:dyDescent="0.35">
      <c r="A4294">
        <v>1564</v>
      </c>
      <c r="B4294">
        <v>1</v>
      </c>
      <c r="C4294">
        <v>309</v>
      </c>
      <c r="D4294">
        <v>1</v>
      </c>
      <c r="E4294">
        <v>899.99</v>
      </c>
      <c r="F4294">
        <v>0.1</v>
      </c>
      <c r="G4294">
        <v>899.92</v>
      </c>
      <c r="H4294" t="s">
        <v>247</v>
      </c>
    </row>
    <row r="4295" spans="1:8" x14ac:dyDescent="0.35">
      <c r="A4295">
        <v>1564</v>
      </c>
      <c r="B4295">
        <v>2</v>
      </c>
      <c r="C4295">
        <v>14</v>
      </c>
      <c r="D4295">
        <v>1</v>
      </c>
      <c r="E4295">
        <v>269.99</v>
      </c>
      <c r="F4295">
        <v>0.1</v>
      </c>
      <c r="G4295">
        <v>269.89</v>
      </c>
      <c r="H4295" t="s">
        <v>19</v>
      </c>
    </row>
    <row r="4296" spans="1:8" x14ac:dyDescent="0.35">
      <c r="A4296">
        <v>1565</v>
      </c>
      <c r="B4296">
        <v>1</v>
      </c>
      <c r="C4296">
        <v>37</v>
      </c>
      <c r="D4296">
        <v>1</v>
      </c>
      <c r="E4296">
        <v>379.99</v>
      </c>
      <c r="F4296">
        <v>0.1</v>
      </c>
      <c r="G4296">
        <v>379.92</v>
      </c>
      <c r="H4296" t="s">
        <v>38</v>
      </c>
    </row>
    <row r="4297" spans="1:8" x14ac:dyDescent="0.35">
      <c r="A4297">
        <v>1565</v>
      </c>
      <c r="B4297">
        <v>2</v>
      </c>
      <c r="C4297">
        <v>92</v>
      </c>
      <c r="D4297">
        <v>1</v>
      </c>
      <c r="E4297">
        <v>209.99</v>
      </c>
      <c r="F4297">
        <v>0.1</v>
      </c>
      <c r="G4297">
        <v>209.89</v>
      </c>
      <c r="H4297" t="s">
        <v>93</v>
      </c>
    </row>
    <row r="4298" spans="1:8" x14ac:dyDescent="0.35">
      <c r="A4298">
        <v>1565</v>
      </c>
      <c r="B4298">
        <v>3</v>
      </c>
      <c r="C4298">
        <v>261</v>
      </c>
      <c r="D4298">
        <v>1</v>
      </c>
      <c r="E4298">
        <v>899.99</v>
      </c>
      <c r="F4298">
        <v>0.1</v>
      </c>
      <c r="G4298">
        <v>899.89</v>
      </c>
      <c r="H4298" t="s">
        <v>252</v>
      </c>
    </row>
    <row r="4299" spans="1:8" x14ac:dyDescent="0.35">
      <c r="A4299">
        <v>1565</v>
      </c>
      <c r="B4299">
        <v>4</v>
      </c>
      <c r="C4299">
        <v>95</v>
      </c>
      <c r="D4299">
        <v>1</v>
      </c>
      <c r="E4299">
        <v>299.99</v>
      </c>
      <c r="F4299">
        <v>0.1</v>
      </c>
      <c r="G4299">
        <v>299.92</v>
      </c>
      <c r="H4299" t="s">
        <v>77</v>
      </c>
    </row>
    <row r="4300" spans="1:8" x14ac:dyDescent="0.35">
      <c r="A4300">
        <v>1565</v>
      </c>
      <c r="B4300">
        <v>5</v>
      </c>
      <c r="C4300">
        <v>226</v>
      </c>
      <c r="D4300">
        <v>2</v>
      </c>
      <c r="E4300">
        <v>679.99</v>
      </c>
      <c r="F4300">
        <v>0.2</v>
      </c>
      <c r="G4300">
        <v>1359.78</v>
      </c>
      <c r="H4300" t="s">
        <v>221</v>
      </c>
    </row>
    <row r="4301" spans="1:8" x14ac:dyDescent="0.35">
      <c r="A4301">
        <v>1566</v>
      </c>
      <c r="B4301">
        <v>1</v>
      </c>
      <c r="C4301">
        <v>179</v>
      </c>
      <c r="D4301">
        <v>1</v>
      </c>
      <c r="E4301">
        <v>919.99</v>
      </c>
      <c r="F4301">
        <v>0.1</v>
      </c>
      <c r="G4301">
        <v>919.94</v>
      </c>
      <c r="H4301" t="s">
        <v>176</v>
      </c>
    </row>
    <row r="4302" spans="1:8" x14ac:dyDescent="0.35">
      <c r="A4302">
        <v>1566</v>
      </c>
      <c r="B4302">
        <v>2</v>
      </c>
      <c r="C4302">
        <v>61</v>
      </c>
      <c r="D4302">
        <v>2</v>
      </c>
      <c r="E4302">
        <v>4999.99</v>
      </c>
      <c r="F4302">
        <v>0.1</v>
      </c>
      <c r="G4302">
        <v>9999.93</v>
      </c>
      <c r="H4302" t="s">
        <v>62</v>
      </c>
    </row>
    <row r="4303" spans="1:8" x14ac:dyDescent="0.35">
      <c r="A4303">
        <v>1568</v>
      </c>
      <c r="B4303">
        <v>1</v>
      </c>
      <c r="C4303">
        <v>146</v>
      </c>
      <c r="D4303">
        <v>1</v>
      </c>
      <c r="E4303">
        <v>4999.99</v>
      </c>
      <c r="F4303">
        <v>0.2</v>
      </c>
      <c r="G4303">
        <v>4999.79</v>
      </c>
      <c r="H4303" t="s">
        <v>143</v>
      </c>
    </row>
    <row r="4304" spans="1:8" x14ac:dyDescent="0.35">
      <c r="A4304">
        <v>1568</v>
      </c>
      <c r="B4304">
        <v>2</v>
      </c>
      <c r="C4304">
        <v>105</v>
      </c>
      <c r="D4304">
        <v>1</v>
      </c>
      <c r="E4304">
        <v>533.99</v>
      </c>
      <c r="F4304">
        <v>0.1</v>
      </c>
      <c r="G4304">
        <v>533.91999999999996</v>
      </c>
      <c r="H4304" t="s">
        <v>104</v>
      </c>
    </row>
    <row r="4305" spans="1:8" x14ac:dyDescent="0.35">
      <c r="A4305">
        <v>1568</v>
      </c>
      <c r="B4305">
        <v>3</v>
      </c>
      <c r="C4305">
        <v>301</v>
      </c>
      <c r="D4305">
        <v>1</v>
      </c>
      <c r="E4305">
        <v>899.99</v>
      </c>
      <c r="F4305">
        <v>0.1</v>
      </c>
      <c r="G4305">
        <v>899.89</v>
      </c>
      <c r="H4305" t="s">
        <v>252</v>
      </c>
    </row>
    <row r="4306" spans="1:8" x14ac:dyDescent="0.35">
      <c r="A4306">
        <v>1571</v>
      </c>
      <c r="B4306">
        <v>1</v>
      </c>
      <c r="C4306">
        <v>312</v>
      </c>
      <c r="D4306">
        <v>2</v>
      </c>
      <c r="E4306">
        <v>699.99</v>
      </c>
      <c r="F4306">
        <v>0.1</v>
      </c>
      <c r="G4306">
        <v>1399.88</v>
      </c>
      <c r="H4306" t="s">
        <v>237</v>
      </c>
    </row>
    <row r="4307" spans="1:8" x14ac:dyDescent="0.35">
      <c r="A4307">
        <v>1571</v>
      </c>
      <c r="B4307">
        <v>2</v>
      </c>
      <c r="C4307">
        <v>212</v>
      </c>
      <c r="D4307">
        <v>1</v>
      </c>
      <c r="E4307">
        <v>559.99</v>
      </c>
      <c r="F4307">
        <v>0.1</v>
      </c>
      <c r="G4307">
        <v>559.91999999999996</v>
      </c>
      <c r="H4307" t="s">
        <v>207</v>
      </c>
    </row>
    <row r="4308" spans="1:8" x14ac:dyDescent="0.35">
      <c r="A4308">
        <v>1571</v>
      </c>
      <c r="B4308">
        <v>3</v>
      </c>
      <c r="C4308">
        <v>20</v>
      </c>
      <c r="D4308">
        <v>2</v>
      </c>
      <c r="E4308">
        <v>599.99</v>
      </c>
      <c r="F4308">
        <v>0.2</v>
      </c>
      <c r="G4308">
        <v>1199.78</v>
      </c>
      <c r="H4308" t="s">
        <v>25</v>
      </c>
    </row>
    <row r="4309" spans="1:8" x14ac:dyDescent="0.35">
      <c r="A4309">
        <v>1572</v>
      </c>
      <c r="B4309">
        <v>1</v>
      </c>
      <c r="C4309">
        <v>216</v>
      </c>
      <c r="D4309">
        <v>2</v>
      </c>
      <c r="E4309">
        <v>899.99</v>
      </c>
      <c r="F4309">
        <v>0.1</v>
      </c>
      <c r="G4309">
        <v>1799.93</v>
      </c>
      <c r="H4309" t="s">
        <v>211</v>
      </c>
    </row>
    <row r="4310" spans="1:8" x14ac:dyDescent="0.35">
      <c r="A4310">
        <v>1572</v>
      </c>
      <c r="B4310">
        <v>2</v>
      </c>
      <c r="C4310">
        <v>198</v>
      </c>
      <c r="D4310">
        <v>1</v>
      </c>
      <c r="E4310">
        <v>2999.99</v>
      </c>
      <c r="F4310">
        <v>0.2</v>
      </c>
      <c r="G4310">
        <v>2999.79</v>
      </c>
      <c r="H4310" t="s">
        <v>195</v>
      </c>
    </row>
    <row r="4311" spans="1:8" x14ac:dyDescent="0.35">
      <c r="A4311">
        <v>1572</v>
      </c>
      <c r="B4311">
        <v>3</v>
      </c>
      <c r="C4311">
        <v>115</v>
      </c>
      <c r="D4311">
        <v>1</v>
      </c>
      <c r="E4311">
        <v>3199.99</v>
      </c>
      <c r="F4311">
        <v>0.1</v>
      </c>
      <c r="G4311">
        <v>3199.94</v>
      </c>
      <c r="H4311" t="s">
        <v>112</v>
      </c>
    </row>
    <row r="4312" spans="1:8" x14ac:dyDescent="0.35">
      <c r="A4312">
        <v>1572</v>
      </c>
      <c r="B4312">
        <v>4</v>
      </c>
      <c r="C4312">
        <v>304</v>
      </c>
      <c r="D4312">
        <v>2</v>
      </c>
      <c r="E4312">
        <v>679.99</v>
      </c>
      <c r="F4312">
        <v>0.2</v>
      </c>
      <c r="G4312">
        <v>1359.78</v>
      </c>
      <c r="H4312" t="s">
        <v>221</v>
      </c>
    </row>
    <row r="4313" spans="1:8" x14ac:dyDescent="0.35">
      <c r="A4313">
        <v>1573</v>
      </c>
      <c r="B4313">
        <v>1</v>
      </c>
      <c r="C4313">
        <v>9</v>
      </c>
      <c r="D4313">
        <v>1</v>
      </c>
      <c r="E4313">
        <v>2999.99</v>
      </c>
      <c r="F4313">
        <v>0.1</v>
      </c>
      <c r="G4313">
        <v>2999.94</v>
      </c>
      <c r="H4313" t="s">
        <v>14</v>
      </c>
    </row>
    <row r="4314" spans="1:8" x14ac:dyDescent="0.35">
      <c r="A4314">
        <v>1573</v>
      </c>
      <c r="B4314">
        <v>2</v>
      </c>
      <c r="C4314">
        <v>129</v>
      </c>
      <c r="D4314">
        <v>1</v>
      </c>
      <c r="E4314">
        <v>919.99</v>
      </c>
      <c r="F4314">
        <v>0.1</v>
      </c>
      <c r="G4314">
        <v>919.92</v>
      </c>
      <c r="H4314" t="s">
        <v>126</v>
      </c>
    </row>
    <row r="4315" spans="1:8" x14ac:dyDescent="0.35">
      <c r="A4315">
        <v>1573</v>
      </c>
      <c r="B4315">
        <v>3</v>
      </c>
      <c r="C4315">
        <v>15</v>
      </c>
      <c r="D4315">
        <v>2</v>
      </c>
      <c r="E4315">
        <v>529.99</v>
      </c>
      <c r="F4315">
        <v>0.1</v>
      </c>
      <c r="G4315">
        <v>1059.8800000000001</v>
      </c>
      <c r="H4315" t="s">
        <v>20</v>
      </c>
    </row>
    <row r="4316" spans="1:8" x14ac:dyDescent="0.35">
      <c r="A4316">
        <v>1573</v>
      </c>
      <c r="B4316">
        <v>4</v>
      </c>
      <c r="C4316">
        <v>216</v>
      </c>
      <c r="D4316">
        <v>2</v>
      </c>
      <c r="E4316">
        <v>899.99</v>
      </c>
      <c r="F4316">
        <v>0.1</v>
      </c>
      <c r="G4316">
        <v>1799.91</v>
      </c>
      <c r="H4316" t="s">
        <v>211</v>
      </c>
    </row>
    <row r="4317" spans="1:8" x14ac:dyDescent="0.35">
      <c r="A4317">
        <v>1573</v>
      </c>
      <c r="B4317">
        <v>5</v>
      </c>
      <c r="C4317">
        <v>263</v>
      </c>
      <c r="D4317">
        <v>2</v>
      </c>
      <c r="E4317">
        <v>89.99</v>
      </c>
      <c r="F4317">
        <v>0.1</v>
      </c>
      <c r="G4317">
        <v>179.88</v>
      </c>
      <c r="H4317" t="s">
        <v>254</v>
      </c>
    </row>
    <row r="4318" spans="1:8" x14ac:dyDescent="0.35">
      <c r="A4318">
        <v>1575</v>
      </c>
      <c r="B4318">
        <v>1</v>
      </c>
      <c r="C4318">
        <v>44</v>
      </c>
      <c r="D4318">
        <v>1</v>
      </c>
      <c r="E4318">
        <v>539.99</v>
      </c>
      <c r="F4318">
        <v>0.1</v>
      </c>
      <c r="G4318">
        <v>539.91999999999996</v>
      </c>
      <c r="H4318" t="s">
        <v>45</v>
      </c>
    </row>
    <row r="4319" spans="1:8" x14ac:dyDescent="0.35">
      <c r="A4319">
        <v>1575</v>
      </c>
      <c r="B4319">
        <v>2</v>
      </c>
      <c r="C4319">
        <v>207</v>
      </c>
      <c r="D4319">
        <v>2</v>
      </c>
      <c r="E4319">
        <v>3999.99</v>
      </c>
      <c r="F4319">
        <v>0.1</v>
      </c>
      <c r="G4319">
        <v>7999.88</v>
      </c>
      <c r="H4319" t="s">
        <v>204</v>
      </c>
    </row>
    <row r="4320" spans="1:8" x14ac:dyDescent="0.35">
      <c r="A4320">
        <v>1575</v>
      </c>
      <c r="B4320">
        <v>3</v>
      </c>
      <c r="C4320">
        <v>213</v>
      </c>
      <c r="D4320">
        <v>1</v>
      </c>
      <c r="E4320">
        <v>269.99</v>
      </c>
      <c r="F4320">
        <v>0.1</v>
      </c>
      <c r="G4320">
        <v>269.92</v>
      </c>
      <c r="H4320" t="s">
        <v>208</v>
      </c>
    </row>
    <row r="4321" spans="1:8" x14ac:dyDescent="0.35">
      <c r="A4321">
        <v>1575</v>
      </c>
      <c r="B4321">
        <v>4</v>
      </c>
      <c r="C4321">
        <v>126</v>
      </c>
      <c r="D4321">
        <v>2</v>
      </c>
      <c r="E4321">
        <v>469.99</v>
      </c>
      <c r="F4321">
        <v>0.1</v>
      </c>
      <c r="G4321">
        <v>939.93</v>
      </c>
      <c r="H4321" t="s">
        <v>123</v>
      </c>
    </row>
    <row r="4322" spans="1:8" x14ac:dyDescent="0.35">
      <c r="A4322">
        <v>1575</v>
      </c>
      <c r="B4322">
        <v>5</v>
      </c>
      <c r="C4322">
        <v>92</v>
      </c>
      <c r="D4322">
        <v>2</v>
      </c>
      <c r="E4322">
        <v>209.99</v>
      </c>
      <c r="F4322">
        <v>0.2</v>
      </c>
      <c r="G4322">
        <v>419.78</v>
      </c>
      <c r="H4322" t="s">
        <v>93</v>
      </c>
    </row>
    <row r="4323" spans="1:8" x14ac:dyDescent="0.35">
      <c r="A4323">
        <v>1576</v>
      </c>
      <c r="B4323">
        <v>1</v>
      </c>
      <c r="C4323">
        <v>69</v>
      </c>
      <c r="D4323">
        <v>1</v>
      </c>
      <c r="E4323">
        <v>416.99</v>
      </c>
      <c r="F4323">
        <v>0.1</v>
      </c>
      <c r="G4323">
        <v>416.94</v>
      </c>
      <c r="H4323" t="s">
        <v>70</v>
      </c>
    </row>
    <row r="4324" spans="1:8" x14ac:dyDescent="0.35">
      <c r="A4324">
        <v>1576</v>
      </c>
      <c r="B4324">
        <v>2</v>
      </c>
      <c r="C4324">
        <v>293</v>
      </c>
      <c r="D4324">
        <v>1</v>
      </c>
      <c r="E4324">
        <v>319.99</v>
      </c>
      <c r="F4324">
        <v>0.1</v>
      </c>
      <c r="G4324">
        <v>319.94</v>
      </c>
      <c r="H4324" t="s">
        <v>283</v>
      </c>
    </row>
    <row r="4325" spans="1:8" x14ac:dyDescent="0.35">
      <c r="A4325">
        <v>1576</v>
      </c>
      <c r="B4325">
        <v>3</v>
      </c>
      <c r="C4325">
        <v>202</v>
      </c>
      <c r="D4325">
        <v>2</v>
      </c>
      <c r="E4325">
        <v>3499.99</v>
      </c>
      <c r="F4325">
        <v>0.1</v>
      </c>
      <c r="G4325">
        <v>6999.93</v>
      </c>
      <c r="H4325" t="s">
        <v>199</v>
      </c>
    </row>
    <row r="4326" spans="1:8" x14ac:dyDescent="0.35">
      <c r="A4326">
        <v>1577</v>
      </c>
      <c r="B4326">
        <v>1</v>
      </c>
      <c r="C4326">
        <v>298</v>
      </c>
      <c r="D4326">
        <v>2</v>
      </c>
      <c r="E4326">
        <v>279.99</v>
      </c>
      <c r="F4326">
        <v>0.1</v>
      </c>
      <c r="G4326">
        <v>559.92999999999995</v>
      </c>
      <c r="H4326" t="s">
        <v>288</v>
      </c>
    </row>
    <row r="4327" spans="1:8" x14ac:dyDescent="0.35">
      <c r="A4327">
        <v>1577</v>
      </c>
      <c r="B4327">
        <v>2</v>
      </c>
      <c r="C4327">
        <v>111</v>
      </c>
      <c r="D4327">
        <v>2</v>
      </c>
      <c r="E4327">
        <v>470.99</v>
      </c>
      <c r="F4327">
        <v>0.1</v>
      </c>
      <c r="G4327">
        <v>941.88</v>
      </c>
      <c r="H4327" t="s">
        <v>108</v>
      </c>
    </row>
    <row r="4328" spans="1:8" x14ac:dyDescent="0.35">
      <c r="A4328">
        <v>1577</v>
      </c>
      <c r="B4328">
        <v>3</v>
      </c>
      <c r="C4328">
        <v>300</v>
      </c>
      <c r="D4328">
        <v>2</v>
      </c>
      <c r="E4328">
        <v>799.99</v>
      </c>
      <c r="F4328">
        <v>0.2</v>
      </c>
      <c r="G4328">
        <v>1599.78</v>
      </c>
      <c r="H4328" t="s">
        <v>251</v>
      </c>
    </row>
    <row r="4329" spans="1:8" x14ac:dyDescent="0.35">
      <c r="A4329">
        <v>1577</v>
      </c>
      <c r="B4329">
        <v>4</v>
      </c>
      <c r="C4329">
        <v>131</v>
      </c>
      <c r="D4329">
        <v>2</v>
      </c>
      <c r="E4329">
        <v>2599</v>
      </c>
      <c r="F4329">
        <v>0.1</v>
      </c>
      <c r="G4329">
        <v>5197.93</v>
      </c>
      <c r="H4329" t="s">
        <v>128</v>
      </c>
    </row>
    <row r="4330" spans="1:8" x14ac:dyDescent="0.35">
      <c r="A4330">
        <v>1577</v>
      </c>
      <c r="B4330">
        <v>5</v>
      </c>
      <c r="C4330">
        <v>282</v>
      </c>
      <c r="D4330">
        <v>2</v>
      </c>
      <c r="E4330">
        <v>279.99</v>
      </c>
      <c r="F4330">
        <v>0.1</v>
      </c>
      <c r="G4330">
        <v>559.92999999999995</v>
      </c>
      <c r="H4330" t="s">
        <v>272</v>
      </c>
    </row>
    <row r="4331" spans="1:8" x14ac:dyDescent="0.35">
      <c r="A4331">
        <v>1578</v>
      </c>
      <c r="B4331">
        <v>1</v>
      </c>
      <c r="C4331">
        <v>204</v>
      </c>
      <c r="D4331">
        <v>2</v>
      </c>
      <c r="E4331">
        <v>3599.99</v>
      </c>
      <c r="F4331">
        <v>0.1</v>
      </c>
      <c r="G4331">
        <v>7199.91</v>
      </c>
      <c r="H4331" t="s">
        <v>201</v>
      </c>
    </row>
    <row r="4332" spans="1:8" x14ac:dyDescent="0.35">
      <c r="A4332">
        <v>1578</v>
      </c>
      <c r="B4332">
        <v>2</v>
      </c>
      <c r="C4332">
        <v>310</v>
      </c>
      <c r="D4332">
        <v>1</v>
      </c>
      <c r="E4332">
        <v>899.99</v>
      </c>
      <c r="F4332">
        <v>0.1</v>
      </c>
      <c r="G4332">
        <v>899.94</v>
      </c>
      <c r="H4332" t="s">
        <v>235</v>
      </c>
    </row>
    <row r="4333" spans="1:8" x14ac:dyDescent="0.35">
      <c r="A4333">
        <v>1578</v>
      </c>
      <c r="B4333">
        <v>3</v>
      </c>
      <c r="C4333">
        <v>241</v>
      </c>
      <c r="D4333">
        <v>2</v>
      </c>
      <c r="E4333">
        <v>749.99</v>
      </c>
      <c r="F4333">
        <v>0.2</v>
      </c>
      <c r="G4333">
        <v>1499.78</v>
      </c>
      <c r="H4333" t="s">
        <v>236</v>
      </c>
    </row>
    <row r="4334" spans="1:8" x14ac:dyDescent="0.35">
      <c r="A4334">
        <v>1579</v>
      </c>
      <c r="B4334">
        <v>1</v>
      </c>
      <c r="C4334">
        <v>49</v>
      </c>
      <c r="D4334">
        <v>1</v>
      </c>
      <c r="E4334">
        <v>3499.99</v>
      </c>
      <c r="F4334">
        <v>0.1</v>
      </c>
      <c r="G4334">
        <v>3499.94</v>
      </c>
      <c r="H4334" t="s">
        <v>50</v>
      </c>
    </row>
    <row r="4335" spans="1:8" x14ac:dyDescent="0.35">
      <c r="A4335">
        <v>1579</v>
      </c>
      <c r="B4335">
        <v>2</v>
      </c>
      <c r="C4335">
        <v>214</v>
      </c>
      <c r="D4335">
        <v>1</v>
      </c>
      <c r="E4335">
        <v>899.99</v>
      </c>
      <c r="F4335">
        <v>0.1</v>
      </c>
      <c r="G4335">
        <v>899.89</v>
      </c>
      <c r="H4335" t="s">
        <v>209</v>
      </c>
    </row>
    <row r="4336" spans="1:8" x14ac:dyDescent="0.35">
      <c r="A4336">
        <v>1579</v>
      </c>
      <c r="B4336">
        <v>3</v>
      </c>
      <c r="C4336">
        <v>286</v>
      </c>
      <c r="D4336">
        <v>1</v>
      </c>
      <c r="E4336">
        <v>279.99</v>
      </c>
      <c r="F4336">
        <v>0.1</v>
      </c>
      <c r="G4336">
        <v>279.92</v>
      </c>
      <c r="H4336" t="s">
        <v>276</v>
      </c>
    </row>
    <row r="4337" spans="1:8" x14ac:dyDescent="0.35">
      <c r="A4337">
        <v>1579</v>
      </c>
      <c r="B4337">
        <v>4</v>
      </c>
      <c r="C4337">
        <v>65</v>
      </c>
      <c r="D4337">
        <v>2</v>
      </c>
      <c r="E4337">
        <v>346.99</v>
      </c>
      <c r="F4337">
        <v>0.1</v>
      </c>
      <c r="G4337">
        <v>693.88</v>
      </c>
      <c r="H4337" t="s">
        <v>66</v>
      </c>
    </row>
    <row r="4338" spans="1:8" x14ac:dyDescent="0.35">
      <c r="A4338">
        <v>1580</v>
      </c>
      <c r="B4338">
        <v>1</v>
      </c>
      <c r="C4338">
        <v>119</v>
      </c>
      <c r="D4338">
        <v>2</v>
      </c>
      <c r="E4338">
        <v>469.99</v>
      </c>
      <c r="F4338">
        <v>0.1</v>
      </c>
      <c r="G4338">
        <v>939.91</v>
      </c>
      <c r="H4338" t="s">
        <v>116</v>
      </c>
    </row>
    <row r="4339" spans="1:8" x14ac:dyDescent="0.35">
      <c r="A4339">
        <v>1580</v>
      </c>
      <c r="B4339">
        <v>2</v>
      </c>
      <c r="C4339">
        <v>86</v>
      </c>
      <c r="D4339">
        <v>2</v>
      </c>
      <c r="E4339">
        <v>149.99</v>
      </c>
      <c r="F4339">
        <v>0.2</v>
      </c>
      <c r="G4339">
        <v>299.77999999999997</v>
      </c>
      <c r="H4339" t="s">
        <v>87</v>
      </c>
    </row>
    <row r="4340" spans="1:8" x14ac:dyDescent="0.35">
      <c r="A4340">
        <v>1581</v>
      </c>
      <c r="B4340">
        <v>1</v>
      </c>
      <c r="C4340">
        <v>64</v>
      </c>
      <c r="D4340">
        <v>1</v>
      </c>
      <c r="E4340">
        <v>489.99</v>
      </c>
      <c r="F4340">
        <v>0.1</v>
      </c>
      <c r="G4340">
        <v>489.89</v>
      </c>
      <c r="H4340" t="s">
        <v>65</v>
      </c>
    </row>
    <row r="4341" spans="1:8" x14ac:dyDescent="0.35">
      <c r="A4341">
        <v>1581</v>
      </c>
      <c r="B4341">
        <v>2</v>
      </c>
      <c r="C4341">
        <v>272</v>
      </c>
      <c r="D4341">
        <v>1</v>
      </c>
      <c r="E4341">
        <v>289.99</v>
      </c>
      <c r="F4341">
        <v>0.2</v>
      </c>
      <c r="G4341">
        <v>289.79000000000002</v>
      </c>
      <c r="H4341" t="s">
        <v>263</v>
      </c>
    </row>
    <row r="4342" spans="1:8" x14ac:dyDescent="0.35">
      <c r="A4342">
        <v>1582</v>
      </c>
      <c r="B4342">
        <v>1</v>
      </c>
      <c r="C4342">
        <v>75</v>
      </c>
      <c r="D4342">
        <v>1</v>
      </c>
      <c r="E4342">
        <v>599.99</v>
      </c>
      <c r="F4342">
        <v>0.1</v>
      </c>
      <c r="G4342">
        <v>599.91999999999996</v>
      </c>
      <c r="H4342" t="s">
        <v>76</v>
      </c>
    </row>
    <row r="4343" spans="1:8" x14ac:dyDescent="0.35">
      <c r="A4343">
        <v>1582</v>
      </c>
      <c r="B4343">
        <v>2</v>
      </c>
      <c r="C4343">
        <v>133</v>
      </c>
      <c r="D4343">
        <v>2</v>
      </c>
      <c r="E4343">
        <v>1499.99</v>
      </c>
      <c r="F4343">
        <v>0.1</v>
      </c>
      <c r="G4343">
        <v>2999.91</v>
      </c>
      <c r="H4343" t="s">
        <v>130</v>
      </c>
    </row>
    <row r="4344" spans="1:8" x14ac:dyDescent="0.35">
      <c r="A4344">
        <v>1583</v>
      </c>
      <c r="B4344">
        <v>1</v>
      </c>
      <c r="C4344">
        <v>15</v>
      </c>
      <c r="D4344">
        <v>1</v>
      </c>
      <c r="E4344">
        <v>529.99</v>
      </c>
      <c r="F4344">
        <v>0.1</v>
      </c>
      <c r="G4344">
        <v>529.94000000000005</v>
      </c>
      <c r="H4344" t="s">
        <v>20</v>
      </c>
    </row>
    <row r="4345" spans="1:8" x14ac:dyDescent="0.35">
      <c r="A4345">
        <v>1583</v>
      </c>
      <c r="B4345">
        <v>2</v>
      </c>
      <c r="C4345">
        <v>265</v>
      </c>
      <c r="D4345">
        <v>2</v>
      </c>
      <c r="E4345">
        <v>289.99</v>
      </c>
      <c r="F4345">
        <v>0.2</v>
      </c>
      <c r="G4345">
        <v>579.78</v>
      </c>
      <c r="H4345" t="s">
        <v>256</v>
      </c>
    </row>
    <row r="4346" spans="1:8" x14ac:dyDescent="0.35">
      <c r="A4346">
        <v>1584</v>
      </c>
      <c r="B4346">
        <v>1</v>
      </c>
      <c r="C4346">
        <v>45</v>
      </c>
      <c r="D4346">
        <v>2</v>
      </c>
      <c r="E4346">
        <v>869.99</v>
      </c>
      <c r="F4346">
        <v>0.1</v>
      </c>
      <c r="G4346">
        <v>1739.88</v>
      </c>
      <c r="H4346" t="s">
        <v>46</v>
      </c>
    </row>
    <row r="4347" spans="1:8" x14ac:dyDescent="0.35">
      <c r="A4347">
        <v>1584</v>
      </c>
      <c r="B4347">
        <v>2</v>
      </c>
      <c r="C4347">
        <v>216</v>
      </c>
      <c r="D4347">
        <v>2</v>
      </c>
      <c r="E4347">
        <v>899.99</v>
      </c>
      <c r="F4347">
        <v>0.1</v>
      </c>
      <c r="G4347">
        <v>1799.88</v>
      </c>
      <c r="H4347" t="s">
        <v>211</v>
      </c>
    </row>
    <row r="4348" spans="1:8" x14ac:dyDescent="0.35">
      <c r="A4348">
        <v>1584</v>
      </c>
      <c r="B4348">
        <v>3</v>
      </c>
      <c r="C4348">
        <v>43</v>
      </c>
      <c r="D4348">
        <v>1</v>
      </c>
      <c r="E4348">
        <v>5299.99</v>
      </c>
      <c r="F4348">
        <v>0.2</v>
      </c>
      <c r="G4348">
        <v>5299.79</v>
      </c>
      <c r="H4348" t="s">
        <v>44</v>
      </c>
    </row>
    <row r="4349" spans="1:8" x14ac:dyDescent="0.35">
      <c r="A4349">
        <v>1584</v>
      </c>
      <c r="B4349">
        <v>4</v>
      </c>
      <c r="C4349">
        <v>187</v>
      </c>
      <c r="D4349">
        <v>1</v>
      </c>
      <c r="E4349">
        <v>2799.99</v>
      </c>
      <c r="F4349">
        <v>0.1</v>
      </c>
      <c r="G4349">
        <v>2799.89</v>
      </c>
      <c r="H4349" t="s">
        <v>184</v>
      </c>
    </row>
    <row r="4350" spans="1:8" x14ac:dyDescent="0.35">
      <c r="A4350">
        <v>1584</v>
      </c>
      <c r="B4350">
        <v>5</v>
      </c>
      <c r="C4350">
        <v>147</v>
      </c>
      <c r="D4350">
        <v>2</v>
      </c>
      <c r="E4350">
        <v>1799.99</v>
      </c>
      <c r="F4350">
        <v>0.1</v>
      </c>
      <c r="G4350">
        <v>3599.91</v>
      </c>
      <c r="H4350" t="s">
        <v>144</v>
      </c>
    </row>
    <row r="4351" spans="1:8" x14ac:dyDescent="0.35">
      <c r="A4351">
        <v>1585</v>
      </c>
      <c r="B4351">
        <v>1</v>
      </c>
      <c r="C4351">
        <v>313</v>
      </c>
      <c r="D4351">
        <v>1</v>
      </c>
      <c r="E4351">
        <v>449.99</v>
      </c>
      <c r="F4351">
        <v>0.1</v>
      </c>
      <c r="G4351">
        <v>449.89</v>
      </c>
      <c r="H4351" t="s">
        <v>290</v>
      </c>
    </row>
    <row r="4352" spans="1:8" x14ac:dyDescent="0.35">
      <c r="A4352">
        <v>1585</v>
      </c>
      <c r="B4352">
        <v>2</v>
      </c>
      <c r="C4352">
        <v>106</v>
      </c>
      <c r="D4352">
        <v>2</v>
      </c>
      <c r="E4352">
        <v>449.99</v>
      </c>
      <c r="F4352">
        <v>0.1</v>
      </c>
      <c r="G4352">
        <v>899.88</v>
      </c>
      <c r="H4352" t="s">
        <v>69</v>
      </c>
    </row>
    <row r="4353" spans="1:8" x14ac:dyDescent="0.35">
      <c r="A4353">
        <v>1585</v>
      </c>
      <c r="B4353">
        <v>3</v>
      </c>
      <c r="C4353">
        <v>207</v>
      </c>
      <c r="D4353">
        <v>2</v>
      </c>
      <c r="E4353">
        <v>3999.99</v>
      </c>
      <c r="F4353">
        <v>0.1</v>
      </c>
      <c r="G4353">
        <v>7999.91</v>
      </c>
      <c r="H4353" t="s">
        <v>204</v>
      </c>
    </row>
    <row r="4354" spans="1:8" x14ac:dyDescent="0.35">
      <c r="A4354">
        <v>1585</v>
      </c>
      <c r="B4354">
        <v>4</v>
      </c>
      <c r="C4354">
        <v>95</v>
      </c>
      <c r="D4354">
        <v>1</v>
      </c>
      <c r="E4354">
        <v>299.99</v>
      </c>
      <c r="F4354">
        <v>0.1</v>
      </c>
      <c r="G4354">
        <v>299.89</v>
      </c>
      <c r="H4354" t="s">
        <v>77</v>
      </c>
    </row>
    <row r="4355" spans="1:8" x14ac:dyDescent="0.35">
      <c r="A4355">
        <v>1585</v>
      </c>
      <c r="B4355">
        <v>5</v>
      </c>
      <c r="C4355">
        <v>191</v>
      </c>
      <c r="D4355">
        <v>1</v>
      </c>
      <c r="E4355">
        <v>2799.99</v>
      </c>
      <c r="F4355">
        <v>0.1</v>
      </c>
      <c r="G4355">
        <v>2799.89</v>
      </c>
      <c r="H4355" t="s">
        <v>188</v>
      </c>
    </row>
    <row r="4356" spans="1:8" x14ac:dyDescent="0.35">
      <c r="A4356">
        <v>1586</v>
      </c>
      <c r="B4356">
        <v>1</v>
      </c>
      <c r="C4356">
        <v>22</v>
      </c>
      <c r="D4356">
        <v>2</v>
      </c>
      <c r="E4356">
        <v>269.99</v>
      </c>
      <c r="F4356">
        <v>0.1</v>
      </c>
      <c r="G4356">
        <v>539.88</v>
      </c>
      <c r="H4356" t="s">
        <v>19</v>
      </c>
    </row>
    <row r="4357" spans="1:8" x14ac:dyDescent="0.35">
      <c r="A4357">
        <v>1586</v>
      </c>
      <c r="B4357">
        <v>2</v>
      </c>
      <c r="C4357">
        <v>277</v>
      </c>
      <c r="D4357">
        <v>1</v>
      </c>
      <c r="E4357">
        <v>369.99</v>
      </c>
      <c r="F4357">
        <v>0.1</v>
      </c>
      <c r="G4357">
        <v>369.92</v>
      </c>
      <c r="H4357" t="s">
        <v>268</v>
      </c>
    </row>
    <row r="4358" spans="1:8" x14ac:dyDescent="0.35">
      <c r="A4358">
        <v>1586</v>
      </c>
      <c r="B4358">
        <v>3</v>
      </c>
      <c r="C4358">
        <v>295</v>
      </c>
      <c r="D4358">
        <v>1</v>
      </c>
      <c r="E4358">
        <v>319.99</v>
      </c>
      <c r="F4358">
        <v>0.1</v>
      </c>
      <c r="G4358">
        <v>319.94</v>
      </c>
      <c r="H4358" t="s">
        <v>285</v>
      </c>
    </row>
    <row r="4359" spans="1:8" x14ac:dyDescent="0.35">
      <c r="A4359">
        <v>1586</v>
      </c>
      <c r="B4359">
        <v>4</v>
      </c>
      <c r="C4359">
        <v>173</v>
      </c>
      <c r="D4359">
        <v>1</v>
      </c>
      <c r="E4359">
        <v>3199.99</v>
      </c>
      <c r="F4359">
        <v>0.2</v>
      </c>
      <c r="G4359">
        <v>3199.79</v>
      </c>
      <c r="H4359" t="s">
        <v>170</v>
      </c>
    </row>
    <row r="4360" spans="1:8" x14ac:dyDescent="0.35">
      <c r="A4360">
        <v>1586</v>
      </c>
      <c r="B4360">
        <v>5</v>
      </c>
      <c r="C4360">
        <v>36</v>
      </c>
      <c r="D4360">
        <v>1</v>
      </c>
      <c r="E4360">
        <v>832.99</v>
      </c>
      <c r="F4360">
        <v>0.1</v>
      </c>
      <c r="G4360">
        <v>832.89</v>
      </c>
      <c r="H4360" t="s">
        <v>37</v>
      </c>
    </row>
    <row r="4361" spans="1:8" x14ac:dyDescent="0.35">
      <c r="A4361">
        <v>1587</v>
      </c>
      <c r="B4361">
        <v>1</v>
      </c>
      <c r="C4361">
        <v>104</v>
      </c>
      <c r="D4361">
        <v>1</v>
      </c>
      <c r="E4361">
        <v>481.99</v>
      </c>
      <c r="F4361">
        <v>0.1</v>
      </c>
      <c r="G4361">
        <v>481.89</v>
      </c>
      <c r="H4361" t="s">
        <v>103</v>
      </c>
    </row>
    <row r="4362" spans="1:8" x14ac:dyDescent="0.35">
      <c r="A4362">
        <v>1587</v>
      </c>
      <c r="B4362">
        <v>2</v>
      </c>
      <c r="C4362">
        <v>63</v>
      </c>
      <c r="D4362">
        <v>2</v>
      </c>
      <c r="E4362">
        <v>3499.99</v>
      </c>
      <c r="F4362">
        <v>0.1</v>
      </c>
      <c r="G4362">
        <v>6999.93</v>
      </c>
      <c r="H4362" t="s">
        <v>64</v>
      </c>
    </row>
    <row r="4363" spans="1:8" x14ac:dyDescent="0.35">
      <c r="A4363">
        <v>1587</v>
      </c>
      <c r="B4363">
        <v>3</v>
      </c>
      <c r="C4363">
        <v>78</v>
      </c>
      <c r="D4363">
        <v>2</v>
      </c>
      <c r="E4363">
        <v>647.99</v>
      </c>
      <c r="F4363">
        <v>0.1</v>
      </c>
      <c r="G4363">
        <v>1295.93</v>
      </c>
      <c r="H4363" t="s">
        <v>79</v>
      </c>
    </row>
    <row r="4364" spans="1:8" x14ac:dyDescent="0.35">
      <c r="A4364">
        <v>1587</v>
      </c>
      <c r="B4364">
        <v>4</v>
      </c>
      <c r="C4364">
        <v>300</v>
      </c>
      <c r="D4364">
        <v>2</v>
      </c>
      <c r="E4364">
        <v>799.99</v>
      </c>
      <c r="F4364">
        <v>0.1</v>
      </c>
      <c r="G4364">
        <v>1599.91</v>
      </c>
      <c r="H4364" t="s">
        <v>251</v>
      </c>
    </row>
    <row r="4365" spans="1:8" x14ac:dyDescent="0.35">
      <c r="A4365">
        <v>1589</v>
      </c>
      <c r="B4365">
        <v>1</v>
      </c>
      <c r="C4365">
        <v>246</v>
      </c>
      <c r="D4365">
        <v>2</v>
      </c>
      <c r="E4365">
        <v>639.99</v>
      </c>
      <c r="F4365">
        <v>0.1</v>
      </c>
      <c r="G4365">
        <v>1279.93</v>
      </c>
      <c r="H4365" t="s">
        <v>241</v>
      </c>
    </row>
    <row r="4366" spans="1:8" x14ac:dyDescent="0.35">
      <c r="A4366">
        <v>1589</v>
      </c>
      <c r="B4366">
        <v>2</v>
      </c>
      <c r="C4366">
        <v>260</v>
      </c>
      <c r="D4366">
        <v>1</v>
      </c>
      <c r="E4366">
        <v>799.99</v>
      </c>
      <c r="F4366">
        <v>0.2</v>
      </c>
      <c r="G4366">
        <v>799.79</v>
      </c>
      <c r="H4366" t="s">
        <v>251</v>
      </c>
    </row>
    <row r="4367" spans="1:8" x14ac:dyDescent="0.35">
      <c r="A4367">
        <v>1589</v>
      </c>
      <c r="B4367">
        <v>3</v>
      </c>
      <c r="C4367">
        <v>28</v>
      </c>
      <c r="D4367">
        <v>2</v>
      </c>
      <c r="E4367">
        <v>2499.9899999999998</v>
      </c>
      <c r="F4367">
        <v>0.1</v>
      </c>
      <c r="G4367">
        <v>4999.88</v>
      </c>
      <c r="H4367" t="s">
        <v>29</v>
      </c>
    </row>
    <row r="4368" spans="1:8" x14ac:dyDescent="0.35">
      <c r="A4368">
        <v>1590</v>
      </c>
      <c r="B4368">
        <v>1</v>
      </c>
      <c r="C4368">
        <v>175</v>
      </c>
      <c r="D4368">
        <v>2</v>
      </c>
      <c r="E4368">
        <v>3199.99</v>
      </c>
      <c r="F4368">
        <v>0.1</v>
      </c>
      <c r="G4368">
        <v>6399.91</v>
      </c>
      <c r="H4368" t="s">
        <v>172</v>
      </c>
    </row>
    <row r="4369" spans="1:8" x14ac:dyDescent="0.35">
      <c r="A4369">
        <v>1590</v>
      </c>
      <c r="B4369">
        <v>2</v>
      </c>
      <c r="C4369">
        <v>248</v>
      </c>
      <c r="D4369">
        <v>1</v>
      </c>
      <c r="E4369">
        <v>599.99</v>
      </c>
      <c r="F4369">
        <v>0.2</v>
      </c>
      <c r="G4369">
        <v>599.79</v>
      </c>
      <c r="H4369" t="s">
        <v>243</v>
      </c>
    </row>
    <row r="4370" spans="1:8" x14ac:dyDescent="0.35">
      <c r="A4370">
        <v>1590</v>
      </c>
      <c r="B4370">
        <v>3</v>
      </c>
      <c r="C4370">
        <v>23</v>
      </c>
      <c r="D4370">
        <v>1</v>
      </c>
      <c r="E4370">
        <v>299.99</v>
      </c>
      <c r="F4370">
        <v>0.1</v>
      </c>
      <c r="G4370">
        <v>299.92</v>
      </c>
      <c r="H4370" t="s">
        <v>26</v>
      </c>
    </row>
    <row r="4371" spans="1:8" x14ac:dyDescent="0.35">
      <c r="A4371">
        <v>1591</v>
      </c>
      <c r="B4371">
        <v>1</v>
      </c>
      <c r="C4371">
        <v>286</v>
      </c>
      <c r="D4371">
        <v>2</v>
      </c>
      <c r="E4371">
        <v>279.99</v>
      </c>
      <c r="F4371">
        <v>0.2</v>
      </c>
      <c r="G4371">
        <v>559.78</v>
      </c>
      <c r="H4371" t="s">
        <v>276</v>
      </c>
    </row>
    <row r="4372" spans="1:8" x14ac:dyDescent="0.35">
      <c r="A4372">
        <v>1591</v>
      </c>
      <c r="B4372">
        <v>2</v>
      </c>
      <c r="C4372">
        <v>126</v>
      </c>
      <c r="D4372">
        <v>2</v>
      </c>
      <c r="E4372">
        <v>469.99</v>
      </c>
      <c r="F4372">
        <v>0.2</v>
      </c>
      <c r="G4372">
        <v>939.78</v>
      </c>
      <c r="H4372" t="s">
        <v>123</v>
      </c>
    </row>
    <row r="4373" spans="1:8" x14ac:dyDescent="0.35">
      <c r="A4373">
        <v>1591</v>
      </c>
      <c r="B4373">
        <v>3</v>
      </c>
      <c r="C4373">
        <v>97</v>
      </c>
      <c r="D4373">
        <v>2</v>
      </c>
      <c r="E4373">
        <v>349.99</v>
      </c>
      <c r="F4373">
        <v>0.1</v>
      </c>
      <c r="G4373">
        <v>699.91</v>
      </c>
      <c r="H4373" t="s">
        <v>97</v>
      </c>
    </row>
    <row r="4374" spans="1:8" x14ac:dyDescent="0.35">
      <c r="A4374">
        <v>1591</v>
      </c>
      <c r="B4374">
        <v>4</v>
      </c>
      <c r="C4374">
        <v>138</v>
      </c>
      <c r="D4374">
        <v>2</v>
      </c>
      <c r="E4374">
        <v>2249.9899999999998</v>
      </c>
      <c r="F4374">
        <v>0.1</v>
      </c>
      <c r="G4374">
        <v>4499.93</v>
      </c>
      <c r="H4374" t="s">
        <v>135</v>
      </c>
    </row>
    <row r="4375" spans="1:8" x14ac:dyDescent="0.35">
      <c r="A4375">
        <v>1591</v>
      </c>
      <c r="B4375">
        <v>5</v>
      </c>
      <c r="C4375">
        <v>265</v>
      </c>
      <c r="D4375">
        <v>1</v>
      </c>
      <c r="E4375">
        <v>289.99</v>
      </c>
      <c r="F4375">
        <v>0.2</v>
      </c>
      <c r="G4375">
        <v>289.79000000000002</v>
      </c>
      <c r="H4375" t="s">
        <v>256</v>
      </c>
    </row>
    <row r="4376" spans="1:8" x14ac:dyDescent="0.35">
      <c r="A4376">
        <v>1592</v>
      </c>
      <c r="B4376">
        <v>1</v>
      </c>
      <c r="C4376">
        <v>211</v>
      </c>
      <c r="D4376">
        <v>2</v>
      </c>
      <c r="E4376">
        <v>1549</v>
      </c>
      <c r="F4376">
        <v>0.1</v>
      </c>
      <c r="G4376">
        <v>3097.95</v>
      </c>
      <c r="H4376" t="s">
        <v>161</v>
      </c>
    </row>
    <row r="4377" spans="1:8" x14ac:dyDescent="0.35">
      <c r="A4377">
        <v>1592</v>
      </c>
      <c r="B4377">
        <v>2</v>
      </c>
      <c r="C4377">
        <v>159</v>
      </c>
      <c r="D4377">
        <v>1</v>
      </c>
      <c r="E4377">
        <v>2299.9899999999998</v>
      </c>
      <c r="F4377">
        <v>0.1</v>
      </c>
      <c r="G4377">
        <v>2299.92</v>
      </c>
      <c r="H4377" t="s">
        <v>156</v>
      </c>
    </row>
    <row r="4378" spans="1:8" x14ac:dyDescent="0.35">
      <c r="A4378">
        <v>1592</v>
      </c>
      <c r="B4378">
        <v>3</v>
      </c>
      <c r="C4378">
        <v>40</v>
      </c>
      <c r="D4378">
        <v>2</v>
      </c>
      <c r="E4378">
        <v>4999.99</v>
      </c>
      <c r="F4378">
        <v>0.1</v>
      </c>
      <c r="G4378">
        <v>9999.91</v>
      </c>
      <c r="H4378" t="s">
        <v>41</v>
      </c>
    </row>
    <row r="4379" spans="1:8" x14ac:dyDescent="0.35">
      <c r="A4379">
        <v>1592</v>
      </c>
      <c r="B4379">
        <v>4</v>
      </c>
      <c r="C4379">
        <v>9</v>
      </c>
      <c r="D4379">
        <v>1</v>
      </c>
      <c r="E4379">
        <v>2999.99</v>
      </c>
      <c r="F4379">
        <v>0.2</v>
      </c>
      <c r="G4379">
        <v>2999.79</v>
      </c>
      <c r="H4379" t="s">
        <v>14</v>
      </c>
    </row>
    <row r="4380" spans="1:8" x14ac:dyDescent="0.35">
      <c r="A4380">
        <v>1592</v>
      </c>
      <c r="B4380">
        <v>5</v>
      </c>
      <c r="C4380">
        <v>271</v>
      </c>
      <c r="D4380">
        <v>2</v>
      </c>
      <c r="E4380">
        <v>209.99</v>
      </c>
      <c r="F4380">
        <v>0.1</v>
      </c>
      <c r="G4380">
        <v>419.93</v>
      </c>
      <c r="H4380" t="s">
        <v>262</v>
      </c>
    </row>
    <row r="4381" spans="1:8" x14ac:dyDescent="0.35">
      <c r="A4381">
        <v>1593</v>
      </c>
      <c r="B4381">
        <v>1</v>
      </c>
      <c r="C4381">
        <v>97</v>
      </c>
      <c r="D4381">
        <v>2</v>
      </c>
      <c r="E4381">
        <v>349.99</v>
      </c>
      <c r="F4381">
        <v>0.2</v>
      </c>
      <c r="G4381">
        <v>699.78</v>
      </c>
      <c r="H4381" t="s">
        <v>97</v>
      </c>
    </row>
    <row r="4382" spans="1:8" x14ac:dyDescent="0.35">
      <c r="A4382">
        <v>1593</v>
      </c>
      <c r="B4382">
        <v>2</v>
      </c>
      <c r="C4382">
        <v>34</v>
      </c>
      <c r="D4382">
        <v>1</v>
      </c>
      <c r="E4382">
        <v>469.99</v>
      </c>
      <c r="F4382">
        <v>0.1</v>
      </c>
      <c r="G4382">
        <v>469.92</v>
      </c>
      <c r="H4382" t="s">
        <v>35</v>
      </c>
    </row>
    <row r="4383" spans="1:8" x14ac:dyDescent="0.35">
      <c r="A4383">
        <v>1593</v>
      </c>
      <c r="B4383">
        <v>3</v>
      </c>
      <c r="C4383">
        <v>190</v>
      </c>
      <c r="D4383">
        <v>2</v>
      </c>
      <c r="E4383">
        <v>2799.99</v>
      </c>
      <c r="F4383">
        <v>0.1</v>
      </c>
      <c r="G4383">
        <v>5599.88</v>
      </c>
      <c r="H4383" t="s">
        <v>187</v>
      </c>
    </row>
    <row r="4384" spans="1:8" x14ac:dyDescent="0.35">
      <c r="A4384">
        <v>1593</v>
      </c>
      <c r="B4384">
        <v>4</v>
      </c>
      <c r="C4384">
        <v>107</v>
      </c>
      <c r="D4384">
        <v>1</v>
      </c>
      <c r="E4384">
        <v>416.99</v>
      </c>
      <c r="F4384">
        <v>0.1</v>
      </c>
      <c r="G4384">
        <v>416.94</v>
      </c>
      <c r="H4384" t="s">
        <v>70</v>
      </c>
    </row>
    <row r="4385" spans="1:8" x14ac:dyDescent="0.35">
      <c r="A4385">
        <v>1593</v>
      </c>
      <c r="B4385">
        <v>5</v>
      </c>
      <c r="C4385">
        <v>169</v>
      </c>
      <c r="D4385">
        <v>2</v>
      </c>
      <c r="E4385">
        <v>6499.99</v>
      </c>
      <c r="F4385">
        <v>0.1</v>
      </c>
      <c r="G4385">
        <v>12999.91</v>
      </c>
      <c r="H4385" t="s">
        <v>166</v>
      </c>
    </row>
    <row r="4386" spans="1:8" x14ac:dyDescent="0.35">
      <c r="A4386">
        <v>1594</v>
      </c>
      <c r="B4386">
        <v>1</v>
      </c>
      <c r="C4386">
        <v>79</v>
      </c>
      <c r="D4386">
        <v>2</v>
      </c>
      <c r="E4386">
        <v>402.99</v>
      </c>
      <c r="F4386">
        <v>0.1</v>
      </c>
      <c r="G4386">
        <v>805.88</v>
      </c>
      <c r="H4386" t="s">
        <v>80</v>
      </c>
    </row>
    <row r="4387" spans="1:8" x14ac:dyDescent="0.35">
      <c r="A4387">
        <v>1594</v>
      </c>
      <c r="B4387">
        <v>2</v>
      </c>
      <c r="C4387">
        <v>105</v>
      </c>
      <c r="D4387">
        <v>1</v>
      </c>
      <c r="E4387">
        <v>533.99</v>
      </c>
      <c r="F4387">
        <v>0.1</v>
      </c>
      <c r="G4387">
        <v>533.89</v>
      </c>
      <c r="H4387" t="s">
        <v>104</v>
      </c>
    </row>
    <row r="4388" spans="1:8" x14ac:dyDescent="0.35">
      <c r="A4388">
        <v>1596</v>
      </c>
      <c r="B4388">
        <v>1</v>
      </c>
      <c r="C4388">
        <v>91</v>
      </c>
      <c r="D4388">
        <v>1</v>
      </c>
      <c r="E4388">
        <v>349.99</v>
      </c>
      <c r="F4388">
        <v>0.1</v>
      </c>
      <c r="G4388">
        <v>349.94</v>
      </c>
      <c r="H4388" t="s">
        <v>92</v>
      </c>
    </row>
    <row r="4389" spans="1:8" x14ac:dyDescent="0.35">
      <c r="A4389">
        <v>1596</v>
      </c>
      <c r="B4389">
        <v>2</v>
      </c>
      <c r="C4389">
        <v>18</v>
      </c>
      <c r="D4389">
        <v>1</v>
      </c>
      <c r="E4389">
        <v>449</v>
      </c>
      <c r="F4389">
        <v>0.1</v>
      </c>
      <c r="G4389">
        <v>448.9</v>
      </c>
      <c r="H4389" t="s">
        <v>23</v>
      </c>
    </row>
    <row r="4390" spans="1:8" x14ac:dyDescent="0.35">
      <c r="A4390">
        <v>1597</v>
      </c>
      <c r="B4390">
        <v>1</v>
      </c>
      <c r="C4390">
        <v>176</v>
      </c>
      <c r="D4390">
        <v>1</v>
      </c>
      <c r="E4390">
        <v>3199.99</v>
      </c>
      <c r="F4390">
        <v>0.1</v>
      </c>
      <c r="G4390">
        <v>3199.92</v>
      </c>
      <c r="H4390" t="s">
        <v>173</v>
      </c>
    </row>
    <row r="4391" spans="1:8" x14ac:dyDescent="0.35">
      <c r="A4391">
        <v>1597</v>
      </c>
      <c r="B4391">
        <v>2</v>
      </c>
      <c r="C4391">
        <v>59</v>
      </c>
      <c r="D4391">
        <v>1</v>
      </c>
      <c r="E4391">
        <v>2599.9899999999998</v>
      </c>
      <c r="F4391">
        <v>0.1</v>
      </c>
      <c r="G4391">
        <v>2599.92</v>
      </c>
      <c r="H4391" t="s">
        <v>60</v>
      </c>
    </row>
    <row r="4392" spans="1:8" x14ac:dyDescent="0.35">
      <c r="A4392">
        <v>1598</v>
      </c>
      <c r="B4392">
        <v>1</v>
      </c>
      <c r="C4392">
        <v>247</v>
      </c>
      <c r="D4392">
        <v>1</v>
      </c>
      <c r="E4392">
        <v>599.99</v>
      </c>
      <c r="F4392">
        <v>0.2</v>
      </c>
      <c r="G4392">
        <v>599.79</v>
      </c>
      <c r="H4392" t="s">
        <v>242</v>
      </c>
    </row>
    <row r="4393" spans="1:8" x14ac:dyDescent="0.35">
      <c r="A4393">
        <v>1598</v>
      </c>
      <c r="B4393">
        <v>2</v>
      </c>
      <c r="C4393">
        <v>49</v>
      </c>
      <c r="D4393">
        <v>2</v>
      </c>
      <c r="E4393">
        <v>3499.99</v>
      </c>
      <c r="F4393">
        <v>0.1</v>
      </c>
      <c r="G4393">
        <v>6999.91</v>
      </c>
      <c r="H4393" t="s">
        <v>50</v>
      </c>
    </row>
    <row r="4394" spans="1:8" x14ac:dyDescent="0.35">
      <c r="A4394">
        <v>1598</v>
      </c>
      <c r="B4394">
        <v>3</v>
      </c>
      <c r="C4394">
        <v>88</v>
      </c>
      <c r="D4394">
        <v>1</v>
      </c>
      <c r="E4394">
        <v>189.99</v>
      </c>
      <c r="F4394">
        <v>0.2</v>
      </c>
      <c r="G4394">
        <v>189.79</v>
      </c>
      <c r="H4394" t="s">
        <v>89</v>
      </c>
    </row>
    <row r="4395" spans="1:8" x14ac:dyDescent="0.35">
      <c r="A4395">
        <v>1600</v>
      </c>
      <c r="B4395">
        <v>1</v>
      </c>
      <c r="C4395">
        <v>146</v>
      </c>
      <c r="D4395">
        <v>1</v>
      </c>
      <c r="E4395">
        <v>4999.99</v>
      </c>
      <c r="F4395">
        <v>0.1</v>
      </c>
      <c r="G4395">
        <v>4999.8900000000003</v>
      </c>
      <c r="H4395" t="s">
        <v>143</v>
      </c>
    </row>
    <row r="4396" spans="1:8" x14ac:dyDescent="0.35">
      <c r="A4396">
        <v>1600</v>
      </c>
      <c r="B4396">
        <v>2</v>
      </c>
      <c r="C4396">
        <v>295</v>
      </c>
      <c r="D4396">
        <v>1</v>
      </c>
      <c r="E4396">
        <v>319.99</v>
      </c>
      <c r="F4396">
        <v>0.1</v>
      </c>
      <c r="G4396">
        <v>319.94</v>
      </c>
      <c r="H4396" t="s">
        <v>285</v>
      </c>
    </row>
    <row r="4397" spans="1:8" x14ac:dyDescent="0.35">
      <c r="A4397">
        <v>1600</v>
      </c>
      <c r="B4397">
        <v>3</v>
      </c>
      <c r="C4397">
        <v>36</v>
      </c>
      <c r="D4397">
        <v>1</v>
      </c>
      <c r="E4397">
        <v>832.99</v>
      </c>
      <c r="F4397">
        <v>0.2</v>
      </c>
      <c r="G4397">
        <v>832.79</v>
      </c>
      <c r="H4397" t="s">
        <v>37</v>
      </c>
    </row>
    <row r="4398" spans="1:8" x14ac:dyDescent="0.35">
      <c r="A4398">
        <v>1601</v>
      </c>
      <c r="B4398">
        <v>1</v>
      </c>
      <c r="C4398">
        <v>114</v>
      </c>
      <c r="D4398">
        <v>2</v>
      </c>
      <c r="E4398">
        <v>579.99</v>
      </c>
      <c r="F4398">
        <v>0.2</v>
      </c>
      <c r="G4398">
        <v>1159.78</v>
      </c>
      <c r="H4398" t="s">
        <v>111</v>
      </c>
    </row>
    <row r="4399" spans="1:8" x14ac:dyDescent="0.35">
      <c r="A4399">
        <v>1601</v>
      </c>
      <c r="B4399">
        <v>2</v>
      </c>
      <c r="C4399">
        <v>10</v>
      </c>
      <c r="D4399">
        <v>1</v>
      </c>
      <c r="E4399">
        <v>1549</v>
      </c>
      <c r="F4399">
        <v>0.2</v>
      </c>
      <c r="G4399">
        <v>1548.8</v>
      </c>
      <c r="H4399" t="s">
        <v>15</v>
      </c>
    </row>
    <row r="4400" spans="1:8" x14ac:dyDescent="0.35">
      <c r="A4400">
        <v>1601</v>
      </c>
      <c r="B4400">
        <v>3</v>
      </c>
      <c r="C4400">
        <v>220</v>
      </c>
      <c r="D4400">
        <v>2</v>
      </c>
      <c r="E4400">
        <v>269.99</v>
      </c>
      <c r="F4400">
        <v>0.1</v>
      </c>
      <c r="G4400">
        <v>539.91</v>
      </c>
      <c r="H4400" t="s">
        <v>215</v>
      </c>
    </row>
    <row r="4401" spans="1:8" x14ac:dyDescent="0.35">
      <c r="A4401">
        <v>1601</v>
      </c>
      <c r="B4401">
        <v>4</v>
      </c>
      <c r="C4401">
        <v>7</v>
      </c>
      <c r="D4401">
        <v>2</v>
      </c>
      <c r="E4401">
        <v>3999.99</v>
      </c>
      <c r="F4401">
        <v>0.1</v>
      </c>
      <c r="G4401">
        <v>7999.91</v>
      </c>
      <c r="H4401" t="s">
        <v>12</v>
      </c>
    </row>
    <row r="4402" spans="1:8" x14ac:dyDescent="0.35">
      <c r="A4402">
        <v>1601</v>
      </c>
      <c r="B4402">
        <v>5</v>
      </c>
      <c r="C4402">
        <v>180</v>
      </c>
      <c r="D4402">
        <v>1</v>
      </c>
      <c r="E4402">
        <v>919.99</v>
      </c>
      <c r="F4402">
        <v>0.1</v>
      </c>
      <c r="G4402">
        <v>919.89</v>
      </c>
      <c r="H4402" t="s">
        <v>177</v>
      </c>
    </row>
    <row r="4403" spans="1:8" x14ac:dyDescent="0.35">
      <c r="A4403">
        <v>1602</v>
      </c>
      <c r="B4403">
        <v>1</v>
      </c>
      <c r="C4403">
        <v>71</v>
      </c>
      <c r="D4403">
        <v>2</v>
      </c>
      <c r="E4403">
        <v>416.99</v>
      </c>
      <c r="F4403">
        <v>0.1</v>
      </c>
      <c r="G4403">
        <v>833.93</v>
      </c>
      <c r="H4403" t="s">
        <v>72</v>
      </c>
    </row>
    <row r="4404" spans="1:8" x14ac:dyDescent="0.35">
      <c r="A4404">
        <v>1602</v>
      </c>
      <c r="B4404">
        <v>2</v>
      </c>
      <c r="C4404">
        <v>37</v>
      </c>
      <c r="D4404">
        <v>1</v>
      </c>
      <c r="E4404">
        <v>379.99</v>
      </c>
      <c r="F4404">
        <v>0.1</v>
      </c>
      <c r="G4404">
        <v>379.92</v>
      </c>
      <c r="H4404" t="s">
        <v>38</v>
      </c>
    </row>
    <row r="4405" spans="1:8" x14ac:dyDescent="0.35">
      <c r="A4405">
        <v>1602</v>
      </c>
      <c r="B4405">
        <v>3</v>
      </c>
      <c r="C4405">
        <v>275</v>
      </c>
      <c r="D4405">
        <v>2</v>
      </c>
      <c r="E4405">
        <v>229.99</v>
      </c>
      <c r="F4405">
        <v>0.2</v>
      </c>
      <c r="G4405">
        <v>459.78</v>
      </c>
      <c r="H4405" t="s">
        <v>266</v>
      </c>
    </row>
    <row r="4406" spans="1:8" x14ac:dyDescent="0.35">
      <c r="A4406">
        <v>1602</v>
      </c>
      <c r="B4406">
        <v>4</v>
      </c>
      <c r="C4406">
        <v>257</v>
      </c>
      <c r="D4406">
        <v>2</v>
      </c>
      <c r="E4406">
        <v>899.99</v>
      </c>
      <c r="F4406">
        <v>0.1</v>
      </c>
      <c r="G4406">
        <v>1799.93</v>
      </c>
      <c r="H4406" t="s">
        <v>248</v>
      </c>
    </row>
    <row r="4407" spans="1:8" x14ac:dyDescent="0.35">
      <c r="A4407">
        <v>1605</v>
      </c>
      <c r="B4407">
        <v>1</v>
      </c>
      <c r="C4407">
        <v>72</v>
      </c>
      <c r="D4407">
        <v>1</v>
      </c>
      <c r="E4407">
        <v>619.99</v>
      </c>
      <c r="F4407">
        <v>0.1</v>
      </c>
      <c r="G4407">
        <v>619.89</v>
      </c>
      <c r="H4407" t="s">
        <v>73</v>
      </c>
    </row>
    <row r="4408" spans="1:8" x14ac:dyDescent="0.35">
      <c r="A4408">
        <v>1605</v>
      </c>
      <c r="B4408">
        <v>2</v>
      </c>
      <c r="C4408">
        <v>186</v>
      </c>
      <c r="D4408">
        <v>1</v>
      </c>
      <c r="E4408">
        <v>4499.99</v>
      </c>
      <c r="F4408">
        <v>0.2</v>
      </c>
      <c r="G4408">
        <v>4499.79</v>
      </c>
      <c r="H4408" t="s">
        <v>183</v>
      </c>
    </row>
    <row r="4409" spans="1:8" x14ac:dyDescent="0.35">
      <c r="A4409">
        <v>1605</v>
      </c>
      <c r="B4409">
        <v>3</v>
      </c>
      <c r="C4409">
        <v>132</v>
      </c>
      <c r="D4409">
        <v>2</v>
      </c>
      <c r="E4409">
        <v>1499.99</v>
      </c>
      <c r="F4409">
        <v>0.1</v>
      </c>
      <c r="G4409">
        <v>2999.88</v>
      </c>
      <c r="H4409" t="s">
        <v>129</v>
      </c>
    </row>
    <row r="4410" spans="1:8" x14ac:dyDescent="0.35">
      <c r="A4410">
        <v>1605</v>
      </c>
      <c r="B4410">
        <v>4</v>
      </c>
      <c r="C4410">
        <v>301</v>
      </c>
      <c r="D4410">
        <v>1</v>
      </c>
      <c r="E4410">
        <v>899.99</v>
      </c>
      <c r="F4410">
        <v>0.1</v>
      </c>
      <c r="G4410">
        <v>899.89</v>
      </c>
      <c r="H4410" t="s">
        <v>252</v>
      </c>
    </row>
    <row r="4411" spans="1:8" x14ac:dyDescent="0.35">
      <c r="A4411">
        <v>1605</v>
      </c>
      <c r="B4411">
        <v>5</v>
      </c>
      <c r="C4411">
        <v>29</v>
      </c>
      <c r="D4411">
        <v>1</v>
      </c>
      <c r="E4411">
        <v>999.99</v>
      </c>
      <c r="F4411">
        <v>0.1</v>
      </c>
      <c r="G4411">
        <v>999.92</v>
      </c>
      <c r="H4411" t="s">
        <v>30</v>
      </c>
    </row>
    <row r="4412" spans="1:8" x14ac:dyDescent="0.35">
      <c r="A4412">
        <v>1606</v>
      </c>
      <c r="B4412">
        <v>1</v>
      </c>
      <c r="C4412">
        <v>245</v>
      </c>
      <c r="D4412">
        <v>1</v>
      </c>
      <c r="E4412">
        <v>659.99</v>
      </c>
      <c r="F4412">
        <v>0.1</v>
      </c>
      <c r="G4412">
        <v>659.89</v>
      </c>
      <c r="H4412" t="s">
        <v>240</v>
      </c>
    </row>
    <row r="4413" spans="1:8" x14ac:dyDescent="0.35">
      <c r="A4413">
        <v>1606</v>
      </c>
      <c r="B4413">
        <v>2</v>
      </c>
      <c r="C4413">
        <v>271</v>
      </c>
      <c r="D4413">
        <v>1</v>
      </c>
      <c r="E4413">
        <v>209.99</v>
      </c>
      <c r="F4413">
        <v>0.1</v>
      </c>
      <c r="G4413">
        <v>209.89</v>
      </c>
      <c r="H4413" t="s">
        <v>262</v>
      </c>
    </row>
    <row r="4414" spans="1:8" x14ac:dyDescent="0.35">
      <c r="A4414">
        <v>1609</v>
      </c>
      <c r="B4414">
        <v>1</v>
      </c>
      <c r="C4414">
        <v>96</v>
      </c>
      <c r="D4414">
        <v>1</v>
      </c>
      <c r="E4414">
        <v>349.99</v>
      </c>
      <c r="F4414">
        <v>0.2</v>
      </c>
      <c r="G4414">
        <v>349.79</v>
      </c>
      <c r="H4414" t="s">
        <v>96</v>
      </c>
    </row>
    <row r="4415" spans="1:8" x14ac:dyDescent="0.35">
      <c r="A4415">
        <v>1609</v>
      </c>
      <c r="B4415">
        <v>2</v>
      </c>
      <c r="C4415">
        <v>238</v>
      </c>
      <c r="D4415">
        <v>2</v>
      </c>
      <c r="E4415">
        <v>749.99</v>
      </c>
      <c r="F4415">
        <v>0.2</v>
      </c>
      <c r="G4415">
        <v>1499.78</v>
      </c>
      <c r="H4415" t="s">
        <v>233</v>
      </c>
    </row>
    <row r="4416" spans="1:8" x14ac:dyDescent="0.35">
      <c r="A4416">
        <v>1609</v>
      </c>
      <c r="B4416">
        <v>3</v>
      </c>
      <c r="C4416">
        <v>228</v>
      </c>
      <c r="D4416">
        <v>2</v>
      </c>
      <c r="E4416">
        <v>319.99</v>
      </c>
      <c r="F4416">
        <v>0.1</v>
      </c>
      <c r="G4416">
        <v>639.88</v>
      </c>
      <c r="H4416" t="s">
        <v>223</v>
      </c>
    </row>
    <row r="4417" spans="1:8" x14ac:dyDescent="0.35">
      <c r="A4417">
        <v>1609</v>
      </c>
      <c r="B4417">
        <v>4</v>
      </c>
      <c r="C4417">
        <v>105</v>
      </c>
      <c r="D4417">
        <v>1</v>
      </c>
      <c r="E4417">
        <v>533.99</v>
      </c>
      <c r="F4417">
        <v>0.2</v>
      </c>
      <c r="G4417">
        <v>533.79</v>
      </c>
      <c r="H4417" t="s">
        <v>104</v>
      </c>
    </row>
    <row r="4418" spans="1:8" x14ac:dyDescent="0.35">
      <c r="A4418">
        <v>1610</v>
      </c>
      <c r="B4418">
        <v>1</v>
      </c>
      <c r="C4418">
        <v>36</v>
      </c>
      <c r="D4418">
        <v>1</v>
      </c>
      <c r="E4418">
        <v>832.99</v>
      </c>
      <c r="F4418">
        <v>0.1</v>
      </c>
      <c r="G4418">
        <v>832.92</v>
      </c>
      <c r="H4418" t="s">
        <v>37</v>
      </c>
    </row>
    <row r="4419" spans="1:8" x14ac:dyDescent="0.35">
      <c r="A4419">
        <v>1610</v>
      </c>
      <c r="B4419">
        <v>2</v>
      </c>
      <c r="C4419">
        <v>173</v>
      </c>
      <c r="D4419">
        <v>2</v>
      </c>
      <c r="E4419">
        <v>3199.99</v>
      </c>
      <c r="F4419">
        <v>0.2</v>
      </c>
      <c r="G4419">
        <v>6399.78</v>
      </c>
      <c r="H4419" t="s">
        <v>170</v>
      </c>
    </row>
    <row r="4420" spans="1:8" x14ac:dyDescent="0.35">
      <c r="A4420">
        <v>1611</v>
      </c>
      <c r="B4420">
        <v>1</v>
      </c>
      <c r="C4420">
        <v>191</v>
      </c>
      <c r="D4420">
        <v>1</v>
      </c>
      <c r="E4420">
        <v>2799.99</v>
      </c>
      <c r="F4420">
        <v>0.1</v>
      </c>
      <c r="G4420">
        <v>2799.92</v>
      </c>
      <c r="H4420" t="s">
        <v>188</v>
      </c>
    </row>
    <row r="4421" spans="1:8" x14ac:dyDescent="0.35">
      <c r="A4421">
        <v>1611</v>
      </c>
      <c r="B4421">
        <v>2</v>
      </c>
      <c r="C4421">
        <v>171</v>
      </c>
      <c r="D4421">
        <v>2</v>
      </c>
      <c r="E4421">
        <v>3199.99</v>
      </c>
      <c r="F4421">
        <v>0.1</v>
      </c>
      <c r="G4421">
        <v>6399.88</v>
      </c>
      <c r="H4421" t="s">
        <v>168</v>
      </c>
    </row>
    <row r="4422" spans="1:8" x14ac:dyDescent="0.35">
      <c r="A4422">
        <v>1611</v>
      </c>
      <c r="B4422">
        <v>3</v>
      </c>
      <c r="C4422">
        <v>236</v>
      </c>
      <c r="D4422">
        <v>1</v>
      </c>
      <c r="E4422">
        <v>749.99</v>
      </c>
      <c r="F4422">
        <v>0.2</v>
      </c>
      <c r="G4422">
        <v>749.79</v>
      </c>
      <c r="H4422" t="s">
        <v>231</v>
      </c>
    </row>
    <row r="4423" spans="1:8" x14ac:dyDescent="0.35">
      <c r="A4423">
        <v>1612</v>
      </c>
      <c r="B4423">
        <v>1</v>
      </c>
      <c r="C4423">
        <v>242</v>
      </c>
      <c r="D4423">
        <v>1</v>
      </c>
      <c r="E4423">
        <v>699.99</v>
      </c>
      <c r="F4423">
        <v>0.1</v>
      </c>
      <c r="G4423">
        <v>699.89</v>
      </c>
      <c r="H4423" t="s">
        <v>237</v>
      </c>
    </row>
    <row r="4424" spans="1:8" x14ac:dyDescent="0.35">
      <c r="A4424">
        <v>1612</v>
      </c>
      <c r="B4424">
        <v>2</v>
      </c>
      <c r="C4424">
        <v>289</v>
      </c>
      <c r="D4424">
        <v>2</v>
      </c>
      <c r="E4424">
        <v>319.99</v>
      </c>
      <c r="F4424">
        <v>0.1</v>
      </c>
      <c r="G4424">
        <v>639.92999999999995</v>
      </c>
      <c r="H4424" t="s">
        <v>279</v>
      </c>
    </row>
    <row r="4425" spans="1:8" x14ac:dyDescent="0.35">
      <c r="A4425">
        <v>1612</v>
      </c>
      <c r="B4425">
        <v>3</v>
      </c>
      <c r="C4425">
        <v>101</v>
      </c>
      <c r="D4425">
        <v>2</v>
      </c>
      <c r="E4425">
        <v>339.99</v>
      </c>
      <c r="F4425">
        <v>0.2</v>
      </c>
      <c r="G4425">
        <v>679.78</v>
      </c>
      <c r="H4425" t="s">
        <v>101</v>
      </c>
    </row>
    <row r="4426" spans="1:8" x14ac:dyDescent="0.35">
      <c r="A4426">
        <v>1612</v>
      </c>
      <c r="B4426">
        <v>4</v>
      </c>
      <c r="C4426">
        <v>293</v>
      </c>
      <c r="D4426">
        <v>2</v>
      </c>
      <c r="E4426">
        <v>319.99</v>
      </c>
      <c r="F4426">
        <v>0.1</v>
      </c>
      <c r="G4426">
        <v>639.91</v>
      </c>
      <c r="H4426" t="s">
        <v>283</v>
      </c>
    </row>
    <row r="4427" spans="1:8" x14ac:dyDescent="0.35">
      <c r="A4427">
        <v>1612</v>
      </c>
      <c r="B4427">
        <v>5</v>
      </c>
      <c r="C4427">
        <v>60</v>
      </c>
      <c r="D4427">
        <v>1</v>
      </c>
      <c r="E4427">
        <v>1559.99</v>
      </c>
      <c r="F4427">
        <v>0.1</v>
      </c>
      <c r="G4427">
        <v>1559.89</v>
      </c>
      <c r="H4427" t="s">
        <v>61</v>
      </c>
    </row>
    <row r="4428" spans="1:8" x14ac:dyDescent="0.35">
      <c r="A4428">
        <v>1613</v>
      </c>
      <c r="B4428">
        <v>1</v>
      </c>
      <c r="C4428">
        <v>153</v>
      </c>
      <c r="D4428">
        <v>1</v>
      </c>
      <c r="E4428">
        <v>4999.99</v>
      </c>
      <c r="F4428">
        <v>0.1</v>
      </c>
      <c r="G4428">
        <v>4999.92</v>
      </c>
      <c r="H4428" t="s">
        <v>150</v>
      </c>
    </row>
    <row r="4429" spans="1:8" x14ac:dyDescent="0.35">
      <c r="A4429">
        <v>1613</v>
      </c>
      <c r="B4429">
        <v>2</v>
      </c>
      <c r="C4429">
        <v>283</v>
      </c>
      <c r="D4429">
        <v>2</v>
      </c>
      <c r="E4429">
        <v>319.99</v>
      </c>
      <c r="F4429">
        <v>0.1</v>
      </c>
      <c r="G4429">
        <v>639.92999999999995</v>
      </c>
      <c r="H4429" t="s">
        <v>273</v>
      </c>
    </row>
    <row r="4430" spans="1:8" x14ac:dyDescent="0.35">
      <c r="A4430">
        <v>1614</v>
      </c>
      <c r="B4430">
        <v>1</v>
      </c>
      <c r="C4430">
        <v>124</v>
      </c>
      <c r="D4430">
        <v>1</v>
      </c>
      <c r="E4430">
        <v>1499</v>
      </c>
      <c r="F4430">
        <v>0.1</v>
      </c>
      <c r="G4430">
        <v>1498.93</v>
      </c>
      <c r="H4430" t="s">
        <v>121</v>
      </c>
    </row>
    <row r="4431" spans="1:8" x14ac:dyDescent="0.35">
      <c r="A4431">
        <v>1614</v>
      </c>
      <c r="B4431">
        <v>2</v>
      </c>
      <c r="C4431">
        <v>159</v>
      </c>
      <c r="D4431">
        <v>2</v>
      </c>
      <c r="E4431">
        <v>2299.9899999999998</v>
      </c>
      <c r="F4431">
        <v>0.1</v>
      </c>
      <c r="G4431">
        <v>4599.91</v>
      </c>
      <c r="H4431" t="s">
        <v>156</v>
      </c>
    </row>
    <row r="4432" spans="1:8" x14ac:dyDescent="0.35">
      <c r="A4432">
        <v>1614</v>
      </c>
      <c r="B4432">
        <v>3</v>
      </c>
      <c r="C4432">
        <v>213</v>
      </c>
      <c r="D4432">
        <v>2</v>
      </c>
      <c r="E4432">
        <v>269.99</v>
      </c>
      <c r="F4432">
        <v>0.2</v>
      </c>
      <c r="G4432">
        <v>539.78</v>
      </c>
      <c r="H4432" t="s">
        <v>208</v>
      </c>
    </row>
    <row r="4433" spans="1:9" x14ac:dyDescent="0.35">
      <c r="A4433">
        <v>1615</v>
      </c>
      <c r="B4433">
        <v>1</v>
      </c>
      <c r="C4433">
        <v>197</v>
      </c>
      <c r="D4433">
        <v>2</v>
      </c>
      <c r="E4433">
        <v>2299.9899999999998</v>
      </c>
      <c r="F4433">
        <v>0.2</v>
      </c>
      <c r="G4433">
        <v>4599.78</v>
      </c>
      <c r="H4433" t="s">
        <v>194</v>
      </c>
    </row>
    <row r="4434" spans="1:9" x14ac:dyDescent="0.35">
      <c r="A4434">
        <v>1615</v>
      </c>
      <c r="B4434">
        <v>2</v>
      </c>
      <c r="C4434">
        <v>214</v>
      </c>
      <c r="D4434">
        <v>1</v>
      </c>
      <c r="E4434">
        <v>899.99</v>
      </c>
      <c r="F4434">
        <v>0.1</v>
      </c>
      <c r="G4434">
        <v>899.92</v>
      </c>
      <c r="H4434" t="s">
        <v>209</v>
      </c>
    </row>
    <row r="4435" spans="1:9" x14ac:dyDescent="0.35">
      <c r="A4435">
        <v>1615</v>
      </c>
      <c r="B4435">
        <v>3</v>
      </c>
      <c r="C4435">
        <v>182</v>
      </c>
      <c r="D4435">
        <v>1</v>
      </c>
      <c r="E4435">
        <v>2499.9899999999998</v>
      </c>
      <c r="F4435">
        <v>0.2</v>
      </c>
      <c r="G4435">
        <v>2499.79</v>
      </c>
      <c r="H4435" t="s">
        <v>179</v>
      </c>
    </row>
    <row r="4436" spans="1:9" x14ac:dyDescent="0.35">
      <c r="A4436">
        <v>4</v>
      </c>
      <c r="B4436">
        <v>1</v>
      </c>
      <c r="C4436">
        <v>2</v>
      </c>
      <c r="D4436">
        <v>2</v>
      </c>
      <c r="E4436">
        <v>749.99</v>
      </c>
      <c r="F4436">
        <v>0.1</v>
      </c>
      <c r="G4436">
        <v>1499.88</v>
      </c>
      <c r="H4436" t="s">
        <v>7</v>
      </c>
      <c r="I4436" t="s">
        <v>301</v>
      </c>
    </row>
    <row r="4437" spans="1:9" x14ac:dyDescent="0.35">
      <c r="A4437">
        <v>9</v>
      </c>
      <c r="B4437">
        <v>1</v>
      </c>
      <c r="C4437">
        <v>7</v>
      </c>
      <c r="D4437">
        <v>2</v>
      </c>
      <c r="E4437">
        <v>3999.99</v>
      </c>
      <c r="F4437">
        <v>0.1</v>
      </c>
      <c r="G4437">
        <v>7999.88</v>
      </c>
      <c r="H4437" t="s">
        <v>12</v>
      </c>
      <c r="I4437" t="s">
        <v>301</v>
      </c>
    </row>
    <row r="4438" spans="1:9" x14ac:dyDescent="0.35">
      <c r="A4438">
        <v>10</v>
      </c>
      <c r="B4438">
        <v>1</v>
      </c>
      <c r="C4438">
        <v>14</v>
      </c>
      <c r="D4438">
        <v>1</v>
      </c>
      <c r="E4438">
        <v>269.99</v>
      </c>
      <c r="F4438">
        <v>0.1</v>
      </c>
      <c r="G4438">
        <v>269.89</v>
      </c>
      <c r="H4438" t="s">
        <v>19</v>
      </c>
      <c r="I4438" t="s">
        <v>299</v>
      </c>
    </row>
    <row r="4439" spans="1:9" x14ac:dyDescent="0.35">
      <c r="A4439">
        <v>14</v>
      </c>
      <c r="B4439">
        <v>1</v>
      </c>
      <c r="C4439">
        <v>6</v>
      </c>
      <c r="D4439">
        <v>1</v>
      </c>
      <c r="E4439">
        <v>469.99</v>
      </c>
      <c r="F4439">
        <v>0.1</v>
      </c>
      <c r="G4439">
        <v>469.92</v>
      </c>
      <c r="H4439" t="s">
        <v>11</v>
      </c>
      <c r="I4439" t="s">
        <v>299</v>
      </c>
    </row>
    <row r="4440" spans="1:9" x14ac:dyDescent="0.35">
      <c r="A4440">
        <v>37</v>
      </c>
      <c r="B4440">
        <v>1</v>
      </c>
      <c r="C4440">
        <v>16</v>
      </c>
      <c r="D4440">
        <v>2</v>
      </c>
      <c r="E4440">
        <v>599.99</v>
      </c>
      <c r="F4440">
        <v>0.1</v>
      </c>
      <c r="G4440">
        <v>1199.93</v>
      </c>
      <c r="H4440" t="s">
        <v>21</v>
      </c>
      <c r="I4440" t="s">
        <v>299</v>
      </c>
    </row>
    <row r="4441" spans="1:9" x14ac:dyDescent="0.35">
      <c r="A4441">
        <v>42</v>
      </c>
      <c r="B4441">
        <v>1</v>
      </c>
      <c r="C4441">
        <v>19</v>
      </c>
      <c r="D4441">
        <v>1</v>
      </c>
      <c r="E4441">
        <v>449</v>
      </c>
      <c r="F4441">
        <v>0.1</v>
      </c>
      <c r="G4441">
        <v>448.95</v>
      </c>
      <c r="H4441" t="s">
        <v>24</v>
      </c>
      <c r="I4441" t="s">
        <v>301</v>
      </c>
    </row>
    <row r="4442" spans="1:9" x14ac:dyDescent="0.35">
      <c r="A4442">
        <v>46</v>
      </c>
      <c r="B4442">
        <v>1</v>
      </c>
      <c r="C4442">
        <v>17</v>
      </c>
      <c r="D4442">
        <v>1</v>
      </c>
      <c r="E4442">
        <v>429</v>
      </c>
      <c r="F4442">
        <v>0.1</v>
      </c>
      <c r="G4442">
        <v>428.9</v>
      </c>
      <c r="H4442" t="s">
        <v>22</v>
      </c>
      <c r="I4442" t="s">
        <v>304</v>
      </c>
    </row>
    <row r="4443" spans="1:9" x14ac:dyDescent="0.35">
      <c r="A4443">
        <v>49</v>
      </c>
      <c r="B4443">
        <v>1</v>
      </c>
      <c r="C4443">
        <v>13</v>
      </c>
      <c r="D4443">
        <v>2</v>
      </c>
      <c r="E4443">
        <v>269.99</v>
      </c>
      <c r="F4443">
        <v>0.1</v>
      </c>
      <c r="G4443">
        <v>539.91</v>
      </c>
      <c r="H4443" t="s">
        <v>18</v>
      </c>
      <c r="I4443" t="s">
        <v>304</v>
      </c>
    </row>
    <row r="4444" spans="1:9" x14ac:dyDescent="0.35">
      <c r="A4444">
        <v>52</v>
      </c>
      <c r="B4444">
        <v>1</v>
      </c>
      <c r="C4444">
        <v>25</v>
      </c>
      <c r="D4444">
        <v>1</v>
      </c>
      <c r="E4444">
        <v>499.99</v>
      </c>
      <c r="F4444">
        <v>0.1</v>
      </c>
      <c r="G4444">
        <v>499.92</v>
      </c>
      <c r="H4444" t="s">
        <v>27</v>
      </c>
      <c r="I4444" t="s">
        <v>301</v>
      </c>
    </row>
    <row r="4445" spans="1:9" x14ac:dyDescent="0.35">
      <c r="A4445">
        <v>56</v>
      </c>
      <c r="B4445">
        <v>1</v>
      </c>
      <c r="C4445">
        <v>20</v>
      </c>
      <c r="D4445">
        <v>2</v>
      </c>
      <c r="E4445">
        <v>599.99</v>
      </c>
      <c r="F4445">
        <v>0.1</v>
      </c>
      <c r="G4445">
        <v>1199.9100000000001</v>
      </c>
      <c r="H4445" t="s">
        <v>25</v>
      </c>
      <c r="I4445" t="s">
        <v>300</v>
      </c>
    </row>
    <row r="4446" spans="1:9" x14ac:dyDescent="0.35">
      <c r="A4446">
        <v>65</v>
      </c>
      <c r="B4446">
        <v>1</v>
      </c>
      <c r="C4446">
        <v>12</v>
      </c>
      <c r="D4446">
        <v>1</v>
      </c>
      <c r="E4446">
        <v>549.99</v>
      </c>
      <c r="F4446">
        <v>0.1</v>
      </c>
      <c r="G4446">
        <v>549.89</v>
      </c>
      <c r="H4446" t="s">
        <v>17</v>
      </c>
      <c r="I4446" t="s">
        <v>304</v>
      </c>
    </row>
    <row r="4447" spans="1:9" x14ac:dyDescent="0.35">
      <c r="A4447">
        <v>92</v>
      </c>
      <c r="B4447">
        <v>1</v>
      </c>
      <c r="C4447">
        <v>8</v>
      </c>
      <c r="D4447">
        <v>1</v>
      </c>
      <c r="E4447">
        <v>1799.99</v>
      </c>
      <c r="F4447">
        <v>0.1</v>
      </c>
      <c r="G4447">
        <v>1799.89</v>
      </c>
      <c r="H4447" t="s">
        <v>13</v>
      </c>
      <c r="I4447" t="s">
        <v>299</v>
      </c>
    </row>
    <row r="4448" spans="1:9" x14ac:dyDescent="0.35">
      <c r="A4448">
        <v>101</v>
      </c>
      <c r="B4448">
        <v>1</v>
      </c>
      <c r="C4448">
        <v>12</v>
      </c>
      <c r="D4448">
        <v>2</v>
      </c>
      <c r="E4448">
        <v>549.99</v>
      </c>
      <c r="F4448">
        <v>0.2</v>
      </c>
      <c r="G4448">
        <v>1099.78</v>
      </c>
      <c r="H4448" t="s">
        <v>17</v>
      </c>
      <c r="I4448" t="s">
        <v>304</v>
      </c>
    </row>
    <row r="4449" spans="1:9" x14ac:dyDescent="0.35">
      <c r="A4449">
        <v>110</v>
      </c>
      <c r="B4449">
        <v>1</v>
      </c>
      <c r="C4449">
        <v>14</v>
      </c>
      <c r="D4449">
        <v>1</v>
      </c>
      <c r="E4449">
        <v>269.99</v>
      </c>
      <c r="F4449">
        <v>0.1</v>
      </c>
      <c r="G4449">
        <v>269.89</v>
      </c>
      <c r="H4449" t="s">
        <v>19</v>
      </c>
      <c r="I4449" t="s">
        <v>301</v>
      </c>
    </row>
    <row r="4450" spans="1:9" x14ac:dyDescent="0.35">
      <c r="A4450">
        <v>116</v>
      </c>
      <c r="B4450">
        <v>1</v>
      </c>
      <c r="C4450">
        <v>26</v>
      </c>
      <c r="D4450">
        <v>1</v>
      </c>
      <c r="E4450">
        <v>599.99</v>
      </c>
      <c r="F4450">
        <v>0.1</v>
      </c>
      <c r="G4450">
        <v>599.94000000000005</v>
      </c>
      <c r="H4450" t="s">
        <v>21</v>
      </c>
      <c r="I4450" t="s">
        <v>302</v>
      </c>
    </row>
    <row r="4451" spans="1:9" x14ac:dyDescent="0.35">
      <c r="A4451">
        <v>119</v>
      </c>
      <c r="B4451">
        <v>1</v>
      </c>
      <c r="C4451">
        <v>25</v>
      </c>
      <c r="D4451">
        <v>1</v>
      </c>
      <c r="E4451">
        <v>499.99</v>
      </c>
      <c r="F4451">
        <v>0.1</v>
      </c>
      <c r="G4451">
        <v>499.94</v>
      </c>
      <c r="H4451" t="s">
        <v>27</v>
      </c>
      <c r="I4451" t="s">
        <v>304</v>
      </c>
    </row>
    <row r="4452" spans="1:9" x14ac:dyDescent="0.35">
      <c r="A4452">
        <v>122</v>
      </c>
      <c r="B4452">
        <v>1</v>
      </c>
      <c r="C4452">
        <v>16</v>
      </c>
      <c r="D4452">
        <v>1</v>
      </c>
      <c r="E4452">
        <v>599.99</v>
      </c>
      <c r="F4452">
        <v>0.1</v>
      </c>
      <c r="G4452">
        <v>599.89</v>
      </c>
      <c r="H4452" t="s">
        <v>21</v>
      </c>
      <c r="I4452" t="s">
        <v>300</v>
      </c>
    </row>
    <row r="4453" spans="1:9" x14ac:dyDescent="0.35">
      <c r="A4453">
        <v>123</v>
      </c>
      <c r="B4453">
        <v>1</v>
      </c>
      <c r="C4453">
        <v>12</v>
      </c>
      <c r="D4453">
        <v>2</v>
      </c>
      <c r="E4453">
        <v>549.99</v>
      </c>
      <c r="F4453">
        <v>0.1</v>
      </c>
      <c r="G4453">
        <v>1099.8800000000001</v>
      </c>
      <c r="H4453" t="s">
        <v>17</v>
      </c>
      <c r="I4453" t="s">
        <v>304</v>
      </c>
    </row>
    <row r="4454" spans="1:9" x14ac:dyDescent="0.35">
      <c r="A4454">
        <v>125</v>
      </c>
      <c r="B4454">
        <v>1</v>
      </c>
      <c r="C4454">
        <v>17</v>
      </c>
      <c r="D4454">
        <v>1</v>
      </c>
      <c r="E4454">
        <v>429</v>
      </c>
      <c r="F4454">
        <v>0.1</v>
      </c>
      <c r="G4454">
        <v>428.9</v>
      </c>
      <c r="H4454" t="s">
        <v>22</v>
      </c>
      <c r="I4454" t="s">
        <v>299</v>
      </c>
    </row>
    <row r="4455" spans="1:9" x14ac:dyDescent="0.35">
      <c r="A4455">
        <v>126</v>
      </c>
      <c r="B4455">
        <v>1</v>
      </c>
      <c r="C4455">
        <v>9</v>
      </c>
      <c r="D4455">
        <v>2</v>
      </c>
      <c r="E4455">
        <v>2999.99</v>
      </c>
      <c r="F4455">
        <v>0.1</v>
      </c>
      <c r="G4455">
        <v>5999.93</v>
      </c>
      <c r="H4455" t="s">
        <v>14</v>
      </c>
      <c r="I4455" t="s">
        <v>300</v>
      </c>
    </row>
    <row r="4456" spans="1:9" x14ac:dyDescent="0.35">
      <c r="A4456">
        <v>141</v>
      </c>
      <c r="B4456">
        <v>1</v>
      </c>
      <c r="C4456">
        <v>18</v>
      </c>
      <c r="D4456">
        <v>1</v>
      </c>
      <c r="E4456">
        <v>449</v>
      </c>
      <c r="F4456">
        <v>0.2</v>
      </c>
      <c r="G4456">
        <v>448.8</v>
      </c>
      <c r="H4456" t="s">
        <v>23</v>
      </c>
      <c r="I4456" t="s">
        <v>304</v>
      </c>
    </row>
    <row r="4457" spans="1:9" x14ac:dyDescent="0.35">
      <c r="A4457">
        <v>143</v>
      </c>
      <c r="B4457">
        <v>1</v>
      </c>
      <c r="C4457">
        <v>6</v>
      </c>
      <c r="D4457">
        <v>1</v>
      </c>
      <c r="E4457">
        <v>469.99</v>
      </c>
      <c r="F4457">
        <v>0.2</v>
      </c>
      <c r="G4457">
        <v>469.79</v>
      </c>
      <c r="H4457" t="s">
        <v>11</v>
      </c>
      <c r="I4457" t="s">
        <v>300</v>
      </c>
    </row>
    <row r="4458" spans="1:9" x14ac:dyDescent="0.35">
      <c r="A4458">
        <v>144</v>
      </c>
      <c r="B4458">
        <v>1</v>
      </c>
      <c r="C4458">
        <v>8</v>
      </c>
      <c r="D4458">
        <v>2</v>
      </c>
      <c r="E4458">
        <v>1799.99</v>
      </c>
      <c r="F4458">
        <v>0.1</v>
      </c>
      <c r="G4458">
        <v>3599.93</v>
      </c>
      <c r="H4458" t="s">
        <v>13</v>
      </c>
      <c r="I4458" t="s">
        <v>304</v>
      </c>
    </row>
    <row r="4459" spans="1:9" x14ac:dyDescent="0.35">
      <c r="A4459">
        <v>147</v>
      </c>
      <c r="B4459">
        <v>1</v>
      </c>
      <c r="C4459">
        <v>26</v>
      </c>
      <c r="D4459">
        <v>2</v>
      </c>
      <c r="E4459">
        <v>599.99</v>
      </c>
      <c r="F4459">
        <v>0.2</v>
      </c>
      <c r="G4459">
        <v>1199.78</v>
      </c>
      <c r="H4459" t="s">
        <v>21</v>
      </c>
      <c r="I4459" t="s">
        <v>303</v>
      </c>
    </row>
    <row r="4460" spans="1:9" x14ac:dyDescent="0.35">
      <c r="A4460">
        <v>148</v>
      </c>
      <c r="B4460">
        <v>1</v>
      </c>
      <c r="C4460">
        <v>14</v>
      </c>
      <c r="D4460">
        <v>1</v>
      </c>
      <c r="E4460">
        <v>269.99</v>
      </c>
      <c r="F4460">
        <v>0.1</v>
      </c>
      <c r="G4460">
        <v>269.94</v>
      </c>
      <c r="H4460" t="s">
        <v>19</v>
      </c>
      <c r="I4460" t="s">
        <v>301</v>
      </c>
    </row>
    <row r="4461" spans="1:9" x14ac:dyDescent="0.35">
      <c r="A4461">
        <v>154</v>
      </c>
      <c r="B4461">
        <v>1</v>
      </c>
      <c r="C4461">
        <v>12</v>
      </c>
      <c r="D4461">
        <v>1</v>
      </c>
      <c r="E4461">
        <v>549.99</v>
      </c>
      <c r="F4461">
        <v>0.1</v>
      </c>
      <c r="G4461">
        <v>549.89</v>
      </c>
      <c r="H4461" t="s">
        <v>17</v>
      </c>
      <c r="I4461" t="s">
        <v>299</v>
      </c>
    </row>
    <row r="4462" spans="1:9" x14ac:dyDescent="0.35">
      <c r="A4462">
        <v>155</v>
      </c>
      <c r="B4462">
        <v>1</v>
      </c>
      <c r="C4462">
        <v>8</v>
      </c>
      <c r="D4462">
        <v>1</v>
      </c>
      <c r="E4462">
        <v>1799.99</v>
      </c>
      <c r="F4462">
        <v>0.1</v>
      </c>
      <c r="G4462">
        <v>1799.89</v>
      </c>
      <c r="H4462" t="s">
        <v>13</v>
      </c>
      <c r="I4462" t="s">
        <v>304</v>
      </c>
    </row>
    <row r="4463" spans="1:9" x14ac:dyDescent="0.35">
      <c r="A4463">
        <v>158</v>
      </c>
      <c r="B4463">
        <v>1</v>
      </c>
      <c r="C4463">
        <v>24</v>
      </c>
      <c r="D4463">
        <v>1</v>
      </c>
      <c r="E4463">
        <v>549.99</v>
      </c>
      <c r="F4463">
        <v>0.1</v>
      </c>
      <c r="G4463">
        <v>549.89</v>
      </c>
      <c r="H4463" t="s">
        <v>17</v>
      </c>
      <c r="I4463" t="s">
        <v>301</v>
      </c>
    </row>
    <row r="4464" spans="1:9" x14ac:dyDescent="0.35">
      <c r="A4464">
        <v>159</v>
      </c>
      <c r="B4464">
        <v>1</v>
      </c>
      <c r="C4464">
        <v>13</v>
      </c>
      <c r="D4464">
        <v>1</v>
      </c>
      <c r="E4464">
        <v>269.99</v>
      </c>
      <c r="F4464">
        <v>0.2</v>
      </c>
      <c r="G4464">
        <v>269.79000000000002</v>
      </c>
      <c r="H4464" t="s">
        <v>18</v>
      </c>
      <c r="I4464" t="s">
        <v>304</v>
      </c>
    </row>
    <row r="4465" spans="1:9" x14ac:dyDescent="0.35">
      <c r="A4465">
        <v>171</v>
      </c>
      <c r="B4465">
        <v>1</v>
      </c>
      <c r="C4465">
        <v>8</v>
      </c>
      <c r="D4465">
        <v>1</v>
      </c>
      <c r="E4465">
        <v>1799.99</v>
      </c>
      <c r="F4465">
        <v>0.1</v>
      </c>
      <c r="G4465">
        <v>1799.94</v>
      </c>
      <c r="H4465" t="s">
        <v>13</v>
      </c>
      <c r="I4465" t="s">
        <v>301</v>
      </c>
    </row>
    <row r="4466" spans="1:9" x14ac:dyDescent="0.35">
      <c r="A4466">
        <v>177</v>
      </c>
      <c r="B4466">
        <v>1</v>
      </c>
      <c r="C4466">
        <v>20</v>
      </c>
      <c r="D4466">
        <v>2</v>
      </c>
      <c r="E4466">
        <v>599.99</v>
      </c>
      <c r="F4466">
        <v>0.1</v>
      </c>
      <c r="G4466">
        <v>1199.8800000000001</v>
      </c>
      <c r="H4466" t="s">
        <v>25</v>
      </c>
      <c r="I4466" t="s">
        <v>299</v>
      </c>
    </row>
    <row r="4467" spans="1:9" x14ac:dyDescent="0.35">
      <c r="A4467">
        <v>180</v>
      </c>
      <c r="B4467">
        <v>1</v>
      </c>
      <c r="C4467">
        <v>16</v>
      </c>
      <c r="D4467">
        <v>1</v>
      </c>
      <c r="E4467">
        <v>599.99</v>
      </c>
      <c r="F4467">
        <v>0.1</v>
      </c>
      <c r="G4467">
        <v>599.91999999999996</v>
      </c>
      <c r="H4467" t="s">
        <v>21</v>
      </c>
      <c r="I4467" t="s">
        <v>300</v>
      </c>
    </row>
    <row r="4468" spans="1:9" x14ac:dyDescent="0.35">
      <c r="A4468">
        <v>187</v>
      </c>
      <c r="B4468">
        <v>1</v>
      </c>
      <c r="C4468">
        <v>5</v>
      </c>
      <c r="D4468">
        <v>1</v>
      </c>
      <c r="E4468">
        <v>1320.99</v>
      </c>
      <c r="F4468">
        <v>0.1</v>
      </c>
      <c r="G4468">
        <v>1320.94</v>
      </c>
      <c r="H4468" t="s">
        <v>10</v>
      </c>
      <c r="I4468" t="s">
        <v>302</v>
      </c>
    </row>
    <row r="4469" spans="1:9" x14ac:dyDescent="0.35">
      <c r="A4469">
        <v>188</v>
      </c>
      <c r="B4469">
        <v>1</v>
      </c>
      <c r="C4469">
        <v>7</v>
      </c>
      <c r="D4469">
        <v>2</v>
      </c>
      <c r="E4469">
        <v>3999.99</v>
      </c>
      <c r="F4469">
        <v>0.1</v>
      </c>
      <c r="G4469">
        <v>7999.91</v>
      </c>
      <c r="H4469" t="s">
        <v>12</v>
      </c>
      <c r="I4469" t="s">
        <v>303</v>
      </c>
    </row>
    <row r="4470" spans="1:9" x14ac:dyDescent="0.35">
      <c r="A4470">
        <v>189</v>
      </c>
      <c r="B4470">
        <v>1</v>
      </c>
      <c r="C4470">
        <v>16</v>
      </c>
      <c r="D4470">
        <v>2</v>
      </c>
      <c r="E4470">
        <v>599.99</v>
      </c>
      <c r="F4470">
        <v>0.2</v>
      </c>
      <c r="G4470">
        <v>1199.78</v>
      </c>
      <c r="H4470" t="s">
        <v>21</v>
      </c>
      <c r="I4470" t="s">
        <v>304</v>
      </c>
    </row>
    <row r="4471" spans="1:9" x14ac:dyDescent="0.35">
      <c r="A4471">
        <v>193</v>
      </c>
      <c r="B4471">
        <v>1</v>
      </c>
      <c r="C4471">
        <v>12</v>
      </c>
      <c r="D4471">
        <v>2</v>
      </c>
      <c r="E4471">
        <v>549.99</v>
      </c>
      <c r="F4471">
        <v>0.1</v>
      </c>
      <c r="G4471">
        <v>1099.8800000000001</v>
      </c>
      <c r="H4471" t="s">
        <v>17</v>
      </c>
      <c r="I4471" t="s">
        <v>301</v>
      </c>
    </row>
    <row r="4472" spans="1:9" x14ac:dyDescent="0.35">
      <c r="A4472">
        <v>194</v>
      </c>
      <c r="B4472">
        <v>1</v>
      </c>
      <c r="C4472">
        <v>21</v>
      </c>
      <c r="D4472">
        <v>2</v>
      </c>
      <c r="E4472">
        <v>269.99</v>
      </c>
      <c r="F4472">
        <v>0.2</v>
      </c>
      <c r="G4472">
        <v>539.78</v>
      </c>
      <c r="H4472" t="s">
        <v>18</v>
      </c>
      <c r="I4472" t="s">
        <v>299</v>
      </c>
    </row>
    <row r="4473" spans="1:9" x14ac:dyDescent="0.35">
      <c r="A4473">
        <v>209</v>
      </c>
      <c r="B4473">
        <v>1</v>
      </c>
      <c r="C4473">
        <v>13</v>
      </c>
      <c r="D4473">
        <v>1</v>
      </c>
      <c r="E4473">
        <v>269.99</v>
      </c>
      <c r="F4473">
        <v>0.1</v>
      </c>
      <c r="G4473">
        <v>269.89</v>
      </c>
      <c r="H4473" t="s">
        <v>18</v>
      </c>
      <c r="I4473" t="s">
        <v>301</v>
      </c>
    </row>
    <row r="4474" spans="1:9" x14ac:dyDescent="0.35">
      <c r="A4474">
        <v>213</v>
      </c>
      <c r="B4474">
        <v>1</v>
      </c>
      <c r="C4474">
        <v>13</v>
      </c>
      <c r="D4474">
        <v>1</v>
      </c>
      <c r="E4474">
        <v>269.99</v>
      </c>
      <c r="F4474">
        <v>0.1</v>
      </c>
      <c r="G4474">
        <v>269.89</v>
      </c>
      <c r="H4474" t="s">
        <v>18</v>
      </c>
      <c r="I4474" t="s">
        <v>300</v>
      </c>
    </row>
    <row r="4475" spans="1:9" x14ac:dyDescent="0.35">
      <c r="A4475">
        <v>214</v>
      </c>
      <c r="B4475">
        <v>1</v>
      </c>
      <c r="C4475">
        <v>21</v>
      </c>
      <c r="D4475">
        <v>1</v>
      </c>
      <c r="E4475">
        <v>269.99</v>
      </c>
      <c r="F4475">
        <v>0.1</v>
      </c>
      <c r="G4475">
        <v>269.89</v>
      </c>
      <c r="H4475" t="s">
        <v>18</v>
      </c>
      <c r="I4475" t="s">
        <v>301</v>
      </c>
    </row>
    <row r="4476" spans="1:9" x14ac:dyDescent="0.35">
      <c r="A4476">
        <v>221</v>
      </c>
      <c r="B4476">
        <v>1</v>
      </c>
      <c r="C4476">
        <v>11</v>
      </c>
      <c r="D4476">
        <v>2</v>
      </c>
      <c r="E4476">
        <v>1680.99</v>
      </c>
      <c r="F4476">
        <v>0.1</v>
      </c>
      <c r="G4476">
        <v>3361.91</v>
      </c>
      <c r="H4476" t="s">
        <v>16</v>
      </c>
      <c r="I4476" t="s">
        <v>301</v>
      </c>
    </row>
    <row r="4477" spans="1:9" x14ac:dyDescent="0.35">
      <c r="A4477">
        <v>226</v>
      </c>
      <c r="B4477">
        <v>1</v>
      </c>
      <c r="C4477">
        <v>2</v>
      </c>
      <c r="D4477">
        <v>1</v>
      </c>
      <c r="E4477">
        <v>749.99</v>
      </c>
      <c r="F4477">
        <v>0.1</v>
      </c>
      <c r="G4477">
        <v>749.94</v>
      </c>
      <c r="H4477" t="s">
        <v>7</v>
      </c>
      <c r="I4477" t="s">
        <v>300</v>
      </c>
    </row>
    <row r="4478" spans="1:9" x14ac:dyDescent="0.35">
      <c r="A4478">
        <v>230</v>
      </c>
      <c r="B4478">
        <v>1</v>
      </c>
      <c r="C4478">
        <v>11</v>
      </c>
      <c r="D4478">
        <v>2</v>
      </c>
      <c r="E4478">
        <v>1680.99</v>
      </c>
      <c r="F4478">
        <v>0.1</v>
      </c>
      <c r="G4478">
        <v>3361.91</v>
      </c>
      <c r="H4478" t="s">
        <v>16</v>
      </c>
      <c r="I4478" t="s">
        <v>305</v>
      </c>
    </row>
    <row r="4479" spans="1:9" x14ac:dyDescent="0.35">
      <c r="A4479">
        <v>241</v>
      </c>
      <c r="B4479">
        <v>1</v>
      </c>
      <c r="C4479">
        <v>7</v>
      </c>
      <c r="D4479">
        <v>1</v>
      </c>
      <c r="E4479">
        <v>3999.99</v>
      </c>
      <c r="F4479">
        <v>0.2</v>
      </c>
      <c r="G4479">
        <v>3999.79</v>
      </c>
      <c r="H4479" t="s">
        <v>12</v>
      </c>
      <c r="I4479" t="s">
        <v>304</v>
      </c>
    </row>
    <row r="4480" spans="1:9" x14ac:dyDescent="0.35">
      <c r="A4480">
        <v>242</v>
      </c>
      <c r="B4480">
        <v>1</v>
      </c>
      <c r="C4480">
        <v>3</v>
      </c>
      <c r="D4480">
        <v>1</v>
      </c>
      <c r="E4480">
        <v>999.99</v>
      </c>
      <c r="F4480">
        <v>0.2</v>
      </c>
      <c r="G4480">
        <v>999.79</v>
      </c>
      <c r="H4480" t="s">
        <v>8</v>
      </c>
      <c r="I4480" t="s">
        <v>305</v>
      </c>
    </row>
    <row r="4481" spans="1:9" x14ac:dyDescent="0.35">
      <c r="A4481">
        <v>246</v>
      </c>
      <c r="B4481">
        <v>1</v>
      </c>
      <c r="C4481">
        <v>17</v>
      </c>
      <c r="D4481">
        <v>2</v>
      </c>
      <c r="E4481">
        <v>429</v>
      </c>
      <c r="F4481">
        <v>0.2</v>
      </c>
      <c r="G4481">
        <v>857.8</v>
      </c>
      <c r="H4481" t="s">
        <v>22</v>
      </c>
      <c r="I4481" t="s">
        <v>300</v>
      </c>
    </row>
    <row r="4482" spans="1:9" x14ac:dyDescent="0.35">
      <c r="A4482">
        <v>253</v>
      </c>
      <c r="B4482">
        <v>1</v>
      </c>
      <c r="C4482">
        <v>11</v>
      </c>
      <c r="D4482">
        <v>2</v>
      </c>
      <c r="E4482">
        <v>1680.99</v>
      </c>
      <c r="F4482">
        <v>0.1</v>
      </c>
      <c r="G4482">
        <v>3361.91</v>
      </c>
      <c r="H4482" t="s">
        <v>16</v>
      </c>
      <c r="I4482" t="s">
        <v>304</v>
      </c>
    </row>
    <row r="4483" spans="1:9" x14ac:dyDescent="0.35">
      <c r="A4483">
        <v>265</v>
      </c>
      <c r="B4483">
        <v>1</v>
      </c>
      <c r="C4483">
        <v>9</v>
      </c>
      <c r="D4483">
        <v>2</v>
      </c>
      <c r="E4483">
        <v>2999.99</v>
      </c>
      <c r="F4483">
        <v>0.2</v>
      </c>
      <c r="G4483">
        <v>5999.78</v>
      </c>
      <c r="H4483" t="s">
        <v>14</v>
      </c>
      <c r="I4483" t="s">
        <v>300</v>
      </c>
    </row>
    <row r="4484" spans="1:9" x14ac:dyDescent="0.35">
      <c r="A4484">
        <v>273</v>
      </c>
      <c r="B4484">
        <v>1</v>
      </c>
      <c r="C4484">
        <v>21</v>
      </c>
      <c r="D4484">
        <v>1</v>
      </c>
      <c r="E4484">
        <v>269.99</v>
      </c>
      <c r="F4484">
        <v>0.1</v>
      </c>
      <c r="G4484">
        <v>269.89</v>
      </c>
      <c r="H4484" t="s">
        <v>18</v>
      </c>
      <c r="I4484" t="s">
        <v>301</v>
      </c>
    </row>
    <row r="4485" spans="1:9" x14ac:dyDescent="0.35">
      <c r="A4485">
        <v>279</v>
      </c>
      <c r="B4485">
        <v>1</v>
      </c>
      <c r="C4485">
        <v>25</v>
      </c>
      <c r="D4485">
        <v>1</v>
      </c>
      <c r="E4485">
        <v>499.99</v>
      </c>
      <c r="F4485">
        <v>0.1</v>
      </c>
      <c r="G4485">
        <v>499.92</v>
      </c>
      <c r="H4485" t="s">
        <v>27</v>
      </c>
      <c r="I4485" t="s">
        <v>305</v>
      </c>
    </row>
    <row r="4486" spans="1:9" x14ac:dyDescent="0.35">
      <c r="A4486">
        <v>295</v>
      </c>
      <c r="B4486">
        <v>1</v>
      </c>
      <c r="C4486">
        <v>22</v>
      </c>
      <c r="D4486">
        <v>2</v>
      </c>
      <c r="E4486">
        <v>269.99</v>
      </c>
      <c r="F4486">
        <v>0.1</v>
      </c>
      <c r="G4486">
        <v>539.91</v>
      </c>
      <c r="H4486" t="s">
        <v>19</v>
      </c>
      <c r="I4486" t="s">
        <v>305</v>
      </c>
    </row>
    <row r="4487" spans="1:9" x14ac:dyDescent="0.35">
      <c r="A4487">
        <v>297</v>
      </c>
      <c r="B4487">
        <v>1</v>
      </c>
      <c r="C4487">
        <v>4</v>
      </c>
      <c r="D4487">
        <v>2</v>
      </c>
      <c r="E4487">
        <v>2899.99</v>
      </c>
      <c r="F4487">
        <v>0.2</v>
      </c>
      <c r="G4487">
        <v>5799.78</v>
      </c>
      <c r="H4487" t="s">
        <v>9</v>
      </c>
      <c r="I4487" t="s">
        <v>305</v>
      </c>
    </row>
    <row r="4488" spans="1:9" x14ac:dyDescent="0.35">
      <c r="A4488">
        <v>307</v>
      </c>
      <c r="B4488">
        <v>1</v>
      </c>
      <c r="C4488">
        <v>15</v>
      </c>
      <c r="D4488">
        <v>2</v>
      </c>
      <c r="E4488">
        <v>529.99</v>
      </c>
      <c r="F4488">
        <v>0.1</v>
      </c>
      <c r="G4488">
        <v>1059.93</v>
      </c>
      <c r="H4488" t="s">
        <v>20</v>
      </c>
      <c r="I4488" t="s">
        <v>299</v>
      </c>
    </row>
    <row r="4489" spans="1:9" x14ac:dyDescent="0.35">
      <c r="A4489">
        <v>320</v>
      </c>
      <c r="B4489">
        <v>1</v>
      </c>
      <c r="C4489">
        <v>2</v>
      </c>
      <c r="D4489">
        <v>1</v>
      </c>
      <c r="E4489">
        <v>749.99</v>
      </c>
      <c r="F4489">
        <v>0.1</v>
      </c>
      <c r="G4489">
        <v>749.89</v>
      </c>
      <c r="H4489" t="s">
        <v>7</v>
      </c>
      <c r="I4489" t="s">
        <v>301</v>
      </c>
    </row>
    <row r="4490" spans="1:9" x14ac:dyDescent="0.35">
      <c r="A4490">
        <v>328</v>
      </c>
      <c r="B4490">
        <v>1</v>
      </c>
      <c r="C4490">
        <v>6</v>
      </c>
      <c r="D4490">
        <v>2</v>
      </c>
      <c r="E4490">
        <v>469.99</v>
      </c>
      <c r="F4490">
        <v>0.1</v>
      </c>
      <c r="G4490">
        <v>939.88</v>
      </c>
      <c r="H4490" t="s">
        <v>11</v>
      </c>
      <c r="I4490" t="s">
        <v>301</v>
      </c>
    </row>
    <row r="4491" spans="1:9" x14ac:dyDescent="0.35">
      <c r="A4491">
        <v>330</v>
      </c>
      <c r="B4491">
        <v>1</v>
      </c>
      <c r="C4491">
        <v>21</v>
      </c>
      <c r="D4491">
        <v>2</v>
      </c>
      <c r="E4491">
        <v>269.99</v>
      </c>
      <c r="F4491">
        <v>0.1</v>
      </c>
      <c r="G4491">
        <v>539.92999999999995</v>
      </c>
      <c r="H4491" t="s">
        <v>18</v>
      </c>
      <c r="I4491" t="s">
        <v>301</v>
      </c>
    </row>
    <row r="4492" spans="1:9" x14ac:dyDescent="0.35">
      <c r="A4492">
        <v>331</v>
      </c>
      <c r="B4492">
        <v>1</v>
      </c>
      <c r="C4492">
        <v>17</v>
      </c>
      <c r="D4492">
        <v>2</v>
      </c>
      <c r="E4492">
        <v>429</v>
      </c>
      <c r="F4492">
        <v>0.1</v>
      </c>
      <c r="G4492">
        <v>857.9</v>
      </c>
      <c r="H4492" t="s">
        <v>22</v>
      </c>
      <c r="I4492" t="s">
        <v>304</v>
      </c>
    </row>
    <row r="4493" spans="1:9" x14ac:dyDescent="0.35">
      <c r="A4493">
        <v>332</v>
      </c>
      <c r="B4493">
        <v>1</v>
      </c>
      <c r="C4493">
        <v>18</v>
      </c>
      <c r="D4493">
        <v>2</v>
      </c>
      <c r="E4493">
        <v>449</v>
      </c>
      <c r="F4493">
        <v>0.1</v>
      </c>
      <c r="G4493">
        <v>897.95</v>
      </c>
      <c r="H4493" t="s">
        <v>23</v>
      </c>
      <c r="I4493" t="s">
        <v>301</v>
      </c>
    </row>
    <row r="4494" spans="1:9" x14ac:dyDescent="0.35">
      <c r="A4494">
        <v>341</v>
      </c>
      <c r="B4494">
        <v>1</v>
      </c>
      <c r="C4494">
        <v>23</v>
      </c>
      <c r="D4494">
        <v>2</v>
      </c>
      <c r="E4494">
        <v>299.99</v>
      </c>
      <c r="F4494">
        <v>0.1</v>
      </c>
      <c r="G4494">
        <v>599.92999999999995</v>
      </c>
      <c r="H4494" t="s">
        <v>26</v>
      </c>
      <c r="I4494" t="s">
        <v>300</v>
      </c>
    </row>
    <row r="4495" spans="1:9" x14ac:dyDescent="0.35">
      <c r="A4495">
        <v>347</v>
      </c>
      <c r="B4495">
        <v>1</v>
      </c>
      <c r="C4495">
        <v>23</v>
      </c>
      <c r="D4495">
        <v>1</v>
      </c>
      <c r="E4495">
        <v>299.99</v>
      </c>
      <c r="F4495">
        <v>0.1</v>
      </c>
      <c r="G4495">
        <v>299.92</v>
      </c>
      <c r="H4495" t="s">
        <v>26</v>
      </c>
      <c r="I4495" t="s">
        <v>305</v>
      </c>
    </row>
    <row r="4496" spans="1:9" x14ac:dyDescent="0.35">
      <c r="A4496">
        <v>349</v>
      </c>
      <c r="B4496">
        <v>1</v>
      </c>
      <c r="C4496">
        <v>20</v>
      </c>
      <c r="D4496">
        <v>2</v>
      </c>
      <c r="E4496">
        <v>599.99</v>
      </c>
      <c r="F4496">
        <v>0.2</v>
      </c>
      <c r="G4496">
        <v>1199.78</v>
      </c>
      <c r="H4496" t="s">
        <v>25</v>
      </c>
      <c r="I4496" t="s">
        <v>299</v>
      </c>
    </row>
    <row r="4497" spans="1:9" x14ac:dyDescent="0.35">
      <c r="A4497">
        <v>353</v>
      </c>
      <c r="B4497">
        <v>1</v>
      </c>
      <c r="C4497">
        <v>2</v>
      </c>
      <c r="D4497">
        <v>2</v>
      </c>
      <c r="E4497">
        <v>749.99</v>
      </c>
      <c r="F4497">
        <v>0.2</v>
      </c>
      <c r="G4497">
        <v>1499.78</v>
      </c>
      <c r="H4497" t="s">
        <v>7</v>
      </c>
      <c r="I4497" t="s">
        <v>304</v>
      </c>
    </row>
    <row r="4498" spans="1:9" x14ac:dyDescent="0.35">
      <c r="A4498">
        <v>362</v>
      </c>
      <c r="B4498">
        <v>1</v>
      </c>
      <c r="C4498">
        <v>2</v>
      </c>
      <c r="D4498">
        <v>1</v>
      </c>
      <c r="E4498">
        <v>749.99</v>
      </c>
      <c r="F4498">
        <v>0.1</v>
      </c>
      <c r="G4498">
        <v>749.92</v>
      </c>
      <c r="H4498" t="s">
        <v>7</v>
      </c>
      <c r="I4498" t="s">
        <v>301</v>
      </c>
    </row>
    <row r="4499" spans="1:9" x14ac:dyDescent="0.35">
      <c r="A4499">
        <v>364</v>
      </c>
      <c r="B4499">
        <v>1</v>
      </c>
      <c r="C4499">
        <v>25</v>
      </c>
      <c r="D4499">
        <v>2</v>
      </c>
      <c r="E4499">
        <v>499.99</v>
      </c>
      <c r="F4499">
        <v>0.1</v>
      </c>
      <c r="G4499">
        <v>999.93</v>
      </c>
      <c r="H4499" t="s">
        <v>27</v>
      </c>
      <c r="I4499" t="s">
        <v>299</v>
      </c>
    </row>
    <row r="4500" spans="1:9" x14ac:dyDescent="0.35">
      <c r="A4500">
        <v>365</v>
      </c>
      <c r="B4500">
        <v>1</v>
      </c>
      <c r="C4500">
        <v>24</v>
      </c>
      <c r="D4500">
        <v>2</v>
      </c>
      <c r="E4500">
        <v>549.99</v>
      </c>
      <c r="F4500">
        <v>0.1</v>
      </c>
      <c r="G4500">
        <v>1099.9100000000001</v>
      </c>
      <c r="H4500" t="s">
        <v>17</v>
      </c>
      <c r="I4500" t="s">
        <v>300</v>
      </c>
    </row>
    <row r="4501" spans="1:9" x14ac:dyDescent="0.35">
      <c r="A4501">
        <v>369</v>
      </c>
      <c r="B4501">
        <v>1</v>
      </c>
      <c r="C4501">
        <v>10</v>
      </c>
      <c r="D4501">
        <v>2</v>
      </c>
      <c r="E4501">
        <v>1549</v>
      </c>
      <c r="F4501">
        <v>0.1</v>
      </c>
      <c r="G4501">
        <v>3097.93</v>
      </c>
      <c r="H4501" t="s">
        <v>15</v>
      </c>
      <c r="I4501" t="s">
        <v>299</v>
      </c>
    </row>
    <row r="4502" spans="1:9" x14ac:dyDescent="0.35">
      <c r="A4502">
        <v>378</v>
      </c>
      <c r="B4502">
        <v>1</v>
      </c>
      <c r="C4502">
        <v>26</v>
      </c>
      <c r="D4502">
        <v>2</v>
      </c>
      <c r="E4502">
        <v>599.99</v>
      </c>
      <c r="F4502">
        <v>0.1</v>
      </c>
      <c r="G4502">
        <v>1199.93</v>
      </c>
      <c r="H4502" t="s">
        <v>21</v>
      </c>
      <c r="I4502" t="s">
        <v>304</v>
      </c>
    </row>
    <row r="4503" spans="1:9" x14ac:dyDescent="0.35">
      <c r="A4503">
        <v>381</v>
      </c>
      <c r="B4503">
        <v>1</v>
      </c>
      <c r="C4503">
        <v>21</v>
      </c>
      <c r="D4503">
        <v>2</v>
      </c>
      <c r="E4503">
        <v>269.99</v>
      </c>
      <c r="F4503">
        <v>0.1</v>
      </c>
      <c r="G4503">
        <v>539.91</v>
      </c>
      <c r="H4503" t="s">
        <v>18</v>
      </c>
      <c r="I4503" t="s">
        <v>304</v>
      </c>
    </row>
    <row r="4504" spans="1:9" x14ac:dyDescent="0.35">
      <c r="A4504">
        <v>387</v>
      </c>
      <c r="B4504">
        <v>1</v>
      </c>
      <c r="C4504">
        <v>18</v>
      </c>
      <c r="D4504">
        <v>1</v>
      </c>
      <c r="E4504">
        <v>449</v>
      </c>
      <c r="F4504">
        <v>0.2</v>
      </c>
      <c r="G4504">
        <v>448.8</v>
      </c>
      <c r="H4504" t="s">
        <v>23</v>
      </c>
      <c r="I4504" t="s">
        <v>301</v>
      </c>
    </row>
    <row r="4505" spans="1:9" x14ac:dyDescent="0.35">
      <c r="A4505">
        <v>393</v>
      </c>
      <c r="B4505">
        <v>1</v>
      </c>
      <c r="C4505">
        <v>6</v>
      </c>
      <c r="D4505">
        <v>2</v>
      </c>
      <c r="E4505">
        <v>469.99</v>
      </c>
      <c r="F4505">
        <v>0.2</v>
      </c>
      <c r="G4505">
        <v>939.78</v>
      </c>
      <c r="H4505" t="s">
        <v>11</v>
      </c>
      <c r="I4505" t="s">
        <v>300</v>
      </c>
    </row>
    <row r="4506" spans="1:9" x14ac:dyDescent="0.35">
      <c r="A4506">
        <v>395</v>
      </c>
      <c r="B4506">
        <v>1</v>
      </c>
      <c r="C4506">
        <v>14</v>
      </c>
      <c r="D4506">
        <v>1</v>
      </c>
      <c r="E4506">
        <v>269.99</v>
      </c>
      <c r="F4506">
        <v>0.1</v>
      </c>
      <c r="G4506">
        <v>269.94</v>
      </c>
      <c r="H4506" t="s">
        <v>19</v>
      </c>
      <c r="I4506" t="s">
        <v>303</v>
      </c>
    </row>
    <row r="4507" spans="1:9" x14ac:dyDescent="0.35">
      <c r="A4507">
        <v>397</v>
      </c>
      <c r="B4507">
        <v>1</v>
      </c>
      <c r="C4507">
        <v>7</v>
      </c>
      <c r="D4507">
        <v>1</v>
      </c>
      <c r="E4507">
        <v>3999.99</v>
      </c>
      <c r="F4507">
        <v>0.1</v>
      </c>
      <c r="G4507">
        <v>3999.94</v>
      </c>
      <c r="H4507" t="s">
        <v>12</v>
      </c>
      <c r="I4507" t="s">
        <v>301</v>
      </c>
    </row>
    <row r="4508" spans="1:9" x14ac:dyDescent="0.35">
      <c r="A4508">
        <v>406</v>
      </c>
      <c r="B4508">
        <v>1</v>
      </c>
      <c r="C4508">
        <v>4</v>
      </c>
      <c r="D4508">
        <v>1</v>
      </c>
      <c r="E4508">
        <v>2899.99</v>
      </c>
      <c r="F4508">
        <v>0.2</v>
      </c>
      <c r="G4508">
        <v>2899.79</v>
      </c>
      <c r="H4508" t="s">
        <v>9</v>
      </c>
      <c r="I4508" t="s">
        <v>299</v>
      </c>
    </row>
    <row r="4509" spans="1:9" x14ac:dyDescent="0.35">
      <c r="A4509">
        <v>414</v>
      </c>
      <c r="B4509">
        <v>1</v>
      </c>
      <c r="C4509">
        <v>4</v>
      </c>
      <c r="D4509">
        <v>2</v>
      </c>
      <c r="E4509">
        <v>2899.99</v>
      </c>
      <c r="F4509">
        <v>0.1</v>
      </c>
      <c r="G4509">
        <v>5799.88</v>
      </c>
      <c r="H4509" t="s">
        <v>9</v>
      </c>
      <c r="I4509" t="s">
        <v>300</v>
      </c>
    </row>
    <row r="4510" spans="1:9" x14ac:dyDescent="0.35">
      <c r="A4510">
        <v>419</v>
      </c>
      <c r="B4510">
        <v>1</v>
      </c>
      <c r="C4510">
        <v>9</v>
      </c>
      <c r="D4510">
        <v>1</v>
      </c>
      <c r="E4510">
        <v>2999.99</v>
      </c>
      <c r="F4510">
        <v>0.1</v>
      </c>
      <c r="G4510">
        <v>2999.94</v>
      </c>
      <c r="H4510" t="s">
        <v>14</v>
      </c>
      <c r="I4510" t="s">
        <v>299</v>
      </c>
    </row>
    <row r="4511" spans="1:9" x14ac:dyDescent="0.35">
      <c r="A4511">
        <v>422</v>
      </c>
      <c r="B4511">
        <v>1</v>
      </c>
      <c r="C4511">
        <v>20</v>
      </c>
      <c r="D4511">
        <v>2</v>
      </c>
      <c r="E4511">
        <v>599.99</v>
      </c>
      <c r="F4511">
        <v>0.1</v>
      </c>
      <c r="G4511">
        <v>1199.93</v>
      </c>
      <c r="H4511" t="s">
        <v>25</v>
      </c>
      <c r="I4511" t="s">
        <v>302</v>
      </c>
    </row>
    <row r="4512" spans="1:9" x14ac:dyDescent="0.35">
      <c r="A4512">
        <v>451</v>
      </c>
      <c r="B4512">
        <v>1</v>
      </c>
      <c r="C4512">
        <v>14</v>
      </c>
      <c r="D4512">
        <v>2</v>
      </c>
      <c r="E4512">
        <v>269.99</v>
      </c>
      <c r="F4512">
        <v>0.1</v>
      </c>
      <c r="G4512">
        <v>539.92999999999995</v>
      </c>
      <c r="H4512" t="s">
        <v>19</v>
      </c>
      <c r="I4512" t="s">
        <v>304</v>
      </c>
    </row>
    <row r="4513" spans="1:9" x14ac:dyDescent="0.35">
      <c r="A4513">
        <v>455</v>
      </c>
      <c r="B4513">
        <v>1</v>
      </c>
      <c r="C4513">
        <v>9</v>
      </c>
      <c r="D4513">
        <v>1</v>
      </c>
      <c r="E4513">
        <v>2999.99</v>
      </c>
      <c r="F4513">
        <v>0.1</v>
      </c>
      <c r="G4513">
        <v>2999.94</v>
      </c>
      <c r="H4513" t="s">
        <v>14</v>
      </c>
      <c r="I4513" t="s">
        <v>301</v>
      </c>
    </row>
    <row r="4514" spans="1:9" x14ac:dyDescent="0.35">
      <c r="A4514">
        <v>459</v>
      </c>
      <c r="B4514">
        <v>1</v>
      </c>
      <c r="C4514">
        <v>11</v>
      </c>
      <c r="D4514">
        <v>1</v>
      </c>
      <c r="E4514">
        <v>1680.99</v>
      </c>
      <c r="F4514">
        <v>0.2</v>
      </c>
      <c r="G4514">
        <v>1680.79</v>
      </c>
      <c r="H4514" t="s">
        <v>16</v>
      </c>
      <c r="I4514" t="s">
        <v>301</v>
      </c>
    </row>
    <row r="4515" spans="1:9" x14ac:dyDescent="0.35">
      <c r="A4515">
        <v>462</v>
      </c>
      <c r="B4515">
        <v>1</v>
      </c>
      <c r="C4515">
        <v>12</v>
      </c>
      <c r="D4515">
        <v>2</v>
      </c>
      <c r="E4515">
        <v>549.99</v>
      </c>
      <c r="F4515">
        <v>0.1</v>
      </c>
      <c r="G4515">
        <v>1099.8800000000001</v>
      </c>
      <c r="H4515" t="s">
        <v>17</v>
      </c>
      <c r="I4515" t="s">
        <v>305</v>
      </c>
    </row>
    <row r="4516" spans="1:9" x14ac:dyDescent="0.35">
      <c r="A4516">
        <v>463</v>
      </c>
      <c r="B4516">
        <v>1</v>
      </c>
      <c r="C4516">
        <v>13</v>
      </c>
      <c r="D4516">
        <v>2</v>
      </c>
      <c r="E4516">
        <v>269.99</v>
      </c>
      <c r="F4516">
        <v>0.1</v>
      </c>
      <c r="G4516">
        <v>539.91</v>
      </c>
      <c r="H4516" t="s">
        <v>18</v>
      </c>
      <c r="I4516" t="s">
        <v>301</v>
      </c>
    </row>
    <row r="4517" spans="1:9" x14ac:dyDescent="0.35">
      <c r="A4517">
        <v>464</v>
      </c>
      <c r="B4517">
        <v>1</v>
      </c>
      <c r="C4517">
        <v>7</v>
      </c>
      <c r="D4517">
        <v>1</v>
      </c>
      <c r="E4517">
        <v>3999.99</v>
      </c>
      <c r="F4517">
        <v>0.1</v>
      </c>
      <c r="G4517">
        <v>3999.89</v>
      </c>
      <c r="H4517" t="s">
        <v>12</v>
      </c>
      <c r="I4517" t="s">
        <v>299</v>
      </c>
    </row>
    <row r="4518" spans="1:9" x14ac:dyDescent="0.35">
      <c r="A4518">
        <v>473</v>
      </c>
      <c r="B4518">
        <v>1</v>
      </c>
      <c r="C4518">
        <v>26</v>
      </c>
      <c r="D4518">
        <v>1</v>
      </c>
      <c r="E4518">
        <v>599.99</v>
      </c>
      <c r="F4518">
        <v>0.1</v>
      </c>
      <c r="G4518">
        <v>599.91999999999996</v>
      </c>
      <c r="H4518" t="s">
        <v>21</v>
      </c>
      <c r="I4518" t="s">
        <v>305</v>
      </c>
    </row>
    <row r="4519" spans="1:9" x14ac:dyDescent="0.35">
      <c r="A4519">
        <v>478</v>
      </c>
      <c r="B4519">
        <v>1</v>
      </c>
      <c r="C4519">
        <v>21</v>
      </c>
      <c r="D4519">
        <v>2</v>
      </c>
      <c r="E4519">
        <v>269.99</v>
      </c>
      <c r="F4519">
        <v>0.1</v>
      </c>
      <c r="G4519">
        <v>539.91</v>
      </c>
      <c r="H4519" t="s">
        <v>18</v>
      </c>
      <c r="I4519" t="s">
        <v>305</v>
      </c>
    </row>
    <row r="4520" spans="1:9" x14ac:dyDescent="0.35">
      <c r="A4520">
        <v>483</v>
      </c>
      <c r="B4520">
        <v>1</v>
      </c>
      <c r="C4520">
        <v>17</v>
      </c>
      <c r="D4520">
        <v>1</v>
      </c>
      <c r="E4520">
        <v>429</v>
      </c>
      <c r="F4520">
        <v>0.1</v>
      </c>
      <c r="G4520">
        <v>428.93</v>
      </c>
      <c r="H4520" t="s">
        <v>22</v>
      </c>
      <c r="I4520" t="s">
        <v>300</v>
      </c>
    </row>
    <row r="4521" spans="1:9" x14ac:dyDescent="0.35">
      <c r="A4521">
        <v>487</v>
      </c>
      <c r="B4521">
        <v>1</v>
      </c>
      <c r="C4521">
        <v>6</v>
      </c>
      <c r="D4521">
        <v>1</v>
      </c>
      <c r="E4521">
        <v>469.99</v>
      </c>
      <c r="F4521">
        <v>0.2</v>
      </c>
      <c r="G4521">
        <v>469.79</v>
      </c>
      <c r="H4521" t="s">
        <v>11</v>
      </c>
      <c r="I4521" t="s">
        <v>304</v>
      </c>
    </row>
    <row r="4522" spans="1:9" x14ac:dyDescent="0.35">
      <c r="A4522">
        <v>489</v>
      </c>
      <c r="B4522">
        <v>1</v>
      </c>
      <c r="C4522">
        <v>8</v>
      </c>
      <c r="D4522">
        <v>2</v>
      </c>
      <c r="E4522">
        <v>1799.99</v>
      </c>
      <c r="F4522">
        <v>0.1</v>
      </c>
      <c r="G4522">
        <v>3599.88</v>
      </c>
      <c r="H4522" t="s">
        <v>13</v>
      </c>
      <c r="I4522" t="s">
        <v>304</v>
      </c>
    </row>
    <row r="4523" spans="1:9" x14ac:dyDescent="0.35">
      <c r="A4523">
        <v>494</v>
      </c>
      <c r="B4523">
        <v>1</v>
      </c>
      <c r="C4523">
        <v>23</v>
      </c>
      <c r="D4523">
        <v>1</v>
      </c>
      <c r="E4523">
        <v>299.99</v>
      </c>
      <c r="F4523">
        <v>0.1</v>
      </c>
      <c r="G4523">
        <v>299.89</v>
      </c>
      <c r="H4523" t="s">
        <v>26</v>
      </c>
      <c r="I4523" t="s">
        <v>301</v>
      </c>
    </row>
    <row r="4524" spans="1:9" x14ac:dyDescent="0.35">
      <c r="A4524">
        <v>497</v>
      </c>
      <c r="B4524">
        <v>1</v>
      </c>
      <c r="C4524">
        <v>25</v>
      </c>
      <c r="D4524">
        <v>2</v>
      </c>
      <c r="E4524">
        <v>499.99</v>
      </c>
      <c r="F4524">
        <v>0.1</v>
      </c>
      <c r="G4524">
        <v>999.91</v>
      </c>
      <c r="H4524" t="s">
        <v>27</v>
      </c>
      <c r="I4524" t="s">
        <v>299</v>
      </c>
    </row>
    <row r="4525" spans="1:9" x14ac:dyDescent="0.35">
      <c r="A4525">
        <v>502</v>
      </c>
      <c r="B4525">
        <v>1</v>
      </c>
      <c r="C4525">
        <v>13</v>
      </c>
      <c r="D4525">
        <v>1</v>
      </c>
      <c r="E4525">
        <v>269.99</v>
      </c>
      <c r="F4525">
        <v>0.1</v>
      </c>
      <c r="G4525">
        <v>269.94</v>
      </c>
      <c r="H4525" t="s">
        <v>18</v>
      </c>
      <c r="I4525" t="s">
        <v>300</v>
      </c>
    </row>
    <row r="4526" spans="1:9" x14ac:dyDescent="0.35">
      <c r="A4526">
        <v>505</v>
      </c>
      <c r="B4526">
        <v>1</v>
      </c>
      <c r="C4526">
        <v>26</v>
      </c>
      <c r="D4526">
        <v>1</v>
      </c>
      <c r="E4526">
        <v>599.99</v>
      </c>
      <c r="F4526">
        <v>0.2</v>
      </c>
      <c r="G4526">
        <v>599.79</v>
      </c>
      <c r="H4526" t="s">
        <v>21</v>
      </c>
      <c r="I4526" t="s">
        <v>305</v>
      </c>
    </row>
    <row r="4527" spans="1:9" x14ac:dyDescent="0.35">
      <c r="A4527">
        <v>510</v>
      </c>
      <c r="B4527">
        <v>1</v>
      </c>
      <c r="C4527">
        <v>17</v>
      </c>
      <c r="D4527">
        <v>1</v>
      </c>
      <c r="E4527">
        <v>429</v>
      </c>
      <c r="F4527">
        <v>0.1</v>
      </c>
      <c r="G4527">
        <v>428.9</v>
      </c>
      <c r="H4527" t="s">
        <v>22</v>
      </c>
      <c r="I4527" t="s">
        <v>301</v>
      </c>
    </row>
    <row r="4528" spans="1:9" x14ac:dyDescent="0.35">
      <c r="A4528">
        <v>512</v>
      </c>
      <c r="B4528">
        <v>1</v>
      </c>
      <c r="C4528">
        <v>21</v>
      </c>
      <c r="D4528">
        <v>1</v>
      </c>
      <c r="E4528">
        <v>269.99</v>
      </c>
      <c r="F4528">
        <v>0.1</v>
      </c>
      <c r="G4528">
        <v>269.92</v>
      </c>
      <c r="H4528" t="s">
        <v>18</v>
      </c>
      <c r="I4528" t="s">
        <v>303</v>
      </c>
    </row>
    <row r="4529" spans="1:9" x14ac:dyDescent="0.35">
      <c r="A4529">
        <v>517</v>
      </c>
      <c r="B4529">
        <v>1</v>
      </c>
      <c r="C4529">
        <v>21</v>
      </c>
      <c r="D4529">
        <v>2</v>
      </c>
      <c r="E4529">
        <v>269.99</v>
      </c>
      <c r="F4529">
        <v>0.1</v>
      </c>
      <c r="G4529">
        <v>539.91</v>
      </c>
      <c r="H4529" t="s">
        <v>18</v>
      </c>
      <c r="I4529" t="s">
        <v>305</v>
      </c>
    </row>
    <row r="4530" spans="1:9" x14ac:dyDescent="0.35">
      <c r="A4530">
        <v>528</v>
      </c>
      <c r="B4530">
        <v>1</v>
      </c>
      <c r="C4530">
        <v>21</v>
      </c>
      <c r="D4530">
        <v>2</v>
      </c>
      <c r="E4530">
        <v>269.99</v>
      </c>
      <c r="F4530">
        <v>0.1</v>
      </c>
      <c r="G4530">
        <v>539.92999999999995</v>
      </c>
      <c r="H4530" t="s">
        <v>18</v>
      </c>
      <c r="I4530" t="s">
        <v>305</v>
      </c>
    </row>
    <row r="4531" spans="1:9" x14ac:dyDescent="0.35">
      <c r="A4531">
        <v>529</v>
      </c>
      <c r="B4531">
        <v>1</v>
      </c>
      <c r="C4531">
        <v>12</v>
      </c>
      <c r="D4531">
        <v>2</v>
      </c>
      <c r="E4531">
        <v>549.99</v>
      </c>
      <c r="F4531">
        <v>0.1</v>
      </c>
      <c r="G4531">
        <v>1099.9100000000001</v>
      </c>
      <c r="H4531" t="s">
        <v>17</v>
      </c>
      <c r="I4531" t="s">
        <v>299</v>
      </c>
    </row>
    <row r="4532" spans="1:9" x14ac:dyDescent="0.35">
      <c r="A4532">
        <v>538</v>
      </c>
      <c r="B4532">
        <v>1</v>
      </c>
      <c r="C4532">
        <v>2</v>
      </c>
      <c r="D4532">
        <v>2</v>
      </c>
      <c r="E4532">
        <v>749.99</v>
      </c>
      <c r="F4532">
        <v>0.2</v>
      </c>
      <c r="G4532">
        <v>1499.78</v>
      </c>
      <c r="H4532" t="s">
        <v>7</v>
      </c>
      <c r="I4532" t="s">
        <v>301</v>
      </c>
    </row>
    <row r="4533" spans="1:9" x14ac:dyDescent="0.35">
      <c r="A4533">
        <v>541</v>
      </c>
      <c r="B4533">
        <v>1</v>
      </c>
      <c r="C4533">
        <v>22</v>
      </c>
      <c r="D4533">
        <v>2</v>
      </c>
      <c r="E4533">
        <v>269.99</v>
      </c>
      <c r="F4533">
        <v>0.1</v>
      </c>
      <c r="G4533">
        <v>539.92999999999995</v>
      </c>
      <c r="H4533" t="s">
        <v>19</v>
      </c>
      <c r="I4533" t="s">
        <v>304</v>
      </c>
    </row>
    <row r="4534" spans="1:9" x14ac:dyDescent="0.35">
      <c r="A4534">
        <v>550</v>
      </c>
      <c r="B4534">
        <v>1</v>
      </c>
      <c r="C4534">
        <v>4</v>
      </c>
      <c r="D4534">
        <v>1</v>
      </c>
      <c r="E4534">
        <v>2899.99</v>
      </c>
      <c r="F4534">
        <v>0.1</v>
      </c>
      <c r="G4534">
        <v>2899.94</v>
      </c>
      <c r="H4534" t="s">
        <v>9</v>
      </c>
      <c r="I4534" t="s">
        <v>305</v>
      </c>
    </row>
    <row r="4535" spans="1:9" x14ac:dyDescent="0.35">
      <c r="A4535">
        <v>573</v>
      </c>
      <c r="B4535">
        <v>1</v>
      </c>
      <c r="C4535">
        <v>2</v>
      </c>
      <c r="D4535">
        <v>1</v>
      </c>
      <c r="E4535">
        <v>749.99</v>
      </c>
      <c r="F4535">
        <v>0.2</v>
      </c>
      <c r="G4535">
        <v>749.79</v>
      </c>
      <c r="H4535" t="s">
        <v>7</v>
      </c>
      <c r="I4535" t="s">
        <v>299</v>
      </c>
    </row>
    <row r="4536" spans="1:9" x14ac:dyDescent="0.35">
      <c r="A4536">
        <v>576</v>
      </c>
      <c r="B4536">
        <v>1</v>
      </c>
      <c r="C4536">
        <v>9</v>
      </c>
      <c r="D4536">
        <v>1</v>
      </c>
      <c r="E4536">
        <v>2999.99</v>
      </c>
      <c r="F4536">
        <v>0.1</v>
      </c>
      <c r="G4536">
        <v>2999.89</v>
      </c>
      <c r="H4536" t="s">
        <v>14</v>
      </c>
      <c r="I4536" t="s">
        <v>301</v>
      </c>
    </row>
    <row r="4537" spans="1:9" x14ac:dyDescent="0.35">
      <c r="A4537">
        <v>577</v>
      </c>
      <c r="B4537">
        <v>1</v>
      </c>
      <c r="C4537">
        <v>3</v>
      </c>
      <c r="D4537">
        <v>2</v>
      </c>
      <c r="E4537">
        <v>999.99</v>
      </c>
      <c r="F4537">
        <v>0.2</v>
      </c>
      <c r="G4537">
        <v>1999.78</v>
      </c>
      <c r="H4537" t="s">
        <v>8</v>
      </c>
      <c r="I4537" t="s">
        <v>305</v>
      </c>
    </row>
    <row r="4538" spans="1:9" x14ac:dyDescent="0.35">
      <c r="A4538">
        <v>581</v>
      </c>
      <c r="B4538">
        <v>1</v>
      </c>
      <c r="C4538">
        <v>8</v>
      </c>
      <c r="D4538">
        <v>2</v>
      </c>
      <c r="E4538">
        <v>1799.99</v>
      </c>
      <c r="F4538">
        <v>0.1</v>
      </c>
      <c r="G4538">
        <v>3599.91</v>
      </c>
      <c r="H4538" t="s">
        <v>13</v>
      </c>
    </row>
    <row r="4539" spans="1:9" x14ac:dyDescent="0.35">
      <c r="A4539">
        <v>583</v>
      </c>
      <c r="B4539">
        <v>1</v>
      </c>
      <c r="C4539">
        <v>15</v>
      </c>
      <c r="D4539">
        <v>2</v>
      </c>
      <c r="E4539">
        <v>529.99</v>
      </c>
      <c r="F4539">
        <v>0.2</v>
      </c>
      <c r="G4539">
        <v>1059.78</v>
      </c>
      <c r="H4539" t="s">
        <v>20</v>
      </c>
    </row>
    <row r="4540" spans="1:9" x14ac:dyDescent="0.35">
      <c r="A4540">
        <v>589</v>
      </c>
      <c r="B4540">
        <v>1</v>
      </c>
      <c r="C4540">
        <v>15</v>
      </c>
      <c r="D4540">
        <v>2</v>
      </c>
      <c r="E4540">
        <v>529.99</v>
      </c>
      <c r="F4540">
        <v>0.1</v>
      </c>
      <c r="G4540">
        <v>1059.93</v>
      </c>
      <c r="H4540" t="s">
        <v>20</v>
      </c>
    </row>
    <row r="4541" spans="1:9" x14ac:dyDescent="0.35">
      <c r="A4541">
        <v>601</v>
      </c>
      <c r="B4541">
        <v>1</v>
      </c>
      <c r="C4541">
        <v>12</v>
      </c>
      <c r="D4541">
        <v>2</v>
      </c>
      <c r="E4541">
        <v>549.99</v>
      </c>
      <c r="F4541">
        <v>0.2</v>
      </c>
      <c r="G4541">
        <v>1099.78</v>
      </c>
      <c r="H4541" t="s">
        <v>17</v>
      </c>
    </row>
    <row r="4542" spans="1:9" x14ac:dyDescent="0.35">
      <c r="A4542">
        <v>611</v>
      </c>
      <c r="B4542">
        <v>1</v>
      </c>
      <c r="C4542">
        <v>16</v>
      </c>
      <c r="D4542">
        <v>2</v>
      </c>
      <c r="E4542">
        <v>599.99</v>
      </c>
      <c r="F4542">
        <v>0.1</v>
      </c>
      <c r="G4542">
        <v>1199.9100000000001</v>
      </c>
      <c r="H4542" t="s">
        <v>21</v>
      </c>
    </row>
    <row r="4543" spans="1:9" x14ac:dyDescent="0.35">
      <c r="A4543">
        <v>619</v>
      </c>
      <c r="B4543">
        <v>1</v>
      </c>
      <c r="C4543">
        <v>25</v>
      </c>
      <c r="D4543">
        <v>1</v>
      </c>
      <c r="E4543">
        <v>499.99</v>
      </c>
      <c r="F4543">
        <v>0.1</v>
      </c>
      <c r="G4543">
        <v>499.92</v>
      </c>
      <c r="H4543" t="s">
        <v>27</v>
      </c>
    </row>
    <row r="4544" spans="1:9" x14ac:dyDescent="0.35">
      <c r="A4544">
        <v>620</v>
      </c>
      <c r="B4544">
        <v>1</v>
      </c>
      <c r="C4544">
        <v>5</v>
      </c>
      <c r="D4544">
        <v>2</v>
      </c>
      <c r="E4544">
        <v>1320.99</v>
      </c>
      <c r="F4544">
        <v>0.2</v>
      </c>
      <c r="G4544">
        <v>2641.78</v>
      </c>
      <c r="H4544" t="s">
        <v>10</v>
      </c>
    </row>
    <row r="4545" spans="1:8" x14ac:dyDescent="0.35">
      <c r="A4545">
        <v>621</v>
      </c>
      <c r="B4545">
        <v>1</v>
      </c>
      <c r="C4545">
        <v>17</v>
      </c>
      <c r="D4545">
        <v>2</v>
      </c>
      <c r="E4545">
        <v>429</v>
      </c>
      <c r="F4545">
        <v>0.1</v>
      </c>
      <c r="G4545">
        <v>857.93</v>
      </c>
      <c r="H4545" t="s">
        <v>22</v>
      </c>
    </row>
    <row r="4546" spans="1:8" x14ac:dyDescent="0.35">
      <c r="A4546">
        <v>623</v>
      </c>
      <c r="B4546">
        <v>1</v>
      </c>
      <c r="C4546">
        <v>8</v>
      </c>
      <c r="D4546">
        <v>1</v>
      </c>
      <c r="E4546">
        <v>1799.99</v>
      </c>
      <c r="F4546">
        <v>0.1</v>
      </c>
      <c r="G4546">
        <v>1799.92</v>
      </c>
      <c r="H4546" t="s">
        <v>13</v>
      </c>
    </row>
    <row r="4547" spans="1:8" x14ac:dyDescent="0.35">
      <c r="A4547">
        <v>626</v>
      </c>
      <c r="B4547">
        <v>1</v>
      </c>
      <c r="C4547">
        <v>15</v>
      </c>
      <c r="D4547">
        <v>1</v>
      </c>
      <c r="E4547">
        <v>529.99</v>
      </c>
      <c r="F4547">
        <v>0.2</v>
      </c>
      <c r="G4547">
        <v>529.79</v>
      </c>
      <c r="H4547" t="s">
        <v>20</v>
      </c>
    </row>
    <row r="4548" spans="1:8" x14ac:dyDescent="0.35">
      <c r="A4548">
        <v>628</v>
      </c>
      <c r="B4548">
        <v>1</v>
      </c>
      <c r="C4548">
        <v>15</v>
      </c>
      <c r="D4548">
        <v>2</v>
      </c>
      <c r="E4548">
        <v>529.99</v>
      </c>
      <c r="F4548">
        <v>0.1</v>
      </c>
      <c r="G4548">
        <v>1059.8800000000001</v>
      </c>
      <c r="H4548" t="s">
        <v>20</v>
      </c>
    </row>
    <row r="4549" spans="1:8" x14ac:dyDescent="0.35">
      <c r="A4549">
        <v>635</v>
      </c>
      <c r="B4549">
        <v>1</v>
      </c>
      <c r="C4549">
        <v>4</v>
      </c>
      <c r="D4549">
        <v>1</v>
      </c>
      <c r="E4549">
        <v>2899.99</v>
      </c>
      <c r="F4549">
        <v>0.1</v>
      </c>
      <c r="G4549">
        <v>2899.94</v>
      </c>
      <c r="H4549" t="s">
        <v>9</v>
      </c>
    </row>
    <row r="4550" spans="1:8" x14ac:dyDescent="0.35">
      <c r="A4550">
        <v>636</v>
      </c>
      <c r="B4550">
        <v>1</v>
      </c>
      <c r="C4550">
        <v>85</v>
      </c>
      <c r="D4550">
        <v>2</v>
      </c>
      <c r="E4550">
        <v>329.99</v>
      </c>
      <c r="F4550">
        <v>0.2</v>
      </c>
      <c r="G4550">
        <v>659.78</v>
      </c>
      <c r="H4550" t="s">
        <v>86</v>
      </c>
    </row>
    <row r="4551" spans="1:8" x14ac:dyDescent="0.35">
      <c r="A4551">
        <v>642</v>
      </c>
      <c r="B4551">
        <v>1</v>
      </c>
      <c r="C4551">
        <v>68</v>
      </c>
      <c r="D4551">
        <v>2</v>
      </c>
      <c r="E4551">
        <v>449.99</v>
      </c>
      <c r="F4551">
        <v>0.1</v>
      </c>
      <c r="G4551">
        <v>899.91</v>
      </c>
      <c r="H4551" t="s">
        <v>69</v>
      </c>
    </row>
    <row r="4552" spans="1:8" x14ac:dyDescent="0.35">
      <c r="A4552">
        <v>643</v>
      </c>
      <c r="B4552">
        <v>1</v>
      </c>
      <c r="C4552">
        <v>53</v>
      </c>
      <c r="D4552">
        <v>1</v>
      </c>
      <c r="E4552">
        <v>749.99</v>
      </c>
      <c r="F4552">
        <v>0.1</v>
      </c>
      <c r="G4552">
        <v>749.94</v>
      </c>
      <c r="H4552" t="s">
        <v>54</v>
      </c>
    </row>
    <row r="4553" spans="1:8" x14ac:dyDescent="0.35">
      <c r="A4553">
        <v>644</v>
      </c>
      <c r="B4553">
        <v>1</v>
      </c>
      <c r="C4553">
        <v>9</v>
      </c>
      <c r="D4553">
        <v>1</v>
      </c>
      <c r="E4553">
        <v>2999.99</v>
      </c>
      <c r="F4553">
        <v>0.1</v>
      </c>
      <c r="G4553">
        <v>2999.92</v>
      </c>
      <c r="H4553" t="s">
        <v>14</v>
      </c>
    </row>
    <row r="4554" spans="1:8" x14ac:dyDescent="0.35">
      <c r="A4554">
        <v>648</v>
      </c>
      <c r="B4554">
        <v>1</v>
      </c>
      <c r="C4554">
        <v>24</v>
      </c>
      <c r="D4554">
        <v>1</v>
      </c>
      <c r="E4554">
        <v>549.99</v>
      </c>
      <c r="F4554">
        <v>0.1</v>
      </c>
      <c r="G4554">
        <v>549.91999999999996</v>
      </c>
      <c r="H4554" t="s">
        <v>17</v>
      </c>
    </row>
    <row r="4555" spans="1:8" x14ac:dyDescent="0.35">
      <c r="A4555">
        <v>650</v>
      </c>
      <c r="B4555">
        <v>1</v>
      </c>
      <c r="C4555">
        <v>3</v>
      </c>
      <c r="D4555">
        <v>1</v>
      </c>
      <c r="E4555">
        <v>999.99</v>
      </c>
      <c r="F4555">
        <v>0.2</v>
      </c>
      <c r="G4555">
        <v>999.79</v>
      </c>
      <c r="H4555" t="s">
        <v>8</v>
      </c>
    </row>
    <row r="4556" spans="1:8" x14ac:dyDescent="0.35">
      <c r="A4556">
        <v>655</v>
      </c>
      <c r="B4556">
        <v>1</v>
      </c>
      <c r="C4556">
        <v>67</v>
      </c>
      <c r="D4556">
        <v>1</v>
      </c>
      <c r="E4556">
        <v>250.99</v>
      </c>
      <c r="F4556">
        <v>0.1</v>
      </c>
      <c r="G4556">
        <v>250.89</v>
      </c>
      <c r="H4556" t="s">
        <v>68</v>
      </c>
    </row>
    <row r="4557" spans="1:8" x14ac:dyDescent="0.35">
      <c r="A4557">
        <v>674</v>
      </c>
      <c r="B4557">
        <v>1</v>
      </c>
      <c r="C4557">
        <v>26</v>
      </c>
      <c r="D4557">
        <v>2</v>
      </c>
      <c r="E4557">
        <v>599.99</v>
      </c>
      <c r="F4557">
        <v>0.2</v>
      </c>
      <c r="G4557">
        <v>1199.78</v>
      </c>
      <c r="H4557" t="s">
        <v>21</v>
      </c>
    </row>
    <row r="4558" spans="1:8" x14ac:dyDescent="0.35">
      <c r="A4558">
        <v>683</v>
      </c>
      <c r="B4558">
        <v>1</v>
      </c>
      <c r="C4558">
        <v>2</v>
      </c>
      <c r="D4558">
        <v>2</v>
      </c>
      <c r="E4558">
        <v>749.99</v>
      </c>
      <c r="F4558">
        <v>0.1</v>
      </c>
      <c r="G4558">
        <v>1499.88</v>
      </c>
      <c r="H4558" t="s">
        <v>7</v>
      </c>
    </row>
    <row r="4559" spans="1:8" x14ac:dyDescent="0.35">
      <c r="A4559">
        <v>689</v>
      </c>
      <c r="B4559">
        <v>1</v>
      </c>
      <c r="C4559">
        <v>33</v>
      </c>
      <c r="D4559">
        <v>2</v>
      </c>
      <c r="E4559">
        <v>469.99</v>
      </c>
      <c r="F4559">
        <v>0.1</v>
      </c>
      <c r="G4559">
        <v>939.88</v>
      </c>
      <c r="H4559" t="s">
        <v>34</v>
      </c>
    </row>
    <row r="4560" spans="1:8" x14ac:dyDescent="0.35">
      <c r="A4560">
        <v>697</v>
      </c>
      <c r="B4560">
        <v>1</v>
      </c>
      <c r="C4560">
        <v>5</v>
      </c>
      <c r="D4560">
        <v>2</v>
      </c>
      <c r="E4560">
        <v>1320.99</v>
      </c>
      <c r="F4560">
        <v>0.1</v>
      </c>
      <c r="G4560">
        <v>2641.93</v>
      </c>
      <c r="H4560" t="s">
        <v>10</v>
      </c>
    </row>
    <row r="4561" spans="1:8" x14ac:dyDescent="0.35">
      <c r="A4561">
        <v>701</v>
      </c>
      <c r="B4561">
        <v>1</v>
      </c>
      <c r="C4561">
        <v>84</v>
      </c>
      <c r="D4561">
        <v>1</v>
      </c>
      <c r="E4561">
        <v>109.99</v>
      </c>
      <c r="F4561">
        <v>0.1</v>
      </c>
      <c r="G4561">
        <v>109.94</v>
      </c>
      <c r="H4561" t="s">
        <v>85</v>
      </c>
    </row>
    <row r="4562" spans="1:8" x14ac:dyDescent="0.35">
      <c r="A4562">
        <v>705</v>
      </c>
      <c r="B4562">
        <v>1</v>
      </c>
      <c r="C4562">
        <v>61</v>
      </c>
      <c r="D4562">
        <v>1</v>
      </c>
      <c r="E4562">
        <v>4999.99</v>
      </c>
      <c r="F4562">
        <v>0.1</v>
      </c>
      <c r="G4562">
        <v>4999.8900000000003</v>
      </c>
      <c r="H4562" t="s">
        <v>62</v>
      </c>
    </row>
    <row r="4563" spans="1:8" x14ac:dyDescent="0.35">
      <c r="A4563">
        <v>714</v>
      </c>
      <c r="B4563">
        <v>1</v>
      </c>
      <c r="C4563">
        <v>92</v>
      </c>
      <c r="D4563">
        <v>2</v>
      </c>
      <c r="E4563">
        <v>209.99</v>
      </c>
      <c r="F4563">
        <v>0.2</v>
      </c>
      <c r="G4563">
        <v>419.78</v>
      </c>
      <c r="H4563" t="s">
        <v>93</v>
      </c>
    </row>
    <row r="4564" spans="1:8" x14ac:dyDescent="0.35">
      <c r="A4564">
        <v>719</v>
      </c>
      <c r="B4564">
        <v>1</v>
      </c>
      <c r="C4564">
        <v>100</v>
      </c>
      <c r="D4564">
        <v>1</v>
      </c>
      <c r="E4564">
        <v>489.99</v>
      </c>
      <c r="F4564">
        <v>0.2</v>
      </c>
      <c r="G4564">
        <v>489.79</v>
      </c>
      <c r="H4564" t="s">
        <v>100</v>
      </c>
    </row>
    <row r="4565" spans="1:8" x14ac:dyDescent="0.35">
      <c r="A4565">
        <v>726</v>
      </c>
      <c r="B4565">
        <v>1</v>
      </c>
      <c r="C4565">
        <v>64</v>
      </c>
      <c r="D4565">
        <v>1</v>
      </c>
      <c r="E4565">
        <v>489.99</v>
      </c>
      <c r="F4565">
        <v>0.2</v>
      </c>
      <c r="G4565">
        <v>489.79</v>
      </c>
      <c r="H4565" t="s">
        <v>65</v>
      </c>
    </row>
    <row r="4566" spans="1:8" x14ac:dyDescent="0.35">
      <c r="A4566">
        <v>729</v>
      </c>
      <c r="B4566">
        <v>1</v>
      </c>
      <c r="C4566">
        <v>101</v>
      </c>
      <c r="D4566">
        <v>2</v>
      </c>
      <c r="E4566">
        <v>339.99</v>
      </c>
      <c r="F4566">
        <v>0.1</v>
      </c>
      <c r="G4566">
        <v>679.88</v>
      </c>
      <c r="H4566" t="s">
        <v>101</v>
      </c>
    </row>
    <row r="4567" spans="1:8" x14ac:dyDescent="0.35">
      <c r="A4567">
        <v>739</v>
      </c>
      <c r="B4567">
        <v>1</v>
      </c>
      <c r="C4567">
        <v>3</v>
      </c>
      <c r="D4567">
        <v>1</v>
      </c>
      <c r="E4567">
        <v>999.99</v>
      </c>
      <c r="F4567">
        <v>0.2</v>
      </c>
      <c r="G4567">
        <v>999.79</v>
      </c>
      <c r="H4567" t="s">
        <v>8</v>
      </c>
    </row>
    <row r="4568" spans="1:8" x14ac:dyDescent="0.35">
      <c r="A4568">
        <v>743</v>
      </c>
      <c r="B4568">
        <v>1</v>
      </c>
      <c r="C4568">
        <v>80</v>
      </c>
      <c r="D4568">
        <v>1</v>
      </c>
      <c r="E4568">
        <v>761.99</v>
      </c>
      <c r="F4568">
        <v>0.1</v>
      </c>
      <c r="G4568">
        <v>761.94</v>
      </c>
      <c r="H4568" t="s">
        <v>81</v>
      </c>
    </row>
    <row r="4569" spans="1:8" x14ac:dyDescent="0.35">
      <c r="A4569">
        <v>744</v>
      </c>
      <c r="B4569">
        <v>1</v>
      </c>
      <c r="C4569">
        <v>33</v>
      </c>
      <c r="D4569">
        <v>2</v>
      </c>
      <c r="E4569">
        <v>469.99</v>
      </c>
      <c r="F4569">
        <v>0.2</v>
      </c>
      <c r="G4569">
        <v>939.78</v>
      </c>
      <c r="H4569" t="s">
        <v>34</v>
      </c>
    </row>
    <row r="4570" spans="1:8" x14ac:dyDescent="0.35">
      <c r="A4570">
        <v>746</v>
      </c>
      <c r="B4570">
        <v>1</v>
      </c>
      <c r="C4570">
        <v>99</v>
      </c>
      <c r="D4570">
        <v>1</v>
      </c>
      <c r="E4570">
        <v>299.99</v>
      </c>
      <c r="F4570">
        <v>0.1</v>
      </c>
      <c r="G4570">
        <v>299.89</v>
      </c>
      <c r="H4570" t="s">
        <v>99</v>
      </c>
    </row>
    <row r="4571" spans="1:8" x14ac:dyDescent="0.35">
      <c r="A4571">
        <v>751</v>
      </c>
      <c r="B4571">
        <v>1</v>
      </c>
      <c r="C4571">
        <v>45</v>
      </c>
      <c r="D4571">
        <v>2</v>
      </c>
      <c r="E4571">
        <v>869.99</v>
      </c>
      <c r="F4571">
        <v>0.1</v>
      </c>
      <c r="G4571">
        <v>1739.93</v>
      </c>
      <c r="H4571" t="s">
        <v>46</v>
      </c>
    </row>
    <row r="4572" spans="1:8" x14ac:dyDescent="0.35">
      <c r="A4572">
        <v>757</v>
      </c>
      <c r="B4572">
        <v>1</v>
      </c>
      <c r="C4572">
        <v>95</v>
      </c>
      <c r="D4572">
        <v>1</v>
      </c>
      <c r="E4572">
        <v>299.99</v>
      </c>
      <c r="F4572">
        <v>0.1</v>
      </c>
      <c r="G4572">
        <v>299.89</v>
      </c>
      <c r="H4572" t="s">
        <v>77</v>
      </c>
    </row>
    <row r="4573" spans="1:8" x14ac:dyDescent="0.35">
      <c r="A4573">
        <v>762</v>
      </c>
      <c r="B4573">
        <v>1</v>
      </c>
      <c r="C4573">
        <v>102</v>
      </c>
      <c r="D4573">
        <v>2</v>
      </c>
      <c r="E4573">
        <v>489.99</v>
      </c>
      <c r="F4573">
        <v>0.1</v>
      </c>
      <c r="G4573">
        <v>979.93</v>
      </c>
      <c r="H4573" t="s">
        <v>65</v>
      </c>
    </row>
    <row r="4574" spans="1:8" x14ac:dyDescent="0.35">
      <c r="A4574">
        <v>766</v>
      </c>
      <c r="B4574">
        <v>1</v>
      </c>
      <c r="C4574">
        <v>111</v>
      </c>
      <c r="D4574">
        <v>1</v>
      </c>
      <c r="E4574">
        <v>470.99</v>
      </c>
      <c r="F4574">
        <v>0.2</v>
      </c>
      <c r="G4574">
        <v>470.79</v>
      </c>
      <c r="H4574" t="s">
        <v>108</v>
      </c>
    </row>
    <row r="4575" spans="1:8" x14ac:dyDescent="0.35">
      <c r="A4575">
        <v>772</v>
      </c>
      <c r="B4575">
        <v>1</v>
      </c>
      <c r="C4575">
        <v>103</v>
      </c>
      <c r="D4575">
        <v>1</v>
      </c>
      <c r="E4575">
        <v>551.99</v>
      </c>
      <c r="F4575">
        <v>0.1</v>
      </c>
      <c r="G4575">
        <v>551.91999999999996</v>
      </c>
      <c r="H4575" t="s">
        <v>102</v>
      </c>
    </row>
    <row r="4576" spans="1:8" x14ac:dyDescent="0.35">
      <c r="A4576">
        <v>775</v>
      </c>
      <c r="B4576">
        <v>1</v>
      </c>
      <c r="C4576">
        <v>39</v>
      </c>
      <c r="D4576">
        <v>1</v>
      </c>
      <c r="E4576">
        <v>1499.99</v>
      </c>
      <c r="F4576">
        <v>0.1</v>
      </c>
      <c r="G4576">
        <v>1499.92</v>
      </c>
      <c r="H4576" t="s">
        <v>40</v>
      </c>
    </row>
    <row r="4577" spans="1:8" x14ac:dyDescent="0.35">
      <c r="A4577">
        <v>780</v>
      </c>
      <c r="B4577">
        <v>1</v>
      </c>
      <c r="C4577">
        <v>32</v>
      </c>
      <c r="D4577">
        <v>1</v>
      </c>
      <c r="E4577">
        <v>469.99</v>
      </c>
      <c r="F4577">
        <v>0.1</v>
      </c>
      <c r="G4577">
        <v>469.89</v>
      </c>
      <c r="H4577" t="s">
        <v>33</v>
      </c>
    </row>
    <row r="4578" spans="1:8" x14ac:dyDescent="0.35">
      <c r="A4578">
        <v>786</v>
      </c>
      <c r="B4578">
        <v>1</v>
      </c>
      <c r="C4578">
        <v>80</v>
      </c>
      <c r="D4578">
        <v>1</v>
      </c>
      <c r="E4578">
        <v>761.99</v>
      </c>
      <c r="F4578">
        <v>0.1</v>
      </c>
      <c r="G4578">
        <v>761.94</v>
      </c>
      <c r="H4578" t="s">
        <v>81</v>
      </c>
    </row>
    <row r="4579" spans="1:8" x14ac:dyDescent="0.35">
      <c r="A4579">
        <v>796</v>
      </c>
      <c r="B4579">
        <v>1</v>
      </c>
      <c r="C4579">
        <v>6</v>
      </c>
      <c r="D4579">
        <v>2</v>
      </c>
      <c r="E4579">
        <v>469.99</v>
      </c>
      <c r="F4579">
        <v>0.2</v>
      </c>
      <c r="G4579">
        <v>939.78</v>
      </c>
      <c r="H4579" t="s">
        <v>11</v>
      </c>
    </row>
    <row r="4580" spans="1:8" x14ac:dyDescent="0.35">
      <c r="A4580">
        <v>801</v>
      </c>
      <c r="B4580">
        <v>1</v>
      </c>
      <c r="C4580">
        <v>101</v>
      </c>
      <c r="D4580">
        <v>1</v>
      </c>
      <c r="E4580">
        <v>339.99</v>
      </c>
      <c r="F4580">
        <v>0.1</v>
      </c>
      <c r="G4580">
        <v>339.92</v>
      </c>
      <c r="H4580" t="s">
        <v>101</v>
      </c>
    </row>
    <row r="4581" spans="1:8" x14ac:dyDescent="0.35">
      <c r="A4581">
        <v>819</v>
      </c>
      <c r="B4581">
        <v>1</v>
      </c>
      <c r="C4581">
        <v>94</v>
      </c>
      <c r="D4581">
        <v>1</v>
      </c>
      <c r="E4581">
        <v>249.99</v>
      </c>
      <c r="F4581">
        <v>0.2</v>
      </c>
      <c r="G4581">
        <v>249.79</v>
      </c>
      <c r="H4581" t="s">
        <v>95</v>
      </c>
    </row>
    <row r="4582" spans="1:8" x14ac:dyDescent="0.35">
      <c r="A4582">
        <v>820</v>
      </c>
      <c r="B4582">
        <v>1</v>
      </c>
      <c r="C4582">
        <v>107</v>
      </c>
      <c r="D4582">
        <v>1</v>
      </c>
      <c r="E4582">
        <v>416.99</v>
      </c>
      <c r="F4582">
        <v>0.1</v>
      </c>
      <c r="G4582">
        <v>416.94</v>
      </c>
      <c r="H4582" t="s">
        <v>70</v>
      </c>
    </row>
    <row r="4583" spans="1:8" x14ac:dyDescent="0.35">
      <c r="A4583">
        <v>824</v>
      </c>
      <c r="B4583">
        <v>1</v>
      </c>
      <c r="C4583">
        <v>92</v>
      </c>
      <c r="D4583">
        <v>2</v>
      </c>
      <c r="E4583">
        <v>209.99</v>
      </c>
      <c r="F4583">
        <v>0.1</v>
      </c>
      <c r="G4583">
        <v>419.88</v>
      </c>
      <c r="H4583" t="s">
        <v>93</v>
      </c>
    </row>
    <row r="4584" spans="1:8" x14ac:dyDescent="0.35">
      <c r="A4584">
        <v>833</v>
      </c>
      <c r="B4584">
        <v>1</v>
      </c>
      <c r="C4584">
        <v>20</v>
      </c>
      <c r="D4584">
        <v>2</v>
      </c>
      <c r="E4584">
        <v>599.99</v>
      </c>
      <c r="F4584">
        <v>0.1</v>
      </c>
      <c r="G4584">
        <v>1199.93</v>
      </c>
      <c r="H4584" t="s">
        <v>25</v>
      </c>
    </row>
    <row r="4585" spans="1:8" x14ac:dyDescent="0.35">
      <c r="A4585">
        <v>836</v>
      </c>
      <c r="B4585">
        <v>1</v>
      </c>
      <c r="C4585">
        <v>108</v>
      </c>
      <c r="D4585">
        <v>2</v>
      </c>
      <c r="E4585">
        <v>449.99</v>
      </c>
      <c r="F4585">
        <v>0.2</v>
      </c>
      <c r="G4585">
        <v>899.78</v>
      </c>
      <c r="H4585" t="s">
        <v>105</v>
      </c>
    </row>
    <row r="4586" spans="1:8" x14ac:dyDescent="0.35">
      <c r="A4586">
        <v>847</v>
      </c>
      <c r="B4586">
        <v>1</v>
      </c>
      <c r="C4586">
        <v>61</v>
      </c>
      <c r="D4586">
        <v>2</v>
      </c>
      <c r="E4586">
        <v>4999.99</v>
      </c>
      <c r="F4586">
        <v>0.1</v>
      </c>
      <c r="G4586">
        <v>9999.93</v>
      </c>
      <c r="H4586" t="s">
        <v>62</v>
      </c>
    </row>
    <row r="4587" spans="1:8" x14ac:dyDescent="0.35">
      <c r="A4587">
        <v>849</v>
      </c>
      <c r="B4587">
        <v>1</v>
      </c>
      <c r="C4587">
        <v>109</v>
      </c>
      <c r="D4587">
        <v>1</v>
      </c>
      <c r="E4587">
        <v>416.99</v>
      </c>
      <c r="F4587">
        <v>0.2</v>
      </c>
      <c r="G4587">
        <v>416.79</v>
      </c>
      <c r="H4587" t="s">
        <v>106</v>
      </c>
    </row>
    <row r="4588" spans="1:8" x14ac:dyDescent="0.35">
      <c r="A4588">
        <v>852</v>
      </c>
      <c r="B4588">
        <v>1</v>
      </c>
      <c r="C4588">
        <v>46</v>
      </c>
      <c r="D4588">
        <v>2</v>
      </c>
      <c r="E4588">
        <v>1409.99</v>
      </c>
      <c r="F4588">
        <v>0.1</v>
      </c>
      <c r="G4588">
        <v>2819.91</v>
      </c>
      <c r="H4588" t="s">
        <v>47</v>
      </c>
    </row>
    <row r="4589" spans="1:8" x14ac:dyDescent="0.35">
      <c r="A4589">
        <v>854</v>
      </c>
      <c r="B4589">
        <v>1</v>
      </c>
      <c r="C4589">
        <v>87</v>
      </c>
      <c r="D4589">
        <v>1</v>
      </c>
      <c r="E4589">
        <v>189.99</v>
      </c>
      <c r="F4589">
        <v>0.1</v>
      </c>
      <c r="G4589">
        <v>189.89</v>
      </c>
      <c r="H4589" t="s">
        <v>88</v>
      </c>
    </row>
    <row r="4590" spans="1:8" x14ac:dyDescent="0.35">
      <c r="A4590">
        <v>856</v>
      </c>
      <c r="B4590">
        <v>1</v>
      </c>
      <c r="C4590">
        <v>38</v>
      </c>
      <c r="D4590">
        <v>2</v>
      </c>
      <c r="E4590">
        <v>549.99</v>
      </c>
      <c r="F4590">
        <v>0.1</v>
      </c>
      <c r="G4590">
        <v>1099.93</v>
      </c>
      <c r="H4590" t="s">
        <v>39</v>
      </c>
    </row>
    <row r="4591" spans="1:8" x14ac:dyDescent="0.35">
      <c r="A4591">
        <v>857</v>
      </c>
      <c r="B4591">
        <v>1</v>
      </c>
      <c r="C4591">
        <v>29</v>
      </c>
      <c r="D4591">
        <v>1</v>
      </c>
      <c r="E4591">
        <v>999.99</v>
      </c>
      <c r="F4591">
        <v>0.2</v>
      </c>
      <c r="G4591">
        <v>999.79</v>
      </c>
      <c r="H4591" t="s">
        <v>30</v>
      </c>
    </row>
    <row r="4592" spans="1:8" x14ac:dyDescent="0.35">
      <c r="A4592">
        <v>863</v>
      </c>
      <c r="B4592">
        <v>1</v>
      </c>
      <c r="C4592">
        <v>93</v>
      </c>
      <c r="D4592">
        <v>2</v>
      </c>
      <c r="E4592">
        <v>209.99</v>
      </c>
      <c r="F4592">
        <v>0.1</v>
      </c>
      <c r="G4592">
        <v>419.88</v>
      </c>
      <c r="H4592" t="s">
        <v>94</v>
      </c>
    </row>
    <row r="4593" spans="1:8" x14ac:dyDescent="0.35">
      <c r="A4593">
        <v>867</v>
      </c>
      <c r="B4593">
        <v>1</v>
      </c>
      <c r="C4593">
        <v>101</v>
      </c>
      <c r="D4593">
        <v>1</v>
      </c>
      <c r="E4593">
        <v>339.99</v>
      </c>
      <c r="F4593">
        <v>0.1</v>
      </c>
      <c r="G4593">
        <v>339.94</v>
      </c>
      <c r="H4593" t="s">
        <v>101</v>
      </c>
    </row>
    <row r="4594" spans="1:8" x14ac:dyDescent="0.35">
      <c r="A4594">
        <v>868</v>
      </c>
      <c r="B4594">
        <v>1</v>
      </c>
      <c r="C4594">
        <v>46</v>
      </c>
      <c r="D4594">
        <v>1</v>
      </c>
      <c r="E4594">
        <v>1409.99</v>
      </c>
      <c r="F4594">
        <v>0.1</v>
      </c>
      <c r="G4594">
        <v>1409.92</v>
      </c>
      <c r="H4594" t="s">
        <v>47</v>
      </c>
    </row>
    <row r="4595" spans="1:8" x14ac:dyDescent="0.35">
      <c r="A4595">
        <v>870</v>
      </c>
      <c r="B4595">
        <v>1</v>
      </c>
      <c r="C4595">
        <v>63</v>
      </c>
      <c r="D4595">
        <v>1</v>
      </c>
      <c r="E4595">
        <v>3499.99</v>
      </c>
      <c r="F4595">
        <v>0.1</v>
      </c>
      <c r="G4595">
        <v>3499.92</v>
      </c>
      <c r="H4595" t="s">
        <v>64</v>
      </c>
    </row>
    <row r="4596" spans="1:8" x14ac:dyDescent="0.35">
      <c r="A4596">
        <v>873</v>
      </c>
      <c r="B4596">
        <v>1</v>
      </c>
      <c r="C4596">
        <v>32</v>
      </c>
      <c r="D4596">
        <v>2</v>
      </c>
      <c r="E4596">
        <v>469.99</v>
      </c>
      <c r="F4596">
        <v>0.1</v>
      </c>
      <c r="G4596">
        <v>939.88</v>
      </c>
      <c r="H4596" t="s">
        <v>33</v>
      </c>
    </row>
    <row r="4597" spans="1:8" x14ac:dyDescent="0.35">
      <c r="A4597">
        <v>889</v>
      </c>
      <c r="B4597">
        <v>1</v>
      </c>
      <c r="C4597">
        <v>12</v>
      </c>
      <c r="D4597">
        <v>2</v>
      </c>
      <c r="E4597">
        <v>549.99</v>
      </c>
      <c r="F4597">
        <v>0.1</v>
      </c>
      <c r="G4597">
        <v>1099.8800000000001</v>
      </c>
      <c r="H4597" t="s">
        <v>17</v>
      </c>
    </row>
    <row r="4598" spans="1:8" x14ac:dyDescent="0.35">
      <c r="A4598">
        <v>894</v>
      </c>
      <c r="B4598">
        <v>1</v>
      </c>
      <c r="C4598">
        <v>101</v>
      </c>
      <c r="D4598">
        <v>2</v>
      </c>
      <c r="E4598">
        <v>339.99</v>
      </c>
      <c r="F4598">
        <v>0.2</v>
      </c>
      <c r="G4598">
        <v>679.78</v>
      </c>
      <c r="H4598" t="s">
        <v>101</v>
      </c>
    </row>
    <row r="4599" spans="1:8" x14ac:dyDescent="0.35">
      <c r="A4599">
        <v>895</v>
      </c>
      <c r="B4599">
        <v>1</v>
      </c>
      <c r="C4599">
        <v>106</v>
      </c>
      <c r="D4599">
        <v>1</v>
      </c>
      <c r="E4599">
        <v>449.99</v>
      </c>
      <c r="F4599">
        <v>0.1</v>
      </c>
      <c r="G4599">
        <v>449.92</v>
      </c>
      <c r="H4599" t="s">
        <v>69</v>
      </c>
    </row>
    <row r="4600" spans="1:8" x14ac:dyDescent="0.35">
      <c r="A4600">
        <v>909</v>
      </c>
      <c r="B4600">
        <v>1</v>
      </c>
      <c r="C4600">
        <v>5</v>
      </c>
      <c r="D4600">
        <v>1</v>
      </c>
      <c r="E4600">
        <v>1320.99</v>
      </c>
      <c r="F4600">
        <v>0.2</v>
      </c>
      <c r="G4600">
        <v>1320.79</v>
      </c>
      <c r="H4600" t="s">
        <v>10</v>
      </c>
    </row>
    <row r="4601" spans="1:8" x14ac:dyDescent="0.35">
      <c r="A4601">
        <v>910</v>
      </c>
      <c r="B4601">
        <v>1</v>
      </c>
      <c r="C4601">
        <v>23</v>
      </c>
      <c r="D4601">
        <v>1</v>
      </c>
      <c r="E4601">
        <v>299.99</v>
      </c>
      <c r="F4601">
        <v>0.1</v>
      </c>
      <c r="G4601">
        <v>299.89</v>
      </c>
      <c r="H4601" t="s">
        <v>26</v>
      </c>
    </row>
    <row r="4602" spans="1:8" x14ac:dyDescent="0.35">
      <c r="A4602">
        <v>916</v>
      </c>
      <c r="B4602">
        <v>1</v>
      </c>
      <c r="C4602">
        <v>92</v>
      </c>
      <c r="D4602">
        <v>1</v>
      </c>
      <c r="E4602">
        <v>209.99</v>
      </c>
      <c r="F4602">
        <v>0.2</v>
      </c>
      <c r="G4602">
        <v>209.79</v>
      </c>
      <c r="H4602" t="s">
        <v>93</v>
      </c>
    </row>
    <row r="4603" spans="1:8" x14ac:dyDescent="0.35">
      <c r="A4603">
        <v>917</v>
      </c>
      <c r="B4603">
        <v>1</v>
      </c>
      <c r="C4603">
        <v>41</v>
      </c>
      <c r="D4603">
        <v>1</v>
      </c>
      <c r="E4603">
        <v>1469.99</v>
      </c>
      <c r="F4603">
        <v>0.1</v>
      </c>
      <c r="G4603">
        <v>1469.92</v>
      </c>
      <c r="H4603" t="s">
        <v>42</v>
      </c>
    </row>
    <row r="4604" spans="1:8" x14ac:dyDescent="0.35">
      <c r="A4604">
        <v>926</v>
      </c>
      <c r="B4604">
        <v>1</v>
      </c>
      <c r="C4604">
        <v>37</v>
      </c>
      <c r="D4604">
        <v>2</v>
      </c>
      <c r="E4604">
        <v>379.99</v>
      </c>
      <c r="F4604">
        <v>0.2</v>
      </c>
      <c r="G4604">
        <v>759.78</v>
      </c>
      <c r="H4604" t="s">
        <v>38</v>
      </c>
    </row>
    <row r="4605" spans="1:8" x14ac:dyDescent="0.35">
      <c r="A4605">
        <v>932</v>
      </c>
      <c r="B4605">
        <v>1</v>
      </c>
      <c r="C4605">
        <v>74</v>
      </c>
      <c r="D4605">
        <v>1</v>
      </c>
      <c r="E4605">
        <v>439.99</v>
      </c>
      <c r="F4605">
        <v>0.1</v>
      </c>
      <c r="G4605">
        <v>439.94</v>
      </c>
      <c r="H4605" t="s">
        <v>75</v>
      </c>
    </row>
    <row r="4606" spans="1:8" x14ac:dyDescent="0.35">
      <c r="A4606">
        <v>940</v>
      </c>
      <c r="B4606">
        <v>1</v>
      </c>
      <c r="C4606">
        <v>75</v>
      </c>
      <c r="D4606">
        <v>2</v>
      </c>
      <c r="E4606">
        <v>599.99</v>
      </c>
      <c r="F4606">
        <v>0.2</v>
      </c>
      <c r="G4606">
        <v>1199.78</v>
      </c>
      <c r="H4606" t="s">
        <v>76</v>
      </c>
    </row>
    <row r="4607" spans="1:8" x14ac:dyDescent="0.35">
      <c r="A4607">
        <v>950</v>
      </c>
      <c r="B4607">
        <v>1</v>
      </c>
      <c r="C4607">
        <v>56</v>
      </c>
      <c r="D4607">
        <v>1</v>
      </c>
      <c r="E4607">
        <v>5499.99</v>
      </c>
      <c r="F4607">
        <v>0.1</v>
      </c>
      <c r="G4607">
        <v>5499.94</v>
      </c>
      <c r="H4607" t="s">
        <v>57</v>
      </c>
    </row>
    <row r="4608" spans="1:8" x14ac:dyDescent="0.35">
      <c r="A4608">
        <v>953</v>
      </c>
      <c r="B4608">
        <v>1</v>
      </c>
      <c r="C4608">
        <v>23</v>
      </c>
      <c r="D4608">
        <v>2</v>
      </c>
      <c r="E4608">
        <v>299.99</v>
      </c>
      <c r="F4608">
        <v>0.1</v>
      </c>
      <c r="G4608">
        <v>599.91</v>
      </c>
      <c r="H4608" t="s">
        <v>26</v>
      </c>
    </row>
    <row r="4609" spans="1:8" x14ac:dyDescent="0.35">
      <c r="A4609">
        <v>954</v>
      </c>
      <c r="B4609">
        <v>1</v>
      </c>
      <c r="C4609">
        <v>4</v>
      </c>
      <c r="D4609">
        <v>2</v>
      </c>
      <c r="E4609">
        <v>2899.99</v>
      </c>
      <c r="F4609">
        <v>0.1</v>
      </c>
      <c r="G4609">
        <v>5799.88</v>
      </c>
      <c r="H4609" t="s">
        <v>9</v>
      </c>
    </row>
    <row r="4610" spans="1:8" x14ac:dyDescent="0.35">
      <c r="A4610">
        <v>963</v>
      </c>
      <c r="B4610">
        <v>1</v>
      </c>
      <c r="C4610">
        <v>4</v>
      </c>
      <c r="D4610">
        <v>1</v>
      </c>
      <c r="E4610">
        <v>2899.99</v>
      </c>
      <c r="F4610">
        <v>0.1</v>
      </c>
      <c r="G4610">
        <v>2899.92</v>
      </c>
      <c r="H4610" t="s">
        <v>9</v>
      </c>
    </row>
    <row r="4611" spans="1:8" x14ac:dyDescent="0.35">
      <c r="A4611">
        <v>965</v>
      </c>
      <c r="B4611">
        <v>1</v>
      </c>
      <c r="C4611">
        <v>90</v>
      </c>
      <c r="D4611">
        <v>2</v>
      </c>
      <c r="E4611">
        <v>209.99</v>
      </c>
      <c r="F4611">
        <v>0.1</v>
      </c>
      <c r="G4611">
        <v>419.88</v>
      </c>
      <c r="H4611" t="s">
        <v>91</v>
      </c>
    </row>
    <row r="4612" spans="1:8" x14ac:dyDescent="0.35">
      <c r="A4612">
        <v>975</v>
      </c>
      <c r="B4612">
        <v>1</v>
      </c>
      <c r="C4612">
        <v>110</v>
      </c>
      <c r="D4612">
        <v>2</v>
      </c>
      <c r="E4612">
        <v>470.99</v>
      </c>
      <c r="F4612">
        <v>0.2</v>
      </c>
      <c r="G4612">
        <v>941.78</v>
      </c>
      <c r="H4612" t="s">
        <v>107</v>
      </c>
    </row>
    <row r="4613" spans="1:8" x14ac:dyDescent="0.35">
      <c r="A4613">
        <v>1004</v>
      </c>
      <c r="B4613">
        <v>1</v>
      </c>
      <c r="C4613">
        <v>36</v>
      </c>
      <c r="D4613">
        <v>2</v>
      </c>
      <c r="E4613">
        <v>832.99</v>
      </c>
      <c r="F4613">
        <v>0.1</v>
      </c>
      <c r="G4613">
        <v>1665.88</v>
      </c>
      <c r="H4613" t="s">
        <v>37</v>
      </c>
    </row>
    <row r="4614" spans="1:8" x14ac:dyDescent="0.35">
      <c r="A4614">
        <v>1010</v>
      </c>
      <c r="B4614">
        <v>1</v>
      </c>
      <c r="C4614">
        <v>109</v>
      </c>
      <c r="D4614">
        <v>2</v>
      </c>
      <c r="E4614">
        <v>416.99</v>
      </c>
      <c r="F4614">
        <v>0.1</v>
      </c>
      <c r="G4614">
        <v>833.88</v>
      </c>
      <c r="H4614" t="s">
        <v>106</v>
      </c>
    </row>
    <row r="4615" spans="1:8" x14ac:dyDescent="0.35">
      <c r="A4615">
        <v>1013</v>
      </c>
      <c r="B4615">
        <v>1</v>
      </c>
      <c r="C4615">
        <v>60</v>
      </c>
      <c r="D4615">
        <v>2</v>
      </c>
      <c r="E4615">
        <v>1559.99</v>
      </c>
      <c r="F4615">
        <v>0.1</v>
      </c>
      <c r="G4615">
        <v>3119.93</v>
      </c>
      <c r="H4615" t="s">
        <v>61</v>
      </c>
    </row>
    <row r="4616" spans="1:8" x14ac:dyDescent="0.35">
      <c r="A4616">
        <v>1016</v>
      </c>
      <c r="B4616">
        <v>1</v>
      </c>
      <c r="C4616">
        <v>76</v>
      </c>
      <c r="D4616">
        <v>2</v>
      </c>
      <c r="E4616">
        <v>299.99</v>
      </c>
      <c r="F4616">
        <v>0.1</v>
      </c>
      <c r="G4616">
        <v>599.91</v>
      </c>
      <c r="H4616" t="s">
        <v>77</v>
      </c>
    </row>
    <row r="4617" spans="1:8" x14ac:dyDescent="0.35">
      <c r="A4617">
        <v>1026</v>
      </c>
      <c r="B4617">
        <v>1</v>
      </c>
      <c r="C4617">
        <v>7</v>
      </c>
      <c r="D4617">
        <v>2</v>
      </c>
      <c r="E4617">
        <v>3999.99</v>
      </c>
      <c r="F4617">
        <v>0.1</v>
      </c>
      <c r="G4617">
        <v>7999.91</v>
      </c>
      <c r="H4617" t="s">
        <v>12</v>
      </c>
    </row>
    <row r="4618" spans="1:8" x14ac:dyDescent="0.35">
      <c r="A4618">
        <v>1035</v>
      </c>
      <c r="B4618">
        <v>1</v>
      </c>
      <c r="C4618">
        <v>96</v>
      </c>
      <c r="D4618">
        <v>1</v>
      </c>
      <c r="E4618">
        <v>349.99</v>
      </c>
      <c r="F4618">
        <v>0.2</v>
      </c>
      <c r="G4618">
        <v>349.79</v>
      </c>
      <c r="H4618" t="s">
        <v>96</v>
      </c>
    </row>
    <row r="4619" spans="1:8" x14ac:dyDescent="0.35">
      <c r="A4619">
        <v>1039</v>
      </c>
      <c r="B4619">
        <v>1</v>
      </c>
      <c r="C4619">
        <v>18</v>
      </c>
      <c r="D4619">
        <v>2</v>
      </c>
      <c r="E4619">
        <v>449</v>
      </c>
      <c r="F4619">
        <v>0.2</v>
      </c>
      <c r="G4619">
        <v>897.8</v>
      </c>
      <c r="H4619" t="s">
        <v>23</v>
      </c>
    </row>
    <row r="4620" spans="1:8" x14ac:dyDescent="0.35">
      <c r="A4620">
        <v>1042</v>
      </c>
      <c r="B4620">
        <v>1</v>
      </c>
      <c r="C4620">
        <v>23</v>
      </c>
      <c r="D4620">
        <v>1</v>
      </c>
      <c r="E4620">
        <v>299.99</v>
      </c>
      <c r="F4620">
        <v>0.1</v>
      </c>
      <c r="G4620">
        <v>299.89</v>
      </c>
      <c r="H4620" t="s">
        <v>26</v>
      </c>
    </row>
    <row r="4621" spans="1:8" x14ac:dyDescent="0.35">
      <c r="A4621">
        <v>1044</v>
      </c>
      <c r="B4621">
        <v>1</v>
      </c>
      <c r="C4621">
        <v>97</v>
      </c>
      <c r="D4621">
        <v>2</v>
      </c>
      <c r="E4621">
        <v>349.99</v>
      </c>
      <c r="F4621">
        <v>0.1</v>
      </c>
      <c r="G4621">
        <v>699.88</v>
      </c>
      <c r="H4621" t="s">
        <v>97</v>
      </c>
    </row>
    <row r="4622" spans="1:8" x14ac:dyDescent="0.35">
      <c r="A4622">
        <v>1051</v>
      </c>
      <c r="B4622">
        <v>1</v>
      </c>
      <c r="C4622">
        <v>46</v>
      </c>
      <c r="D4622">
        <v>1</v>
      </c>
      <c r="E4622">
        <v>1409.99</v>
      </c>
      <c r="F4622">
        <v>0.2</v>
      </c>
      <c r="G4622">
        <v>1409.79</v>
      </c>
      <c r="H4622" t="s">
        <v>47</v>
      </c>
    </row>
    <row r="4623" spans="1:8" x14ac:dyDescent="0.35">
      <c r="A4623">
        <v>1056</v>
      </c>
      <c r="B4623">
        <v>1</v>
      </c>
      <c r="C4623">
        <v>3</v>
      </c>
      <c r="D4623">
        <v>1</v>
      </c>
      <c r="E4623">
        <v>999.99</v>
      </c>
      <c r="F4623">
        <v>0.1</v>
      </c>
      <c r="G4623">
        <v>999.94</v>
      </c>
      <c r="H4623" t="s">
        <v>8</v>
      </c>
    </row>
    <row r="4624" spans="1:8" x14ac:dyDescent="0.35">
      <c r="A4624">
        <v>1071</v>
      </c>
      <c r="B4624">
        <v>1</v>
      </c>
      <c r="C4624">
        <v>25</v>
      </c>
      <c r="D4624">
        <v>2</v>
      </c>
      <c r="E4624">
        <v>499.99</v>
      </c>
      <c r="F4624">
        <v>0.2</v>
      </c>
      <c r="G4624">
        <v>999.78</v>
      </c>
      <c r="H4624" t="s">
        <v>27</v>
      </c>
    </row>
    <row r="4625" spans="1:8" x14ac:dyDescent="0.35">
      <c r="A4625">
        <v>1077</v>
      </c>
      <c r="B4625">
        <v>1</v>
      </c>
      <c r="C4625">
        <v>60</v>
      </c>
      <c r="D4625">
        <v>2</v>
      </c>
      <c r="E4625">
        <v>1559.99</v>
      </c>
      <c r="F4625">
        <v>0.1</v>
      </c>
      <c r="G4625">
        <v>3119.93</v>
      </c>
      <c r="H4625" t="s">
        <v>61</v>
      </c>
    </row>
    <row r="4626" spans="1:8" x14ac:dyDescent="0.35">
      <c r="A4626">
        <v>1079</v>
      </c>
      <c r="B4626">
        <v>1</v>
      </c>
      <c r="C4626">
        <v>70</v>
      </c>
      <c r="D4626">
        <v>2</v>
      </c>
      <c r="E4626">
        <v>659.99</v>
      </c>
      <c r="F4626">
        <v>0.1</v>
      </c>
      <c r="G4626">
        <v>1319.91</v>
      </c>
      <c r="H4626" t="s">
        <v>71</v>
      </c>
    </row>
    <row r="4627" spans="1:8" x14ac:dyDescent="0.35">
      <c r="A4627">
        <v>1081</v>
      </c>
      <c r="B4627">
        <v>1</v>
      </c>
      <c r="C4627">
        <v>52</v>
      </c>
      <c r="D4627">
        <v>2</v>
      </c>
      <c r="E4627">
        <v>875.99</v>
      </c>
      <c r="F4627">
        <v>0.1</v>
      </c>
      <c r="G4627">
        <v>1751.88</v>
      </c>
      <c r="H4627" t="s">
        <v>53</v>
      </c>
    </row>
    <row r="4628" spans="1:8" x14ac:dyDescent="0.35">
      <c r="A4628">
        <v>1082</v>
      </c>
      <c r="B4628">
        <v>1</v>
      </c>
      <c r="C4628">
        <v>29</v>
      </c>
      <c r="D4628">
        <v>2</v>
      </c>
      <c r="E4628">
        <v>999.99</v>
      </c>
      <c r="F4628">
        <v>0.2</v>
      </c>
      <c r="G4628">
        <v>1999.78</v>
      </c>
      <c r="H4628" t="s">
        <v>30</v>
      </c>
    </row>
    <row r="4629" spans="1:8" x14ac:dyDescent="0.35">
      <c r="A4629">
        <v>1090</v>
      </c>
      <c r="B4629">
        <v>1</v>
      </c>
      <c r="C4629">
        <v>74</v>
      </c>
      <c r="D4629">
        <v>1</v>
      </c>
      <c r="E4629">
        <v>439.99</v>
      </c>
      <c r="F4629">
        <v>0.2</v>
      </c>
      <c r="G4629">
        <v>439.79</v>
      </c>
      <c r="H4629" t="s">
        <v>75</v>
      </c>
    </row>
    <row r="4630" spans="1:8" x14ac:dyDescent="0.35">
      <c r="A4630">
        <v>1096</v>
      </c>
      <c r="B4630">
        <v>1</v>
      </c>
      <c r="C4630">
        <v>11</v>
      </c>
      <c r="D4630">
        <v>1</v>
      </c>
      <c r="E4630">
        <v>1680.99</v>
      </c>
      <c r="F4630">
        <v>0.1</v>
      </c>
      <c r="G4630">
        <v>1680.89</v>
      </c>
      <c r="H4630" t="s">
        <v>16</v>
      </c>
    </row>
    <row r="4631" spans="1:8" x14ac:dyDescent="0.35">
      <c r="A4631">
        <v>1098</v>
      </c>
      <c r="B4631">
        <v>1</v>
      </c>
      <c r="C4631">
        <v>88</v>
      </c>
      <c r="D4631">
        <v>1</v>
      </c>
      <c r="E4631">
        <v>189.99</v>
      </c>
      <c r="F4631">
        <v>0.1</v>
      </c>
      <c r="G4631">
        <v>189.89</v>
      </c>
      <c r="H4631" t="s">
        <v>89</v>
      </c>
    </row>
    <row r="4632" spans="1:8" x14ac:dyDescent="0.35">
      <c r="A4632">
        <v>1102</v>
      </c>
      <c r="B4632">
        <v>1</v>
      </c>
      <c r="C4632">
        <v>91</v>
      </c>
      <c r="D4632">
        <v>1</v>
      </c>
      <c r="E4632">
        <v>349.99</v>
      </c>
      <c r="F4632">
        <v>0.1</v>
      </c>
      <c r="G4632">
        <v>349.92</v>
      </c>
      <c r="H4632" t="s">
        <v>92</v>
      </c>
    </row>
    <row r="4633" spans="1:8" x14ac:dyDescent="0.35">
      <c r="A4633">
        <v>1106</v>
      </c>
      <c r="B4633">
        <v>1</v>
      </c>
      <c r="C4633">
        <v>96</v>
      </c>
      <c r="D4633">
        <v>1</v>
      </c>
      <c r="E4633">
        <v>349.99</v>
      </c>
      <c r="F4633">
        <v>0.1</v>
      </c>
      <c r="G4633">
        <v>349.89</v>
      </c>
      <c r="H4633" t="s">
        <v>96</v>
      </c>
    </row>
    <row r="4634" spans="1:8" x14ac:dyDescent="0.35">
      <c r="A4634">
        <v>1109</v>
      </c>
      <c r="B4634">
        <v>1</v>
      </c>
      <c r="C4634">
        <v>72</v>
      </c>
      <c r="D4634">
        <v>2</v>
      </c>
      <c r="E4634">
        <v>619.99</v>
      </c>
      <c r="F4634">
        <v>0.1</v>
      </c>
      <c r="G4634">
        <v>1239.8800000000001</v>
      </c>
      <c r="H4634" t="s">
        <v>73</v>
      </c>
    </row>
    <row r="4635" spans="1:8" x14ac:dyDescent="0.35">
      <c r="A4635">
        <v>1110</v>
      </c>
      <c r="B4635">
        <v>1</v>
      </c>
      <c r="C4635">
        <v>56</v>
      </c>
      <c r="D4635">
        <v>1</v>
      </c>
      <c r="E4635">
        <v>5499.99</v>
      </c>
      <c r="F4635">
        <v>0.1</v>
      </c>
      <c r="G4635">
        <v>5499.89</v>
      </c>
      <c r="H4635" t="s">
        <v>57</v>
      </c>
    </row>
    <row r="4636" spans="1:8" x14ac:dyDescent="0.35">
      <c r="A4636">
        <v>1113</v>
      </c>
      <c r="B4636">
        <v>1</v>
      </c>
      <c r="C4636">
        <v>106</v>
      </c>
      <c r="D4636">
        <v>1</v>
      </c>
      <c r="E4636">
        <v>449.99</v>
      </c>
      <c r="F4636">
        <v>0.1</v>
      </c>
      <c r="G4636">
        <v>449.92</v>
      </c>
      <c r="H4636" t="s">
        <v>69</v>
      </c>
    </row>
    <row r="4637" spans="1:8" x14ac:dyDescent="0.35">
      <c r="A4637">
        <v>1114</v>
      </c>
      <c r="B4637">
        <v>1</v>
      </c>
      <c r="C4637">
        <v>52</v>
      </c>
      <c r="D4637">
        <v>1</v>
      </c>
      <c r="E4637">
        <v>875.99</v>
      </c>
      <c r="F4637">
        <v>0.2</v>
      </c>
      <c r="G4637">
        <v>875.79</v>
      </c>
      <c r="H4637" t="s">
        <v>53</v>
      </c>
    </row>
    <row r="4638" spans="1:8" x14ac:dyDescent="0.35">
      <c r="A4638">
        <v>1116</v>
      </c>
      <c r="B4638">
        <v>1</v>
      </c>
      <c r="C4638">
        <v>11</v>
      </c>
      <c r="D4638">
        <v>2</v>
      </c>
      <c r="E4638">
        <v>1680.99</v>
      </c>
      <c r="F4638">
        <v>0.1</v>
      </c>
      <c r="G4638">
        <v>3361.91</v>
      </c>
      <c r="H4638" t="s">
        <v>16</v>
      </c>
    </row>
    <row r="4639" spans="1:8" x14ac:dyDescent="0.35">
      <c r="A4639">
        <v>1130</v>
      </c>
      <c r="B4639">
        <v>1</v>
      </c>
      <c r="C4639">
        <v>54</v>
      </c>
      <c r="D4639">
        <v>2</v>
      </c>
      <c r="E4639">
        <v>3199.99</v>
      </c>
      <c r="F4639">
        <v>0.2</v>
      </c>
      <c r="G4639">
        <v>6399.78</v>
      </c>
      <c r="H4639" t="s">
        <v>55</v>
      </c>
    </row>
    <row r="4640" spans="1:8" x14ac:dyDescent="0.35">
      <c r="A4640">
        <v>1136</v>
      </c>
      <c r="B4640">
        <v>1</v>
      </c>
      <c r="C4640">
        <v>105</v>
      </c>
      <c r="D4640">
        <v>1</v>
      </c>
      <c r="E4640">
        <v>533.99</v>
      </c>
      <c r="F4640">
        <v>0.1</v>
      </c>
      <c r="G4640">
        <v>533.89</v>
      </c>
      <c r="H4640" t="s">
        <v>104</v>
      </c>
    </row>
    <row r="4641" spans="1:8" x14ac:dyDescent="0.35">
      <c r="A4641">
        <v>1141</v>
      </c>
      <c r="B4641">
        <v>1</v>
      </c>
      <c r="C4641">
        <v>8</v>
      </c>
      <c r="D4641">
        <v>1</v>
      </c>
      <c r="E4641">
        <v>1799.99</v>
      </c>
      <c r="F4641">
        <v>0.1</v>
      </c>
      <c r="G4641">
        <v>1799.89</v>
      </c>
      <c r="H4641" t="s">
        <v>13</v>
      </c>
    </row>
    <row r="4642" spans="1:8" x14ac:dyDescent="0.35">
      <c r="A4642">
        <v>1144</v>
      </c>
      <c r="B4642">
        <v>1</v>
      </c>
      <c r="C4642">
        <v>88</v>
      </c>
      <c r="D4642">
        <v>1</v>
      </c>
      <c r="E4642">
        <v>189.99</v>
      </c>
      <c r="F4642">
        <v>0.1</v>
      </c>
      <c r="G4642">
        <v>189.92</v>
      </c>
      <c r="H4642" t="s">
        <v>89</v>
      </c>
    </row>
    <row r="4643" spans="1:8" x14ac:dyDescent="0.35">
      <c r="A4643">
        <v>1145</v>
      </c>
      <c r="B4643">
        <v>1</v>
      </c>
      <c r="C4643">
        <v>105</v>
      </c>
      <c r="D4643">
        <v>2</v>
      </c>
      <c r="E4643">
        <v>533.99</v>
      </c>
      <c r="F4643">
        <v>0.1</v>
      </c>
      <c r="G4643">
        <v>1067.9100000000001</v>
      </c>
      <c r="H4643" t="s">
        <v>104</v>
      </c>
    </row>
    <row r="4644" spans="1:8" x14ac:dyDescent="0.35">
      <c r="A4644">
        <v>1151</v>
      </c>
      <c r="B4644">
        <v>1</v>
      </c>
      <c r="C4644">
        <v>30</v>
      </c>
      <c r="D4644">
        <v>2</v>
      </c>
      <c r="E4644">
        <v>999.99</v>
      </c>
      <c r="F4644">
        <v>0.1</v>
      </c>
      <c r="G4644">
        <v>1999.93</v>
      </c>
      <c r="H4644" t="s">
        <v>31</v>
      </c>
    </row>
    <row r="4645" spans="1:8" x14ac:dyDescent="0.35">
      <c r="A4645">
        <v>1159</v>
      </c>
      <c r="B4645">
        <v>1</v>
      </c>
      <c r="C4645">
        <v>12</v>
      </c>
      <c r="D4645">
        <v>2</v>
      </c>
      <c r="E4645">
        <v>549.99</v>
      </c>
      <c r="F4645">
        <v>0.1</v>
      </c>
      <c r="G4645">
        <v>1099.8800000000001</v>
      </c>
      <c r="H4645" t="s">
        <v>17</v>
      </c>
    </row>
    <row r="4646" spans="1:8" x14ac:dyDescent="0.35">
      <c r="A4646">
        <v>1166</v>
      </c>
      <c r="B4646">
        <v>1</v>
      </c>
      <c r="C4646">
        <v>103</v>
      </c>
      <c r="D4646">
        <v>2</v>
      </c>
      <c r="E4646">
        <v>551.99</v>
      </c>
      <c r="F4646">
        <v>0.1</v>
      </c>
      <c r="G4646">
        <v>1103.9100000000001</v>
      </c>
      <c r="H4646" t="s">
        <v>102</v>
      </c>
    </row>
    <row r="4647" spans="1:8" x14ac:dyDescent="0.35">
      <c r="A4647">
        <v>1176</v>
      </c>
      <c r="B4647">
        <v>1</v>
      </c>
      <c r="C4647">
        <v>87</v>
      </c>
      <c r="D4647">
        <v>1</v>
      </c>
      <c r="E4647">
        <v>189.99</v>
      </c>
      <c r="F4647">
        <v>0.1</v>
      </c>
      <c r="G4647">
        <v>189.89</v>
      </c>
      <c r="H4647" t="s">
        <v>88</v>
      </c>
    </row>
    <row r="4648" spans="1:8" x14ac:dyDescent="0.35">
      <c r="A4648">
        <v>1180</v>
      </c>
      <c r="B4648">
        <v>1</v>
      </c>
      <c r="C4648">
        <v>66</v>
      </c>
      <c r="D4648">
        <v>2</v>
      </c>
      <c r="E4648">
        <v>250.99</v>
      </c>
      <c r="F4648">
        <v>0.1</v>
      </c>
      <c r="G4648">
        <v>501.91</v>
      </c>
      <c r="H4648" t="s">
        <v>67</v>
      </c>
    </row>
    <row r="4649" spans="1:8" x14ac:dyDescent="0.35">
      <c r="A4649">
        <v>1181</v>
      </c>
      <c r="B4649">
        <v>1</v>
      </c>
      <c r="C4649">
        <v>98</v>
      </c>
      <c r="D4649">
        <v>1</v>
      </c>
      <c r="E4649">
        <v>489.99</v>
      </c>
      <c r="F4649">
        <v>0.1</v>
      </c>
      <c r="G4649">
        <v>489.89</v>
      </c>
      <c r="H4649" t="s">
        <v>98</v>
      </c>
    </row>
    <row r="4650" spans="1:8" x14ac:dyDescent="0.35">
      <c r="A4650">
        <v>1190</v>
      </c>
      <c r="B4650">
        <v>1</v>
      </c>
      <c r="C4650">
        <v>71</v>
      </c>
      <c r="D4650">
        <v>1</v>
      </c>
      <c r="E4650">
        <v>416.99</v>
      </c>
      <c r="F4650">
        <v>0.1</v>
      </c>
      <c r="G4650">
        <v>416.92</v>
      </c>
      <c r="H4650" t="s">
        <v>72</v>
      </c>
    </row>
    <row r="4651" spans="1:8" x14ac:dyDescent="0.35">
      <c r="A4651">
        <v>1195</v>
      </c>
      <c r="B4651">
        <v>1</v>
      </c>
      <c r="C4651">
        <v>52</v>
      </c>
      <c r="D4651">
        <v>1</v>
      </c>
      <c r="E4651">
        <v>875.99</v>
      </c>
      <c r="F4651">
        <v>0.1</v>
      </c>
      <c r="G4651">
        <v>875.92</v>
      </c>
      <c r="H4651" t="s">
        <v>53</v>
      </c>
    </row>
    <row r="4652" spans="1:8" x14ac:dyDescent="0.35">
      <c r="A4652">
        <v>1196</v>
      </c>
      <c r="B4652">
        <v>1</v>
      </c>
      <c r="C4652">
        <v>53</v>
      </c>
      <c r="D4652">
        <v>1</v>
      </c>
      <c r="E4652">
        <v>749.99</v>
      </c>
      <c r="F4652">
        <v>0.1</v>
      </c>
      <c r="G4652">
        <v>749.92</v>
      </c>
      <c r="H4652" t="s">
        <v>54</v>
      </c>
    </row>
    <row r="4653" spans="1:8" x14ac:dyDescent="0.35">
      <c r="A4653">
        <v>1198</v>
      </c>
      <c r="B4653">
        <v>1</v>
      </c>
      <c r="C4653">
        <v>105</v>
      </c>
      <c r="D4653">
        <v>1</v>
      </c>
      <c r="E4653">
        <v>533.99</v>
      </c>
      <c r="F4653">
        <v>0.1</v>
      </c>
      <c r="G4653">
        <v>533.94000000000005</v>
      </c>
      <c r="H4653" t="s">
        <v>104</v>
      </c>
    </row>
    <row r="4654" spans="1:8" x14ac:dyDescent="0.35">
      <c r="A4654">
        <v>1200</v>
      </c>
      <c r="B4654">
        <v>1</v>
      </c>
      <c r="C4654">
        <v>42</v>
      </c>
      <c r="D4654">
        <v>2</v>
      </c>
      <c r="E4654">
        <v>2299.9899999999998</v>
      </c>
      <c r="F4654">
        <v>0.2</v>
      </c>
      <c r="G4654">
        <v>4599.78</v>
      </c>
      <c r="H4654" t="s">
        <v>43</v>
      </c>
    </row>
    <row r="4655" spans="1:8" x14ac:dyDescent="0.35">
      <c r="A4655">
        <v>1202</v>
      </c>
      <c r="B4655">
        <v>1</v>
      </c>
      <c r="C4655">
        <v>84</v>
      </c>
      <c r="D4655">
        <v>2</v>
      </c>
      <c r="E4655">
        <v>109.99</v>
      </c>
      <c r="F4655">
        <v>0.1</v>
      </c>
      <c r="G4655">
        <v>219.93</v>
      </c>
      <c r="H4655" t="s">
        <v>85</v>
      </c>
    </row>
    <row r="4656" spans="1:8" x14ac:dyDescent="0.35">
      <c r="A4656">
        <v>1204</v>
      </c>
      <c r="B4656">
        <v>1</v>
      </c>
      <c r="C4656">
        <v>37</v>
      </c>
      <c r="D4656">
        <v>2</v>
      </c>
      <c r="E4656">
        <v>379.99</v>
      </c>
      <c r="F4656">
        <v>0.1</v>
      </c>
      <c r="G4656">
        <v>759.91</v>
      </c>
      <c r="H4656" t="s">
        <v>38</v>
      </c>
    </row>
    <row r="4657" spans="1:8" x14ac:dyDescent="0.35">
      <c r="A4657">
        <v>1222</v>
      </c>
      <c r="B4657">
        <v>1</v>
      </c>
      <c r="C4657">
        <v>97</v>
      </c>
      <c r="D4657">
        <v>1</v>
      </c>
      <c r="E4657">
        <v>349.99</v>
      </c>
      <c r="F4657">
        <v>0.2</v>
      </c>
      <c r="G4657">
        <v>349.79</v>
      </c>
      <c r="H4657" t="s">
        <v>97</v>
      </c>
    </row>
    <row r="4658" spans="1:8" x14ac:dyDescent="0.35">
      <c r="A4658">
        <v>1223</v>
      </c>
      <c r="B4658">
        <v>1</v>
      </c>
      <c r="C4658">
        <v>103</v>
      </c>
      <c r="D4658">
        <v>1</v>
      </c>
      <c r="E4658">
        <v>551.99</v>
      </c>
      <c r="F4658">
        <v>0.1</v>
      </c>
      <c r="G4658">
        <v>551.94000000000005</v>
      </c>
      <c r="H4658" t="s">
        <v>102</v>
      </c>
    </row>
    <row r="4659" spans="1:8" x14ac:dyDescent="0.35">
      <c r="A4659">
        <v>1235</v>
      </c>
      <c r="B4659">
        <v>1</v>
      </c>
      <c r="C4659">
        <v>7</v>
      </c>
      <c r="D4659">
        <v>1</v>
      </c>
      <c r="E4659">
        <v>3999.99</v>
      </c>
      <c r="F4659">
        <v>0.1</v>
      </c>
      <c r="G4659">
        <v>3999.89</v>
      </c>
      <c r="H4659" t="s">
        <v>12</v>
      </c>
    </row>
    <row r="4660" spans="1:8" x14ac:dyDescent="0.35">
      <c r="A4660">
        <v>1243</v>
      </c>
      <c r="B4660">
        <v>1</v>
      </c>
      <c r="C4660">
        <v>44</v>
      </c>
      <c r="D4660">
        <v>1</v>
      </c>
      <c r="E4660">
        <v>539.99</v>
      </c>
      <c r="F4660">
        <v>0.1</v>
      </c>
      <c r="G4660">
        <v>539.91999999999996</v>
      </c>
      <c r="H4660" t="s">
        <v>45</v>
      </c>
    </row>
    <row r="4661" spans="1:8" x14ac:dyDescent="0.35">
      <c r="A4661">
        <v>1245</v>
      </c>
      <c r="B4661">
        <v>1</v>
      </c>
      <c r="C4661">
        <v>13</v>
      </c>
      <c r="D4661">
        <v>1</v>
      </c>
      <c r="E4661">
        <v>269.99</v>
      </c>
      <c r="F4661">
        <v>0.1</v>
      </c>
      <c r="G4661">
        <v>269.89</v>
      </c>
      <c r="H4661" t="s">
        <v>18</v>
      </c>
    </row>
    <row r="4662" spans="1:8" x14ac:dyDescent="0.35">
      <c r="A4662">
        <v>1270</v>
      </c>
      <c r="B4662">
        <v>1</v>
      </c>
      <c r="C4662">
        <v>54</v>
      </c>
      <c r="D4662">
        <v>1</v>
      </c>
      <c r="E4662">
        <v>3199.99</v>
      </c>
      <c r="F4662">
        <v>0.2</v>
      </c>
      <c r="G4662">
        <v>3199.79</v>
      </c>
      <c r="H4662" t="s">
        <v>55</v>
      </c>
    </row>
    <row r="4663" spans="1:8" x14ac:dyDescent="0.35">
      <c r="A4663">
        <v>1274</v>
      </c>
      <c r="B4663">
        <v>1</v>
      </c>
      <c r="C4663">
        <v>81</v>
      </c>
      <c r="D4663">
        <v>1</v>
      </c>
      <c r="E4663">
        <v>1099.99</v>
      </c>
      <c r="F4663">
        <v>0.1</v>
      </c>
      <c r="G4663">
        <v>1099.8900000000001</v>
      </c>
      <c r="H4663" t="s">
        <v>82</v>
      </c>
    </row>
    <row r="4664" spans="1:8" x14ac:dyDescent="0.35">
      <c r="A4664">
        <v>1279</v>
      </c>
      <c r="B4664">
        <v>1</v>
      </c>
      <c r="C4664">
        <v>9</v>
      </c>
      <c r="D4664">
        <v>2</v>
      </c>
      <c r="E4664">
        <v>2999.99</v>
      </c>
      <c r="F4664">
        <v>0.1</v>
      </c>
      <c r="G4664">
        <v>5999.93</v>
      </c>
      <c r="H4664" t="s">
        <v>14</v>
      </c>
    </row>
    <row r="4665" spans="1:8" x14ac:dyDescent="0.35">
      <c r="A4665">
        <v>1292</v>
      </c>
      <c r="B4665">
        <v>1</v>
      </c>
      <c r="C4665">
        <v>70</v>
      </c>
      <c r="D4665">
        <v>1</v>
      </c>
      <c r="E4665">
        <v>659.99</v>
      </c>
      <c r="F4665">
        <v>0.1</v>
      </c>
      <c r="G4665">
        <v>659.92</v>
      </c>
      <c r="H4665" t="s">
        <v>71</v>
      </c>
    </row>
    <row r="4666" spans="1:8" x14ac:dyDescent="0.35">
      <c r="A4666">
        <v>1317</v>
      </c>
      <c r="B4666">
        <v>1</v>
      </c>
      <c r="C4666">
        <v>82</v>
      </c>
      <c r="D4666">
        <v>1</v>
      </c>
      <c r="E4666">
        <v>659.99</v>
      </c>
      <c r="F4666">
        <v>0.1</v>
      </c>
      <c r="G4666">
        <v>659.89</v>
      </c>
      <c r="H4666" t="s">
        <v>83</v>
      </c>
    </row>
    <row r="4667" spans="1:8" x14ac:dyDescent="0.35">
      <c r="A4667">
        <v>1335</v>
      </c>
      <c r="B4667">
        <v>1</v>
      </c>
      <c r="C4667">
        <v>138</v>
      </c>
      <c r="D4667">
        <v>2</v>
      </c>
      <c r="E4667">
        <v>2249.9899999999998</v>
      </c>
      <c r="F4667">
        <v>0.1</v>
      </c>
      <c r="G4667">
        <v>4499.93</v>
      </c>
      <c r="H4667" t="s">
        <v>135</v>
      </c>
    </row>
    <row r="4668" spans="1:8" x14ac:dyDescent="0.35">
      <c r="A4668">
        <v>1337</v>
      </c>
      <c r="B4668">
        <v>1</v>
      </c>
      <c r="C4668">
        <v>153</v>
      </c>
      <c r="D4668">
        <v>1</v>
      </c>
      <c r="E4668">
        <v>4999.99</v>
      </c>
      <c r="F4668">
        <v>0.1</v>
      </c>
      <c r="G4668">
        <v>4999.8900000000003</v>
      </c>
      <c r="H4668" t="s">
        <v>150</v>
      </c>
    </row>
    <row r="4669" spans="1:8" x14ac:dyDescent="0.35">
      <c r="A4669">
        <v>1338</v>
      </c>
      <c r="B4669">
        <v>1</v>
      </c>
      <c r="C4669">
        <v>169</v>
      </c>
      <c r="D4669">
        <v>2</v>
      </c>
      <c r="E4669">
        <v>6499.99</v>
      </c>
      <c r="F4669">
        <v>0.1</v>
      </c>
      <c r="G4669">
        <v>12999.91</v>
      </c>
      <c r="H4669" t="s">
        <v>166</v>
      </c>
    </row>
    <row r="4670" spans="1:8" x14ac:dyDescent="0.35">
      <c r="A4670">
        <v>1339</v>
      </c>
      <c r="B4670">
        <v>1</v>
      </c>
      <c r="C4670">
        <v>175</v>
      </c>
      <c r="D4670">
        <v>1</v>
      </c>
      <c r="E4670">
        <v>3199.99</v>
      </c>
      <c r="F4670">
        <v>0.1</v>
      </c>
      <c r="G4670">
        <v>3199.92</v>
      </c>
      <c r="H4670" t="s">
        <v>172</v>
      </c>
    </row>
    <row r="4671" spans="1:8" x14ac:dyDescent="0.35">
      <c r="A4671">
        <v>1354</v>
      </c>
      <c r="B4671">
        <v>1</v>
      </c>
      <c r="C4671">
        <v>166</v>
      </c>
      <c r="D4671">
        <v>2</v>
      </c>
      <c r="E4671">
        <v>749.99</v>
      </c>
      <c r="F4671">
        <v>0.1</v>
      </c>
      <c r="G4671">
        <v>1499.91</v>
      </c>
      <c r="H4671" t="s">
        <v>163</v>
      </c>
    </row>
    <row r="4672" spans="1:8" x14ac:dyDescent="0.35">
      <c r="A4672">
        <v>1358</v>
      </c>
      <c r="B4672">
        <v>1</v>
      </c>
      <c r="C4672">
        <v>257</v>
      </c>
      <c r="D4672">
        <v>2</v>
      </c>
      <c r="E4672">
        <v>899.99</v>
      </c>
      <c r="F4672">
        <v>0.2</v>
      </c>
      <c r="G4672">
        <v>1799.78</v>
      </c>
      <c r="H4672" t="s">
        <v>248</v>
      </c>
    </row>
    <row r="4673" spans="1:8" x14ac:dyDescent="0.35">
      <c r="A4673">
        <v>1360</v>
      </c>
      <c r="B4673">
        <v>1</v>
      </c>
      <c r="C4673">
        <v>31</v>
      </c>
      <c r="D4673">
        <v>1</v>
      </c>
      <c r="E4673">
        <v>1632.99</v>
      </c>
      <c r="F4673">
        <v>0.1</v>
      </c>
      <c r="G4673">
        <v>1632.94</v>
      </c>
      <c r="H4673" t="s">
        <v>32</v>
      </c>
    </row>
    <row r="4674" spans="1:8" x14ac:dyDescent="0.35">
      <c r="A4674">
        <v>1363</v>
      </c>
      <c r="B4674">
        <v>1</v>
      </c>
      <c r="C4674">
        <v>66</v>
      </c>
      <c r="D4674">
        <v>2</v>
      </c>
      <c r="E4674">
        <v>250.99</v>
      </c>
      <c r="F4674">
        <v>0.1</v>
      </c>
      <c r="G4674">
        <v>501.88</v>
      </c>
      <c r="H4674" t="s">
        <v>67</v>
      </c>
    </row>
    <row r="4675" spans="1:8" x14ac:dyDescent="0.35">
      <c r="A4675">
        <v>1369</v>
      </c>
      <c r="B4675">
        <v>1</v>
      </c>
      <c r="C4675">
        <v>213</v>
      </c>
      <c r="D4675">
        <v>2</v>
      </c>
      <c r="E4675">
        <v>269.99</v>
      </c>
      <c r="F4675">
        <v>0.1</v>
      </c>
      <c r="G4675">
        <v>539.92999999999995</v>
      </c>
      <c r="H4675" t="s">
        <v>208</v>
      </c>
    </row>
    <row r="4676" spans="1:8" x14ac:dyDescent="0.35">
      <c r="A4676">
        <v>1373</v>
      </c>
      <c r="B4676">
        <v>1</v>
      </c>
      <c r="C4676">
        <v>63</v>
      </c>
      <c r="D4676">
        <v>1</v>
      </c>
      <c r="E4676">
        <v>3499.99</v>
      </c>
      <c r="F4676">
        <v>0.1</v>
      </c>
      <c r="G4676">
        <v>3499.89</v>
      </c>
      <c r="H4676" t="s">
        <v>64</v>
      </c>
    </row>
    <row r="4677" spans="1:8" x14ac:dyDescent="0.35">
      <c r="A4677">
        <v>1376</v>
      </c>
      <c r="B4677">
        <v>1</v>
      </c>
      <c r="C4677">
        <v>5</v>
      </c>
      <c r="D4677">
        <v>1</v>
      </c>
      <c r="E4677">
        <v>1320.99</v>
      </c>
      <c r="F4677">
        <v>0.1</v>
      </c>
      <c r="G4677">
        <v>1320.92</v>
      </c>
      <c r="H4677" t="s">
        <v>10</v>
      </c>
    </row>
    <row r="4678" spans="1:8" x14ac:dyDescent="0.35">
      <c r="A4678">
        <v>1387</v>
      </c>
      <c r="B4678">
        <v>1</v>
      </c>
      <c r="C4678">
        <v>106</v>
      </c>
      <c r="D4678">
        <v>1</v>
      </c>
      <c r="E4678">
        <v>449.99</v>
      </c>
      <c r="F4678">
        <v>0.1</v>
      </c>
      <c r="G4678">
        <v>449.89</v>
      </c>
      <c r="H4678" t="s">
        <v>69</v>
      </c>
    </row>
    <row r="4679" spans="1:8" x14ac:dyDescent="0.35">
      <c r="A4679">
        <v>1388</v>
      </c>
      <c r="B4679">
        <v>1</v>
      </c>
      <c r="C4679">
        <v>251</v>
      </c>
      <c r="D4679">
        <v>1</v>
      </c>
      <c r="E4679">
        <v>2999.99</v>
      </c>
      <c r="F4679">
        <v>0.1</v>
      </c>
      <c r="G4679">
        <v>2999.89</v>
      </c>
      <c r="H4679" t="s">
        <v>195</v>
      </c>
    </row>
    <row r="4680" spans="1:8" x14ac:dyDescent="0.35">
      <c r="A4680">
        <v>1394</v>
      </c>
      <c r="B4680">
        <v>1</v>
      </c>
      <c r="C4680">
        <v>165</v>
      </c>
      <c r="D4680">
        <v>2</v>
      </c>
      <c r="E4680">
        <v>2499.9899999999998</v>
      </c>
      <c r="F4680">
        <v>0.1</v>
      </c>
      <c r="G4680">
        <v>4999.93</v>
      </c>
      <c r="H4680" t="s">
        <v>162</v>
      </c>
    </row>
    <row r="4681" spans="1:8" x14ac:dyDescent="0.35">
      <c r="A4681">
        <v>1403</v>
      </c>
      <c r="B4681">
        <v>1</v>
      </c>
      <c r="C4681">
        <v>93</v>
      </c>
      <c r="D4681">
        <v>2</v>
      </c>
      <c r="E4681">
        <v>209.99</v>
      </c>
      <c r="F4681">
        <v>0.1</v>
      </c>
      <c r="G4681">
        <v>419.88</v>
      </c>
      <c r="H4681" t="s">
        <v>94</v>
      </c>
    </row>
    <row r="4682" spans="1:8" x14ac:dyDescent="0.35">
      <c r="A4682">
        <v>1405</v>
      </c>
      <c r="B4682">
        <v>1</v>
      </c>
      <c r="C4682">
        <v>162</v>
      </c>
      <c r="D4682">
        <v>2</v>
      </c>
      <c r="E4682">
        <v>2999.99</v>
      </c>
      <c r="F4682">
        <v>0.1</v>
      </c>
      <c r="G4682">
        <v>5999.88</v>
      </c>
      <c r="H4682" t="s">
        <v>159</v>
      </c>
    </row>
    <row r="4683" spans="1:8" x14ac:dyDescent="0.35">
      <c r="A4683">
        <v>1413</v>
      </c>
      <c r="B4683">
        <v>1</v>
      </c>
      <c r="C4683">
        <v>297</v>
      </c>
      <c r="D4683">
        <v>2</v>
      </c>
      <c r="E4683">
        <v>279.99</v>
      </c>
      <c r="F4683">
        <v>0.1</v>
      </c>
      <c r="G4683">
        <v>559.92999999999995</v>
      </c>
      <c r="H4683" t="s">
        <v>287</v>
      </c>
    </row>
    <row r="4684" spans="1:8" x14ac:dyDescent="0.35">
      <c r="A4684">
        <v>1417</v>
      </c>
      <c r="B4684">
        <v>1</v>
      </c>
      <c r="C4684">
        <v>219</v>
      </c>
      <c r="D4684">
        <v>2</v>
      </c>
      <c r="E4684">
        <v>639.99</v>
      </c>
      <c r="F4684">
        <v>0.2</v>
      </c>
      <c r="G4684">
        <v>1279.78</v>
      </c>
      <c r="H4684" t="s">
        <v>214</v>
      </c>
    </row>
    <row r="4685" spans="1:8" x14ac:dyDescent="0.35">
      <c r="A4685">
        <v>1421</v>
      </c>
      <c r="B4685">
        <v>1</v>
      </c>
      <c r="C4685">
        <v>298</v>
      </c>
      <c r="D4685">
        <v>2</v>
      </c>
      <c r="E4685">
        <v>279.99</v>
      </c>
      <c r="F4685">
        <v>0.1</v>
      </c>
      <c r="G4685">
        <v>559.92999999999995</v>
      </c>
      <c r="H4685" t="s">
        <v>288</v>
      </c>
    </row>
    <row r="4686" spans="1:8" x14ac:dyDescent="0.35">
      <c r="A4686">
        <v>1424</v>
      </c>
      <c r="B4686">
        <v>1</v>
      </c>
      <c r="C4686">
        <v>140</v>
      </c>
      <c r="D4686">
        <v>2</v>
      </c>
      <c r="E4686">
        <v>4999.99</v>
      </c>
      <c r="F4686">
        <v>0.2</v>
      </c>
      <c r="G4686">
        <v>9999.7800000000007</v>
      </c>
      <c r="H4686" t="s">
        <v>137</v>
      </c>
    </row>
    <row r="4687" spans="1:8" x14ac:dyDescent="0.35">
      <c r="A4687">
        <v>1429</v>
      </c>
      <c r="B4687">
        <v>1</v>
      </c>
      <c r="C4687">
        <v>70</v>
      </c>
      <c r="D4687">
        <v>2</v>
      </c>
      <c r="E4687">
        <v>659.99</v>
      </c>
      <c r="F4687">
        <v>0.2</v>
      </c>
      <c r="G4687">
        <v>1319.78</v>
      </c>
      <c r="H4687" t="s">
        <v>71</v>
      </c>
    </row>
    <row r="4688" spans="1:8" x14ac:dyDescent="0.35">
      <c r="A4688">
        <v>1432</v>
      </c>
      <c r="B4688">
        <v>1</v>
      </c>
      <c r="C4688">
        <v>161</v>
      </c>
      <c r="D4688">
        <v>1</v>
      </c>
      <c r="E4688">
        <v>1899</v>
      </c>
      <c r="F4688">
        <v>0.2</v>
      </c>
      <c r="G4688">
        <v>1898.8</v>
      </c>
      <c r="H4688" t="s">
        <v>158</v>
      </c>
    </row>
    <row r="4689" spans="1:8" x14ac:dyDescent="0.35">
      <c r="A4689">
        <v>1433</v>
      </c>
      <c r="B4689">
        <v>1</v>
      </c>
      <c r="C4689">
        <v>264</v>
      </c>
      <c r="D4689">
        <v>1</v>
      </c>
      <c r="E4689">
        <v>249.99</v>
      </c>
      <c r="F4689">
        <v>0.1</v>
      </c>
      <c r="G4689">
        <v>249.92</v>
      </c>
      <c r="H4689" t="s">
        <v>255</v>
      </c>
    </row>
    <row r="4690" spans="1:8" x14ac:dyDescent="0.35">
      <c r="A4690">
        <v>1436</v>
      </c>
      <c r="B4690">
        <v>1</v>
      </c>
      <c r="C4690">
        <v>244</v>
      </c>
      <c r="D4690">
        <v>2</v>
      </c>
      <c r="E4690">
        <v>559.99</v>
      </c>
      <c r="F4690">
        <v>0.1</v>
      </c>
      <c r="G4690">
        <v>1119.9100000000001</v>
      </c>
      <c r="H4690" t="s">
        <v>239</v>
      </c>
    </row>
    <row r="4691" spans="1:8" x14ac:dyDescent="0.35">
      <c r="A4691">
        <v>1437</v>
      </c>
      <c r="B4691">
        <v>1</v>
      </c>
      <c r="C4691">
        <v>141</v>
      </c>
      <c r="D4691">
        <v>2</v>
      </c>
      <c r="E4691">
        <v>1599.99</v>
      </c>
      <c r="F4691">
        <v>0.1</v>
      </c>
      <c r="G4691">
        <v>3199.93</v>
      </c>
      <c r="H4691" t="s">
        <v>138</v>
      </c>
    </row>
    <row r="4692" spans="1:8" x14ac:dyDescent="0.35">
      <c r="A4692">
        <v>1447</v>
      </c>
      <c r="B4692">
        <v>1</v>
      </c>
      <c r="C4692">
        <v>148</v>
      </c>
      <c r="D4692">
        <v>1</v>
      </c>
      <c r="E4692">
        <v>5499.99</v>
      </c>
      <c r="F4692">
        <v>0.2</v>
      </c>
      <c r="G4692">
        <v>5499.79</v>
      </c>
      <c r="H4692" t="s">
        <v>145</v>
      </c>
    </row>
    <row r="4693" spans="1:8" x14ac:dyDescent="0.35">
      <c r="A4693">
        <v>1448</v>
      </c>
      <c r="B4693">
        <v>1</v>
      </c>
      <c r="C4693">
        <v>239</v>
      </c>
      <c r="D4693">
        <v>1</v>
      </c>
      <c r="E4693">
        <v>749.99</v>
      </c>
      <c r="F4693">
        <v>0.1</v>
      </c>
      <c r="G4693">
        <v>749.89</v>
      </c>
      <c r="H4693" t="s">
        <v>234</v>
      </c>
    </row>
    <row r="4694" spans="1:8" x14ac:dyDescent="0.35">
      <c r="A4694">
        <v>1451</v>
      </c>
      <c r="B4694">
        <v>1</v>
      </c>
      <c r="C4694">
        <v>117</v>
      </c>
      <c r="D4694">
        <v>1</v>
      </c>
      <c r="E4694">
        <v>1469.99</v>
      </c>
      <c r="F4694">
        <v>0.1</v>
      </c>
      <c r="G4694">
        <v>1469.94</v>
      </c>
      <c r="H4694" t="s">
        <v>114</v>
      </c>
    </row>
    <row r="4695" spans="1:8" x14ac:dyDescent="0.35">
      <c r="A4695">
        <v>1453</v>
      </c>
      <c r="B4695">
        <v>1</v>
      </c>
      <c r="C4695">
        <v>89</v>
      </c>
      <c r="D4695">
        <v>2</v>
      </c>
      <c r="E4695">
        <v>209.99</v>
      </c>
      <c r="F4695">
        <v>0.1</v>
      </c>
      <c r="G4695">
        <v>419.88</v>
      </c>
      <c r="H4695" t="s">
        <v>90</v>
      </c>
    </row>
    <row r="4696" spans="1:8" x14ac:dyDescent="0.35">
      <c r="A4696">
        <v>1459</v>
      </c>
      <c r="B4696">
        <v>1</v>
      </c>
      <c r="C4696">
        <v>258</v>
      </c>
      <c r="D4696">
        <v>1</v>
      </c>
      <c r="E4696">
        <v>1259.9000000000001</v>
      </c>
      <c r="F4696">
        <v>0.1</v>
      </c>
      <c r="G4696">
        <v>1259.8</v>
      </c>
      <c r="H4696" t="s">
        <v>249</v>
      </c>
    </row>
    <row r="4697" spans="1:8" x14ac:dyDescent="0.35">
      <c r="A4697">
        <v>1465</v>
      </c>
      <c r="B4697">
        <v>1</v>
      </c>
      <c r="C4697">
        <v>70</v>
      </c>
      <c r="D4697">
        <v>2</v>
      </c>
      <c r="E4697">
        <v>659.99</v>
      </c>
      <c r="F4697">
        <v>0.1</v>
      </c>
      <c r="G4697">
        <v>1319.93</v>
      </c>
      <c r="H4697" t="s">
        <v>71</v>
      </c>
    </row>
    <row r="4698" spans="1:8" x14ac:dyDescent="0.35">
      <c r="A4698">
        <v>1477</v>
      </c>
      <c r="B4698">
        <v>1</v>
      </c>
      <c r="C4698">
        <v>210</v>
      </c>
      <c r="D4698">
        <v>2</v>
      </c>
      <c r="E4698">
        <v>1549</v>
      </c>
      <c r="F4698">
        <v>0.2</v>
      </c>
      <c r="G4698">
        <v>3097.8</v>
      </c>
      <c r="H4698" t="s">
        <v>165</v>
      </c>
    </row>
    <row r="4699" spans="1:8" x14ac:dyDescent="0.35">
      <c r="A4699">
        <v>1492</v>
      </c>
      <c r="B4699">
        <v>1</v>
      </c>
      <c r="C4699">
        <v>37</v>
      </c>
      <c r="D4699">
        <v>2</v>
      </c>
      <c r="E4699">
        <v>379.99</v>
      </c>
      <c r="F4699">
        <v>0.1</v>
      </c>
      <c r="G4699">
        <v>759.88</v>
      </c>
      <c r="H4699" t="s">
        <v>38</v>
      </c>
    </row>
    <row r="4700" spans="1:8" x14ac:dyDescent="0.35">
      <c r="A4700">
        <v>1493</v>
      </c>
      <c r="B4700">
        <v>1</v>
      </c>
      <c r="C4700">
        <v>230</v>
      </c>
      <c r="D4700">
        <v>1</v>
      </c>
      <c r="E4700">
        <v>429.99</v>
      </c>
      <c r="F4700">
        <v>0.1</v>
      </c>
      <c r="G4700">
        <v>429.89</v>
      </c>
      <c r="H4700" t="s">
        <v>225</v>
      </c>
    </row>
    <row r="4701" spans="1:8" x14ac:dyDescent="0.35">
      <c r="A4701">
        <v>1504</v>
      </c>
      <c r="B4701">
        <v>1</v>
      </c>
      <c r="C4701">
        <v>276</v>
      </c>
      <c r="D4701">
        <v>1</v>
      </c>
      <c r="E4701">
        <v>319.99</v>
      </c>
      <c r="F4701">
        <v>0.1</v>
      </c>
      <c r="G4701">
        <v>319.92</v>
      </c>
      <c r="H4701" t="s">
        <v>267</v>
      </c>
    </row>
    <row r="4702" spans="1:8" x14ac:dyDescent="0.35">
      <c r="A4702">
        <v>1509</v>
      </c>
      <c r="B4702">
        <v>1</v>
      </c>
      <c r="C4702">
        <v>215</v>
      </c>
      <c r="D4702">
        <v>2</v>
      </c>
      <c r="E4702">
        <v>749.99</v>
      </c>
      <c r="F4702">
        <v>0.1</v>
      </c>
      <c r="G4702">
        <v>1499.91</v>
      </c>
      <c r="H4702" t="s">
        <v>210</v>
      </c>
    </row>
    <row r="4703" spans="1:8" x14ac:dyDescent="0.35">
      <c r="A4703">
        <v>1512</v>
      </c>
      <c r="B4703">
        <v>1</v>
      </c>
      <c r="C4703">
        <v>217</v>
      </c>
      <c r="D4703">
        <v>1</v>
      </c>
      <c r="E4703">
        <v>909.99</v>
      </c>
      <c r="F4703">
        <v>0.1</v>
      </c>
      <c r="G4703">
        <v>909.92</v>
      </c>
      <c r="H4703" t="s">
        <v>212</v>
      </c>
    </row>
    <row r="4704" spans="1:8" x14ac:dyDescent="0.35">
      <c r="A4704">
        <v>1523</v>
      </c>
      <c r="B4704">
        <v>1</v>
      </c>
      <c r="C4704">
        <v>311</v>
      </c>
      <c r="D4704">
        <v>2</v>
      </c>
      <c r="E4704">
        <v>749.99</v>
      </c>
      <c r="F4704">
        <v>0.2</v>
      </c>
      <c r="G4704">
        <v>1499.78</v>
      </c>
      <c r="H4704" t="s">
        <v>236</v>
      </c>
    </row>
    <row r="4705" spans="1:8" x14ac:dyDescent="0.35">
      <c r="A4705">
        <v>1528</v>
      </c>
      <c r="B4705">
        <v>1</v>
      </c>
      <c r="C4705">
        <v>229</v>
      </c>
      <c r="D4705">
        <v>2</v>
      </c>
      <c r="E4705">
        <v>429.99</v>
      </c>
      <c r="F4705">
        <v>0.2</v>
      </c>
      <c r="G4705">
        <v>859.78</v>
      </c>
      <c r="H4705" t="s">
        <v>224</v>
      </c>
    </row>
    <row r="4706" spans="1:8" x14ac:dyDescent="0.35">
      <c r="A4706">
        <v>1531</v>
      </c>
      <c r="B4706">
        <v>1</v>
      </c>
      <c r="C4706">
        <v>128</v>
      </c>
      <c r="D4706">
        <v>1</v>
      </c>
      <c r="E4706">
        <v>1899</v>
      </c>
      <c r="F4706">
        <v>0.1</v>
      </c>
      <c r="G4706">
        <v>1898.9</v>
      </c>
      <c r="H4706" t="s">
        <v>125</v>
      </c>
    </row>
    <row r="4707" spans="1:8" x14ac:dyDescent="0.35">
      <c r="A4707">
        <v>1532</v>
      </c>
      <c r="B4707">
        <v>1</v>
      </c>
      <c r="C4707">
        <v>209</v>
      </c>
      <c r="D4707">
        <v>2</v>
      </c>
      <c r="E4707">
        <v>2999.99</v>
      </c>
      <c r="F4707">
        <v>0.1</v>
      </c>
      <c r="G4707">
        <v>5999.91</v>
      </c>
      <c r="H4707" t="s">
        <v>206</v>
      </c>
    </row>
    <row r="4708" spans="1:8" x14ac:dyDescent="0.35">
      <c r="A4708">
        <v>1537</v>
      </c>
      <c r="B4708">
        <v>1</v>
      </c>
      <c r="C4708">
        <v>237</v>
      </c>
      <c r="D4708">
        <v>2</v>
      </c>
      <c r="E4708">
        <v>849.99</v>
      </c>
      <c r="F4708">
        <v>0.1</v>
      </c>
      <c r="G4708">
        <v>1699.93</v>
      </c>
      <c r="H4708" t="s">
        <v>232</v>
      </c>
    </row>
    <row r="4709" spans="1:8" x14ac:dyDescent="0.35">
      <c r="A4709">
        <v>1545</v>
      </c>
      <c r="B4709">
        <v>1</v>
      </c>
      <c r="C4709">
        <v>45</v>
      </c>
      <c r="D4709">
        <v>1</v>
      </c>
      <c r="E4709">
        <v>869.99</v>
      </c>
      <c r="F4709">
        <v>0.1</v>
      </c>
      <c r="G4709">
        <v>869.89</v>
      </c>
      <c r="H4709" t="s">
        <v>46</v>
      </c>
    </row>
    <row r="4710" spans="1:8" x14ac:dyDescent="0.35">
      <c r="A4710">
        <v>1551</v>
      </c>
      <c r="B4710">
        <v>1</v>
      </c>
      <c r="C4710">
        <v>207</v>
      </c>
      <c r="D4710">
        <v>2</v>
      </c>
      <c r="E4710">
        <v>3999.99</v>
      </c>
      <c r="F4710">
        <v>0.2</v>
      </c>
      <c r="G4710">
        <v>7999.78</v>
      </c>
      <c r="H4710" t="s">
        <v>204</v>
      </c>
    </row>
    <row r="4711" spans="1:8" x14ac:dyDescent="0.35">
      <c r="A4711">
        <v>1557</v>
      </c>
      <c r="B4711">
        <v>1</v>
      </c>
      <c r="C4711">
        <v>163</v>
      </c>
      <c r="D4711">
        <v>2</v>
      </c>
      <c r="E4711">
        <v>1349</v>
      </c>
      <c r="F4711">
        <v>0.1</v>
      </c>
      <c r="G4711">
        <v>2697.93</v>
      </c>
      <c r="H4711" t="s">
        <v>160</v>
      </c>
    </row>
    <row r="4712" spans="1:8" x14ac:dyDescent="0.35">
      <c r="A4712">
        <v>1563</v>
      </c>
      <c r="B4712">
        <v>1</v>
      </c>
      <c r="C4712">
        <v>188</v>
      </c>
      <c r="D4712">
        <v>1</v>
      </c>
      <c r="E4712">
        <v>3499.99</v>
      </c>
      <c r="F4712">
        <v>0.1</v>
      </c>
      <c r="G4712">
        <v>3499.92</v>
      </c>
      <c r="H4712" t="s">
        <v>185</v>
      </c>
    </row>
    <row r="4713" spans="1:8" x14ac:dyDescent="0.35">
      <c r="A4713">
        <v>1567</v>
      </c>
      <c r="B4713">
        <v>1</v>
      </c>
      <c r="C4713">
        <v>279</v>
      </c>
      <c r="D4713">
        <v>1</v>
      </c>
      <c r="E4713">
        <v>319.99</v>
      </c>
      <c r="F4713">
        <v>0.2</v>
      </c>
      <c r="G4713">
        <v>319.79000000000002</v>
      </c>
      <c r="H4713" t="s">
        <v>270</v>
      </c>
    </row>
    <row r="4714" spans="1:8" x14ac:dyDescent="0.35">
      <c r="A4714">
        <v>1569</v>
      </c>
      <c r="B4714">
        <v>1</v>
      </c>
      <c r="C4714">
        <v>252</v>
      </c>
      <c r="D4714">
        <v>1</v>
      </c>
      <c r="E4714">
        <v>2999.99</v>
      </c>
      <c r="F4714">
        <v>0.1</v>
      </c>
      <c r="G4714">
        <v>2999.89</v>
      </c>
      <c r="H4714" t="s">
        <v>196</v>
      </c>
    </row>
    <row r="4715" spans="1:8" x14ac:dyDescent="0.35">
      <c r="A4715">
        <v>1570</v>
      </c>
      <c r="B4715">
        <v>1</v>
      </c>
      <c r="C4715">
        <v>155</v>
      </c>
      <c r="D4715">
        <v>1</v>
      </c>
      <c r="E4715">
        <v>11999.99</v>
      </c>
      <c r="F4715">
        <v>0.1</v>
      </c>
      <c r="G4715">
        <v>11999.92</v>
      </c>
      <c r="H4715" t="s">
        <v>152</v>
      </c>
    </row>
    <row r="4716" spans="1:8" x14ac:dyDescent="0.35">
      <c r="A4716">
        <v>1574</v>
      </c>
      <c r="B4716">
        <v>1</v>
      </c>
      <c r="C4716">
        <v>127</v>
      </c>
      <c r="D4716">
        <v>1</v>
      </c>
      <c r="E4716">
        <v>469.99</v>
      </c>
      <c r="F4716">
        <v>0.1</v>
      </c>
      <c r="G4716">
        <v>469.89</v>
      </c>
      <c r="H4716" t="s">
        <v>124</v>
      </c>
    </row>
    <row r="4717" spans="1:8" x14ac:dyDescent="0.35">
      <c r="A4717">
        <v>1588</v>
      </c>
      <c r="B4717">
        <v>1</v>
      </c>
      <c r="C4717">
        <v>93</v>
      </c>
      <c r="D4717">
        <v>2</v>
      </c>
      <c r="E4717">
        <v>209.99</v>
      </c>
      <c r="F4717">
        <v>0.1</v>
      </c>
      <c r="G4717">
        <v>419.91</v>
      </c>
      <c r="H4717" t="s">
        <v>94</v>
      </c>
    </row>
    <row r="4718" spans="1:8" x14ac:dyDescent="0.35">
      <c r="A4718">
        <v>1595</v>
      </c>
      <c r="B4718">
        <v>1</v>
      </c>
      <c r="C4718">
        <v>112</v>
      </c>
      <c r="D4718">
        <v>1</v>
      </c>
      <c r="E4718">
        <v>379.99</v>
      </c>
      <c r="F4718">
        <v>0.2</v>
      </c>
      <c r="G4718">
        <v>379.79</v>
      </c>
      <c r="H4718" t="s">
        <v>109</v>
      </c>
    </row>
    <row r="4719" spans="1:8" x14ac:dyDescent="0.35">
      <c r="A4719">
        <v>1599</v>
      </c>
      <c r="B4719">
        <v>1</v>
      </c>
      <c r="C4719">
        <v>104</v>
      </c>
      <c r="D4719">
        <v>2</v>
      </c>
      <c r="E4719">
        <v>481.99</v>
      </c>
      <c r="F4719">
        <v>0.2</v>
      </c>
      <c r="G4719">
        <v>963.78</v>
      </c>
      <c r="H4719" t="s">
        <v>103</v>
      </c>
    </row>
    <row r="4720" spans="1:8" x14ac:dyDescent="0.35">
      <c r="A4720">
        <v>1603</v>
      </c>
      <c r="B4720">
        <v>1</v>
      </c>
      <c r="C4720">
        <v>275</v>
      </c>
      <c r="D4720">
        <v>2</v>
      </c>
      <c r="E4720">
        <v>229.99</v>
      </c>
      <c r="F4720">
        <v>0.1</v>
      </c>
      <c r="G4720">
        <v>459.93</v>
      </c>
      <c r="H4720" t="s">
        <v>266</v>
      </c>
    </row>
    <row r="4721" spans="1:8" x14ac:dyDescent="0.35">
      <c r="A4721">
        <v>1604</v>
      </c>
      <c r="B4721">
        <v>1</v>
      </c>
      <c r="C4721">
        <v>271</v>
      </c>
      <c r="D4721">
        <v>1</v>
      </c>
      <c r="E4721">
        <v>209.99</v>
      </c>
      <c r="F4721">
        <v>0.1</v>
      </c>
      <c r="G4721">
        <v>209.89</v>
      </c>
      <c r="H4721" t="s">
        <v>262</v>
      </c>
    </row>
    <row r="4722" spans="1:8" x14ac:dyDescent="0.35">
      <c r="A4722">
        <v>1607</v>
      </c>
      <c r="B4722">
        <v>1</v>
      </c>
      <c r="C4722">
        <v>29</v>
      </c>
      <c r="D4722">
        <v>1</v>
      </c>
      <c r="E4722">
        <v>999.99</v>
      </c>
      <c r="F4722">
        <v>0.1</v>
      </c>
      <c r="G4722">
        <v>999.94</v>
      </c>
      <c r="H4722" t="s">
        <v>30</v>
      </c>
    </row>
    <row r="4723" spans="1:8" x14ac:dyDescent="0.35">
      <c r="A4723">
        <v>1608</v>
      </c>
      <c r="B4723">
        <v>1</v>
      </c>
      <c r="C4723">
        <v>231</v>
      </c>
      <c r="D4723">
        <v>2</v>
      </c>
      <c r="E4723">
        <v>529.99</v>
      </c>
      <c r="F4723">
        <v>0.1</v>
      </c>
      <c r="G4723">
        <v>1059.93</v>
      </c>
      <c r="H4723" t="s">
        <v>226</v>
      </c>
    </row>
  </sheetData>
  <autoFilter ref="A1:I4723" xr:uid="{00000000-0001-0000-0000-000000000000}"/>
  <conditionalFormatting sqref="A2:A1048576">
    <cfRule type="duplicateValues" dxfId="4" priority="1"/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49E7C9-0116-424D-B980-ABA06E7A7623}">
  <dimension ref="A1:B8"/>
  <sheetViews>
    <sheetView workbookViewId="0">
      <selection activeCell="G16" sqref="G16"/>
    </sheetView>
  </sheetViews>
  <sheetFormatPr defaultRowHeight="14.5" x14ac:dyDescent="0.35"/>
  <sheetData>
    <row r="1" spans="1:2" x14ac:dyDescent="0.35">
      <c r="A1" t="s">
        <v>4</v>
      </c>
      <c r="B1" t="s">
        <v>298</v>
      </c>
    </row>
    <row r="2" spans="1:2" x14ac:dyDescent="0.35">
      <c r="A2">
        <v>1</v>
      </c>
      <c r="B2" t="s">
        <v>299</v>
      </c>
    </row>
    <row r="3" spans="1:2" x14ac:dyDescent="0.35">
      <c r="A3">
        <v>2</v>
      </c>
      <c r="B3" t="s">
        <v>300</v>
      </c>
    </row>
    <row r="4" spans="1:2" x14ac:dyDescent="0.35">
      <c r="A4">
        <v>3</v>
      </c>
      <c r="B4" t="s">
        <v>301</v>
      </c>
    </row>
    <row r="5" spans="1:2" x14ac:dyDescent="0.35">
      <c r="A5">
        <v>4</v>
      </c>
      <c r="B5" t="s">
        <v>302</v>
      </c>
    </row>
    <row r="6" spans="1:2" x14ac:dyDescent="0.35">
      <c r="A6">
        <v>5</v>
      </c>
      <c r="B6" t="s">
        <v>303</v>
      </c>
    </row>
    <row r="7" spans="1:2" x14ac:dyDescent="0.35">
      <c r="A7">
        <v>6</v>
      </c>
      <c r="B7" t="s">
        <v>304</v>
      </c>
    </row>
    <row r="8" spans="1:2" x14ac:dyDescent="0.35">
      <c r="A8">
        <v>7</v>
      </c>
      <c r="B8" t="s">
        <v>305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40F933-56A9-48C2-8A0A-AC7A57ECE5E2}">
  <dimension ref="A1:I1616"/>
  <sheetViews>
    <sheetView workbookViewId="0">
      <selection activeCell="I17" sqref="I17"/>
    </sheetView>
  </sheetViews>
  <sheetFormatPr defaultRowHeight="14.5" x14ac:dyDescent="0.35"/>
  <cols>
    <col min="4" max="4" width="17.26953125" customWidth="1"/>
    <col min="5" max="5" width="19.6328125" customWidth="1"/>
    <col min="6" max="6" width="25.54296875" customWidth="1"/>
  </cols>
  <sheetData>
    <row r="1" spans="1:9" x14ac:dyDescent="0.35">
      <c r="A1" t="s">
        <v>5575</v>
      </c>
      <c r="B1" t="s">
        <v>319</v>
      </c>
      <c r="C1" t="s">
        <v>5576</v>
      </c>
      <c r="D1" t="s">
        <v>5577</v>
      </c>
      <c r="E1" t="s">
        <v>5578</v>
      </c>
      <c r="F1" t="s">
        <v>5579</v>
      </c>
      <c r="G1" t="s">
        <v>320</v>
      </c>
      <c r="H1" t="s">
        <v>321</v>
      </c>
      <c r="I1" t="s">
        <v>5580</v>
      </c>
    </row>
    <row r="2" spans="1:9" x14ac:dyDescent="0.35">
      <c r="A2">
        <v>1</v>
      </c>
      <c r="B2">
        <v>259</v>
      </c>
      <c r="C2">
        <v>4</v>
      </c>
      <c r="D2" s="23">
        <v>42370</v>
      </c>
      <c r="E2" s="23">
        <v>42372</v>
      </c>
      <c r="F2" s="23">
        <v>42372</v>
      </c>
      <c r="G2">
        <v>1</v>
      </c>
      <c r="H2">
        <v>2</v>
      </c>
      <c r="I2" t="s">
        <v>5581</v>
      </c>
    </row>
    <row r="3" spans="1:9" x14ac:dyDescent="0.35">
      <c r="A3">
        <v>2</v>
      </c>
      <c r="B3">
        <v>1212</v>
      </c>
      <c r="C3">
        <v>4</v>
      </c>
      <c r="D3" s="23">
        <v>42370</v>
      </c>
      <c r="E3" s="23">
        <v>42373</v>
      </c>
      <c r="F3" s="23">
        <v>42372</v>
      </c>
      <c r="G3">
        <v>2</v>
      </c>
      <c r="H3">
        <v>6</v>
      </c>
      <c r="I3" t="s">
        <v>5581</v>
      </c>
    </row>
    <row r="4" spans="1:9" x14ac:dyDescent="0.35">
      <c r="A4">
        <v>3</v>
      </c>
      <c r="B4">
        <v>523</v>
      </c>
      <c r="C4">
        <v>4</v>
      </c>
      <c r="D4" s="23">
        <v>42401</v>
      </c>
      <c r="E4" s="23">
        <v>42374</v>
      </c>
      <c r="F4" s="23">
        <v>42372</v>
      </c>
      <c r="G4">
        <v>2</v>
      </c>
      <c r="H4">
        <v>7</v>
      </c>
      <c r="I4" t="s">
        <v>5581</v>
      </c>
    </row>
    <row r="5" spans="1:9" x14ac:dyDescent="0.35">
      <c r="A5">
        <v>4</v>
      </c>
      <c r="B5">
        <v>175</v>
      </c>
      <c r="C5">
        <v>4</v>
      </c>
      <c r="D5" s="23">
        <v>42430</v>
      </c>
      <c r="E5" s="23">
        <v>42373</v>
      </c>
      <c r="F5" s="23">
        <v>42374</v>
      </c>
      <c r="G5">
        <v>1</v>
      </c>
      <c r="H5">
        <v>3</v>
      </c>
      <c r="I5" t="s">
        <v>5581</v>
      </c>
    </row>
    <row r="6" spans="1:9" x14ac:dyDescent="0.35">
      <c r="A6">
        <v>5</v>
      </c>
      <c r="B6">
        <v>1324</v>
      </c>
      <c r="C6">
        <v>4</v>
      </c>
      <c r="D6" s="23">
        <v>42430</v>
      </c>
      <c r="E6" s="23">
        <v>42375</v>
      </c>
      <c r="F6" s="23">
        <v>42375</v>
      </c>
      <c r="G6">
        <v>2</v>
      </c>
      <c r="H6">
        <v>6</v>
      </c>
      <c r="I6" t="s">
        <v>5581</v>
      </c>
    </row>
    <row r="7" spans="1:9" x14ac:dyDescent="0.35">
      <c r="A7">
        <v>6</v>
      </c>
      <c r="B7">
        <v>94</v>
      </c>
      <c r="C7">
        <v>4</v>
      </c>
      <c r="D7" s="23">
        <v>42461</v>
      </c>
      <c r="E7" s="23">
        <v>42376</v>
      </c>
      <c r="F7" s="23">
        <v>42374</v>
      </c>
      <c r="G7">
        <v>2</v>
      </c>
      <c r="H7">
        <v>6</v>
      </c>
      <c r="I7" t="s">
        <v>5581</v>
      </c>
    </row>
    <row r="8" spans="1:9" x14ac:dyDescent="0.35">
      <c r="A8">
        <v>7</v>
      </c>
      <c r="B8">
        <v>324</v>
      </c>
      <c r="C8">
        <v>4</v>
      </c>
      <c r="D8" s="23">
        <v>42461</v>
      </c>
      <c r="E8" s="23">
        <v>42376</v>
      </c>
      <c r="F8" s="23">
        <v>42374</v>
      </c>
      <c r="G8">
        <v>2</v>
      </c>
      <c r="H8">
        <v>6</v>
      </c>
      <c r="I8" t="s">
        <v>5581</v>
      </c>
    </row>
    <row r="9" spans="1:9" x14ac:dyDescent="0.35">
      <c r="A9">
        <v>8</v>
      </c>
      <c r="B9">
        <v>1204</v>
      </c>
      <c r="C9">
        <v>4</v>
      </c>
      <c r="D9" s="23">
        <v>42461</v>
      </c>
      <c r="E9" s="23">
        <v>42374</v>
      </c>
      <c r="F9" s="23">
        <v>42374</v>
      </c>
      <c r="G9">
        <v>2</v>
      </c>
      <c r="H9">
        <v>7</v>
      </c>
      <c r="I9" t="s">
        <v>5581</v>
      </c>
    </row>
    <row r="10" spans="1:9" x14ac:dyDescent="0.35">
      <c r="A10">
        <v>9</v>
      </c>
      <c r="B10">
        <v>60</v>
      </c>
      <c r="C10">
        <v>4</v>
      </c>
      <c r="D10" s="23">
        <v>42491</v>
      </c>
      <c r="E10" s="23">
        <v>42377</v>
      </c>
      <c r="F10" s="23">
        <v>42377</v>
      </c>
      <c r="G10">
        <v>1</v>
      </c>
      <c r="H10">
        <v>2</v>
      </c>
      <c r="I10" t="s">
        <v>5581</v>
      </c>
    </row>
    <row r="11" spans="1:9" x14ac:dyDescent="0.35">
      <c r="A11">
        <v>10</v>
      </c>
      <c r="B11">
        <v>442</v>
      </c>
      <c r="C11">
        <v>4</v>
      </c>
      <c r="D11" s="23">
        <v>42491</v>
      </c>
      <c r="E11" s="23">
        <v>42375</v>
      </c>
      <c r="F11" s="23">
        <v>42375</v>
      </c>
      <c r="G11">
        <v>2</v>
      </c>
      <c r="H11">
        <v>6</v>
      </c>
      <c r="I11" t="s">
        <v>5581</v>
      </c>
    </row>
    <row r="12" spans="1:9" x14ac:dyDescent="0.35">
      <c r="A12">
        <v>11</v>
      </c>
      <c r="B12">
        <v>1326</v>
      </c>
      <c r="C12">
        <v>4</v>
      </c>
      <c r="D12" s="23">
        <v>42491</v>
      </c>
      <c r="E12" s="23">
        <v>42377</v>
      </c>
      <c r="F12" s="23">
        <v>42376</v>
      </c>
      <c r="G12">
        <v>2</v>
      </c>
      <c r="H12">
        <v>7</v>
      </c>
      <c r="I12" t="s">
        <v>5581</v>
      </c>
    </row>
    <row r="13" spans="1:9" x14ac:dyDescent="0.35">
      <c r="A13">
        <v>12</v>
      </c>
      <c r="B13">
        <v>91</v>
      </c>
      <c r="C13">
        <v>4</v>
      </c>
      <c r="D13" s="23">
        <v>42522</v>
      </c>
      <c r="E13" s="23">
        <v>42377</v>
      </c>
      <c r="F13" s="23">
        <v>42378</v>
      </c>
      <c r="G13">
        <v>1</v>
      </c>
      <c r="H13">
        <v>2</v>
      </c>
      <c r="I13" t="s">
        <v>5581</v>
      </c>
    </row>
    <row r="14" spans="1:9" x14ac:dyDescent="0.35">
      <c r="A14">
        <v>13</v>
      </c>
      <c r="B14">
        <v>873</v>
      </c>
      <c r="C14">
        <v>4</v>
      </c>
      <c r="D14" s="23">
        <v>42583</v>
      </c>
      <c r="E14" s="23">
        <v>42380</v>
      </c>
      <c r="F14" s="23">
        <v>42380</v>
      </c>
      <c r="G14">
        <v>2</v>
      </c>
      <c r="H14">
        <v>6</v>
      </c>
      <c r="I14" t="s">
        <v>5581</v>
      </c>
    </row>
    <row r="15" spans="1:9" x14ac:dyDescent="0.35">
      <c r="A15">
        <v>14</v>
      </c>
      <c r="B15">
        <v>258</v>
      </c>
      <c r="C15">
        <v>4</v>
      </c>
      <c r="D15" s="23">
        <v>42614</v>
      </c>
      <c r="E15" s="23">
        <v>42380</v>
      </c>
      <c r="F15" s="23">
        <v>42381</v>
      </c>
      <c r="G15">
        <v>1</v>
      </c>
      <c r="H15">
        <v>3</v>
      </c>
      <c r="I15" t="s">
        <v>5581</v>
      </c>
    </row>
    <row r="16" spans="1:9" x14ac:dyDescent="0.35">
      <c r="A16">
        <v>15</v>
      </c>
      <c r="B16">
        <v>450</v>
      </c>
      <c r="C16">
        <v>4</v>
      </c>
      <c r="D16" s="23">
        <v>42614</v>
      </c>
      <c r="E16" s="23">
        <v>42379</v>
      </c>
      <c r="F16" s="23">
        <v>42381</v>
      </c>
      <c r="G16">
        <v>2</v>
      </c>
      <c r="H16">
        <v>7</v>
      </c>
      <c r="I16" t="s">
        <v>5581</v>
      </c>
    </row>
    <row r="17" spans="1:9" x14ac:dyDescent="0.35">
      <c r="A17">
        <v>16</v>
      </c>
      <c r="B17">
        <v>552</v>
      </c>
      <c r="C17">
        <v>4</v>
      </c>
      <c r="D17" s="23">
        <v>42705</v>
      </c>
      <c r="E17" s="23">
        <v>42384</v>
      </c>
      <c r="F17" s="23">
        <v>42384</v>
      </c>
      <c r="G17">
        <v>1</v>
      </c>
      <c r="H17">
        <v>3</v>
      </c>
      <c r="I17" t="s">
        <v>5581</v>
      </c>
    </row>
    <row r="18" spans="1:9" x14ac:dyDescent="0.35">
      <c r="A18">
        <v>17</v>
      </c>
      <c r="B18">
        <v>1175</v>
      </c>
      <c r="C18">
        <v>4</v>
      </c>
      <c r="D18" s="23">
        <v>42705</v>
      </c>
      <c r="E18" s="23">
        <v>42383</v>
      </c>
      <c r="F18" s="23">
        <v>42383</v>
      </c>
      <c r="G18">
        <v>1</v>
      </c>
      <c r="H18">
        <v>3</v>
      </c>
      <c r="I18" t="s">
        <v>5581</v>
      </c>
    </row>
    <row r="19" spans="1:9" x14ac:dyDescent="0.35">
      <c r="A19">
        <v>18</v>
      </c>
      <c r="B19">
        <v>541</v>
      </c>
      <c r="C19">
        <v>4</v>
      </c>
      <c r="D19" t="s">
        <v>5582</v>
      </c>
      <c r="E19" s="23">
        <v>42386</v>
      </c>
      <c r="F19" s="23">
        <v>42384</v>
      </c>
      <c r="G19">
        <v>1</v>
      </c>
      <c r="H19">
        <v>3</v>
      </c>
      <c r="I19" t="s">
        <v>5581</v>
      </c>
    </row>
    <row r="20" spans="1:9" x14ac:dyDescent="0.35">
      <c r="A20">
        <v>19</v>
      </c>
      <c r="B20">
        <v>696</v>
      </c>
      <c r="C20">
        <v>4</v>
      </c>
      <c r="D20" t="s">
        <v>5582</v>
      </c>
      <c r="E20" s="23">
        <v>42386</v>
      </c>
      <c r="F20" s="23">
        <v>42385</v>
      </c>
      <c r="G20">
        <v>1</v>
      </c>
      <c r="H20">
        <v>2</v>
      </c>
      <c r="I20" t="s">
        <v>5581</v>
      </c>
    </row>
    <row r="21" spans="1:9" x14ac:dyDescent="0.35">
      <c r="A21">
        <v>20</v>
      </c>
      <c r="B21">
        <v>923</v>
      </c>
      <c r="C21">
        <v>4</v>
      </c>
      <c r="D21" t="s">
        <v>5582</v>
      </c>
      <c r="E21" s="23">
        <v>42385</v>
      </c>
      <c r="F21" s="23">
        <v>42386</v>
      </c>
      <c r="G21">
        <v>1</v>
      </c>
      <c r="H21">
        <v>2</v>
      </c>
      <c r="I21" t="s">
        <v>5581</v>
      </c>
    </row>
    <row r="22" spans="1:9" x14ac:dyDescent="0.35">
      <c r="A22">
        <v>21</v>
      </c>
      <c r="B22">
        <v>1250</v>
      </c>
      <c r="C22">
        <v>4</v>
      </c>
      <c r="D22" t="s">
        <v>5583</v>
      </c>
      <c r="E22" s="23">
        <v>42385</v>
      </c>
      <c r="F22" s="23">
        <v>42387</v>
      </c>
      <c r="G22">
        <v>2</v>
      </c>
      <c r="H22">
        <v>6</v>
      </c>
      <c r="I22" t="s">
        <v>5581</v>
      </c>
    </row>
    <row r="23" spans="1:9" x14ac:dyDescent="0.35">
      <c r="A23">
        <v>22</v>
      </c>
      <c r="B23">
        <v>1035</v>
      </c>
      <c r="C23">
        <v>4</v>
      </c>
      <c r="D23" t="s">
        <v>5584</v>
      </c>
      <c r="E23" s="23">
        <v>42387</v>
      </c>
      <c r="F23" s="23">
        <v>42386</v>
      </c>
      <c r="G23">
        <v>1</v>
      </c>
      <c r="H23">
        <v>2</v>
      </c>
      <c r="I23" t="s">
        <v>5581</v>
      </c>
    </row>
    <row r="24" spans="1:9" x14ac:dyDescent="0.35">
      <c r="A24">
        <v>23</v>
      </c>
      <c r="B24">
        <v>1149</v>
      </c>
      <c r="C24">
        <v>4</v>
      </c>
      <c r="D24" t="s">
        <v>5584</v>
      </c>
      <c r="E24" s="23">
        <v>42388</v>
      </c>
      <c r="F24" s="23">
        <v>42388</v>
      </c>
      <c r="G24">
        <v>1</v>
      </c>
      <c r="H24">
        <v>2</v>
      </c>
      <c r="I24" t="s">
        <v>5581</v>
      </c>
    </row>
    <row r="25" spans="1:9" x14ac:dyDescent="0.35">
      <c r="A25">
        <v>24</v>
      </c>
      <c r="B25">
        <v>636</v>
      </c>
      <c r="C25">
        <v>4</v>
      </c>
      <c r="D25" t="s">
        <v>5585</v>
      </c>
      <c r="E25" s="23">
        <v>42389</v>
      </c>
      <c r="F25" s="23">
        <v>42388</v>
      </c>
      <c r="G25">
        <v>2</v>
      </c>
      <c r="H25">
        <v>7</v>
      </c>
      <c r="I25" t="s">
        <v>5581</v>
      </c>
    </row>
    <row r="26" spans="1:9" x14ac:dyDescent="0.35">
      <c r="A26">
        <v>25</v>
      </c>
      <c r="B26">
        <v>657</v>
      </c>
      <c r="C26">
        <v>4</v>
      </c>
      <c r="D26" t="s">
        <v>5585</v>
      </c>
      <c r="E26" s="23">
        <v>42390</v>
      </c>
      <c r="F26" s="23">
        <v>42390</v>
      </c>
      <c r="G26">
        <v>2</v>
      </c>
      <c r="H26">
        <v>6</v>
      </c>
      <c r="I26" t="s">
        <v>5581</v>
      </c>
    </row>
    <row r="27" spans="1:9" x14ac:dyDescent="0.35">
      <c r="A27">
        <v>26</v>
      </c>
      <c r="B27">
        <v>1280</v>
      </c>
      <c r="C27">
        <v>4</v>
      </c>
      <c r="D27" t="s">
        <v>5585</v>
      </c>
      <c r="E27" s="23">
        <v>42390</v>
      </c>
      <c r="F27" s="23">
        <v>42388</v>
      </c>
      <c r="G27">
        <v>2</v>
      </c>
      <c r="H27">
        <v>7</v>
      </c>
      <c r="I27" t="s">
        <v>5581</v>
      </c>
    </row>
    <row r="28" spans="1:9" x14ac:dyDescent="0.35">
      <c r="A28">
        <v>27</v>
      </c>
      <c r="B28">
        <v>57</v>
      </c>
      <c r="C28">
        <v>4</v>
      </c>
      <c r="D28" t="s">
        <v>5586</v>
      </c>
      <c r="E28" s="23">
        <v>42390</v>
      </c>
      <c r="F28" s="23">
        <v>42389</v>
      </c>
      <c r="G28">
        <v>2</v>
      </c>
      <c r="H28">
        <v>7</v>
      </c>
      <c r="I28" t="s">
        <v>5581</v>
      </c>
    </row>
    <row r="29" spans="1:9" x14ac:dyDescent="0.35">
      <c r="A29">
        <v>28</v>
      </c>
      <c r="B29">
        <v>252</v>
      </c>
      <c r="C29">
        <v>4</v>
      </c>
      <c r="D29" t="s">
        <v>5586</v>
      </c>
      <c r="E29" s="23">
        <v>42389</v>
      </c>
      <c r="F29" s="23">
        <v>42390</v>
      </c>
      <c r="G29">
        <v>2</v>
      </c>
      <c r="H29">
        <v>6</v>
      </c>
      <c r="I29" t="s">
        <v>5581</v>
      </c>
    </row>
    <row r="30" spans="1:9" x14ac:dyDescent="0.35">
      <c r="A30">
        <v>29</v>
      </c>
      <c r="B30">
        <v>437</v>
      </c>
      <c r="C30">
        <v>4</v>
      </c>
      <c r="D30" t="s">
        <v>5587</v>
      </c>
      <c r="E30" s="23">
        <v>42391</v>
      </c>
      <c r="F30" s="23">
        <v>42390</v>
      </c>
      <c r="G30">
        <v>2</v>
      </c>
      <c r="H30">
        <v>6</v>
      </c>
      <c r="I30" t="s">
        <v>5581</v>
      </c>
    </row>
    <row r="31" spans="1:9" x14ac:dyDescent="0.35">
      <c r="A31">
        <v>30</v>
      </c>
      <c r="B31">
        <v>1348</v>
      </c>
      <c r="C31">
        <v>4</v>
      </c>
      <c r="D31" t="s">
        <v>5587</v>
      </c>
      <c r="E31" s="23">
        <v>42390</v>
      </c>
      <c r="F31" s="23">
        <v>42390</v>
      </c>
      <c r="G31">
        <v>2</v>
      </c>
      <c r="H31">
        <v>6</v>
      </c>
      <c r="I31" t="s">
        <v>5581</v>
      </c>
    </row>
    <row r="32" spans="1:9" x14ac:dyDescent="0.35">
      <c r="A32">
        <v>31</v>
      </c>
      <c r="B32">
        <v>1238</v>
      </c>
      <c r="C32">
        <v>4</v>
      </c>
      <c r="D32" t="s">
        <v>5587</v>
      </c>
      <c r="E32" s="23">
        <v>42391</v>
      </c>
      <c r="F32" s="23">
        <v>42391</v>
      </c>
      <c r="G32">
        <v>3</v>
      </c>
      <c r="H32">
        <v>8</v>
      </c>
      <c r="I32" t="s">
        <v>5581</v>
      </c>
    </row>
    <row r="33" spans="1:9" x14ac:dyDescent="0.35">
      <c r="A33">
        <v>32</v>
      </c>
      <c r="B33">
        <v>1259</v>
      </c>
      <c r="C33">
        <v>4</v>
      </c>
      <c r="D33" t="s">
        <v>5588</v>
      </c>
      <c r="E33" s="23">
        <v>42393</v>
      </c>
      <c r="F33" s="23">
        <v>42391</v>
      </c>
      <c r="G33">
        <v>1</v>
      </c>
      <c r="H33">
        <v>3</v>
      </c>
      <c r="I33" t="s">
        <v>5581</v>
      </c>
    </row>
    <row r="34" spans="1:9" x14ac:dyDescent="0.35">
      <c r="A34">
        <v>33</v>
      </c>
      <c r="B34">
        <v>236</v>
      </c>
      <c r="C34">
        <v>4</v>
      </c>
      <c r="D34" t="s">
        <v>5588</v>
      </c>
      <c r="E34" s="23">
        <v>42391</v>
      </c>
      <c r="F34" s="23">
        <v>42391</v>
      </c>
      <c r="G34">
        <v>2</v>
      </c>
      <c r="H34">
        <v>6</v>
      </c>
      <c r="I34" t="s">
        <v>5581</v>
      </c>
    </row>
    <row r="35" spans="1:9" x14ac:dyDescent="0.35">
      <c r="A35">
        <v>34</v>
      </c>
      <c r="B35">
        <v>80</v>
      </c>
      <c r="C35">
        <v>4</v>
      </c>
      <c r="D35" t="s">
        <v>5589</v>
      </c>
      <c r="E35" s="23">
        <v>42394</v>
      </c>
      <c r="F35" s="23">
        <v>42392</v>
      </c>
      <c r="G35">
        <v>2</v>
      </c>
      <c r="H35">
        <v>6</v>
      </c>
      <c r="I35" t="s">
        <v>5581</v>
      </c>
    </row>
    <row r="36" spans="1:9" x14ac:dyDescent="0.35">
      <c r="A36">
        <v>35</v>
      </c>
      <c r="B36">
        <v>813</v>
      </c>
      <c r="C36">
        <v>4</v>
      </c>
      <c r="D36" t="s">
        <v>5589</v>
      </c>
      <c r="E36" s="23">
        <v>42394</v>
      </c>
      <c r="F36" s="23">
        <v>42393</v>
      </c>
      <c r="G36">
        <v>2</v>
      </c>
      <c r="H36">
        <v>7</v>
      </c>
      <c r="I36" t="s">
        <v>5581</v>
      </c>
    </row>
    <row r="37" spans="1:9" x14ac:dyDescent="0.35">
      <c r="A37">
        <v>36</v>
      </c>
      <c r="B37">
        <v>1321</v>
      </c>
      <c r="C37">
        <v>4</v>
      </c>
      <c r="D37" t="s">
        <v>5590</v>
      </c>
      <c r="E37" s="23">
        <v>42393</v>
      </c>
      <c r="F37" s="23">
        <v>42393</v>
      </c>
      <c r="G37">
        <v>2</v>
      </c>
      <c r="H37">
        <v>6</v>
      </c>
      <c r="I37" t="s">
        <v>5581</v>
      </c>
    </row>
    <row r="38" spans="1:9" x14ac:dyDescent="0.35">
      <c r="A38">
        <v>37</v>
      </c>
      <c r="B38">
        <v>164</v>
      </c>
      <c r="C38">
        <v>4</v>
      </c>
      <c r="D38" t="s">
        <v>5591</v>
      </c>
      <c r="E38" s="23">
        <v>42397</v>
      </c>
      <c r="F38" s="23">
        <v>42395</v>
      </c>
      <c r="G38">
        <v>2</v>
      </c>
      <c r="H38">
        <v>6</v>
      </c>
      <c r="I38" t="s">
        <v>5581</v>
      </c>
    </row>
    <row r="39" spans="1:9" x14ac:dyDescent="0.35">
      <c r="A39">
        <v>38</v>
      </c>
      <c r="B39">
        <v>583</v>
      </c>
      <c r="C39">
        <v>4</v>
      </c>
      <c r="D39" t="s">
        <v>5591</v>
      </c>
      <c r="E39" s="23">
        <v>42396</v>
      </c>
      <c r="F39" s="23">
        <v>42395</v>
      </c>
      <c r="G39">
        <v>2</v>
      </c>
      <c r="H39">
        <v>7</v>
      </c>
      <c r="I39" t="s">
        <v>5581</v>
      </c>
    </row>
    <row r="40" spans="1:9" x14ac:dyDescent="0.35">
      <c r="A40">
        <v>39</v>
      </c>
      <c r="B40">
        <v>1296</v>
      </c>
      <c r="C40">
        <v>4</v>
      </c>
      <c r="D40" t="s">
        <v>5591</v>
      </c>
      <c r="E40" s="23">
        <v>42395</v>
      </c>
      <c r="F40" s="23">
        <v>42395</v>
      </c>
      <c r="G40">
        <v>2</v>
      </c>
      <c r="H40">
        <v>7</v>
      </c>
      <c r="I40" t="s">
        <v>5581</v>
      </c>
    </row>
    <row r="41" spans="1:9" x14ac:dyDescent="0.35">
      <c r="A41">
        <v>40</v>
      </c>
      <c r="B41">
        <v>348</v>
      </c>
      <c r="C41">
        <v>4</v>
      </c>
      <c r="D41" t="s">
        <v>5592</v>
      </c>
      <c r="E41" s="23">
        <v>42397</v>
      </c>
      <c r="F41" s="23">
        <v>42398</v>
      </c>
      <c r="G41">
        <v>1</v>
      </c>
      <c r="H41">
        <v>3</v>
      </c>
      <c r="I41" t="s">
        <v>5581</v>
      </c>
    </row>
    <row r="42" spans="1:9" x14ac:dyDescent="0.35">
      <c r="A42">
        <v>41</v>
      </c>
      <c r="B42">
        <v>979</v>
      </c>
      <c r="C42">
        <v>4</v>
      </c>
      <c r="D42" t="s">
        <v>5592</v>
      </c>
      <c r="E42" s="23">
        <v>42399</v>
      </c>
      <c r="F42" s="23">
        <v>42398</v>
      </c>
      <c r="G42">
        <v>2</v>
      </c>
      <c r="H42">
        <v>6</v>
      </c>
      <c r="I42" t="s">
        <v>5581</v>
      </c>
    </row>
    <row r="43" spans="1:9" x14ac:dyDescent="0.35">
      <c r="A43">
        <v>42</v>
      </c>
      <c r="B43">
        <v>1095</v>
      </c>
      <c r="C43">
        <v>4</v>
      </c>
      <c r="D43" t="s">
        <v>5592</v>
      </c>
      <c r="E43" s="23">
        <v>42397</v>
      </c>
      <c r="F43" s="23">
        <v>42399</v>
      </c>
      <c r="G43">
        <v>2</v>
      </c>
      <c r="H43">
        <v>7</v>
      </c>
      <c r="I43" t="s">
        <v>5581</v>
      </c>
    </row>
    <row r="44" spans="1:9" x14ac:dyDescent="0.35">
      <c r="A44">
        <v>43</v>
      </c>
      <c r="B44">
        <v>1434</v>
      </c>
      <c r="C44">
        <v>4</v>
      </c>
      <c r="D44" t="s">
        <v>5592</v>
      </c>
      <c r="E44" s="23">
        <v>42397</v>
      </c>
      <c r="F44" s="23">
        <v>42399</v>
      </c>
      <c r="G44">
        <v>2</v>
      </c>
      <c r="H44">
        <v>7</v>
      </c>
      <c r="I44" t="s">
        <v>5581</v>
      </c>
    </row>
    <row r="45" spans="1:9" x14ac:dyDescent="0.35">
      <c r="A45">
        <v>44</v>
      </c>
      <c r="B45">
        <v>861</v>
      </c>
      <c r="C45">
        <v>4</v>
      </c>
      <c r="D45" t="s">
        <v>5593</v>
      </c>
      <c r="E45" s="23">
        <v>42400</v>
      </c>
      <c r="F45" s="23">
        <v>42399</v>
      </c>
      <c r="G45">
        <v>2</v>
      </c>
      <c r="H45">
        <v>7</v>
      </c>
      <c r="I45" t="s">
        <v>5581</v>
      </c>
    </row>
    <row r="46" spans="1:9" x14ac:dyDescent="0.35">
      <c r="A46">
        <v>45</v>
      </c>
      <c r="B46">
        <v>1220</v>
      </c>
      <c r="C46">
        <v>4</v>
      </c>
      <c r="D46" t="s">
        <v>5593</v>
      </c>
      <c r="E46" s="23">
        <v>42400</v>
      </c>
      <c r="F46" s="23">
        <v>42400</v>
      </c>
      <c r="G46">
        <v>2</v>
      </c>
      <c r="H46">
        <v>7</v>
      </c>
      <c r="I46" t="s">
        <v>5581</v>
      </c>
    </row>
    <row r="47" spans="1:9" x14ac:dyDescent="0.35">
      <c r="A47">
        <v>46</v>
      </c>
      <c r="B47">
        <v>746</v>
      </c>
      <c r="C47">
        <v>4</v>
      </c>
      <c r="D47" t="s">
        <v>5594</v>
      </c>
      <c r="E47" s="23">
        <v>42400</v>
      </c>
      <c r="F47" s="23">
        <v>42400</v>
      </c>
      <c r="G47">
        <v>2</v>
      </c>
      <c r="H47">
        <v>7</v>
      </c>
      <c r="I47" t="s">
        <v>5581</v>
      </c>
    </row>
    <row r="48" spans="1:9" x14ac:dyDescent="0.35">
      <c r="A48">
        <v>47</v>
      </c>
      <c r="B48">
        <v>1234</v>
      </c>
      <c r="C48">
        <v>4</v>
      </c>
      <c r="D48" t="s">
        <v>5594</v>
      </c>
      <c r="E48" s="23">
        <v>42399</v>
      </c>
      <c r="F48" s="23">
        <v>42400</v>
      </c>
      <c r="G48">
        <v>2</v>
      </c>
      <c r="H48">
        <v>7</v>
      </c>
      <c r="I48" t="s">
        <v>5581</v>
      </c>
    </row>
    <row r="49" spans="1:9" x14ac:dyDescent="0.35">
      <c r="A49">
        <v>48</v>
      </c>
      <c r="B49">
        <v>1012</v>
      </c>
      <c r="C49">
        <v>4</v>
      </c>
      <c r="D49" t="s">
        <v>5595</v>
      </c>
      <c r="E49" s="23">
        <v>42401</v>
      </c>
      <c r="F49" s="23">
        <v>42402</v>
      </c>
      <c r="G49">
        <v>2</v>
      </c>
      <c r="H49">
        <v>7</v>
      </c>
      <c r="I49" t="s">
        <v>5581</v>
      </c>
    </row>
    <row r="50" spans="1:9" x14ac:dyDescent="0.35">
      <c r="A50">
        <v>49</v>
      </c>
      <c r="B50">
        <v>608</v>
      </c>
      <c r="C50">
        <v>4</v>
      </c>
      <c r="D50" t="s">
        <v>5596</v>
      </c>
      <c r="E50" s="23">
        <v>42401</v>
      </c>
      <c r="F50" s="23">
        <v>42402</v>
      </c>
      <c r="G50">
        <v>2</v>
      </c>
      <c r="H50">
        <v>6</v>
      </c>
      <c r="I50" t="s">
        <v>5581</v>
      </c>
    </row>
    <row r="51" spans="1:9" x14ac:dyDescent="0.35">
      <c r="A51">
        <v>50</v>
      </c>
      <c r="B51">
        <v>872</v>
      </c>
      <c r="C51">
        <v>4</v>
      </c>
      <c r="D51" t="s">
        <v>5596</v>
      </c>
      <c r="E51" s="23">
        <v>42403</v>
      </c>
      <c r="F51" s="23">
        <v>42402</v>
      </c>
      <c r="G51">
        <v>3</v>
      </c>
      <c r="H51">
        <v>8</v>
      </c>
      <c r="I51" t="s">
        <v>5581</v>
      </c>
    </row>
    <row r="52" spans="1:9" x14ac:dyDescent="0.35">
      <c r="A52">
        <v>51</v>
      </c>
      <c r="B52">
        <v>1047</v>
      </c>
      <c r="C52">
        <v>4</v>
      </c>
      <c r="D52" s="23">
        <v>42371</v>
      </c>
      <c r="E52" s="23">
        <v>42402</v>
      </c>
      <c r="F52" s="23">
        <v>42403</v>
      </c>
      <c r="G52">
        <v>2</v>
      </c>
      <c r="H52">
        <v>7</v>
      </c>
      <c r="I52" t="s">
        <v>5581</v>
      </c>
    </row>
    <row r="53" spans="1:9" x14ac:dyDescent="0.35">
      <c r="A53">
        <v>52</v>
      </c>
      <c r="B53">
        <v>767</v>
      </c>
      <c r="C53">
        <v>4</v>
      </c>
      <c r="D53" s="23">
        <v>42431</v>
      </c>
      <c r="E53" s="23">
        <v>42404</v>
      </c>
      <c r="F53" s="23">
        <v>42405</v>
      </c>
      <c r="G53">
        <v>1</v>
      </c>
      <c r="H53">
        <v>2</v>
      </c>
      <c r="I53" t="s">
        <v>5581</v>
      </c>
    </row>
    <row r="54" spans="1:9" x14ac:dyDescent="0.35">
      <c r="A54">
        <v>53</v>
      </c>
      <c r="B54">
        <v>965</v>
      </c>
      <c r="C54">
        <v>4</v>
      </c>
      <c r="D54" s="23">
        <v>42431</v>
      </c>
      <c r="E54" s="23">
        <v>42404</v>
      </c>
      <c r="F54" s="23">
        <v>42405</v>
      </c>
      <c r="G54">
        <v>2</v>
      </c>
      <c r="H54">
        <v>6</v>
      </c>
      <c r="I54" t="s">
        <v>5581</v>
      </c>
    </row>
    <row r="55" spans="1:9" x14ac:dyDescent="0.35">
      <c r="A55">
        <v>54</v>
      </c>
      <c r="B55">
        <v>535</v>
      </c>
      <c r="C55">
        <v>4</v>
      </c>
      <c r="D55" s="23">
        <v>42462</v>
      </c>
      <c r="E55" s="23">
        <v>42407</v>
      </c>
      <c r="F55" s="23">
        <v>42407</v>
      </c>
      <c r="G55">
        <v>2</v>
      </c>
      <c r="H55">
        <v>7</v>
      </c>
      <c r="I55" t="s">
        <v>5581</v>
      </c>
    </row>
    <row r="56" spans="1:9" x14ac:dyDescent="0.35">
      <c r="A56">
        <v>55</v>
      </c>
      <c r="B56">
        <v>1173</v>
      </c>
      <c r="C56">
        <v>4</v>
      </c>
      <c r="D56" s="23">
        <v>42462</v>
      </c>
      <c r="E56" s="23">
        <v>42407</v>
      </c>
      <c r="F56" s="23">
        <v>42406</v>
      </c>
      <c r="G56">
        <v>2</v>
      </c>
      <c r="H56">
        <v>6</v>
      </c>
      <c r="I56" t="s">
        <v>5581</v>
      </c>
    </row>
    <row r="57" spans="1:9" x14ac:dyDescent="0.35">
      <c r="A57">
        <v>56</v>
      </c>
      <c r="B57">
        <v>1241</v>
      </c>
      <c r="C57">
        <v>4</v>
      </c>
      <c r="D57" s="23">
        <v>42462</v>
      </c>
      <c r="E57" s="23">
        <v>42406</v>
      </c>
      <c r="F57" s="23">
        <v>42407</v>
      </c>
      <c r="G57">
        <v>2</v>
      </c>
      <c r="H57">
        <v>6</v>
      </c>
      <c r="I57" t="s">
        <v>5581</v>
      </c>
    </row>
    <row r="58" spans="1:9" x14ac:dyDescent="0.35">
      <c r="A58">
        <v>57</v>
      </c>
      <c r="B58">
        <v>1305</v>
      </c>
      <c r="C58">
        <v>4</v>
      </c>
      <c r="D58" s="23">
        <v>42462</v>
      </c>
      <c r="E58" s="23">
        <v>42406</v>
      </c>
      <c r="F58" s="23">
        <v>42406</v>
      </c>
      <c r="G58">
        <v>2</v>
      </c>
      <c r="H58">
        <v>7</v>
      </c>
      <c r="I58" t="s">
        <v>5581</v>
      </c>
    </row>
    <row r="59" spans="1:9" x14ac:dyDescent="0.35">
      <c r="A59">
        <v>58</v>
      </c>
      <c r="B59">
        <v>504</v>
      </c>
      <c r="C59">
        <v>4</v>
      </c>
      <c r="D59" s="23">
        <v>42492</v>
      </c>
      <c r="E59" s="23">
        <v>42407</v>
      </c>
      <c r="F59" s="23">
        <v>42407</v>
      </c>
      <c r="G59">
        <v>2</v>
      </c>
      <c r="H59">
        <v>6</v>
      </c>
      <c r="I59" t="s">
        <v>5581</v>
      </c>
    </row>
    <row r="60" spans="1:9" x14ac:dyDescent="0.35">
      <c r="A60">
        <v>59</v>
      </c>
      <c r="B60">
        <v>563</v>
      </c>
      <c r="C60">
        <v>4</v>
      </c>
      <c r="D60" s="23">
        <v>42492</v>
      </c>
      <c r="E60" s="23">
        <v>42407</v>
      </c>
      <c r="F60" s="23">
        <v>42406</v>
      </c>
      <c r="G60">
        <v>2</v>
      </c>
      <c r="H60">
        <v>7</v>
      </c>
      <c r="I60" t="s">
        <v>5581</v>
      </c>
    </row>
    <row r="61" spans="1:9" x14ac:dyDescent="0.35">
      <c r="A61">
        <v>60</v>
      </c>
      <c r="B61">
        <v>151</v>
      </c>
      <c r="C61">
        <v>4</v>
      </c>
      <c r="D61" s="23">
        <v>42523</v>
      </c>
      <c r="E61" s="23">
        <v>42408</v>
      </c>
      <c r="F61" s="23">
        <v>42407</v>
      </c>
      <c r="G61">
        <v>1</v>
      </c>
      <c r="H61">
        <v>3</v>
      </c>
      <c r="I61" t="s">
        <v>5581</v>
      </c>
    </row>
    <row r="62" spans="1:9" x14ac:dyDescent="0.35">
      <c r="A62">
        <v>61</v>
      </c>
      <c r="B62">
        <v>277</v>
      </c>
      <c r="C62">
        <v>4</v>
      </c>
      <c r="D62" s="23">
        <v>42523</v>
      </c>
      <c r="E62" s="23">
        <v>42409</v>
      </c>
      <c r="F62" s="23">
        <v>42409</v>
      </c>
      <c r="G62">
        <v>2</v>
      </c>
      <c r="H62">
        <v>7</v>
      </c>
      <c r="I62" t="s">
        <v>5581</v>
      </c>
    </row>
    <row r="63" spans="1:9" x14ac:dyDescent="0.35">
      <c r="A63">
        <v>62</v>
      </c>
      <c r="B63">
        <v>208</v>
      </c>
      <c r="C63">
        <v>4</v>
      </c>
      <c r="D63" s="23">
        <v>42553</v>
      </c>
      <c r="E63" s="23">
        <v>42410</v>
      </c>
      <c r="F63" s="23">
        <v>42410</v>
      </c>
      <c r="G63">
        <v>1</v>
      </c>
      <c r="H63">
        <v>2</v>
      </c>
      <c r="I63" t="s">
        <v>5581</v>
      </c>
    </row>
    <row r="64" spans="1:9" x14ac:dyDescent="0.35">
      <c r="A64">
        <v>63</v>
      </c>
      <c r="B64">
        <v>1075</v>
      </c>
      <c r="C64">
        <v>4</v>
      </c>
      <c r="D64" s="23">
        <v>42553</v>
      </c>
      <c r="E64" s="23">
        <v>42409</v>
      </c>
      <c r="F64" s="23">
        <v>42409</v>
      </c>
      <c r="G64">
        <v>2</v>
      </c>
      <c r="H64">
        <v>7</v>
      </c>
      <c r="I64" t="s">
        <v>5581</v>
      </c>
    </row>
    <row r="65" spans="1:9" x14ac:dyDescent="0.35">
      <c r="A65">
        <v>64</v>
      </c>
      <c r="B65">
        <v>1185</v>
      </c>
      <c r="C65">
        <v>4</v>
      </c>
      <c r="D65" s="23">
        <v>42553</v>
      </c>
      <c r="E65" s="23">
        <v>42408</v>
      </c>
      <c r="F65" s="23">
        <v>42409</v>
      </c>
      <c r="G65">
        <v>2</v>
      </c>
      <c r="H65">
        <v>6</v>
      </c>
      <c r="I65" t="s">
        <v>5581</v>
      </c>
    </row>
    <row r="66" spans="1:9" x14ac:dyDescent="0.35">
      <c r="A66">
        <v>65</v>
      </c>
      <c r="B66">
        <v>996</v>
      </c>
      <c r="C66">
        <v>4</v>
      </c>
      <c r="D66" s="23">
        <v>42584</v>
      </c>
      <c r="E66" s="23">
        <v>42409</v>
      </c>
      <c r="F66" s="23">
        <v>42411</v>
      </c>
      <c r="G66">
        <v>2</v>
      </c>
      <c r="H66">
        <v>6</v>
      </c>
      <c r="I66" t="s">
        <v>5581</v>
      </c>
    </row>
    <row r="67" spans="1:9" x14ac:dyDescent="0.35">
      <c r="A67">
        <v>66</v>
      </c>
      <c r="B67">
        <v>1253</v>
      </c>
      <c r="C67">
        <v>4</v>
      </c>
      <c r="D67" s="23">
        <v>42615</v>
      </c>
      <c r="E67" s="23">
        <v>42412</v>
      </c>
      <c r="F67" s="23">
        <v>42412</v>
      </c>
      <c r="G67">
        <v>2</v>
      </c>
      <c r="H67">
        <v>7</v>
      </c>
      <c r="I67" t="s">
        <v>5581</v>
      </c>
    </row>
    <row r="68" spans="1:9" x14ac:dyDescent="0.35">
      <c r="A68">
        <v>67</v>
      </c>
      <c r="B68">
        <v>526</v>
      </c>
      <c r="C68">
        <v>4</v>
      </c>
      <c r="D68" s="23">
        <v>42615</v>
      </c>
      <c r="E68" s="23">
        <v>42411</v>
      </c>
      <c r="F68" s="23">
        <v>42410</v>
      </c>
      <c r="G68">
        <v>3</v>
      </c>
      <c r="H68">
        <v>8</v>
      </c>
      <c r="I68" t="s">
        <v>5581</v>
      </c>
    </row>
    <row r="69" spans="1:9" x14ac:dyDescent="0.35">
      <c r="A69">
        <v>68</v>
      </c>
      <c r="B69">
        <v>381</v>
      </c>
      <c r="C69">
        <v>4</v>
      </c>
      <c r="D69" s="23">
        <v>42645</v>
      </c>
      <c r="E69" s="23">
        <v>42411</v>
      </c>
      <c r="F69" s="23">
        <v>42413</v>
      </c>
      <c r="G69">
        <v>2</v>
      </c>
      <c r="H69">
        <v>6</v>
      </c>
      <c r="I69" t="s">
        <v>5581</v>
      </c>
    </row>
    <row r="70" spans="1:9" x14ac:dyDescent="0.35">
      <c r="A70">
        <v>69</v>
      </c>
      <c r="B70">
        <v>1413</v>
      </c>
      <c r="C70">
        <v>4</v>
      </c>
      <c r="D70" s="23">
        <v>42645</v>
      </c>
      <c r="E70" s="23">
        <v>42412</v>
      </c>
      <c r="F70" s="23">
        <v>42411</v>
      </c>
      <c r="G70">
        <v>2</v>
      </c>
      <c r="H70">
        <v>7</v>
      </c>
      <c r="I70" t="s">
        <v>5581</v>
      </c>
    </row>
    <row r="71" spans="1:9" x14ac:dyDescent="0.35">
      <c r="A71">
        <v>70</v>
      </c>
      <c r="B71">
        <v>50</v>
      </c>
      <c r="C71">
        <v>3</v>
      </c>
      <c r="D71" s="23">
        <v>42676</v>
      </c>
      <c r="E71" s="23">
        <v>42411</v>
      </c>
      <c r="F71" t="s">
        <v>5597</v>
      </c>
      <c r="G71">
        <v>3</v>
      </c>
      <c r="H71">
        <v>9</v>
      </c>
      <c r="I71" t="s">
        <v>5598</v>
      </c>
    </row>
    <row r="72" spans="1:9" x14ac:dyDescent="0.35">
      <c r="A72">
        <v>71</v>
      </c>
      <c r="B72">
        <v>797</v>
      </c>
      <c r="C72">
        <v>4</v>
      </c>
      <c r="D72" s="23">
        <v>42676</v>
      </c>
      <c r="E72" s="23">
        <v>42414</v>
      </c>
      <c r="F72" s="23">
        <v>42412</v>
      </c>
      <c r="G72">
        <v>2</v>
      </c>
      <c r="H72">
        <v>7</v>
      </c>
      <c r="I72" t="s">
        <v>5581</v>
      </c>
    </row>
    <row r="73" spans="1:9" x14ac:dyDescent="0.35">
      <c r="A73">
        <v>72</v>
      </c>
      <c r="B73">
        <v>1386</v>
      </c>
      <c r="C73">
        <v>4</v>
      </c>
      <c r="D73" s="23">
        <v>42706</v>
      </c>
      <c r="E73" s="23">
        <v>42415</v>
      </c>
      <c r="F73" s="23">
        <v>42413</v>
      </c>
      <c r="G73">
        <v>1</v>
      </c>
      <c r="H73">
        <v>2</v>
      </c>
      <c r="I73" t="s">
        <v>5581</v>
      </c>
    </row>
    <row r="74" spans="1:9" x14ac:dyDescent="0.35">
      <c r="A74">
        <v>73</v>
      </c>
      <c r="B74">
        <v>612</v>
      </c>
      <c r="C74">
        <v>4</v>
      </c>
      <c r="D74" s="23">
        <v>42706</v>
      </c>
      <c r="E74" s="23">
        <v>42415</v>
      </c>
      <c r="F74" s="23">
        <v>42414</v>
      </c>
      <c r="G74">
        <v>2</v>
      </c>
      <c r="H74">
        <v>7</v>
      </c>
      <c r="I74" t="s">
        <v>5581</v>
      </c>
    </row>
    <row r="75" spans="1:9" x14ac:dyDescent="0.35">
      <c r="A75">
        <v>74</v>
      </c>
      <c r="B75">
        <v>264</v>
      </c>
      <c r="C75">
        <v>4</v>
      </c>
      <c r="D75" t="s">
        <v>5599</v>
      </c>
      <c r="E75" s="23">
        <v>42415</v>
      </c>
      <c r="F75" s="23">
        <v>42415</v>
      </c>
      <c r="G75">
        <v>2</v>
      </c>
      <c r="H75">
        <v>7</v>
      </c>
      <c r="I75" t="s">
        <v>5581</v>
      </c>
    </row>
    <row r="76" spans="1:9" x14ac:dyDescent="0.35">
      <c r="A76">
        <v>75</v>
      </c>
      <c r="B76">
        <v>587</v>
      </c>
      <c r="C76">
        <v>4</v>
      </c>
      <c r="D76" t="s">
        <v>5600</v>
      </c>
      <c r="E76" s="23">
        <v>42415</v>
      </c>
      <c r="F76" s="23">
        <v>42417</v>
      </c>
      <c r="G76">
        <v>2</v>
      </c>
      <c r="H76">
        <v>6</v>
      </c>
      <c r="I76" t="s">
        <v>5581</v>
      </c>
    </row>
    <row r="77" spans="1:9" x14ac:dyDescent="0.35">
      <c r="A77">
        <v>76</v>
      </c>
      <c r="B77">
        <v>9</v>
      </c>
      <c r="C77">
        <v>3</v>
      </c>
      <c r="D77" t="s">
        <v>5601</v>
      </c>
      <c r="E77" s="23">
        <v>42416</v>
      </c>
      <c r="F77" t="s">
        <v>5597</v>
      </c>
      <c r="G77">
        <v>2</v>
      </c>
      <c r="H77">
        <v>6</v>
      </c>
      <c r="I77" t="s">
        <v>5598</v>
      </c>
    </row>
    <row r="78" spans="1:9" x14ac:dyDescent="0.35">
      <c r="A78">
        <v>77</v>
      </c>
      <c r="B78">
        <v>385</v>
      </c>
      <c r="C78">
        <v>4</v>
      </c>
      <c r="D78" t="s">
        <v>5601</v>
      </c>
      <c r="E78" s="23">
        <v>42419</v>
      </c>
      <c r="F78" s="23">
        <v>42419</v>
      </c>
      <c r="G78">
        <v>1</v>
      </c>
      <c r="H78">
        <v>2</v>
      </c>
      <c r="I78" t="s">
        <v>5581</v>
      </c>
    </row>
    <row r="79" spans="1:9" x14ac:dyDescent="0.35">
      <c r="A79">
        <v>78</v>
      </c>
      <c r="B79">
        <v>1182</v>
      </c>
      <c r="C79">
        <v>4</v>
      </c>
      <c r="D79" t="s">
        <v>5601</v>
      </c>
      <c r="E79" s="23">
        <v>42418</v>
      </c>
      <c r="F79" s="23">
        <v>42419</v>
      </c>
      <c r="G79">
        <v>2</v>
      </c>
      <c r="H79">
        <v>7</v>
      </c>
      <c r="I79" t="s">
        <v>5581</v>
      </c>
    </row>
    <row r="80" spans="1:9" x14ac:dyDescent="0.35">
      <c r="A80">
        <v>79</v>
      </c>
      <c r="B80">
        <v>529</v>
      </c>
      <c r="C80">
        <v>4</v>
      </c>
      <c r="D80" t="s">
        <v>5602</v>
      </c>
      <c r="E80" s="23">
        <v>42420</v>
      </c>
      <c r="F80" s="23">
        <v>42420</v>
      </c>
      <c r="G80">
        <v>1</v>
      </c>
      <c r="H80">
        <v>3</v>
      </c>
      <c r="I80" t="s">
        <v>5581</v>
      </c>
    </row>
    <row r="81" spans="1:9" x14ac:dyDescent="0.35">
      <c r="A81">
        <v>80</v>
      </c>
      <c r="B81">
        <v>397</v>
      </c>
      <c r="C81">
        <v>4</v>
      </c>
      <c r="D81" t="s">
        <v>5602</v>
      </c>
      <c r="E81" s="23">
        <v>42420</v>
      </c>
      <c r="F81" s="23">
        <v>42419</v>
      </c>
      <c r="G81">
        <v>2</v>
      </c>
      <c r="H81">
        <v>6</v>
      </c>
      <c r="I81" t="s">
        <v>5581</v>
      </c>
    </row>
    <row r="82" spans="1:9" x14ac:dyDescent="0.35">
      <c r="A82">
        <v>81</v>
      </c>
      <c r="B82">
        <v>521</v>
      </c>
      <c r="C82">
        <v>4</v>
      </c>
      <c r="D82" t="s">
        <v>5602</v>
      </c>
      <c r="E82" s="23">
        <v>42419</v>
      </c>
      <c r="F82" s="23">
        <v>42418</v>
      </c>
      <c r="G82">
        <v>2</v>
      </c>
      <c r="H82">
        <v>6</v>
      </c>
      <c r="I82" t="s">
        <v>5581</v>
      </c>
    </row>
    <row r="83" spans="1:9" x14ac:dyDescent="0.35">
      <c r="A83">
        <v>82</v>
      </c>
      <c r="B83">
        <v>1223</v>
      </c>
      <c r="C83">
        <v>4</v>
      </c>
      <c r="D83" t="s">
        <v>5603</v>
      </c>
      <c r="E83" s="23">
        <v>42421</v>
      </c>
      <c r="F83" s="23">
        <v>42420</v>
      </c>
      <c r="G83">
        <v>2</v>
      </c>
      <c r="H83">
        <v>6</v>
      </c>
      <c r="I83" t="s">
        <v>5581</v>
      </c>
    </row>
    <row r="84" spans="1:9" x14ac:dyDescent="0.35">
      <c r="A84">
        <v>83</v>
      </c>
      <c r="B84">
        <v>393</v>
      </c>
      <c r="C84">
        <v>4</v>
      </c>
      <c r="D84" t="s">
        <v>5604</v>
      </c>
      <c r="E84" s="23">
        <v>42420</v>
      </c>
      <c r="F84" s="23">
        <v>42420</v>
      </c>
      <c r="G84">
        <v>1</v>
      </c>
      <c r="H84">
        <v>3</v>
      </c>
      <c r="I84" t="s">
        <v>5581</v>
      </c>
    </row>
    <row r="85" spans="1:9" x14ac:dyDescent="0.35">
      <c r="A85">
        <v>84</v>
      </c>
      <c r="B85">
        <v>317</v>
      </c>
      <c r="C85">
        <v>4</v>
      </c>
      <c r="D85" t="s">
        <v>5605</v>
      </c>
      <c r="E85" s="23">
        <v>42422</v>
      </c>
      <c r="F85" s="23">
        <v>42421</v>
      </c>
      <c r="G85">
        <v>2</v>
      </c>
      <c r="H85">
        <v>7</v>
      </c>
      <c r="I85" t="s">
        <v>5581</v>
      </c>
    </row>
    <row r="86" spans="1:9" x14ac:dyDescent="0.35">
      <c r="A86">
        <v>85</v>
      </c>
      <c r="B86">
        <v>1174</v>
      </c>
      <c r="C86">
        <v>4</v>
      </c>
      <c r="D86" t="s">
        <v>5605</v>
      </c>
      <c r="E86" s="23">
        <v>42423</v>
      </c>
      <c r="F86" s="23">
        <v>42421</v>
      </c>
      <c r="G86">
        <v>2</v>
      </c>
      <c r="H86">
        <v>7</v>
      </c>
      <c r="I86" t="s">
        <v>5581</v>
      </c>
    </row>
    <row r="87" spans="1:9" x14ac:dyDescent="0.35">
      <c r="A87">
        <v>86</v>
      </c>
      <c r="B87">
        <v>276</v>
      </c>
      <c r="C87">
        <v>4</v>
      </c>
      <c r="D87" t="s">
        <v>5606</v>
      </c>
      <c r="E87" s="23">
        <v>42422</v>
      </c>
      <c r="F87" s="23">
        <v>42423</v>
      </c>
      <c r="G87">
        <v>2</v>
      </c>
      <c r="H87">
        <v>7</v>
      </c>
      <c r="I87" t="s">
        <v>5581</v>
      </c>
    </row>
    <row r="88" spans="1:9" x14ac:dyDescent="0.35">
      <c r="A88">
        <v>87</v>
      </c>
      <c r="B88">
        <v>516</v>
      </c>
      <c r="C88">
        <v>4</v>
      </c>
      <c r="D88" t="s">
        <v>5606</v>
      </c>
      <c r="E88" s="23">
        <v>42422</v>
      </c>
      <c r="F88" s="23">
        <v>42423</v>
      </c>
      <c r="G88">
        <v>2</v>
      </c>
      <c r="H88">
        <v>6</v>
      </c>
      <c r="I88" t="s">
        <v>5581</v>
      </c>
    </row>
    <row r="89" spans="1:9" x14ac:dyDescent="0.35">
      <c r="A89">
        <v>88</v>
      </c>
      <c r="B89">
        <v>1069</v>
      </c>
      <c r="C89">
        <v>4</v>
      </c>
      <c r="D89" t="s">
        <v>5606</v>
      </c>
      <c r="E89" s="23">
        <v>42422</v>
      </c>
      <c r="F89" s="23">
        <v>42423</v>
      </c>
      <c r="G89">
        <v>2</v>
      </c>
      <c r="H89">
        <v>6</v>
      </c>
      <c r="I89" t="s">
        <v>5581</v>
      </c>
    </row>
    <row r="90" spans="1:9" x14ac:dyDescent="0.35">
      <c r="A90">
        <v>89</v>
      </c>
      <c r="B90">
        <v>668</v>
      </c>
      <c r="C90">
        <v>4</v>
      </c>
      <c r="D90" t="s">
        <v>5606</v>
      </c>
      <c r="E90" s="23">
        <v>42424</v>
      </c>
      <c r="F90" s="23">
        <v>42424</v>
      </c>
      <c r="G90">
        <v>3</v>
      </c>
      <c r="H90">
        <v>8</v>
      </c>
      <c r="I90" t="s">
        <v>5581</v>
      </c>
    </row>
    <row r="91" spans="1:9" x14ac:dyDescent="0.35">
      <c r="A91">
        <v>90</v>
      </c>
      <c r="B91">
        <v>414</v>
      </c>
      <c r="C91">
        <v>4</v>
      </c>
      <c r="D91" t="s">
        <v>5607</v>
      </c>
      <c r="E91" s="23">
        <v>42425</v>
      </c>
      <c r="F91" s="23">
        <v>42424</v>
      </c>
      <c r="G91">
        <v>2</v>
      </c>
      <c r="H91">
        <v>7</v>
      </c>
      <c r="I91" t="s">
        <v>5581</v>
      </c>
    </row>
    <row r="92" spans="1:9" x14ac:dyDescent="0.35">
      <c r="A92">
        <v>91</v>
      </c>
      <c r="B92">
        <v>648</v>
      </c>
      <c r="C92">
        <v>4</v>
      </c>
      <c r="D92" t="s">
        <v>5608</v>
      </c>
      <c r="E92" s="23">
        <v>42427</v>
      </c>
      <c r="F92" s="23">
        <v>42428</v>
      </c>
      <c r="G92">
        <v>1</v>
      </c>
      <c r="H92">
        <v>2</v>
      </c>
      <c r="I92" t="s">
        <v>5581</v>
      </c>
    </row>
    <row r="93" spans="1:9" x14ac:dyDescent="0.35">
      <c r="A93">
        <v>92</v>
      </c>
      <c r="B93">
        <v>1309</v>
      </c>
      <c r="C93">
        <v>4</v>
      </c>
      <c r="D93" t="s">
        <v>5608</v>
      </c>
      <c r="E93" s="23">
        <v>42428</v>
      </c>
      <c r="F93" s="23">
        <v>42428</v>
      </c>
      <c r="G93">
        <v>2</v>
      </c>
      <c r="H93">
        <v>7</v>
      </c>
      <c r="I93" t="s">
        <v>5581</v>
      </c>
    </row>
    <row r="94" spans="1:9" x14ac:dyDescent="0.35">
      <c r="A94">
        <v>93</v>
      </c>
      <c r="B94">
        <v>1328</v>
      </c>
      <c r="C94">
        <v>4</v>
      </c>
      <c r="D94" t="s">
        <v>5609</v>
      </c>
      <c r="E94" s="23">
        <v>42428</v>
      </c>
      <c r="F94" s="23">
        <v>42427</v>
      </c>
      <c r="G94">
        <v>1</v>
      </c>
      <c r="H94">
        <v>3</v>
      </c>
      <c r="I94" t="s">
        <v>5581</v>
      </c>
    </row>
    <row r="95" spans="1:9" x14ac:dyDescent="0.35">
      <c r="A95">
        <v>94</v>
      </c>
      <c r="B95">
        <v>929</v>
      </c>
      <c r="C95">
        <v>4</v>
      </c>
      <c r="D95" t="s">
        <v>5610</v>
      </c>
      <c r="E95" s="23">
        <v>42428</v>
      </c>
      <c r="F95" s="23">
        <v>42429</v>
      </c>
      <c r="G95">
        <v>1</v>
      </c>
      <c r="H95">
        <v>2</v>
      </c>
      <c r="I95" t="s">
        <v>5581</v>
      </c>
    </row>
    <row r="96" spans="1:9" x14ac:dyDescent="0.35">
      <c r="A96">
        <v>95</v>
      </c>
      <c r="B96">
        <v>218</v>
      </c>
      <c r="C96">
        <v>4</v>
      </c>
      <c r="D96" t="s">
        <v>5610</v>
      </c>
      <c r="E96" s="23">
        <v>42429</v>
      </c>
      <c r="F96" s="23">
        <v>42428</v>
      </c>
      <c r="G96">
        <v>2</v>
      </c>
      <c r="H96">
        <v>7</v>
      </c>
      <c r="I96" t="s">
        <v>5581</v>
      </c>
    </row>
    <row r="97" spans="1:9" x14ac:dyDescent="0.35">
      <c r="A97">
        <v>96</v>
      </c>
      <c r="B97">
        <v>1094</v>
      </c>
      <c r="C97">
        <v>4</v>
      </c>
      <c r="D97" t="s">
        <v>5610</v>
      </c>
      <c r="E97" s="23">
        <v>42429</v>
      </c>
      <c r="F97" s="23">
        <v>42428</v>
      </c>
      <c r="G97">
        <v>2</v>
      </c>
      <c r="H97">
        <v>7</v>
      </c>
      <c r="I97" t="s">
        <v>5581</v>
      </c>
    </row>
    <row r="98" spans="1:9" x14ac:dyDescent="0.35">
      <c r="A98">
        <v>97</v>
      </c>
      <c r="B98">
        <v>204</v>
      </c>
      <c r="C98">
        <v>4</v>
      </c>
      <c r="D98" t="s">
        <v>5611</v>
      </c>
      <c r="E98" s="23">
        <v>42429</v>
      </c>
      <c r="F98" s="23">
        <v>42430</v>
      </c>
      <c r="G98">
        <v>2</v>
      </c>
      <c r="H98">
        <v>7</v>
      </c>
      <c r="I98" t="s">
        <v>5581</v>
      </c>
    </row>
    <row r="99" spans="1:9" x14ac:dyDescent="0.35">
      <c r="A99">
        <v>98</v>
      </c>
      <c r="B99">
        <v>1194</v>
      </c>
      <c r="C99">
        <v>4</v>
      </c>
      <c r="D99" t="s">
        <v>5611</v>
      </c>
      <c r="E99" s="23">
        <v>42429</v>
      </c>
      <c r="F99" s="23">
        <v>42429</v>
      </c>
      <c r="G99">
        <v>2</v>
      </c>
      <c r="H99">
        <v>6</v>
      </c>
      <c r="I99" t="s">
        <v>5581</v>
      </c>
    </row>
    <row r="100" spans="1:9" x14ac:dyDescent="0.35">
      <c r="A100">
        <v>99</v>
      </c>
      <c r="B100">
        <v>1165</v>
      </c>
      <c r="C100">
        <v>4</v>
      </c>
      <c r="D100" t="s">
        <v>5612</v>
      </c>
      <c r="E100" s="23">
        <v>42430</v>
      </c>
      <c r="F100" s="23">
        <v>42432</v>
      </c>
      <c r="G100">
        <v>3</v>
      </c>
      <c r="H100">
        <v>9</v>
      </c>
      <c r="I100" t="s">
        <v>5581</v>
      </c>
    </row>
    <row r="101" spans="1:9" x14ac:dyDescent="0.35">
      <c r="A101">
        <v>100</v>
      </c>
      <c r="B101">
        <v>1237</v>
      </c>
      <c r="C101">
        <v>4</v>
      </c>
      <c r="D101" s="23">
        <v>42372</v>
      </c>
      <c r="E101" s="23">
        <v>42433</v>
      </c>
      <c r="F101" s="23">
        <v>42432</v>
      </c>
      <c r="G101">
        <v>2</v>
      </c>
      <c r="H101">
        <v>7</v>
      </c>
      <c r="I101" t="s">
        <v>5581</v>
      </c>
    </row>
    <row r="102" spans="1:9" x14ac:dyDescent="0.35">
      <c r="A102">
        <v>101</v>
      </c>
      <c r="B102">
        <v>271</v>
      </c>
      <c r="C102">
        <v>4</v>
      </c>
      <c r="D102" s="23">
        <v>42372</v>
      </c>
      <c r="E102" s="23">
        <v>42433</v>
      </c>
      <c r="F102" s="23">
        <v>42433</v>
      </c>
      <c r="G102">
        <v>3</v>
      </c>
      <c r="H102">
        <v>8</v>
      </c>
      <c r="I102" t="s">
        <v>5581</v>
      </c>
    </row>
    <row r="103" spans="1:9" x14ac:dyDescent="0.35">
      <c r="A103">
        <v>102</v>
      </c>
      <c r="B103">
        <v>336</v>
      </c>
      <c r="C103">
        <v>4</v>
      </c>
      <c r="D103" s="23">
        <v>42403</v>
      </c>
      <c r="E103" s="23">
        <v>42434</v>
      </c>
      <c r="F103" s="23">
        <v>42432</v>
      </c>
      <c r="G103">
        <v>2</v>
      </c>
      <c r="H103">
        <v>7</v>
      </c>
      <c r="I103" t="s">
        <v>5581</v>
      </c>
    </row>
    <row r="104" spans="1:9" x14ac:dyDescent="0.35">
      <c r="A104">
        <v>103</v>
      </c>
      <c r="B104">
        <v>991</v>
      </c>
      <c r="C104">
        <v>4</v>
      </c>
      <c r="D104" s="23">
        <v>42432</v>
      </c>
      <c r="E104" s="23">
        <v>42435</v>
      </c>
      <c r="F104" s="23">
        <v>42434</v>
      </c>
      <c r="G104">
        <v>1</v>
      </c>
      <c r="H104">
        <v>2</v>
      </c>
      <c r="I104" t="s">
        <v>5581</v>
      </c>
    </row>
    <row r="105" spans="1:9" x14ac:dyDescent="0.35">
      <c r="A105">
        <v>104</v>
      </c>
      <c r="B105">
        <v>7</v>
      </c>
      <c r="C105">
        <v>4</v>
      </c>
      <c r="D105" s="23">
        <v>42432</v>
      </c>
      <c r="E105" s="23">
        <v>42434</v>
      </c>
      <c r="F105" s="23">
        <v>42434</v>
      </c>
      <c r="G105">
        <v>2</v>
      </c>
      <c r="H105">
        <v>7</v>
      </c>
      <c r="I105" t="s">
        <v>5581</v>
      </c>
    </row>
    <row r="106" spans="1:9" x14ac:dyDescent="0.35">
      <c r="A106">
        <v>105</v>
      </c>
      <c r="B106">
        <v>306</v>
      </c>
      <c r="C106">
        <v>4</v>
      </c>
      <c r="D106" s="23">
        <v>42432</v>
      </c>
      <c r="E106" s="23">
        <v>42434</v>
      </c>
      <c r="F106" s="23">
        <v>42433</v>
      </c>
      <c r="G106">
        <v>2</v>
      </c>
      <c r="H106">
        <v>7</v>
      </c>
      <c r="I106" t="s">
        <v>5581</v>
      </c>
    </row>
    <row r="107" spans="1:9" x14ac:dyDescent="0.35">
      <c r="A107">
        <v>106</v>
      </c>
      <c r="B107">
        <v>422</v>
      </c>
      <c r="C107">
        <v>4</v>
      </c>
      <c r="D107" s="23">
        <v>42463</v>
      </c>
      <c r="E107" s="23">
        <v>42434</v>
      </c>
      <c r="F107" s="23">
        <v>42434</v>
      </c>
      <c r="G107">
        <v>3</v>
      </c>
      <c r="H107">
        <v>9</v>
      </c>
      <c r="I107" t="s">
        <v>5581</v>
      </c>
    </row>
    <row r="108" spans="1:9" x14ac:dyDescent="0.35">
      <c r="A108">
        <v>107</v>
      </c>
      <c r="B108">
        <v>633</v>
      </c>
      <c r="C108">
        <v>4</v>
      </c>
      <c r="D108" s="23">
        <v>42524</v>
      </c>
      <c r="E108" s="23">
        <v>42438</v>
      </c>
      <c r="F108" s="23">
        <v>42438</v>
      </c>
      <c r="G108">
        <v>1</v>
      </c>
      <c r="H108">
        <v>2</v>
      </c>
      <c r="I108" t="s">
        <v>5581</v>
      </c>
    </row>
    <row r="109" spans="1:9" x14ac:dyDescent="0.35">
      <c r="A109">
        <v>108</v>
      </c>
      <c r="B109">
        <v>12</v>
      </c>
      <c r="C109">
        <v>4</v>
      </c>
      <c r="D109" s="23">
        <v>42524</v>
      </c>
      <c r="E109" s="23">
        <v>42438</v>
      </c>
      <c r="F109" s="23">
        <v>42436</v>
      </c>
      <c r="G109">
        <v>2</v>
      </c>
      <c r="H109">
        <v>6</v>
      </c>
      <c r="I109" t="s">
        <v>5581</v>
      </c>
    </row>
    <row r="110" spans="1:9" x14ac:dyDescent="0.35">
      <c r="A110">
        <v>109</v>
      </c>
      <c r="B110">
        <v>1255</v>
      </c>
      <c r="C110">
        <v>4</v>
      </c>
      <c r="D110" s="23">
        <v>42524</v>
      </c>
      <c r="E110" s="23">
        <v>42438</v>
      </c>
      <c r="F110" s="23">
        <v>42438</v>
      </c>
      <c r="G110">
        <v>2</v>
      </c>
      <c r="H110">
        <v>6</v>
      </c>
      <c r="I110" t="s">
        <v>5581</v>
      </c>
    </row>
    <row r="111" spans="1:9" x14ac:dyDescent="0.35">
      <c r="A111">
        <v>110</v>
      </c>
      <c r="B111">
        <v>677</v>
      </c>
      <c r="C111">
        <v>4</v>
      </c>
      <c r="D111" s="23">
        <v>42524</v>
      </c>
      <c r="E111" s="23">
        <v>42437</v>
      </c>
      <c r="F111" s="23">
        <v>42438</v>
      </c>
      <c r="G111">
        <v>3</v>
      </c>
      <c r="H111">
        <v>9</v>
      </c>
      <c r="I111" t="s">
        <v>5581</v>
      </c>
    </row>
    <row r="112" spans="1:9" x14ac:dyDescent="0.35">
      <c r="A112">
        <v>111</v>
      </c>
      <c r="B112">
        <v>630</v>
      </c>
      <c r="C112">
        <v>4</v>
      </c>
      <c r="D112" s="23">
        <v>42554</v>
      </c>
      <c r="E112" s="23">
        <v>42439</v>
      </c>
      <c r="F112" s="23">
        <v>42439</v>
      </c>
      <c r="G112">
        <v>2</v>
      </c>
      <c r="H112">
        <v>6</v>
      </c>
      <c r="I112" t="s">
        <v>5581</v>
      </c>
    </row>
    <row r="113" spans="1:9" x14ac:dyDescent="0.35">
      <c r="A113">
        <v>112</v>
      </c>
      <c r="B113">
        <v>469</v>
      </c>
      <c r="C113">
        <v>4</v>
      </c>
      <c r="D113" s="23">
        <v>42585</v>
      </c>
      <c r="E113" s="23">
        <v>42440</v>
      </c>
      <c r="F113" s="23">
        <v>42439</v>
      </c>
      <c r="G113">
        <v>2</v>
      </c>
      <c r="H113">
        <v>6</v>
      </c>
      <c r="I113" t="s">
        <v>5581</v>
      </c>
    </row>
    <row r="114" spans="1:9" x14ac:dyDescent="0.35">
      <c r="A114">
        <v>113</v>
      </c>
      <c r="B114">
        <v>1078</v>
      </c>
      <c r="C114">
        <v>4</v>
      </c>
      <c r="D114" s="23">
        <v>42585</v>
      </c>
      <c r="E114" s="23">
        <v>42440</v>
      </c>
      <c r="F114" s="23">
        <v>42440</v>
      </c>
      <c r="G114">
        <v>2</v>
      </c>
      <c r="H114">
        <v>6</v>
      </c>
      <c r="I114" t="s">
        <v>5581</v>
      </c>
    </row>
    <row r="115" spans="1:9" x14ac:dyDescent="0.35">
      <c r="A115">
        <v>114</v>
      </c>
      <c r="B115">
        <v>1431</v>
      </c>
      <c r="C115">
        <v>4</v>
      </c>
      <c r="D115" s="23">
        <v>42585</v>
      </c>
      <c r="E115" s="23">
        <v>42439</v>
      </c>
      <c r="F115" s="23">
        <v>42440</v>
      </c>
      <c r="G115">
        <v>2</v>
      </c>
      <c r="H115">
        <v>7</v>
      </c>
      <c r="I115" t="s">
        <v>5581</v>
      </c>
    </row>
    <row r="116" spans="1:9" x14ac:dyDescent="0.35">
      <c r="A116">
        <v>115</v>
      </c>
      <c r="B116">
        <v>1369</v>
      </c>
      <c r="C116">
        <v>4</v>
      </c>
      <c r="D116" s="23">
        <v>42616</v>
      </c>
      <c r="E116" s="23">
        <v>42440</v>
      </c>
      <c r="F116" s="23">
        <v>42440</v>
      </c>
      <c r="G116">
        <v>2</v>
      </c>
      <c r="H116">
        <v>7</v>
      </c>
      <c r="I116" t="s">
        <v>5581</v>
      </c>
    </row>
    <row r="117" spans="1:9" x14ac:dyDescent="0.35">
      <c r="A117">
        <v>116</v>
      </c>
      <c r="B117">
        <v>471</v>
      </c>
      <c r="C117">
        <v>4</v>
      </c>
      <c r="D117" s="23">
        <v>42646</v>
      </c>
      <c r="E117" s="23">
        <v>42440</v>
      </c>
      <c r="F117" s="23">
        <v>42440</v>
      </c>
      <c r="G117">
        <v>2</v>
      </c>
      <c r="H117">
        <v>7</v>
      </c>
      <c r="I117" t="s">
        <v>5581</v>
      </c>
    </row>
    <row r="118" spans="1:9" x14ac:dyDescent="0.35">
      <c r="A118">
        <v>117</v>
      </c>
      <c r="B118">
        <v>740</v>
      </c>
      <c r="C118">
        <v>4</v>
      </c>
      <c r="D118" s="23">
        <v>42646</v>
      </c>
      <c r="E118" s="23">
        <v>42442</v>
      </c>
      <c r="F118" s="23">
        <v>42440</v>
      </c>
      <c r="G118">
        <v>2</v>
      </c>
      <c r="H118">
        <v>6</v>
      </c>
      <c r="I118" t="s">
        <v>5581</v>
      </c>
    </row>
    <row r="119" spans="1:9" x14ac:dyDescent="0.35">
      <c r="A119">
        <v>118</v>
      </c>
      <c r="B119">
        <v>577</v>
      </c>
      <c r="C119">
        <v>4</v>
      </c>
      <c r="D119" s="23">
        <v>42707</v>
      </c>
      <c r="E119" s="23">
        <v>42443</v>
      </c>
      <c r="F119" s="23">
        <v>42442</v>
      </c>
      <c r="G119">
        <v>1</v>
      </c>
      <c r="H119">
        <v>2</v>
      </c>
      <c r="I119" t="s">
        <v>5581</v>
      </c>
    </row>
    <row r="120" spans="1:9" x14ac:dyDescent="0.35">
      <c r="A120">
        <v>119</v>
      </c>
      <c r="B120">
        <v>925</v>
      </c>
      <c r="C120">
        <v>4</v>
      </c>
      <c r="D120" s="23">
        <v>42707</v>
      </c>
      <c r="E120" s="23">
        <v>42443</v>
      </c>
      <c r="F120" s="23">
        <v>42443</v>
      </c>
      <c r="G120">
        <v>2</v>
      </c>
      <c r="H120">
        <v>7</v>
      </c>
      <c r="I120" t="s">
        <v>5581</v>
      </c>
    </row>
    <row r="121" spans="1:9" x14ac:dyDescent="0.35">
      <c r="A121">
        <v>120</v>
      </c>
      <c r="B121">
        <v>327</v>
      </c>
      <c r="C121">
        <v>4</v>
      </c>
      <c r="D121" t="s">
        <v>5613</v>
      </c>
      <c r="E121" s="23">
        <v>42444</v>
      </c>
      <c r="F121" s="23">
        <v>42446</v>
      </c>
      <c r="G121">
        <v>2</v>
      </c>
      <c r="H121">
        <v>7</v>
      </c>
      <c r="I121" t="s">
        <v>5581</v>
      </c>
    </row>
    <row r="122" spans="1:9" x14ac:dyDescent="0.35">
      <c r="A122">
        <v>121</v>
      </c>
      <c r="B122">
        <v>755</v>
      </c>
      <c r="C122">
        <v>4</v>
      </c>
      <c r="D122" t="s">
        <v>5613</v>
      </c>
      <c r="E122" s="23">
        <v>42444</v>
      </c>
      <c r="F122" s="23">
        <v>42445</v>
      </c>
      <c r="G122">
        <v>2</v>
      </c>
      <c r="H122">
        <v>6</v>
      </c>
      <c r="I122" t="s">
        <v>5581</v>
      </c>
    </row>
    <row r="123" spans="1:9" x14ac:dyDescent="0.35">
      <c r="A123">
        <v>122</v>
      </c>
      <c r="B123">
        <v>786</v>
      </c>
      <c r="C123">
        <v>4</v>
      </c>
      <c r="D123" t="s">
        <v>5613</v>
      </c>
      <c r="E123" s="23">
        <v>42445</v>
      </c>
      <c r="F123" s="23">
        <v>42444</v>
      </c>
      <c r="G123">
        <v>2</v>
      </c>
      <c r="H123">
        <v>6</v>
      </c>
      <c r="I123" t="s">
        <v>5581</v>
      </c>
    </row>
    <row r="124" spans="1:9" x14ac:dyDescent="0.35">
      <c r="A124">
        <v>123</v>
      </c>
      <c r="B124">
        <v>766</v>
      </c>
      <c r="C124">
        <v>4</v>
      </c>
      <c r="D124" t="s">
        <v>5614</v>
      </c>
      <c r="E124" s="23">
        <v>42447</v>
      </c>
      <c r="F124" s="23">
        <v>42446</v>
      </c>
      <c r="G124">
        <v>2</v>
      </c>
      <c r="H124">
        <v>6</v>
      </c>
      <c r="I124" t="s">
        <v>5581</v>
      </c>
    </row>
    <row r="125" spans="1:9" x14ac:dyDescent="0.35">
      <c r="A125">
        <v>124</v>
      </c>
      <c r="B125">
        <v>403</v>
      </c>
      <c r="C125">
        <v>4</v>
      </c>
      <c r="D125" t="s">
        <v>5615</v>
      </c>
      <c r="E125" s="23">
        <v>42447</v>
      </c>
      <c r="F125" s="23">
        <v>42446</v>
      </c>
      <c r="G125">
        <v>1</v>
      </c>
      <c r="H125">
        <v>3</v>
      </c>
      <c r="I125" t="s">
        <v>5581</v>
      </c>
    </row>
    <row r="126" spans="1:9" x14ac:dyDescent="0.35">
      <c r="A126">
        <v>125</v>
      </c>
      <c r="B126">
        <v>685</v>
      </c>
      <c r="C126">
        <v>4</v>
      </c>
      <c r="D126" t="s">
        <v>5615</v>
      </c>
      <c r="E126" s="23">
        <v>42448</v>
      </c>
      <c r="F126" s="23">
        <v>42446</v>
      </c>
      <c r="G126">
        <v>2</v>
      </c>
      <c r="H126">
        <v>6</v>
      </c>
      <c r="I126" t="s">
        <v>5581</v>
      </c>
    </row>
    <row r="127" spans="1:9" x14ac:dyDescent="0.35">
      <c r="A127">
        <v>126</v>
      </c>
      <c r="B127">
        <v>1365</v>
      </c>
      <c r="C127">
        <v>4</v>
      </c>
      <c r="D127" t="s">
        <v>5615</v>
      </c>
      <c r="E127" s="23">
        <v>42447</v>
      </c>
      <c r="F127" s="23">
        <v>42447</v>
      </c>
      <c r="G127">
        <v>2</v>
      </c>
      <c r="H127">
        <v>7</v>
      </c>
      <c r="I127" t="s">
        <v>5581</v>
      </c>
    </row>
    <row r="128" spans="1:9" x14ac:dyDescent="0.35">
      <c r="A128">
        <v>127</v>
      </c>
      <c r="B128">
        <v>484</v>
      </c>
      <c r="C128">
        <v>4</v>
      </c>
      <c r="D128" t="s">
        <v>5616</v>
      </c>
      <c r="E128" s="23">
        <v>42447</v>
      </c>
      <c r="F128" s="23">
        <v>42448</v>
      </c>
      <c r="G128">
        <v>3</v>
      </c>
      <c r="H128">
        <v>8</v>
      </c>
      <c r="I128" t="s">
        <v>5581</v>
      </c>
    </row>
    <row r="129" spans="1:9" x14ac:dyDescent="0.35">
      <c r="A129">
        <v>128</v>
      </c>
      <c r="B129">
        <v>86</v>
      </c>
      <c r="C129">
        <v>4</v>
      </c>
      <c r="D129" t="s">
        <v>5617</v>
      </c>
      <c r="E129" s="23">
        <v>42449</v>
      </c>
      <c r="F129" s="23">
        <v>42450</v>
      </c>
      <c r="G129">
        <v>2</v>
      </c>
      <c r="H129">
        <v>6</v>
      </c>
      <c r="I129" t="s">
        <v>5581</v>
      </c>
    </row>
    <row r="130" spans="1:9" x14ac:dyDescent="0.35">
      <c r="A130">
        <v>129</v>
      </c>
      <c r="B130">
        <v>84</v>
      </c>
      <c r="C130">
        <v>4</v>
      </c>
      <c r="D130" t="s">
        <v>5618</v>
      </c>
      <c r="E130" s="23">
        <v>42450</v>
      </c>
      <c r="F130" s="23">
        <v>42450</v>
      </c>
      <c r="G130">
        <v>2</v>
      </c>
      <c r="H130">
        <v>7</v>
      </c>
      <c r="I130" t="s">
        <v>5581</v>
      </c>
    </row>
    <row r="131" spans="1:9" x14ac:dyDescent="0.35">
      <c r="A131">
        <v>130</v>
      </c>
      <c r="B131">
        <v>1049</v>
      </c>
      <c r="C131">
        <v>4</v>
      </c>
      <c r="D131" t="s">
        <v>5618</v>
      </c>
      <c r="E131" s="23">
        <v>42451</v>
      </c>
      <c r="F131" s="23">
        <v>42449</v>
      </c>
      <c r="G131">
        <v>2</v>
      </c>
      <c r="H131">
        <v>6</v>
      </c>
      <c r="I131" t="s">
        <v>5581</v>
      </c>
    </row>
    <row r="132" spans="1:9" x14ac:dyDescent="0.35">
      <c r="A132">
        <v>131</v>
      </c>
      <c r="B132">
        <v>316</v>
      </c>
      <c r="C132">
        <v>4</v>
      </c>
      <c r="D132" t="s">
        <v>5618</v>
      </c>
      <c r="E132" s="23">
        <v>42451</v>
      </c>
      <c r="F132" s="23">
        <v>42449</v>
      </c>
      <c r="G132">
        <v>3</v>
      </c>
      <c r="H132">
        <v>8</v>
      </c>
      <c r="I132" t="s">
        <v>5581</v>
      </c>
    </row>
    <row r="133" spans="1:9" x14ac:dyDescent="0.35">
      <c r="A133">
        <v>132</v>
      </c>
      <c r="B133">
        <v>46</v>
      </c>
      <c r="C133">
        <v>4</v>
      </c>
      <c r="D133" t="s">
        <v>5619</v>
      </c>
      <c r="E133" s="23">
        <v>42451</v>
      </c>
      <c r="F133" s="23">
        <v>42452</v>
      </c>
      <c r="G133">
        <v>1</v>
      </c>
      <c r="H133">
        <v>3</v>
      </c>
      <c r="I133" t="s">
        <v>5581</v>
      </c>
    </row>
    <row r="134" spans="1:9" x14ac:dyDescent="0.35">
      <c r="A134">
        <v>133</v>
      </c>
      <c r="B134">
        <v>409</v>
      </c>
      <c r="C134">
        <v>4</v>
      </c>
      <c r="D134" t="s">
        <v>5619</v>
      </c>
      <c r="E134" s="23">
        <v>42451</v>
      </c>
      <c r="F134" s="23">
        <v>42450</v>
      </c>
      <c r="G134">
        <v>2</v>
      </c>
      <c r="H134">
        <v>7</v>
      </c>
      <c r="I134" t="s">
        <v>5581</v>
      </c>
    </row>
    <row r="135" spans="1:9" x14ac:dyDescent="0.35">
      <c r="A135">
        <v>134</v>
      </c>
      <c r="B135">
        <v>679</v>
      </c>
      <c r="C135">
        <v>4</v>
      </c>
      <c r="D135" t="s">
        <v>5619</v>
      </c>
      <c r="E135" s="23">
        <v>42450</v>
      </c>
      <c r="F135" s="23">
        <v>42450</v>
      </c>
      <c r="G135">
        <v>2</v>
      </c>
      <c r="H135">
        <v>7</v>
      </c>
      <c r="I135" t="s">
        <v>5581</v>
      </c>
    </row>
    <row r="136" spans="1:9" x14ac:dyDescent="0.35">
      <c r="A136">
        <v>135</v>
      </c>
      <c r="B136">
        <v>1354</v>
      </c>
      <c r="C136">
        <v>4</v>
      </c>
      <c r="D136" t="s">
        <v>5620</v>
      </c>
      <c r="E136" s="23">
        <v>42452</v>
      </c>
      <c r="F136" s="23">
        <v>42452</v>
      </c>
      <c r="G136">
        <v>2</v>
      </c>
      <c r="H136">
        <v>7</v>
      </c>
      <c r="I136" t="s">
        <v>5581</v>
      </c>
    </row>
    <row r="137" spans="1:9" x14ac:dyDescent="0.35">
      <c r="A137">
        <v>136</v>
      </c>
      <c r="B137">
        <v>1192</v>
      </c>
      <c r="C137">
        <v>4</v>
      </c>
      <c r="D137" t="s">
        <v>5620</v>
      </c>
      <c r="E137" s="23">
        <v>42453</v>
      </c>
      <c r="F137" s="23">
        <v>42452</v>
      </c>
      <c r="G137">
        <v>3</v>
      </c>
      <c r="H137">
        <v>8</v>
      </c>
      <c r="I137" t="s">
        <v>5581</v>
      </c>
    </row>
    <row r="138" spans="1:9" x14ac:dyDescent="0.35">
      <c r="A138">
        <v>137</v>
      </c>
      <c r="B138">
        <v>370</v>
      </c>
      <c r="C138">
        <v>4</v>
      </c>
      <c r="D138" t="s">
        <v>5621</v>
      </c>
      <c r="E138" s="23">
        <v>42455</v>
      </c>
      <c r="F138" s="23">
        <v>42454</v>
      </c>
      <c r="G138">
        <v>2</v>
      </c>
      <c r="H138">
        <v>7</v>
      </c>
      <c r="I138" t="s">
        <v>5581</v>
      </c>
    </row>
    <row r="139" spans="1:9" x14ac:dyDescent="0.35">
      <c r="A139">
        <v>138</v>
      </c>
      <c r="B139">
        <v>438</v>
      </c>
      <c r="C139">
        <v>4</v>
      </c>
      <c r="D139" t="s">
        <v>5621</v>
      </c>
      <c r="E139" s="23">
        <v>42453</v>
      </c>
      <c r="F139" s="23">
        <v>42454</v>
      </c>
      <c r="G139">
        <v>2</v>
      </c>
      <c r="H139">
        <v>7</v>
      </c>
      <c r="I139" t="s">
        <v>5581</v>
      </c>
    </row>
    <row r="140" spans="1:9" x14ac:dyDescent="0.35">
      <c r="A140">
        <v>139</v>
      </c>
      <c r="B140">
        <v>710</v>
      </c>
      <c r="C140">
        <v>4</v>
      </c>
      <c r="D140" t="s">
        <v>5621</v>
      </c>
      <c r="E140" s="23">
        <v>42453</v>
      </c>
      <c r="F140" s="23">
        <v>42455</v>
      </c>
      <c r="G140">
        <v>2</v>
      </c>
      <c r="H140">
        <v>7</v>
      </c>
      <c r="I140" t="s">
        <v>5581</v>
      </c>
    </row>
    <row r="141" spans="1:9" x14ac:dyDescent="0.35">
      <c r="A141">
        <v>140</v>
      </c>
      <c r="B141">
        <v>1264</v>
      </c>
      <c r="C141">
        <v>4</v>
      </c>
      <c r="D141" t="s">
        <v>5621</v>
      </c>
      <c r="E141" s="23">
        <v>42455</v>
      </c>
      <c r="F141" s="23">
        <v>42455</v>
      </c>
      <c r="G141">
        <v>2</v>
      </c>
      <c r="H141">
        <v>7</v>
      </c>
      <c r="I141" t="s">
        <v>5581</v>
      </c>
    </row>
    <row r="142" spans="1:9" x14ac:dyDescent="0.35">
      <c r="A142">
        <v>141</v>
      </c>
      <c r="B142">
        <v>557</v>
      </c>
      <c r="C142">
        <v>4</v>
      </c>
      <c r="D142" t="s">
        <v>5622</v>
      </c>
      <c r="E142" s="23">
        <v>42456</v>
      </c>
      <c r="F142" s="23">
        <v>42455</v>
      </c>
      <c r="G142">
        <v>2</v>
      </c>
      <c r="H142">
        <v>7</v>
      </c>
      <c r="I142" t="s">
        <v>5581</v>
      </c>
    </row>
    <row r="143" spans="1:9" x14ac:dyDescent="0.35">
      <c r="A143">
        <v>142</v>
      </c>
      <c r="B143">
        <v>170</v>
      </c>
      <c r="C143">
        <v>4</v>
      </c>
      <c r="D143" t="s">
        <v>5623</v>
      </c>
      <c r="E143" s="23">
        <v>42456</v>
      </c>
      <c r="F143" s="23">
        <v>42456</v>
      </c>
      <c r="G143">
        <v>1</v>
      </c>
      <c r="H143">
        <v>3</v>
      </c>
      <c r="I143" t="s">
        <v>5581</v>
      </c>
    </row>
    <row r="144" spans="1:9" x14ac:dyDescent="0.35">
      <c r="A144">
        <v>143</v>
      </c>
      <c r="B144">
        <v>693</v>
      </c>
      <c r="C144">
        <v>4</v>
      </c>
      <c r="D144" t="s">
        <v>5623</v>
      </c>
      <c r="E144" s="23">
        <v>42457</v>
      </c>
      <c r="F144" s="23">
        <v>42457</v>
      </c>
      <c r="G144">
        <v>2</v>
      </c>
      <c r="H144">
        <v>7</v>
      </c>
      <c r="I144" t="s">
        <v>5581</v>
      </c>
    </row>
    <row r="145" spans="1:9" x14ac:dyDescent="0.35">
      <c r="A145">
        <v>144</v>
      </c>
      <c r="B145">
        <v>1124</v>
      </c>
      <c r="C145">
        <v>4</v>
      </c>
      <c r="D145" t="s">
        <v>5623</v>
      </c>
      <c r="E145" s="23">
        <v>42458</v>
      </c>
      <c r="F145" s="23">
        <v>42458</v>
      </c>
      <c r="G145">
        <v>2</v>
      </c>
      <c r="H145">
        <v>7</v>
      </c>
      <c r="I145" t="s">
        <v>5581</v>
      </c>
    </row>
    <row r="146" spans="1:9" x14ac:dyDescent="0.35">
      <c r="A146">
        <v>145</v>
      </c>
      <c r="B146">
        <v>366</v>
      </c>
      <c r="C146">
        <v>4</v>
      </c>
      <c r="D146" t="s">
        <v>5624</v>
      </c>
      <c r="E146" s="23">
        <v>42458</v>
      </c>
      <c r="F146" s="23">
        <v>42459</v>
      </c>
      <c r="G146">
        <v>2</v>
      </c>
      <c r="H146">
        <v>6</v>
      </c>
      <c r="I146" t="s">
        <v>5581</v>
      </c>
    </row>
    <row r="147" spans="1:9" x14ac:dyDescent="0.35">
      <c r="A147">
        <v>146</v>
      </c>
      <c r="B147">
        <v>288</v>
      </c>
      <c r="C147">
        <v>4</v>
      </c>
      <c r="D147" t="s">
        <v>5625</v>
      </c>
      <c r="E147" s="23">
        <v>42459</v>
      </c>
      <c r="F147" s="23">
        <v>42459</v>
      </c>
      <c r="G147">
        <v>1</v>
      </c>
      <c r="H147">
        <v>3</v>
      </c>
      <c r="I147" t="s">
        <v>5581</v>
      </c>
    </row>
    <row r="148" spans="1:9" x14ac:dyDescent="0.35">
      <c r="A148">
        <v>147</v>
      </c>
      <c r="B148">
        <v>55</v>
      </c>
      <c r="C148">
        <v>4</v>
      </c>
      <c r="D148" t="s">
        <v>5625</v>
      </c>
      <c r="E148" s="23">
        <v>42460</v>
      </c>
      <c r="F148" s="23">
        <v>42460</v>
      </c>
      <c r="G148">
        <v>2</v>
      </c>
      <c r="H148">
        <v>7</v>
      </c>
      <c r="I148" t="s">
        <v>5581</v>
      </c>
    </row>
    <row r="149" spans="1:9" x14ac:dyDescent="0.35">
      <c r="A149">
        <v>148</v>
      </c>
      <c r="B149">
        <v>714</v>
      </c>
      <c r="C149">
        <v>4</v>
      </c>
      <c r="D149" t="s">
        <v>5625</v>
      </c>
      <c r="E149" s="23">
        <v>42459</v>
      </c>
      <c r="F149" s="23">
        <v>42459</v>
      </c>
      <c r="G149">
        <v>2</v>
      </c>
      <c r="H149">
        <v>6</v>
      </c>
      <c r="I149" t="s">
        <v>5581</v>
      </c>
    </row>
    <row r="150" spans="1:9" x14ac:dyDescent="0.35">
      <c r="A150">
        <v>149</v>
      </c>
      <c r="B150">
        <v>763</v>
      </c>
      <c r="C150">
        <v>4</v>
      </c>
      <c r="D150" t="s">
        <v>5625</v>
      </c>
      <c r="E150" s="23">
        <v>42459</v>
      </c>
      <c r="F150" s="23">
        <v>42458</v>
      </c>
      <c r="G150">
        <v>2</v>
      </c>
      <c r="H150">
        <v>6</v>
      </c>
      <c r="I150" t="s">
        <v>5581</v>
      </c>
    </row>
    <row r="151" spans="1:9" x14ac:dyDescent="0.35">
      <c r="A151">
        <v>150</v>
      </c>
      <c r="B151">
        <v>332</v>
      </c>
      <c r="C151">
        <v>4</v>
      </c>
      <c r="D151" t="s">
        <v>5626</v>
      </c>
      <c r="E151" s="23">
        <v>42460</v>
      </c>
      <c r="F151" s="23">
        <v>42461</v>
      </c>
      <c r="G151">
        <v>1</v>
      </c>
      <c r="H151">
        <v>2</v>
      </c>
      <c r="I151" t="s">
        <v>5581</v>
      </c>
    </row>
    <row r="152" spans="1:9" x14ac:dyDescent="0.35">
      <c r="A152">
        <v>151</v>
      </c>
      <c r="B152">
        <v>926</v>
      </c>
      <c r="C152">
        <v>4</v>
      </c>
      <c r="D152" t="s">
        <v>5626</v>
      </c>
      <c r="E152" s="23">
        <v>42461</v>
      </c>
      <c r="F152" s="23">
        <v>42460</v>
      </c>
      <c r="G152">
        <v>1</v>
      </c>
      <c r="H152">
        <v>2</v>
      </c>
      <c r="I152" t="s">
        <v>5581</v>
      </c>
    </row>
    <row r="153" spans="1:9" x14ac:dyDescent="0.35">
      <c r="A153">
        <v>152</v>
      </c>
      <c r="B153">
        <v>76</v>
      </c>
      <c r="C153">
        <v>4</v>
      </c>
      <c r="D153" t="s">
        <v>5626</v>
      </c>
      <c r="E153" s="23">
        <v>42459</v>
      </c>
      <c r="F153" s="23">
        <v>42459</v>
      </c>
      <c r="G153">
        <v>2</v>
      </c>
      <c r="H153">
        <v>6</v>
      </c>
      <c r="I153" t="s">
        <v>5581</v>
      </c>
    </row>
    <row r="154" spans="1:9" x14ac:dyDescent="0.35">
      <c r="A154">
        <v>153</v>
      </c>
      <c r="B154">
        <v>498</v>
      </c>
      <c r="C154">
        <v>4</v>
      </c>
      <c r="D154" t="s">
        <v>5627</v>
      </c>
      <c r="E154" s="23">
        <v>42462</v>
      </c>
      <c r="F154" s="23">
        <v>42461</v>
      </c>
      <c r="G154">
        <v>2</v>
      </c>
      <c r="H154">
        <v>6</v>
      </c>
      <c r="I154" t="s">
        <v>5581</v>
      </c>
    </row>
    <row r="155" spans="1:9" x14ac:dyDescent="0.35">
      <c r="A155">
        <v>154</v>
      </c>
      <c r="B155">
        <v>1286</v>
      </c>
      <c r="C155">
        <v>4</v>
      </c>
      <c r="D155" t="s">
        <v>5628</v>
      </c>
      <c r="E155" s="23">
        <v>42461</v>
      </c>
      <c r="F155" s="23">
        <v>42461</v>
      </c>
      <c r="G155">
        <v>1</v>
      </c>
      <c r="H155">
        <v>2</v>
      </c>
      <c r="I155" t="s">
        <v>5581</v>
      </c>
    </row>
    <row r="156" spans="1:9" x14ac:dyDescent="0.35">
      <c r="A156">
        <v>155</v>
      </c>
      <c r="B156">
        <v>371</v>
      </c>
      <c r="C156">
        <v>4</v>
      </c>
      <c r="D156" s="23">
        <v>42404</v>
      </c>
      <c r="E156" s="23">
        <v>42463</v>
      </c>
      <c r="F156" s="23">
        <v>42464</v>
      </c>
      <c r="G156">
        <v>2</v>
      </c>
      <c r="H156">
        <v>6</v>
      </c>
      <c r="I156" t="s">
        <v>5581</v>
      </c>
    </row>
    <row r="157" spans="1:9" x14ac:dyDescent="0.35">
      <c r="A157">
        <v>156</v>
      </c>
      <c r="B157">
        <v>357</v>
      </c>
      <c r="C157">
        <v>4</v>
      </c>
      <c r="D157" s="23">
        <v>42433</v>
      </c>
      <c r="E157" s="23">
        <v>42466</v>
      </c>
      <c r="F157" s="23">
        <v>42465</v>
      </c>
      <c r="G157">
        <v>1</v>
      </c>
      <c r="H157">
        <v>3</v>
      </c>
      <c r="I157" t="s">
        <v>5581</v>
      </c>
    </row>
    <row r="158" spans="1:9" x14ac:dyDescent="0.35">
      <c r="A158">
        <v>157</v>
      </c>
      <c r="B158">
        <v>43</v>
      </c>
      <c r="C158">
        <v>4</v>
      </c>
      <c r="D158" s="23">
        <v>42433</v>
      </c>
      <c r="E158" s="23">
        <v>42466</v>
      </c>
      <c r="F158" s="23">
        <v>42466</v>
      </c>
      <c r="G158">
        <v>3</v>
      </c>
      <c r="H158">
        <v>8</v>
      </c>
      <c r="I158" t="s">
        <v>5581</v>
      </c>
    </row>
    <row r="159" spans="1:9" x14ac:dyDescent="0.35">
      <c r="A159">
        <v>158</v>
      </c>
      <c r="B159">
        <v>117</v>
      </c>
      <c r="C159">
        <v>3</v>
      </c>
      <c r="D159" s="23">
        <v>42464</v>
      </c>
      <c r="E159" s="23">
        <v>42464</v>
      </c>
      <c r="F159" t="s">
        <v>5597</v>
      </c>
      <c r="G159">
        <v>3</v>
      </c>
      <c r="H159">
        <v>9</v>
      </c>
      <c r="I159" t="s">
        <v>5598</v>
      </c>
    </row>
    <row r="160" spans="1:9" x14ac:dyDescent="0.35">
      <c r="A160">
        <v>159</v>
      </c>
      <c r="B160">
        <v>32</v>
      </c>
      <c r="C160">
        <v>4</v>
      </c>
      <c r="D160" s="23">
        <v>42464</v>
      </c>
      <c r="E160" s="23">
        <v>42466</v>
      </c>
      <c r="F160" s="23">
        <v>42466</v>
      </c>
      <c r="G160">
        <v>1</v>
      </c>
      <c r="H160">
        <v>2</v>
      </c>
      <c r="I160" t="s">
        <v>5581</v>
      </c>
    </row>
    <row r="161" spans="1:9" x14ac:dyDescent="0.35">
      <c r="A161">
        <v>160</v>
      </c>
      <c r="B161">
        <v>205</v>
      </c>
      <c r="C161">
        <v>4</v>
      </c>
      <c r="D161" s="23">
        <v>42464</v>
      </c>
      <c r="E161" s="23">
        <v>42466</v>
      </c>
      <c r="F161" s="23">
        <v>42466</v>
      </c>
      <c r="G161">
        <v>2</v>
      </c>
      <c r="H161">
        <v>7</v>
      </c>
      <c r="I161" t="s">
        <v>5581</v>
      </c>
    </row>
    <row r="162" spans="1:9" x14ac:dyDescent="0.35">
      <c r="A162">
        <v>161</v>
      </c>
      <c r="B162">
        <v>251</v>
      </c>
      <c r="C162">
        <v>4</v>
      </c>
      <c r="D162" s="23">
        <v>42464</v>
      </c>
      <c r="E162" s="23">
        <v>42467</v>
      </c>
      <c r="F162" s="23">
        <v>42465</v>
      </c>
      <c r="G162">
        <v>2</v>
      </c>
      <c r="H162">
        <v>7</v>
      </c>
      <c r="I162" t="s">
        <v>5581</v>
      </c>
    </row>
    <row r="163" spans="1:9" x14ac:dyDescent="0.35">
      <c r="A163">
        <v>162</v>
      </c>
      <c r="B163">
        <v>31</v>
      </c>
      <c r="C163">
        <v>4</v>
      </c>
      <c r="D163" s="23">
        <v>42525</v>
      </c>
      <c r="E163" s="23">
        <v>42468</v>
      </c>
      <c r="F163" s="23">
        <v>42467</v>
      </c>
      <c r="G163">
        <v>1</v>
      </c>
      <c r="H163">
        <v>3</v>
      </c>
      <c r="I163" t="s">
        <v>5581</v>
      </c>
    </row>
    <row r="164" spans="1:9" x14ac:dyDescent="0.35">
      <c r="A164">
        <v>163</v>
      </c>
      <c r="B164">
        <v>1325</v>
      </c>
      <c r="C164">
        <v>4</v>
      </c>
      <c r="D164" s="23">
        <v>42525</v>
      </c>
      <c r="E164" s="23">
        <v>42467</v>
      </c>
      <c r="F164" s="23">
        <v>42467</v>
      </c>
      <c r="G164">
        <v>2</v>
      </c>
      <c r="H164">
        <v>7</v>
      </c>
      <c r="I164" t="s">
        <v>5581</v>
      </c>
    </row>
    <row r="165" spans="1:9" x14ac:dyDescent="0.35">
      <c r="A165">
        <v>164</v>
      </c>
      <c r="B165">
        <v>610</v>
      </c>
      <c r="C165">
        <v>4</v>
      </c>
      <c r="D165" s="23">
        <v>42555</v>
      </c>
      <c r="E165" s="23">
        <v>42468</v>
      </c>
      <c r="F165" s="23">
        <v>42469</v>
      </c>
      <c r="G165">
        <v>2</v>
      </c>
      <c r="H165">
        <v>7</v>
      </c>
      <c r="I165" t="s">
        <v>5581</v>
      </c>
    </row>
    <row r="166" spans="1:9" x14ac:dyDescent="0.35">
      <c r="A166">
        <v>165</v>
      </c>
      <c r="B166">
        <v>574</v>
      </c>
      <c r="C166">
        <v>4</v>
      </c>
      <c r="D166" s="23">
        <v>42586</v>
      </c>
      <c r="E166" s="23">
        <v>42470</v>
      </c>
      <c r="F166" s="23">
        <v>42470</v>
      </c>
      <c r="G166">
        <v>1</v>
      </c>
      <c r="H166">
        <v>3</v>
      </c>
      <c r="I166" t="s">
        <v>5581</v>
      </c>
    </row>
    <row r="167" spans="1:9" x14ac:dyDescent="0.35">
      <c r="A167">
        <v>166</v>
      </c>
      <c r="B167">
        <v>338</v>
      </c>
      <c r="C167">
        <v>4</v>
      </c>
      <c r="D167" s="23">
        <v>42586</v>
      </c>
      <c r="E167" s="23">
        <v>42471</v>
      </c>
      <c r="F167" s="23">
        <v>42471</v>
      </c>
      <c r="G167">
        <v>2</v>
      </c>
      <c r="H167">
        <v>6</v>
      </c>
      <c r="I167" t="s">
        <v>5581</v>
      </c>
    </row>
    <row r="168" spans="1:9" x14ac:dyDescent="0.35">
      <c r="A168">
        <v>167</v>
      </c>
      <c r="B168">
        <v>1034</v>
      </c>
      <c r="C168">
        <v>4</v>
      </c>
      <c r="D168" s="23">
        <v>42586</v>
      </c>
      <c r="E168" s="23">
        <v>42469</v>
      </c>
      <c r="F168" s="23">
        <v>42471</v>
      </c>
      <c r="G168">
        <v>2</v>
      </c>
      <c r="H168">
        <v>7</v>
      </c>
      <c r="I168" t="s">
        <v>5581</v>
      </c>
    </row>
    <row r="169" spans="1:9" x14ac:dyDescent="0.35">
      <c r="A169">
        <v>168</v>
      </c>
      <c r="B169">
        <v>1147</v>
      </c>
      <c r="C169">
        <v>4</v>
      </c>
      <c r="D169" s="23">
        <v>42617</v>
      </c>
      <c r="E169" s="23">
        <v>42472</v>
      </c>
      <c r="F169" s="23">
        <v>42471</v>
      </c>
      <c r="G169">
        <v>1</v>
      </c>
      <c r="H169">
        <v>3</v>
      </c>
      <c r="I169" t="s">
        <v>5581</v>
      </c>
    </row>
    <row r="170" spans="1:9" x14ac:dyDescent="0.35">
      <c r="A170">
        <v>169</v>
      </c>
      <c r="B170">
        <v>99</v>
      </c>
      <c r="C170">
        <v>4</v>
      </c>
      <c r="D170" s="23">
        <v>42647</v>
      </c>
      <c r="E170" s="23">
        <v>42471</v>
      </c>
      <c r="F170" s="23">
        <v>42471</v>
      </c>
      <c r="G170">
        <v>2</v>
      </c>
      <c r="H170">
        <v>7</v>
      </c>
      <c r="I170" t="s">
        <v>5581</v>
      </c>
    </row>
    <row r="171" spans="1:9" x14ac:dyDescent="0.35">
      <c r="A171">
        <v>170</v>
      </c>
      <c r="B171">
        <v>1200</v>
      </c>
      <c r="C171">
        <v>4</v>
      </c>
      <c r="D171" s="23">
        <v>42647</v>
      </c>
      <c r="E171" s="23">
        <v>42471</v>
      </c>
      <c r="F171" s="23">
        <v>42473</v>
      </c>
      <c r="G171">
        <v>2</v>
      </c>
      <c r="H171">
        <v>7</v>
      </c>
      <c r="I171" t="s">
        <v>5581</v>
      </c>
    </row>
    <row r="172" spans="1:9" x14ac:dyDescent="0.35">
      <c r="A172">
        <v>171</v>
      </c>
      <c r="B172">
        <v>237</v>
      </c>
      <c r="C172">
        <v>4</v>
      </c>
      <c r="D172" s="23">
        <v>42678</v>
      </c>
      <c r="E172" s="23">
        <v>42474</v>
      </c>
      <c r="F172" s="23">
        <v>42474</v>
      </c>
      <c r="G172">
        <v>1</v>
      </c>
      <c r="H172">
        <v>3</v>
      </c>
      <c r="I172" t="s">
        <v>5581</v>
      </c>
    </row>
    <row r="173" spans="1:9" x14ac:dyDescent="0.35">
      <c r="A173">
        <v>172</v>
      </c>
      <c r="B173">
        <v>1079</v>
      </c>
      <c r="C173">
        <v>4</v>
      </c>
      <c r="D173" s="23">
        <v>42678</v>
      </c>
      <c r="E173" s="23">
        <v>42472</v>
      </c>
      <c r="F173" s="23">
        <v>42474</v>
      </c>
      <c r="G173">
        <v>2</v>
      </c>
      <c r="H173">
        <v>7</v>
      </c>
      <c r="I173" t="s">
        <v>5581</v>
      </c>
    </row>
    <row r="174" spans="1:9" x14ac:dyDescent="0.35">
      <c r="A174">
        <v>173</v>
      </c>
      <c r="B174">
        <v>117</v>
      </c>
      <c r="C174">
        <v>4</v>
      </c>
      <c r="D174" s="23">
        <v>42678</v>
      </c>
      <c r="E174" s="23">
        <v>42474</v>
      </c>
      <c r="F174" s="23">
        <v>42473</v>
      </c>
      <c r="G174">
        <v>3</v>
      </c>
      <c r="H174">
        <v>8</v>
      </c>
      <c r="I174" t="s">
        <v>5581</v>
      </c>
    </row>
    <row r="175" spans="1:9" x14ac:dyDescent="0.35">
      <c r="A175">
        <v>174</v>
      </c>
      <c r="B175">
        <v>1361</v>
      </c>
      <c r="C175">
        <v>4</v>
      </c>
      <c r="D175" s="23">
        <v>42708</v>
      </c>
      <c r="E175" s="23">
        <v>42473</v>
      </c>
      <c r="F175" s="23">
        <v>42475</v>
      </c>
      <c r="G175">
        <v>2</v>
      </c>
      <c r="H175">
        <v>7</v>
      </c>
      <c r="I175" t="s">
        <v>5581</v>
      </c>
    </row>
    <row r="176" spans="1:9" x14ac:dyDescent="0.35">
      <c r="A176">
        <v>175</v>
      </c>
      <c r="B176">
        <v>951</v>
      </c>
      <c r="C176">
        <v>4</v>
      </c>
      <c r="D176" t="s">
        <v>5629</v>
      </c>
      <c r="E176" s="23">
        <v>42474</v>
      </c>
      <c r="F176" s="23">
        <v>42474</v>
      </c>
      <c r="G176">
        <v>2</v>
      </c>
      <c r="H176">
        <v>6</v>
      </c>
      <c r="I176" t="s">
        <v>5581</v>
      </c>
    </row>
    <row r="177" spans="1:9" x14ac:dyDescent="0.35">
      <c r="A177">
        <v>176</v>
      </c>
      <c r="B177">
        <v>643</v>
      </c>
      <c r="C177">
        <v>4</v>
      </c>
      <c r="D177" t="s">
        <v>5630</v>
      </c>
      <c r="E177" s="23">
        <v>42476</v>
      </c>
      <c r="F177" s="23">
        <v>42477</v>
      </c>
      <c r="G177">
        <v>2</v>
      </c>
      <c r="H177">
        <v>7</v>
      </c>
      <c r="I177" t="s">
        <v>5581</v>
      </c>
    </row>
    <row r="178" spans="1:9" x14ac:dyDescent="0.35">
      <c r="A178">
        <v>177</v>
      </c>
      <c r="B178">
        <v>121</v>
      </c>
      <c r="C178">
        <v>4</v>
      </c>
      <c r="D178" t="s">
        <v>5631</v>
      </c>
      <c r="E178" s="23">
        <v>42479</v>
      </c>
      <c r="F178" s="23">
        <v>42479</v>
      </c>
      <c r="G178">
        <v>1</v>
      </c>
      <c r="H178">
        <v>2</v>
      </c>
      <c r="I178" t="s">
        <v>5581</v>
      </c>
    </row>
    <row r="179" spans="1:9" x14ac:dyDescent="0.35">
      <c r="A179">
        <v>178</v>
      </c>
      <c r="B179">
        <v>756</v>
      </c>
      <c r="C179">
        <v>4</v>
      </c>
      <c r="D179" t="s">
        <v>5631</v>
      </c>
      <c r="E179" s="23">
        <v>42477</v>
      </c>
      <c r="F179" s="23">
        <v>42478</v>
      </c>
      <c r="G179">
        <v>2</v>
      </c>
      <c r="H179">
        <v>6</v>
      </c>
      <c r="I179" t="s">
        <v>5581</v>
      </c>
    </row>
    <row r="180" spans="1:9" x14ac:dyDescent="0.35">
      <c r="A180">
        <v>179</v>
      </c>
      <c r="B180">
        <v>616</v>
      </c>
      <c r="C180">
        <v>4</v>
      </c>
      <c r="D180" t="s">
        <v>5632</v>
      </c>
      <c r="E180" s="23">
        <v>42479</v>
      </c>
      <c r="F180" s="23">
        <v>42479</v>
      </c>
      <c r="G180">
        <v>2</v>
      </c>
      <c r="H180">
        <v>6</v>
      </c>
      <c r="I180" t="s">
        <v>5581</v>
      </c>
    </row>
    <row r="181" spans="1:9" x14ac:dyDescent="0.35">
      <c r="A181">
        <v>180</v>
      </c>
      <c r="B181">
        <v>918</v>
      </c>
      <c r="C181">
        <v>4</v>
      </c>
      <c r="D181" t="s">
        <v>5632</v>
      </c>
      <c r="E181" s="23">
        <v>42480</v>
      </c>
      <c r="F181" s="23">
        <v>42479</v>
      </c>
      <c r="G181">
        <v>2</v>
      </c>
      <c r="H181">
        <v>7</v>
      </c>
      <c r="I181" t="s">
        <v>5581</v>
      </c>
    </row>
    <row r="182" spans="1:9" x14ac:dyDescent="0.35">
      <c r="A182">
        <v>181</v>
      </c>
      <c r="B182">
        <v>459</v>
      </c>
      <c r="C182">
        <v>4</v>
      </c>
      <c r="D182" t="s">
        <v>5633</v>
      </c>
      <c r="E182" s="23">
        <v>42480</v>
      </c>
      <c r="F182" s="23">
        <v>42480</v>
      </c>
      <c r="G182">
        <v>1</v>
      </c>
      <c r="H182">
        <v>3</v>
      </c>
      <c r="I182" t="s">
        <v>5581</v>
      </c>
    </row>
    <row r="183" spans="1:9" x14ac:dyDescent="0.35">
      <c r="A183">
        <v>182</v>
      </c>
      <c r="B183">
        <v>854</v>
      </c>
      <c r="C183">
        <v>4</v>
      </c>
      <c r="D183" t="s">
        <v>5633</v>
      </c>
      <c r="E183" s="23">
        <v>42479</v>
      </c>
      <c r="F183" s="23">
        <v>42480</v>
      </c>
      <c r="G183">
        <v>2</v>
      </c>
      <c r="H183">
        <v>6</v>
      </c>
      <c r="I183" t="s">
        <v>5581</v>
      </c>
    </row>
    <row r="184" spans="1:9" x14ac:dyDescent="0.35">
      <c r="A184">
        <v>183</v>
      </c>
      <c r="B184">
        <v>22</v>
      </c>
      <c r="C184">
        <v>4</v>
      </c>
      <c r="D184" t="s">
        <v>5634</v>
      </c>
      <c r="E184" s="23">
        <v>42480</v>
      </c>
      <c r="F184" s="23">
        <v>42480</v>
      </c>
      <c r="G184">
        <v>2</v>
      </c>
      <c r="H184">
        <v>7</v>
      </c>
      <c r="I184" t="s">
        <v>5581</v>
      </c>
    </row>
    <row r="185" spans="1:9" x14ac:dyDescent="0.35">
      <c r="A185">
        <v>184</v>
      </c>
      <c r="B185">
        <v>134</v>
      </c>
      <c r="C185">
        <v>4</v>
      </c>
      <c r="D185" t="s">
        <v>5634</v>
      </c>
      <c r="E185" s="23">
        <v>42481</v>
      </c>
      <c r="F185" s="23">
        <v>42482</v>
      </c>
      <c r="G185">
        <v>2</v>
      </c>
      <c r="H185">
        <v>7</v>
      </c>
      <c r="I185" t="s">
        <v>5581</v>
      </c>
    </row>
    <row r="186" spans="1:9" x14ac:dyDescent="0.35">
      <c r="A186">
        <v>185</v>
      </c>
      <c r="B186">
        <v>24</v>
      </c>
      <c r="C186">
        <v>3</v>
      </c>
      <c r="D186" t="s">
        <v>5635</v>
      </c>
      <c r="E186" s="23">
        <v>42480</v>
      </c>
      <c r="F186" t="s">
        <v>5597</v>
      </c>
      <c r="G186">
        <v>1</v>
      </c>
      <c r="H186">
        <v>2</v>
      </c>
      <c r="I186" t="s">
        <v>5598</v>
      </c>
    </row>
    <row r="187" spans="1:9" x14ac:dyDescent="0.35">
      <c r="A187">
        <v>186</v>
      </c>
      <c r="B187">
        <v>1127</v>
      </c>
      <c r="C187">
        <v>4</v>
      </c>
      <c r="D187" t="s">
        <v>5636</v>
      </c>
      <c r="E187" s="23">
        <v>42482</v>
      </c>
      <c r="F187" s="23">
        <v>42484</v>
      </c>
      <c r="G187">
        <v>2</v>
      </c>
      <c r="H187">
        <v>6</v>
      </c>
      <c r="I187" t="s">
        <v>5581</v>
      </c>
    </row>
    <row r="188" spans="1:9" x14ac:dyDescent="0.35">
      <c r="A188">
        <v>187</v>
      </c>
      <c r="B188">
        <v>183</v>
      </c>
      <c r="C188">
        <v>4</v>
      </c>
      <c r="D188" t="s">
        <v>5637</v>
      </c>
      <c r="E188" s="23">
        <v>42483</v>
      </c>
      <c r="F188" s="23">
        <v>42484</v>
      </c>
      <c r="G188">
        <v>2</v>
      </c>
      <c r="H188">
        <v>6</v>
      </c>
      <c r="I188" t="s">
        <v>5581</v>
      </c>
    </row>
    <row r="189" spans="1:9" x14ac:dyDescent="0.35">
      <c r="A189">
        <v>188</v>
      </c>
      <c r="B189">
        <v>390</v>
      </c>
      <c r="C189">
        <v>4</v>
      </c>
      <c r="D189" t="s">
        <v>5637</v>
      </c>
      <c r="E189" s="23">
        <v>42483</v>
      </c>
      <c r="F189" s="23">
        <v>42485</v>
      </c>
      <c r="G189">
        <v>2</v>
      </c>
      <c r="H189">
        <v>6</v>
      </c>
      <c r="I189" t="s">
        <v>5581</v>
      </c>
    </row>
    <row r="190" spans="1:9" x14ac:dyDescent="0.35">
      <c r="A190">
        <v>189</v>
      </c>
      <c r="B190">
        <v>1288</v>
      </c>
      <c r="C190">
        <v>4</v>
      </c>
      <c r="D190" t="s">
        <v>5638</v>
      </c>
      <c r="E190" s="23">
        <v>42484</v>
      </c>
      <c r="F190" s="23">
        <v>42486</v>
      </c>
      <c r="G190">
        <v>1</v>
      </c>
      <c r="H190">
        <v>2</v>
      </c>
      <c r="I190" t="s">
        <v>5581</v>
      </c>
    </row>
    <row r="191" spans="1:9" x14ac:dyDescent="0.35">
      <c r="A191">
        <v>190</v>
      </c>
      <c r="B191">
        <v>98</v>
      </c>
      <c r="C191">
        <v>4</v>
      </c>
      <c r="D191" t="s">
        <v>5638</v>
      </c>
      <c r="E191" s="23">
        <v>42485</v>
      </c>
      <c r="F191" s="23">
        <v>42485</v>
      </c>
      <c r="G191">
        <v>2</v>
      </c>
      <c r="H191">
        <v>6</v>
      </c>
      <c r="I191" t="s">
        <v>5581</v>
      </c>
    </row>
    <row r="192" spans="1:9" x14ac:dyDescent="0.35">
      <c r="A192">
        <v>191</v>
      </c>
      <c r="B192">
        <v>919</v>
      </c>
      <c r="C192">
        <v>4</v>
      </c>
      <c r="D192" t="s">
        <v>5639</v>
      </c>
      <c r="E192" s="23">
        <v>42488</v>
      </c>
      <c r="F192" s="23">
        <v>42488</v>
      </c>
      <c r="G192">
        <v>1</v>
      </c>
      <c r="H192">
        <v>2</v>
      </c>
      <c r="I192" t="s">
        <v>5581</v>
      </c>
    </row>
    <row r="193" spans="1:9" x14ac:dyDescent="0.35">
      <c r="A193">
        <v>192</v>
      </c>
      <c r="B193">
        <v>728</v>
      </c>
      <c r="C193">
        <v>4</v>
      </c>
      <c r="D193" t="s">
        <v>5639</v>
      </c>
      <c r="E193" s="23">
        <v>42488</v>
      </c>
      <c r="F193" s="23">
        <v>42489</v>
      </c>
      <c r="G193">
        <v>2</v>
      </c>
      <c r="H193">
        <v>7</v>
      </c>
      <c r="I193" t="s">
        <v>5581</v>
      </c>
    </row>
    <row r="194" spans="1:9" x14ac:dyDescent="0.35">
      <c r="A194">
        <v>193</v>
      </c>
      <c r="B194">
        <v>1366</v>
      </c>
      <c r="C194">
        <v>4</v>
      </c>
      <c r="D194" t="s">
        <v>5640</v>
      </c>
      <c r="E194" s="23">
        <v>42490</v>
      </c>
      <c r="F194" s="23">
        <v>42490</v>
      </c>
      <c r="G194">
        <v>1</v>
      </c>
      <c r="H194">
        <v>3</v>
      </c>
      <c r="I194" t="s">
        <v>5581</v>
      </c>
    </row>
    <row r="195" spans="1:9" x14ac:dyDescent="0.35">
      <c r="A195">
        <v>194</v>
      </c>
      <c r="B195">
        <v>558</v>
      </c>
      <c r="C195">
        <v>4</v>
      </c>
      <c r="D195" t="s">
        <v>5640</v>
      </c>
      <c r="E195" s="23">
        <v>42490</v>
      </c>
      <c r="F195" s="23">
        <v>42491</v>
      </c>
      <c r="G195">
        <v>2</v>
      </c>
      <c r="H195">
        <v>7</v>
      </c>
      <c r="I195" t="s">
        <v>5581</v>
      </c>
    </row>
    <row r="196" spans="1:9" x14ac:dyDescent="0.35">
      <c r="A196">
        <v>195</v>
      </c>
      <c r="B196">
        <v>727</v>
      </c>
      <c r="C196">
        <v>4</v>
      </c>
      <c r="D196" t="s">
        <v>5640</v>
      </c>
      <c r="E196" s="23">
        <v>42491</v>
      </c>
      <c r="F196" s="23">
        <v>42491</v>
      </c>
      <c r="G196">
        <v>2</v>
      </c>
      <c r="H196">
        <v>7</v>
      </c>
      <c r="I196" t="s">
        <v>5581</v>
      </c>
    </row>
    <row r="197" spans="1:9" x14ac:dyDescent="0.35">
      <c r="A197">
        <v>196</v>
      </c>
      <c r="B197">
        <v>1247</v>
      </c>
      <c r="C197">
        <v>4</v>
      </c>
      <c r="D197" t="s">
        <v>5640</v>
      </c>
      <c r="E197" s="23">
        <v>42490</v>
      </c>
      <c r="F197" s="23">
        <v>42491</v>
      </c>
      <c r="G197">
        <v>2</v>
      </c>
      <c r="H197">
        <v>6</v>
      </c>
      <c r="I197" t="s">
        <v>5581</v>
      </c>
    </row>
    <row r="198" spans="1:9" x14ac:dyDescent="0.35">
      <c r="A198">
        <v>197</v>
      </c>
      <c r="B198">
        <v>127</v>
      </c>
      <c r="C198">
        <v>4</v>
      </c>
      <c r="D198" t="s">
        <v>5641</v>
      </c>
      <c r="E198" s="23">
        <v>42493</v>
      </c>
      <c r="F198" s="23">
        <v>42493</v>
      </c>
      <c r="G198">
        <v>2</v>
      </c>
      <c r="H198">
        <v>7</v>
      </c>
      <c r="I198" t="s">
        <v>5581</v>
      </c>
    </row>
    <row r="199" spans="1:9" x14ac:dyDescent="0.35">
      <c r="A199">
        <v>198</v>
      </c>
      <c r="B199">
        <v>640</v>
      </c>
      <c r="C199">
        <v>4</v>
      </c>
      <c r="D199" s="23">
        <v>42374</v>
      </c>
      <c r="E199" s="23">
        <v>42494</v>
      </c>
      <c r="F199" s="23">
        <v>42493</v>
      </c>
      <c r="G199">
        <v>2</v>
      </c>
      <c r="H199">
        <v>6</v>
      </c>
      <c r="I199" t="s">
        <v>5581</v>
      </c>
    </row>
    <row r="200" spans="1:9" x14ac:dyDescent="0.35">
      <c r="A200">
        <v>199</v>
      </c>
      <c r="B200">
        <v>760</v>
      </c>
      <c r="C200">
        <v>4</v>
      </c>
      <c r="D200" s="23">
        <v>42374</v>
      </c>
      <c r="E200" s="23">
        <v>42494</v>
      </c>
      <c r="F200" s="23">
        <v>42494</v>
      </c>
      <c r="G200">
        <v>2</v>
      </c>
      <c r="H200">
        <v>7</v>
      </c>
      <c r="I200" t="s">
        <v>5581</v>
      </c>
    </row>
    <row r="201" spans="1:9" x14ac:dyDescent="0.35">
      <c r="A201">
        <v>200</v>
      </c>
      <c r="B201">
        <v>1074</v>
      </c>
      <c r="C201">
        <v>4</v>
      </c>
      <c r="D201" s="23">
        <v>42374</v>
      </c>
      <c r="E201" s="23">
        <v>42493</v>
      </c>
      <c r="F201" s="23">
        <v>42493</v>
      </c>
      <c r="G201">
        <v>2</v>
      </c>
      <c r="H201">
        <v>6</v>
      </c>
      <c r="I201" t="s">
        <v>5581</v>
      </c>
    </row>
    <row r="202" spans="1:9" x14ac:dyDescent="0.35">
      <c r="A202">
        <v>201</v>
      </c>
      <c r="B202">
        <v>280</v>
      </c>
      <c r="C202">
        <v>4</v>
      </c>
      <c r="D202" s="23">
        <v>42374</v>
      </c>
      <c r="E202" s="23">
        <v>42494</v>
      </c>
      <c r="F202" s="23">
        <v>42492</v>
      </c>
      <c r="G202">
        <v>3</v>
      </c>
      <c r="H202">
        <v>9</v>
      </c>
      <c r="I202" t="s">
        <v>5581</v>
      </c>
    </row>
    <row r="203" spans="1:9" x14ac:dyDescent="0.35">
      <c r="A203">
        <v>202</v>
      </c>
      <c r="B203">
        <v>600</v>
      </c>
      <c r="C203">
        <v>4</v>
      </c>
      <c r="D203" s="23">
        <v>42434</v>
      </c>
      <c r="E203" s="23">
        <v>42495</v>
      </c>
      <c r="F203" s="23">
        <v>42494</v>
      </c>
      <c r="G203">
        <v>1</v>
      </c>
      <c r="H203">
        <v>2</v>
      </c>
      <c r="I203" t="s">
        <v>5581</v>
      </c>
    </row>
    <row r="204" spans="1:9" x14ac:dyDescent="0.35">
      <c r="A204">
        <v>203</v>
      </c>
      <c r="B204">
        <v>1102</v>
      </c>
      <c r="C204">
        <v>4</v>
      </c>
      <c r="D204" s="23">
        <v>42434</v>
      </c>
      <c r="E204" s="23">
        <v>42495</v>
      </c>
      <c r="F204" s="23">
        <v>42496</v>
      </c>
      <c r="G204">
        <v>3</v>
      </c>
      <c r="H204">
        <v>9</v>
      </c>
      <c r="I204" t="s">
        <v>5581</v>
      </c>
    </row>
    <row r="205" spans="1:9" x14ac:dyDescent="0.35">
      <c r="A205">
        <v>204</v>
      </c>
      <c r="B205">
        <v>591</v>
      </c>
      <c r="C205">
        <v>4</v>
      </c>
      <c r="D205" s="23">
        <v>42465</v>
      </c>
      <c r="E205" s="23">
        <v>42497</v>
      </c>
      <c r="F205" s="23">
        <v>42496</v>
      </c>
      <c r="G205">
        <v>2</v>
      </c>
      <c r="H205">
        <v>7</v>
      </c>
      <c r="I205" t="s">
        <v>5581</v>
      </c>
    </row>
    <row r="206" spans="1:9" x14ac:dyDescent="0.35">
      <c r="A206">
        <v>205</v>
      </c>
      <c r="B206">
        <v>635</v>
      </c>
      <c r="C206">
        <v>4</v>
      </c>
      <c r="D206" s="23">
        <v>42465</v>
      </c>
      <c r="E206" s="23">
        <v>42495</v>
      </c>
      <c r="F206" s="23">
        <v>42496</v>
      </c>
      <c r="G206">
        <v>2</v>
      </c>
      <c r="H206">
        <v>6</v>
      </c>
      <c r="I206" t="s">
        <v>5581</v>
      </c>
    </row>
    <row r="207" spans="1:9" x14ac:dyDescent="0.35">
      <c r="A207">
        <v>206</v>
      </c>
      <c r="B207">
        <v>743</v>
      </c>
      <c r="C207">
        <v>4</v>
      </c>
      <c r="D207" s="23">
        <v>42465</v>
      </c>
      <c r="E207" s="23">
        <v>42496</v>
      </c>
      <c r="F207" s="23">
        <v>42495</v>
      </c>
      <c r="G207">
        <v>3</v>
      </c>
      <c r="H207">
        <v>9</v>
      </c>
      <c r="I207" t="s">
        <v>5581</v>
      </c>
    </row>
    <row r="208" spans="1:9" x14ac:dyDescent="0.35">
      <c r="A208">
        <v>207</v>
      </c>
      <c r="B208">
        <v>105</v>
      </c>
      <c r="C208">
        <v>4</v>
      </c>
      <c r="D208" s="23">
        <v>42495</v>
      </c>
      <c r="E208" s="23">
        <v>42497</v>
      </c>
      <c r="F208" s="23">
        <v>42497</v>
      </c>
      <c r="G208">
        <v>2</v>
      </c>
      <c r="H208">
        <v>7</v>
      </c>
      <c r="I208" t="s">
        <v>5581</v>
      </c>
    </row>
    <row r="209" spans="1:9" x14ac:dyDescent="0.35">
      <c r="A209">
        <v>208</v>
      </c>
      <c r="B209">
        <v>815</v>
      </c>
      <c r="C209">
        <v>4</v>
      </c>
      <c r="D209" s="23">
        <v>42526</v>
      </c>
      <c r="E209" s="23">
        <v>42497</v>
      </c>
      <c r="F209" s="23">
        <v>42499</v>
      </c>
      <c r="G209">
        <v>2</v>
      </c>
      <c r="H209">
        <v>7</v>
      </c>
      <c r="I209" t="s">
        <v>5581</v>
      </c>
    </row>
    <row r="210" spans="1:9" x14ac:dyDescent="0.35">
      <c r="A210">
        <v>209</v>
      </c>
      <c r="B210">
        <v>514</v>
      </c>
      <c r="C210">
        <v>4</v>
      </c>
      <c r="D210" s="23">
        <v>42556</v>
      </c>
      <c r="E210" s="23">
        <v>42498</v>
      </c>
      <c r="F210" s="23">
        <v>42498</v>
      </c>
      <c r="G210">
        <v>2</v>
      </c>
      <c r="H210">
        <v>6</v>
      </c>
      <c r="I210" t="s">
        <v>5581</v>
      </c>
    </row>
    <row r="211" spans="1:9" x14ac:dyDescent="0.35">
      <c r="A211">
        <v>210</v>
      </c>
      <c r="B211">
        <v>943</v>
      </c>
      <c r="C211">
        <v>4</v>
      </c>
      <c r="D211" s="23">
        <v>42556</v>
      </c>
      <c r="E211" s="23">
        <v>42498</v>
      </c>
      <c r="F211" s="23">
        <v>42499</v>
      </c>
      <c r="G211">
        <v>2</v>
      </c>
      <c r="H211">
        <v>6</v>
      </c>
      <c r="I211" t="s">
        <v>5581</v>
      </c>
    </row>
    <row r="212" spans="1:9" x14ac:dyDescent="0.35">
      <c r="A212">
        <v>211</v>
      </c>
      <c r="B212">
        <v>1140</v>
      </c>
      <c r="C212">
        <v>4</v>
      </c>
      <c r="D212" s="23">
        <v>42556</v>
      </c>
      <c r="E212" s="23">
        <v>42499</v>
      </c>
      <c r="F212" s="23">
        <v>42498</v>
      </c>
      <c r="G212">
        <v>2</v>
      </c>
      <c r="H212">
        <v>6</v>
      </c>
      <c r="I212" t="s">
        <v>5581</v>
      </c>
    </row>
    <row r="213" spans="1:9" x14ac:dyDescent="0.35">
      <c r="A213">
        <v>212</v>
      </c>
      <c r="B213">
        <v>1373</v>
      </c>
      <c r="C213">
        <v>4</v>
      </c>
      <c r="D213" s="23">
        <v>42587</v>
      </c>
      <c r="E213" s="23">
        <v>42499</v>
      </c>
      <c r="F213" s="23">
        <v>42501</v>
      </c>
      <c r="G213">
        <v>2</v>
      </c>
      <c r="H213">
        <v>6</v>
      </c>
      <c r="I213" t="s">
        <v>5581</v>
      </c>
    </row>
    <row r="214" spans="1:9" x14ac:dyDescent="0.35">
      <c r="A214">
        <v>213</v>
      </c>
      <c r="B214">
        <v>788</v>
      </c>
      <c r="C214">
        <v>4</v>
      </c>
      <c r="D214" s="23">
        <v>42587</v>
      </c>
      <c r="E214" s="23">
        <v>42499</v>
      </c>
      <c r="F214" s="23">
        <v>42499</v>
      </c>
      <c r="G214">
        <v>3</v>
      </c>
      <c r="H214">
        <v>8</v>
      </c>
      <c r="I214" t="s">
        <v>5581</v>
      </c>
    </row>
    <row r="215" spans="1:9" x14ac:dyDescent="0.35">
      <c r="A215">
        <v>214</v>
      </c>
      <c r="B215">
        <v>363</v>
      </c>
      <c r="C215">
        <v>4</v>
      </c>
      <c r="D215" s="23">
        <v>42648</v>
      </c>
      <c r="E215" s="23">
        <v>42502</v>
      </c>
      <c r="F215" s="23">
        <v>42501</v>
      </c>
      <c r="G215">
        <v>2</v>
      </c>
      <c r="H215">
        <v>6</v>
      </c>
      <c r="I215" t="s">
        <v>5581</v>
      </c>
    </row>
    <row r="216" spans="1:9" x14ac:dyDescent="0.35">
      <c r="A216">
        <v>215</v>
      </c>
      <c r="B216">
        <v>1420</v>
      </c>
      <c r="C216">
        <v>4</v>
      </c>
      <c r="D216" s="23">
        <v>42648</v>
      </c>
      <c r="E216" s="23">
        <v>42503</v>
      </c>
      <c r="F216" s="23">
        <v>42502</v>
      </c>
      <c r="G216">
        <v>2</v>
      </c>
      <c r="H216">
        <v>7</v>
      </c>
      <c r="I216" t="s">
        <v>5581</v>
      </c>
    </row>
    <row r="217" spans="1:9" x14ac:dyDescent="0.35">
      <c r="A217">
        <v>216</v>
      </c>
      <c r="B217">
        <v>267</v>
      </c>
      <c r="C217">
        <v>4</v>
      </c>
      <c r="D217" s="23">
        <v>42679</v>
      </c>
      <c r="E217" s="23">
        <v>42504</v>
      </c>
      <c r="F217" s="23">
        <v>42503</v>
      </c>
      <c r="G217">
        <v>1</v>
      </c>
      <c r="H217">
        <v>3</v>
      </c>
      <c r="I217" t="s">
        <v>5581</v>
      </c>
    </row>
    <row r="218" spans="1:9" x14ac:dyDescent="0.35">
      <c r="A218">
        <v>217</v>
      </c>
      <c r="B218">
        <v>716</v>
      </c>
      <c r="C218">
        <v>4</v>
      </c>
      <c r="D218" s="23">
        <v>42679</v>
      </c>
      <c r="E218" s="23">
        <v>42502</v>
      </c>
      <c r="F218" s="23">
        <v>42504</v>
      </c>
      <c r="G218">
        <v>2</v>
      </c>
      <c r="H218">
        <v>7</v>
      </c>
      <c r="I218" t="s">
        <v>5581</v>
      </c>
    </row>
    <row r="219" spans="1:9" x14ac:dyDescent="0.35">
      <c r="A219">
        <v>218</v>
      </c>
      <c r="B219">
        <v>1179</v>
      </c>
      <c r="C219">
        <v>4</v>
      </c>
      <c r="D219" s="23">
        <v>42709</v>
      </c>
      <c r="E219" s="23">
        <v>42504</v>
      </c>
      <c r="F219" s="23">
        <v>42504</v>
      </c>
      <c r="G219">
        <v>2</v>
      </c>
      <c r="H219">
        <v>7</v>
      </c>
      <c r="I219" t="s">
        <v>5581</v>
      </c>
    </row>
    <row r="220" spans="1:9" x14ac:dyDescent="0.35">
      <c r="A220">
        <v>219</v>
      </c>
      <c r="B220">
        <v>1338</v>
      </c>
      <c r="C220">
        <v>4</v>
      </c>
      <c r="D220" s="23">
        <v>42709</v>
      </c>
      <c r="E220" s="23">
        <v>42505</v>
      </c>
      <c r="F220" s="23">
        <v>42505</v>
      </c>
      <c r="G220">
        <v>2</v>
      </c>
      <c r="H220">
        <v>6</v>
      </c>
      <c r="I220" t="s">
        <v>5581</v>
      </c>
    </row>
    <row r="221" spans="1:9" x14ac:dyDescent="0.35">
      <c r="A221">
        <v>220</v>
      </c>
      <c r="B221">
        <v>1358</v>
      </c>
      <c r="C221">
        <v>4</v>
      </c>
      <c r="D221" s="23">
        <v>42709</v>
      </c>
      <c r="E221" s="23">
        <v>42504</v>
      </c>
      <c r="F221" s="23">
        <v>42505</v>
      </c>
      <c r="G221">
        <v>2</v>
      </c>
      <c r="H221">
        <v>6</v>
      </c>
      <c r="I221" t="s">
        <v>5581</v>
      </c>
    </row>
    <row r="222" spans="1:9" x14ac:dyDescent="0.35">
      <c r="A222">
        <v>221</v>
      </c>
      <c r="B222">
        <v>1218</v>
      </c>
      <c r="C222">
        <v>4</v>
      </c>
      <c r="D222" t="s">
        <v>5642</v>
      </c>
      <c r="E222" s="23">
        <v>42506</v>
      </c>
      <c r="F222" s="23">
        <v>42504</v>
      </c>
      <c r="G222">
        <v>1</v>
      </c>
      <c r="H222">
        <v>2</v>
      </c>
      <c r="I222" t="s">
        <v>5581</v>
      </c>
    </row>
    <row r="223" spans="1:9" x14ac:dyDescent="0.35">
      <c r="A223">
        <v>222</v>
      </c>
      <c r="B223">
        <v>51</v>
      </c>
      <c r="C223">
        <v>4</v>
      </c>
      <c r="D223" t="s">
        <v>5642</v>
      </c>
      <c r="E223" s="23">
        <v>42506</v>
      </c>
      <c r="F223" s="23">
        <v>42504</v>
      </c>
      <c r="G223">
        <v>2</v>
      </c>
      <c r="H223">
        <v>6</v>
      </c>
      <c r="I223" t="s">
        <v>5581</v>
      </c>
    </row>
    <row r="224" spans="1:9" x14ac:dyDescent="0.35">
      <c r="A224">
        <v>223</v>
      </c>
      <c r="B224">
        <v>1368</v>
      </c>
      <c r="C224">
        <v>4</v>
      </c>
      <c r="D224" t="s">
        <v>5643</v>
      </c>
      <c r="E224" s="23">
        <v>42506</v>
      </c>
      <c r="F224" s="23">
        <v>42507</v>
      </c>
      <c r="G224">
        <v>2</v>
      </c>
      <c r="H224">
        <v>7</v>
      </c>
      <c r="I224" t="s">
        <v>5581</v>
      </c>
    </row>
    <row r="225" spans="1:9" x14ac:dyDescent="0.35">
      <c r="A225">
        <v>224</v>
      </c>
      <c r="B225">
        <v>157</v>
      </c>
      <c r="C225">
        <v>4</v>
      </c>
      <c r="D225" t="s">
        <v>5644</v>
      </c>
      <c r="E225" s="23">
        <v>42508</v>
      </c>
      <c r="F225" s="23">
        <v>42509</v>
      </c>
      <c r="G225">
        <v>1</v>
      </c>
      <c r="H225">
        <v>3</v>
      </c>
      <c r="I225" t="s">
        <v>5581</v>
      </c>
    </row>
    <row r="226" spans="1:9" x14ac:dyDescent="0.35">
      <c r="A226">
        <v>225</v>
      </c>
      <c r="B226">
        <v>307</v>
      </c>
      <c r="C226">
        <v>4</v>
      </c>
      <c r="D226" t="s">
        <v>5644</v>
      </c>
      <c r="E226" s="23">
        <v>42510</v>
      </c>
      <c r="F226" s="23">
        <v>42509</v>
      </c>
      <c r="G226">
        <v>1</v>
      </c>
      <c r="H226">
        <v>3</v>
      </c>
      <c r="I226" t="s">
        <v>5581</v>
      </c>
    </row>
    <row r="227" spans="1:9" x14ac:dyDescent="0.35">
      <c r="A227">
        <v>226</v>
      </c>
      <c r="B227">
        <v>501</v>
      </c>
      <c r="C227">
        <v>4</v>
      </c>
      <c r="D227" t="s">
        <v>5644</v>
      </c>
      <c r="E227" s="23">
        <v>42509</v>
      </c>
      <c r="F227" s="23">
        <v>42510</v>
      </c>
      <c r="G227">
        <v>1</v>
      </c>
      <c r="H227">
        <v>2</v>
      </c>
      <c r="I227" t="s">
        <v>5581</v>
      </c>
    </row>
    <row r="228" spans="1:9" x14ac:dyDescent="0.35">
      <c r="A228">
        <v>227</v>
      </c>
      <c r="B228">
        <v>489</v>
      </c>
      <c r="C228">
        <v>4</v>
      </c>
      <c r="D228" t="s">
        <v>5644</v>
      </c>
      <c r="E228" s="23">
        <v>42508</v>
      </c>
      <c r="F228" s="23">
        <v>42510</v>
      </c>
      <c r="G228">
        <v>2</v>
      </c>
      <c r="H228">
        <v>7</v>
      </c>
      <c r="I228" t="s">
        <v>5581</v>
      </c>
    </row>
    <row r="229" spans="1:9" x14ac:dyDescent="0.35">
      <c r="A229">
        <v>228</v>
      </c>
      <c r="B229">
        <v>615</v>
      </c>
      <c r="C229">
        <v>4</v>
      </c>
      <c r="D229" t="s">
        <v>5644</v>
      </c>
      <c r="E229" s="23">
        <v>42510</v>
      </c>
      <c r="F229" s="23">
        <v>42510</v>
      </c>
      <c r="G229">
        <v>2</v>
      </c>
      <c r="H229">
        <v>7</v>
      </c>
      <c r="I229" t="s">
        <v>5581</v>
      </c>
    </row>
    <row r="230" spans="1:9" x14ac:dyDescent="0.35">
      <c r="A230">
        <v>229</v>
      </c>
      <c r="B230">
        <v>742</v>
      </c>
      <c r="C230">
        <v>4</v>
      </c>
      <c r="D230" t="s">
        <v>5645</v>
      </c>
      <c r="E230" s="23">
        <v>42511</v>
      </c>
      <c r="F230" s="23">
        <v>42510</v>
      </c>
      <c r="G230">
        <v>2</v>
      </c>
      <c r="H230">
        <v>6</v>
      </c>
      <c r="I230" t="s">
        <v>5581</v>
      </c>
    </row>
    <row r="231" spans="1:9" x14ac:dyDescent="0.35">
      <c r="A231">
        <v>230</v>
      </c>
      <c r="B231">
        <v>1167</v>
      </c>
      <c r="C231">
        <v>4</v>
      </c>
      <c r="D231" t="s">
        <v>5645</v>
      </c>
      <c r="E231" s="23">
        <v>42510</v>
      </c>
      <c r="F231" s="23">
        <v>42511</v>
      </c>
      <c r="G231">
        <v>2</v>
      </c>
      <c r="H231">
        <v>6</v>
      </c>
      <c r="I231" t="s">
        <v>5581</v>
      </c>
    </row>
    <row r="232" spans="1:9" x14ac:dyDescent="0.35">
      <c r="A232">
        <v>231</v>
      </c>
      <c r="B232">
        <v>1257</v>
      </c>
      <c r="C232">
        <v>4</v>
      </c>
      <c r="D232" t="s">
        <v>5645</v>
      </c>
      <c r="E232" s="23">
        <v>42512</v>
      </c>
      <c r="F232" s="23">
        <v>42511</v>
      </c>
      <c r="G232">
        <v>2</v>
      </c>
      <c r="H232">
        <v>6</v>
      </c>
      <c r="I232" t="s">
        <v>5581</v>
      </c>
    </row>
    <row r="233" spans="1:9" x14ac:dyDescent="0.35">
      <c r="A233">
        <v>232</v>
      </c>
      <c r="B233">
        <v>1360</v>
      </c>
      <c r="C233">
        <v>4</v>
      </c>
      <c r="D233" t="s">
        <v>5646</v>
      </c>
      <c r="E233" s="23">
        <v>42513</v>
      </c>
      <c r="F233" s="23">
        <v>42513</v>
      </c>
      <c r="G233">
        <v>1</v>
      </c>
      <c r="H233">
        <v>3</v>
      </c>
      <c r="I233" t="s">
        <v>5581</v>
      </c>
    </row>
    <row r="234" spans="1:9" x14ac:dyDescent="0.35">
      <c r="A234">
        <v>233</v>
      </c>
      <c r="B234">
        <v>737</v>
      </c>
      <c r="C234">
        <v>4</v>
      </c>
      <c r="D234" t="s">
        <v>5647</v>
      </c>
      <c r="E234" s="23">
        <v>42512</v>
      </c>
      <c r="F234" s="23">
        <v>42514</v>
      </c>
      <c r="G234">
        <v>2</v>
      </c>
      <c r="H234">
        <v>6</v>
      </c>
      <c r="I234" t="s">
        <v>5581</v>
      </c>
    </row>
    <row r="235" spans="1:9" x14ac:dyDescent="0.35">
      <c r="A235">
        <v>234</v>
      </c>
      <c r="B235">
        <v>1435</v>
      </c>
      <c r="C235">
        <v>4</v>
      </c>
      <c r="D235" t="s">
        <v>5648</v>
      </c>
      <c r="E235" s="23">
        <v>42514</v>
      </c>
      <c r="F235" s="23">
        <v>42514</v>
      </c>
      <c r="G235">
        <v>2</v>
      </c>
      <c r="H235">
        <v>6</v>
      </c>
      <c r="I235" t="s">
        <v>5581</v>
      </c>
    </row>
    <row r="236" spans="1:9" x14ac:dyDescent="0.35">
      <c r="A236">
        <v>235</v>
      </c>
      <c r="B236">
        <v>649</v>
      </c>
      <c r="C236">
        <v>4</v>
      </c>
      <c r="D236" t="s">
        <v>5649</v>
      </c>
      <c r="E236" s="23">
        <v>42515</v>
      </c>
      <c r="F236" s="23">
        <v>42515</v>
      </c>
      <c r="G236">
        <v>2</v>
      </c>
      <c r="H236">
        <v>6</v>
      </c>
      <c r="I236" t="s">
        <v>5581</v>
      </c>
    </row>
    <row r="237" spans="1:9" x14ac:dyDescent="0.35">
      <c r="A237">
        <v>236</v>
      </c>
      <c r="B237">
        <v>206</v>
      </c>
      <c r="C237">
        <v>4</v>
      </c>
      <c r="D237" t="s">
        <v>5650</v>
      </c>
      <c r="E237" s="23">
        <v>42517</v>
      </c>
      <c r="F237" s="23">
        <v>42516</v>
      </c>
      <c r="G237">
        <v>2</v>
      </c>
      <c r="H237">
        <v>6</v>
      </c>
      <c r="I237" t="s">
        <v>5581</v>
      </c>
    </row>
    <row r="238" spans="1:9" x14ac:dyDescent="0.35">
      <c r="A238">
        <v>237</v>
      </c>
      <c r="B238">
        <v>1351</v>
      </c>
      <c r="C238">
        <v>4</v>
      </c>
      <c r="D238" t="s">
        <v>5650</v>
      </c>
      <c r="E238" s="23">
        <v>42516</v>
      </c>
      <c r="F238" s="23">
        <v>42517</v>
      </c>
      <c r="G238">
        <v>2</v>
      </c>
      <c r="H238">
        <v>7</v>
      </c>
      <c r="I238" t="s">
        <v>5581</v>
      </c>
    </row>
    <row r="239" spans="1:9" x14ac:dyDescent="0.35">
      <c r="A239">
        <v>238</v>
      </c>
      <c r="B239">
        <v>1350</v>
      </c>
      <c r="C239">
        <v>4</v>
      </c>
      <c r="D239" t="s">
        <v>5651</v>
      </c>
      <c r="E239" s="23">
        <v>42519</v>
      </c>
      <c r="F239" s="23">
        <v>42519</v>
      </c>
      <c r="G239">
        <v>2</v>
      </c>
      <c r="H239">
        <v>6</v>
      </c>
      <c r="I239" t="s">
        <v>5581</v>
      </c>
    </row>
    <row r="240" spans="1:9" x14ac:dyDescent="0.35">
      <c r="A240">
        <v>239</v>
      </c>
      <c r="B240">
        <v>13</v>
      </c>
      <c r="C240">
        <v>3</v>
      </c>
      <c r="D240" t="s">
        <v>5652</v>
      </c>
      <c r="E240" s="23">
        <v>42517</v>
      </c>
      <c r="F240" t="s">
        <v>5597</v>
      </c>
      <c r="G240">
        <v>3</v>
      </c>
      <c r="H240">
        <v>9</v>
      </c>
      <c r="I240" t="s">
        <v>5598</v>
      </c>
    </row>
    <row r="241" spans="1:9" x14ac:dyDescent="0.35">
      <c r="A241">
        <v>240</v>
      </c>
      <c r="B241">
        <v>65</v>
      </c>
      <c r="C241">
        <v>4</v>
      </c>
      <c r="D241" t="s">
        <v>5652</v>
      </c>
      <c r="E241" s="23">
        <v>42519</v>
      </c>
      <c r="F241" s="23">
        <v>42520</v>
      </c>
      <c r="G241">
        <v>2</v>
      </c>
      <c r="H241">
        <v>6</v>
      </c>
      <c r="I241" t="s">
        <v>5581</v>
      </c>
    </row>
    <row r="242" spans="1:9" x14ac:dyDescent="0.35">
      <c r="A242">
        <v>241</v>
      </c>
      <c r="B242">
        <v>1082</v>
      </c>
      <c r="C242">
        <v>4</v>
      </c>
      <c r="D242" t="s">
        <v>5652</v>
      </c>
      <c r="E242" s="23">
        <v>42519</v>
      </c>
      <c r="F242" s="23">
        <v>42519</v>
      </c>
      <c r="G242">
        <v>2</v>
      </c>
      <c r="H242">
        <v>7</v>
      </c>
      <c r="I242" t="s">
        <v>5581</v>
      </c>
    </row>
    <row r="243" spans="1:9" x14ac:dyDescent="0.35">
      <c r="A243">
        <v>242</v>
      </c>
      <c r="B243">
        <v>1168</v>
      </c>
      <c r="C243">
        <v>4</v>
      </c>
      <c r="D243" t="s">
        <v>5652</v>
      </c>
      <c r="E243" s="23">
        <v>42520</v>
      </c>
      <c r="F243" s="23">
        <v>42520</v>
      </c>
      <c r="G243">
        <v>2</v>
      </c>
      <c r="H243">
        <v>7</v>
      </c>
      <c r="I243" t="s">
        <v>5581</v>
      </c>
    </row>
    <row r="244" spans="1:9" x14ac:dyDescent="0.35">
      <c r="A244">
        <v>243</v>
      </c>
      <c r="B244">
        <v>802</v>
      </c>
      <c r="C244">
        <v>4</v>
      </c>
      <c r="D244" t="s">
        <v>5652</v>
      </c>
      <c r="E244" s="23">
        <v>42520</v>
      </c>
      <c r="F244" s="23">
        <v>42518</v>
      </c>
      <c r="G244">
        <v>3</v>
      </c>
      <c r="H244">
        <v>8</v>
      </c>
      <c r="I244" t="s">
        <v>5581</v>
      </c>
    </row>
    <row r="245" spans="1:9" x14ac:dyDescent="0.35">
      <c r="A245">
        <v>244</v>
      </c>
      <c r="B245">
        <v>956</v>
      </c>
      <c r="C245">
        <v>4</v>
      </c>
      <c r="D245" t="s">
        <v>5653</v>
      </c>
      <c r="E245" s="23">
        <v>42519</v>
      </c>
      <c r="F245" s="23">
        <v>42519</v>
      </c>
      <c r="G245">
        <v>2</v>
      </c>
      <c r="H245">
        <v>6</v>
      </c>
      <c r="I245" t="s">
        <v>5581</v>
      </c>
    </row>
    <row r="246" spans="1:9" x14ac:dyDescent="0.35">
      <c r="A246">
        <v>245</v>
      </c>
      <c r="B246">
        <v>223</v>
      </c>
      <c r="C246">
        <v>4</v>
      </c>
      <c r="D246" t="s">
        <v>5654</v>
      </c>
      <c r="E246" s="23">
        <v>42521</v>
      </c>
      <c r="F246" s="23">
        <v>42520</v>
      </c>
      <c r="G246">
        <v>2</v>
      </c>
      <c r="H246">
        <v>7</v>
      </c>
      <c r="I246" t="s">
        <v>5581</v>
      </c>
    </row>
    <row r="247" spans="1:9" x14ac:dyDescent="0.35">
      <c r="A247">
        <v>246</v>
      </c>
      <c r="B247">
        <v>17</v>
      </c>
      <c r="C247">
        <v>3</v>
      </c>
      <c r="D247" t="s">
        <v>5655</v>
      </c>
      <c r="E247" s="23">
        <v>42520</v>
      </c>
      <c r="F247" t="s">
        <v>5597</v>
      </c>
      <c r="G247">
        <v>2</v>
      </c>
      <c r="H247">
        <v>6</v>
      </c>
      <c r="I247" t="s">
        <v>5598</v>
      </c>
    </row>
    <row r="248" spans="1:9" x14ac:dyDescent="0.35">
      <c r="A248">
        <v>247</v>
      </c>
      <c r="B248">
        <v>928</v>
      </c>
      <c r="C248">
        <v>4</v>
      </c>
      <c r="D248" t="s">
        <v>5655</v>
      </c>
      <c r="E248" s="23">
        <v>42522</v>
      </c>
      <c r="F248" s="23">
        <v>42522</v>
      </c>
      <c r="G248">
        <v>1</v>
      </c>
      <c r="H248">
        <v>3</v>
      </c>
      <c r="I248" t="s">
        <v>5581</v>
      </c>
    </row>
    <row r="249" spans="1:9" x14ac:dyDescent="0.35">
      <c r="A249">
        <v>248</v>
      </c>
      <c r="B249">
        <v>1376</v>
      </c>
      <c r="C249">
        <v>4</v>
      </c>
      <c r="D249" t="s">
        <v>5655</v>
      </c>
      <c r="E249" s="23">
        <v>42522</v>
      </c>
      <c r="F249" s="23">
        <v>42521</v>
      </c>
      <c r="G249">
        <v>2</v>
      </c>
      <c r="H249">
        <v>7</v>
      </c>
      <c r="I249" t="s">
        <v>5581</v>
      </c>
    </row>
    <row r="250" spans="1:9" x14ac:dyDescent="0.35">
      <c r="A250">
        <v>249</v>
      </c>
      <c r="B250">
        <v>145</v>
      </c>
      <c r="C250">
        <v>4</v>
      </c>
      <c r="D250" s="23">
        <v>42375</v>
      </c>
      <c r="E250" s="23">
        <v>42525</v>
      </c>
      <c r="F250" s="23">
        <v>42525</v>
      </c>
      <c r="G250">
        <v>2</v>
      </c>
      <c r="H250">
        <v>6</v>
      </c>
      <c r="I250" t="s">
        <v>5581</v>
      </c>
    </row>
    <row r="251" spans="1:9" x14ac:dyDescent="0.35">
      <c r="A251">
        <v>250</v>
      </c>
      <c r="B251">
        <v>150</v>
      </c>
      <c r="C251">
        <v>4</v>
      </c>
      <c r="D251" s="23">
        <v>42375</v>
      </c>
      <c r="E251" s="23">
        <v>42523</v>
      </c>
      <c r="F251" s="23">
        <v>42525</v>
      </c>
      <c r="G251">
        <v>2</v>
      </c>
      <c r="H251">
        <v>7</v>
      </c>
      <c r="I251" t="s">
        <v>5581</v>
      </c>
    </row>
    <row r="252" spans="1:9" x14ac:dyDescent="0.35">
      <c r="A252">
        <v>251</v>
      </c>
      <c r="B252">
        <v>851</v>
      </c>
      <c r="C252">
        <v>4</v>
      </c>
      <c r="D252" s="23">
        <v>42375</v>
      </c>
      <c r="E252" s="23">
        <v>42525</v>
      </c>
      <c r="F252" s="23">
        <v>42525</v>
      </c>
      <c r="G252">
        <v>2</v>
      </c>
      <c r="H252">
        <v>7</v>
      </c>
      <c r="I252" t="s">
        <v>5581</v>
      </c>
    </row>
    <row r="253" spans="1:9" x14ac:dyDescent="0.35">
      <c r="A253">
        <v>252</v>
      </c>
      <c r="B253">
        <v>66</v>
      </c>
      <c r="C253">
        <v>4</v>
      </c>
      <c r="D253" s="23">
        <v>42375</v>
      </c>
      <c r="E253" s="23">
        <v>42525</v>
      </c>
      <c r="F253" s="23">
        <v>42523</v>
      </c>
      <c r="G253">
        <v>3</v>
      </c>
      <c r="H253">
        <v>8</v>
      </c>
      <c r="I253" t="s">
        <v>5581</v>
      </c>
    </row>
    <row r="254" spans="1:9" x14ac:dyDescent="0.35">
      <c r="A254">
        <v>253</v>
      </c>
      <c r="B254">
        <v>1267</v>
      </c>
      <c r="C254">
        <v>4</v>
      </c>
      <c r="D254" s="23">
        <v>42406</v>
      </c>
      <c r="E254" s="23">
        <v>42526</v>
      </c>
      <c r="F254" s="23">
        <v>42526</v>
      </c>
      <c r="G254">
        <v>2</v>
      </c>
      <c r="H254">
        <v>6</v>
      </c>
      <c r="I254" t="s">
        <v>5581</v>
      </c>
    </row>
    <row r="255" spans="1:9" x14ac:dyDescent="0.35">
      <c r="A255">
        <v>254</v>
      </c>
      <c r="B255">
        <v>510</v>
      </c>
      <c r="C255">
        <v>4</v>
      </c>
      <c r="D255" s="23">
        <v>42435</v>
      </c>
      <c r="E255" s="23">
        <v>42527</v>
      </c>
      <c r="F255" s="23">
        <v>42526</v>
      </c>
      <c r="G255">
        <v>2</v>
      </c>
      <c r="H255">
        <v>7</v>
      </c>
      <c r="I255" t="s">
        <v>5581</v>
      </c>
    </row>
    <row r="256" spans="1:9" x14ac:dyDescent="0.35">
      <c r="A256">
        <v>255</v>
      </c>
      <c r="B256">
        <v>801</v>
      </c>
      <c r="C256">
        <v>4</v>
      </c>
      <c r="D256" s="23">
        <v>42435</v>
      </c>
      <c r="E256" s="23">
        <v>42527</v>
      </c>
      <c r="F256" s="23">
        <v>42526</v>
      </c>
      <c r="G256">
        <v>2</v>
      </c>
      <c r="H256">
        <v>7</v>
      </c>
      <c r="I256" t="s">
        <v>5581</v>
      </c>
    </row>
    <row r="257" spans="1:9" x14ac:dyDescent="0.35">
      <c r="A257">
        <v>256</v>
      </c>
      <c r="B257">
        <v>26</v>
      </c>
      <c r="C257">
        <v>4</v>
      </c>
      <c r="D257" s="23">
        <v>42466</v>
      </c>
      <c r="E257" s="23">
        <v>42526</v>
      </c>
      <c r="F257" s="23">
        <v>42528</v>
      </c>
      <c r="G257">
        <v>2</v>
      </c>
      <c r="H257">
        <v>7</v>
      </c>
      <c r="I257" t="s">
        <v>5581</v>
      </c>
    </row>
    <row r="258" spans="1:9" x14ac:dyDescent="0.35">
      <c r="A258">
        <v>257</v>
      </c>
      <c r="B258">
        <v>1314</v>
      </c>
      <c r="C258">
        <v>4</v>
      </c>
      <c r="D258" s="23">
        <v>42496</v>
      </c>
      <c r="E258" s="23">
        <v>42527</v>
      </c>
      <c r="F258" s="23">
        <v>42529</v>
      </c>
      <c r="G258">
        <v>1</v>
      </c>
      <c r="H258">
        <v>3</v>
      </c>
      <c r="I258" t="s">
        <v>5581</v>
      </c>
    </row>
    <row r="259" spans="1:9" x14ac:dyDescent="0.35">
      <c r="A259">
        <v>258</v>
      </c>
      <c r="B259">
        <v>107</v>
      </c>
      <c r="C259">
        <v>4</v>
      </c>
      <c r="D259" s="23">
        <v>42527</v>
      </c>
      <c r="E259" s="23">
        <v>42528</v>
      </c>
      <c r="F259" s="23">
        <v>42528</v>
      </c>
      <c r="G259">
        <v>2</v>
      </c>
      <c r="H259">
        <v>7</v>
      </c>
      <c r="I259" t="s">
        <v>5581</v>
      </c>
    </row>
    <row r="260" spans="1:9" x14ac:dyDescent="0.35">
      <c r="A260">
        <v>259</v>
      </c>
      <c r="B260">
        <v>413</v>
      </c>
      <c r="C260">
        <v>4</v>
      </c>
      <c r="D260" s="23">
        <v>42527</v>
      </c>
      <c r="E260" s="23">
        <v>42530</v>
      </c>
      <c r="F260" s="23">
        <v>42530</v>
      </c>
      <c r="G260">
        <v>2</v>
      </c>
      <c r="H260">
        <v>7</v>
      </c>
      <c r="I260" t="s">
        <v>5581</v>
      </c>
    </row>
    <row r="261" spans="1:9" x14ac:dyDescent="0.35">
      <c r="A261">
        <v>260</v>
      </c>
      <c r="B261">
        <v>632</v>
      </c>
      <c r="C261">
        <v>4</v>
      </c>
      <c r="D261" s="23">
        <v>42527</v>
      </c>
      <c r="E261" s="23">
        <v>42529</v>
      </c>
      <c r="F261" s="23">
        <v>42529</v>
      </c>
      <c r="G261">
        <v>2</v>
      </c>
      <c r="H261">
        <v>6</v>
      </c>
      <c r="I261" t="s">
        <v>5581</v>
      </c>
    </row>
    <row r="262" spans="1:9" x14ac:dyDescent="0.35">
      <c r="A262">
        <v>261</v>
      </c>
      <c r="B262">
        <v>1045</v>
      </c>
      <c r="C262">
        <v>4</v>
      </c>
      <c r="D262" s="23">
        <v>42588</v>
      </c>
      <c r="E262" s="23">
        <v>42531</v>
      </c>
      <c r="F262" s="23">
        <v>42530</v>
      </c>
      <c r="G262">
        <v>1</v>
      </c>
      <c r="H262">
        <v>2</v>
      </c>
      <c r="I262" t="s">
        <v>5581</v>
      </c>
    </row>
    <row r="263" spans="1:9" x14ac:dyDescent="0.35">
      <c r="A263">
        <v>262</v>
      </c>
      <c r="B263">
        <v>579</v>
      </c>
      <c r="C263">
        <v>4</v>
      </c>
      <c r="D263" s="23">
        <v>42588</v>
      </c>
      <c r="E263" s="23">
        <v>42532</v>
      </c>
      <c r="F263" s="23">
        <v>42531</v>
      </c>
      <c r="G263">
        <v>3</v>
      </c>
      <c r="H263">
        <v>9</v>
      </c>
      <c r="I263" t="s">
        <v>5581</v>
      </c>
    </row>
    <row r="264" spans="1:9" x14ac:dyDescent="0.35">
      <c r="A264">
        <v>263</v>
      </c>
      <c r="B264">
        <v>1322</v>
      </c>
      <c r="C264">
        <v>4</v>
      </c>
      <c r="D264" s="23">
        <v>42619</v>
      </c>
      <c r="E264" s="23">
        <v>42531</v>
      </c>
      <c r="F264" s="23">
        <v>42533</v>
      </c>
      <c r="G264">
        <v>2</v>
      </c>
      <c r="H264">
        <v>6</v>
      </c>
      <c r="I264" t="s">
        <v>5581</v>
      </c>
    </row>
    <row r="265" spans="1:9" x14ac:dyDescent="0.35">
      <c r="A265">
        <v>264</v>
      </c>
      <c r="B265">
        <v>5</v>
      </c>
      <c r="C265">
        <v>3</v>
      </c>
      <c r="D265" s="23">
        <v>42649</v>
      </c>
      <c r="E265" s="23">
        <v>42531</v>
      </c>
      <c r="F265" t="s">
        <v>5597</v>
      </c>
      <c r="G265">
        <v>1</v>
      </c>
      <c r="H265">
        <v>3</v>
      </c>
      <c r="I265" t="s">
        <v>5598</v>
      </c>
    </row>
    <row r="266" spans="1:9" x14ac:dyDescent="0.35">
      <c r="A266">
        <v>265</v>
      </c>
      <c r="B266">
        <v>682</v>
      </c>
      <c r="C266">
        <v>4</v>
      </c>
      <c r="D266" s="23">
        <v>42649</v>
      </c>
      <c r="E266" s="23">
        <v>42533</v>
      </c>
      <c r="F266" s="23">
        <v>42532</v>
      </c>
      <c r="G266">
        <v>2</v>
      </c>
      <c r="H266">
        <v>7</v>
      </c>
      <c r="I266" t="s">
        <v>5581</v>
      </c>
    </row>
    <row r="267" spans="1:9" x14ac:dyDescent="0.35">
      <c r="A267">
        <v>266</v>
      </c>
      <c r="B267">
        <v>933</v>
      </c>
      <c r="C267">
        <v>4</v>
      </c>
      <c r="D267" s="23">
        <v>42649</v>
      </c>
      <c r="E267" s="23">
        <v>42534</v>
      </c>
      <c r="F267" s="23">
        <v>42534</v>
      </c>
      <c r="G267">
        <v>2</v>
      </c>
      <c r="H267">
        <v>7</v>
      </c>
      <c r="I267" t="s">
        <v>5581</v>
      </c>
    </row>
    <row r="268" spans="1:9" x14ac:dyDescent="0.35">
      <c r="A268">
        <v>267</v>
      </c>
      <c r="B268">
        <v>282</v>
      </c>
      <c r="C268">
        <v>4</v>
      </c>
      <c r="D268" s="23">
        <v>42680</v>
      </c>
      <c r="E268" s="23">
        <v>42535</v>
      </c>
      <c r="F268" s="23">
        <v>42535</v>
      </c>
      <c r="G268">
        <v>1</v>
      </c>
      <c r="H268">
        <v>3</v>
      </c>
      <c r="I268" t="s">
        <v>5581</v>
      </c>
    </row>
    <row r="269" spans="1:9" x14ac:dyDescent="0.35">
      <c r="A269">
        <v>268</v>
      </c>
      <c r="B269">
        <v>540</v>
      </c>
      <c r="C269">
        <v>4</v>
      </c>
      <c r="D269" s="23">
        <v>42680</v>
      </c>
      <c r="E269" s="23">
        <v>42535</v>
      </c>
      <c r="F269" s="23">
        <v>42533</v>
      </c>
      <c r="G269">
        <v>1</v>
      </c>
      <c r="H269">
        <v>3</v>
      </c>
      <c r="I269" t="s">
        <v>5581</v>
      </c>
    </row>
    <row r="270" spans="1:9" x14ac:dyDescent="0.35">
      <c r="A270">
        <v>269</v>
      </c>
      <c r="B270">
        <v>764</v>
      </c>
      <c r="C270">
        <v>4</v>
      </c>
      <c r="D270" s="23">
        <v>42710</v>
      </c>
      <c r="E270" s="23">
        <v>42534</v>
      </c>
      <c r="F270" s="23">
        <v>42536</v>
      </c>
      <c r="G270">
        <v>2</v>
      </c>
      <c r="H270">
        <v>6</v>
      </c>
      <c r="I270" t="s">
        <v>5581</v>
      </c>
    </row>
    <row r="271" spans="1:9" x14ac:dyDescent="0.35">
      <c r="A271">
        <v>270</v>
      </c>
      <c r="B271">
        <v>879</v>
      </c>
      <c r="C271">
        <v>4</v>
      </c>
      <c r="D271" s="23">
        <v>42710</v>
      </c>
      <c r="E271" s="23">
        <v>42536</v>
      </c>
      <c r="F271" s="23">
        <v>42534</v>
      </c>
      <c r="G271">
        <v>2</v>
      </c>
      <c r="H271">
        <v>7</v>
      </c>
      <c r="I271" t="s">
        <v>5581</v>
      </c>
    </row>
    <row r="272" spans="1:9" x14ac:dyDescent="0.35">
      <c r="A272">
        <v>271</v>
      </c>
      <c r="B272">
        <v>350</v>
      </c>
      <c r="C272">
        <v>4</v>
      </c>
      <c r="D272" t="s">
        <v>5656</v>
      </c>
      <c r="E272" s="23">
        <v>42537</v>
      </c>
      <c r="F272" s="23">
        <v>42535</v>
      </c>
      <c r="G272">
        <v>2</v>
      </c>
      <c r="H272">
        <v>7</v>
      </c>
      <c r="I272" t="s">
        <v>5581</v>
      </c>
    </row>
    <row r="273" spans="1:9" x14ac:dyDescent="0.35">
      <c r="A273">
        <v>272</v>
      </c>
      <c r="B273">
        <v>497</v>
      </c>
      <c r="C273">
        <v>4</v>
      </c>
      <c r="D273" t="s">
        <v>5657</v>
      </c>
      <c r="E273" s="23">
        <v>42539</v>
      </c>
      <c r="F273" s="23">
        <v>42537</v>
      </c>
      <c r="G273">
        <v>2</v>
      </c>
      <c r="H273">
        <v>7</v>
      </c>
      <c r="I273" t="s">
        <v>5581</v>
      </c>
    </row>
    <row r="274" spans="1:9" x14ac:dyDescent="0.35">
      <c r="A274">
        <v>273</v>
      </c>
      <c r="B274">
        <v>1340</v>
      </c>
      <c r="C274">
        <v>4</v>
      </c>
      <c r="D274" t="s">
        <v>5658</v>
      </c>
      <c r="E274" s="23">
        <v>42540</v>
      </c>
      <c r="F274" s="23">
        <v>42538</v>
      </c>
      <c r="G274">
        <v>2</v>
      </c>
      <c r="H274">
        <v>7</v>
      </c>
      <c r="I274" t="s">
        <v>5581</v>
      </c>
    </row>
    <row r="275" spans="1:9" x14ac:dyDescent="0.35">
      <c r="A275">
        <v>274</v>
      </c>
      <c r="B275">
        <v>411</v>
      </c>
      <c r="C275">
        <v>4</v>
      </c>
      <c r="D275" t="s">
        <v>5659</v>
      </c>
      <c r="E275" s="23">
        <v>42541</v>
      </c>
      <c r="F275" s="23">
        <v>42539</v>
      </c>
      <c r="G275">
        <v>2</v>
      </c>
      <c r="H275">
        <v>7</v>
      </c>
      <c r="I275" t="s">
        <v>5581</v>
      </c>
    </row>
    <row r="276" spans="1:9" x14ac:dyDescent="0.35">
      <c r="A276">
        <v>275</v>
      </c>
      <c r="B276">
        <v>1341</v>
      </c>
      <c r="C276">
        <v>4</v>
      </c>
      <c r="D276" t="s">
        <v>5659</v>
      </c>
      <c r="E276" s="23">
        <v>42540</v>
      </c>
      <c r="F276" s="23">
        <v>42539</v>
      </c>
      <c r="G276">
        <v>2</v>
      </c>
      <c r="H276">
        <v>7</v>
      </c>
      <c r="I276" t="s">
        <v>5581</v>
      </c>
    </row>
    <row r="277" spans="1:9" x14ac:dyDescent="0.35">
      <c r="A277">
        <v>276</v>
      </c>
      <c r="B277">
        <v>1227</v>
      </c>
      <c r="C277">
        <v>4</v>
      </c>
      <c r="D277" t="s">
        <v>5660</v>
      </c>
      <c r="E277" s="23">
        <v>42540</v>
      </c>
      <c r="F277" s="23">
        <v>42540</v>
      </c>
      <c r="G277">
        <v>2</v>
      </c>
      <c r="H277">
        <v>6</v>
      </c>
      <c r="I277" t="s">
        <v>5581</v>
      </c>
    </row>
    <row r="278" spans="1:9" x14ac:dyDescent="0.35">
      <c r="A278">
        <v>277</v>
      </c>
      <c r="B278">
        <v>546</v>
      </c>
      <c r="C278">
        <v>4</v>
      </c>
      <c r="D278" t="s">
        <v>5661</v>
      </c>
      <c r="E278" s="23">
        <v>42541</v>
      </c>
      <c r="F278" s="23">
        <v>42541</v>
      </c>
      <c r="G278">
        <v>2</v>
      </c>
      <c r="H278">
        <v>7</v>
      </c>
      <c r="I278" t="s">
        <v>5581</v>
      </c>
    </row>
    <row r="279" spans="1:9" x14ac:dyDescent="0.35">
      <c r="A279">
        <v>278</v>
      </c>
      <c r="B279">
        <v>1301</v>
      </c>
      <c r="C279">
        <v>4</v>
      </c>
      <c r="D279" t="s">
        <v>5662</v>
      </c>
      <c r="E279" s="23">
        <v>42544</v>
      </c>
      <c r="F279" s="23">
        <v>42542</v>
      </c>
      <c r="G279">
        <v>1</v>
      </c>
      <c r="H279">
        <v>3</v>
      </c>
      <c r="I279" t="s">
        <v>5581</v>
      </c>
    </row>
    <row r="280" spans="1:9" x14ac:dyDescent="0.35">
      <c r="A280">
        <v>279</v>
      </c>
      <c r="B280">
        <v>378</v>
      </c>
      <c r="C280">
        <v>4</v>
      </c>
      <c r="D280" t="s">
        <v>5663</v>
      </c>
      <c r="E280" s="23">
        <v>42543</v>
      </c>
      <c r="F280" s="23">
        <v>42543</v>
      </c>
      <c r="G280">
        <v>2</v>
      </c>
      <c r="H280">
        <v>6</v>
      </c>
      <c r="I280" t="s">
        <v>5581</v>
      </c>
    </row>
    <row r="281" spans="1:9" x14ac:dyDescent="0.35">
      <c r="A281">
        <v>280</v>
      </c>
      <c r="B281">
        <v>638</v>
      </c>
      <c r="C281">
        <v>4</v>
      </c>
      <c r="D281" t="s">
        <v>5663</v>
      </c>
      <c r="E281" s="23">
        <v>42543</v>
      </c>
      <c r="F281" s="23">
        <v>42544</v>
      </c>
      <c r="G281">
        <v>2</v>
      </c>
      <c r="H281">
        <v>7</v>
      </c>
      <c r="I281" t="s">
        <v>5581</v>
      </c>
    </row>
    <row r="282" spans="1:9" x14ac:dyDescent="0.35">
      <c r="A282">
        <v>281</v>
      </c>
      <c r="B282">
        <v>800</v>
      </c>
      <c r="C282">
        <v>4</v>
      </c>
      <c r="D282" t="s">
        <v>5663</v>
      </c>
      <c r="E282" s="23">
        <v>42543</v>
      </c>
      <c r="F282" s="23">
        <v>42544</v>
      </c>
      <c r="G282">
        <v>2</v>
      </c>
      <c r="H282">
        <v>7</v>
      </c>
      <c r="I282" t="s">
        <v>5581</v>
      </c>
    </row>
    <row r="283" spans="1:9" x14ac:dyDescent="0.35">
      <c r="A283">
        <v>282</v>
      </c>
      <c r="B283">
        <v>159</v>
      </c>
      <c r="C283">
        <v>4</v>
      </c>
      <c r="D283" t="s">
        <v>5664</v>
      </c>
      <c r="E283" s="23">
        <v>42546</v>
      </c>
      <c r="F283" s="23">
        <v>42546</v>
      </c>
      <c r="G283">
        <v>3</v>
      </c>
      <c r="H283">
        <v>9</v>
      </c>
      <c r="I283" t="s">
        <v>5581</v>
      </c>
    </row>
    <row r="284" spans="1:9" x14ac:dyDescent="0.35">
      <c r="A284">
        <v>283</v>
      </c>
      <c r="B284">
        <v>181</v>
      </c>
      <c r="C284">
        <v>4</v>
      </c>
      <c r="D284" t="s">
        <v>5665</v>
      </c>
      <c r="E284" s="23">
        <v>42547</v>
      </c>
      <c r="F284" s="23">
        <v>42547</v>
      </c>
      <c r="G284">
        <v>1</v>
      </c>
      <c r="H284">
        <v>2</v>
      </c>
      <c r="I284" t="s">
        <v>5581</v>
      </c>
    </row>
    <row r="285" spans="1:9" x14ac:dyDescent="0.35">
      <c r="A285">
        <v>284</v>
      </c>
      <c r="B285">
        <v>1356</v>
      </c>
      <c r="C285">
        <v>4</v>
      </c>
      <c r="D285" t="s">
        <v>5665</v>
      </c>
      <c r="E285" s="23">
        <v>42546</v>
      </c>
      <c r="F285" s="23">
        <v>42546</v>
      </c>
      <c r="G285">
        <v>2</v>
      </c>
      <c r="H285">
        <v>7</v>
      </c>
      <c r="I285" t="s">
        <v>5581</v>
      </c>
    </row>
    <row r="286" spans="1:9" x14ac:dyDescent="0.35">
      <c r="A286">
        <v>285</v>
      </c>
      <c r="B286">
        <v>319</v>
      </c>
      <c r="C286">
        <v>4</v>
      </c>
      <c r="D286" t="s">
        <v>5666</v>
      </c>
      <c r="E286" s="23">
        <v>42547</v>
      </c>
      <c r="F286" s="23">
        <v>42548</v>
      </c>
      <c r="G286">
        <v>1</v>
      </c>
      <c r="H286">
        <v>2</v>
      </c>
      <c r="I286" t="s">
        <v>5581</v>
      </c>
    </row>
    <row r="287" spans="1:9" x14ac:dyDescent="0.35">
      <c r="A287">
        <v>286</v>
      </c>
      <c r="B287">
        <v>59</v>
      </c>
      <c r="C287">
        <v>4</v>
      </c>
      <c r="D287" t="s">
        <v>5666</v>
      </c>
      <c r="E287" s="23">
        <v>42547</v>
      </c>
      <c r="F287" s="23">
        <v>42547</v>
      </c>
      <c r="G287">
        <v>2</v>
      </c>
      <c r="H287">
        <v>6</v>
      </c>
      <c r="I287" t="s">
        <v>5581</v>
      </c>
    </row>
    <row r="288" spans="1:9" x14ac:dyDescent="0.35">
      <c r="A288">
        <v>287</v>
      </c>
      <c r="B288">
        <v>133</v>
      </c>
      <c r="C288">
        <v>4</v>
      </c>
      <c r="D288" t="s">
        <v>5666</v>
      </c>
      <c r="E288" s="23">
        <v>42547</v>
      </c>
      <c r="F288" s="23">
        <v>42548</v>
      </c>
      <c r="G288">
        <v>2</v>
      </c>
      <c r="H288">
        <v>6</v>
      </c>
      <c r="I288" t="s">
        <v>5581</v>
      </c>
    </row>
    <row r="289" spans="1:9" x14ac:dyDescent="0.35">
      <c r="A289">
        <v>288</v>
      </c>
      <c r="B289">
        <v>780</v>
      </c>
      <c r="C289">
        <v>4</v>
      </c>
      <c r="D289" t="s">
        <v>5666</v>
      </c>
      <c r="E289" s="23">
        <v>42549</v>
      </c>
      <c r="F289" s="23">
        <v>42549</v>
      </c>
      <c r="G289">
        <v>2</v>
      </c>
      <c r="H289">
        <v>6</v>
      </c>
      <c r="I289" t="s">
        <v>5581</v>
      </c>
    </row>
    <row r="290" spans="1:9" x14ac:dyDescent="0.35">
      <c r="A290">
        <v>289</v>
      </c>
      <c r="B290">
        <v>849</v>
      </c>
      <c r="C290">
        <v>4</v>
      </c>
      <c r="D290" t="s">
        <v>5667</v>
      </c>
      <c r="E290" s="23">
        <v>42549</v>
      </c>
      <c r="F290" s="23">
        <v>42551</v>
      </c>
      <c r="G290">
        <v>2</v>
      </c>
      <c r="H290">
        <v>6</v>
      </c>
      <c r="I290" t="s">
        <v>5581</v>
      </c>
    </row>
    <row r="291" spans="1:9" x14ac:dyDescent="0.35">
      <c r="A291">
        <v>290</v>
      </c>
      <c r="B291">
        <v>202</v>
      </c>
      <c r="C291">
        <v>4</v>
      </c>
      <c r="D291" t="s">
        <v>5668</v>
      </c>
      <c r="E291" s="23">
        <v>42550</v>
      </c>
      <c r="F291" s="23">
        <v>42551</v>
      </c>
      <c r="G291">
        <v>2</v>
      </c>
      <c r="H291">
        <v>6</v>
      </c>
      <c r="I291" t="s">
        <v>5581</v>
      </c>
    </row>
    <row r="292" spans="1:9" x14ac:dyDescent="0.35">
      <c r="A292">
        <v>291</v>
      </c>
      <c r="B292">
        <v>158</v>
      </c>
      <c r="C292">
        <v>4</v>
      </c>
      <c r="D292" t="s">
        <v>5669</v>
      </c>
      <c r="E292" s="23">
        <v>42551</v>
      </c>
      <c r="F292" s="23">
        <v>42552</v>
      </c>
      <c r="G292">
        <v>2</v>
      </c>
      <c r="H292">
        <v>6</v>
      </c>
      <c r="I292" t="s">
        <v>5581</v>
      </c>
    </row>
    <row r="293" spans="1:9" x14ac:dyDescent="0.35">
      <c r="A293">
        <v>292</v>
      </c>
      <c r="B293">
        <v>360</v>
      </c>
      <c r="C293">
        <v>4</v>
      </c>
      <c r="D293" t="s">
        <v>5669</v>
      </c>
      <c r="E293" s="23">
        <v>42551</v>
      </c>
      <c r="F293" s="23">
        <v>42553</v>
      </c>
      <c r="G293">
        <v>3</v>
      </c>
      <c r="H293">
        <v>9</v>
      </c>
      <c r="I293" t="s">
        <v>5581</v>
      </c>
    </row>
    <row r="294" spans="1:9" x14ac:dyDescent="0.35">
      <c r="A294">
        <v>293</v>
      </c>
      <c r="B294">
        <v>573</v>
      </c>
      <c r="C294">
        <v>4</v>
      </c>
      <c r="D294" t="s">
        <v>5670</v>
      </c>
      <c r="E294" s="23">
        <v>42554</v>
      </c>
      <c r="F294" s="23">
        <v>42553</v>
      </c>
      <c r="G294">
        <v>2</v>
      </c>
      <c r="H294">
        <v>7</v>
      </c>
      <c r="I294" t="s">
        <v>5581</v>
      </c>
    </row>
    <row r="295" spans="1:9" x14ac:dyDescent="0.35">
      <c r="A295">
        <v>294</v>
      </c>
      <c r="B295">
        <v>732</v>
      </c>
      <c r="C295">
        <v>4</v>
      </c>
      <c r="D295" s="23">
        <v>42376</v>
      </c>
      <c r="E295" s="23">
        <v>42553</v>
      </c>
      <c r="F295" s="23">
        <v>42553</v>
      </c>
      <c r="G295">
        <v>2</v>
      </c>
      <c r="H295">
        <v>7</v>
      </c>
      <c r="I295" t="s">
        <v>5581</v>
      </c>
    </row>
    <row r="296" spans="1:9" x14ac:dyDescent="0.35">
      <c r="A296">
        <v>295</v>
      </c>
      <c r="B296">
        <v>1130</v>
      </c>
      <c r="C296">
        <v>4</v>
      </c>
      <c r="D296" s="23">
        <v>42376</v>
      </c>
      <c r="E296" s="23">
        <v>42555</v>
      </c>
      <c r="F296" s="23">
        <v>42555</v>
      </c>
      <c r="G296">
        <v>2</v>
      </c>
      <c r="H296">
        <v>7</v>
      </c>
      <c r="I296" t="s">
        <v>5581</v>
      </c>
    </row>
    <row r="297" spans="1:9" x14ac:dyDescent="0.35">
      <c r="A297">
        <v>296</v>
      </c>
      <c r="B297">
        <v>1245</v>
      </c>
      <c r="C297">
        <v>4</v>
      </c>
      <c r="D297" s="23">
        <v>42467</v>
      </c>
      <c r="E297" s="23">
        <v>42558</v>
      </c>
      <c r="F297" s="23">
        <v>42557</v>
      </c>
      <c r="G297">
        <v>2</v>
      </c>
      <c r="H297">
        <v>6</v>
      </c>
      <c r="I297" t="s">
        <v>5581</v>
      </c>
    </row>
    <row r="298" spans="1:9" x14ac:dyDescent="0.35">
      <c r="A298">
        <v>297</v>
      </c>
      <c r="B298">
        <v>1425</v>
      </c>
      <c r="C298">
        <v>4</v>
      </c>
      <c r="D298" s="23">
        <v>42467</v>
      </c>
      <c r="E298" s="23">
        <v>42556</v>
      </c>
      <c r="F298" s="23">
        <v>42557</v>
      </c>
      <c r="G298">
        <v>2</v>
      </c>
      <c r="H298">
        <v>7</v>
      </c>
      <c r="I298" t="s">
        <v>5581</v>
      </c>
    </row>
    <row r="299" spans="1:9" x14ac:dyDescent="0.35">
      <c r="A299">
        <v>298</v>
      </c>
      <c r="B299">
        <v>885</v>
      </c>
      <c r="C299">
        <v>4</v>
      </c>
      <c r="D299" s="23">
        <v>42467</v>
      </c>
      <c r="E299" s="23">
        <v>42558</v>
      </c>
      <c r="F299" s="23">
        <v>42558</v>
      </c>
      <c r="G299">
        <v>3</v>
      </c>
      <c r="H299">
        <v>9</v>
      </c>
      <c r="I299" t="s">
        <v>5581</v>
      </c>
    </row>
    <row r="300" spans="1:9" x14ac:dyDescent="0.35">
      <c r="A300">
        <v>299</v>
      </c>
      <c r="B300">
        <v>281</v>
      </c>
      <c r="C300">
        <v>4</v>
      </c>
      <c r="D300" s="23">
        <v>42497</v>
      </c>
      <c r="E300" s="23">
        <v>42557</v>
      </c>
      <c r="F300" s="23">
        <v>42558</v>
      </c>
      <c r="G300">
        <v>2</v>
      </c>
      <c r="H300">
        <v>6</v>
      </c>
      <c r="I300" t="s">
        <v>5581</v>
      </c>
    </row>
    <row r="301" spans="1:9" x14ac:dyDescent="0.35">
      <c r="A301">
        <v>300</v>
      </c>
      <c r="B301">
        <v>1205</v>
      </c>
      <c r="C301">
        <v>4</v>
      </c>
      <c r="D301" s="23">
        <v>42497</v>
      </c>
      <c r="E301" s="23">
        <v>42559</v>
      </c>
      <c r="F301" s="23">
        <v>42559</v>
      </c>
      <c r="G301">
        <v>2</v>
      </c>
      <c r="H301">
        <v>6</v>
      </c>
      <c r="I301" t="s">
        <v>5581</v>
      </c>
    </row>
    <row r="302" spans="1:9" x14ac:dyDescent="0.35">
      <c r="A302">
        <v>301</v>
      </c>
      <c r="B302">
        <v>17</v>
      </c>
      <c r="C302">
        <v>4</v>
      </c>
      <c r="D302" s="23">
        <v>42528</v>
      </c>
      <c r="E302" s="23">
        <v>42560</v>
      </c>
      <c r="F302" s="23">
        <v>42559</v>
      </c>
      <c r="G302">
        <v>2</v>
      </c>
      <c r="H302">
        <v>6</v>
      </c>
      <c r="I302" t="s">
        <v>5581</v>
      </c>
    </row>
    <row r="303" spans="1:9" x14ac:dyDescent="0.35">
      <c r="A303">
        <v>302</v>
      </c>
      <c r="B303">
        <v>1375</v>
      </c>
      <c r="C303">
        <v>4</v>
      </c>
      <c r="D303" s="23">
        <v>42528</v>
      </c>
      <c r="E303" s="23">
        <v>42558</v>
      </c>
      <c r="F303" s="23">
        <v>42560</v>
      </c>
      <c r="G303">
        <v>2</v>
      </c>
      <c r="H303">
        <v>6</v>
      </c>
      <c r="I303" t="s">
        <v>5581</v>
      </c>
    </row>
    <row r="304" spans="1:9" x14ac:dyDescent="0.35">
      <c r="A304">
        <v>303</v>
      </c>
      <c r="B304">
        <v>36</v>
      </c>
      <c r="C304">
        <v>4</v>
      </c>
      <c r="D304" s="23">
        <v>42558</v>
      </c>
      <c r="E304" s="23">
        <v>42559</v>
      </c>
      <c r="F304" s="23">
        <v>42560</v>
      </c>
      <c r="G304">
        <v>2</v>
      </c>
      <c r="H304">
        <v>7</v>
      </c>
      <c r="I304" t="s">
        <v>5581</v>
      </c>
    </row>
    <row r="305" spans="1:9" x14ac:dyDescent="0.35">
      <c r="A305">
        <v>304</v>
      </c>
      <c r="B305">
        <v>230</v>
      </c>
      <c r="C305">
        <v>4</v>
      </c>
      <c r="D305" s="23">
        <v>42558</v>
      </c>
      <c r="E305" s="23">
        <v>42559</v>
      </c>
      <c r="F305" s="23">
        <v>42559</v>
      </c>
      <c r="G305">
        <v>2</v>
      </c>
      <c r="H305">
        <v>6</v>
      </c>
      <c r="I305" t="s">
        <v>5581</v>
      </c>
    </row>
    <row r="306" spans="1:9" x14ac:dyDescent="0.35">
      <c r="A306">
        <v>305</v>
      </c>
      <c r="B306">
        <v>705</v>
      </c>
      <c r="C306">
        <v>4</v>
      </c>
      <c r="D306" s="23">
        <v>42558</v>
      </c>
      <c r="E306" s="23">
        <v>42559</v>
      </c>
      <c r="F306" s="23">
        <v>42559</v>
      </c>
      <c r="G306">
        <v>2</v>
      </c>
      <c r="H306">
        <v>7</v>
      </c>
      <c r="I306" t="s">
        <v>5581</v>
      </c>
    </row>
    <row r="307" spans="1:9" x14ac:dyDescent="0.35">
      <c r="A307">
        <v>306</v>
      </c>
      <c r="B307">
        <v>424</v>
      </c>
      <c r="C307">
        <v>4</v>
      </c>
      <c r="D307" s="23">
        <v>42620</v>
      </c>
      <c r="E307" s="23">
        <v>42561</v>
      </c>
      <c r="F307" s="23">
        <v>42563</v>
      </c>
      <c r="G307">
        <v>2</v>
      </c>
      <c r="H307">
        <v>7</v>
      </c>
      <c r="I307" t="s">
        <v>5581</v>
      </c>
    </row>
    <row r="308" spans="1:9" x14ac:dyDescent="0.35">
      <c r="A308">
        <v>307</v>
      </c>
      <c r="B308">
        <v>695</v>
      </c>
      <c r="C308">
        <v>4</v>
      </c>
      <c r="D308" s="23">
        <v>42620</v>
      </c>
      <c r="E308" s="23">
        <v>42562</v>
      </c>
      <c r="F308" s="23">
        <v>42562</v>
      </c>
      <c r="G308">
        <v>2</v>
      </c>
      <c r="H308">
        <v>6</v>
      </c>
      <c r="I308" t="s">
        <v>5581</v>
      </c>
    </row>
    <row r="309" spans="1:9" x14ac:dyDescent="0.35">
      <c r="A309">
        <v>308</v>
      </c>
      <c r="B309">
        <v>156</v>
      </c>
      <c r="C309">
        <v>4</v>
      </c>
      <c r="D309" s="23">
        <v>42681</v>
      </c>
      <c r="E309" s="23">
        <v>42563</v>
      </c>
      <c r="F309" s="23">
        <v>42565</v>
      </c>
      <c r="G309">
        <v>2</v>
      </c>
      <c r="H309">
        <v>6</v>
      </c>
      <c r="I309" t="s">
        <v>5581</v>
      </c>
    </row>
    <row r="310" spans="1:9" x14ac:dyDescent="0.35">
      <c r="A310">
        <v>309</v>
      </c>
      <c r="B310">
        <v>211</v>
      </c>
      <c r="C310">
        <v>4</v>
      </c>
      <c r="D310" s="23">
        <v>42681</v>
      </c>
      <c r="E310" s="23">
        <v>42564</v>
      </c>
      <c r="F310" s="23">
        <v>42564</v>
      </c>
      <c r="G310">
        <v>2</v>
      </c>
      <c r="H310">
        <v>6</v>
      </c>
      <c r="I310" t="s">
        <v>5581</v>
      </c>
    </row>
    <row r="311" spans="1:9" x14ac:dyDescent="0.35">
      <c r="A311">
        <v>310</v>
      </c>
      <c r="B311">
        <v>627</v>
      </c>
      <c r="C311">
        <v>4</v>
      </c>
      <c r="D311" s="23">
        <v>42711</v>
      </c>
      <c r="E311" s="23">
        <v>42564</v>
      </c>
      <c r="F311" s="23">
        <v>42564</v>
      </c>
      <c r="G311">
        <v>1</v>
      </c>
      <c r="H311">
        <v>2</v>
      </c>
      <c r="I311" t="s">
        <v>5581</v>
      </c>
    </row>
    <row r="312" spans="1:9" x14ac:dyDescent="0.35">
      <c r="A312">
        <v>311</v>
      </c>
      <c r="B312">
        <v>1400</v>
      </c>
      <c r="C312">
        <v>4</v>
      </c>
      <c r="D312" s="23">
        <v>42711</v>
      </c>
      <c r="E312" s="23">
        <v>42565</v>
      </c>
      <c r="F312" s="23">
        <v>42564</v>
      </c>
      <c r="G312">
        <v>2</v>
      </c>
      <c r="H312">
        <v>6</v>
      </c>
      <c r="I312" t="s">
        <v>5581</v>
      </c>
    </row>
    <row r="313" spans="1:9" x14ac:dyDescent="0.35">
      <c r="A313">
        <v>312</v>
      </c>
      <c r="B313">
        <v>299</v>
      </c>
      <c r="C313">
        <v>4</v>
      </c>
      <c r="D313" t="s">
        <v>5671</v>
      </c>
      <c r="E313" s="23">
        <v>42566</v>
      </c>
      <c r="F313" s="23">
        <v>42567</v>
      </c>
      <c r="G313">
        <v>2</v>
      </c>
      <c r="H313">
        <v>6</v>
      </c>
      <c r="I313" t="s">
        <v>5581</v>
      </c>
    </row>
    <row r="314" spans="1:9" x14ac:dyDescent="0.35">
      <c r="A314">
        <v>313</v>
      </c>
      <c r="B314">
        <v>565</v>
      </c>
      <c r="C314">
        <v>4</v>
      </c>
      <c r="D314" t="s">
        <v>5672</v>
      </c>
      <c r="E314" s="23">
        <v>42566</v>
      </c>
      <c r="F314" s="23">
        <v>42566</v>
      </c>
      <c r="G314">
        <v>3</v>
      </c>
      <c r="H314">
        <v>9</v>
      </c>
      <c r="I314" t="s">
        <v>5581</v>
      </c>
    </row>
    <row r="315" spans="1:9" x14ac:dyDescent="0.35">
      <c r="A315">
        <v>314</v>
      </c>
      <c r="B315">
        <v>1019</v>
      </c>
      <c r="C315">
        <v>4</v>
      </c>
      <c r="D315" t="s">
        <v>5673</v>
      </c>
      <c r="E315" s="23">
        <v>42568</v>
      </c>
      <c r="F315" s="23">
        <v>42568</v>
      </c>
      <c r="G315">
        <v>2</v>
      </c>
      <c r="H315">
        <v>7</v>
      </c>
      <c r="I315" t="s">
        <v>5581</v>
      </c>
    </row>
    <row r="316" spans="1:9" x14ac:dyDescent="0.35">
      <c r="A316">
        <v>315</v>
      </c>
      <c r="B316">
        <v>1263</v>
      </c>
      <c r="C316">
        <v>4</v>
      </c>
      <c r="D316" t="s">
        <v>5674</v>
      </c>
      <c r="E316" s="23">
        <v>42570</v>
      </c>
      <c r="F316" s="23">
        <v>42568</v>
      </c>
      <c r="G316">
        <v>2</v>
      </c>
      <c r="H316">
        <v>6</v>
      </c>
      <c r="I316" t="s">
        <v>5581</v>
      </c>
    </row>
    <row r="317" spans="1:9" x14ac:dyDescent="0.35">
      <c r="A317">
        <v>316</v>
      </c>
      <c r="B317">
        <v>670</v>
      </c>
      <c r="C317">
        <v>4</v>
      </c>
      <c r="D317" t="s">
        <v>5675</v>
      </c>
      <c r="E317" s="23">
        <v>42571</v>
      </c>
      <c r="F317" s="23">
        <v>42570</v>
      </c>
      <c r="G317">
        <v>2</v>
      </c>
      <c r="H317">
        <v>7</v>
      </c>
      <c r="I317" t="s">
        <v>5581</v>
      </c>
    </row>
    <row r="318" spans="1:9" x14ac:dyDescent="0.35">
      <c r="A318">
        <v>317</v>
      </c>
      <c r="B318">
        <v>795</v>
      </c>
      <c r="C318">
        <v>4</v>
      </c>
      <c r="D318" t="s">
        <v>5675</v>
      </c>
      <c r="E318" s="23">
        <v>42571</v>
      </c>
      <c r="F318" s="23">
        <v>42570</v>
      </c>
      <c r="G318">
        <v>2</v>
      </c>
      <c r="H318">
        <v>7</v>
      </c>
      <c r="I318" t="s">
        <v>5581</v>
      </c>
    </row>
    <row r="319" spans="1:9" x14ac:dyDescent="0.35">
      <c r="A319">
        <v>318</v>
      </c>
      <c r="B319">
        <v>1141</v>
      </c>
      <c r="C319">
        <v>4</v>
      </c>
      <c r="D319" t="s">
        <v>5675</v>
      </c>
      <c r="E319" s="23">
        <v>42570</v>
      </c>
      <c r="F319" s="23">
        <v>42571</v>
      </c>
      <c r="G319">
        <v>2</v>
      </c>
      <c r="H319">
        <v>7</v>
      </c>
      <c r="I319" t="s">
        <v>5581</v>
      </c>
    </row>
    <row r="320" spans="1:9" x14ac:dyDescent="0.35">
      <c r="A320">
        <v>319</v>
      </c>
      <c r="B320">
        <v>941</v>
      </c>
      <c r="C320">
        <v>4</v>
      </c>
      <c r="D320" t="s">
        <v>5676</v>
      </c>
      <c r="E320" s="23">
        <v>42572</v>
      </c>
      <c r="F320" s="23">
        <v>42572</v>
      </c>
      <c r="G320">
        <v>2</v>
      </c>
      <c r="H320">
        <v>6</v>
      </c>
      <c r="I320" t="s">
        <v>5581</v>
      </c>
    </row>
    <row r="321" spans="1:9" x14ac:dyDescent="0.35">
      <c r="A321">
        <v>320</v>
      </c>
      <c r="B321">
        <v>1428</v>
      </c>
      <c r="C321">
        <v>4</v>
      </c>
      <c r="D321" t="s">
        <v>5677</v>
      </c>
      <c r="E321" s="23">
        <v>42571</v>
      </c>
      <c r="F321" s="23">
        <v>42572</v>
      </c>
      <c r="G321">
        <v>1</v>
      </c>
      <c r="H321">
        <v>2</v>
      </c>
      <c r="I321" t="s">
        <v>5581</v>
      </c>
    </row>
    <row r="322" spans="1:9" x14ac:dyDescent="0.35">
      <c r="A322">
        <v>321</v>
      </c>
      <c r="B322">
        <v>568</v>
      </c>
      <c r="C322">
        <v>4</v>
      </c>
      <c r="D322" t="s">
        <v>5677</v>
      </c>
      <c r="E322" s="23">
        <v>42573</v>
      </c>
      <c r="F322" s="23">
        <v>42572</v>
      </c>
      <c r="G322">
        <v>2</v>
      </c>
      <c r="H322">
        <v>6</v>
      </c>
      <c r="I322" t="s">
        <v>5581</v>
      </c>
    </row>
    <row r="323" spans="1:9" x14ac:dyDescent="0.35">
      <c r="A323">
        <v>322</v>
      </c>
      <c r="B323">
        <v>924</v>
      </c>
      <c r="C323">
        <v>4</v>
      </c>
      <c r="D323" t="s">
        <v>5677</v>
      </c>
      <c r="E323" s="23">
        <v>42573</v>
      </c>
      <c r="F323" s="23">
        <v>42571</v>
      </c>
      <c r="G323">
        <v>2</v>
      </c>
      <c r="H323">
        <v>6</v>
      </c>
      <c r="I323" t="s">
        <v>5581</v>
      </c>
    </row>
    <row r="324" spans="1:9" x14ac:dyDescent="0.35">
      <c r="A324">
        <v>323</v>
      </c>
      <c r="B324">
        <v>1243</v>
      </c>
      <c r="C324">
        <v>4</v>
      </c>
      <c r="D324" t="s">
        <v>5677</v>
      </c>
      <c r="E324" s="23">
        <v>42573</v>
      </c>
      <c r="F324" s="23">
        <v>42572</v>
      </c>
      <c r="G324">
        <v>2</v>
      </c>
      <c r="H324">
        <v>6</v>
      </c>
      <c r="I324" t="s">
        <v>5581</v>
      </c>
    </row>
    <row r="325" spans="1:9" x14ac:dyDescent="0.35">
      <c r="A325">
        <v>324</v>
      </c>
      <c r="B325">
        <v>480</v>
      </c>
      <c r="C325">
        <v>4</v>
      </c>
      <c r="D325" t="s">
        <v>5678</v>
      </c>
      <c r="E325" s="23">
        <v>42573</v>
      </c>
      <c r="F325" s="23">
        <v>42574</v>
      </c>
      <c r="G325">
        <v>2</v>
      </c>
      <c r="H325">
        <v>6</v>
      </c>
      <c r="I325" t="s">
        <v>5581</v>
      </c>
    </row>
    <row r="326" spans="1:9" x14ac:dyDescent="0.35">
      <c r="A326">
        <v>325</v>
      </c>
      <c r="B326">
        <v>848</v>
      </c>
      <c r="C326">
        <v>4</v>
      </c>
      <c r="D326" t="s">
        <v>5678</v>
      </c>
      <c r="E326" s="23">
        <v>42572</v>
      </c>
      <c r="F326" s="23">
        <v>42572</v>
      </c>
      <c r="G326">
        <v>2</v>
      </c>
      <c r="H326">
        <v>6</v>
      </c>
      <c r="I326" t="s">
        <v>5581</v>
      </c>
    </row>
    <row r="327" spans="1:9" x14ac:dyDescent="0.35">
      <c r="A327">
        <v>326</v>
      </c>
      <c r="B327">
        <v>1337</v>
      </c>
      <c r="C327">
        <v>4</v>
      </c>
      <c r="D327" t="s">
        <v>5678</v>
      </c>
      <c r="E327" s="23">
        <v>42572</v>
      </c>
      <c r="F327" s="23">
        <v>42573</v>
      </c>
      <c r="G327">
        <v>3</v>
      </c>
      <c r="H327">
        <v>9</v>
      </c>
      <c r="I327" t="s">
        <v>5581</v>
      </c>
    </row>
    <row r="328" spans="1:9" x14ac:dyDescent="0.35">
      <c r="A328">
        <v>327</v>
      </c>
      <c r="B328">
        <v>83</v>
      </c>
      <c r="C328">
        <v>4</v>
      </c>
      <c r="D328" t="s">
        <v>5679</v>
      </c>
      <c r="E328" s="23">
        <v>42575</v>
      </c>
      <c r="F328" s="23">
        <v>42573</v>
      </c>
      <c r="G328">
        <v>2</v>
      </c>
      <c r="H328">
        <v>6</v>
      </c>
      <c r="I328" t="s">
        <v>5581</v>
      </c>
    </row>
    <row r="329" spans="1:9" x14ac:dyDescent="0.35">
      <c r="A329">
        <v>328</v>
      </c>
      <c r="B329">
        <v>528</v>
      </c>
      <c r="C329">
        <v>4</v>
      </c>
      <c r="D329" t="s">
        <v>5680</v>
      </c>
      <c r="E329" s="23">
        <v>42577</v>
      </c>
      <c r="F329" s="23">
        <v>42576</v>
      </c>
      <c r="G329">
        <v>2</v>
      </c>
      <c r="H329">
        <v>6</v>
      </c>
      <c r="I329" t="s">
        <v>5581</v>
      </c>
    </row>
    <row r="330" spans="1:9" x14ac:dyDescent="0.35">
      <c r="A330">
        <v>329</v>
      </c>
      <c r="B330">
        <v>274</v>
      </c>
      <c r="C330">
        <v>4</v>
      </c>
      <c r="D330" t="s">
        <v>5681</v>
      </c>
      <c r="E330" s="23">
        <v>42578</v>
      </c>
      <c r="F330" s="23">
        <v>42577</v>
      </c>
      <c r="G330">
        <v>2</v>
      </c>
      <c r="H330">
        <v>6</v>
      </c>
      <c r="I330" t="s">
        <v>5581</v>
      </c>
    </row>
    <row r="331" spans="1:9" x14ac:dyDescent="0.35">
      <c r="A331">
        <v>330</v>
      </c>
      <c r="B331">
        <v>622</v>
      </c>
      <c r="C331">
        <v>4</v>
      </c>
      <c r="D331" t="s">
        <v>5681</v>
      </c>
      <c r="E331" s="23">
        <v>42578</v>
      </c>
      <c r="F331" s="23">
        <v>42578</v>
      </c>
      <c r="G331">
        <v>2</v>
      </c>
      <c r="H331">
        <v>6</v>
      </c>
      <c r="I331" t="s">
        <v>5581</v>
      </c>
    </row>
    <row r="332" spans="1:9" x14ac:dyDescent="0.35">
      <c r="A332">
        <v>331</v>
      </c>
      <c r="B332">
        <v>642</v>
      </c>
      <c r="C332">
        <v>4</v>
      </c>
      <c r="D332" t="s">
        <v>5681</v>
      </c>
      <c r="E332" s="23">
        <v>42577</v>
      </c>
      <c r="F332" s="23">
        <v>42576</v>
      </c>
      <c r="G332">
        <v>2</v>
      </c>
      <c r="H332">
        <v>6</v>
      </c>
      <c r="I332" t="s">
        <v>5581</v>
      </c>
    </row>
    <row r="333" spans="1:9" x14ac:dyDescent="0.35">
      <c r="A333">
        <v>332</v>
      </c>
      <c r="B333">
        <v>659</v>
      </c>
      <c r="C333">
        <v>4</v>
      </c>
      <c r="D333" t="s">
        <v>5681</v>
      </c>
      <c r="E333" s="23">
        <v>42577</v>
      </c>
      <c r="F333" s="23">
        <v>42577</v>
      </c>
      <c r="G333">
        <v>2</v>
      </c>
      <c r="H333">
        <v>7</v>
      </c>
      <c r="I333" t="s">
        <v>5581</v>
      </c>
    </row>
    <row r="334" spans="1:9" x14ac:dyDescent="0.35">
      <c r="A334">
        <v>333</v>
      </c>
      <c r="B334">
        <v>779</v>
      </c>
      <c r="C334">
        <v>4</v>
      </c>
      <c r="D334" t="s">
        <v>5682</v>
      </c>
      <c r="E334" s="23">
        <v>42578</v>
      </c>
      <c r="F334" s="23">
        <v>42577</v>
      </c>
      <c r="G334">
        <v>2</v>
      </c>
      <c r="H334">
        <v>6</v>
      </c>
      <c r="I334" t="s">
        <v>5581</v>
      </c>
    </row>
    <row r="335" spans="1:9" x14ac:dyDescent="0.35">
      <c r="A335">
        <v>334</v>
      </c>
      <c r="B335">
        <v>1112</v>
      </c>
      <c r="C335">
        <v>4</v>
      </c>
      <c r="D335" t="s">
        <v>5682</v>
      </c>
      <c r="E335" s="23">
        <v>42579</v>
      </c>
      <c r="F335" s="23">
        <v>42578</v>
      </c>
      <c r="G335">
        <v>2</v>
      </c>
      <c r="H335">
        <v>7</v>
      </c>
      <c r="I335" t="s">
        <v>5581</v>
      </c>
    </row>
    <row r="336" spans="1:9" x14ac:dyDescent="0.35">
      <c r="A336">
        <v>335</v>
      </c>
      <c r="B336">
        <v>1193</v>
      </c>
      <c r="C336">
        <v>4</v>
      </c>
      <c r="D336" t="s">
        <v>5682</v>
      </c>
      <c r="E336" s="23">
        <v>42578</v>
      </c>
      <c r="F336" s="23">
        <v>42577</v>
      </c>
      <c r="G336">
        <v>2</v>
      </c>
      <c r="H336">
        <v>6</v>
      </c>
      <c r="I336" t="s">
        <v>5581</v>
      </c>
    </row>
    <row r="337" spans="1:9" x14ac:dyDescent="0.35">
      <c r="A337">
        <v>336</v>
      </c>
      <c r="B337">
        <v>1030</v>
      </c>
      <c r="C337">
        <v>4</v>
      </c>
      <c r="D337" t="s">
        <v>5683</v>
      </c>
      <c r="E337" s="23">
        <v>42580</v>
      </c>
      <c r="F337" s="23">
        <v>42578</v>
      </c>
      <c r="G337">
        <v>2</v>
      </c>
      <c r="H337">
        <v>7</v>
      </c>
      <c r="I337" t="s">
        <v>5581</v>
      </c>
    </row>
    <row r="338" spans="1:9" x14ac:dyDescent="0.35">
      <c r="A338">
        <v>337</v>
      </c>
      <c r="B338">
        <v>1252</v>
      </c>
      <c r="C338">
        <v>4</v>
      </c>
      <c r="D338" t="s">
        <v>5683</v>
      </c>
      <c r="E338" s="23">
        <v>42578</v>
      </c>
      <c r="F338" s="23">
        <v>42579</v>
      </c>
      <c r="G338">
        <v>2</v>
      </c>
      <c r="H338">
        <v>7</v>
      </c>
      <c r="I338" t="s">
        <v>5581</v>
      </c>
    </row>
    <row r="339" spans="1:9" x14ac:dyDescent="0.35">
      <c r="A339">
        <v>338</v>
      </c>
      <c r="B339">
        <v>1333</v>
      </c>
      <c r="C339">
        <v>4</v>
      </c>
      <c r="D339" t="s">
        <v>5684</v>
      </c>
      <c r="E339" s="23">
        <v>42580</v>
      </c>
      <c r="F339" s="23">
        <v>42581</v>
      </c>
      <c r="G339">
        <v>1</v>
      </c>
      <c r="H339">
        <v>3</v>
      </c>
      <c r="I339" t="s">
        <v>5581</v>
      </c>
    </row>
    <row r="340" spans="1:9" x14ac:dyDescent="0.35">
      <c r="A340">
        <v>339</v>
      </c>
      <c r="B340">
        <v>1110</v>
      </c>
      <c r="C340">
        <v>4</v>
      </c>
      <c r="D340" t="s">
        <v>5684</v>
      </c>
      <c r="E340" s="23">
        <v>42582</v>
      </c>
      <c r="F340" s="23">
        <v>42580</v>
      </c>
      <c r="G340">
        <v>2</v>
      </c>
      <c r="H340">
        <v>7</v>
      </c>
      <c r="I340" t="s">
        <v>5581</v>
      </c>
    </row>
    <row r="341" spans="1:9" x14ac:dyDescent="0.35">
      <c r="A341">
        <v>340</v>
      </c>
      <c r="B341">
        <v>963</v>
      </c>
      <c r="C341">
        <v>4</v>
      </c>
      <c r="D341" t="s">
        <v>5685</v>
      </c>
      <c r="E341" s="23">
        <v>42581</v>
      </c>
      <c r="F341" s="23">
        <v>42582</v>
      </c>
      <c r="G341">
        <v>2</v>
      </c>
      <c r="H341">
        <v>7</v>
      </c>
      <c r="I341" t="s">
        <v>5581</v>
      </c>
    </row>
    <row r="342" spans="1:9" x14ac:dyDescent="0.35">
      <c r="A342">
        <v>341</v>
      </c>
      <c r="B342">
        <v>1357</v>
      </c>
      <c r="C342">
        <v>4</v>
      </c>
      <c r="D342" t="s">
        <v>5686</v>
      </c>
      <c r="E342" s="23">
        <v>42585</v>
      </c>
      <c r="F342" s="23">
        <v>42583</v>
      </c>
      <c r="G342">
        <v>1</v>
      </c>
      <c r="H342">
        <v>3</v>
      </c>
      <c r="I342" t="s">
        <v>5581</v>
      </c>
    </row>
    <row r="343" spans="1:9" x14ac:dyDescent="0.35">
      <c r="A343">
        <v>342</v>
      </c>
      <c r="B343">
        <v>806</v>
      </c>
      <c r="C343">
        <v>4</v>
      </c>
      <c r="D343" t="s">
        <v>5686</v>
      </c>
      <c r="E343" s="23">
        <v>42583</v>
      </c>
      <c r="F343" s="23">
        <v>42585</v>
      </c>
      <c r="G343">
        <v>2</v>
      </c>
      <c r="H343">
        <v>7</v>
      </c>
      <c r="I343" t="s">
        <v>5581</v>
      </c>
    </row>
    <row r="344" spans="1:9" x14ac:dyDescent="0.35">
      <c r="A344">
        <v>343</v>
      </c>
      <c r="B344">
        <v>961</v>
      </c>
      <c r="C344">
        <v>4</v>
      </c>
      <c r="D344" t="s">
        <v>5686</v>
      </c>
      <c r="E344" s="23">
        <v>42584</v>
      </c>
      <c r="F344" s="23">
        <v>42583</v>
      </c>
      <c r="G344">
        <v>2</v>
      </c>
      <c r="H344">
        <v>7</v>
      </c>
      <c r="I344" t="s">
        <v>5581</v>
      </c>
    </row>
    <row r="345" spans="1:9" x14ac:dyDescent="0.35">
      <c r="A345">
        <v>344</v>
      </c>
      <c r="B345">
        <v>750</v>
      </c>
      <c r="C345">
        <v>4</v>
      </c>
      <c r="D345" s="23">
        <v>42377</v>
      </c>
      <c r="E345" s="23">
        <v>42585</v>
      </c>
      <c r="F345" s="23">
        <v>42584</v>
      </c>
      <c r="G345">
        <v>2</v>
      </c>
      <c r="H345">
        <v>6</v>
      </c>
      <c r="I345" t="s">
        <v>5581</v>
      </c>
    </row>
    <row r="346" spans="1:9" x14ac:dyDescent="0.35">
      <c r="A346">
        <v>345</v>
      </c>
      <c r="B346">
        <v>1299</v>
      </c>
      <c r="C346">
        <v>4</v>
      </c>
      <c r="D346" s="23">
        <v>42377</v>
      </c>
      <c r="E346" s="23">
        <v>42586</v>
      </c>
      <c r="F346" s="23">
        <v>42585</v>
      </c>
      <c r="G346">
        <v>2</v>
      </c>
      <c r="H346">
        <v>6</v>
      </c>
      <c r="I346" t="s">
        <v>5581</v>
      </c>
    </row>
    <row r="347" spans="1:9" x14ac:dyDescent="0.35">
      <c r="A347">
        <v>346</v>
      </c>
      <c r="B347">
        <v>584</v>
      </c>
      <c r="C347">
        <v>4</v>
      </c>
      <c r="D347" s="23">
        <v>42377</v>
      </c>
      <c r="E347" s="23">
        <v>42585</v>
      </c>
      <c r="F347" s="23">
        <v>42584</v>
      </c>
      <c r="G347">
        <v>3</v>
      </c>
      <c r="H347">
        <v>9</v>
      </c>
      <c r="I347" t="s">
        <v>5581</v>
      </c>
    </row>
    <row r="348" spans="1:9" x14ac:dyDescent="0.35">
      <c r="A348">
        <v>347</v>
      </c>
      <c r="B348">
        <v>1004</v>
      </c>
      <c r="C348">
        <v>4</v>
      </c>
      <c r="D348" s="23">
        <v>42408</v>
      </c>
      <c r="E348" s="23">
        <v>42585</v>
      </c>
      <c r="F348" s="23">
        <v>42587</v>
      </c>
      <c r="G348">
        <v>2</v>
      </c>
      <c r="H348">
        <v>6</v>
      </c>
      <c r="I348" t="s">
        <v>5581</v>
      </c>
    </row>
    <row r="349" spans="1:9" x14ac:dyDescent="0.35">
      <c r="A349">
        <v>348</v>
      </c>
      <c r="B349">
        <v>907</v>
      </c>
      <c r="C349">
        <v>4</v>
      </c>
      <c r="D349" s="23">
        <v>42408</v>
      </c>
      <c r="E349" s="23">
        <v>42587</v>
      </c>
      <c r="F349" s="23">
        <v>42586</v>
      </c>
      <c r="G349">
        <v>3</v>
      </c>
      <c r="H349">
        <v>9</v>
      </c>
      <c r="I349" t="s">
        <v>5581</v>
      </c>
    </row>
    <row r="350" spans="1:9" x14ac:dyDescent="0.35">
      <c r="A350">
        <v>349</v>
      </c>
      <c r="B350">
        <v>30</v>
      </c>
      <c r="C350">
        <v>3</v>
      </c>
      <c r="D350" s="23">
        <v>42437</v>
      </c>
      <c r="E350" s="23">
        <v>42585</v>
      </c>
      <c r="F350" t="s">
        <v>5597</v>
      </c>
      <c r="G350">
        <v>1</v>
      </c>
      <c r="H350">
        <v>3</v>
      </c>
      <c r="I350" t="s">
        <v>5598</v>
      </c>
    </row>
    <row r="351" spans="1:9" x14ac:dyDescent="0.35">
      <c r="A351">
        <v>350</v>
      </c>
      <c r="B351">
        <v>31</v>
      </c>
      <c r="C351">
        <v>3</v>
      </c>
      <c r="D351" s="23">
        <v>42437</v>
      </c>
      <c r="E351" s="23">
        <v>42585</v>
      </c>
      <c r="F351" t="s">
        <v>5597</v>
      </c>
      <c r="G351">
        <v>1</v>
      </c>
      <c r="H351">
        <v>3</v>
      </c>
      <c r="I351" t="s">
        <v>5598</v>
      </c>
    </row>
    <row r="352" spans="1:9" x14ac:dyDescent="0.35">
      <c r="A352">
        <v>351</v>
      </c>
      <c r="B352">
        <v>1307</v>
      </c>
      <c r="C352">
        <v>4</v>
      </c>
      <c r="D352" s="23">
        <v>42437</v>
      </c>
      <c r="E352" s="23">
        <v>42588</v>
      </c>
      <c r="F352" s="23">
        <v>42586</v>
      </c>
      <c r="G352">
        <v>1</v>
      </c>
      <c r="H352">
        <v>2</v>
      </c>
      <c r="I352" t="s">
        <v>5581</v>
      </c>
    </row>
    <row r="353" spans="1:9" x14ac:dyDescent="0.35">
      <c r="A353">
        <v>352</v>
      </c>
      <c r="B353">
        <v>16</v>
      </c>
      <c r="C353">
        <v>4</v>
      </c>
      <c r="D353" s="23">
        <v>42437</v>
      </c>
      <c r="E353" s="23">
        <v>42586</v>
      </c>
      <c r="F353" s="23">
        <v>42588</v>
      </c>
      <c r="G353">
        <v>2</v>
      </c>
      <c r="H353">
        <v>7</v>
      </c>
      <c r="I353" t="s">
        <v>5581</v>
      </c>
    </row>
    <row r="354" spans="1:9" x14ac:dyDescent="0.35">
      <c r="A354">
        <v>353</v>
      </c>
      <c r="B354">
        <v>1387</v>
      </c>
      <c r="C354">
        <v>4</v>
      </c>
      <c r="D354" s="23">
        <v>42437</v>
      </c>
      <c r="E354" s="23">
        <v>42588</v>
      </c>
      <c r="F354" s="23">
        <v>42588</v>
      </c>
      <c r="G354">
        <v>2</v>
      </c>
      <c r="H354">
        <v>7</v>
      </c>
      <c r="I354" t="s">
        <v>5581</v>
      </c>
    </row>
    <row r="355" spans="1:9" x14ac:dyDescent="0.35">
      <c r="A355">
        <v>354</v>
      </c>
      <c r="B355">
        <v>551</v>
      </c>
      <c r="C355">
        <v>4</v>
      </c>
      <c r="D355" s="23">
        <v>42437</v>
      </c>
      <c r="E355" s="23">
        <v>42587</v>
      </c>
      <c r="F355" s="23">
        <v>42588</v>
      </c>
      <c r="G355">
        <v>3</v>
      </c>
      <c r="H355">
        <v>8</v>
      </c>
      <c r="I355" t="s">
        <v>5581</v>
      </c>
    </row>
    <row r="356" spans="1:9" x14ac:dyDescent="0.35">
      <c r="A356">
        <v>355</v>
      </c>
      <c r="B356">
        <v>1011</v>
      </c>
      <c r="C356">
        <v>4</v>
      </c>
      <c r="D356" s="23">
        <v>42437</v>
      </c>
      <c r="E356" s="23">
        <v>42587</v>
      </c>
      <c r="F356" s="23">
        <v>42587</v>
      </c>
      <c r="G356">
        <v>3</v>
      </c>
      <c r="H356">
        <v>8</v>
      </c>
      <c r="I356" t="s">
        <v>5581</v>
      </c>
    </row>
    <row r="357" spans="1:9" x14ac:dyDescent="0.35">
      <c r="A357">
        <v>356</v>
      </c>
      <c r="B357">
        <v>1189</v>
      </c>
      <c r="C357">
        <v>4</v>
      </c>
      <c r="D357" s="23">
        <v>42468</v>
      </c>
      <c r="E357" s="23">
        <v>42589</v>
      </c>
      <c r="F357" s="23">
        <v>42588</v>
      </c>
      <c r="G357">
        <v>2</v>
      </c>
      <c r="H357">
        <v>6</v>
      </c>
      <c r="I357" t="s">
        <v>5581</v>
      </c>
    </row>
    <row r="358" spans="1:9" x14ac:dyDescent="0.35">
      <c r="A358">
        <v>357</v>
      </c>
      <c r="B358">
        <v>14</v>
      </c>
      <c r="C358">
        <v>3</v>
      </c>
      <c r="D358" s="23">
        <v>42498</v>
      </c>
      <c r="E358" s="23">
        <v>42587</v>
      </c>
      <c r="F358" t="s">
        <v>5597</v>
      </c>
      <c r="G358">
        <v>3</v>
      </c>
      <c r="H358">
        <v>8</v>
      </c>
      <c r="I358" t="s">
        <v>5598</v>
      </c>
    </row>
    <row r="359" spans="1:9" x14ac:dyDescent="0.35">
      <c r="A359">
        <v>358</v>
      </c>
      <c r="B359">
        <v>1042</v>
      </c>
      <c r="C359">
        <v>4</v>
      </c>
      <c r="D359" s="23">
        <v>42498</v>
      </c>
      <c r="E359" s="23">
        <v>42589</v>
      </c>
      <c r="F359" s="23">
        <v>42589</v>
      </c>
      <c r="G359">
        <v>2</v>
      </c>
      <c r="H359">
        <v>7</v>
      </c>
      <c r="I359" t="s">
        <v>5581</v>
      </c>
    </row>
    <row r="360" spans="1:9" x14ac:dyDescent="0.35">
      <c r="A360">
        <v>359</v>
      </c>
      <c r="B360">
        <v>441</v>
      </c>
      <c r="C360">
        <v>4</v>
      </c>
      <c r="D360" s="23">
        <v>42559</v>
      </c>
      <c r="E360" s="23">
        <v>42592</v>
      </c>
      <c r="F360" s="23">
        <v>42592</v>
      </c>
      <c r="G360">
        <v>2</v>
      </c>
      <c r="H360">
        <v>7</v>
      </c>
      <c r="I360" t="s">
        <v>5581</v>
      </c>
    </row>
    <row r="361" spans="1:9" x14ac:dyDescent="0.35">
      <c r="A361">
        <v>360</v>
      </c>
      <c r="B361">
        <v>1300</v>
      </c>
      <c r="C361">
        <v>4</v>
      </c>
      <c r="D361" s="23">
        <v>42559</v>
      </c>
      <c r="E361" s="23">
        <v>42591</v>
      </c>
      <c r="F361" s="23">
        <v>42592</v>
      </c>
      <c r="G361">
        <v>2</v>
      </c>
      <c r="H361">
        <v>6</v>
      </c>
      <c r="I361" t="s">
        <v>5581</v>
      </c>
    </row>
    <row r="362" spans="1:9" x14ac:dyDescent="0.35">
      <c r="A362">
        <v>361</v>
      </c>
      <c r="B362">
        <v>994</v>
      </c>
      <c r="C362">
        <v>4</v>
      </c>
      <c r="D362" s="23">
        <v>42590</v>
      </c>
      <c r="E362" s="23">
        <v>42591</v>
      </c>
      <c r="F362" s="23">
        <v>42593</v>
      </c>
      <c r="G362">
        <v>2</v>
      </c>
      <c r="H362">
        <v>6</v>
      </c>
      <c r="I362" t="s">
        <v>5581</v>
      </c>
    </row>
    <row r="363" spans="1:9" x14ac:dyDescent="0.35">
      <c r="A363">
        <v>362</v>
      </c>
      <c r="B363">
        <v>187</v>
      </c>
      <c r="C363">
        <v>4</v>
      </c>
      <c r="D363" s="23">
        <v>42621</v>
      </c>
      <c r="E363" s="23">
        <v>42593</v>
      </c>
      <c r="F363" s="23">
        <v>42593</v>
      </c>
      <c r="G363">
        <v>1</v>
      </c>
      <c r="H363">
        <v>2</v>
      </c>
      <c r="I363" t="s">
        <v>5581</v>
      </c>
    </row>
    <row r="364" spans="1:9" x14ac:dyDescent="0.35">
      <c r="A364">
        <v>363</v>
      </c>
      <c r="B364">
        <v>834</v>
      </c>
      <c r="C364">
        <v>4</v>
      </c>
      <c r="D364" s="23">
        <v>42682</v>
      </c>
      <c r="E364" s="23">
        <v>42594</v>
      </c>
      <c r="F364" s="23">
        <v>42595</v>
      </c>
      <c r="G364">
        <v>3</v>
      </c>
      <c r="H364">
        <v>8</v>
      </c>
      <c r="I364" t="s">
        <v>5581</v>
      </c>
    </row>
    <row r="365" spans="1:9" x14ac:dyDescent="0.35">
      <c r="A365">
        <v>364</v>
      </c>
      <c r="B365">
        <v>373</v>
      </c>
      <c r="C365">
        <v>4</v>
      </c>
      <c r="D365" s="23">
        <v>42712</v>
      </c>
      <c r="E365" s="23">
        <v>42596</v>
      </c>
      <c r="F365" s="23">
        <v>42595</v>
      </c>
      <c r="G365">
        <v>2</v>
      </c>
      <c r="H365">
        <v>6</v>
      </c>
      <c r="I365" t="s">
        <v>5581</v>
      </c>
    </row>
    <row r="366" spans="1:9" x14ac:dyDescent="0.35">
      <c r="A366">
        <v>365</v>
      </c>
      <c r="B366">
        <v>981</v>
      </c>
      <c r="C366">
        <v>4</v>
      </c>
      <c r="D366" t="s">
        <v>5687</v>
      </c>
      <c r="E366" s="23">
        <v>42596</v>
      </c>
      <c r="F366" s="23">
        <v>42597</v>
      </c>
      <c r="G366">
        <v>2</v>
      </c>
      <c r="H366">
        <v>6</v>
      </c>
      <c r="I366" t="s">
        <v>5581</v>
      </c>
    </row>
    <row r="367" spans="1:9" x14ac:dyDescent="0.35">
      <c r="A367">
        <v>366</v>
      </c>
      <c r="B367">
        <v>1054</v>
      </c>
      <c r="C367">
        <v>4</v>
      </c>
      <c r="D367" t="s">
        <v>5687</v>
      </c>
      <c r="E367" s="23">
        <v>42596</v>
      </c>
      <c r="F367" s="23">
        <v>42596</v>
      </c>
      <c r="G367">
        <v>3</v>
      </c>
      <c r="H367">
        <v>9</v>
      </c>
      <c r="I367" t="s">
        <v>5581</v>
      </c>
    </row>
    <row r="368" spans="1:9" x14ac:dyDescent="0.35">
      <c r="A368">
        <v>367</v>
      </c>
      <c r="B368">
        <v>527</v>
      </c>
      <c r="C368">
        <v>4</v>
      </c>
      <c r="D368" t="s">
        <v>5688</v>
      </c>
      <c r="E368" s="23">
        <v>42597</v>
      </c>
      <c r="F368" s="23">
        <v>42597</v>
      </c>
      <c r="G368">
        <v>2</v>
      </c>
      <c r="H368">
        <v>7</v>
      </c>
      <c r="I368" t="s">
        <v>5581</v>
      </c>
    </row>
    <row r="369" spans="1:9" x14ac:dyDescent="0.35">
      <c r="A369">
        <v>368</v>
      </c>
      <c r="B369">
        <v>995</v>
      </c>
      <c r="C369">
        <v>4</v>
      </c>
      <c r="D369" t="s">
        <v>5688</v>
      </c>
      <c r="E369" s="23">
        <v>42597</v>
      </c>
      <c r="F369" s="23">
        <v>42599</v>
      </c>
      <c r="G369">
        <v>2</v>
      </c>
      <c r="H369">
        <v>7</v>
      </c>
      <c r="I369" t="s">
        <v>5581</v>
      </c>
    </row>
    <row r="370" spans="1:9" x14ac:dyDescent="0.35">
      <c r="A370">
        <v>369</v>
      </c>
      <c r="B370">
        <v>1285</v>
      </c>
      <c r="C370">
        <v>4</v>
      </c>
      <c r="D370" t="s">
        <v>5689</v>
      </c>
      <c r="E370" s="23">
        <v>42600</v>
      </c>
      <c r="F370" s="23">
        <v>42600</v>
      </c>
      <c r="G370">
        <v>1</v>
      </c>
      <c r="H370">
        <v>3</v>
      </c>
      <c r="I370" t="s">
        <v>5581</v>
      </c>
    </row>
    <row r="371" spans="1:9" x14ac:dyDescent="0.35">
      <c r="A371">
        <v>370</v>
      </c>
      <c r="B371">
        <v>758</v>
      </c>
      <c r="C371">
        <v>4</v>
      </c>
      <c r="D371" t="s">
        <v>5689</v>
      </c>
      <c r="E371" s="23">
        <v>42600</v>
      </c>
      <c r="F371" s="23">
        <v>42600</v>
      </c>
      <c r="G371">
        <v>2</v>
      </c>
      <c r="H371">
        <v>7</v>
      </c>
      <c r="I371" t="s">
        <v>5581</v>
      </c>
    </row>
    <row r="372" spans="1:9" x14ac:dyDescent="0.35">
      <c r="A372">
        <v>371</v>
      </c>
      <c r="B372">
        <v>891</v>
      </c>
      <c r="C372">
        <v>4</v>
      </c>
      <c r="D372" t="s">
        <v>5689</v>
      </c>
      <c r="E372" s="23">
        <v>42598</v>
      </c>
      <c r="F372" s="23">
        <v>42600</v>
      </c>
      <c r="G372">
        <v>2</v>
      </c>
      <c r="H372">
        <v>7</v>
      </c>
      <c r="I372" t="s">
        <v>5581</v>
      </c>
    </row>
    <row r="373" spans="1:9" x14ac:dyDescent="0.35">
      <c r="A373">
        <v>372</v>
      </c>
      <c r="B373">
        <v>132</v>
      </c>
      <c r="C373">
        <v>4</v>
      </c>
      <c r="D373" t="s">
        <v>5690</v>
      </c>
      <c r="E373" s="23">
        <v>42600</v>
      </c>
      <c r="F373" s="23">
        <v>42600</v>
      </c>
      <c r="G373">
        <v>2</v>
      </c>
      <c r="H373">
        <v>6</v>
      </c>
      <c r="I373" t="s">
        <v>5581</v>
      </c>
    </row>
    <row r="374" spans="1:9" x14ac:dyDescent="0.35">
      <c r="A374">
        <v>373</v>
      </c>
      <c r="B374">
        <v>337</v>
      </c>
      <c r="C374">
        <v>4</v>
      </c>
      <c r="D374" t="s">
        <v>5690</v>
      </c>
      <c r="E374" s="23">
        <v>42601</v>
      </c>
      <c r="F374" s="23">
        <v>42599</v>
      </c>
      <c r="G374">
        <v>2</v>
      </c>
      <c r="H374">
        <v>7</v>
      </c>
      <c r="I374" t="s">
        <v>5581</v>
      </c>
    </row>
    <row r="375" spans="1:9" x14ac:dyDescent="0.35">
      <c r="A375">
        <v>374</v>
      </c>
      <c r="B375">
        <v>1313</v>
      </c>
      <c r="C375">
        <v>4</v>
      </c>
      <c r="D375" t="s">
        <v>5691</v>
      </c>
      <c r="E375" s="23">
        <v>42601</v>
      </c>
      <c r="F375" s="23">
        <v>42600</v>
      </c>
      <c r="G375">
        <v>1</v>
      </c>
      <c r="H375">
        <v>2</v>
      </c>
      <c r="I375" t="s">
        <v>5581</v>
      </c>
    </row>
    <row r="376" spans="1:9" x14ac:dyDescent="0.35">
      <c r="A376">
        <v>375</v>
      </c>
      <c r="B376">
        <v>536</v>
      </c>
      <c r="C376">
        <v>4</v>
      </c>
      <c r="D376" t="s">
        <v>5691</v>
      </c>
      <c r="E376" s="23">
        <v>42602</v>
      </c>
      <c r="F376" s="23">
        <v>42602</v>
      </c>
      <c r="G376">
        <v>2</v>
      </c>
      <c r="H376">
        <v>7</v>
      </c>
      <c r="I376" t="s">
        <v>5581</v>
      </c>
    </row>
    <row r="377" spans="1:9" x14ac:dyDescent="0.35">
      <c r="A377">
        <v>376</v>
      </c>
      <c r="B377">
        <v>825</v>
      </c>
      <c r="C377">
        <v>4</v>
      </c>
      <c r="D377" t="s">
        <v>5691</v>
      </c>
      <c r="E377" s="23">
        <v>42601</v>
      </c>
      <c r="F377" s="23">
        <v>42600</v>
      </c>
      <c r="G377">
        <v>2</v>
      </c>
      <c r="H377">
        <v>6</v>
      </c>
      <c r="I377" t="s">
        <v>5581</v>
      </c>
    </row>
    <row r="378" spans="1:9" x14ac:dyDescent="0.35">
      <c r="A378">
        <v>377</v>
      </c>
      <c r="B378">
        <v>1355</v>
      </c>
      <c r="C378">
        <v>4</v>
      </c>
      <c r="D378" t="s">
        <v>5691</v>
      </c>
      <c r="E378" s="23">
        <v>42601</v>
      </c>
      <c r="F378" s="23">
        <v>42602</v>
      </c>
      <c r="G378">
        <v>2</v>
      </c>
      <c r="H378">
        <v>6</v>
      </c>
      <c r="I378" t="s">
        <v>5581</v>
      </c>
    </row>
    <row r="379" spans="1:9" x14ac:dyDescent="0.35">
      <c r="A379">
        <v>378</v>
      </c>
      <c r="B379">
        <v>475</v>
      </c>
      <c r="C379">
        <v>4</v>
      </c>
      <c r="D379" t="s">
        <v>5691</v>
      </c>
      <c r="E379" s="23">
        <v>42602</v>
      </c>
      <c r="F379" s="23">
        <v>42602</v>
      </c>
      <c r="G379">
        <v>3</v>
      </c>
      <c r="H379">
        <v>9</v>
      </c>
      <c r="I379" t="s">
        <v>5581</v>
      </c>
    </row>
    <row r="380" spans="1:9" x14ac:dyDescent="0.35">
      <c r="A380">
        <v>379</v>
      </c>
      <c r="B380">
        <v>954</v>
      </c>
      <c r="C380">
        <v>4</v>
      </c>
      <c r="D380" t="s">
        <v>5692</v>
      </c>
      <c r="E380" s="23">
        <v>42603</v>
      </c>
      <c r="F380" s="23">
        <v>42603</v>
      </c>
      <c r="G380">
        <v>2</v>
      </c>
      <c r="H380">
        <v>7</v>
      </c>
      <c r="I380" t="s">
        <v>5581</v>
      </c>
    </row>
    <row r="381" spans="1:9" x14ac:dyDescent="0.35">
      <c r="A381">
        <v>380</v>
      </c>
      <c r="B381">
        <v>1156</v>
      </c>
      <c r="C381">
        <v>4</v>
      </c>
      <c r="D381" t="s">
        <v>5693</v>
      </c>
      <c r="E381" s="23">
        <v>42602</v>
      </c>
      <c r="F381" s="23">
        <v>42603</v>
      </c>
      <c r="G381">
        <v>2</v>
      </c>
      <c r="H381">
        <v>7</v>
      </c>
      <c r="I381" t="s">
        <v>5581</v>
      </c>
    </row>
    <row r="382" spans="1:9" x14ac:dyDescent="0.35">
      <c r="A382">
        <v>381</v>
      </c>
      <c r="B382">
        <v>1297</v>
      </c>
      <c r="C382">
        <v>4</v>
      </c>
      <c r="D382" t="s">
        <v>5693</v>
      </c>
      <c r="E382" s="23">
        <v>42603</v>
      </c>
      <c r="F382" s="23">
        <v>42603</v>
      </c>
      <c r="G382">
        <v>2</v>
      </c>
      <c r="H382">
        <v>7</v>
      </c>
      <c r="I382" t="s">
        <v>5581</v>
      </c>
    </row>
    <row r="383" spans="1:9" x14ac:dyDescent="0.35">
      <c r="A383">
        <v>382</v>
      </c>
      <c r="B383">
        <v>199</v>
      </c>
      <c r="C383">
        <v>4</v>
      </c>
      <c r="D383" t="s">
        <v>5694</v>
      </c>
      <c r="E383" s="23">
        <v>42605</v>
      </c>
      <c r="F383" s="23">
        <v>42605</v>
      </c>
      <c r="G383">
        <v>2</v>
      </c>
      <c r="H383">
        <v>6</v>
      </c>
      <c r="I383" t="s">
        <v>5581</v>
      </c>
    </row>
    <row r="384" spans="1:9" x14ac:dyDescent="0.35">
      <c r="A384">
        <v>383</v>
      </c>
      <c r="B384">
        <v>331</v>
      </c>
      <c r="C384">
        <v>4</v>
      </c>
      <c r="D384" t="s">
        <v>5694</v>
      </c>
      <c r="E384" s="23">
        <v>42605</v>
      </c>
      <c r="F384" s="23">
        <v>42604</v>
      </c>
      <c r="G384">
        <v>2</v>
      </c>
      <c r="H384">
        <v>7</v>
      </c>
      <c r="I384" t="s">
        <v>5581</v>
      </c>
    </row>
    <row r="385" spans="1:9" x14ac:dyDescent="0.35">
      <c r="A385">
        <v>384</v>
      </c>
      <c r="B385">
        <v>410</v>
      </c>
      <c r="C385">
        <v>4</v>
      </c>
      <c r="D385" t="s">
        <v>5694</v>
      </c>
      <c r="E385" s="23">
        <v>42604</v>
      </c>
      <c r="F385" s="23">
        <v>42605</v>
      </c>
      <c r="G385">
        <v>2</v>
      </c>
      <c r="H385">
        <v>7</v>
      </c>
      <c r="I385" t="s">
        <v>5581</v>
      </c>
    </row>
    <row r="386" spans="1:9" x14ac:dyDescent="0.35">
      <c r="A386">
        <v>385</v>
      </c>
      <c r="B386">
        <v>1274</v>
      </c>
      <c r="C386">
        <v>4</v>
      </c>
      <c r="D386" t="s">
        <v>5694</v>
      </c>
      <c r="E386" s="23">
        <v>42605</v>
      </c>
      <c r="F386" s="23">
        <v>42604</v>
      </c>
      <c r="G386">
        <v>2</v>
      </c>
      <c r="H386">
        <v>7</v>
      </c>
      <c r="I386" t="s">
        <v>5581</v>
      </c>
    </row>
    <row r="387" spans="1:9" x14ac:dyDescent="0.35">
      <c r="A387">
        <v>386</v>
      </c>
      <c r="B387">
        <v>1362</v>
      </c>
      <c r="C387">
        <v>4</v>
      </c>
      <c r="D387" t="s">
        <v>5694</v>
      </c>
      <c r="E387" s="23">
        <v>42605</v>
      </c>
      <c r="F387" s="23">
        <v>42605</v>
      </c>
      <c r="G387">
        <v>2</v>
      </c>
      <c r="H387">
        <v>6</v>
      </c>
      <c r="I387" t="s">
        <v>5581</v>
      </c>
    </row>
    <row r="388" spans="1:9" x14ac:dyDescent="0.35">
      <c r="A388">
        <v>387</v>
      </c>
      <c r="B388">
        <v>451</v>
      </c>
      <c r="C388">
        <v>4</v>
      </c>
      <c r="D388" t="s">
        <v>5694</v>
      </c>
      <c r="E388" s="23">
        <v>42603</v>
      </c>
      <c r="F388" s="23">
        <v>42603</v>
      </c>
      <c r="G388">
        <v>3</v>
      </c>
      <c r="H388">
        <v>8</v>
      </c>
      <c r="I388" t="s">
        <v>5581</v>
      </c>
    </row>
    <row r="389" spans="1:9" x14ac:dyDescent="0.35">
      <c r="A389">
        <v>388</v>
      </c>
      <c r="B389">
        <v>1080</v>
      </c>
      <c r="C389">
        <v>4</v>
      </c>
      <c r="D389" t="s">
        <v>5695</v>
      </c>
      <c r="E389" s="23">
        <v>42606</v>
      </c>
      <c r="F389" s="23">
        <v>42605</v>
      </c>
      <c r="G389">
        <v>3</v>
      </c>
      <c r="H389">
        <v>8</v>
      </c>
      <c r="I389" t="s">
        <v>5581</v>
      </c>
    </row>
    <row r="390" spans="1:9" x14ac:dyDescent="0.35">
      <c r="A390">
        <v>389</v>
      </c>
      <c r="B390">
        <v>53</v>
      </c>
      <c r="C390">
        <v>4</v>
      </c>
      <c r="D390" t="s">
        <v>5696</v>
      </c>
      <c r="E390" s="23">
        <v>42606</v>
      </c>
      <c r="F390" s="23">
        <v>42607</v>
      </c>
      <c r="G390">
        <v>1</v>
      </c>
      <c r="H390">
        <v>3</v>
      </c>
      <c r="I390" t="s">
        <v>5581</v>
      </c>
    </row>
    <row r="391" spans="1:9" x14ac:dyDescent="0.35">
      <c r="A391">
        <v>390</v>
      </c>
      <c r="B391">
        <v>576</v>
      </c>
      <c r="C391">
        <v>4</v>
      </c>
      <c r="D391" t="s">
        <v>5696</v>
      </c>
      <c r="E391" s="23">
        <v>42606</v>
      </c>
      <c r="F391" s="23">
        <v>42607</v>
      </c>
      <c r="G391">
        <v>3</v>
      </c>
      <c r="H391">
        <v>9</v>
      </c>
      <c r="I391" t="s">
        <v>5581</v>
      </c>
    </row>
    <row r="392" spans="1:9" x14ac:dyDescent="0.35">
      <c r="A392">
        <v>391</v>
      </c>
      <c r="B392">
        <v>61</v>
      </c>
      <c r="C392">
        <v>3</v>
      </c>
      <c r="D392" t="s">
        <v>5697</v>
      </c>
      <c r="E392" s="23">
        <v>42605</v>
      </c>
      <c r="F392" t="s">
        <v>5597</v>
      </c>
      <c r="G392">
        <v>3</v>
      </c>
      <c r="H392">
        <v>9</v>
      </c>
      <c r="I392" t="s">
        <v>5598</v>
      </c>
    </row>
    <row r="393" spans="1:9" x14ac:dyDescent="0.35">
      <c r="A393">
        <v>392</v>
      </c>
      <c r="B393">
        <v>176</v>
      </c>
      <c r="C393">
        <v>4</v>
      </c>
      <c r="D393" t="s">
        <v>5697</v>
      </c>
      <c r="E393" s="23">
        <v>42608</v>
      </c>
      <c r="F393" s="23">
        <v>42606</v>
      </c>
      <c r="G393">
        <v>1</v>
      </c>
      <c r="H393">
        <v>3</v>
      </c>
      <c r="I393" t="s">
        <v>5581</v>
      </c>
    </row>
    <row r="394" spans="1:9" x14ac:dyDescent="0.35">
      <c r="A394">
        <v>393</v>
      </c>
      <c r="B394">
        <v>368</v>
      </c>
      <c r="C394">
        <v>4</v>
      </c>
      <c r="D394" t="s">
        <v>5698</v>
      </c>
      <c r="E394" s="23">
        <v>42608</v>
      </c>
      <c r="F394" s="23">
        <v>42609</v>
      </c>
      <c r="G394">
        <v>2</v>
      </c>
      <c r="H394">
        <v>6</v>
      </c>
      <c r="I394" t="s">
        <v>5581</v>
      </c>
    </row>
    <row r="395" spans="1:9" x14ac:dyDescent="0.35">
      <c r="A395">
        <v>394</v>
      </c>
      <c r="B395">
        <v>522</v>
      </c>
      <c r="C395">
        <v>4</v>
      </c>
      <c r="D395" t="s">
        <v>5699</v>
      </c>
      <c r="E395" s="23">
        <v>42610</v>
      </c>
      <c r="F395" s="23">
        <v>42611</v>
      </c>
      <c r="G395">
        <v>1</v>
      </c>
      <c r="H395">
        <v>3</v>
      </c>
      <c r="I395" t="s">
        <v>5581</v>
      </c>
    </row>
    <row r="396" spans="1:9" x14ac:dyDescent="0.35">
      <c r="A396">
        <v>395</v>
      </c>
      <c r="B396">
        <v>144</v>
      </c>
      <c r="C396">
        <v>4</v>
      </c>
      <c r="D396" t="s">
        <v>5699</v>
      </c>
      <c r="E396" s="23">
        <v>42609</v>
      </c>
      <c r="F396" s="23">
        <v>42611</v>
      </c>
      <c r="G396">
        <v>2</v>
      </c>
      <c r="H396">
        <v>6</v>
      </c>
      <c r="I396" t="s">
        <v>5581</v>
      </c>
    </row>
    <row r="397" spans="1:9" x14ac:dyDescent="0.35">
      <c r="A397">
        <v>396</v>
      </c>
      <c r="B397">
        <v>542</v>
      </c>
      <c r="C397">
        <v>4</v>
      </c>
      <c r="D397" t="s">
        <v>5700</v>
      </c>
      <c r="E397" s="23">
        <v>42612</v>
      </c>
      <c r="F397" s="23">
        <v>42611</v>
      </c>
      <c r="G397">
        <v>2</v>
      </c>
      <c r="H397">
        <v>6</v>
      </c>
      <c r="I397" t="s">
        <v>5581</v>
      </c>
    </row>
    <row r="398" spans="1:9" x14ac:dyDescent="0.35">
      <c r="A398">
        <v>397</v>
      </c>
      <c r="B398">
        <v>1437</v>
      </c>
      <c r="C398">
        <v>4</v>
      </c>
      <c r="D398" t="s">
        <v>5701</v>
      </c>
      <c r="E398" s="23">
        <v>42613</v>
      </c>
      <c r="F398" s="23">
        <v>42611</v>
      </c>
      <c r="G398">
        <v>2</v>
      </c>
      <c r="H398">
        <v>7</v>
      </c>
      <c r="I398" t="s">
        <v>5581</v>
      </c>
    </row>
    <row r="399" spans="1:9" x14ac:dyDescent="0.35">
      <c r="A399">
        <v>398</v>
      </c>
      <c r="B399">
        <v>447</v>
      </c>
      <c r="C399">
        <v>4</v>
      </c>
      <c r="D399" t="s">
        <v>5702</v>
      </c>
      <c r="E399" s="23">
        <v>42612</v>
      </c>
      <c r="F399" s="23">
        <v>42614</v>
      </c>
      <c r="G399">
        <v>1</v>
      </c>
      <c r="H399">
        <v>2</v>
      </c>
      <c r="I399" t="s">
        <v>5581</v>
      </c>
    </row>
    <row r="400" spans="1:9" x14ac:dyDescent="0.35">
      <c r="A400">
        <v>399</v>
      </c>
      <c r="B400">
        <v>1001</v>
      </c>
      <c r="C400">
        <v>4</v>
      </c>
      <c r="D400" t="s">
        <v>5702</v>
      </c>
      <c r="E400" s="23">
        <v>42614</v>
      </c>
      <c r="F400" s="23">
        <v>42614</v>
      </c>
      <c r="G400">
        <v>2</v>
      </c>
      <c r="H400">
        <v>7</v>
      </c>
      <c r="I400" t="s">
        <v>5581</v>
      </c>
    </row>
    <row r="401" spans="1:9" x14ac:dyDescent="0.35">
      <c r="A401">
        <v>400</v>
      </c>
      <c r="B401">
        <v>1295</v>
      </c>
      <c r="C401">
        <v>4</v>
      </c>
      <c r="D401" t="s">
        <v>5702</v>
      </c>
      <c r="E401" s="23">
        <v>42612</v>
      </c>
      <c r="F401" s="23">
        <v>42613</v>
      </c>
      <c r="G401">
        <v>2</v>
      </c>
      <c r="H401">
        <v>6</v>
      </c>
      <c r="I401" t="s">
        <v>5581</v>
      </c>
    </row>
    <row r="402" spans="1:9" x14ac:dyDescent="0.35">
      <c r="A402">
        <v>401</v>
      </c>
      <c r="B402">
        <v>103</v>
      </c>
      <c r="C402">
        <v>4</v>
      </c>
      <c r="D402" t="s">
        <v>5703</v>
      </c>
      <c r="E402" s="23">
        <v>42615</v>
      </c>
      <c r="F402" s="23">
        <v>42614</v>
      </c>
      <c r="G402">
        <v>2</v>
      </c>
      <c r="H402">
        <v>6</v>
      </c>
      <c r="I402" t="s">
        <v>5581</v>
      </c>
    </row>
    <row r="403" spans="1:9" x14ac:dyDescent="0.35">
      <c r="A403">
        <v>402</v>
      </c>
      <c r="B403">
        <v>1335</v>
      </c>
      <c r="C403">
        <v>4</v>
      </c>
      <c r="D403" t="s">
        <v>5703</v>
      </c>
      <c r="E403" s="23">
        <v>42614</v>
      </c>
      <c r="F403" s="23">
        <v>42613</v>
      </c>
      <c r="G403">
        <v>2</v>
      </c>
      <c r="H403">
        <v>6</v>
      </c>
      <c r="I403" t="s">
        <v>5581</v>
      </c>
    </row>
    <row r="404" spans="1:9" x14ac:dyDescent="0.35">
      <c r="A404">
        <v>403</v>
      </c>
      <c r="B404">
        <v>578</v>
      </c>
      <c r="C404">
        <v>4</v>
      </c>
      <c r="D404" t="s">
        <v>5704</v>
      </c>
      <c r="E404" s="23">
        <v>42614</v>
      </c>
      <c r="F404" s="23">
        <v>42615</v>
      </c>
      <c r="G404">
        <v>1</v>
      </c>
      <c r="H404">
        <v>3</v>
      </c>
      <c r="I404" t="s">
        <v>5581</v>
      </c>
    </row>
    <row r="405" spans="1:9" x14ac:dyDescent="0.35">
      <c r="A405">
        <v>404</v>
      </c>
      <c r="B405">
        <v>396</v>
      </c>
      <c r="C405">
        <v>4</v>
      </c>
      <c r="D405" t="s">
        <v>5704</v>
      </c>
      <c r="E405" s="23">
        <v>42616</v>
      </c>
      <c r="F405" s="23">
        <v>42614</v>
      </c>
      <c r="G405">
        <v>2</v>
      </c>
      <c r="H405">
        <v>7</v>
      </c>
      <c r="I405" t="s">
        <v>5581</v>
      </c>
    </row>
    <row r="406" spans="1:9" x14ac:dyDescent="0.35">
      <c r="A406">
        <v>405</v>
      </c>
      <c r="B406">
        <v>603</v>
      </c>
      <c r="C406">
        <v>4</v>
      </c>
      <c r="D406" t="s">
        <v>5704</v>
      </c>
      <c r="E406" s="23">
        <v>42614</v>
      </c>
      <c r="F406" s="23">
        <v>42614</v>
      </c>
      <c r="G406">
        <v>2</v>
      </c>
      <c r="H406">
        <v>6</v>
      </c>
      <c r="I406" t="s">
        <v>5581</v>
      </c>
    </row>
    <row r="407" spans="1:9" x14ac:dyDescent="0.35">
      <c r="A407">
        <v>406</v>
      </c>
      <c r="B407">
        <v>1380</v>
      </c>
      <c r="C407">
        <v>4</v>
      </c>
      <c r="D407" t="s">
        <v>5704</v>
      </c>
      <c r="E407" s="23">
        <v>42615</v>
      </c>
      <c r="F407" s="23">
        <v>42614</v>
      </c>
      <c r="G407">
        <v>2</v>
      </c>
      <c r="H407">
        <v>7</v>
      </c>
      <c r="I407" t="s">
        <v>5581</v>
      </c>
    </row>
    <row r="408" spans="1:9" x14ac:dyDescent="0.35">
      <c r="A408">
        <v>407</v>
      </c>
      <c r="B408">
        <v>77</v>
      </c>
      <c r="C408">
        <v>3</v>
      </c>
      <c r="D408" s="23">
        <v>42378</v>
      </c>
      <c r="E408" s="23">
        <v>42614</v>
      </c>
      <c r="F408" t="s">
        <v>5597</v>
      </c>
      <c r="G408">
        <v>3</v>
      </c>
      <c r="H408">
        <v>8</v>
      </c>
      <c r="I408" t="s">
        <v>5598</v>
      </c>
    </row>
    <row r="409" spans="1:9" x14ac:dyDescent="0.35">
      <c r="A409">
        <v>408</v>
      </c>
      <c r="B409">
        <v>1071</v>
      </c>
      <c r="C409">
        <v>4</v>
      </c>
      <c r="D409" s="23">
        <v>42378</v>
      </c>
      <c r="E409" s="23">
        <v>42615</v>
      </c>
      <c r="F409" s="23">
        <v>42615</v>
      </c>
      <c r="G409">
        <v>1</v>
      </c>
      <c r="H409">
        <v>2</v>
      </c>
      <c r="I409" t="s">
        <v>5581</v>
      </c>
    </row>
    <row r="410" spans="1:9" x14ac:dyDescent="0.35">
      <c r="A410">
        <v>409</v>
      </c>
      <c r="B410">
        <v>416</v>
      </c>
      <c r="C410">
        <v>4</v>
      </c>
      <c r="D410" s="23">
        <v>42378</v>
      </c>
      <c r="E410" s="23">
        <v>42617</v>
      </c>
      <c r="F410" s="23">
        <v>42617</v>
      </c>
      <c r="G410">
        <v>2</v>
      </c>
      <c r="H410">
        <v>7</v>
      </c>
      <c r="I410" t="s">
        <v>5581</v>
      </c>
    </row>
    <row r="411" spans="1:9" x14ac:dyDescent="0.35">
      <c r="A411">
        <v>410</v>
      </c>
      <c r="B411">
        <v>1151</v>
      </c>
      <c r="C411">
        <v>4</v>
      </c>
      <c r="D411" s="23">
        <v>42378</v>
      </c>
      <c r="E411" s="23">
        <v>42616</v>
      </c>
      <c r="F411" s="23">
        <v>42615</v>
      </c>
      <c r="G411">
        <v>2</v>
      </c>
      <c r="H411">
        <v>6</v>
      </c>
      <c r="I411" t="s">
        <v>5581</v>
      </c>
    </row>
    <row r="412" spans="1:9" x14ac:dyDescent="0.35">
      <c r="A412">
        <v>411</v>
      </c>
      <c r="B412">
        <v>261</v>
      </c>
      <c r="C412">
        <v>4</v>
      </c>
      <c r="D412" s="23">
        <v>42409</v>
      </c>
      <c r="E412" s="23">
        <v>42617</v>
      </c>
      <c r="F412" s="23">
        <v>42617</v>
      </c>
      <c r="G412">
        <v>1</v>
      </c>
      <c r="H412">
        <v>3</v>
      </c>
      <c r="I412" t="s">
        <v>5581</v>
      </c>
    </row>
    <row r="413" spans="1:9" x14ac:dyDescent="0.35">
      <c r="A413">
        <v>412</v>
      </c>
      <c r="B413">
        <v>1202</v>
      </c>
      <c r="C413">
        <v>4</v>
      </c>
      <c r="D413" s="23">
        <v>42409</v>
      </c>
      <c r="E413" s="23">
        <v>42617</v>
      </c>
      <c r="F413" s="23">
        <v>42617</v>
      </c>
      <c r="G413">
        <v>1</v>
      </c>
      <c r="H413">
        <v>3</v>
      </c>
      <c r="I413" t="s">
        <v>5581</v>
      </c>
    </row>
    <row r="414" spans="1:9" x14ac:dyDescent="0.35">
      <c r="A414">
        <v>413</v>
      </c>
      <c r="B414">
        <v>717</v>
      </c>
      <c r="C414">
        <v>4</v>
      </c>
      <c r="D414" s="23">
        <v>42409</v>
      </c>
      <c r="E414" s="23">
        <v>42618</v>
      </c>
      <c r="F414" s="23">
        <v>42616</v>
      </c>
      <c r="G414">
        <v>2</v>
      </c>
      <c r="H414">
        <v>6</v>
      </c>
      <c r="I414" t="s">
        <v>5581</v>
      </c>
    </row>
    <row r="415" spans="1:9" x14ac:dyDescent="0.35">
      <c r="A415">
        <v>414</v>
      </c>
      <c r="B415">
        <v>917</v>
      </c>
      <c r="C415">
        <v>4</v>
      </c>
      <c r="D415" s="23">
        <v>42438</v>
      </c>
      <c r="E415" s="23">
        <v>42619</v>
      </c>
      <c r="F415" s="23">
        <v>42619</v>
      </c>
      <c r="G415">
        <v>2</v>
      </c>
      <c r="H415">
        <v>7</v>
      </c>
      <c r="I415" t="s">
        <v>5581</v>
      </c>
    </row>
    <row r="416" spans="1:9" x14ac:dyDescent="0.35">
      <c r="A416">
        <v>415</v>
      </c>
      <c r="B416">
        <v>1265</v>
      </c>
      <c r="C416">
        <v>4</v>
      </c>
      <c r="D416" s="23">
        <v>42438</v>
      </c>
      <c r="E416" s="23">
        <v>42619</v>
      </c>
      <c r="F416" s="23">
        <v>42619</v>
      </c>
      <c r="G416">
        <v>2</v>
      </c>
      <c r="H416">
        <v>7</v>
      </c>
      <c r="I416" t="s">
        <v>5581</v>
      </c>
    </row>
    <row r="417" spans="1:9" x14ac:dyDescent="0.35">
      <c r="A417">
        <v>416</v>
      </c>
      <c r="B417">
        <v>1377</v>
      </c>
      <c r="C417">
        <v>4</v>
      </c>
      <c r="D417" s="23">
        <v>42438</v>
      </c>
      <c r="E417" s="23">
        <v>42617</v>
      </c>
      <c r="F417" s="23">
        <v>42619</v>
      </c>
      <c r="G417">
        <v>2</v>
      </c>
      <c r="H417">
        <v>7</v>
      </c>
      <c r="I417" t="s">
        <v>5581</v>
      </c>
    </row>
    <row r="418" spans="1:9" x14ac:dyDescent="0.35">
      <c r="A418">
        <v>417</v>
      </c>
      <c r="B418">
        <v>359</v>
      </c>
      <c r="C418">
        <v>4</v>
      </c>
      <c r="D418" s="23">
        <v>42469</v>
      </c>
      <c r="E418" s="23">
        <v>42618</v>
      </c>
      <c r="F418" s="23">
        <v>42619</v>
      </c>
      <c r="G418">
        <v>1</v>
      </c>
      <c r="H418">
        <v>3</v>
      </c>
      <c r="I418" t="s">
        <v>5581</v>
      </c>
    </row>
    <row r="419" spans="1:9" x14ac:dyDescent="0.35">
      <c r="A419">
        <v>418</v>
      </c>
      <c r="B419">
        <v>88</v>
      </c>
      <c r="C419">
        <v>4</v>
      </c>
      <c r="D419" s="23">
        <v>42469</v>
      </c>
      <c r="E419" s="23">
        <v>42618</v>
      </c>
      <c r="F419" s="23">
        <v>42618</v>
      </c>
      <c r="G419">
        <v>2</v>
      </c>
      <c r="H419">
        <v>6</v>
      </c>
      <c r="I419" t="s">
        <v>5581</v>
      </c>
    </row>
    <row r="420" spans="1:9" x14ac:dyDescent="0.35">
      <c r="A420">
        <v>419</v>
      </c>
      <c r="B420">
        <v>14</v>
      </c>
      <c r="C420">
        <v>4</v>
      </c>
      <c r="D420" s="23">
        <v>42469</v>
      </c>
      <c r="E420" s="23">
        <v>42620</v>
      </c>
      <c r="F420" s="23">
        <v>42619</v>
      </c>
      <c r="G420">
        <v>3</v>
      </c>
      <c r="H420">
        <v>8</v>
      </c>
      <c r="I420" t="s">
        <v>5581</v>
      </c>
    </row>
    <row r="421" spans="1:9" x14ac:dyDescent="0.35">
      <c r="A421">
        <v>420</v>
      </c>
      <c r="B421">
        <v>72</v>
      </c>
      <c r="C421">
        <v>4</v>
      </c>
      <c r="D421" s="23">
        <v>42499</v>
      </c>
      <c r="E421" s="23">
        <v>42619</v>
      </c>
      <c r="F421" s="23">
        <v>42620</v>
      </c>
      <c r="G421">
        <v>1</v>
      </c>
      <c r="H421">
        <v>3</v>
      </c>
      <c r="I421" t="s">
        <v>5581</v>
      </c>
    </row>
    <row r="422" spans="1:9" x14ac:dyDescent="0.35">
      <c r="A422">
        <v>421</v>
      </c>
      <c r="B422">
        <v>240</v>
      </c>
      <c r="C422">
        <v>4</v>
      </c>
      <c r="D422" s="23">
        <v>42499</v>
      </c>
      <c r="E422" s="23">
        <v>42619</v>
      </c>
      <c r="F422" s="23">
        <v>42621</v>
      </c>
      <c r="G422">
        <v>1</v>
      </c>
      <c r="H422">
        <v>3</v>
      </c>
      <c r="I422" t="s">
        <v>5581</v>
      </c>
    </row>
    <row r="423" spans="1:9" x14ac:dyDescent="0.35">
      <c r="A423">
        <v>422</v>
      </c>
      <c r="B423">
        <v>398</v>
      </c>
      <c r="C423">
        <v>4</v>
      </c>
      <c r="D423" s="23">
        <v>42530</v>
      </c>
      <c r="E423" s="23">
        <v>42620</v>
      </c>
      <c r="F423" s="23">
        <v>42622</v>
      </c>
      <c r="G423">
        <v>2</v>
      </c>
      <c r="H423">
        <v>6</v>
      </c>
      <c r="I423" t="s">
        <v>5581</v>
      </c>
    </row>
    <row r="424" spans="1:9" x14ac:dyDescent="0.35">
      <c r="A424">
        <v>423</v>
      </c>
      <c r="B424">
        <v>1397</v>
      </c>
      <c r="C424">
        <v>4</v>
      </c>
      <c r="D424" s="23">
        <v>42530</v>
      </c>
      <c r="E424" s="23">
        <v>42622</v>
      </c>
      <c r="F424" s="23">
        <v>42622</v>
      </c>
      <c r="G424">
        <v>2</v>
      </c>
      <c r="H424">
        <v>7</v>
      </c>
      <c r="I424" t="s">
        <v>5581</v>
      </c>
    </row>
    <row r="425" spans="1:9" x14ac:dyDescent="0.35">
      <c r="A425">
        <v>424</v>
      </c>
      <c r="B425">
        <v>67</v>
      </c>
      <c r="C425">
        <v>4</v>
      </c>
      <c r="D425" s="23">
        <v>42591</v>
      </c>
      <c r="E425" s="23">
        <v>42624</v>
      </c>
      <c r="F425" s="23">
        <v>42624</v>
      </c>
      <c r="G425">
        <v>1</v>
      </c>
      <c r="H425">
        <v>3</v>
      </c>
      <c r="I425" t="s">
        <v>5581</v>
      </c>
    </row>
    <row r="426" spans="1:9" x14ac:dyDescent="0.35">
      <c r="A426">
        <v>425</v>
      </c>
      <c r="B426">
        <v>843</v>
      </c>
      <c r="C426">
        <v>4</v>
      </c>
      <c r="D426" s="23">
        <v>42591</v>
      </c>
      <c r="E426" s="23">
        <v>42624</v>
      </c>
      <c r="F426" s="23">
        <v>42624</v>
      </c>
      <c r="G426">
        <v>2</v>
      </c>
      <c r="H426">
        <v>6</v>
      </c>
      <c r="I426" t="s">
        <v>5581</v>
      </c>
    </row>
    <row r="427" spans="1:9" x14ac:dyDescent="0.35">
      <c r="A427">
        <v>426</v>
      </c>
      <c r="B427">
        <v>944</v>
      </c>
      <c r="C427">
        <v>4</v>
      </c>
      <c r="D427" s="23">
        <v>42591</v>
      </c>
      <c r="E427" s="23">
        <v>42623</v>
      </c>
      <c r="F427" s="23">
        <v>42623</v>
      </c>
      <c r="G427">
        <v>2</v>
      </c>
      <c r="H427">
        <v>6</v>
      </c>
      <c r="I427" t="s">
        <v>5581</v>
      </c>
    </row>
    <row r="428" spans="1:9" x14ac:dyDescent="0.35">
      <c r="A428">
        <v>427</v>
      </c>
      <c r="B428">
        <v>434</v>
      </c>
      <c r="C428">
        <v>4</v>
      </c>
      <c r="D428" s="23">
        <v>42622</v>
      </c>
      <c r="E428" s="23">
        <v>42623</v>
      </c>
      <c r="F428" s="23">
        <v>42624</v>
      </c>
      <c r="G428">
        <v>1</v>
      </c>
      <c r="H428">
        <v>2</v>
      </c>
      <c r="I428" t="s">
        <v>5581</v>
      </c>
    </row>
    <row r="429" spans="1:9" x14ac:dyDescent="0.35">
      <c r="A429">
        <v>428</v>
      </c>
      <c r="B429">
        <v>1039</v>
      </c>
      <c r="C429">
        <v>4</v>
      </c>
      <c r="D429" s="23">
        <v>42622</v>
      </c>
      <c r="E429" s="23">
        <v>42625</v>
      </c>
      <c r="F429" s="23">
        <v>42623</v>
      </c>
      <c r="G429">
        <v>2</v>
      </c>
      <c r="H429">
        <v>6</v>
      </c>
      <c r="I429" t="s">
        <v>5581</v>
      </c>
    </row>
    <row r="430" spans="1:9" x14ac:dyDescent="0.35">
      <c r="A430">
        <v>429</v>
      </c>
      <c r="B430">
        <v>153</v>
      </c>
      <c r="C430">
        <v>4</v>
      </c>
      <c r="D430" s="23">
        <v>42652</v>
      </c>
      <c r="E430" s="23">
        <v>42625</v>
      </c>
      <c r="F430" s="23">
        <v>42625</v>
      </c>
      <c r="G430">
        <v>3</v>
      </c>
      <c r="H430">
        <v>8</v>
      </c>
      <c r="I430" t="s">
        <v>5581</v>
      </c>
    </row>
    <row r="431" spans="1:9" x14ac:dyDescent="0.35">
      <c r="A431">
        <v>430</v>
      </c>
      <c r="B431">
        <v>272</v>
      </c>
      <c r="C431">
        <v>4</v>
      </c>
      <c r="D431" s="23">
        <v>42683</v>
      </c>
      <c r="E431" s="23">
        <v>42626</v>
      </c>
      <c r="F431" s="23">
        <v>42625</v>
      </c>
      <c r="G431">
        <v>2</v>
      </c>
      <c r="H431">
        <v>6</v>
      </c>
      <c r="I431" t="s">
        <v>5581</v>
      </c>
    </row>
    <row r="432" spans="1:9" x14ac:dyDescent="0.35">
      <c r="A432">
        <v>431</v>
      </c>
      <c r="B432">
        <v>1217</v>
      </c>
      <c r="C432">
        <v>4</v>
      </c>
      <c r="D432" s="23">
        <v>42683</v>
      </c>
      <c r="E432" s="23">
        <v>42625</v>
      </c>
      <c r="F432" s="23">
        <v>42625</v>
      </c>
      <c r="G432">
        <v>2</v>
      </c>
      <c r="H432">
        <v>6</v>
      </c>
      <c r="I432" t="s">
        <v>5581</v>
      </c>
    </row>
    <row r="433" spans="1:9" x14ac:dyDescent="0.35">
      <c r="A433">
        <v>432</v>
      </c>
      <c r="B433">
        <v>169</v>
      </c>
      <c r="C433">
        <v>4</v>
      </c>
      <c r="D433" s="23">
        <v>42713</v>
      </c>
      <c r="E433" s="23">
        <v>42628</v>
      </c>
      <c r="F433" s="23">
        <v>42627</v>
      </c>
      <c r="G433">
        <v>1</v>
      </c>
      <c r="H433">
        <v>2</v>
      </c>
      <c r="I433" t="s">
        <v>5581</v>
      </c>
    </row>
    <row r="434" spans="1:9" x14ac:dyDescent="0.35">
      <c r="A434">
        <v>433</v>
      </c>
      <c r="B434">
        <v>1062</v>
      </c>
      <c r="C434">
        <v>4</v>
      </c>
      <c r="D434" s="23">
        <v>42713</v>
      </c>
      <c r="E434" s="23">
        <v>42628</v>
      </c>
      <c r="F434" s="23">
        <v>42626</v>
      </c>
      <c r="G434">
        <v>2</v>
      </c>
      <c r="H434">
        <v>6</v>
      </c>
      <c r="I434" t="s">
        <v>5581</v>
      </c>
    </row>
    <row r="435" spans="1:9" x14ac:dyDescent="0.35">
      <c r="A435">
        <v>434</v>
      </c>
      <c r="B435">
        <v>726</v>
      </c>
      <c r="C435">
        <v>4</v>
      </c>
      <c r="D435" t="s">
        <v>5705</v>
      </c>
      <c r="E435" s="23">
        <v>42628</v>
      </c>
      <c r="F435" s="23">
        <v>42627</v>
      </c>
      <c r="G435">
        <v>2</v>
      </c>
      <c r="H435">
        <v>6</v>
      </c>
      <c r="I435" t="s">
        <v>5581</v>
      </c>
    </row>
    <row r="436" spans="1:9" x14ac:dyDescent="0.35">
      <c r="A436">
        <v>435</v>
      </c>
      <c r="B436">
        <v>77</v>
      </c>
      <c r="C436">
        <v>4</v>
      </c>
      <c r="D436" t="s">
        <v>5706</v>
      </c>
      <c r="E436" s="23">
        <v>42628</v>
      </c>
      <c r="F436" s="23">
        <v>42629</v>
      </c>
      <c r="G436">
        <v>3</v>
      </c>
      <c r="H436">
        <v>9</v>
      </c>
      <c r="I436" t="s">
        <v>5581</v>
      </c>
    </row>
    <row r="437" spans="1:9" x14ac:dyDescent="0.35">
      <c r="A437">
        <v>436</v>
      </c>
      <c r="B437">
        <v>791</v>
      </c>
      <c r="C437">
        <v>4</v>
      </c>
      <c r="D437" t="s">
        <v>5707</v>
      </c>
      <c r="E437" s="23">
        <v>42632</v>
      </c>
      <c r="F437" s="23">
        <v>42632</v>
      </c>
      <c r="G437">
        <v>2</v>
      </c>
      <c r="H437">
        <v>7</v>
      </c>
      <c r="I437" t="s">
        <v>5581</v>
      </c>
    </row>
    <row r="438" spans="1:9" x14ac:dyDescent="0.35">
      <c r="A438">
        <v>437</v>
      </c>
      <c r="B438">
        <v>1085</v>
      </c>
      <c r="C438">
        <v>4</v>
      </c>
      <c r="D438" t="s">
        <v>5707</v>
      </c>
      <c r="E438" s="23">
        <v>42631</v>
      </c>
      <c r="F438" s="23">
        <v>42631</v>
      </c>
      <c r="G438">
        <v>2</v>
      </c>
      <c r="H438">
        <v>7</v>
      </c>
      <c r="I438" t="s">
        <v>5581</v>
      </c>
    </row>
    <row r="439" spans="1:9" x14ac:dyDescent="0.35">
      <c r="A439">
        <v>438</v>
      </c>
      <c r="B439">
        <v>314</v>
      </c>
      <c r="C439">
        <v>4</v>
      </c>
      <c r="D439" t="s">
        <v>5707</v>
      </c>
      <c r="E439" s="23">
        <v>42632</v>
      </c>
      <c r="F439" s="23">
        <v>42631</v>
      </c>
      <c r="G439">
        <v>3</v>
      </c>
      <c r="H439">
        <v>8</v>
      </c>
      <c r="I439" t="s">
        <v>5581</v>
      </c>
    </row>
    <row r="440" spans="1:9" x14ac:dyDescent="0.35">
      <c r="A440">
        <v>439</v>
      </c>
      <c r="B440">
        <v>149</v>
      </c>
      <c r="C440">
        <v>4</v>
      </c>
      <c r="D440" t="s">
        <v>5708</v>
      </c>
      <c r="E440" s="23">
        <v>42633</v>
      </c>
      <c r="F440" s="23">
        <v>42631</v>
      </c>
      <c r="G440">
        <v>2</v>
      </c>
      <c r="H440">
        <v>6</v>
      </c>
      <c r="I440" t="s">
        <v>5581</v>
      </c>
    </row>
    <row r="441" spans="1:9" x14ac:dyDescent="0.35">
      <c r="A441">
        <v>440</v>
      </c>
      <c r="B441">
        <v>882</v>
      </c>
      <c r="C441">
        <v>4</v>
      </c>
      <c r="D441" t="s">
        <v>5708</v>
      </c>
      <c r="E441" s="23">
        <v>42631</v>
      </c>
      <c r="F441" s="23">
        <v>42632</v>
      </c>
      <c r="G441">
        <v>2</v>
      </c>
      <c r="H441">
        <v>7</v>
      </c>
      <c r="I441" t="s">
        <v>5581</v>
      </c>
    </row>
    <row r="442" spans="1:9" x14ac:dyDescent="0.35">
      <c r="A442">
        <v>441</v>
      </c>
      <c r="B442">
        <v>704</v>
      </c>
      <c r="C442">
        <v>4</v>
      </c>
      <c r="D442" t="s">
        <v>5709</v>
      </c>
      <c r="E442" s="23">
        <v>42632</v>
      </c>
      <c r="F442" s="23">
        <v>42632</v>
      </c>
      <c r="G442">
        <v>1</v>
      </c>
      <c r="H442">
        <v>2</v>
      </c>
      <c r="I442" t="s">
        <v>5581</v>
      </c>
    </row>
    <row r="443" spans="1:9" x14ac:dyDescent="0.35">
      <c r="A443">
        <v>442</v>
      </c>
      <c r="B443">
        <v>667</v>
      </c>
      <c r="C443">
        <v>4</v>
      </c>
      <c r="D443" t="s">
        <v>5709</v>
      </c>
      <c r="E443" s="23">
        <v>42634</v>
      </c>
      <c r="F443" s="23">
        <v>42634</v>
      </c>
      <c r="G443">
        <v>2</v>
      </c>
      <c r="H443">
        <v>7</v>
      </c>
      <c r="I443" t="s">
        <v>5581</v>
      </c>
    </row>
    <row r="444" spans="1:9" x14ac:dyDescent="0.35">
      <c r="A444">
        <v>443</v>
      </c>
      <c r="B444">
        <v>1371</v>
      </c>
      <c r="C444">
        <v>4</v>
      </c>
      <c r="D444" t="s">
        <v>5709</v>
      </c>
      <c r="E444" s="23">
        <v>42632</v>
      </c>
      <c r="F444" s="23">
        <v>42633</v>
      </c>
      <c r="G444">
        <v>2</v>
      </c>
      <c r="H444">
        <v>6</v>
      </c>
      <c r="I444" t="s">
        <v>5581</v>
      </c>
    </row>
    <row r="445" spans="1:9" x14ac:dyDescent="0.35">
      <c r="A445">
        <v>444</v>
      </c>
      <c r="B445">
        <v>30</v>
      </c>
      <c r="C445">
        <v>4</v>
      </c>
      <c r="D445" t="s">
        <v>5710</v>
      </c>
      <c r="E445" s="23">
        <v>42633</v>
      </c>
      <c r="F445" s="23">
        <v>42634</v>
      </c>
      <c r="G445">
        <v>1</v>
      </c>
      <c r="H445">
        <v>2</v>
      </c>
      <c r="I445" t="s">
        <v>5581</v>
      </c>
    </row>
    <row r="446" spans="1:9" x14ac:dyDescent="0.35">
      <c r="A446">
        <v>445</v>
      </c>
      <c r="B446">
        <v>362</v>
      </c>
      <c r="C446">
        <v>4</v>
      </c>
      <c r="D446" t="s">
        <v>5710</v>
      </c>
      <c r="E446" s="23">
        <v>42635</v>
      </c>
      <c r="F446" s="23">
        <v>42635</v>
      </c>
      <c r="G446">
        <v>2</v>
      </c>
      <c r="H446">
        <v>6</v>
      </c>
      <c r="I446" t="s">
        <v>5581</v>
      </c>
    </row>
    <row r="447" spans="1:9" x14ac:dyDescent="0.35">
      <c r="A447">
        <v>446</v>
      </c>
      <c r="B447">
        <v>399</v>
      </c>
      <c r="C447">
        <v>4</v>
      </c>
      <c r="D447" t="s">
        <v>5710</v>
      </c>
      <c r="E447" s="23">
        <v>42634</v>
      </c>
      <c r="F447" s="23">
        <v>42633</v>
      </c>
      <c r="G447">
        <v>2</v>
      </c>
      <c r="H447">
        <v>7</v>
      </c>
      <c r="I447" t="s">
        <v>5581</v>
      </c>
    </row>
    <row r="448" spans="1:9" x14ac:dyDescent="0.35">
      <c r="A448">
        <v>447</v>
      </c>
      <c r="B448">
        <v>808</v>
      </c>
      <c r="C448">
        <v>4</v>
      </c>
      <c r="D448" t="s">
        <v>5711</v>
      </c>
      <c r="E448" s="23">
        <v>42636</v>
      </c>
      <c r="F448" s="23">
        <v>42635</v>
      </c>
      <c r="G448">
        <v>3</v>
      </c>
      <c r="H448">
        <v>8</v>
      </c>
      <c r="I448" t="s">
        <v>5581</v>
      </c>
    </row>
    <row r="449" spans="1:9" x14ac:dyDescent="0.35">
      <c r="A449">
        <v>448</v>
      </c>
      <c r="B449">
        <v>101</v>
      </c>
      <c r="C449">
        <v>4</v>
      </c>
      <c r="D449" t="s">
        <v>5712</v>
      </c>
      <c r="E449" s="23">
        <v>42635</v>
      </c>
      <c r="F449" s="23">
        <v>42637</v>
      </c>
      <c r="G449">
        <v>2</v>
      </c>
      <c r="H449">
        <v>6</v>
      </c>
      <c r="I449" t="s">
        <v>5581</v>
      </c>
    </row>
    <row r="450" spans="1:9" x14ac:dyDescent="0.35">
      <c r="A450">
        <v>449</v>
      </c>
      <c r="B450">
        <v>492</v>
      </c>
      <c r="C450">
        <v>4</v>
      </c>
      <c r="D450" t="s">
        <v>5712</v>
      </c>
      <c r="E450" s="23">
        <v>42637</v>
      </c>
      <c r="F450" s="23">
        <v>42635</v>
      </c>
      <c r="G450">
        <v>2</v>
      </c>
      <c r="H450">
        <v>7</v>
      </c>
      <c r="I450" t="s">
        <v>5581</v>
      </c>
    </row>
    <row r="451" spans="1:9" x14ac:dyDescent="0.35">
      <c r="A451">
        <v>450</v>
      </c>
      <c r="B451">
        <v>575</v>
      </c>
      <c r="C451">
        <v>4</v>
      </c>
      <c r="D451" t="s">
        <v>5712</v>
      </c>
      <c r="E451" s="23">
        <v>42637</v>
      </c>
      <c r="F451" s="23">
        <v>42636</v>
      </c>
      <c r="G451">
        <v>2</v>
      </c>
      <c r="H451">
        <v>7</v>
      </c>
      <c r="I451" t="s">
        <v>5581</v>
      </c>
    </row>
    <row r="452" spans="1:9" x14ac:dyDescent="0.35">
      <c r="A452">
        <v>451</v>
      </c>
      <c r="B452">
        <v>1146</v>
      </c>
      <c r="C452">
        <v>4</v>
      </c>
      <c r="D452" t="s">
        <v>5712</v>
      </c>
      <c r="E452" s="23">
        <v>42636</v>
      </c>
      <c r="F452" s="23">
        <v>42635</v>
      </c>
      <c r="G452">
        <v>2</v>
      </c>
      <c r="H452">
        <v>7</v>
      </c>
      <c r="I452" t="s">
        <v>5581</v>
      </c>
    </row>
    <row r="453" spans="1:9" x14ac:dyDescent="0.35">
      <c r="A453">
        <v>452</v>
      </c>
      <c r="B453">
        <v>997</v>
      </c>
      <c r="C453">
        <v>4</v>
      </c>
      <c r="D453" t="s">
        <v>5713</v>
      </c>
      <c r="E453" s="23">
        <v>42636</v>
      </c>
      <c r="F453" s="23">
        <v>42637</v>
      </c>
      <c r="G453">
        <v>2</v>
      </c>
      <c r="H453">
        <v>7</v>
      </c>
      <c r="I453" t="s">
        <v>5581</v>
      </c>
    </row>
    <row r="454" spans="1:9" x14ac:dyDescent="0.35">
      <c r="A454">
        <v>453</v>
      </c>
      <c r="B454">
        <v>1028</v>
      </c>
      <c r="C454">
        <v>4</v>
      </c>
      <c r="D454" t="s">
        <v>5713</v>
      </c>
      <c r="E454" s="23">
        <v>42637</v>
      </c>
      <c r="F454" s="23">
        <v>42638</v>
      </c>
      <c r="G454">
        <v>2</v>
      </c>
      <c r="H454">
        <v>7</v>
      </c>
      <c r="I454" t="s">
        <v>5581</v>
      </c>
    </row>
    <row r="455" spans="1:9" x14ac:dyDescent="0.35">
      <c r="A455">
        <v>454</v>
      </c>
      <c r="B455">
        <v>988</v>
      </c>
      <c r="C455">
        <v>4</v>
      </c>
      <c r="D455" t="s">
        <v>5714</v>
      </c>
      <c r="E455" s="23">
        <v>42638</v>
      </c>
      <c r="F455" s="23">
        <v>42639</v>
      </c>
      <c r="G455">
        <v>2</v>
      </c>
      <c r="H455">
        <v>6</v>
      </c>
      <c r="I455" t="s">
        <v>5581</v>
      </c>
    </row>
    <row r="456" spans="1:9" x14ac:dyDescent="0.35">
      <c r="A456">
        <v>455</v>
      </c>
      <c r="B456">
        <v>1055</v>
      </c>
      <c r="C456">
        <v>4</v>
      </c>
      <c r="D456" t="s">
        <v>5714</v>
      </c>
      <c r="E456" s="23">
        <v>42637</v>
      </c>
      <c r="F456" s="23">
        <v>42637</v>
      </c>
      <c r="G456">
        <v>2</v>
      </c>
      <c r="H456">
        <v>7</v>
      </c>
      <c r="I456" t="s">
        <v>5581</v>
      </c>
    </row>
    <row r="457" spans="1:9" x14ac:dyDescent="0.35">
      <c r="A457">
        <v>456</v>
      </c>
      <c r="B457">
        <v>1061</v>
      </c>
      <c r="C457">
        <v>4</v>
      </c>
      <c r="D457" t="s">
        <v>5714</v>
      </c>
      <c r="E457" s="23">
        <v>42639</v>
      </c>
      <c r="F457" s="23">
        <v>42638</v>
      </c>
      <c r="G457">
        <v>3</v>
      </c>
      <c r="H457">
        <v>9</v>
      </c>
      <c r="I457" t="s">
        <v>5581</v>
      </c>
    </row>
    <row r="458" spans="1:9" x14ac:dyDescent="0.35">
      <c r="A458">
        <v>457</v>
      </c>
      <c r="B458">
        <v>1349</v>
      </c>
      <c r="C458">
        <v>4</v>
      </c>
      <c r="D458" t="s">
        <v>5715</v>
      </c>
      <c r="E458" s="23">
        <v>42640</v>
      </c>
      <c r="F458" s="23">
        <v>42640</v>
      </c>
      <c r="G458">
        <v>1</v>
      </c>
      <c r="H458">
        <v>3</v>
      </c>
      <c r="I458" t="s">
        <v>5581</v>
      </c>
    </row>
    <row r="459" spans="1:9" x14ac:dyDescent="0.35">
      <c r="A459">
        <v>458</v>
      </c>
      <c r="B459">
        <v>197</v>
      </c>
      <c r="C459">
        <v>4</v>
      </c>
      <c r="D459" t="s">
        <v>5716</v>
      </c>
      <c r="E459" s="23">
        <v>42641</v>
      </c>
      <c r="F459" s="23">
        <v>42639</v>
      </c>
      <c r="G459">
        <v>2</v>
      </c>
      <c r="H459">
        <v>6</v>
      </c>
      <c r="I459" t="s">
        <v>5581</v>
      </c>
    </row>
    <row r="460" spans="1:9" x14ac:dyDescent="0.35">
      <c r="A460">
        <v>459</v>
      </c>
      <c r="B460">
        <v>874</v>
      </c>
      <c r="C460">
        <v>4</v>
      </c>
      <c r="D460" t="s">
        <v>5716</v>
      </c>
      <c r="E460" s="23">
        <v>42641</v>
      </c>
      <c r="F460" s="23">
        <v>42639</v>
      </c>
      <c r="G460">
        <v>2</v>
      </c>
      <c r="H460">
        <v>6</v>
      </c>
      <c r="I460" t="s">
        <v>5581</v>
      </c>
    </row>
    <row r="461" spans="1:9" x14ac:dyDescent="0.35">
      <c r="A461">
        <v>460</v>
      </c>
      <c r="B461">
        <v>691</v>
      </c>
      <c r="C461">
        <v>4</v>
      </c>
      <c r="D461" t="s">
        <v>5716</v>
      </c>
      <c r="E461" s="23">
        <v>42640</v>
      </c>
      <c r="F461" s="23">
        <v>42639</v>
      </c>
      <c r="G461">
        <v>3</v>
      </c>
      <c r="H461">
        <v>8</v>
      </c>
      <c r="I461" t="s">
        <v>5581</v>
      </c>
    </row>
    <row r="462" spans="1:9" x14ac:dyDescent="0.35">
      <c r="A462">
        <v>461</v>
      </c>
      <c r="B462">
        <v>853</v>
      </c>
      <c r="C462">
        <v>4</v>
      </c>
      <c r="D462" t="s">
        <v>5717</v>
      </c>
      <c r="E462" s="23">
        <v>42640</v>
      </c>
      <c r="F462" s="23">
        <v>42640</v>
      </c>
      <c r="G462">
        <v>2</v>
      </c>
      <c r="H462">
        <v>7</v>
      </c>
      <c r="I462" t="s">
        <v>5581</v>
      </c>
    </row>
    <row r="463" spans="1:9" x14ac:dyDescent="0.35">
      <c r="A463">
        <v>462</v>
      </c>
      <c r="B463">
        <v>852</v>
      </c>
      <c r="C463">
        <v>4</v>
      </c>
      <c r="D463" t="s">
        <v>5718</v>
      </c>
      <c r="E463" s="23">
        <v>42641</v>
      </c>
      <c r="F463" s="23">
        <v>42642</v>
      </c>
      <c r="G463">
        <v>2</v>
      </c>
      <c r="H463">
        <v>6</v>
      </c>
      <c r="I463" t="s">
        <v>5581</v>
      </c>
    </row>
    <row r="464" spans="1:9" x14ac:dyDescent="0.35">
      <c r="A464">
        <v>463</v>
      </c>
      <c r="B464">
        <v>964</v>
      </c>
      <c r="C464">
        <v>4</v>
      </c>
      <c r="D464" t="s">
        <v>5718</v>
      </c>
      <c r="E464" s="23">
        <v>42641</v>
      </c>
      <c r="F464" s="23">
        <v>42641</v>
      </c>
      <c r="G464">
        <v>3</v>
      </c>
      <c r="H464">
        <v>8</v>
      </c>
      <c r="I464" t="s">
        <v>5581</v>
      </c>
    </row>
    <row r="465" spans="1:9" x14ac:dyDescent="0.35">
      <c r="A465">
        <v>464</v>
      </c>
      <c r="B465">
        <v>74</v>
      </c>
      <c r="C465">
        <v>4</v>
      </c>
      <c r="D465" t="s">
        <v>5719</v>
      </c>
      <c r="E465" s="23">
        <v>42643</v>
      </c>
      <c r="F465" s="23">
        <v>42642</v>
      </c>
      <c r="G465">
        <v>2</v>
      </c>
      <c r="H465">
        <v>7</v>
      </c>
      <c r="I465" t="s">
        <v>5581</v>
      </c>
    </row>
    <row r="466" spans="1:9" x14ac:dyDescent="0.35">
      <c r="A466">
        <v>465</v>
      </c>
      <c r="B466">
        <v>1198</v>
      </c>
      <c r="C466">
        <v>4</v>
      </c>
      <c r="D466" t="s">
        <v>5719</v>
      </c>
      <c r="E466" s="23">
        <v>42644</v>
      </c>
      <c r="F466" s="23">
        <v>42644</v>
      </c>
      <c r="G466">
        <v>2</v>
      </c>
      <c r="H466">
        <v>6</v>
      </c>
      <c r="I466" t="s">
        <v>5581</v>
      </c>
    </row>
    <row r="467" spans="1:9" x14ac:dyDescent="0.35">
      <c r="A467">
        <v>466</v>
      </c>
      <c r="B467">
        <v>1440</v>
      </c>
      <c r="C467">
        <v>4</v>
      </c>
      <c r="D467" t="s">
        <v>5719</v>
      </c>
      <c r="E467" s="23">
        <v>42642</v>
      </c>
      <c r="F467" s="23">
        <v>42644</v>
      </c>
      <c r="G467">
        <v>2</v>
      </c>
      <c r="H467">
        <v>7</v>
      </c>
      <c r="I467" t="s">
        <v>5581</v>
      </c>
    </row>
    <row r="468" spans="1:9" x14ac:dyDescent="0.35">
      <c r="A468">
        <v>467</v>
      </c>
      <c r="B468">
        <v>555</v>
      </c>
      <c r="C468">
        <v>4</v>
      </c>
      <c r="D468" t="s">
        <v>5719</v>
      </c>
      <c r="E468" s="23">
        <v>42643</v>
      </c>
      <c r="F468" s="23">
        <v>42643</v>
      </c>
      <c r="G468">
        <v>3</v>
      </c>
      <c r="H468">
        <v>8</v>
      </c>
      <c r="I468" t="s">
        <v>5581</v>
      </c>
    </row>
    <row r="469" spans="1:9" x14ac:dyDescent="0.35">
      <c r="A469">
        <v>468</v>
      </c>
      <c r="B469">
        <v>1261</v>
      </c>
      <c r="C469">
        <v>4</v>
      </c>
      <c r="D469" t="s">
        <v>5720</v>
      </c>
      <c r="E469" s="23">
        <v>42645</v>
      </c>
      <c r="F469" s="23">
        <v>42643</v>
      </c>
      <c r="G469">
        <v>1</v>
      </c>
      <c r="H469">
        <v>3</v>
      </c>
      <c r="I469" t="s">
        <v>5581</v>
      </c>
    </row>
    <row r="470" spans="1:9" x14ac:dyDescent="0.35">
      <c r="A470">
        <v>469</v>
      </c>
      <c r="B470">
        <v>1089</v>
      </c>
      <c r="C470">
        <v>4</v>
      </c>
      <c r="D470" t="s">
        <v>5720</v>
      </c>
      <c r="E470" s="23">
        <v>42645</v>
      </c>
      <c r="F470" s="23">
        <v>42645</v>
      </c>
      <c r="G470">
        <v>2</v>
      </c>
      <c r="H470">
        <v>7</v>
      </c>
      <c r="I470" t="s">
        <v>5581</v>
      </c>
    </row>
    <row r="471" spans="1:9" x14ac:dyDescent="0.35">
      <c r="A471">
        <v>470</v>
      </c>
      <c r="B471">
        <v>641</v>
      </c>
      <c r="C471">
        <v>4</v>
      </c>
      <c r="D471" t="s">
        <v>5721</v>
      </c>
      <c r="E471" s="23">
        <v>42645</v>
      </c>
      <c r="F471" s="23">
        <v>42645</v>
      </c>
      <c r="G471">
        <v>1</v>
      </c>
      <c r="H471">
        <v>3</v>
      </c>
      <c r="I471" t="s">
        <v>5581</v>
      </c>
    </row>
    <row r="472" spans="1:9" x14ac:dyDescent="0.35">
      <c r="A472">
        <v>471</v>
      </c>
      <c r="B472">
        <v>697</v>
      </c>
      <c r="C472">
        <v>4</v>
      </c>
      <c r="D472" t="s">
        <v>5721</v>
      </c>
      <c r="E472" s="23">
        <v>42645</v>
      </c>
      <c r="F472" s="23">
        <v>42644</v>
      </c>
      <c r="G472">
        <v>1</v>
      </c>
      <c r="H472">
        <v>3</v>
      </c>
      <c r="I472" t="s">
        <v>5581</v>
      </c>
    </row>
    <row r="473" spans="1:9" x14ac:dyDescent="0.35">
      <c r="A473">
        <v>472</v>
      </c>
      <c r="B473">
        <v>468</v>
      </c>
      <c r="C473">
        <v>4</v>
      </c>
      <c r="D473" t="s">
        <v>5721</v>
      </c>
      <c r="E473" s="23">
        <v>42644</v>
      </c>
      <c r="F473" s="23">
        <v>42644</v>
      </c>
      <c r="G473">
        <v>2</v>
      </c>
      <c r="H473">
        <v>7</v>
      </c>
      <c r="I473" t="s">
        <v>5581</v>
      </c>
    </row>
    <row r="474" spans="1:9" x14ac:dyDescent="0.35">
      <c r="A474">
        <v>473</v>
      </c>
      <c r="B474">
        <v>549</v>
      </c>
      <c r="C474">
        <v>4</v>
      </c>
      <c r="D474" t="s">
        <v>5721</v>
      </c>
      <c r="E474" s="23">
        <v>42645</v>
      </c>
      <c r="F474" s="23">
        <v>42646</v>
      </c>
      <c r="G474">
        <v>2</v>
      </c>
      <c r="H474">
        <v>7</v>
      </c>
      <c r="I474" t="s">
        <v>5581</v>
      </c>
    </row>
    <row r="475" spans="1:9" x14ac:dyDescent="0.35">
      <c r="A475">
        <v>474</v>
      </c>
      <c r="B475">
        <v>553</v>
      </c>
      <c r="C475">
        <v>4</v>
      </c>
      <c r="D475" s="23">
        <v>42379</v>
      </c>
      <c r="E475" s="23">
        <v>42647</v>
      </c>
      <c r="F475" s="23">
        <v>42647</v>
      </c>
      <c r="G475">
        <v>1</v>
      </c>
      <c r="H475">
        <v>3</v>
      </c>
      <c r="I475" t="s">
        <v>5581</v>
      </c>
    </row>
    <row r="476" spans="1:9" x14ac:dyDescent="0.35">
      <c r="A476">
        <v>475</v>
      </c>
      <c r="B476">
        <v>241</v>
      </c>
      <c r="C476">
        <v>4</v>
      </c>
      <c r="D476" s="23">
        <v>42379</v>
      </c>
      <c r="E476" s="23">
        <v>42647</v>
      </c>
      <c r="F476" s="23">
        <v>42646</v>
      </c>
      <c r="G476">
        <v>2</v>
      </c>
      <c r="H476">
        <v>7</v>
      </c>
      <c r="I476" t="s">
        <v>5581</v>
      </c>
    </row>
    <row r="477" spans="1:9" x14ac:dyDescent="0.35">
      <c r="A477">
        <v>476</v>
      </c>
      <c r="B477">
        <v>559</v>
      </c>
      <c r="C477">
        <v>4</v>
      </c>
      <c r="D477" s="23">
        <v>42379</v>
      </c>
      <c r="E477" s="23">
        <v>42647</v>
      </c>
      <c r="F477" s="23">
        <v>42645</v>
      </c>
      <c r="G477">
        <v>2</v>
      </c>
      <c r="H477">
        <v>6</v>
      </c>
      <c r="I477" t="s">
        <v>5581</v>
      </c>
    </row>
    <row r="478" spans="1:9" x14ac:dyDescent="0.35">
      <c r="A478">
        <v>477</v>
      </c>
      <c r="B478">
        <v>449</v>
      </c>
      <c r="C478">
        <v>4</v>
      </c>
      <c r="D478" s="23">
        <v>42410</v>
      </c>
      <c r="E478" s="23">
        <v>42648</v>
      </c>
      <c r="F478" s="23">
        <v>42647</v>
      </c>
      <c r="G478">
        <v>1</v>
      </c>
      <c r="H478">
        <v>2</v>
      </c>
      <c r="I478" t="s">
        <v>5581</v>
      </c>
    </row>
    <row r="479" spans="1:9" x14ac:dyDescent="0.35">
      <c r="A479">
        <v>478</v>
      </c>
      <c r="B479">
        <v>304</v>
      </c>
      <c r="C479">
        <v>4</v>
      </c>
      <c r="D479" s="23">
        <v>42410</v>
      </c>
      <c r="E479" s="23">
        <v>42648</v>
      </c>
      <c r="F479" s="23">
        <v>42646</v>
      </c>
      <c r="G479">
        <v>2</v>
      </c>
      <c r="H479">
        <v>7</v>
      </c>
      <c r="I479" t="s">
        <v>5581</v>
      </c>
    </row>
    <row r="480" spans="1:9" x14ac:dyDescent="0.35">
      <c r="A480">
        <v>479</v>
      </c>
      <c r="B480">
        <v>984</v>
      </c>
      <c r="C480">
        <v>4</v>
      </c>
      <c r="D480" s="23">
        <v>42439</v>
      </c>
      <c r="E480" s="23">
        <v>42647</v>
      </c>
      <c r="F480" s="23">
        <v>42647</v>
      </c>
      <c r="G480">
        <v>2</v>
      </c>
      <c r="H480">
        <v>6</v>
      </c>
      <c r="I480" t="s">
        <v>5581</v>
      </c>
    </row>
    <row r="481" spans="1:9" x14ac:dyDescent="0.35">
      <c r="A481">
        <v>480</v>
      </c>
      <c r="B481">
        <v>686</v>
      </c>
      <c r="C481">
        <v>4</v>
      </c>
      <c r="D481" s="23">
        <v>42470</v>
      </c>
      <c r="E481" s="23">
        <v>42650</v>
      </c>
      <c r="F481" s="23">
        <v>42648</v>
      </c>
      <c r="G481">
        <v>1</v>
      </c>
      <c r="H481">
        <v>3</v>
      </c>
      <c r="I481" t="s">
        <v>5581</v>
      </c>
    </row>
    <row r="482" spans="1:9" x14ac:dyDescent="0.35">
      <c r="A482">
        <v>481</v>
      </c>
      <c r="B482">
        <v>481</v>
      </c>
      <c r="C482">
        <v>4</v>
      </c>
      <c r="D482" s="23">
        <v>42470</v>
      </c>
      <c r="E482" s="23">
        <v>42650</v>
      </c>
      <c r="F482" s="23">
        <v>42649</v>
      </c>
      <c r="G482">
        <v>3</v>
      </c>
      <c r="H482">
        <v>9</v>
      </c>
      <c r="I482" t="s">
        <v>5581</v>
      </c>
    </row>
    <row r="483" spans="1:9" x14ac:dyDescent="0.35">
      <c r="A483">
        <v>482</v>
      </c>
      <c r="B483">
        <v>513</v>
      </c>
      <c r="C483">
        <v>4</v>
      </c>
      <c r="D483" s="23">
        <v>42500</v>
      </c>
      <c r="E483" s="23">
        <v>42649</v>
      </c>
      <c r="F483" s="23">
        <v>42649</v>
      </c>
      <c r="G483">
        <v>2</v>
      </c>
      <c r="H483">
        <v>6</v>
      </c>
      <c r="I483" t="s">
        <v>5581</v>
      </c>
    </row>
    <row r="484" spans="1:9" x14ac:dyDescent="0.35">
      <c r="A484">
        <v>483</v>
      </c>
      <c r="B484">
        <v>703</v>
      </c>
      <c r="C484">
        <v>4</v>
      </c>
      <c r="D484" s="23">
        <v>42531</v>
      </c>
      <c r="E484" s="23">
        <v>42650</v>
      </c>
      <c r="F484" s="23">
        <v>42652</v>
      </c>
      <c r="G484">
        <v>1</v>
      </c>
      <c r="H484">
        <v>2</v>
      </c>
      <c r="I484" t="s">
        <v>5581</v>
      </c>
    </row>
    <row r="485" spans="1:9" x14ac:dyDescent="0.35">
      <c r="A485">
        <v>484</v>
      </c>
      <c r="B485">
        <v>421</v>
      </c>
      <c r="C485">
        <v>4</v>
      </c>
      <c r="D485" s="23">
        <v>42531</v>
      </c>
      <c r="E485" s="23">
        <v>42652</v>
      </c>
      <c r="F485" s="23">
        <v>42650</v>
      </c>
      <c r="G485">
        <v>2</v>
      </c>
      <c r="H485">
        <v>7</v>
      </c>
      <c r="I485" t="s">
        <v>5581</v>
      </c>
    </row>
    <row r="486" spans="1:9" x14ac:dyDescent="0.35">
      <c r="A486">
        <v>485</v>
      </c>
      <c r="B486">
        <v>465</v>
      </c>
      <c r="C486">
        <v>4</v>
      </c>
      <c r="D486" s="23">
        <v>42531</v>
      </c>
      <c r="E486" s="23">
        <v>42651</v>
      </c>
      <c r="F486" s="23">
        <v>42650</v>
      </c>
      <c r="G486">
        <v>2</v>
      </c>
      <c r="H486">
        <v>7</v>
      </c>
      <c r="I486" t="s">
        <v>5581</v>
      </c>
    </row>
    <row r="487" spans="1:9" x14ac:dyDescent="0.35">
      <c r="A487">
        <v>486</v>
      </c>
      <c r="B487">
        <v>709</v>
      </c>
      <c r="C487">
        <v>4</v>
      </c>
      <c r="D487" s="23">
        <v>42531</v>
      </c>
      <c r="E487" s="23">
        <v>42651</v>
      </c>
      <c r="F487" s="23">
        <v>42652</v>
      </c>
      <c r="G487">
        <v>2</v>
      </c>
      <c r="H487">
        <v>7</v>
      </c>
      <c r="I487" t="s">
        <v>5581</v>
      </c>
    </row>
    <row r="488" spans="1:9" x14ac:dyDescent="0.35">
      <c r="A488">
        <v>487</v>
      </c>
      <c r="B488">
        <v>827</v>
      </c>
      <c r="C488">
        <v>4</v>
      </c>
      <c r="D488" s="23">
        <v>42531</v>
      </c>
      <c r="E488" s="23">
        <v>42652</v>
      </c>
      <c r="F488" s="23">
        <v>42652</v>
      </c>
      <c r="G488">
        <v>2</v>
      </c>
      <c r="H488">
        <v>6</v>
      </c>
      <c r="I488" t="s">
        <v>5581</v>
      </c>
    </row>
    <row r="489" spans="1:9" x14ac:dyDescent="0.35">
      <c r="A489">
        <v>488</v>
      </c>
      <c r="B489">
        <v>921</v>
      </c>
      <c r="C489">
        <v>4</v>
      </c>
      <c r="D489" s="23">
        <v>42531</v>
      </c>
      <c r="E489" s="23">
        <v>42652</v>
      </c>
      <c r="F489" s="23">
        <v>42651</v>
      </c>
      <c r="G489">
        <v>2</v>
      </c>
      <c r="H489">
        <v>6</v>
      </c>
      <c r="I489" t="s">
        <v>5581</v>
      </c>
    </row>
    <row r="490" spans="1:9" x14ac:dyDescent="0.35">
      <c r="A490">
        <v>489</v>
      </c>
      <c r="B490">
        <v>899</v>
      </c>
      <c r="C490">
        <v>4</v>
      </c>
      <c r="D490" s="23">
        <v>42531</v>
      </c>
      <c r="E490" s="23">
        <v>42651</v>
      </c>
      <c r="F490" s="23">
        <v>42651</v>
      </c>
      <c r="G490">
        <v>3</v>
      </c>
      <c r="H490">
        <v>8</v>
      </c>
      <c r="I490" t="s">
        <v>5581</v>
      </c>
    </row>
    <row r="491" spans="1:9" x14ac:dyDescent="0.35">
      <c r="A491">
        <v>490</v>
      </c>
      <c r="B491">
        <v>876</v>
      </c>
      <c r="C491">
        <v>4</v>
      </c>
      <c r="D491" s="23">
        <v>42561</v>
      </c>
      <c r="E491" s="23">
        <v>42653</v>
      </c>
      <c r="F491" s="23">
        <v>42652</v>
      </c>
      <c r="G491">
        <v>2</v>
      </c>
      <c r="H491">
        <v>6</v>
      </c>
      <c r="I491" t="s">
        <v>5581</v>
      </c>
    </row>
    <row r="492" spans="1:9" x14ac:dyDescent="0.35">
      <c r="A492">
        <v>491</v>
      </c>
      <c r="B492">
        <v>1048</v>
      </c>
      <c r="C492">
        <v>4</v>
      </c>
      <c r="D492" s="23">
        <v>42592</v>
      </c>
      <c r="E492" s="23">
        <v>42653</v>
      </c>
      <c r="F492" s="23">
        <v>42654</v>
      </c>
      <c r="G492">
        <v>1</v>
      </c>
      <c r="H492">
        <v>2</v>
      </c>
      <c r="I492" t="s">
        <v>5581</v>
      </c>
    </row>
    <row r="493" spans="1:9" x14ac:dyDescent="0.35">
      <c r="A493">
        <v>492</v>
      </c>
      <c r="B493">
        <v>191</v>
      </c>
      <c r="C493">
        <v>4</v>
      </c>
      <c r="D493" s="23">
        <v>42623</v>
      </c>
      <c r="E493" s="23">
        <v>42653</v>
      </c>
      <c r="F493" s="23">
        <v>42655</v>
      </c>
      <c r="G493">
        <v>1</v>
      </c>
      <c r="H493">
        <v>2</v>
      </c>
      <c r="I493" t="s">
        <v>5581</v>
      </c>
    </row>
    <row r="494" spans="1:9" x14ac:dyDescent="0.35">
      <c r="A494">
        <v>493</v>
      </c>
      <c r="B494">
        <v>796</v>
      </c>
      <c r="C494">
        <v>4</v>
      </c>
      <c r="D494" s="23">
        <v>42623</v>
      </c>
      <c r="E494" s="23">
        <v>42655</v>
      </c>
      <c r="F494" s="23">
        <v>42654</v>
      </c>
      <c r="G494">
        <v>1</v>
      </c>
      <c r="H494">
        <v>3</v>
      </c>
      <c r="I494" t="s">
        <v>5581</v>
      </c>
    </row>
    <row r="495" spans="1:9" x14ac:dyDescent="0.35">
      <c r="A495">
        <v>494</v>
      </c>
      <c r="B495">
        <v>875</v>
      </c>
      <c r="C495">
        <v>4</v>
      </c>
      <c r="D495" s="23">
        <v>42623</v>
      </c>
      <c r="E495" s="23">
        <v>42653</v>
      </c>
      <c r="F495" s="23">
        <v>42654</v>
      </c>
      <c r="G495">
        <v>2</v>
      </c>
      <c r="H495">
        <v>6</v>
      </c>
      <c r="I495" t="s">
        <v>5581</v>
      </c>
    </row>
    <row r="496" spans="1:9" x14ac:dyDescent="0.35">
      <c r="A496">
        <v>495</v>
      </c>
      <c r="B496">
        <v>712</v>
      </c>
      <c r="C496">
        <v>4</v>
      </c>
      <c r="D496" s="23">
        <v>42653</v>
      </c>
      <c r="E496" s="23">
        <v>42655</v>
      </c>
      <c r="F496" s="23">
        <v>42656</v>
      </c>
      <c r="G496">
        <v>1</v>
      </c>
      <c r="H496">
        <v>3</v>
      </c>
      <c r="I496" t="s">
        <v>5581</v>
      </c>
    </row>
    <row r="497" spans="1:9" x14ac:dyDescent="0.35">
      <c r="A497">
        <v>496</v>
      </c>
      <c r="B497">
        <v>193</v>
      </c>
      <c r="C497">
        <v>4</v>
      </c>
      <c r="D497" s="23">
        <v>42653</v>
      </c>
      <c r="E497" s="23">
        <v>42655</v>
      </c>
      <c r="F497" s="23">
        <v>42654</v>
      </c>
      <c r="G497">
        <v>2</v>
      </c>
      <c r="H497">
        <v>6</v>
      </c>
      <c r="I497" t="s">
        <v>5581</v>
      </c>
    </row>
    <row r="498" spans="1:9" x14ac:dyDescent="0.35">
      <c r="A498">
        <v>497</v>
      </c>
      <c r="B498">
        <v>785</v>
      </c>
      <c r="C498">
        <v>4</v>
      </c>
      <c r="D498" s="23">
        <v>42653</v>
      </c>
      <c r="E498" s="23">
        <v>42654</v>
      </c>
      <c r="F498" s="23">
        <v>42654</v>
      </c>
      <c r="G498">
        <v>2</v>
      </c>
      <c r="H498">
        <v>6</v>
      </c>
      <c r="I498" t="s">
        <v>5581</v>
      </c>
    </row>
    <row r="499" spans="1:9" x14ac:dyDescent="0.35">
      <c r="A499">
        <v>498</v>
      </c>
      <c r="B499">
        <v>1331</v>
      </c>
      <c r="C499">
        <v>4</v>
      </c>
      <c r="D499" s="23">
        <v>42653</v>
      </c>
      <c r="E499" s="23">
        <v>42655</v>
      </c>
      <c r="F499" s="23">
        <v>42654</v>
      </c>
      <c r="G499">
        <v>2</v>
      </c>
      <c r="H499">
        <v>6</v>
      </c>
      <c r="I499" t="s">
        <v>5581</v>
      </c>
    </row>
    <row r="500" spans="1:9" x14ac:dyDescent="0.35">
      <c r="A500">
        <v>499</v>
      </c>
      <c r="B500">
        <v>260</v>
      </c>
      <c r="C500">
        <v>4</v>
      </c>
      <c r="D500" s="23">
        <v>42684</v>
      </c>
      <c r="E500" s="23">
        <v>42657</v>
      </c>
      <c r="F500" s="23">
        <v>42656</v>
      </c>
      <c r="G500">
        <v>1</v>
      </c>
      <c r="H500">
        <v>2</v>
      </c>
      <c r="I500" t="s">
        <v>5581</v>
      </c>
    </row>
    <row r="501" spans="1:9" x14ac:dyDescent="0.35">
      <c r="A501">
        <v>500</v>
      </c>
      <c r="B501">
        <v>148</v>
      </c>
      <c r="C501">
        <v>4</v>
      </c>
      <c r="D501" s="23">
        <v>42684</v>
      </c>
      <c r="E501" s="23">
        <v>42655</v>
      </c>
      <c r="F501" s="23">
        <v>42656</v>
      </c>
      <c r="G501">
        <v>2</v>
      </c>
      <c r="H501">
        <v>6</v>
      </c>
      <c r="I501" t="s">
        <v>5581</v>
      </c>
    </row>
    <row r="502" spans="1:9" x14ac:dyDescent="0.35">
      <c r="A502">
        <v>501</v>
      </c>
      <c r="B502">
        <v>977</v>
      </c>
      <c r="C502">
        <v>4</v>
      </c>
      <c r="D502" s="23">
        <v>42684</v>
      </c>
      <c r="E502" s="23">
        <v>42655</v>
      </c>
      <c r="F502" s="23">
        <v>42656</v>
      </c>
      <c r="G502">
        <v>2</v>
      </c>
      <c r="H502">
        <v>7</v>
      </c>
      <c r="I502" t="s">
        <v>5581</v>
      </c>
    </row>
    <row r="503" spans="1:9" x14ac:dyDescent="0.35">
      <c r="A503">
        <v>502</v>
      </c>
      <c r="B503">
        <v>401</v>
      </c>
      <c r="C503">
        <v>4</v>
      </c>
      <c r="D503" s="23">
        <v>42714</v>
      </c>
      <c r="E503" s="23">
        <v>42656</v>
      </c>
      <c r="F503" s="23">
        <v>42656</v>
      </c>
      <c r="G503">
        <v>3</v>
      </c>
      <c r="H503">
        <v>9</v>
      </c>
      <c r="I503" t="s">
        <v>5581</v>
      </c>
    </row>
    <row r="504" spans="1:9" x14ac:dyDescent="0.35">
      <c r="A504">
        <v>503</v>
      </c>
      <c r="B504">
        <v>932</v>
      </c>
      <c r="C504">
        <v>4</v>
      </c>
      <c r="D504" t="s">
        <v>5722</v>
      </c>
      <c r="E504" s="23">
        <v>42659</v>
      </c>
      <c r="F504" s="23">
        <v>42657</v>
      </c>
      <c r="G504">
        <v>2</v>
      </c>
      <c r="H504">
        <v>6</v>
      </c>
      <c r="I504" t="s">
        <v>5581</v>
      </c>
    </row>
    <row r="505" spans="1:9" x14ac:dyDescent="0.35">
      <c r="A505">
        <v>504</v>
      </c>
      <c r="B505">
        <v>1381</v>
      </c>
      <c r="C505">
        <v>4</v>
      </c>
      <c r="D505" t="s">
        <v>5723</v>
      </c>
      <c r="E505" s="23">
        <v>42658</v>
      </c>
      <c r="F505" s="23">
        <v>42658</v>
      </c>
      <c r="G505">
        <v>1</v>
      </c>
      <c r="H505">
        <v>2</v>
      </c>
      <c r="I505" t="s">
        <v>5581</v>
      </c>
    </row>
    <row r="506" spans="1:9" x14ac:dyDescent="0.35">
      <c r="A506">
        <v>505</v>
      </c>
      <c r="B506">
        <v>721</v>
      </c>
      <c r="C506">
        <v>4</v>
      </c>
      <c r="D506" t="s">
        <v>5723</v>
      </c>
      <c r="E506" s="23">
        <v>42659</v>
      </c>
      <c r="F506" s="23">
        <v>42660</v>
      </c>
      <c r="G506">
        <v>2</v>
      </c>
      <c r="H506">
        <v>6</v>
      </c>
      <c r="I506" t="s">
        <v>5581</v>
      </c>
    </row>
    <row r="507" spans="1:9" x14ac:dyDescent="0.35">
      <c r="A507">
        <v>506</v>
      </c>
      <c r="B507">
        <v>831</v>
      </c>
      <c r="C507">
        <v>4</v>
      </c>
      <c r="D507" t="s">
        <v>5723</v>
      </c>
      <c r="E507" s="23">
        <v>42659</v>
      </c>
      <c r="F507" s="23">
        <v>42659</v>
      </c>
      <c r="G507">
        <v>2</v>
      </c>
      <c r="H507">
        <v>6</v>
      </c>
      <c r="I507" t="s">
        <v>5581</v>
      </c>
    </row>
    <row r="508" spans="1:9" x14ac:dyDescent="0.35">
      <c r="A508">
        <v>507</v>
      </c>
      <c r="B508">
        <v>1378</v>
      </c>
      <c r="C508">
        <v>4</v>
      </c>
      <c r="D508" t="s">
        <v>5724</v>
      </c>
      <c r="E508" s="23">
        <v>42660</v>
      </c>
      <c r="F508" s="23">
        <v>42660</v>
      </c>
      <c r="G508">
        <v>1</v>
      </c>
      <c r="H508">
        <v>3</v>
      </c>
      <c r="I508" t="s">
        <v>5581</v>
      </c>
    </row>
    <row r="509" spans="1:9" x14ac:dyDescent="0.35">
      <c r="A509">
        <v>508</v>
      </c>
      <c r="B509">
        <v>1359</v>
      </c>
      <c r="C509">
        <v>4</v>
      </c>
      <c r="D509" t="s">
        <v>5724</v>
      </c>
      <c r="E509" s="23">
        <v>42661</v>
      </c>
      <c r="F509" s="23">
        <v>42661</v>
      </c>
      <c r="G509">
        <v>2</v>
      </c>
      <c r="H509">
        <v>6</v>
      </c>
      <c r="I509" t="s">
        <v>5581</v>
      </c>
    </row>
    <row r="510" spans="1:9" x14ac:dyDescent="0.35">
      <c r="A510">
        <v>509</v>
      </c>
      <c r="B510">
        <v>235</v>
      </c>
      <c r="C510">
        <v>4</v>
      </c>
      <c r="D510" t="s">
        <v>5725</v>
      </c>
      <c r="E510" s="23">
        <v>42660</v>
      </c>
      <c r="F510" s="23">
        <v>42660</v>
      </c>
      <c r="G510">
        <v>2</v>
      </c>
      <c r="H510">
        <v>7</v>
      </c>
      <c r="I510" t="s">
        <v>5581</v>
      </c>
    </row>
    <row r="511" spans="1:9" x14ac:dyDescent="0.35">
      <c r="A511">
        <v>510</v>
      </c>
      <c r="B511">
        <v>586</v>
      </c>
      <c r="C511">
        <v>4</v>
      </c>
      <c r="D511" t="s">
        <v>5726</v>
      </c>
      <c r="E511" s="23">
        <v>42661</v>
      </c>
      <c r="F511" s="23">
        <v>42661</v>
      </c>
      <c r="G511">
        <v>2</v>
      </c>
      <c r="H511">
        <v>7</v>
      </c>
      <c r="I511" t="s">
        <v>5581</v>
      </c>
    </row>
    <row r="512" spans="1:9" x14ac:dyDescent="0.35">
      <c r="A512">
        <v>511</v>
      </c>
      <c r="B512">
        <v>377</v>
      </c>
      <c r="C512">
        <v>4</v>
      </c>
      <c r="D512" t="s">
        <v>5727</v>
      </c>
      <c r="E512" s="23">
        <v>42663</v>
      </c>
      <c r="F512" s="23">
        <v>42662</v>
      </c>
      <c r="G512">
        <v>2</v>
      </c>
      <c r="H512">
        <v>7</v>
      </c>
      <c r="I512" t="s">
        <v>5581</v>
      </c>
    </row>
    <row r="513" spans="1:9" x14ac:dyDescent="0.35">
      <c r="A513">
        <v>512</v>
      </c>
      <c r="B513">
        <v>8</v>
      </c>
      <c r="C513">
        <v>4</v>
      </c>
      <c r="D513" t="s">
        <v>5728</v>
      </c>
      <c r="E513" s="23">
        <v>42665</v>
      </c>
      <c r="F513" s="23">
        <v>42663</v>
      </c>
      <c r="G513">
        <v>2</v>
      </c>
      <c r="H513">
        <v>7</v>
      </c>
      <c r="I513" t="s">
        <v>5581</v>
      </c>
    </row>
    <row r="514" spans="1:9" x14ac:dyDescent="0.35">
      <c r="A514">
        <v>513</v>
      </c>
      <c r="B514">
        <v>155</v>
      </c>
      <c r="C514">
        <v>4</v>
      </c>
      <c r="D514" t="s">
        <v>5728</v>
      </c>
      <c r="E514" s="23">
        <v>42664</v>
      </c>
      <c r="F514" s="23">
        <v>42664</v>
      </c>
      <c r="G514">
        <v>2</v>
      </c>
      <c r="H514">
        <v>6</v>
      </c>
      <c r="I514" t="s">
        <v>5581</v>
      </c>
    </row>
    <row r="515" spans="1:9" x14ac:dyDescent="0.35">
      <c r="A515">
        <v>514</v>
      </c>
      <c r="B515">
        <v>927</v>
      </c>
      <c r="C515">
        <v>4</v>
      </c>
      <c r="D515" t="s">
        <v>5728</v>
      </c>
      <c r="E515" s="23">
        <v>42664</v>
      </c>
      <c r="F515" s="23">
        <v>42663</v>
      </c>
      <c r="G515">
        <v>2</v>
      </c>
      <c r="H515">
        <v>7</v>
      </c>
      <c r="I515" t="s">
        <v>5581</v>
      </c>
    </row>
    <row r="516" spans="1:9" x14ac:dyDescent="0.35">
      <c r="A516">
        <v>515</v>
      </c>
      <c r="B516">
        <v>986</v>
      </c>
      <c r="C516">
        <v>4</v>
      </c>
      <c r="D516" t="s">
        <v>5728</v>
      </c>
      <c r="E516" s="23">
        <v>42663</v>
      </c>
      <c r="F516" s="23">
        <v>42665</v>
      </c>
      <c r="G516">
        <v>2</v>
      </c>
      <c r="H516">
        <v>6</v>
      </c>
      <c r="I516" t="s">
        <v>5581</v>
      </c>
    </row>
    <row r="517" spans="1:9" x14ac:dyDescent="0.35">
      <c r="A517">
        <v>516</v>
      </c>
      <c r="B517">
        <v>111</v>
      </c>
      <c r="C517">
        <v>4</v>
      </c>
      <c r="D517" t="s">
        <v>5729</v>
      </c>
      <c r="E517" s="23">
        <v>42666</v>
      </c>
      <c r="F517" s="23">
        <v>42667</v>
      </c>
      <c r="G517">
        <v>2</v>
      </c>
      <c r="H517">
        <v>6</v>
      </c>
      <c r="I517" t="s">
        <v>5581</v>
      </c>
    </row>
    <row r="518" spans="1:9" x14ac:dyDescent="0.35">
      <c r="A518">
        <v>517</v>
      </c>
      <c r="B518">
        <v>613</v>
      </c>
      <c r="C518">
        <v>4</v>
      </c>
      <c r="D518" t="s">
        <v>5729</v>
      </c>
      <c r="E518" s="23">
        <v>42665</v>
      </c>
      <c r="F518" s="23">
        <v>42667</v>
      </c>
      <c r="G518">
        <v>2</v>
      </c>
      <c r="H518">
        <v>6</v>
      </c>
      <c r="I518" t="s">
        <v>5581</v>
      </c>
    </row>
    <row r="519" spans="1:9" x14ac:dyDescent="0.35">
      <c r="A519">
        <v>518</v>
      </c>
      <c r="B519">
        <v>1374</v>
      </c>
      <c r="C519">
        <v>4</v>
      </c>
      <c r="D519" t="s">
        <v>5730</v>
      </c>
      <c r="E519" s="23">
        <v>42667</v>
      </c>
      <c r="F519" s="23">
        <v>42668</v>
      </c>
      <c r="G519">
        <v>1</v>
      </c>
      <c r="H519">
        <v>2</v>
      </c>
      <c r="I519" t="s">
        <v>5581</v>
      </c>
    </row>
    <row r="520" spans="1:9" x14ac:dyDescent="0.35">
      <c r="A520">
        <v>519</v>
      </c>
      <c r="B520">
        <v>54</v>
      </c>
      <c r="C520">
        <v>4</v>
      </c>
      <c r="D520" t="s">
        <v>5730</v>
      </c>
      <c r="E520" s="23">
        <v>42666</v>
      </c>
      <c r="F520" s="23">
        <v>42667</v>
      </c>
      <c r="G520">
        <v>2</v>
      </c>
      <c r="H520">
        <v>7</v>
      </c>
      <c r="I520" t="s">
        <v>5581</v>
      </c>
    </row>
    <row r="521" spans="1:9" x14ac:dyDescent="0.35">
      <c r="A521">
        <v>520</v>
      </c>
      <c r="B521">
        <v>639</v>
      </c>
      <c r="C521">
        <v>4</v>
      </c>
      <c r="D521" t="s">
        <v>5731</v>
      </c>
      <c r="E521" s="23">
        <v>42669</v>
      </c>
      <c r="F521" s="23">
        <v>42667</v>
      </c>
      <c r="G521">
        <v>2</v>
      </c>
      <c r="H521">
        <v>7</v>
      </c>
      <c r="I521" t="s">
        <v>5581</v>
      </c>
    </row>
    <row r="522" spans="1:9" x14ac:dyDescent="0.35">
      <c r="A522">
        <v>521</v>
      </c>
      <c r="B522">
        <v>664</v>
      </c>
      <c r="C522">
        <v>4</v>
      </c>
      <c r="D522" t="s">
        <v>5731</v>
      </c>
      <c r="E522" s="23">
        <v>42668</v>
      </c>
      <c r="F522" s="23">
        <v>42668</v>
      </c>
      <c r="G522">
        <v>2</v>
      </c>
      <c r="H522">
        <v>6</v>
      </c>
      <c r="I522" t="s">
        <v>5581</v>
      </c>
    </row>
    <row r="523" spans="1:9" x14ac:dyDescent="0.35">
      <c r="A523">
        <v>522</v>
      </c>
      <c r="B523">
        <v>724</v>
      </c>
      <c r="C523">
        <v>4</v>
      </c>
      <c r="D523" t="s">
        <v>5731</v>
      </c>
      <c r="E523" s="23">
        <v>42667</v>
      </c>
      <c r="F523" s="23">
        <v>42667</v>
      </c>
      <c r="G523">
        <v>2</v>
      </c>
      <c r="H523">
        <v>7</v>
      </c>
      <c r="I523" t="s">
        <v>5581</v>
      </c>
    </row>
    <row r="524" spans="1:9" x14ac:dyDescent="0.35">
      <c r="A524">
        <v>523</v>
      </c>
      <c r="B524">
        <v>1056</v>
      </c>
      <c r="C524">
        <v>4</v>
      </c>
      <c r="D524" t="s">
        <v>5732</v>
      </c>
      <c r="E524" s="23">
        <v>42669</v>
      </c>
      <c r="F524" s="23">
        <v>42670</v>
      </c>
      <c r="G524">
        <v>2</v>
      </c>
      <c r="H524">
        <v>6</v>
      </c>
      <c r="I524" t="s">
        <v>5581</v>
      </c>
    </row>
    <row r="525" spans="1:9" x14ac:dyDescent="0.35">
      <c r="A525">
        <v>524</v>
      </c>
      <c r="B525">
        <v>569</v>
      </c>
      <c r="C525">
        <v>4</v>
      </c>
      <c r="D525" t="s">
        <v>5733</v>
      </c>
      <c r="E525" s="23">
        <v>42669</v>
      </c>
      <c r="F525" s="23">
        <v>42670</v>
      </c>
      <c r="G525">
        <v>1</v>
      </c>
      <c r="H525">
        <v>2</v>
      </c>
      <c r="I525" t="s">
        <v>5581</v>
      </c>
    </row>
    <row r="526" spans="1:9" x14ac:dyDescent="0.35">
      <c r="A526">
        <v>525</v>
      </c>
      <c r="B526">
        <v>1315</v>
      </c>
      <c r="C526">
        <v>4</v>
      </c>
      <c r="D526" t="s">
        <v>5734</v>
      </c>
      <c r="E526" s="23">
        <v>42671</v>
      </c>
      <c r="F526" s="23">
        <v>42672</v>
      </c>
      <c r="G526">
        <v>1</v>
      </c>
      <c r="H526">
        <v>3</v>
      </c>
      <c r="I526" t="s">
        <v>5581</v>
      </c>
    </row>
    <row r="527" spans="1:9" x14ac:dyDescent="0.35">
      <c r="A527">
        <v>526</v>
      </c>
      <c r="B527">
        <v>1096</v>
      </c>
      <c r="C527">
        <v>4</v>
      </c>
      <c r="D527" t="s">
        <v>5734</v>
      </c>
      <c r="E527" s="23">
        <v>42671</v>
      </c>
      <c r="F527" s="23">
        <v>42671</v>
      </c>
      <c r="G527">
        <v>2</v>
      </c>
      <c r="H527">
        <v>6</v>
      </c>
      <c r="I527" t="s">
        <v>5581</v>
      </c>
    </row>
    <row r="528" spans="1:9" x14ac:dyDescent="0.35">
      <c r="A528">
        <v>527</v>
      </c>
      <c r="B528">
        <v>506</v>
      </c>
      <c r="C528">
        <v>4</v>
      </c>
      <c r="D528" t="s">
        <v>5735</v>
      </c>
      <c r="E528" s="23">
        <v>42672</v>
      </c>
      <c r="F528" s="23">
        <v>42671</v>
      </c>
      <c r="G528">
        <v>1</v>
      </c>
      <c r="H528">
        <v>2</v>
      </c>
      <c r="I528" t="s">
        <v>5581</v>
      </c>
    </row>
    <row r="529" spans="1:9" x14ac:dyDescent="0.35">
      <c r="A529">
        <v>528</v>
      </c>
      <c r="B529">
        <v>676</v>
      </c>
      <c r="C529">
        <v>4</v>
      </c>
      <c r="D529" t="s">
        <v>5736</v>
      </c>
      <c r="E529" s="23">
        <v>42674</v>
      </c>
      <c r="F529" s="23">
        <v>42674</v>
      </c>
      <c r="G529">
        <v>2</v>
      </c>
      <c r="H529">
        <v>7</v>
      </c>
      <c r="I529" t="s">
        <v>5581</v>
      </c>
    </row>
    <row r="530" spans="1:9" x14ac:dyDescent="0.35">
      <c r="A530">
        <v>529</v>
      </c>
      <c r="B530">
        <v>753</v>
      </c>
      <c r="C530">
        <v>4</v>
      </c>
      <c r="D530" t="s">
        <v>5736</v>
      </c>
      <c r="E530" s="23">
        <v>42673</v>
      </c>
      <c r="F530" s="23">
        <v>42674</v>
      </c>
      <c r="G530">
        <v>2</v>
      </c>
      <c r="H530">
        <v>7</v>
      </c>
      <c r="I530" t="s">
        <v>5581</v>
      </c>
    </row>
    <row r="531" spans="1:9" x14ac:dyDescent="0.35">
      <c r="A531">
        <v>530</v>
      </c>
      <c r="B531">
        <v>773</v>
      </c>
      <c r="C531">
        <v>4</v>
      </c>
      <c r="D531" t="s">
        <v>5736</v>
      </c>
      <c r="E531" s="23">
        <v>42674</v>
      </c>
      <c r="F531" s="23">
        <v>42674</v>
      </c>
      <c r="G531">
        <v>2</v>
      </c>
      <c r="H531">
        <v>6</v>
      </c>
      <c r="I531" t="s">
        <v>5581</v>
      </c>
    </row>
    <row r="532" spans="1:9" x14ac:dyDescent="0.35">
      <c r="A532">
        <v>531</v>
      </c>
      <c r="B532">
        <v>116</v>
      </c>
      <c r="C532">
        <v>4</v>
      </c>
      <c r="D532" t="s">
        <v>5736</v>
      </c>
      <c r="E532" s="23">
        <v>42672</v>
      </c>
      <c r="F532" s="23">
        <v>42673</v>
      </c>
      <c r="G532">
        <v>3</v>
      </c>
      <c r="H532">
        <v>8</v>
      </c>
      <c r="I532" t="s">
        <v>5581</v>
      </c>
    </row>
    <row r="533" spans="1:9" x14ac:dyDescent="0.35">
      <c r="A533">
        <v>532</v>
      </c>
      <c r="B533">
        <v>817</v>
      </c>
      <c r="C533">
        <v>4</v>
      </c>
      <c r="D533" t="s">
        <v>5737</v>
      </c>
      <c r="E533" s="23">
        <v>42674</v>
      </c>
      <c r="F533" s="23">
        <v>42673</v>
      </c>
      <c r="G533">
        <v>2</v>
      </c>
      <c r="H533">
        <v>7</v>
      </c>
      <c r="I533" t="s">
        <v>5581</v>
      </c>
    </row>
    <row r="534" spans="1:9" x14ac:dyDescent="0.35">
      <c r="A534">
        <v>533</v>
      </c>
      <c r="B534">
        <v>1334</v>
      </c>
      <c r="C534">
        <v>4</v>
      </c>
      <c r="D534" t="s">
        <v>5737</v>
      </c>
      <c r="E534" s="23">
        <v>42675</v>
      </c>
      <c r="F534" s="23">
        <v>42675</v>
      </c>
      <c r="G534">
        <v>2</v>
      </c>
      <c r="H534">
        <v>6</v>
      </c>
      <c r="I534" t="s">
        <v>5581</v>
      </c>
    </row>
    <row r="535" spans="1:9" x14ac:dyDescent="0.35">
      <c r="A535">
        <v>534</v>
      </c>
      <c r="B535">
        <v>1406</v>
      </c>
      <c r="C535">
        <v>4</v>
      </c>
      <c r="D535" t="s">
        <v>5737</v>
      </c>
      <c r="E535" s="23">
        <v>42673</v>
      </c>
      <c r="F535" s="23">
        <v>42674</v>
      </c>
      <c r="G535">
        <v>2</v>
      </c>
      <c r="H535">
        <v>7</v>
      </c>
      <c r="I535" t="s">
        <v>5581</v>
      </c>
    </row>
    <row r="536" spans="1:9" x14ac:dyDescent="0.35">
      <c r="A536">
        <v>535</v>
      </c>
      <c r="B536">
        <v>835</v>
      </c>
      <c r="C536">
        <v>4</v>
      </c>
      <c r="D536" t="s">
        <v>5737</v>
      </c>
      <c r="E536" s="23">
        <v>42674</v>
      </c>
      <c r="F536" s="23">
        <v>42675</v>
      </c>
      <c r="G536">
        <v>3</v>
      </c>
      <c r="H536">
        <v>9</v>
      </c>
      <c r="I536" t="s">
        <v>5581</v>
      </c>
    </row>
    <row r="537" spans="1:9" x14ac:dyDescent="0.35">
      <c r="A537">
        <v>536</v>
      </c>
      <c r="B537">
        <v>759</v>
      </c>
      <c r="C537">
        <v>4</v>
      </c>
      <c r="D537" t="s">
        <v>5738</v>
      </c>
      <c r="E537" s="23">
        <v>42676</v>
      </c>
      <c r="F537" s="23">
        <v>42675</v>
      </c>
      <c r="G537">
        <v>1</v>
      </c>
      <c r="H537">
        <v>3</v>
      </c>
      <c r="I537" t="s">
        <v>5581</v>
      </c>
    </row>
    <row r="538" spans="1:9" x14ac:dyDescent="0.35">
      <c r="A538">
        <v>537</v>
      </c>
      <c r="B538">
        <v>1353</v>
      </c>
      <c r="C538">
        <v>4</v>
      </c>
      <c r="D538" t="s">
        <v>5738</v>
      </c>
      <c r="E538" s="23">
        <v>42675</v>
      </c>
      <c r="F538" s="23">
        <v>42677</v>
      </c>
      <c r="G538">
        <v>1</v>
      </c>
      <c r="H538">
        <v>2</v>
      </c>
      <c r="I538" t="s">
        <v>5581</v>
      </c>
    </row>
    <row r="539" spans="1:9" x14ac:dyDescent="0.35">
      <c r="A539">
        <v>538</v>
      </c>
      <c r="B539">
        <v>341</v>
      </c>
      <c r="C539">
        <v>4</v>
      </c>
      <c r="D539" s="23">
        <v>42411</v>
      </c>
      <c r="E539" s="23">
        <v>42679</v>
      </c>
      <c r="F539" s="23">
        <v>42679</v>
      </c>
      <c r="G539">
        <v>2</v>
      </c>
      <c r="H539">
        <v>6</v>
      </c>
      <c r="I539" t="s">
        <v>5581</v>
      </c>
    </row>
    <row r="540" spans="1:9" x14ac:dyDescent="0.35">
      <c r="A540">
        <v>539</v>
      </c>
      <c r="B540">
        <v>1144</v>
      </c>
      <c r="C540">
        <v>4</v>
      </c>
      <c r="D540" s="23">
        <v>42411</v>
      </c>
      <c r="E540" s="23">
        <v>42678</v>
      </c>
      <c r="F540" s="23">
        <v>42677</v>
      </c>
      <c r="G540">
        <v>2</v>
      </c>
      <c r="H540">
        <v>7</v>
      </c>
      <c r="I540" t="s">
        <v>5581</v>
      </c>
    </row>
    <row r="541" spans="1:9" x14ac:dyDescent="0.35">
      <c r="A541">
        <v>540</v>
      </c>
      <c r="B541">
        <v>1429</v>
      </c>
      <c r="C541">
        <v>4</v>
      </c>
      <c r="D541" s="23">
        <v>42440</v>
      </c>
      <c r="E541" s="23">
        <v>42679</v>
      </c>
      <c r="F541" s="23">
        <v>42680</v>
      </c>
      <c r="G541">
        <v>1</v>
      </c>
      <c r="H541">
        <v>3</v>
      </c>
      <c r="I541" t="s">
        <v>5581</v>
      </c>
    </row>
    <row r="542" spans="1:9" x14ac:dyDescent="0.35">
      <c r="A542">
        <v>541</v>
      </c>
      <c r="B542">
        <v>1228</v>
      </c>
      <c r="C542">
        <v>4</v>
      </c>
      <c r="D542" s="23">
        <v>42471</v>
      </c>
      <c r="E542" s="23">
        <v>42681</v>
      </c>
      <c r="F542" s="23">
        <v>42681</v>
      </c>
      <c r="G542">
        <v>1</v>
      </c>
      <c r="H542">
        <v>3</v>
      </c>
      <c r="I542" t="s">
        <v>5581</v>
      </c>
    </row>
    <row r="543" spans="1:9" x14ac:dyDescent="0.35">
      <c r="A543">
        <v>542</v>
      </c>
      <c r="B543">
        <v>313</v>
      </c>
      <c r="C543">
        <v>4</v>
      </c>
      <c r="D543" s="23">
        <v>42471</v>
      </c>
      <c r="E543" s="23">
        <v>42680</v>
      </c>
      <c r="F543" s="23">
        <v>42679</v>
      </c>
      <c r="G543">
        <v>2</v>
      </c>
      <c r="H543">
        <v>7</v>
      </c>
      <c r="I543" t="s">
        <v>5581</v>
      </c>
    </row>
    <row r="544" spans="1:9" x14ac:dyDescent="0.35">
      <c r="A544">
        <v>543</v>
      </c>
      <c r="B544">
        <v>62</v>
      </c>
      <c r="C544">
        <v>4</v>
      </c>
      <c r="D544" s="23">
        <v>42532</v>
      </c>
      <c r="E544" s="23">
        <v>42683</v>
      </c>
      <c r="F544" s="23">
        <v>42682</v>
      </c>
      <c r="G544">
        <v>2</v>
      </c>
      <c r="H544">
        <v>6</v>
      </c>
      <c r="I544" t="s">
        <v>5581</v>
      </c>
    </row>
    <row r="545" spans="1:9" x14ac:dyDescent="0.35">
      <c r="A545">
        <v>544</v>
      </c>
      <c r="B545">
        <v>321</v>
      </c>
      <c r="C545">
        <v>4</v>
      </c>
      <c r="D545" s="23">
        <v>42532</v>
      </c>
      <c r="E545" s="23">
        <v>42681</v>
      </c>
      <c r="F545" s="23">
        <v>42682</v>
      </c>
      <c r="G545">
        <v>2</v>
      </c>
      <c r="H545">
        <v>7</v>
      </c>
      <c r="I545" t="s">
        <v>5581</v>
      </c>
    </row>
    <row r="546" spans="1:9" x14ac:dyDescent="0.35">
      <c r="A546">
        <v>545</v>
      </c>
      <c r="B546">
        <v>1108</v>
      </c>
      <c r="C546">
        <v>4</v>
      </c>
      <c r="D546" s="23">
        <v>42593</v>
      </c>
      <c r="E546" s="23">
        <v>42684</v>
      </c>
      <c r="F546" s="23">
        <v>42683</v>
      </c>
      <c r="G546">
        <v>3</v>
      </c>
      <c r="H546">
        <v>9</v>
      </c>
      <c r="I546" t="s">
        <v>5581</v>
      </c>
    </row>
    <row r="547" spans="1:9" x14ac:dyDescent="0.35">
      <c r="A547">
        <v>546</v>
      </c>
      <c r="B547">
        <v>470</v>
      </c>
      <c r="C547">
        <v>4</v>
      </c>
      <c r="D547" s="23">
        <v>42624</v>
      </c>
      <c r="E547" s="23">
        <v>42686</v>
      </c>
      <c r="F547" s="23">
        <v>42684</v>
      </c>
      <c r="G547">
        <v>2</v>
      </c>
      <c r="H547">
        <v>7</v>
      </c>
      <c r="I547" t="s">
        <v>5581</v>
      </c>
    </row>
    <row r="548" spans="1:9" x14ac:dyDescent="0.35">
      <c r="A548">
        <v>547</v>
      </c>
      <c r="B548">
        <v>20</v>
      </c>
      <c r="C548">
        <v>4</v>
      </c>
      <c r="D548" s="23">
        <v>42624</v>
      </c>
      <c r="E548" s="23">
        <v>42685</v>
      </c>
      <c r="F548" s="23">
        <v>42684</v>
      </c>
      <c r="G548">
        <v>3</v>
      </c>
      <c r="H548">
        <v>8</v>
      </c>
      <c r="I548" t="s">
        <v>5581</v>
      </c>
    </row>
    <row r="549" spans="1:9" x14ac:dyDescent="0.35">
      <c r="A549">
        <v>548</v>
      </c>
      <c r="B549">
        <v>739</v>
      </c>
      <c r="C549">
        <v>4</v>
      </c>
      <c r="D549" s="23">
        <v>42685</v>
      </c>
      <c r="E549" s="23">
        <v>42687</v>
      </c>
      <c r="F549" s="23">
        <v>42687</v>
      </c>
      <c r="G549">
        <v>2</v>
      </c>
      <c r="H549">
        <v>7</v>
      </c>
      <c r="I549" t="s">
        <v>5581</v>
      </c>
    </row>
    <row r="550" spans="1:9" x14ac:dyDescent="0.35">
      <c r="A550">
        <v>549</v>
      </c>
      <c r="B550">
        <v>64</v>
      </c>
      <c r="C550">
        <v>3</v>
      </c>
      <c r="D550" s="23">
        <v>42715</v>
      </c>
      <c r="E550" s="23">
        <v>42686</v>
      </c>
      <c r="F550" t="s">
        <v>5597</v>
      </c>
      <c r="G550">
        <v>3</v>
      </c>
      <c r="H550">
        <v>9</v>
      </c>
      <c r="I550" t="s">
        <v>5598</v>
      </c>
    </row>
    <row r="551" spans="1:9" x14ac:dyDescent="0.35">
      <c r="A551">
        <v>550</v>
      </c>
      <c r="B551">
        <v>892</v>
      </c>
      <c r="C551">
        <v>4</v>
      </c>
      <c r="D551" s="23">
        <v>42715</v>
      </c>
      <c r="E551" s="23">
        <v>42688</v>
      </c>
      <c r="F551" s="23">
        <v>42689</v>
      </c>
      <c r="G551">
        <v>2</v>
      </c>
      <c r="H551">
        <v>7</v>
      </c>
      <c r="I551" t="s">
        <v>5581</v>
      </c>
    </row>
    <row r="552" spans="1:9" x14ac:dyDescent="0.35">
      <c r="A552">
        <v>551</v>
      </c>
      <c r="B552">
        <v>1169</v>
      </c>
      <c r="C552">
        <v>4</v>
      </c>
      <c r="D552" s="23">
        <v>42715</v>
      </c>
      <c r="E552" s="23">
        <v>42687</v>
      </c>
      <c r="F552" s="23">
        <v>42687</v>
      </c>
      <c r="G552">
        <v>2</v>
      </c>
      <c r="H552">
        <v>6</v>
      </c>
      <c r="I552" t="s">
        <v>5581</v>
      </c>
    </row>
    <row r="553" spans="1:9" x14ac:dyDescent="0.35">
      <c r="A553">
        <v>552</v>
      </c>
      <c r="B553">
        <v>1282</v>
      </c>
      <c r="C553">
        <v>4</v>
      </c>
      <c r="D553" s="23">
        <v>42715</v>
      </c>
      <c r="E553" s="23">
        <v>42689</v>
      </c>
      <c r="F553" s="23">
        <v>42687</v>
      </c>
      <c r="G553">
        <v>2</v>
      </c>
      <c r="H553">
        <v>7</v>
      </c>
      <c r="I553" t="s">
        <v>5581</v>
      </c>
    </row>
    <row r="554" spans="1:9" x14ac:dyDescent="0.35">
      <c r="A554">
        <v>553</v>
      </c>
      <c r="B554">
        <v>913</v>
      </c>
      <c r="C554">
        <v>4</v>
      </c>
      <c r="D554" s="23">
        <v>42715</v>
      </c>
      <c r="E554" s="23">
        <v>42687</v>
      </c>
      <c r="F554" s="23">
        <v>42689</v>
      </c>
      <c r="G554">
        <v>3</v>
      </c>
      <c r="H554">
        <v>9</v>
      </c>
      <c r="I554" t="s">
        <v>5581</v>
      </c>
    </row>
    <row r="555" spans="1:9" x14ac:dyDescent="0.35">
      <c r="A555">
        <v>554</v>
      </c>
      <c r="B555">
        <v>104</v>
      </c>
      <c r="C555">
        <v>4</v>
      </c>
      <c r="D555" t="s">
        <v>5739</v>
      </c>
      <c r="E555" s="23">
        <v>42688</v>
      </c>
      <c r="F555" s="23">
        <v>42690</v>
      </c>
      <c r="G555">
        <v>1</v>
      </c>
      <c r="H555">
        <v>3</v>
      </c>
      <c r="I555" t="s">
        <v>5581</v>
      </c>
    </row>
    <row r="556" spans="1:9" x14ac:dyDescent="0.35">
      <c r="A556">
        <v>555</v>
      </c>
      <c r="B556">
        <v>212</v>
      </c>
      <c r="C556">
        <v>4</v>
      </c>
      <c r="D556" t="s">
        <v>5739</v>
      </c>
      <c r="E556" s="23">
        <v>42688</v>
      </c>
      <c r="F556" s="23">
        <v>42690</v>
      </c>
      <c r="G556">
        <v>2</v>
      </c>
      <c r="H556">
        <v>7</v>
      </c>
      <c r="I556" t="s">
        <v>5581</v>
      </c>
    </row>
    <row r="557" spans="1:9" x14ac:dyDescent="0.35">
      <c r="A557">
        <v>556</v>
      </c>
      <c r="B557">
        <v>61</v>
      </c>
      <c r="C557">
        <v>4</v>
      </c>
      <c r="D557" t="s">
        <v>5739</v>
      </c>
      <c r="E557" s="23">
        <v>42688</v>
      </c>
      <c r="F557" s="23">
        <v>42689</v>
      </c>
      <c r="G557">
        <v>3</v>
      </c>
      <c r="H557">
        <v>9</v>
      </c>
      <c r="I557" t="s">
        <v>5581</v>
      </c>
    </row>
    <row r="558" spans="1:9" x14ac:dyDescent="0.35">
      <c r="A558">
        <v>557</v>
      </c>
      <c r="B558">
        <v>1248</v>
      </c>
      <c r="C558">
        <v>4</v>
      </c>
      <c r="D558" t="s">
        <v>5740</v>
      </c>
      <c r="E558" s="23">
        <v>42691</v>
      </c>
      <c r="F558" s="23">
        <v>42689</v>
      </c>
      <c r="G558">
        <v>2</v>
      </c>
      <c r="H558">
        <v>6</v>
      </c>
      <c r="I558" t="s">
        <v>5581</v>
      </c>
    </row>
    <row r="559" spans="1:9" x14ac:dyDescent="0.35">
      <c r="A559">
        <v>558</v>
      </c>
      <c r="B559">
        <v>1443</v>
      </c>
      <c r="C559">
        <v>4</v>
      </c>
      <c r="D559" t="s">
        <v>5741</v>
      </c>
      <c r="E559" s="23">
        <v>42690</v>
      </c>
      <c r="F559" s="23">
        <v>42691</v>
      </c>
      <c r="G559">
        <v>2</v>
      </c>
      <c r="H559">
        <v>7</v>
      </c>
      <c r="I559" t="s">
        <v>5581</v>
      </c>
    </row>
    <row r="560" spans="1:9" x14ac:dyDescent="0.35">
      <c r="A560">
        <v>559</v>
      </c>
      <c r="B560">
        <v>959</v>
      </c>
      <c r="C560">
        <v>4</v>
      </c>
      <c r="D560" t="s">
        <v>5742</v>
      </c>
      <c r="E560" s="23">
        <v>42691</v>
      </c>
      <c r="F560" s="23">
        <v>42691</v>
      </c>
      <c r="G560">
        <v>1</v>
      </c>
      <c r="H560">
        <v>2</v>
      </c>
      <c r="I560" t="s">
        <v>5581</v>
      </c>
    </row>
    <row r="561" spans="1:9" x14ac:dyDescent="0.35">
      <c r="A561">
        <v>560</v>
      </c>
      <c r="B561">
        <v>1405</v>
      </c>
      <c r="C561">
        <v>4</v>
      </c>
      <c r="D561" t="s">
        <v>5743</v>
      </c>
      <c r="E561" s="23">
        <v>42693</v>
      </c>
      <c r="F561" s="23">
        <v>42695</v>
      </c>
      <c r="G561">
        <v>2</v>
      </c>
      <c r="H561">
        <v>6</v>
      </c>
      <c r="I561" t="s">
        <v>5581</v>
      </c>
    </row>
    <row r="562" spans="1:9" x14ac:dyDescent="0.35">
      <c r="A562">
        <v>561</v>
      </c>
      <c r="B562">
        <v>90</v>
      </c>
      <c r="C562">
        <v>4</v>
      </c>
      <c r="D562" t="s">
        <v>5744</v>
      </c>
      <c r="E562" s="23">
        <v>42696</v>
      </c>
      <c r="F562" s="23">
        <v>42696</v>
      </c>
      <c r="G562">
        <v>2</v>
      </c>
      <c r="H562">
        <v>6</v>
      </c>
      <c r="I562" t="s">
        <v>5581</v>
      </c>
    </row>
    <row r="563" spans="1:9" x14ac:dyDescent="0.35">
      <c r="A563">
        <v>562</v>
      </c>
      <c r="B563">
        <v>942</v>
      </c>
      <c r="C563">
        <v>4</v>
      </c>
      <c r="D563" t="s">
        <v>5744</v>
      </c>
      <c r="E563" s="23">
        <v>42694</v>
      </c>
      <c r="F563" s="23">
        <v>42696</v>
      </c>
      <c r="G563">
        <v>2</v>
      </c>
      <c r="H563">
        <v>7</v>
      </c>
      <c r="I563" t="s">
        <v>5581</v>
      </c>
    </row>
    <row r="564" spans="1:9" x14ac:dyDescent="0.35">
      <c r="A564">
        <v>563</v>
      </c>
      <c r="B564">
        <v>365</v>
      </c>
      <c r="C564">
        <v>4</v>
      </c>
      <c r="D564" t="s">
        <v>5745</v>
      </c>
      <c r="E564" s="23">
        <v>42696</v>
      </c>
      <c r="F564" s="23">
        <v>42695</v>
      </c>
      <c r="G564">
        <v>2</v>
      </c>
      <c r="H564">
        <v>6</v>
      </c>
      <c r="I564" t="s">
        <v>5581</v>
      </c>
    </row>
    <row r="565" spans="1:9" x14ac:dyDescent="0.35">
      <c r="A565">
        <v>564</v>
      </c>
      <c r="B565">
        <v>1058</v>
      </c>
      <c r="C565">
        <v>4</v>
      </c>
      <c r="D565" t="s">
        <v>5745</v>
      </c>
      <c r="E565" s="23">
        <v>42697</v>
      </c>
      <c r="F565" s="23">
        <v>42696</v>
      </c>
      <c r="G565">
        <v>2</v>
      </c>
      <c r="H565">
        <v>7</v>
      </c>
      <c r="I565" t="s">
        <v>5581</v>
      </c>
    </row>
    <row r="566" spans="1:9" x14ac:dyDescent="0.35">
      <c r="A566">
        <v>565</v>
      </c>
      <c r="B566">
        <v>894</v>
      </c>
      <c r="C566">
        <v>4</v>
      </c>
      <c r="D566" t="s">
        <v>5746</v>
      </c>
      <c r="E566" s="23">
        <v>42696</v>
      </c>
      <c r="F566" s="23">
        <v>42696</v>
      </c>
      <c r="G566">
        <v>2</v>
      </c>
      <c r="H566">
        <v>7</v>
      </c>
      <c r="I566" t="s">
        <v>5581</v>
      </c>
    </row>
    <row r="567" spans="1:9" x14ac:dyDescent="0.35">
      <c r="A567">
        <v>566</v>
      </c>
      <c r="B567">
        <v>298</v>
      </c>
      <c r="C567">
        <v>4</v>
      </c>
      <c r="D567" t="s">
        <v>5747</v>
      </c>
      <c r="E567" s="23">
        <v>42699</v>
      </c>
      <c r="F567" s="23">
        <v>42697</v>
      </c>
      <c r="G567">
        <v>1</v>
      </c>
      <c r="H567">
        <v>3</v>
      </c>
      <c r="I567" t="s">
        <v>5581</v>
      </c>
    </row>
    <row r="568" spans="1:9" x14ac:dyDescent="0.35">
      <c r="A568">
        <v>567</v>
      </c>
      <c r="B568">
        <v>1430</v>
      </c>
      <c r="C568">
        <v>4</v>
      </c>
      <c r="D568" t="s">
        <v>5747</v>
      </c>
      <c r="E568" s="23">
        <v>42697</v>
      </c>
      <c r="F568" s="23">
        <v>42697</v>
      </c>
      <c r="G568">
        <v>1</v>
      </c>
      <c r="H568">
        <v>2</v>
      </c>
      <c r="I568" t="s">
        <v>5581</v>
      </c>
    </row>
    <row r="569" spans="1:9" x14ac:dyDescent="0.35">
      <c r="A569">
        <v>568</v>
      </c>
      <c r="B569">
        <v>1275</v>
      </c>
      <c r="C569">
        <v>4</v>
      </c>
      <c r="D569" t="s">
        <v>5748</v>
      </c>
      <c r="E569" s="23">
        <v>42699</v>
      </c>
      <c r="F569" s="23">
        <v>42698</v>
      </c>
      <c r="G569">
        <v>1</v>
      </c>
      <c r="H569">
        <v>3</v>
      </c>
      <c r="I569" t="s">
        <v>5581</v>
      </c>
    </row>
    <row r="570" spans="1:9" x14ac:dyDescent="0.35">
      <c r="A570">
        <v>569</v>
      </c>
      <c r="B570">
        <v>707</v>
      </c>
      <c r="C570">
        <v>4</v>
      </c>
      <c r="D570" t="s">
        <v>5748</v>
      </c>
      <c r="E570" s="23">
        <v>42698</v>
      </c>
      <c r="F570" s="23">
        <v>42699</v>
      </c>
      <c r="G570">
        <v>2</v>
      </c>
      <c r="H570">
        <v>6</v>
      </c>
      <c r="I570" t="s">
        <v>5581</v>
      </c>
    </row>
    <row r="571" spans="1:9" x14ac:dyDescent="0.35">
      <c r="A571">
        <v>570</v>
      </c>
      <c r="B571">
        <v>989</v>
      </c>
      <c r="C571">
        <v>4</v>
      </c>
      <c r="D571" t="s">
        <v>5748</v>
      </c>
      <c r="E571" s="23">
        <v>42698</v>
      </c>
      <c r="F571" s="23">
        <v>42699</v>
      </c>
      <c r="G571">
        <v>2</v>
      </c>
      <c r="H571">
        <v>6</v>
      </c>
      <c r="I571" t="s">
        <v>5581</v>
      </c>
    </row>
    <row r="572" spans="1:9" x14ac:dyDescent="0.35">
      <c r="A572">
        <v>571</v>
      </c>
      <c r="B572">
        <v>5</v>
      </c>
      <c r="C572">
        <v>4</v>
      </c>
      <c r="D572" t="s">
        <v>5749</v>
      </c>
      <c r="E572" s="23">
        <v>42699</v>
      </c>
      <c r="F572" s="23">
        <v>42701</v>
      </c>
      <c r="G572">
        <v>1</v>
      </c>
      <c r="H572">
        <v>2</v>
      </c>
      <c r="I572" t="s">
        <v>5581</v>
      </c>
    </row>
    <row r="573" spans="1:9" x14ac:dyDescent="0.35">
      <c r="A573">
        <v>572</v>
      </c>
      <c r="B573">
        <v>178</v>
      </c>
      <c r="C573">
        <v>4</v>
      </c>
      <c r="D573" t="s">
        <v>5749</v>
      </c>
      <c r="E573" s="23">
        <v>42700</v>
      </c>
      <c r="F573" s="23">
        <v>42700</v>
      </c>
      <c r="G573">
        <v>2</v>
      </c>
      <c r="H573">
        <v>6</v>
      </c>
      <c r="I573" t="s">
        <v>5581</v>
      </c>
    </row>
    <row r="574" spans="1:9" x14ac:dyDescent="0.35">
      <c r="A574">
        <v>573</v>
      </c>
      <c r="B574">
        <v>423</v>
      </c>
      <c r="C574">
        <v>4</v>
      </c>
      <c r="D574" t="s">
        <v>5749</v>
      </c>
      <c r="E574" s="23">
        <v>42700</v>
      </c>
      <c r="F574" s="23">
        <v>42701</v>
      </c>
      <c r="G574">
        <v>2</v>
      </c>
      <c r="H574">
        <v>6</v>
      </c>
      <c r="I574" t="s">
        <v>5581</v>
      </c>
    </row>
    <row r="575" spans="1:9" x14ac:dyDescent="0.35">
      <c r="A575">
        <v>574</v>
      </c>
      <c r="B575">
        <v>833</v>
      </c>
      <c r="C575">
        <v>4</v>
      </c>
      <c r="D575" t="s">
        <v>5750</v>
      </c>
      <c r="E575" s="23">
        <v>42701</v>
      </c>
      <c r="F575" s="23">
        <v>42703</v>
      </c>
      <c r="G575">
        <v>2</v>
      </c>
      <c r="H575">
        <v>7</v>
      </c>
      <c r="I575" t="s">
        <v>5581</v>
      </c>
    </row>
    <row r="576" spans="1:9" x14ac:dyDescent="0.35">
      <c r="A576">
        <v>575</v>
      </c>
      <c r="B576">
        <v>33</v>
      </c>
      <c r="C576">
        <v>4</v>
      </c>
      <c r="D576" t="s">
        <v>5751</v>
      </c>
      <c r="E576" s="23">
        <v>42702</v>
      </c>
      <c r="F576" s="23">
        <v>42704</v>
      </c>
      <c r="G576">
        <v>1</v>
      </c>
      <c r="H576">
        <v>3</v>
      </c>
      <c r="I576" t="s">
        <v>5581</v>
      </c>
    </row>
    <row r="577" spans="1:9" x14ac:dyDescent="0.35">
      <c r="A577">
        <v>576</v>
      </c>
      <c r="B577">
        <v>1272</v>
      </c>
      <c r="C577">
        <v>4</v>
      </c>
      <c r="D577" t="s">
        <v>5751</v>
      </c>
      <c r="E577" s="23">
        <v>42704</v>
      </c>
      <c r="F577" s="23">
        <v>42702</v>
      </c>
      <c r="G577">
        <v>1</v>
      </c>
      <c r="H577">
        <v>3</v>
      </c>
      <c r="I577" t="s">
        <v>5581</v>
      </c>
    </row>
    <row r="578" spans="1:9" x14ac:dyDescent="0.35">
      <c r="A578">
        <v>577</v>
      </c>
      <c r="B578">
        <v>445</v>
      </c>
      <c r="C578">
        <v>4</v>
      </c>
      <c r="D578" t="s">
        <v>5751</v>
      </c>
      <c r="E578" s="23">
        <v>42704</v>
      </c>
      <c r="F578" s="23">
        <v>42703</v>
      </c>
      <c r="G578">
        <v>2</v>
      </c>
      <c r="H578">
        <v>6</v>
      </c>
      <c r="I578" t="s">
        <v>5581</v>
      </c>
    </row>
    <row r="579" spans="1:9" x14ac:dyDescent="0.35">
      <c r="A579">
        <v>578</v>
      </c>
      <c r="B579">
        <v>819</v>
      </c>
      <c r="C579">
        <v>4</v>
      </c>
      <c r="D579" t="s">
        <v>5751</v>
      </c>
      <c r="E579" s="23">
        <v>42702</v>
      </c>
      <c r="F579" s="23">
        <v>42703</v>
      </c>
      <c r="G579">
        <v>2</v>
      </c>
      <c r="H579">
        <v>7</v>
      </c>
      <c r="I579" t="s">
        <v>5581</v>
      </c>
    </row>
    <row r="580" spans="1:9" x14ac:dyDescent="0.35">
      <c r="A580">
        <v>579</v>
      </c>
      <c r="B580">
        <v>160</v>
      </c>
      <c r="C580">
        <v>4</v>
      </c>
      <c r="D580" t="s">
        <v>5751</v>
      </c>
      <c r="E580" s="23">
        <v>42704</v>
      </c>
      <c r="F580" s="23">
        <v>42703</v>
      </c>
      <c r="G580">
        <v>3</v>
      </c>
      <c r="H580">
        <v>8</v>
      </c>
      <c r="I580" t="s">
        <v>5581</v>
      </c>
    </row>
    <row r="581" spans="1:9" x14ac:dyDescent="0.35">
      <c r="A581">
        <v>580</v>
      </c>
      <c r="B581">
        <v>581</v>
      </c>
      <c r="C581">
        <v>4</v>
      </c>
      <c r="D581" t="s">
        <v>5752</v>
      </c>
      <c r="E581" s="23">
        <v>42706</v>
      </c>
      <c r="F581" s="23">
        <v>42706</v>
      </c>
      <c r="G581">
        <v>1</v>
      </c>
      <c r="H581">
        <v>3</v>
      </c>
      <c r="I581" t="s">
        <v>5581</v>
      </c>
    </row>
    <row r="582" spans="1:9" x14ac:dyDescent="0.35">
      <c r="A582">
        <v>581</v>
      </c>
      <c r="B582">
        <v>688</v>
      </c>
      <c r="C582">
        <v>4</v>
      </c>
      <c r="D582" s="23">
        <v>42441</v>
      </c>
      <c r="E582" s="23">
        <v>42709</v>
      </c>
      <c r="F582" s="23">
        <v>42710</v>
      </c>
      <c r="G582">
        <v>1</v>
      </c>
      <c r="H582">
        <v>3</v>
      </c>
      <c r="I582" t="s">
        <v>5581</v>
      </c>
    </row>
    <row r="583" spans="1:9" x14ac:dyDescent="0.35">
      <c r="A583">
        <v>582</v>
      </c>
      <c r="B583">
        <v>32</v>
      </c>
      <c r="C583">
        <v>3</v>
      </c>
      <c r="D583" s="23">
        <v>42472</v>
      </c>
      <c r="E583" s="23">
        <v>42708</v>
      </c>
      <c r="F583" t="s">
        <v>5597</v>
      </c>
      <c r="G583">
        <v>1</v>
      </c>
      <c r="H583">
        <v>2</v>
      </c>
      <c r="I583" t="s">
        <v>5598</v>
      </c>
    </row>
    <row r="584" spans="1:9" x14ac:dyDescent="0.35">
      <c r="A584">
        <v>583</v>
      </c>
      <c r="B584">
        <v>792</v>
      </c>
      <c r="C584">
        <v>4</v>
      </c>
      <c r="D584" s="23">
        <v>42472</v>
      </c>
      <c r="E584" s="23">
        <v>42709</v>
      </c>
      <c r="F584" s="23">
        <v>42711</v>
      </c>
      <c r="G584">
        <v>2</v>
      </c>
      <c r="H584">
        <v>7</v>
      </c>
      <c r="I584" t="s">
        <v>5581</v>
      </c>
    </row>
    <row r="585" spans="1:9" x14ac:dyDescent="0.35">
      <c r="A585">
        <v>584</v>
      </c>
      <c r="B585">
        <v>1209</v>
      </c>
      <c r="C585">
        <v>4</v>
      </c>
      <c r="D585" s="23">
        <v>42472</v>
      </c>
      <c r="E585" s="23">
        <v>42709</v>
      </c>
      <c r="F585" s="23">
        <v>42709</v>
      </c>
      <c r="G585">
        <v>2</v>
      </c>
      <c r="H585">
        <v>7</v>
      </c>
      <c r="I585" t="s">
        <v>5581</v>
      </c>
    </row>
    <row r="586" spans="1:9" x14ac:dyDescent="0.35">
      <c r="A586">
        <v>585</v>
      </c>
      <c r="B586">
        <v>1219</v>
      </c>
      <c r="C586">
        <v>4</v>
      </c>
      <c r="D586" s="23">
        <v>42472</v>
      </c>
      <c r="E586" s="23">
        <v>42709</v>
      </c>
      <c r="F586" s="23">
        <v>42709</v>
      </c>
      <c r="G586">
        <v>2</v>
      </c>
      <c r="H586">
        <v>7</v>
      </c>
      <c r="I586" t="s">
        <v>5581</v>
      </c>
    </row>
    <row r="587" spans="1:9" x14ac:dyDescent="0.35">
      <c r="A587">
        <v>586</v>
      </c>
      <c r="B587">
        <v>1306</v>
      </c>
      <c r="C587">
        <v>4</v>
      </c>
      <c r="D587" s="23">
        <v>42472</v>
      </c>
      <c r="E587" s="23">
        <v>42710</v>
      </c>
      <c r="F587" s="23">
        <v>42709</v>
      </c>
      <c r="G587">
        <v>2</v>
      </c>
      <c r="H587">
        <v>6</v>
      </c>
      <c r="I587" t="s">
        <v>5581</v>
      </c>
    </row>
    <row r="588" spans="1:9" x14ac:dyDescent="0.35">
      <c r="A588">
        <v>587</v>
      </c>
      <c r="B588">
        <v>487</v>
      </c>
      <c r="C588">
        <v>4</v>
      </c>
      <c r="D588" s="23">
        <v>42533</v>
      </c>
      <c r="E588" s="23">
        <v>42712</v>
      </c>
      <c r="F588" s="23">
        <v>42712</v>
      </c>
      <c r="G588">
        <v>1</v>
      </c>
      <c r="H588">
        <v>2</v>
      </c>
      <c r="I588" t="s">
        <v>5581</v>
      </c>
    </row>
    <row r="589" spans="1:9" x14ac:dyDescent="0.35">
      <c r="A589">
        <v>588</v>
      </c>
      <c r="B589">
        <v>102</v>
      </c>
      <c r="C589">
        <v>4</v>
      </c>
      <c r="D589" s="23">
        <v>42533</v>
      </c>
      <c r="E589" s="23">
        <v>42711</v>
      </c>
      <c r="F589" s="23">
        <v>42711</v>
      </c>
      <c r="G589">
        <v>2</v>
      </c>
      <c r="H589">
        <v>7</v>
      </c>
      <c r="I589" t="s">
        <v>5581</v>
      </c>
    </row>
    <row r="590" spans="1:9" x14ac:dyDescent="0.35">
      <c r="A590">
        <v>589</v>
      </c>
      <c r="B590">
        <v>719</v>
      </c>
      <c r="C590">
        <v>4</v>
      </c>
      <c r="D590" s="23">
        <v>42533</v>
      </c>
      <c r="E590" s="23">
        <v>42711</v>
      </c>
      <c r="F590" s="23">
        <v>42711</v>
      </c>
      <c r="G590">
        <v>2</v>
      </c>
      <c r="H590">
        <v>7</v>
      </c>
      <c r="I590" t="s">
        <v>5581</v>
      </c>
    </row>
    <row r="591" spans="1:9" x14ac:dyDescent="0.35">
      <c r="A591">
        <v>590</v>
      </c>
      <c r="B591">
        <v>990</v>
      </c>
      <c r="C591">
        <v>4</v>
      </c>
      <c r="D591" s="23">
        <v>42533</v>
      </c>
      <c r="E591" s="23">
        <v>42713</v>
      </c>
      <c r="F591" s="23">
        <v>42711</v>
      </c>
      <c r="G591">
        <v>2</v>
      </c>
      <c r="H591">
        <v>7</v>
      </c>
      <c r="I591" t="s">
        <v>5581</v>
      </c>
    </row>
    <row r="592" spans="1:9" x14ac:dyDescent="0.35">
      <c r="A592">
        <v>591</v>
      </c>
      <c r="B592">
        <v>1211</v>
      </c>
      <c r="C592">
        <v>4</v>
      </c>
      <c r="D592" s="23">
        <v>42533</v>
      </c>
      <c r="E592" s="23">
        <v>42713</v>
      </c>
      <c r="F592" s="23">
        <v>42713</v>
      </c>
      <c r="G592">
        <v>2</v>
      </c>
      <c r="H592">
        <v>7</v>
      </c>
      <c r="I592" t="s">
        <v>5581</v>
      </c>
    </row>
    <row r="593" spans="1:9" x14ac:dyDescent="0.35">
      <c r="A593">
        <v>592</v>
      </c>
      <c r="B593">
        <v>1232</v>
      </c>
      <c r="C593">
        <v>4</v>
      </c>
      <c r="D593" s="23">
        <v>42533</v>
      </c>
      <c r="E593" s="23">
        <v>42712</v>
      </c>
      <c r="F593" s="23">
        <v>42712</v>
      </c>
      <c r="G593">
        <v>2</v>
      </c>
      <c r="H593">
        <v>7</v>
      </c>
      <c r="I593" t="s">
        <v>5581</v>
      </c>
    </row>
    <row r="594" spans="1:9" x14ac:dyDescent="0.35">
      <c r="A594">
        <v>593</v>
      </c>
      <c r="B594">
        <v>50</v>
      </c>
      <c r="C594">
        <v>4</v>
      </c>
      <c r="D594" s="23">
        <v>42563</v>
      </c>
      <c r="E594" s="23">
        <v>42714</v>
      </c>
      <c r="F594" s="23">
        <v>42712</v>
      </c>
      <c r="G594">
        <v>3</v>
      </c>
      <c r="H594">
        <v>8</v>
      </c>
      <c r="I594" t="s">
        <v>5581</v>
      </c>
    </row>
    <row r="595" spans="1:9" x14ac:dyDescent="0.35">
      <c r="A595">
        <v>594</v>
      </c>
      <c r="B595">
        <v>1318</v>
      </c>
      <c r="C595">
        <v>4</v>
      </c>
      <c r="D595" s="23">
        <v>42563</v>
      </c>
      <c r="E595" s="23">
        <v>42712</v>
      </c>
      <c r="F595" s="23">
        <v>42712</v>
      </c>
      <c r="G595">
        <v>3</v>
      </c>
      <c r="H595">
        <v>8</v>
      </c>
      <c r="I595" t="s">
        <v>5581</v>
      </c>
    </row>
    <row r="596" spans="1:9" x14ac:dyDescent="0.35">
      <c r="A596">
        <v>595</v>
      </c>
      <c r="B596">
        <v>538</v>
      </c>
      <c r="C596">
        <v>4</v>
      </c>
      <c r="D596" s="23">
        <v>42594</v>
      </c>
      <c r="E596" s="23">
        <v>42713</v>
      </c>
      <c r="F596" s="23">
        <v>42715</v>
      </c>
      <c r="G596">
        <v>1</v>
      </c>
      <c r="H596">
        <v>2</v>
      </c>
      <c r="I596" t="s">
        <v>5581</v>
      </c>
    </row>
    <row r="597" spans="1:9" x14ac:dyDescent="0.35">
      <c r="A597">
        <v>596</v>
      </c>
      <c r="B597">
        <v>952</v>
      </c>
      <c r="C597">
        <v>4</v>
      </c>
      <c r="D597" s="23">
        <v>42594</v>
      </c>
      <c r="E597" s="23">
        <v>42713</v>
      </c>
      <c r="F597" s="23">
        <v>42713</v>
      </c>
      <c r="G597">
        <v>1</v>
      </c>
      <c r="H597">
        <v>3</v>
      </c>
      <c r="I597" t="s">
        <v>5581</v>
      </c>
    </row>
    <row r="598" spans="1:9" x14ac:dyDescent="0.35">
      <c r="A598">
        <v>597</v>
      </c>
      <c r="B598">
        <v>1121</v>
      </c>
      <c r="C598">
        <v>4</v>
      </c>
      <c r="D598" s="23">
        <v>42594</v>
      </c>
      <c r="E598" s="23">
        <v>42713</v>
      </c>
      <c r="F598" s="23">
        <v>42714</v>
      </c>
      <c r="G598">
        <v>2</v>
      </c>
      <c r="H598">
        <v>6</v>
      </c>
      <c r="I598" t="s">
        <v>5581</v>
      </c>
    </row>
    <row r="599" spans="1:9" x14ac:dyDescent="0.35">
      <c r="A599">
        <v>598</v>
      </c>
      <c r="B599">
        <v>40</v>
      </c>
      <c r="C599">
        <v>3</v>
      </c>
      <c r="D599" s="23">
        <v>42625</v>
      </c>
      <c r="E599" s="23">
        <v>42713</v>
      </c>
      <c r="F599" t="s">
        <v>5597</v>
      </c>
      <c r="G599">
        <v>1</v>
      </c>
      <c r="H599">
        <v>3</v>
      </c>
      <c r="I599" t="s">
        <v>5598</v>
      </c>
    </row>
    <row r="600" spans="1:9" x14ac:dyDescent="0.35">
      <c r="A600">
        <v>599</v>
      </c>
      <c r="B600">
        <v>1</v>
      </c>
      <c r="C600">
        <v>4</v>
      </c>
      <c r="D600" s="23">
        <v>42625</v>
      </c>
      <c r="E600" s="23">
        <v>42714</v>
      </c>
      <c r="F600" s="23">
        <v>42716</v>
      </c>
      <c r="G600">
        <v>2</v>
      </c>
      <c r="H600">
        <v>6</v>
      </c>
      <c r="I600" t="s">
        <v>5581</v>
      </c>
    </row>
    <row r="601" spans="1:9" x14ac:dyDescent="0.35">
      <c r="A601">
        <v>600</v>
      </c>
      <c r="B601">
        <v>624</v>
      </c>
      <c r="C601">
        <v>4</v>
      </c>
      <c r="D601" s="23">
        <v>42625</v>
      </c>
      <c r="E601" s="23">
        <v>42716</v>
      </c>
      <c r="F601" s="23">
        <v>42715</v>
      </c>
      <c r="G601">
        <v>2</v>
      </c>
      <c r="H601">
        <v>7</v>
      </c>
      <c r="I601" t="s">
        <v>5581</v>
      </c>
    </row>
    <row r="602" spans="1:9" x14ac:dyDescent="0.35">
      <c r="A602">
        <v>601</v>
      </c>
      <c r="B602">
        <v>683</v>
      </c>
      <c r="C602">
        <v>4</v>
      </c>
      <c r="D602" s="23">
        <v>42625</v>
      </c>
      <c r="E602" s="23">
        <v>42714</v>
      </c>
      <c r="F602" s="23">
        <v>42714</v>
      </c>
      <c r="G602">
        <v>2</v>
      </c>
      <c r="H602">
        <v>6</v>
      </c>
      <c r="I602" t="s">
        <v>5581</v>
      </c>
    </row>
    <row r="603" spans="1:9" x14ac:dyDescent="0.35">
      <c r="A603">
        <v>602</v>
      </c>
      <c r="B603">
        <v>823</v>
      </c>
      <c r="C603">
        <v>4</v>
      </c>
      <c r="D603" s="23">
        <v>42625</v>
      </c>
      <c r="E603" s="23">
        <v>42714</v>
      </c>
      <c r="F603" s="23">
        <v>42715</v>
      </c>
      <c r="G603">
        <v>2</v>
      </c>
      <c r="H603">
        <v>6</v>
      </c>
      <c r="I603" t="s">
        <v>5581</v>
      </c>
    </row>
    <row r="604" spans="1:9" x14ac:dyDescent="0.35">
      <c r="A604">
        <v>603</v>
      </c>
      <c r="B604">
        <v>1032</v>
      </c>
      <c r="C604">
        <v>4</v>
      </c>
      <c r="D604" s="23">
        <v>42625</v>
      </c>
      <c r="E604" s="23">
        <v>42714</v>
      </c>
      <c r="F604" s="23">
        <v>42714</v>
      </c>
      <c r="G604">
        <v>2</v>
      </c>
      <c r="H604">
        <v>7</v>
      </c>
      <c r="I604" t="s">
        <v>5581</v>
      </c>
    </row>
    <row r="605" spans="1:9" x14ac:dyDescent="0.35">
      <c r="A605">
        <v>604</v>
      </c>
      <c r="B605">
        <v>96</v>
      </c>
      <c r="C605">
        <v>4</v>
      </c>
      <c r="D605" s="23">
        <v>42655</v>
      </c>
      <c r="E605" s="23">
        <v>42717</v>
      </c>
      <c r="F605" s="23">
        <v>42716</v>
      </c>
      <c r="G605">
        <v>2</v>
      </c>
      <c r="H605">
        <v>7</v>
      </c>
      <c r="I605" t="s">
        <v>5581</v>
      </c>
    </row>
    <row r="606" spans="1:9" x14ac:dyDescent="0.35">
      <c r="A606">
        <v>605</v>
      </c>
      <c r="B606">
        <v>1208</v>
      </c>
      <c r="C606">
        <v>4</v>
      </c>
      <c r="D606" s="23">
        <v>42655</v>
      </c>
      <c r="E606" s="23">
        <v>42715</v>
      </c>
      <c r="F606" s="23">
        <v>42716</v>
      </c>
      <c r="G606">
        <v>2</v>
      </c>
      <c r="H606">
        <v>6</v>
      </c>
      <c r="I606" t="s">
        <v>5581</v>
      </c>
    </row>
    <row r="607" spans="1:9" x14ac:dyDescent="0.35">
      <c r="A607">
        <v>606</v>
      </c>
      <c r="B607">
        <v>18</v>
      </c>
      <c r="C607">
        <v>4</v>
      </c>
      <c r="D607" s="23">
        <v>42686</v>
      </c>
      <c r="E607" s="23">
        <v>42716</v>
      </c>
      <c r="F607" s="23">
        <v>42717</v>
      </c>
      <c r="G607">
        <v>2</v>
      </c>
      <c r="H607">
        <v>7</v>
      </c>
      <c r="I607" t="s">
        <v>5581</v>
      </c>
    </row>
    <row r="608" spans="1:9" x14ac:dyDescent="0.35">
      <c r="A608">
        <v>607</v>
      </c>
      <c r="B608">
        <v>309</v>
      </c>
      <c r="C608">
        <v>4</v>
      </c>
      <c r="D608" s="23">
        <v>42686</v>
      </c>
      <c r="E608" s="23">
        <v>42718</v>
      </c>
      <c r="F608" s="23">
        <v>42717</v>
      </c>
      <c r="G608">
        <v>2</v>
      </c>
      <c r="H608">
        <v>6</v>
      </c>
      <c r="I608" t="s">
        <v>5581</v>
      </c>
    </row>
    <row r="609" spans="1:9" x14ac:dyDescent="0.35">
      <c r="A609">
        <v>608</v>
      </c>
      <c r="B609">
        <v>1103</v>
      </c>
      <c r="C609">
        <v>4</v>
      </c>
      <c r="D609" s="23">
        <v>42716</v>
      </c>
      <c r="E609" s="23">
        <v>42719</v>
      </c>
      <c r="F609" s="23">
        <v>42718</v>
      </c>
      <c r="G609">
        <v>1</v>
      </c>
      <c r="H609">
        <v>3</v>
      </c>
      <c r="I609" t="s">
        <v>5581</v>
      </c>
    </row>
    <row r="610" spans="1:9" x14ac:dyDescent="0.35">
      <c r="A610">
        <v>609</v>
      </c>
      <c r="B610">
        <v>896</v>
      </c>
      <c r="C610">
        <v>4</v>
      </c>
      <c r="D610" s="23">
        <v>42716</v>
      </c>
      <c r="E610" s="23">
        <v>42717</v>
      </c>
      <c r="F610" s="23">
        <v>42718</v>
      </c>
      <c r="G610">
        <v>2</v>
      </c>
      <c r="H610">
        <v>7</v>
      </c>
      <c r="I610" t="s">
        <v>5581</v>
      </c>
    </row>
    <row r="611" spans="1:9" x14ac:dyDescent="0.35">
      <c r="A611">
        <v>610</v>
      </c>
      <c r="B611">
        <v>711</v>
      </c>
      <c r="C611">
        <v>4</v>
      </c>
      <c r="D611" t="s">
        <v>5753</v>
      </c>
      <c r="E611" s="23">
        <v>42719</v>
      </c>
      <c r="F611" s="23">
        <v>42718</v>
      </c>
      <c r="G611">
        <v>2</v>
      </c>
      <c r="H611">
        <v>6</v>
      </c>
      <c r="I611" t="s">
        <v>5581</v>
      </c>
    </row>
    <row r="612" spans="1:9" x14ac:dyDescent="0.35">
      <c r="A612">
        <v>611</v>
      </c>
      <c r="B612">
        <v>1073</v>
      </c>
      <c r="C612">
        <v>4</v>
      </c>
      <c r="D612" t="s">
        <v>5754</v>
      </c>
      <c r="E612" s="23">
        <v>42721</v>
      </c>
      <c r="F612" s="23">
        <v>42722</v>
      </c>
      <c r="G612">
        <v>2</v>
      </c>
      <c r="H612">
        <v>7</v>
      </c>
      <c r="I612" t="s">
        <v>5581</v>
      </c>
    </row>
    <row r="613" spans="1:9" x14ac:dyDescent="0.35">
      <c r="A613">
        <v>612</v>
      </c>
      <c r="B613">
        <v>634</v>
      </c>
      <c r="C613">
        <v>4</v>
      </c>
      <c r="D613" t="s">
        <v>5755</v>
      </c>
      <c r="E613" s="23">
        <v>42721</v>
      </c>
      <c r="F613" s="23">
        <v>42721</v>
      </c>
      <c r="G613">
        <v>2</v>
      </c>
      <c r="H613">
        <v>7</v>
      </c>
      <c r="I613" t="s">
        <v>5581</v>
      </c>
    </row>
    <row r="614" spans="1:9" x14ac:dyDescent="0.35">
      <c r="A614">
        <v>613</v>
      </c>
      <c r="B614">
        <v>1159</v>
      </c>
      <c r="C614">
        <v>4</v>
      </c>
      <c r="D614" t="s">
        <v>5756</v>
      </c>
      <c r="E614" s="23">
        <v>42723</v>
      </c>
      <c r="F614" s="23">
        <v>42723</v>
      </c>
      <c r="G614">
        <v>2</v>
      </c>
      <c r="H614">
        <v>7</v>
      </c>
      <c r="I614" t="s">
        <v>5581</v>
      </c>
    </row>
    <row r="615" spans="1:9" x14ac:dyDescent="0.35">
      <c r="A615">
        <v>614</v>
      </c>
      <c r="B615">
        <v>654</v>
      </c>
      <c r="C615">
        <v>4</v>
      </c>
      <c r="D615" t="s">
        <v>5757</v>
      </c>
      <c r="E615" s="23">
        <v>42725</v>
      </c>
      <c r="F615" s="23">
        <v>42725</v>
      </c>
      <c r="G615">
        <v>1</v>
      </c>
      <c r="H615">
        <v>2</v>
      </c>
      <c r="I615" t="s">
        <v>5581</v>
      </c>
    </row>
    <row r="616" spans="1:9" x14ac:dyDescent="0.35">
      <c r="A616">
        <v>615</v>
      </c>
      <c r="B616">
        <v>560</v>
      </c>
      <c r="C616">
        <v>4</v>
      </c>
      <c r="D616" t="s">
        <v>5758</v>
      </c>
      <c r="E616" s="23">
        <v>42726</v>
      </c>
      <c r="F616" s="23">
        <v>42725</v>
      </c>
      <c r="G616">
        <v>3</v>
      </c>
      <c r="H616">
        <v>9</v>
      </c>
      <c r="I616" t="s">
        <v>5581</v>
      </c>
    </row>
    <row r="617" spans="1:9" x14ac:dyDescent="0.35">
      <c r="A617">
        <v>616</v>
      </c>
      <c r="B617">
        <v>1444</v>
      </c>
      <c r="C617">
        <v>4</v>
      </c>
      <c r="D617" t="s">
        <v>5759</v>
      </c>
      <c r="E617" s="23">
        <v>42727</v>
      </c>
      <c r="F617" s="23">
        <v>42727</v>
      </c>
      <c r="G617">
        <v>2</v>
      </c>
      <c r="H617">
        <v>6</v>
      </c>
      <c r="I617" t="s">
        <v>5581</v>
      </c>
    </row>
    <row r="618" spans="1:9" x14ac:dyDescent="0.35">
      <c r="A618">
        <v>617</v>
      </c>
      <c r="B618">
        <v>118</v>
      </c>
      <c r="C618">
        <v>4</v>
      </c>
      <c r="D618" t="s">
        <v>5760</v>
      </c>
      <c r="E618" s="23">
        <v>42727</v>
      </c>
      <c r="F618" s="23">
        <v>42727</v>
      </c>
      <c r="G618">
        <v>2</v>
      </c>
      <c r="H618">
        <v>7</v>
      </c>
      <c r="I618" t="s">
        <v>5581</v>
      </c>
    </row>
    <row r="619" spans="1:9" x14ac:dyDescent="0.35">
      <c r="A619">
        <v>618</v>
      </c>
      <c r="B619">
        <v>131</v>
      </c>
      <c r="C619">
        <v>4</v>
      </c>
      <c r="D619" t="s">
        <v>5760</v>
      </c>
      <c r="E619" s="23">
        <v>42726</v>
      </c>
      <c r="F619" s="23">
        <v>42726</v>
      </c>
      <c r="G619">
        <v>2</v>
      </c>
      <c r="H619">
        <v>6</v>
      </c>
      <c r="I619" t="s">
        <v>5581</v>
      </c>
    </row>
    <row r="620" spans="1:9" x14ac:dyDescent="0.35">
      <c r="A620">
        <v>619</v>
      </c>
      <c r="B620">
        <v>454</v>
      </c>
      <c r="C620">
        <v>4</v>
      </c>
      <c r="D620" t="s">
        <v>5761</v>
      </c>
      <c r="E620" s="23">
        <v>42729</v>
      </c>
      <c r="F620" s="23">
        <v>42729</v>
      </c>
      <c r="G620">
        <v>2</v>
      </c>
      <c r="H620">
        <v>7</v>
      </c>
      <c r="I620" t="s">
        <v>5581</v>
      </c>
    </row>
    <row r="621" spans="1:9" x14ac:dyDescent="0.35">
      <c r="A621">
        <v>620</v>
      </c>
      <c r="B621">
        <v>466</v>
      </c>
      <c r="C621">
        <v>4</v>
      </c>
      <c r="D621" t="s">
        <v>5761</v>
      </c>
      <c r="E621" s="23">
        <v>42728</v>
      </c>
      <c r="F621" s="23">
        <v>42728</v>
      </c>
      <c r="G621">
        <v>2</v>
      </c>
      <c r="H621">
        <v>6</v>
      </c>
      <c r="I621" t="s">
        <v>5581</v>
      </c>
    </row>
    <row r="622" spans="1:9" x14ac:dyDescent="0.35">
      <c r="A622">
        <v>621</v>
      </c>
      <c r="B622">
        <v>1157</v>
      </c>
      <c r="C622">
        <v>4</v>
      </c>
      <c r="D622" t="s">
        <v>5762</v>
      </c>
      <c r="E622" s="23">
        <v>42729</v>
      </c>
      <c r="F622" s="23">
        <v>42728</v>
      </c>
      <c r="G622">
        <v>2</v>
      </c>
      <c r="H622">
        <v>6</v>
      </c>
      <c r="I622" t="s">
        <v>5581</v>
      </c>
    </row>
    <row r="623" spans="1:9" x14ac:dyDescent="0.35">
      <c r="A623">
        <v>622</v>
      </c>
      <c r="B623">
        <v>1398</v>
      </c>
      <c r="C623">
        <v>4</v>
      </c>
      <c r="D623" t="s">
        <v>5762</v>
      </c>
      <c r="E623" s="23">
        <v>42730</v>
      </c>
      <c r="F623" s="23">
        <v>42729</v>
      </c>
      <c r="G623">
        <v>2</v>
      </c>
      <c r="H623">
        <v>7</v>
      </c>
      <c r="I623" t="s">
        <v>5581</v>
      </c>
    </row>
    <row r="624" spans="1:9" x14ac:dyDescent="0.35">
      <c r="A624">
        <v>623</v>
      </c>
      <c r="B624">
        <v>678</v>
      </c>
      <c r="C624">
        <v>4</v>
      </c>
      <c r="D624" t="s">
        <v>5763</v>
      </c>
      <c r="E624" s="23">
        <v>42730</v>
      </c>
      <c r="F624" s="23">
        <v>42731</v>
      </c>
      <c r="G624">
        <v>2</v>
      </c>
      <c r="H624">
        <v>6</v>
      </c>
      <c r="I624" t="s">
        <v>5581</v>
      </c>
    </row>
    <row r="625" spans="1:9" x14ac:dyDescent="0.35">
      <c r="A625">
        <v>624</v>
      </c>
      <c r="B625">
        <v>814</v>
      </c>
      <c r="C625">
        <v>4</v>
      </c>
      <c r="D625" t="s">
        <v>5763</v>
      </c>
      <c r="E625" s="23">
        <v>42729</v>
      </c>
      <c r="F625" s="23">
        <v>42731</v>
      </c>
      <c r="G625">
        <v>2</v>
      </c>
      <c r="H625">
        <v>6</v>
      </c>
      <c r="I625" t="s">
        <v>5581</v>
      </c>
    </row>
    <row r="626" spans="1:9" x14ac:dyDescent="0.35">
      <c r="A626">
        <v>625</v>
      </c>
      <c r="B626">
        <v>1163</v>
      </c>
      <c r="C626">
        <v>4</v>
      </c>
      <c r="D626" t="s">
        <v>5764</v>
      </c>
      <c r="E626" s="23">
        <v>42732</v>
      </c>
      <c r="F626" s="23">
        <v>42730</v>
      </c>
      <c r="G626">
        <v>1</v>
      </c>
      <c r="H626">
        <v>2</v>
      </c>
      <c r="I626" t="s">
        <v>5581</v>
      </c>
    </row>
    <row r="627" spans="1:9" x14ac:dyDescent="0.35">
      <c r="A627">
        <v>626</v>
      </c>
      <c r="B627">
        <v>130</v>
      </c>
      <c r="C627">
        <v>4</v>
      </c>
      <c r="D627" t="s">
        <v>5764</v>
      </c>
      <c r="E627" s="23">
        <v>42732</v>
      </c>
      <c r="F627" s="23">
        <v>42731</v>
      </c>
      <c r="G627">
        <v>2</v>
      </c>
      <c r="H627">
        <v>7</v>
      </c>
      <c r="I627" t="s">
        <v>5581</v>
      </c>
    </row>
    <row r="628" spans="1:9" x14ac:dyDescent="0.35">
      <c r="A628">
        <v>627</v>
      </c>
      <c r="B628">
        <v>1119</v>
      </c>
      <c r="C628">
        <v>4</v>
      </c>
      <c r="D628" t="s">
        <v>5764</v>
      </c>
      <c r="E628" s="23">
        <v>42730</v>
      </c>
      <c r="F628" s="23">
        <v>42732</v>
      </c>
      <c r="G628">
        <v>2</v>
      </c>
      <c r="H628">
        <v>6</v>
      </c>
      <c r="I628" t="s">
        <v>5581</v>
      </c>
    </row>
    <row r="629" spans="1:9" x14ac:dyDescent="0.35">
      <c r="A629">
        <v>628</v>
      </c>
      <c r="B629">
        <v>561</v>
      </c>
      <c r="C629">
        <v>4</v>
      </c>
      <c r="D629" t="s">
        <v>5765</v>
      </c>
      <c r="E629" s="23">
        <v>42733</v>
      </c>
      <c r="F629" s="23">
        <v>42731</v>
      </c>
      <c r="G629">
        <v>1</v>
      </c>
      <c r="H629">
        <v>3</v>
      </c>
      <c r="I629" t="s">
        <v>5581</v>
      </c>
    </row>
    <row r="630" spans="1:9" x14ac:dyDescent="0.35">
      <c r="A630">
        <v>629</v>
      </c>
      <c r="B630">
        <v>973</v>
      </c>
      <c r="C630">
        <v>4</v>
      </c>
      <c r="D630" t="s">
        <v>5765</v>
      </c>
      <c r="E630" s="23">
        <v>42731</v>
      </c>
      <c r="F630" s="23">
        <v>42733</v>
      </c>
      <c r="G630">
        <v>1</v>
      </c>
      <c r="H630">
        <v>2</v>
      </c>
      <c r="I630" t="s">
        <v>5581</v>
      </c>
    </row>
    <row r="631" spans="1:9" x14ac:dyDescent="0.35">
      <c r="A631">
        <v>630</v>
      </c>
      <c r="B631">
        <v>1404</v>
      </c>
      <c r="C631">
        <v>4</v>
      </c>
      <c r="D631" t="s">
        <v>5765</v>
      </c>
      <c r="E631" s="23">
        <v>42731</v>
      </c>
      <c r="F631" s="23">
        <v>42732</v>
      </c>
      <c r="G631">
        <v>2</v>
      </c>
      <c r="H631">
        <v>6</v>
      </c>
      <c r="I631" t="s">
        <v>5581</v>
      </c>
    </row>
    <row r="632" spans="1:9" x14ac:dyDescent="0.35">
      <c r="A632">
        <v>631</v>
      </c>
      <c r="B632">
        <v>855</v>
      </c>
      <c r="C632">
        <v>4</v>
      </c>
      <c r="D632" t="s">
        <v>5766</v>
      </c>
      <c r="E632" s="23">
        <v>42733</v>
      </c>
      <c r="F632" s="23">
        <v>42733</v>
      </c>
      <c r="G632">
        <v>1</v>
      </c>
      <c r="H632">
        <v>3</v>
      </c>
      <c r="I632" t="s">
        <v>5581</v>
      </c>
    </row>
    <row r="633" spans="1:9" x14ac:dyDescent="0.35">
      <c r="A633">
        <v>632</v>
      </c>
      <c r="B633">
        <v>163</v>
      </c>
      <c r="C633">
        <v>4</v>
      </c>
      <c r="D633" t="s">
        <v>5766</v>
      </c>
      <c r="E633" s="23">
        <v>42733</v>
      </c>
      <c r="F633" s="23">
        <v>42733</v>
      </c>
      <c r="G633">
        <v>2</v>
      </c>
      <c r="H633">
        <v>7</v>
      </c>
      <c r="I633" t="s">
        <v>5581</v>
      </c>
    </row>
    <row r="634" spans="1:9" x14ac:dyDescent="0.35">
      <c r="A634">
        <v>633</v>
      </c>
      <c r="B634">
        <v>1040</v>
      </c>
      <c r="C634">
        <v>4</v>
      </c>
      <c r="D634" t="s">
        <v>5767</v>
      </c>
      <c r="E634" s="23">
        <v>42735</v>
      </c>
      <c r="F634" s="23">
        <v>42734</v>
      </c>
      <c r="G634">
        <v>3</v>
      </c>
      <c r="H634">
        <v>8</v>
      </c>
      <c r="I634" t="s">
        <v>5581</v>
      </c>
    </row>
    <row r="635" spans="1:9" x14ac:dyDescent="0.35">
      <c r="A635">
        <v>634</v>
      </c>
      <c r="B635">
        <v>27</v>
      </c>
      <c r="C635">
        <v>4</v>
      </c>
      <c r="D635" t="s">
        <v>5768</v>
      </c>
      <c r="E635" s="23">
        <v>42736</v>
      </c>
      <c r="F635" s="23">
        <v>42734</v>
      </c>
      <c r="G635">
        <v>2</v>
      </c>
      <c r="H635">
        <v>6</v>
      </c>
      <c r="I635" t="s">
        <v>5581</v>
      </c>
    </row>
    <row r="636" spans="1:9" x14ac:dyDescent="0.35">
      <c r="A636">
        <v>635</v>
      </c>
      <c r="B636">
        <v>520</v>
      </c>
      <c r="C636">
        <v>4</v>
      </c>
      <c r="D636" t="s">
        <v>5769</v>
      </c>
      <c r="E636" s="23">
        <v>42737</v>
      </c>
      <c r="F636" s="23">
        <v>42735</v>
      </c>
      <c r="G636">
        <v>2</v>
      </c>
      <c r="H636">
        <v>6</v>
      </c>
      <c r="I636" t="s">
        <v>5581</v>
      </c>
    </row>
    <row r="637" spans="1:9" x14ac:dyDescent="0.35">
      <c r="A637">
        <v>636</v>
      </c>
      <c r="B637">
        <v>532</v>
      </c>
      <c r="C637">
        <v>4</v>
      </c>
      <c r="D637" s="23">
        <v>42795</v>
      </c>
      <c r="E637" s="23">
        <v>42739</v>
      </c>
      <c r="F637" s="23">
        <v>42740</v>
      </c>
      <c r="G637">
        <v>1</v>
      </c>
      <c r="H637">
        <v>2</v>
      </c>
      <c r="I637" t="s">
        <v>5581</v>
      </c>
    </row>
    <row r="638" spans="1:9" x14ac:dyDescent="0.35">
      <c r="A638">
        <v>637</v>
      </c>
      <c r="B638">
        <v>512</v>
      </c>
      <c r="C638">
        <v>4</v>
      </c>
      <c r="D638" s="23">
        <v>42795</v>
      </c>
      <c r="E638" s="23">
        <v>42740</v>
      </c>
      <c r="F638" s="23">
        <v>42740</v>
      </c>
      <c r="G638">
        <v>2</v>
      </c>
      <c r="H638">
        <v>6</v>
      </c>
      <c r="I638" t="s">
        <v>5581</v>
      </c>
    </row>
    <row r="639" spans="1:9" x14ac:dyDescent="0.35">
      <c r="A639">
        <v>638</v>
      </c>
      <c r="B639">
        <v>1302</v>
      </c>
      <c r="C639">
        <v>4</v>
      </c>
      <c r="D639" s="23">
        <v>42826</v>
      </c>
      <c r="E639" s="23">
        <v>42740</v>
      </c>
      <c r="F639" s="23">
        <v>42741</v>
      </c>
      <c r="G639">
        <v>2</v>
      </c>
      <c r="H639">
        <v>7</v>
      </c>
      <c r="I639" t="s">
        <v>5581</v>
      </c>
    </row>
    <row r="640" spans="1:9" x14ac:dyDescent="0.35">
      <c r="A640">
        <v>639</v>
      </c>
      <c r="B640">
        <v>550</v>
      </c>
      <c r="C640">
        <v>4</v>
      </c>
      <c r="D640" s="23">
        <v>42887</v>
      </c>
      <c r="E640" s="23">
        <v>42742</v>
      </c>
      <c r="F640" s="23">
        <v>42742</v>
      </c>
      <c r="G640">
        <v>2</v>
      </c>
      <c r="H640">
        <v>6</v>
      </c>
      <c r="I640" t="s">
        <v>5581</v>
      </c>
    </row>
    <row r="641" spans="1:9" x14ac:dyDescent="0.35">
      <c r="A641">
        <v>640</v>
      </c>
      <c r="B641">
        <v>1093</v>
      </c>
      <c r="C641">
        <v>4</v>
      </c>
      <c r="D641" s="23">
        <v>42887</v>
      </c>
      <c r="E641" s="23">
        <v>42743</v>
      </c>
      <c r="F641" s="23">
        <v>42742</v>
      </c>
      <c r="G641">
        <v>2</v>
      </c>
      <c r="H641">
        <v>6</v>
      </c>
      <c r="I641" t="s">
        <v>5581</v>
      </c>
    </row>
    <row r="642" spans="1:9" x14ac:dyDescent="0.35">
      <c r="A642">
        <v>641</v>
      </c>
      <c r="B642">
        <v>673</v>
      </c>
      <c r="C642">
        <v>4</v>
      </c>
      <c r="D642" s="23">
        <v>42917</v>
      </c>
      <c r="E642" s="23">
        <v>42745</v>
      </c>
      <c r="F642" s="23">
        <v>42743</v>
      </c>
      <c r="G642">
        <v>1</v>
      </c>
      <c r="H642">
        <v>3</v>
      </c>
      <c r="I642" t="s">
        <v>5581</v>
      </c>
    </row>
    <row r="643" spans="1:9" x14ac:dyDescent="0.35">
      <c r="A643">
        <v>642</v>
      </c>
      <c r="B643">
        <v>847</v>
      </c>
      <c r="C643">
        <v>4</v>
      </c>
      <c r="D643" s="23">
        <v>42917</v>
      </c>
      <c r="E643" s="23">
        <v>42744</v>
      </c>
      <c r="F643" s="23">
        <v>42745</v>
      </c>
      <c r="G643">
        <v>2</v>
      </c>
      <c r="H643">
        <v>7</v>
      </c>
      <c r="I643" t="s">
        <v>5581</v>
      </c>
    </row>
    <row r="644" spans="1:9" x14ac:dyDescent="0.35">
      <c r="A644">
        <v>643</v>
      </c>
      <c r="B644">
        <v>901</v>
      </c>
      <c r="C644">
        <v>4</v>
      </c>
      <c r="D644" s="23">
        <v>42948</v>
      </c>
      <c r="E644" s="23">
        <v>42744</v>
      </c>
      <c r="F644" s="23">
        <v>42746</v>
      </c>
      <c r="G644">
        <v>1</v>
      </c>
      <c r="H644">
        <v>3</v>
      </c>
      <c r="I644" t="s">
        <v>5581</v>
      </c>
    </row>
    <row r="645" spans="1:9" x14ac:dyDescent="0.35">
      <c r="A645">
        <v>644</v>
      </c>
      <c r="B645">
        <v>439</v>
      </c>
      <c r="C645">
        <v>4</v>
      </c>
      <c r="D645" s="23">
        <v>42948</v>
      </c>
      <c r="E645" s="23">
        <v>42746</v>
      </c>
      <c r="F645" s="23">
        <v>42745</v>
      </c>
      <c r="G645">
        <v>2</v>
      </c>
      <c r="H645">
        <v>6</v>
      </c>
      <c r="I645" t="s">
        <v>5581</v>
      </c>
    </row>
    <row r="646" spans="1:9" x14ac:dyDescent="0.35">
      <c r="A646">
        <v>645</v>
      </c>
      <c r="B646">
        <v>1199</v>
      </c>
      <c r="C646">
        <v>4</v>
      </c>
      <c r="D646" s="23">
        <v>42948</v>
      </c>
      <c r="E646" s="23">
        <v>42746</v>
      </c>
      <c r="F646" s="23">
        <v>42745</v>
      </c>
      <c r="G646">
        <v>2</v>
      </c>
      <c r="H646">
        <v>6</v>
      </c>
      <c r="I646" t="s">
        <v>5581</v>
      </c>
    </row>
    <row r="647" spans="1:9" x14ac:dyDescent="0.35">
      <c r="A647">
        <v>646</v>
      </c>
      <c r="B647">
        <v>975</v>
      </c>
      <c r="C647">
        <v>4</v>
      </c>
      <c r="D647" s="23">
        <v>42979</v>
      </c>
      <c r="E647" s="23">
        <v>42747</v>
      </c>
      <c r="F647" s="23">
        <v>42746</v>
      </c>
      <c r="G647">
        <v>1</v>
      </c>
      <c r="H647">
        <v>2</v>
      </c>
      <c r="I647" t="s">
        <v>5581</v>
      </c>
    </row>
    <row r="648" spans="1:9" x14ac:dyDescent="0.35">
      <c r="A648">
        <v>647</v>
      </c>
      <c r="B648">
        <v>283</v>
      </c>
      <c r="C648">
        <v>4</v>
      </c>
      <c r="D648" s="23">
        <v>42979</v>
      </c>
      <c r="E648" s="23">
        <v>42745</v>
      </c>
      <c r="F648" s="23">
        <v>42746</v>
      </c>
      <c r="G648">
        <v>2</v>
      </c>
      <c r="H648">
        <v>7</v>
      </c>
      <c r="I648" t="s">
        <v>5581</v>
      </c>
    </row>
    <row r="649" spans="1:9" x14ac:dyDescent="0.35">
      <c r="A649">
        <v>648</v>
      </c>
      <c r="B649">
        <v>684</v>
      </c>
      <c r="C649">
        <v>4</v>
      </c>
      <c r="D649" s="23">
        <v>42979</v>
      </c>
      <c r="E649" s="23">
        <v>42746</v>
      </c>
      <c r="F649" s="23">
        <v>42746</v>
      </c>
      <c r="G649">
        <v>2</v>
      </c>
      <c r="H649">
        <v>6</v>
      </c>
      <c r="I649" t="s">
        <v>5581</v>
      </c>
    </row>
    <row r="650" spans="1:9" x14ac:dyDescent="0.35">
      <c r="A650">
        <v>649</v>
      </c>
      <c r="B650">
        <v>1153</v>
      </c>
      <c r="C650">
        <v>4</v>
      </c>
      <c r="D650" s="23">
        <v>43009</v>
      </c>
      <c r="E650" s="23">
        <v>42746</v>
      </c>
      <c r="F650" s="23">
        <v>42748</v>
      </c>
      <c r="G650">
        <v>1</v>
      </c>
      <c r="H650">
        <v>3</v>
      </c>
      <c r="I650" t="s">
        <v>5581</v>
      </c>
    </row>
    <row r="651" spans="1:9" x14ac:dyDescent="0.35">
      <c r="A651">
        <v>650</v>
      </c>
      <c r="B651">
        <v>729</v>
      </c>
      <c r="C651">
        <v>4</v>
      </c>
      <c r="D651" s="23">
        <v>43040</v>
      </c>
      <c r="E651" s="23">
        <v>42749</v>
      </c>
      <c r="F651" s="23">
        <v>42747</v>
      </c>
      <c r="G651">
        <v>1</v>
      </c>
      <c r="H651">
        <v>2</v>
      </c>
      <c r="I651" t="s">
        <v>5581</v>
      </c>
    </row>
    <row r="652" spans="1:9" x14ac:dyDescent="0.35">
      <c r="A652">
        <v>651</v>
      </c>
      <c r="B652">
        <v>190</v>
      </c>
      <c r="C652">
        <v>4</v>
      </c>
      <c r="D652" s="23">
        <v>43040</v>
      </c>
      <c r="E652" s="23">
        <v>42748</v>
      </c>
      <c r="F652" s="23">
        <v>42748</v>
      </c>
      <c r="G652">
        <v>2</v>
      </c>
      <c r="H652">
        <v>7</v>
      </c>
      <c r="I652" t="s">
        <v>5581</v>
      </c>
    </row>
    <row r="653" spans="1:9" x14ac:dyDescent="0.35">
      <c r="A653">
        <v>652</v>
      </c>
      <c r="B653">
        <v>985</v>
      </c>
      <c r="C653">
        <v>4</v>
      </c>
      <c r="D653" s="23">
        <v>43070</v>
      </c>
      <c r="E653" s="23">
        <v>42750</v>
      </c>
      <c r="F653" s="23">
        <v>42748</v>
      </c>
      <c r="G653">
        <v>3</v>
      </c>
      <c r="H653">
        <v>9</v>
      </c>
      <c r="I653" t="s">
        <v>5581</v>
      </c>
    </row>
    <row r="654" spans="1:9" x14ac:dyDescent="0.35">
      <c r="A654">
        <v>653</v>
      </c>
      <c r="B654">
        <v>1249</v>
      </c>
      <c r="C654">
        <v>4</v>
      </c>
      <c r="D654" t="s">
        <v>5770</v>
      </c>
      <c r="E654" s="23">
        <v>42752</v>
      </c>
      <c r="F654" s="23">
        <v>42750</v>
      </c>
      <c r="G654">
        <v>1</v>
      </c>
      <c r="H654">
        <v>2</v>
      </c>
      <c r="I654" t="s">
        <v>5581</v>
      </c>
    </row>
    <row r="655" spans="1:9" x14ac:dyDescent="0.35">
      <c r="A655">
        <v>654</v>
      </c>
      <c r="B655">
        <v>1129</v>
      </c>
      <c r="C655">
        <v>4</v>
      </c>
      <c r="D655" t="s">
        <v>5770</v>
      </c>
      <c r="E655" s="23">
        <v>42750</v>
      </c>
      <c r="F655" s="23">
        <v>42752</v>
      </c>
      <c r="G655">
        <v>2</v>
      </c>
      <c r="H655">
        <v>7</v>
      </c>
      <c r="I655" t="s">
        <v>5581</v>
      </c>
    </row>
    <row r="656" spans="1:9" x14ac:dyDescent="0.35">
      <c r="A656">
        <v>655</v>
      </c>
      <c r="B656">
        <v>347</v>
      </c>
      <c r="C656">
        <v>4</v>
      </c>
      <c r="D656" t="s">
        <v>5771</v>
      </c>
      <c r="E656" s="23">
        <v>42752</v>
      </c>
      <c r="F656" s="23">
        <v>42753</v>
      </c>
      <c r="G656">
        <v>1</v>
      </c>
      <c r="H656">
        <v>3</v>
      </c>
      <c r="I656" t="s">
        <v>5581</v>
      </c>
    </row>
    <row r="657" spans="1:9" x14ac:dyDescent="0.35">
      <c r="A657">
        <v>656</v>
      </c>
      <c r="B657">
        <v>949</v>
      </c>
      <c r="C657">
        <v>4</v>
      </c>
      <c r="D657" t="s">
        <v>5771</v>
      </c>
      <c r="E657" s="23">
        <v>42752</v>
      </c>
      <c r="F657" s="23">
        <v>42753</v>
      </c>
      <c r="G657">
        <v>2</v>
      </c>
      <c r="H657">
        <v>7</v>
      </c>
      <c r="I657" t="s">
        <v>5581</v>
      </c>
    </row>
    <row r="658" spans="1:9" x14ac:dyDescent="0.35">
      <c r="A658">
        <v>657</v>
      </c>
      <c r="B658">
        <v>349</v>
      </c>
      <c r="C658">
        <v>4</v>
      </c>
      <c r="D658" t="s">
        <v>5772</v>
      </c>
      <c r="E658" s="23">
        <v>42754</v>
      </c>
      <c r="F658" s="23">
        <v>42755</v>
      </c>
      <c r="G658">
        <v>1</v>
      </c>
      <c r="H658">
        <v>2</v>
      </c>
      <c r="I658" t="s">
        <v>5581</v>
      </c>
    </row>
    <row r="659" spans="1:9" x14ac:dyDescent="0.35">
      <c r="A659">
        <v>658</v>
      </c>
      <c r="B659">
        <v>1051</v>
      </c>
      <c r="C659">
        <v>4</v>
      </c>
      <c r="D659" t="s">
        <v>5772</v>
      </c>
      <c r="E659" s="23">
        <v>42753</v>
      </c>
      <c r="F659" s="23">
        <v>42753</v>
      </c>
      <c r="G659">
        <v>2</v>
      </c>
      <c r="H659">
        <v>7</v>
      </c>
      <c r="I659" t="s">
        <v>5581</v>
      </c>
    </row>
    <row r="660" spans="1:9" x14ac:dyDescent="0.35">
      <c r="A660">
        <v>659</v>
      </c>
      <c r="B660">
        <v>1391</v>
      </c>
      <c r="C660">
        <v>4</v>
      </c>
      <c r="D660" t="s">
        <v>5772</v>
      </c>
      <c r="E660" s="23">
        <v>42754</v>
      </c>
      <c r="F660" s="23">
        <v>42753</v>
      </c>
      <c r="G660">
        <v>2</v>
      </c>
      <c r="H660">
        <v>7</v>
      </c>
      <c r="I660" t="s">
        <v>5581</v>
      </c>
    </row>
    <row r="661" spans="1:9" x14ac:dyDescent="0.35">
      <c r="A661">
        <v>660</v>
      </c>
      <c r="B661">
        <v>383</v>
      </c>
      <c r="C661">
        <v>4</v>
      </c>
      <c r="D661" t="s">
        <v>5773</v>
      </c>
      <c r="E661" s="23">
        <v>42754</v>
      </c>
      <c r="F661" s="23">
        <v>42754</v>
      </c>
      <c r="G661">
        <v>2</v>
      </c>
      <c r="H661">
        <v>7</v>
      </c>
      <c r="I661" t="s">
        <v>5581</v>
      </c>
    </row>
    <row r="662" spans="1:9" x14ac:dyDescent="0.35">
      <c r="A662">
        <v>661</v>
      </c>
      <c r="B662">
        <v>626</v>
      </c>
      <c r="C662">
        <v>4</v>
      </c>
      <c r="D662" t="s">
        <v>5773</v>
      </c>
      <c r="E662" s="23">
        <v>42754</v>
      </c>
      <c r="F662" s="23">
        <v>42755</v>
      </c>
      <c r="G662">
        <v>2</v>
      </c>
      <c r="H662">
        <v>6</v>
      </c>
      <c r="I662" t="s">
        <v>5581</v>
      </c>
    </row>
    <row r="663" spans="1:9" x14ac:dyDescent="0.35">
      <c r="A663">
        <v>662</v>
      </c>
      <c r="B663">
        <v>1125</v>
      </c>
      <c r="C663">
        <v>4</v>
      </c>
      <c r="D663" t="s">
        <v>5774</v>
      </c>
      <c r="E663" s="23">
        <v>42755</v>
      </c>
      <c r="F663" s="23">
        <v>42755</v>
      </c>
      <c r="G663">
        <v>1</v>
      </c>
      <c r="H663">
        <v>3</v>
      </c>
      <c r="I663" t="s">
        <v>5581</v>
      </c>
    </row>
    <row r="664" spans="1:9" x14ac:dyDescent="0.35">
      <c r="A664">
        <v>663</v>
      </c>
      <c r="B664">
        <v>344</v>
      </c>
      <c r="C664">
        <v>4</v>
      </c>
      <c r="D664" t="s">
        <v>5775</v>
      </c>
      <c r="E664" s="23">
        <v>42757</v>
      </c>
      <c r="F664" s="23">
        <v>42758</v>
      </c>
      <c r="G664">
        <v>1</v>
      </c>
      <c r="H664">
        <v>3</v>
      </c>
      <c r="I664" t="s">
        <v>5581</v>
      </c>
    </row>
    <row r="665" spans="1:9" x14ac:dyDescent="0.35">
      <c r="A665">
        <v>664</v>
      </c>
      <c r="B665">
        <v>681</v>
      </c>
      <c r="C665">
        <v>4</v>
      </c>
      <c r="D665" t="s">
        <v>5775</v>
      </c>
      <c r="E665" s="23">
        <v>42758</v>
      </c>
      <c r="F665" s="23">
        <v>42757</v>
      </c>
      <c r="G665">
        <v>2</v>
      </c>
      <c r="H665">
        <v>7</v>
      </c>
      <c r="I665" t="s">
        <v>5581</v>
      </c>
    </row>
    <row r="666" spans="1:9" x14ac:dyDescent="0.35">
      <c r="A666">
        <v>665</v>
      </c>
      <c r="B666">
        <v>29</v>
      </c>
      <c r="C666">
        <v>4</v>
      </c>
      <c r="D666" t="s">
        <v>5776</v>
      </c>
      <c r="E666" s="23">
        <v>42757</v>
      </c>
      <c r="F666" s="23">
        <v>42758</v>
      </c>
      <c r="G666">
        <v>2</v>
      </c>
      <c r="H666">
        <v>6</v>
      </c>
      <c r="I666" t="s">
        <v>5581</v>
      </c>
    </row>
    <row r="667" spans="1:9" x14ac:dyDescent="0.35">
      <c r="A667">
        <v>666</v>
      </c>
      <c r="B667">
        <v>770</v>
      </c>
      <c r="C667">
        <v>4</v>
      </c>
      <c r="D667" t="s">
        <v>5776</v>
      </c>
      <c r="E667" s="23">
        <v>42757</v>
      </c>
      <c r="F667" s="23">
        <v>42759</v>
      </c>
      <c r="G667">
        <v>2</v>
      </c>
      <c r="H667">
        <v>7</v>
      </c>
      <c r="I667" t="s">
        <v>5581</v>
      </c>
    </row>
    <row r="668" spans="1:9" x14ac:dyDescent="0.35">
      <c r="A668">
        <v>667</v>
      </c>
      <c r="B668">
        <v>858</v>
      </c>
      <c r="C668">
        <v>4</v>
      </c>
      <c r="D668" t="s">
        <v>5777</v>
      </c>
      <c r="E668" s="23">
        <v>42759</v>
      </c>
      <c r="F668" s="23">
        <v>42760</v>
      </c>
      <c r="G668">
        <v>2</v>
      </c>
      <c r="H668">
        <v>7</v>
      </c>
      <c r="I668" t="s">
        <v>5581</v>
      </c>
    </row>
    <row r="669" spans="1:9" x14ac:dyDescent="0.35">
      <c r="A669">
        <v>668</v>
      </c>
      <c r="B669">
        <v>297</v>
      </c>
      <c r="C669">
        <v>4</v>
      </c>
      <c r="D669" t="s">
        <v>5777</v>
      </c>
      <c r="E669" s="23">
        <v>42758</v>
      </c>
      <c r="F669" s="23">
        <v>42759</v>
      </c>
      <c r="G669">
        <v>3</v>
      </c>
      <c r="H669">
        <v>8</v>
      </c>
      <c r="I669" t="s">
        <v>5581</v>
      </c>
    </row>
    <row r="670" spans="1:9" x14ac:dyDescent="0.35">
      <c r="A670">
        <v>669</v>
      </c>
      <c r="B670">
        <v>745</v>
      </c>
      <c r="C670">
        <v>4</v>
      </c>
      <c r="D670" t="s">
        <v>5778</v>
      </c>
      <c r="E670" s="23">
        <v>42759</v>
      </c>
      <c r="F670" s="23">
        <v>42761</v>
      </c>
      <c r="G670">
        <v>2</v>
      </c>
      <c r="H670">
        <v>7</v>
      </c>
      <c r="I670" t="s">
        <v>5581</v>
      </c>
    </row>
    <row r="671" spans="1:9" x14ac:dyDescent="0.35">
      <c r="A671">
        <v>670</v>
      </c>
      <c r="B671">
        <v>361</v>
      </c>
      <c r="C671">
        <v>4</v>
      </c>
      <c r="D671" t="s">
        <v>5779</v>
      </c>
      <c r="E671" s="23">
        <v>42760</v>
      </c>
      <c r="F671" s="23">
        <v>42760</v>
      </c>
      <c r="G671">
        <v>2</v>
      </c>
      <c r="H671">
        <v>6</v>
      </c>
      <c r="I671" t="s">
        <v>5581</v>
      </c>
    </row>
    <row r="672" spans="1:9" x14ac:dyDescent="0.35">
      <c r="A672">
        <v>671</v>
      </c>
      <c r="B672">
        <v>922</v>
      </c>
      <c r="C672">
        <v>4</v>
      </c>
      <c r="D672" t="s">
        <v>5780</v>
      </c>
      <c r="E672" s="23">
        <v>42763</v>
      </c>
      <c r="F672" s="23">
        <v>42761</v>
      </c>
      <c r="G672">
        <v>2</v>
      </c>
      <c r="H672">
        <v>7</v>
      </c>
      <c r="I672" t="s">
        <v>5581</v>
      </c>
    </row>
    <row r="673" spans="1:9" x14ac:dyDescent="0.35">
      <c r="A673">
        <v>672</v>
      </c>
      <c r="B673">
        <v>908</v>
      </c>
      <c r="C673">
        <v>4</v>
      </c>
      <c r="D673" t="s">
        <v>5781</v>
      </c>
      <c r="E673" s="23">
        <v>42764</v>
      </c>
      <c r="F673" s="23">
        <v>42764</v>
      </c>
      <c r="G673">
        <v>2</v>
      </c>
      <c r="H673">
        <v>6</v>
      </c>
      <c r="I673" t="s">
        <v>5581</v>
      </c>
    </row>
    <row r="674" spans="1:9" x14ac:dyDescent="0.35">
      <c r="A674">
        <v>673</v>
      </c>
      <c r="B674">
        <v>64</v>
      </c>
      <c r="C674">
        <v>4</v>
      </c>
      <c r="D674" t="s">
        <v>5781</v>
      </c>
      <c r="E674" s="23">
        <v>42763</v>
      </c>
      <c r="F674" s="23">
        <v>42762</v>
      </c>
      <c r="G674">
        <v>3</v>
      </c>
      <c r="H674">
        <v>9</v>
      </c>
      <c r="I674" t="s">
        <v>5581</v>
      </c>
    </row>
    <row r="675" spans="1:9" x14ac:dyDescent="0.35">
      <c r="A675">
        <v>674</v>
      </c>
      <c r="B675">
        <v>733</v>
      </c>
      <c r="C675">
        <v>4</v>
      </c>
      <c r="D675" t="s">
        <v>5782</v>
      </c>
      <c r="E675" s="23">
        <v>42763</v>
      </c>
      <c r="F675" s="23">
        <v>42764</v>
      </c>
      <c r="G675">
        <v>2</v>
      </c>
      <c r="H675">
        <v>6</v>
      </c>
      <c r="I675" t="s">
        <v>5581</v>
      </c>
    </row>
    <row r="676" spans="1:9" x14ac:dyDescent="0.35">
      <c r="A676">
        <v>675</v>
      </c>
      <c r="B676">
        <v>291</v>
      </c>
      <c r="C676">
        <v>4</v>
      </c>
      <c r="D676" t="s">
        <v>5783</v>
      </c>
      <c r="E676" s="23">
        <v>42766</v>
      </c>
      <c r="F676" s="23">
        <v>42765</v>
      </c>
      <c r="G676">
        <v>2</v>
      </c>
      <c r="H676">
        <v>7</v>
      </c>
      <c r="I676" t="s">
        <v>5581</v>
      </c>
    </row>
    <row r="677" spans="1:9" x14ac:dyDescent="0.35">
      <c r="A677">
        <v>676</v>
      </c>
      <c r="B677">
        <v>790</v>
      </c>
      <c r="C677">
        <v>4</v>
      </c>
      <c r="D677" t="s">
        <v>5783</v>
      </c>
      <c r="E677" s="23">
        <v>42765</v>
      </c>
      <c r="F677" s="23">
        <v>42766</v>
      </c>
      <c r="G677">
        <v>2</v>
      </c>
      <c r="H677">
        <v>7</v>
      </c>
      <c r="I677" t="s">
        <v>5581</v>
      </c>
    </row>
    <row r="678" spans="1:9" x14ac:dyDescent="0.35">
      <c r="A678">
        <v>677</v>
      </c>
      <c r="B678">
        <v>809</v>
      </c>
      <c r="C678">
        <v>4</v>
      </c>
      <c r="D678" t="s">
        <v>5783</v>
      </c>
      <c r="E678" s="23">
        <v>42766</v>
      </c>
      <c r="F678" s="23">
        <v>42765</v>
      </c>
      <c r="G678">
        <v>2</v>
      </c>
      <c r="H678">
        <v>7</v>
      </c>
      <c r="I678" t="s">
        <v>5581</v>
      </c>
    </row>
    <row r="679" spans="1:9" x14ac:dyDescent="0.35">
      <c r="A679">
        <v>678</v>
      </c>
      <c r="B679">
        <v>250</v>
      </c>
      <c r="C679">
        <v>4</v>
      </c>
      <c r="D679" t="s">
        <v>5783</v>
      </c>
      <c r="E679" s="23">
        <v>42764</v>
      </c>
      <c r="F679" s="23">
        <v>42766</v>
      </c>
      <c r="G679">
        <v>3</v>
      </c>
      <c r="H679">
        <v>9</v>
      </c>
      <c r="I679" t="s">
        <v>5581</v>
      </c>
    </row>
    <row r="680" spans="1:9" x14ac:dyDescent="0.35">
      <c r="A680">
        <v>679</v>
      </c>
      <c r="B680">
        <v>81</v>
      </c>
      <c r="C680">
        <v>4</v>
      </c>
      <c r="D680" t="s">
        <v>5784</v>
      </c>
      <c r="E680" s="23">
        <v>42765</v>
      </c>
      <c r="F680" s="23">
        <v>42765</v>
      </c>
      <c r="G680">
        <v>1</v>
      </c>
      <c r="H680">
        <v>3</v>
      </c>
      <c r="I680" t="s">
        <v>5581</v>
      </c>
    </row>
    <row r="681" spans="1:9" x14ac:dyDescent="0.35">
      <c r="A681">
        <v>680</v>
      </c>
      <c r="B681">
        <v>245</v>
      </c>
      <c r="C681">
        <v>4</v>
      </c>
      <c r="D681" t="s">
        <v>5784</v>
      </c>
      <c r="E681" s="23">
        <v>42767</v>
      </c>
      <c r="F681" s="23">
        <v>42765</v>
      </c>
      <c r="G681">
        <v>1</v>
      </c>
      <c r="H681">
        <v>3</v>
      </c>
      <c r="I681" t="s">
        <v>5581</v>
      </c>
    </row>
    <row r="682" spans="1:9" x14ac:dyDescent="0.35">
      <c r="A682">
        <v>681</v>
      </c>
      <c r="B682">
        <v>499</v>
      </c>
      <c r="C682">
        <v>4</v>
      </c>
      <c r="D682" t="s">
        <v>5784</v>
      </c>
      <c r="E682" s="23">
        <v>42767</v>
      </c>
      <c r="F682" s="23">
        <v>42766</v>
      </c>
      <c r="G682">
        <v>2</v>
      </c>
      <c r="H682">
        <v>7</v>
      </c>
      <c r="I682" t="s">
        <v>5581</v>
      </c>
    </row>
    <row r="683" spans="1:9" x14ac:dyDescent="0.35">
      <c r="A683">
        <v>682</v>
      </c>
      <c r="B683">
        <v>614</v>
      </c>
      <c r="C683">
        <v>4</v>
      </c>
      <c r="D683" t="s">
        <v>5784</v>
      </c>
      <c r="E683" s="23">
        <v>42765</v>
      </c>
      <c r="F683" s="23">
        <v>42765</v>
      </c>
      <c r="G683">
        <v>2</v>
      </c>
      <c r="H683">
        <v>6</v>
      </c>
      <c r="I683" t="s">
        <v>5581</v>
      </c>
    </row>
    <row r="684" spans="1:9" x14ac:dyDescent="0.35">
      <c r="A684">
        <v>683</v>
      </c>
      <c r="B684">
        <v>741</v>
      </c>
      <c r="C684">
        <v>4</v>
      </c>
      <c r="D684" t="s">
        <v>5784</v>
      </c>
      <c r="E684" s="23">
        <v>42766</v>
      </c>
      <c r="F684" s="23">
        <v>42767</v>
      </c>
      <c r="G684">
        <v>2</v>
      </c>
      <c r="H684">
        <v>6</v>
      </c>
      <c r="I684" t="s">
        <v>5581</v>
      </c>
    </row>
    <row r="685" spans="1:9" x14ac:dyDescent="0.35">
      <c r="A685">
        <v>684</v>
      </c>
      <c r="B685">
        <v>762</v>
      </c>
      <c r="C685">
        <v>4</v>
      </c>
      <c r="D685" t="s">
        <v>5785</v>
      </c>
      <c r="E685" s="23">
        <v>42767</v>
      </c>
      <c r="F685" s="23">
        <v>42768</v>
      </c>
      <c r="G685">
        <v>2</v>
      </c>
      <c r="H685">
        <v>6</v>
      </c>
      <c r="I685" t="s">
        <v>5581</v>
      </c>
    </row>
    <row r="686" spans="1:9" x14ac:dyDescent="0.35">
      <c r="A686">
        <v>685</v>
      </c>
      <c r="B686">
        <v>976</v>
      </c>
      <c r="C686">
        <v>4</v>
      </c>
      <c r="D686" t="s">
        <v>5785</v>
      </c>
      <c r="E686" s="23">
        <v>42769</v>
      </c>
      <c r="F686" s="23">
        <v>42768</v>
      </c>
      <c r="G686">
        <v>2</v>
      </c>
      <c r="H686">
        <v>7</v>
      </c>
      <c r="I686" t="s">
        <v>5581</v>
      </c>
    </row>
    <row r="687" spans="1:9" x14ac:dyDescent="0.35">
      <c r="A687">
        <v>686</v>
      </c>
      <c r="B687">
        <v>380</v>
      </c>
      <c r="C687">
        <v>4</v>
      </c>
      <c r="D687" s="23">
        <v>42737</v>
      </c>
      <c r="E687" s="23">
        <v>42769</v>
      </c>
      <c r="F687" s="23">
        <v>42770</v>
      </c>
      <c r="G687">
        <v>2</v>
      </c>
      <c r="H687">
        <v>7</v>
      </c>
      <c r="I687" t="s">
        <v>5581</v>
      </c>
    </row>
    <row r="688" spans="1:9" x14ac:dyDescent="0.35">
      <c r="A688">
        <v>687</v>
      </c>
      <c r="B688">
        <v>530</v>
      </c>
      <c r="C688">
        <v>4</v>
      </c>
      <c r="D688" s="23">
        <v>42768</v>
      </c>
      <c r="E688" s="23">
        <v>42771</v>
      </c>
      <c r="F688" s="23">
        <v>42770</v>
      </c>
      <c r="G688">
        <v>1</v>
      </c>
      <c r="H688">
        <v>3</v>
      </c>
      <c r="I688" t="s">
        <v>5581</v>
      </c>
    </row>
    <row r="689" spans="1:9" x14ac:dyDescent="0.35">
      <c r="A689">
        <v>688</v>
      </c>
      <c r="B689">
        <v>343</v>
      </c>
      <c r="C689">
        <v>4</v>
      </c>
      <c r="D689" s="23">
        <v>42768</v>
      </c>
      <c r="E689" s="23">
        <v>42769</v>
      </c>
      <c r="F689" s="23">
        <v>42771</v>
      </c>
      <c r="G689">
        <v>2</v>
      </c>
      <c r="H689">
        <v>7</v>
      </c>
      <c r="I689" t="s">
        <v>5581</v>
      </c>
    </row>
    <row r="690" spans="1:9" x14ac:dyDescent="0.35">
      <c r="A690">
        <v>689</v>
      </c>
      <c r="B690">
        <v>884</v>
      </c>
      <c r="C690">
        <v>4</v>
      </c>
      <c r="D690" s="23">
        <v>42768</v>
      </c>
      <c r="E690" s="23">
        <v>42769</v>
      </c>
      <c r="F690" s="23">
        <v>42771</v>
      </c>
      <c r="G690">
        <v>2</v>
      </c>
      <c r="H690">
        <v>7</v>
      </c>
      <c r="I690" t="s">
        <v>5581</v>
      </c>
    </row>
    <row r="691" spans="1:9" x14ac:dyDescent="0.35">
      <c r="A691">
        <v>690</v>
      </c>
      <c r="B691">
        <v>1097</v>
      </c>
      <c r="C691">
        <v>4</v>
      </c>
      <c r="D691" s="23">
        <v>42796</v>
      </c>
      <c r="E691" s="23">
        <v>42770</v>
      </c>
      <c r="F691" s="23">
        <v>42772</v>
      </c>
      <c r="G691">
        <v>1</v>
      </c>
      <c r="H691">
        <v>2</v>
      </c>
      <c r="I691" t="s">
        <v>5581</v>
      </c>
    </row>
    <row r="692" spans="1:9" x14ac:dyDescent="0.35">
      <c r="A692">
        <v>691</v>
      </c>
      <c r="B692">
        <v>1081</v>
      </c>
      <c r="C692">
        <v>4</v>
      </c>
      <c r="D692" s="23">
        <v>42827</v>
      </c>
      <c r="E692" s="23">
        <v>42772</v>
      </c>
      <c r="F692" s="23">
        <v>42772</v>
      </c>
      <c r="G692">
        <v>2</v>
      </c>
      <c r="H692">
        <v>7</v>
      </c>
      <c r="I692" t="s">
        <v>5581</v>
      </c>
    </row>
    <row r="693" spans="1:9" x14ac:dyDescent="0.35">
      <c r="A693">
        <v>692</v>
      </c>
      <c r="B693">
        <v>2</v>
      </c>
      <c r="C693">
        <v>3</v>
      </c>
      <c r="D693" s="23">
        <v>42857</v>
      </c>
      <c r="E693" s="23">
        <v>42771</v>
      </c>
      <c r="F693" t="s">
        <v>5597</v>
      </c>
      <c r="G693">
        <v>1</v>
      </c>
      <c r="H693">
        <v>3</v>
      </c>
      <c r="I693" t="s">
        <v>5598</v>
      </c>
    </row>
    <row r="694" spans="1:9" x14ac:dyDescent="0.35">
      <c r="A694">
        <v>693</v>
      </c>
      <c r="B694">
        <v>1233</v>
      </c>
      <c r="C694">
        <v>4</v>
      </c>
      <c r="D694" s="23">
        <v>42857</v>
      </c>
      <c r="E694" s="23">
        <v>42773</v>
      </c>
      <c r="F694" s="23">
        <v>42772</v>
      </c>
      <c r="G694">
        <v>1</v>
      </c>
      <c r="H694">
        <v>3</v>
      </c>
      <c r="I694" t="s">
        <v>5581</v>
      </c>
    </row>
    <row r="695" spans="1:9" x14ac:dyDescent="0.35">
      <c r="A695">
        <v>694</v>
      </c>
      <c r="B695">
        <v>58</v>
      </c>
      <c r="C695">
        <v>4</v>
      </c>
      <c r="D695" s="23">
        <v>42857</v>
      </c>
      <c r="E695" s="23">
        <v>42772</v>
      </c>
      <c r="F695" s="23">
        <v>42774</v>
      </c>
      <c r="G695">
        <v>2</v>
      </c>
      <c r="H695">
        <v>7</v>
      </c>
      <c r="I695" t="s">
        <v>5581</v>
      </c>
    </row>
    <row r="696" spans="1:9" x14ac:dyDescent="0.35">
      <c r="A696">
        <v>695</v>
      </c>
      <c r="B696">
        <v>606</v>
      </c>
      <c r="C696">
        <v>4</v>
      </c>
      <c r="D696" s="23">
        <v>42857</v>
      </c>
      <c r="E696" s="23">
        <v>42774</v>
      </c>
      <c r="F696" s="23">
        <v>42773</v>
      </c>
      <c r="G696">
        <v>2</v>
      </c>
      <c r="H696">
        <v>7</v>
      </c>
      <c r="I696" t="s">
        <v>5581</v>
      </c>
    </row>
    <row r="697" spans="1:9" x14ac:dyDescent="0.35">
      <c r="A697">
        <v>696</v>
      </c>
      <c r="B697">
        <v>1242</v>
      </c>
      <c r="C697">
        <v>4</v>
      </c>
      <c r="D697" s="23">
        <v>42857</v>
      </c>
      <c r="E697" s="23">
        <v>42774</v>
      </c>
      <c r="F697" s="23">
        <v>42774</v>
      </c>
      <c r="G697">
        <v>2</v>
      </c>
      <c r="H697">
        <v>7</v>
      </c>
      <c r="I697" t="s">
        <v>5581</v>
      </c>
    </row>
    <row r="698" spans="1:9" x14ac:dyDescent="0.35">
      <c r="A698">
        <v>697</v>
      </c>
      <c r="B698">
        <v>562</v>
      </c>
      <c r="C698">
        <v>4</v>
      </c>
      <c r="D698" s="23">
        <v>42888</v>
      </c>
      <c r="E698" s="23">
        <v>42774</v>
      </c>
      <c r="F698" s="23">
        <v>42775</v>
      </c>
      <c r="G698">
        <v>1</v>
      </c>
      <c r="H698">
        <v>2</v>
      </c>
      <c r="I698" t="s">
        <v>5581</v>
      </c>
    </row>
    <row r="699" spans="1:9" x14ac:dyDescent="0.35">
      <c r="A699">
        <v>698</v>
      </c>
      <c r="B699">
        <v>543</v>
      </c>
      <c r="C699">
        <v>4</v>
      </c>
      <c r="D699" s="23">
        <v>42888</v>
      </c>
      <c r="E699" s="23">
        <v>42774</v>
      </c>
      <c r="F699" s="23">
        <v>42775</v>
      </c>
      <c r="G699">
        <v>3</v>
      </c>
      <c r="H699">
        <v>8</v>
      </c>
      <c r="I699" t="s">
        <v>5581</v>
      </c>
    </row>
    <row r="700" spans="1:9" x14ac:dyDescent="0.35">
      <c r="A700">
        <v>699</v>
      </c>
      <c r="B700">
        <v>958</v>
      </c>
      <c r="C700">
        <v>4</v>
      </c>
      <c r="D700" s="23">
        <v>42888</v>
      </c>
      <c r="E700" s="23">
        <v>42774</v>
      </c>
      <c r="F700" s="23">
        <v>42775</v>
      </c>
      <c r="G700">
        <v>3</v>
      </c>
      <c r="H700">
        <v>9</v>
      </c>
      <c r="I700" t="s">
        <v>5581</v>
      </c>
    </row>
    <row r="701" spans="1:9" x14ac:dyDescent="0.35">
      <c r="A701">
        <v>700</v>
      </c>
      <c r="B701">
        <v>4</v>
      </c>
      <c r="C701">
        <v>4</v>
      </c>
      <c r="D701" s="23">
        <v>42918</v>
      </c>
      <c r="E701" s="23">
        <v>42776</v>
      </c>
      <c r="F701" s="23">
        <v>42774</v>
      </c>
      <c r="G701">
        <v>2</v>
      </c>
      <c r="H701">
        <v>6</v>
      </c>
      <c r="I701" t="s">
        <v>5581</v>
      </c>
    </row>
    <row r="702" spans="1:9" x14ac:dyDescent="0.35">
      <c r="A702">
        <v>701</v>
      </c>
      <c r="B702">
        <v>850</v>
      </c>
      <c r="C702">
        <v>4</v>
      </c>
      <c r="D702" s="23">
        <v>42918</v>
      </c>
      <c r="E702" s="23">
        <v>42774</v>
      </c>
      <c r="F702" s="23">
        <v>42775</v>
      </c>
      <c r="G702">
        <v>3</v>
      </c>
      <c r="H702">
        <v>9</v>
      </c>
      <c r="I702" t="s">
        <v>5581</v>
      </c>
    </row>
    <row r="703" spans="1:9" x14ac:dyDescent="0.35">
      <c r="A703">
        <v>702</v>
      </c>
      <c r="B703">
        <v>1352</v>
      </c>
      <c r="C703">
        <v>4</v>
      </c>
      <c r="D703" s="23">
        <v>42949</v>
      </c>
      <c r="E703" s="23">
        <v>42775</v>
      </c>
      <c r="F703" s="23">
        <v>42777</v>
      </c>
      <c r="G703">
        <v>1</v>
      </c>
      <c r="H703">
        <v>3</v>
      </c>
      <c r="I703" t="s">
        <v>5581</v>
      </c>
    </row>
    <row r="704" spans="1:9" x14ac:dyDescent="0.35">
      <c r="A704">
        <v>703</v>
      </c>
      <c r="B704">
        <v>417</v>
      </c>
      <c r="C704">
        <v>4</v>
      </c>
      <c r="D704" s="23">
        <v>42949</v>
      </c>
      <c r="E704" s="23">
        <v>42775</v>
      </c>
      <c r="F704" s="23">
        <v>42775</v>
      </c>
      <c r="G704">
        <v>2</v>
      </c>
      <c r="H704">
        <v>7</v>
      </c>
      <c r="I704" t="s">
        <v>5581</v>
      </c>
    </row>
    <row r="705" spans="1:9" x14ac:dyDescent="0.35">
      <c r="A705">
        <v>704</v>
      </c>
      <c r="B705">
        <v>1137</v>
      </c>
      <c r="C705">
        <v>4</v>
      </c>
      <c r="D705" s="23">
        <v>42949</v>
      </c>
      <c r="E705" s="23">
        <v>42775</v>
      </c>
      <c r="F705" s="23">
        <v>42777</v>
      </c>
      <c r="G705">
        <v>2</v>
      </c>
      <c r="H705">
        <v>6</v>
      </c>
      <c r="I705" t="s">
        <v>5581</v>
      </c>
    </row>
    <row r="706" spans="1:9" x14ac:dyDescent="0.35">
      <c r="A706">
        <v>705</v>
      </c>
      <c r="B706">
        <v>1196</v>
      </c>
      <c r="C706">
        <v>4</v>
      </c>
      <c r="D706" s="23">
        <v>42949</v>
      </c>
      <c r="E706" s="23">
        <v>42777</v>
      </c>
      <c r="F706" s="23">
        <v>42777</v>
      </c>
      <c r="G706">
        <v>2</v>
      </c>
      <c r="H706">
        <v>7</v>
      </c>
      <c r="I706" t="s">
        <v>5581</v>
      </c>
    </row>
    <row r="707" spans="1:9" x14ac:dyDescent="0.35">
      <c r="A707">
        <v>706</v>
      </c>
      <c r="B707">
        <v>1271</v>
      </c>
      <c r="C707">
        <v>4</v>
      </c>
      <c r="D707" s="23">
        <v>42980</v>
      </c>
      <c r="E707" s="23">
        <v>42778</v>
      </c>
      <c r="F707" s="23">
        <v>42776</v>
      </c>
      <c r="G707">
        <v>1</v>
      </c>
      <c r="H707">
        <v>2</v>
      </c>
      <c r="I707" t="s">
        <v>5581</v>
      </c>
    </row>
    <row r="708" spans="1:9" x14ac:dyDescent="0.35">
      <c r="A708">
        <v>707</v>
      </c>
      <c r="B708">
        <v>79</v>
      </c>
      <c r="C708">
        <v>4</v>
      </c>
      <c r="D708" s="23">
        <v>42980</v>
      </c>
      <c r="E708" s="23">
        <v>42777</v>
      </c>
      <c r="F708" s="23">
        <v>42777</v>
      </c>
      <c r="G708">
        <v>2</v>
      </c>
      <c r="H708">
        <v>7</v>
      </c>
      <c r="I708" t="s">
        <v>5581</v>
      </c>
    </row>
    <row r="709" spans="1:9" x14ac:dyDescent="0.35">
      <c r="A709">
        <v>708</v>
      </c>
      <c r="B709">
        <v>660</v>
      </c>
      <c r="C709">
        <v>4</v>
      </c>
      <c r="D709" s="23">
        <v>43010</v>
      </c>
      <c r="E709" s="23">
        <v>42778</v>
      </c>
      <c r="F709" s="23">
        <v>42777</v>
      </c>
      <c r="G709">
        <v>1</v>
      </c>
      <c r="H709">
        <v>2</v>
      </c>
      <c r="I709" t="s">
        <v>5581</v>
      </c>
    </row>
    <row r="710" spans="1:9" x14ac:dyDescent="0.35">
      <c r="A710">
        <v>709</v>
      </c>
      <c r="B710">
        <v>1162</v>
      </c>
      <c r="C710">
        <v>4</v>
      </c>
      <c r="D710" s="23">
        <v>43041</v>
      </c>
      <c r="E710" s="23">
        <v>42779</v>
      </c>
      <c r="F710" s="23">
        <v>42778</v>
      </c>
      <c r="G710">
        <v>2</v>
      </c>
      <c r="H710">
        <v>6</v>
      </c>
      <c r="I710" t="s">
        <v>5581</v>
      </c>
    </row>
    <row r="711" spans="1:9" x14ac:dyDescent="0.35">
      <c r="A711">
        <v>710</v>
      </c>
      <c r="B711">
        <v>295</v>
      </c>
      <c r="C711">
        <v>4</v>
      </c>
      <c r="D711" t="s">
        <v>5786</v>
      </c>
      <c r="E711" s="23">
        <v>42781</v>
      </c>
      <c r="F711" s="23">
        <v>42782</v>
      </c>
      <c r="G711">
        <v>2</v>
      </c>
      <c r="H711">
        <v>6</v>
      </c>
      <c r="I711" t="s">
        <v>5581</v>
      </c>
    </row>
    <row r="712" spans="1:9" x14ac:dyDescent="0.35">
      <c r="A712">
        <v>711</v>
      </c>
      <c r="B712">
        <v>1246</v>
      </c>
      <c r="C712">
        <v>4</v>
      </c>
      <c r="D712" t="s">
        <v>5786</v>
      </c>
      <c r="E712" s="23">
        <v>42782</v>
      </c>
      <c r="F712" s="23">
        <v>42780</v>
      </c>
      <c r="G712">
        <v>2</v>
      </c>
      <c r="H712">
        <v>6</v>
      </c>
      <c r="I712" t="s">
        <v>5581</v>
      </c>
    </row>
    <row r="713" spans="1:9" x14ac:dyDescent="0.35">
      <c r="A713">
        <v>712</v>
      </c>
      <c r="B713">
        <v>173</v>
      </c>
      <c r="C713">
        <v>4</v>
      </c>
      <c r="D713" t="s">
        <v>5786</v>
      </c>
      <c r="E713" s="23">
        <v>42780</v>
      </c>
      <c r="F713" s="23">
        <v>42782</v>
      </c>
      <c r="G713">
        <v>3</v>
      </c>
      <c r="H713">
        <v>9</v>
      </c>
      <c r="I713" t="s">
        <v>5581</v>
      </c>
    </row>
    <row r="714" spans="1:9" x14ac:dyDescent="0.35">
      <c r="A714">
        <v>713</v>
      </c>
      <c r="B714">
        <v>207</v>
      </c>
      <c r="C714">
        <v>4</v>
      </c>
      <c r="D714" t="s">
        <v>5786</v>
      </c>
      <c r="E714" s="23">
        <v>42780</v>
      </c>
      <c r="F714" s="23">
        <v>42781</v>
      </c>
      <c r="G714">
        <v>3</v>
      </c>
      <c r="H714">
        <v>8</v>
      </c>
      <c r="I714" t="s">
        <v>5581</v>
      </c>
    </row>
    <row r="715" spans="1:9" x14ac:dyDescent="0.35">
      <c r="A715">
        <v>714</v>
      </c>
      <c r="B715">
        <v>805</v>
      </c>
      <c r="C715">
        <v>4</v>
      </c>
      <c r="D715" t="s">
        <v>5787</v>
      </c>
      <c r="E715" s="23">
        <v>42783</v>
      </c>
      <c r="F715" s="23">
        <v>42781</v>
      </c>
      <c r="G715">
        <v>2</v>
      </c>
      <c r="H715">
        <v>7</v>
      </c>
      <c r="I715" t="s">
        <v>5581</v>
      </c>
    </row>
    <row r="716" spans="1:9" x14ac:dyDescent="0.35">
      <c r="A716">
        <v>715</v>
      </c>
      <c r="B716">
        <v>12</v>
      </c>
      <c r="C716">
        <v>3</v>
      </c>
      <c r="D716" t="s">
        <v>5788</v>
      </c>
      <c r="E716" s="23">
        <v>42781</v>
      </c>
      <c r="F716" t="s">
        <v>5597</v>
      </c>
      <c r="G716">
        <v>2</v>
      </c>
      <c r="H716">
        <v>6</v>
      </c>
      <c r="I716" t="s">
        <v>5598</v>
      </c>
    </row>
    <row r="717" spans="1:9" x14ac:dyDescent="0.35">
      <c r="A717">
        <v>716</v>
      </c>
      <c r="B717">
        <v>672</v>
      </c>
      <c r="C717">
        <v>4</v>
      </c>
      <c r="D717" t="s">
        <v>5788</v>
      </c>
      <c r="E717" s="23">
        <v>42783</v>
      </c>
      <c r="F717" s="23">
        <v>42784</v>
      </c>
      <c r="G717">
        <v>2</v>
      </c>
      <c r="H717">
        <v>6</v>
      </c>
      <c r="I717" t="s">
        <v>5581</v>
      </c>
    </row>
    <row r="718" spans="1:9" x14ac:dyDescent="0.35">
      <c r="A718">
        <v>717</v>
      </c>
      <c r="B718">
        <v>1312</v>
      </c>
      <c r="C718">
        <v>4</v>
      </c>
      <c r="D718" t="s">
        <v>5788</v>
      </c>
      <c r="E718" s="23">
        <v>42784</v>
      </c>
      <c r="F718" s="23">
        <v>42783</v>
      </c>
      <c r="G718">
        <v>2</v>
      </c>
      <c r="H718">
        <v>6</v>
      </c>
      <c r="I718" t="s">
        <v>5581</v>
      </c>
    </row>
    <row r="719" spans="1:9" x14ac:dyDescent="0.35">
      <c r="A719">
        <v>718</v>
      </c>
      <c r="B719">
        <v>38</v>
      </c>
      <c r="C719">
        <v>4</v>
      </c>
      <c r="D719" t="s">
        <v>5789</v>
      </c>
      <c r="E719" s="23">
        <v>42783</v>
      </c>
      <c r="F719" s="23">
        <v>42783</v>
      </c>
      <c r="G719">
        <v>2</v>
      </c>
      <c r="H719">
        <v>7</v>
      </c>
      <c r="I719" t="s">
        <v>5581</v>
      </c>
    </row>
    <row r="720" spans="1:9" x14ac:dyDescent="0.35">
      <c r="A720">
        <v>719</v>
      </c>
      <c r="B720">
        <v>200</v>
      </c>
      <c r="C720">
        <v>4</v>
      </c>
      <c r="D720" t="s">
        <v>5789</v>
      </c>
      <c r="E720" s="23">
        <v>42785</v>
      </c>
      <c r="F720" s="23">
        <v>42784</v>
      </c>
      <c r="G720">
        <v>2</v>
      </c>
      <c r="H720">
        <v>6</v>
      </c>
      <c r="I720" t="s">
        <v>5581</v>
      </c>
    </row>
    <row r="721" spans="1:9" x14ac:dyDescent="0.35">
      <c r="A721">
        <v>720</v>
      </c>
      <c r="B721">
        <v>382</v>
      </c>
      <c r="C721">
        <v>4</v>
      </c>
      <c r="D721" t="s">
        <v>5789</v>
      </c>
      <c r="E721" s="23">
        <v>42785</v>
      </c>
      <c r="F721" s="23">
        <v>42785</v>
      </c>
      <c r="G721">
        <v>2</v>
      </c>
      <c r="H721">
        <v>6</v>
      </c>
      <c r="I721" t="s">
        <v>5581</v>
      </c>
    </row>
    <row r="722" spans="1:9" x14ac:dyDescent="0.35">
      <c r="A722">
        <v>721</v>
      </c>
      <c r="B722">
        <v>625</v>
      </c>
      <c r="C722">
        <v>4</v>
      </c>
      <c r="D722" t="s">
        <v>5789</v>
      </c>
      <c r="E722" s="23">
        <v>42785</v>
      </c>
      <c r="F722" s="23">
        <v>42783</v>
      </c>
      <c r="G722">
        <v>2</v>
      </c>
      <c r="H722">
        <v>7</v>
      </c>
      <c r="I722" t="s">
        <v>5581</v>
      </c>
    </row>
    <row r="723" spans="1:9" x14ac:dyDescent="0.35">
      <c r="A723">
        <v>722</v>
      </c>
      <c r="B723">
        <v>1399</v>
      </c>
      <c r="C723">
        <v>4</v>
      </c>
      <c r="D723" t="s">
        <v>5790</v>
      </c>
      <c r="E723" s="23">
        <v>42786</v>
      </c>
      <c r="F723" s="23">
        <v>42787</v>
      </c>
      <c r="G723">
        <v>2</v>
      </c>
      <c r="H723">
        <v>7</v>
      </c>
      <c r="I723" t="s">
        <v>5581</v>
      </c>
    </row>
    <row r="724" spans="1:9" x14ac:dyDescent="0.35">
      <c r="A724">
        <v>723</v>
      </c>
      <c r="B724">
        <v>845</v>
      </c>
      <c r="C724">
        <v>4</v>
      </c>
      <c r="D724" t="s">
        <v>5791</v>
      </c>
      <c r="E724" s="23">
        <v>42787</v>
      </c>
      <c r="F724" s="23">
        <v>42788</v>
      </c>
      <c r="G724">
        <v>2</v>
      </c>
      <c r="H724">
        <v>6</v>
      </c>
      <c r="I724" t="s">
        <v>5581</v>
      </c>
    </row>
    <row r="725" spans="1:9" x14ac:dyDescent="0.35">
      <c r="A725">
        <v>724</v>
      </c>
      <c r="B725">
        <v>864</v>
      </c>
      <c r="C725">
        <v>4</v>
      </c>
      <c r="D725" t="s">
        <v>5791</v>
      </c>
      <c r="E725" s="23">
        <v>42788</v>
      </c>
      <c r="F725" s="23">
        <v>42787</v>
      </c>
      <c r="G725">
        <v>2</v>
      </c>
      <c r="H725">
        <v>6</v>
      </c>
      <c r="I725" t="s">
        <v>5581</v>
      </c>
    </row>
    <row r="726" spans="1:9" x14ac:dyDescent="0.35">
      <c r="A726">
        <v>725</v>
      </c>
      <c r="B726">
        <v>870</v>
      </c>
      <c r="C726">
        <v>4</v>
      </c>
      <c r="D726" t="s">
        <v>5791</v>
      </c>
      <c r="E726" s="23">
        <v>42788</v>
      </c>
      <c r="F726" s="23">
        <v>42788</v>
      </c>
      <c r="G726">
        <v>2</v>
      </c>
      <c r="H726">
        <v>7</v>
      </c>
      <c r="I726" t="s">
        <v>5581</v>
      </c>
    </row>
    <row r="727" spans="1:9" x14ac:dyDescent="0.35">
      <c r="A727">
        <v>726</v>
      </c>
      <c r="B727">
        <v>969</v>
      </c>
      <c r="C727">
        <v>4</v>
      </c>
      <c r="D727" t="s">
        <v>5791</v>
      </c>
      <c r="E727" s="23">
        <v>42788</v>
      </c>
      <c r="F727" s="23">
        <v>42786</v>
      </c>
      <c r="G727">
        <v>2</v>
      </c>
      <c r="H727">
        <v>6</v>
      </c>
      <c r="I727" t="s">
        <v>5581</v>
      </c>
    </row>
    <row r="728" spans="1:9" x14ac:dyDescent="0.35">
      <c r="A728">
        <v>727</v>
      </c>
      <c r="B728">
        <v>962</v>
      </c>
      <c r="C728">
        <v>4</v>
      </c>
      <c r="D728" t="s">
        <v>5791</v>
      </c>
      <c r="E728" s="23">
        <v>42788</v>
      </c>
      <c r="F728" s="23">
        <v>42787</v>
      </c>
      <c r="G728">
        <v>3</v>
      </c>
      <c r="H728">
        <v>9</v>
      </c>
      <c r="I728" t="s">
        <v>5581</v>
      </c>
    </row>
    <row r="729" spans="1:9" x14ac:dyDescent="0.35">
      <c r="A729">
        <v>728</v>
      </c>
      <c r="B729">
        <v>1138</v>
      </c>
      <c r="C729">
        <v>4</v>
      </c>
      <c r="D729" t="s">
        <v>5792</v>
      </c>
      <c r="E729" s="23">
        <v>42787</v>
      </c>
      <c r="F729" s="23">
        <v>42789</v>
      </c>
      <c r="G729">
        <v>1</v>
      </c>
      <c r="H729">
        <v>3</v>
      </c>
      <c r="I729" t="s">
        <v>5581</v>
      </c>
    </row>
    <row r="730" spans="1:9" x14ac:dyDescent="0.35">
      <c r="A730">
        <v>729</v>
      </c>
      <c r="B730">
        <v>897</v>
      </c>
      <c r="C730">
        <v>4</v>
      </c>
      <c r="D730" t="s">
        <v>5792</v>
      </c>
      <c r="E730" s="23">
        <v>42788</v>
      </c>
      <c r="F730" s="23">
        <v>42787</v>
      </c>
      <c r="G730">
        <v>2</v>
      </c>
      <c r="H730">
        <v>7</v>
      </c>
      <c r="I730" t="s">
        <v>5581</v>
      </c>
    </row>
    <row r="731" spans="1:9" x14ac:dyDescent="0.35">
      <c r="A731">
        <v>730</v>
      </c>
      <c r="B731">
        <v>500</v>
      </c>
      <c r="C731">
        <v>4</v>
      </c>
      <c r="D731" t="s">
        <v>5793</v>
      </c>
      <c r="E731" s="23">
        <v>42790</v>
      </c>
      <c r="F731" s="23">
        <v>42788</v>
      </c>
      <c r="G731">
        <v>2</v>
      </c>
      <c r="H731">
        <v>6</v>
      </c>
      <c r="I731" t="s">
        <v>5581</v>
      </c>
    </row>
    <row r="732" spans="1:9" x14ac:dyDescent="0.35">
      <c r="A732">
        <v>731</v>
      </c>
      <c r="B732">
        <v>910</v>
      </c>
      <c r="C732">
        <v>4</v>
      </c>
      <c r="D732" t="s">
        <v>5794</v>
      </c>
      <c r="E732" s="23">
        <v>42793</v>
      </c>
      <c r="F732" s="23">
        <v>42793</v>
      </c>
      <c r="G732">
        <v>3</v>
      </c>
      <c r="H732">
        <v>9</v>
      </c>
      <c r="I732" t="s">
        <v>5581</v>
      </c>
    </row>
    <row r="733" spans="1:9" x14ac:dyDescent="0.35">
      <c r="A733">
        <v>732</v>
      </c>
      <c r="B733">
        <v>147</v>
      </c>
      <c r="C733">
        <v>4</v>
      </c>
      <c r="D733" t="s">
        <v>5795</v>
      </c>
      <c r="E733" s="23">
        <v>42793</v>
      </c>
      <c r="F733" s="23">
        <v>42795</v>
      </c>
      <c r="G733">
        <v>2</v>
      </c>
      <c r="H733">
        <v>7</v>
      </c>
      <c r="I733" t="s">
        <v>5581</v>
      </c>
    </row>
    <row r="734" spans="1:9" x14ac:dyDescent="0.35">
      <c r="A734">
        <v>733</v>
      </c>
      <c r="B734">
        <v>832</v>
      </c>
      <c r="C734">
        <v>4</v>
      </c>
      <c r="D734" t="s">
        <v>5795</v>
      </c>
      <c r="E734" s="23">
        <v>42795</v>
      </c>
      <c r="F734" s="23">
        <v>42793</v>
      </c>
      <c r="G734">
        <v>2</v>
      </c>
      <c r="H734">
        <v>7</v>
      </c>
      <c r="I734" t="s">
        <v>5581</v>
      </c>
    </row>
    <row r="735" spans="1:9" x14ac:dyDescent="0.35">
      <c r="A735">
        <v>734</v>
      </c>
      <c r="B735">
        <v>939</v>
      </c>
      <c r="C735">
        <v>4</v>
      </c>
      <c r="D735" t="s">
        <v>5795</v>
      </c>
      <c r="E735" s="23">
        <v>42794</v>
      </c>
      <c r="F735" s="23">
        <v>42795</v>
      </c>
      <c r="G735">
        <v>3</v>
      </c>
      <c r="H735">
        <v>9</v>
      </c>
      <c r="I735" t="s">
        <v>5581</v>
      </c>
    </row>
    <row r="736" spans="1:9" x14ac:dyDescent="0.35">
      <c r="A736">
        <v>735</v>
      </c>
      <c r="B736">
        <v>20</v>
      </c>
      <c r="C736">
        <v>3</v>
      </c>
      <c r="D736" t="s">
        <v>5796</v>
      </c>
      <c r="E736" s="23">
        <v>42793</v>
      </c>
      <c r="F736" t="s">
        <v>5597</v>
      </c>
      <c r="G736">
        <v>3</v>
      </c>
      <c r="H736">
        <v>9</v>
      </c>
      <c r="I736" t="s">
        <v>5598</v>
      </c>
    </row>
    <row r="737" spans="1:9" x14ac:dyDescent="0.35">
      <c r="A737">
        <v>736</v>
      </c>
      <c r="B737">
        <v>184</v>
      </c>
      <c r="C737">
        <v>4</v>
      </c>
      <c r="D737" t="s">
        <v>5796</v>
      </c>
      <c r="E737" s="23">
        <v>42794</v>
      </c>
      <c r="F737" s="23">
        <v>42794</v>
      </c>
      <c r="G737">
        <v>2</v>
      </c>
      <c r="H737">
        <v>7</v>
      </c>
      <c r="I737" t="s">
        <v>5581</v>
      </c>
    </row>
    <row r="738" spans="1:9" x14ac:dyDescent="0.35">
      <c r="A738">
        <v>737</v>
      </c>
      <c r="B738">
        <v>694</v>
      </c>
      <c r="C738">
        <v>4</v>
      </c>
      <c r="D738" t="s">
        <v>5796</v>
      </c>
      <c r="E738" s="23">
        <v>42795</v>
      </c>
      <c r="F738" s="23">
        <v>42794</v>
      </c>
      <c r="G738">
        <v>2</v>
      </c>
      <c r="H738">
        <v>6</v>
      </c>
      <c r="I738" t="s">
        <v>5581</v>
      </c>
    </row>
    <row r="739" spans="1:9" x14ac:dyDescent="0.35">
      <c r="A739">
        <v>738</v>
      </c>
      <c r="B739">
        <v>124</v>
      </c>
      <c r="C739">
        <v>4</v>
      </c>
      <c r="D739" t="s">
        <v>5797</v>
      </c>
      <c r="E739" s="23">
        <v>42795</v>
      </c>
      <c r="F739" s="23">
        <v>42797</v>
      </c>
      <c r="G739">
        <v>1</v>
      </c>
      <c r="H739">
        <v>2</v>
      </c>
      <c r="I739" t="s">
        <v>5581</v>
      </c>
    </row>
    <row r="740" spans="1:9" x14ac:dyDescent="0.35">
      <c r="A740">
        <v>739</v>
      </c>
      <c r="B740">
        <v>49</v>
      </c>
      <c r="C740">
        <v>4</v>
      </c>
      <c r="D740" t="s">
        <v>5797</v>
      </c>
      <c r="E740" s="23">
        <v>42795</v>
      </c>
      <c r="F740" s="23">
        <v>42796</v>
      </c>
      <c r="G740">
        <v>2</v>
      </c>
      <c r="H740">
        <v>6</v>
      </c>
      <c r="I740" t="s">
        <v>5581</v>
      </c>
    </row>
    <row r="741" spans="1:9" x14ac:dyDescent="0.35">
      <c r="A741">
        <v>740</v>
      </c>
      <c r="B741">
        <v>1113</v>
      </c>
      <c r="C741">
        <v>4</v>
      </c>
      <c r="D741" t="s">
        <v>5797</v>
      </c>
      <c r="E741" s="23">
        <v>42795</v>
      </c>
      <c r="F741" s="23">
        <v>42796</v>
      </c>
      <c r="G741">
        <v>2</v>
      </c>
      <c r="H741">
        <v>6</v>
      </c>
      <c r="I741" t="s">
        <v>5581</v>
      </c>
    </row>
    <row r="742" spans="1:9" x14ac:dyDescent="0.35">
      <c r="A742">
        <v>741</v>
      </c>
      <c r="B742">
        <v>119</v>
      </c>
      <c r="C742">
        <v>4</v>
      </c>
      <c r="D742" t="s">
        <v>5797</v>
      </c>
      <c r="E742" s="23">
        <v>42795</v>
      </c>
      <c r="F742" s="23">
        <v>42795</v>
      </c>
      <c r="G742">
        <v>3</v>
      </c>
      <c r="H742">
        <v>8</v>
      </c>
      <c r="I742" t="s">
        <v>5581</v>
      </c>
    </row>
    <row r="743" spans="1:9" x14ac:dyDescent="0.35">
      <c r="A743">
        <v>742</v>
      </c>
      <c r="B743">
        <v>433</v>
      </c>
      <c r="C743">
        <v>4</v>
      </c>
      <c r="D743" t="s">
        <v>5797</v>
      </c>
      <c r="E743" s="23">
        <v>42795</v>
      </c>
      <c r="F743" s="23">
        <v>42795</v>
      </c>
      <c r="G743">
        <v>3</v>
      </c>
      <c r="H743">
        <v>9</v>
      </c>
      <c r="I743" t="s">
        <v>5581</v>
      </c>
    </row>
    <row r="744" spans="1:9" x14ac:dyDescent="0.35">
      <c r="A744">
        <v>743</v>
      </c>
      <c r="B744">
        <v>137</v>
      </c>
      <c r="C744">
        <v>4</v>
      </c>
      <c r="D744" s="23">
        <v>42738</v>
      </c>
      <c r="E744" s="23">
        <v>42798</v>
      </c>
      <c r="F744" s="23">
        <v>42798</v>
      </c>
      <c r="G744">
        <v>2</v>
      </c>
      <c r="H744">
        <v>6</v>
      </c>
      <c r="I744" t="s">
        <v>5581</v>
      </c>
    </row>
    <row r="745" spans="1:9" x14ac:dyDescent="0.35">
      <c r="A745">
        <v>744</v>
      </c>
      <c r="B745">
        <v>166</v>
      </c>
      <c r="C745">
        <v>4</v>
      </c>
      <c r="D745" s="23">
        <v>42738</v>
      </c>
      <c r="E745" s="23">
        <v>42796</v>
      </c>
      <c r="F745" s="23">
        <v>42796</v>
      </c>
      <c r="G745">
        <v>2</v>
      </c>
      <c r="H745">
        <v>7</v>
      </c>
      <c r="I745" t="s">
        <v>5581</v>
      </c>
    </row>
    <row r="746" spans="1:9" x14ac:dyDescent="0.35">
      <c r="A746">
        <v>745</v>
      </c>
      <c r="B746">
        <v>698</v>
      </c>
      <c r="C746">
        <v>4</v>
      </c>
      <c r="D746" s="23">
        <v>42738</v>
      </c>
      <c r="E746" s="23">
        <v>42797</v>
      </c>
      <c r="F746" s="23">
        <v>42797</v>
      </c>
      <c r="G746">
        <v>2</v>
      </c>
      <c r="H746">
        <v>7</v>
      </c>
      <c r="I746" t="s">
        <v>5581</v>
      </c>
    </row>
    <row r="747" spans="1:9" x14ac:dyDescent="0.35">
      <c r="A747">
        <v>746</v>
      </c>
      <c r="B747">
        <v>391</v>
      </c>
      <c r="C747">
        <v>4</v>
      </c>
      <c r="D747" s="23">
        <v>42769</v>
      </c>
      <c r="E747" s="23">
        <v>42798</v>
      </c>
      <c r="F747" s="23">
        <v>42799</v>
      </c>
      <c r="G747">
        <v>1</v>
      </c>
      <c r="H747">
        <v>3</v>
      </c>
      <c r="I747" t="s">
        <v>5581</v>
      </c>
    </row>
    <row r="748" spans="1:9" x14ac:dyDescent="0.35">
      <c r="A748">
        <v>747</v>
      </c>
      <c r="B748">
        <v>87</v>
      </c>
      <c r="C748">
        <v>4</v>
      </c>
      <c r="D748" s="23">
        <v>42797</v>
      </c>
      <c r="E748" s="23">
        <v>42798</v>
      </c>
      <c r="F748" s="23">
        <v>42799</v>
      </c>
      <c r="G748">
        <v>1</v>
      </c>
      <c r="H748">
        <v>3</v>
      </c>
      <c r="I748" t="s">
        <v>5581</v>
      </c>
    </row>
    <row r="749" spans="1:9" x14ac:dyDescent="0.35">
      <c r="A749">
        <v>748</v>
      </c>
      <c r="B749">
        <v>1072</v>
      </c>
      <c r="C749">
        <v>4</v>
      </c>
      <c r="D749" s="23">
        <v>42797</v>
      </c>
      <c r="E749" s="23">
        <v>42799</v>
      </c>
      <c r="F749" s="23">
        <v>42798</v>
      </c>
      <c r="G749">
        <v>3</v>
      </c>
      <c r="H749">
        <v>8</v>
      </c>
      <c r="I749" t="s">
        <v>5581</v>
      </c>
    </row>
    <row r="750" spans="1:9" x14ac:dyDescent="0.35">
      <c r="A750">
        <v>749</v>
      </c>
      <c r="B750">
        <v>255</v>
      </c>
      <c r="C750">
        <v>4</v>
      </c>
      <c r="D750" s="23">
        <v>42828</v>
      </c>
      <c r="E750" s="23">
        <v>42801</v>
      </c>
      <c r="F750" s="23">
        <v>42799</v>
      </c>
      <c r="G750">
        <v>2</v>
      </c>
      <c r="H750">
        <v>7</v>
      </c>
      <c r="I750" t="s">
        <v>5581</v>
      </c>
    </row>
    <row r="751" spans="1:9" x14ac:dyDescent="0.35">
      <c r="A751">
        <v>750</v>
      </c>
      <c r="B751">
        <v>232</v>
      </c>
      <c r="C751">
        <v>4</v>
      </c>
      <c r="D751" s="23">
        <v>42828</v>
      </c>
      <c r="E751" s="23">
        <v>42801</v>
      </c>
      <c r="F751" s="23">
        <v>42799</v>
      </c>
      <c r="G751">
        <v>3</v>
      </c>
      <c r="H751">
        <v>8</v>
      </c>
      <c r="I751" t="s">
        <v>5581</v>
      </c>
    </row>
    <row r="752" spans="1:9" x14ac:dyDescent="0.35">
      <c r="A752">
        <v>751</v>
      </c>
      <c r="B752">
        <v>731</v>
      </c>
      <c r="C752">
        <v>4</v>
      </c>
      <c r="D752" s="23">
        <v>42858</v>
      </c>
      <c r="E752" s="23">
        <v>42802</v>
      </c>
      <c r="F752" s="23">
        <v>42801</v>
      </c>
      <c r="G752">
        <v>1</v>
      </c>
      <c r="H752">
        <v>3</v>
      </c>
      <c r="I752" t="s">
        <v>5581</v>
      </c>
    </row>
    <row r="753" spans="1:9" x14ac:dyDescent="0.35">
      <c r="A753">
        <v>752</v>
      </c>
      <c r="B753">
        <v>335</v>
      </c>
      <c r="C753">
        <v>4</v>
      </c>
      <c r="D753" s="23">
        <v>42858</v>
      </c>
      <c r="E753" s="23">
        <v>42800</v>
      </c>
      <c r="F753" s="23">
        <v>42801</v>
      </c>
      <c r="G753">
        <v>2</v>
      </c>
      <c r="H753">
        <v>6</v>
      </c>
      <c r="I753" t="s">
        <v>5581</v>
      </c>
    </row>
    <row r="754" spans="1:9" x14ac:dyDescent="0.35">
      <c r="A754">
        <v>753</v>
      </c>
      <c r="B754">
        <v>1201</v>
      </c>
      <c r="C754">
        <v>4</v>
      </c>
      <c r="D754" s="23">
        <v>42858</v>
      </c>
      <c r="E754" s="23">
        <v>42802</v>
      </c>
      <c r="F754" s="23">
        <v>42802</v>
      </c>
      <c r="G754">
        <v>2</v>
      </c>
      <c r="H754">
        <v>7</v>
      </c>
      <c r="I754" t="s">
        <v>5581</v>
      </c>
    </row>
    <row r="755" spans="1:9" x14ac:dyDescent="0.35">
      <c r="A755">
        <v>754</v>
      </c>
      <c r="B755">
        <v>646</v>
      </c>
      <c r="C755">
        <v>4</v>
      </c>
      <c r="D755" s="23">
        <v>42889</v>
      </c>
      <c r="E755" s="23">
        <v>42801</v>
      </c>
      <c r="F755" s="23">
        <v>42802</v>
      </c>
      <c r="G755">
        <v>1</v>
      </c>
      <c r="H755">
        <v>2</v>
      </c>
      <c r="I755" t="s">
        <v>5581</v>
      </c>
    </row>
    <row r="756" spans="1:9" x14ac:dyDescent="0.35">
      <c r="A756">
        <v>755</v>
      </c>
      <c r="B756">
        <v>531</v>
      </c>
      <c r="C756">
        <v>4</v>
      </c>
      <c r="D756" s="23">
        <v>42889</v>
      </c>
      <c r="E756" s="23">
        <v>42801</v>
      </c>
      <c r="F756" s="23">
        <v>42801</v>
      </c>
      <c r="G756">
        <v>2</v>
      </c>
      <c r="H756">
        <v>6</v>
      </c>
      <c r="I756" t="s">
        <v>5581</v>
      </c>
    </row>
    <row r="757" spans="1:9" x14ac:dyDescent="0.35">
      <c r="A757">
        <v>756</v>
      </c>
      <c r="B757">
        <v>1143</v>
      </c>
      <c r="C757">
        <v>4</v>
      </c>
      <c r="D757" s="23">
        <v>42889</v>
      </c>
      <c r="E757" s="23">
        <v>42801</v>
      </c>
      <c r="F757" s="23">
        <v>42803</v>
      </c>
      <c r="G757">
        <v>2</v>
      </c>
      <c r="H757">
        <v>6</v>
      </c>
      <c r="I757" t="s">
        <v>5581</v>
      </c>
    </row>
    <row r="758" spans="1:9" x14ac:dyDescent="0.35">
      <c r="A758">
        <v>757</v>
      </c>
      <c r="B758">
        <v>1336</v>
      </c>
      <c r="C758">
        <v>4</v>
      </c>
      <c r="D758" s="23">
        <v>42889</v>
      </c>
      <c r="E758" s="23">
        <v>42802</v>
      </c>
      <c r="F758" s="23">
        <v>42803</v>
      </c>
      <c r="G758">
        <v>2</v>
      </c>
      <c r="H758">
        <v>7</v>
      </c>
      <c r="I758" t="s">
        <v>5581</v>
      </c>
    </row>
    <row r="759" spans="1:9" x14ac:dyDescent="0.35">
      <c r="A759">
        <v>758</v>
      </c>
      <c r="B759">
        <v>953</v>
      </c>
      <c r="C759">
        <v>4</v>
      </c>
      <c r="D759" s="23">
        <v>42889</v>
      </c>
      <c r="E759" s="23">
        <v>42802</v>
      </c>
      <c r="F759" s="23">
        <v>42801</v>
      </c>
      <c r="G759">
        <v>3</v>
      </c>
      <c r="H759">
        <v>9</v>
      </c>
      <c r="I759" t="s">
        <v>5581</v>
      </c>
    </row>
    <row r="760" spans="1:9" x14ac:dyDescent="0.35">
      <c r="A760">
        <v>759</v>
      </c>
      <c r="B760">
        <v>284</v>
      </c>
      <c r="C760">
        <v>4</v>
      </c>
      <c r="D760" s="23">
        <v>42919</v>
      </c>
      <c r="E760" s="23">
        <v>42803</v>
      </c>
      <c r="F760" s="23">
        <v>42802</v>
      </c>
      <c r="G760">
        <v>2</v>
      </c>
      <c r="H760">
        <v>7</v>
      </c>
      <c r="I760" t="s">
        <v>5581</v>
      </c>
    </row>
    <row r="761" spans="1:9" x14ac:dyDescent="0.35">
      <c r="A761">
        <v>760</v>
      </c>
      <c r="B761">
        <v>1104</v>
      </c>
      <c r="C761">
        <v>4</v>
      </c>
      <c r="D761" s="23">
        <v>42919</v>
      </c>
      <c r="E761" s="23">
        <v>42804</v>
      </c>
      <c r="F761" s="23">
        <v>42804</v>
      </c>
      <c r="G761">
        <v>2</v>
      </c>
      <c r="H761">
        <v>6</v>
      </c>
      <c r="I761" t="s">
        <v>5581</v>
      </c>
    </row>
    <row r="762" spans="1:9" x14ac:dyDescent="0.35">
      <c r="A762">
        <v>761</v>
      </c>
      <c r="B762">
        <v>1291</v>
      </c>
      <c r="C762">
        <v>4</v>
      </c>
      <c r="D762" s="23">
        <v>42919</v>
      </c>
      <c r="E762" s="23">
        <v>42802</v>
      </c>
      <c r="F762" s="23">
        <v>42804</v>
      </c>
      <c r="G762">
        <v>2</v>
      </c>
      <c r="H762">
        <v>7</v>
      </c>
      <c r="I762" t="s">
        <v>5581</v>
      </c>
    </row>
    <row r="763" spans="1:9" x14ac:dyDescent="0.35">
      <c r="A763">
        <v>762</v>
      </c>
      <c r="B763">
        <v>572</v>
      </c>
      <c r="C763">
        <v>4</v>
      </c>
      <c r="D763" s="23">
        <v>42950</v>
      </c>
      <c r="E763" s="23">
        <v>42803</v>
      </c>
      <c r="F763" s="23">
        <v>42803</v>
      </c>
      <c r="G763">
        <v>2</v>
      </c>
      <c r="H763">
        <v>6</v>
      </c>
      <c r="I763" t="s">
        <v>5581</v>
      </c>
    </row>
    <row r="764" spans="1:9" x14ac:dyDescent="0.35">
      <c r="A764">
        <v>763</v>
      </c>
      <c r="B764">
        <v>842</v>
      </c>
      <c r="C764">
        <v>4</v>
      </c>
      <c r="D764" s="23">
        <v>42950</v>
      </c>
      <c r="E764" s="23">
        <v>42804</v>
      </c>
      <c r="F764" s="23">
        <v>42803</v>
      </c>
      <c r="G764">
        <v>3</v>
      </c>
      <c r="H764">
        <v>9</v>
      </c>
      <c r="I764" t="s">
        <v>5581</v>
      </c>
    </row>
    <row r="765" spans="1:9" x14ac:dyDescent="0.35">
      <c r="A765">
        <v>764</v>
      </c>
      <c r="B765">
        <v>701</v>
      </c>
      <c r="C765">
        <v>4</v>
      </c>
      <c r="D765" s="23">
        <v>42981</v>
      </c>
      <c r="E765" s="23">
        <v>42804</v>
      </c>
      <c r="F765" s="23">
        <v>42806</v>
      </c>
      <c r="G765">
        <v>1</v>
      </c>
      <c r="H765">
        <v>2</v>
      </c>
      <c r="I765" t="s">
        <v>5581</v>
      </c>
    </row>
    <row r="766" spans="1:9" x14ac:dyDescent="0.35">
      <c r="A766">
        <v>765</v>
      </c>
      <c r="B766">
        <v>1152</v>
      </c>
      <c r="C766">
        <v>4</v>
      </c>
      <c r="D766" s="23">
        <v>42981</v>
      </c>
      <c r="E766" s="23">
        <v>42805</v>
      </c>
      <c r="F766" s="23">
        <v>42806</v>
      </c>
      <c r="G766">
        <v>1</v>
      </c>
      <c r="H766">
        <v>2</v>
      </c>
      <c r="I766" t="s">
        <v>5581</v>
      </c>
    </row>
    <row r="767" spans="1:9" x14ac:dyDescent="0.35">
      <c r="A767">
        <v>766</v>
      </c>
      <c r="B767">
        <v>141</v>
      </c>
      <c r="C767">
        <v>4</v>
      </c>
      <c r="D767" s="23">
        <v>42981</v>
      </c>
      <c r="E767" s="23">
        <v>42805</v>
      </c>
      <c r="F767" s="23">
        <v>42806</v>
      </c>
      <c r="G767">
        <v>2</v>
      </c>
      <c r="H767">
        <v>6</v>
      </c>
      <c r="I767" t="s">
        <v>5581</v>
      </c>
    </row>
    <row r="768" spans="1:9" x14ac:dyDescent="0.35">
      <c r="A768">
        <v>767</v>
      </c>
      <c r="B768">
        <v>564</v>
      </c>
      <c r="C768">
        <v>4</v>
      </c>
      <c r="D768" s="23">
        <v>42981</v>
      </c>
      <c r="E768" s="23">
        <v>42804</v>
      </c>
      <c r="F768" s="23">
        <v>42805</v>
      </c>
      <c r="G768">
        <v>2</v>
      </c>
      <c r="H768">
        <v>7</v>
      </c>
      <c r="I768" t="s">
        <v>5581</v>
      </c>
    </row>
    <row r="769" spans="1:9" x14ac:dyDescent="0.35">
      <c r="A769">
        <v>768</v>
      </c>
      <c r="B769">
        <v>841</v>
      </c>
      <c r="C769">
        <v>4</v>
      </c>
      <c r="D769" s="23">
        <v>42981</v>
      </c>
      <c r="E769" s="23">
        <v>42806</v>
      </c>
      <c r="F769" s="23">
        <v>42804</v>
      </c>
      <c r="G769">
        <v>2</v>
      </c>
      <c r="H769">
        <v>7</v>
      </c>
      <c r="I769" t="s">
        <v>5581</v>
      </c>
    </row>
    <row r="770" spans="1:9" x14ac:dyDescent="0.35">
      <c r="A770">
        <v>769</v>
      </c>
      <c r="B770">
        <v>946</v>
      </c>
      <c r="C770">
        <v>4</v>
      </c>
      <c r="D770" s="23">
        <v>42981</v>
      </c>
      <c r="E770" s="23">
        <v>42805</v>
      </c>
      <c r="F770" s="23">
        <v>42805</v>
      </c>
      <c r="G770">
        <v>2</v>
      </c>
      <c r="H770">
        <v>6</v>
      </c>
      <c r="I770" t="s">
        <v>5581</v>
      </c>
    </row>
    <row r="771" spans="1:9" x14ac:dyDescent="0.35">
      <c r="A771">
        <v>770</v>
      </c>
      <c r="B771">
        <v>135</v>
      </c>
      <c r="C771">
        <v>4</v>
      </c>
      <c r="D771" s="23">
        <v>42981</v>
      </c>
      <c r="E771" s="23">
        <v>42805</v>
      </c>
      <c r="F771" s="23">
        <v>42805</v>
      </c>
      <c r="G771">
        <v>3</v>
      </c>
      <c r="H771">
        <v>9</v>
      </c>
      <c r="I771" t="s">
        <v>5581</v>
      </c>
    </row>
    <row r="772" spans="1:9" x14ac:dyDescent="0.35">
      <c r="A772">
        <v>771</v>
      </c>
      <c r="B772">
        <v>671</v>
      </c>
      <c r="C772">
        <v>4</v>
      </c>
      <c r="D772" s="23">
        <v>43042</v>
      </c>
      <c r="E772" s="23">
        <v>42808</v>
      </c>
      <c r="F772" s="23">
        <v>42806</v>
      </c>
      <c r="G772">
        <v>1</v>
      </c>
      <c r="H772">
        <v>3</v>
      </c>
      <c r="I772" t="s">
        <v>5581</v>
      </c>
    </row>
    <row r="773" spans="1:9" x14ac:dyDescent="0.35">
      <c r="A773">
        <v>772</v>
      </c>
      <c r="B773">
        <v>448</v>
      </c>
      <c r="C773">
        <v>4</v>
      </c>
      <c r="D773" s="23">
        <v>43042</v>
      </c>
      <c r="E773" s="23">
        <v>42806</v>
      </c>
      <c r="F773" s="23">
        <v>42807</v>
      </c>
      <c r="G773">
        <v>2</v>
      </c>
      <c r="H773">
        <v>7</v>
      </c>
      <c r="I773" t="s">
        <v>5581</v>
      </c>
    </row>
    <row r="774" spans="1:9" x14ac:dyDescent="0.35">
      <c r="A774">
        <v>773</v>
      </c>
      <c r="B774">
        <v>1385</v>
      </c>
      <c r="C774">
        <v>4</v>
      </c>
      <c r="D774" s="23">
        <v>43042</v>
      </c>
      <c r="E774" s="23">
        <v>42806</v>
      </c>
      <c r="F774" s="23">
        <v>42806</v>
      </c>
      <c r="G774">
        <v>2</v>
      </c>
      <c r="H774">
        <v>6</v>
      </c>
      <c r="I774" t="s">
        <v>5581</v>
      </c>
    </row>
    <row r="775" spans="1:9" x14ac:dyDescent="0.35">
      <c r="A775">
        <v>774</v>
      </c>
      <c r="B775">
        <v>690</v>
      </c>
      <c r="C775">
        <v>4</v>
      </c>
      <c r="D775" s="23">
        <v>43072</v>
      </c>
      <c r="E775" s="23">
        <v>42808</v>
      </c>
      <c r="F775" s="23">
        <v>42808</v>
      </c>
      <c r="G775">
        <v>2</v>
      </c>
      <c r="H775">
        <v>6</v>
      </c>
      <c r="I775" t="s">
        <v>5581</v>
      </c>
    </row>
    <row r="776" spans="1:9" x14ac:dyDescent="0.35">
      <c r="A776">
        <v>775</v>
      </c>
      <c r="B776">
        <v>968</v>
      </c>
      <c r="C776">
        <v>4</v>
      </c>
      <c r="D776" s="23">
        <v>43072</v>
      </c>
      <c r="E776" s="23">
        <v>42807</v>
      </c>
      <c r="F776" s="23">
        <v>42807</v>
      </c>
      <c r="G776">
        <v>2</v>
      </c>
      <c r="H776">
        <v>6</v>
      </c>
      <c r="I776" t="s">
        <v>5581</v>
      </c>
    </row>
    <row r="777" spans="1:9" x14ac:dyDescent="0.35">
      <c r="A777">
        <v>776</v>
      </c>
      <c r="B777">
        <v>490</v>
      </c>
      <c r="C777">
        <v>4</v>
      </c>
      <c r="D777" t="s">
        <v>5798</v>
      </c>
      <c r="E777" s="23">
        <v>42809</v>
      </c>
      <c r="F777" s="23">
        <v>42810</v>
      </c>
      <c r="G777">
        <v>2</v>
      </c>
      <c r="H777">
        <v>6</v>
      </c>
      <c r="I777" t="s">
        <v>5581</v>
      </c>
    </row>
    <row r="778" spans="1:9" x14ac:dyDescent="0.35">
      <c r="A778">
        <v>777</v>
      </c>
      <c r="B778">
        <v>496</v>
      </c>
      <c r="C778">
        <v>4</v>
      </c>
      <c r="D778" t="s">
        <v>5798</v>
      </c>
      <c r="E778" s="23">
        <v>42810</v>
      </c>
      <c r="F778" s="23">
        <v>42810</v>
      </c>
      <c r="G778">
        <v>2</v>
      </c>
      <c r="H778">
        <v>6</v>
      </c>
      <c r="I778" t="s">
        <v>5581</v>
      </c>
    </row>
    <row r="779" spans="1:9" x14ac:dyDescent="0.35">
      <c r="A779">
        <v>778</v>
      </c>
      <c r="B779">
        <v>56</v>
      </c>
      <c r="C779">
        <v>3</v>
      </c>
      <c r="D779" t="s">
        <v>5799</v>
      </c>
      <c r="E779" s="23">
        <v>42809</v>
      </c>
      <c r="F779" t="s">
        <v>5597</v>
      </c>
      <c r="G779">
        <v>3</v>
      </c>
      <c r="H779">
        <v>9</v>
      </c>
      <c r="I779" t="s">
        <v>5598</v>
      </c>
    </row>
    <row r="780" spans="1:9" x14ac:dyDescent="0.35">
      <c r="A780">
        <v>779</v>
      </c>
      <c r="B780">
        <v>367</v>
      </c>
      <c r="C780">
        <v>4</v>
      </c>
      <c r="D780" t="s">
        <v>5799</v>
      </c>
      <c r="E780" s="23">
        <v>42810</v>
      </c>
      <c r="F780" s="23">
        <v>42812</v>
      </c>
      <c r="G780">
        <v>2</v>
      </c>
      <c r="H780">
        <v>6</v>
      </c>
      <c r="I780" t="s">
        <v>5581</v>
      </c>
    </row>
    <row r="781" spans="1:9" x14ac:dyDescent="0.35">
      <c r="A781">
        <v>780</v>
      </c>
      <c r="B781">
        <v>592</v>
      </c>
      <c r="C781">
        <v>4</v>
      </c>
      <c r="D781" t="s">
        <v>5799</v>
      </c>
      <c r="E781" s="23">
        <v>42811</v>
      </c>
      <c r="F781" s="23">
        <v>42811</v>
      </c>
      <c r="G781">
        <v>2</v>
      </c>
      <c r="H781">
        <v>6</v>
      </c>
      <c r="I781" t="s">
        <v>5581</v>
      </c>
    </row>
    <row r="782" spans="1:9" x14ac:dyDescent="0.35">
      <c r="A782">
        <v>781</v>
      </c>
      <c r="B782">
        <v>1018</v>
      </c>
      <c r="C782">
        <v>4</v>
      </c>
      <c r="D782" t="s">
        <v>5799</v>
      </c>
      <c r="E782" s="23">
        <v>42810</v>
      </c>
      <c r="F782" s="23">
        <v>42811</v>
      </c>
      <c r="G782">
        <v>2</v>
      </c>
      <c r="H782">
        <v>6</v>
      </c>
      <c r="I782" t="s">
        <v>5581</v>
      </c>
    </row>
    <row r="783" spans="1:9" x14ac:dyDescent="0.35">
      <c r="A783">
        <v>782</v>
      </c>
      <c r="B783">
        <v>1298</v>
      </c>
      <c r="C783">
        <v>4</v>
      </c>
      <c r="D783" t="s">
        <v>5799</v>
      </c>
      <c r="E783" s="23">
        <v>42810</v>
      </c>
      <c r="F783" s="23">
        <v>42812</v>
      </c>
      <c r="G783">
        <v>2</v>
      </c>
      <c r="H783">
        <v>7</v>
      </c>
      <c r="I783" t="s">
        <v>5581</v>
      </c>
    </row>
    <row r="784" spans="1:9" x14ac:dyDescent="0.35">
      <c r="A784">
        <v>783</v>
      </c>
      <c r="B784">
        <v>1343</v>
      </c>
      <c r="C784">
        <v>4</v>
      </c>
      <c r="D784" t="s">
        <v>5800</v>
      </c>
      <c r="E784" s="23">
        <v>42813</v>
      </c>
      <c r="F784" s="23">
        <v>42811</v>
      </c>
      <c r="G784">
        <v>1</v>
      </c>
      <c r="H784">
        <v>2</v>
      </c>
      <c r="I784" t="s">
        <v>5581</v>
      </c>
    </row>
    <row r="785" spans="1:9" x14ac:dyDescent="0.35">
      <c r="A785">
        <v>784</v>
      </c>
      <c r="B785">
        <v>430</v>
      </c>
      <c r="C785">
        <v>4</v>
      </c>
      <c r="D785" t="s">
        <v>5800</v>
      </c>
      <c r="E785" s="23">
        <v>42813</v>
      </c>
      <c r="F785" s="23">
        <v>42813</v>
      </c>
      <c r="G785">
        <v>2</v>
      </c>
      <c r="H785">
        <v>7</v>
      </c>
      <c r="I785" t="s">
        <v>5581</v>
      </c>
    </row>
    <row r="786" spans="1:9" x14ac:dyDescent="0.35">
      <c r="A786">
        <v>785</v>
      </c>
      <c r="B786">
        <v>794</v>
      </c>
      <c r="C786">
        <v>4</v>
      </c>
      <c r="D786" t="s">
        <v>5801</v>
      </c>
      <c r="E786" s="23">
        <v>42813</v>
      </c>
      <c r="F786" s="23">
        <v>42814</v>
      </c>
      <c r="G786">
        <v>1</v>
      </c>
      <c r="H786">
        <v>2</v>
      </c>
      <c r="I786" t="s">
        <v>5581</v>
      </c>
    </row>
    <row r="787" spans="1:9" x14ac:dyDescent="0.35">
      <c r="A787">
        <v>786</v>
      </c>
      <c r="B787">
        <v>249</v>
      </c>
      <c r="C787">
        <v>4</v>
      </c>
      <c r="D787" t="s">
        <v>5801</v>
      </c>
      <c r="E787" s="23">
        <v>42814</v>
      </c>
      <c r="F787" s="23">
        <v>42813</v>
      </c>
      <c r="G787">
        <v>2</v>
      </c>
      <c r="H787">
        <v>6</v>
      </c>
      <c r="I787" t="s">
        <v>5581</v>
      </c>
    </row>
    <row r="788" spans="1:9" x14ac:dyDescent="0.35">
      <c r="A788">
        <v>787</v>
      </c>
      <c r="B788">
        <v>700</v>
      </c>
      <c r="C788">
        <v>4</v>
      </c>
      <c r="D788" t="s">
        <v>5801</v>
      </c>
      <c r="E788" s="23">
        <v>42814</v>
      </c>
      <c r="F788" s="23">
        <v>42813</v>
      </c>
      <c r="G788">
        <v>3</v>
      </c>
      <c r="H788">
        <v>9</v>
      </c>
      <c r="I788" t="s">
        <v>5581</v>
      </c>
    </row>
    <row r="789" spans="1:9" x14ac:dyDescent="0.35">
      <c r="A789">
        <v>788</v>
      </c>
      <c r="B789">
        <v>1363</v>
      </c>
      <c r="C789">
        <v>4</v>
      </c>
      <c r="D789" t="s">
        <v>5801</v>
      </c>
      <c r="E789" s="23">
        <v>42814</v>
      </c>
      <c r="F789" s="23">
        <v>42814</v>
      </c>
      <c r="G789">
        <v>3</v>
      </c>
      <c r="H789">
        <v>9</v>
      </c>
      <c r="I789" t="s">
        <v>5581</v>
      </c>
    </row>
    <row r="790" spans="1:9" x14ac:dyDescent="0.35">
      <c r="A790">
        <v>789</v>
      </c>
      <c r="B790">
        <v>772</v>
      </c>
      <c r="C790">
        <v>4</v>
      </c>
      <c r="D790" t="s">
        <v>5802</v>
      </c>
      <c r="E790" s="23">
        <v>42814</v>
      </c>
      <c r="F790" s="23">
        <v>42814</v>
      </c>
      <c r="G790">
        <v>2</v>
      </c>
      <c r="H790">
        <v>6</v>
      </c>
      <c r="I790" t="s">
        <v>5581</v>
      </c>
    </row>
    <row r="791" spans="1:9" x14ac:dyDescent="0.35">
      <c r="A791">
        <v>790</v>
      </c>
      <c r="B791">
        <v>1015</v>
      </c>
      <c r="C791">
        <v>4</v>
      </c>
      <c r="D791" t="s">
        <v>5802</v>
      </c>
      <c r="E791" s="23">
        <v>42815</v>
      </c>
      <c r="F791" s="23">
        <v>42816</v>
      </c>
      <c r="G791">
        <v>2</v>
      </c>
      <c r="H791">
        <v>7</v>
      </c>
      <c r="I791" t="s">
        <v>5581</v>
      </c>
    </row>
    <row r="792" spans="1:9" x14ac:dyDescent="0.35">
      <c r="A792">
        <v>791</v>
      </c>
      <c r="B792">
        <v>432</v>
      </c>
      <c r="C792">
        <v>4</v>
      </c>
      <c r="D792" t="s">
        <v>5803</v>
      </c>
      <c r="E792" s="23">
        <v>42816</v>
      </c>
      <c r="F792" s="23">
        <v>42817</v>
      </c>
      <c r="G792">
        <v>2</v>
      </c>
      <c r="H792">
        <v>6</v>
      </c>
      <c r="I792" t="s">
        <v>5581</v>
      </c>
    </row>
    <row r="793" spans="1:9" x14ac:dyDescent="0.35">
      <c r="A793">
        <v>792</v>
      </c>
      <c r="B793">
        <v>479</v>
      </c>
      <c r="C793">
        <v>4</v>
      </c>
      <c r="D793" t="s">
        <v>5804</v>
      </c>
      <c r="E793" s="23">
        <v>42817</v>
      </c>
      <c r="F793" s="23">
        <v>42818</v>
      </c>
      <c r="G793">
        <v>2</v>
      </c>
      <c r="H793">
        <v>6</v>
      </c>
      <c r="I793" t="s">
        <v>5581</v>
      </c>
    </row>
    <row r="794" spans="1:9" x14ac:dyDescent="0.35">
      <c r="A794">
        <v>793</v>
      </c>
      <c r="B794">
        <v>653</v>
      </c>
      <c r="C794">
        <v>4</v>
      </c>
      <c r="D794" t="s">
        <v>5805</v>
      </c>
      <c r="E794" s="23">
        <v>42818</v>
      </c>
      <c r="F794" s="23">
        <v>42818</v>
      </c>
      <c r="G794">
        <v>2</v>
      </c>
      <c r="H794">
        <v>6</v>
      </c>
      <c r="I794" t="s">
        <v>5581</v>
      </c>
    </row>
    <row r="795" spans="1:9" x14ac:dyDescent="0.35">
      <c r="A795">
        <v>794</v>
      </c>
      <c r="B795">
        <v>863</v>
      </c>
      <c r="C795">
        <v>4</v>
      </c>
      <c r="D795" t="s">
        <v>5805</v>
      </c>
      <c r="E795" s="23">
        <v>42819</v>
      </c>
      <c r="F795" s="23">
        <v>42818</v>
      </c>
      <c r="G795">
        <v>2</v>
      </c>
      <c r="H795">
        <v>7</v>
      </c>
      <c r="I795" t="s">
        <v>5581</v>
      </c>
    </row>
    <row r="796" spans="1:9" x14ac:dyDescent="0.35">
      <c r="A796">
        <v>795</v>
      </c>
      <c r="B796">
        <v>992</v>
      </c>
      <c r="C796">
        <v>4</v>
      </c>
      <c r="D796" t="s">
        <v>5805</v>
      </c>
      <c r="E796" s="23">
        <v>42819</v>
      </c>
      <c r="F796" s="23">
        <v>42820</v>
      </c>
      <c r="G796">
        <v>2</v>
      </c>
      <c r="H796">
        <v>7</v>
      </c>
      <c r="I796" t="s">
        <v>5581</v>
      </c>
    </row>
    <row r="797" spans="1:9" x14ac:dyDescent="0.35">
      <c r="A797">
        <v>796</v>
      </c>
      <c r="B797">
        <v>154</v>
      </c>
      <c r="C797">
        <v>4</v>
      </c>
      <c r="D797" t="s">
        <v>5805</v>
      </c>
      <c r="E797" s="23">
        <v>42820</v>
      </c>
      <c r="F797" s="23">
        <v>42819</v>
      </c>
      <c r="G797">
        <v>3</v>
      </c>
      <c r="H797">
        <v>9</v>
      </c>
      <c r="I797" t="s">
        <v>5581</v>
      </c>
    </row>
    <row r="798" spans="1:9" x14ac:dyDescent="0.35">
      <c r="A798">
        <v>797</v>
      </c>
      <c r="B798">
        <v>374</v>
      </c>
      <c r="C798">
        <v>4</v>
      </c>
      <c r="D798" t="s">
        <v>5806</v>
      </c>
      <c r="E798" s="23">
        <v>42820</v>
      </c>
      <c r="F798" s="23">
        <v>42820</v>
      </c>
      <c r="G798">
        <v>2</v>
      </c>
      <c r="H798">
        <v>7</v>
      </c>
      <c r="I798" t="s">
        <v>5581</v>
      </c>
    </row>
    <row r="799" spans="1:9" x14ac:dyDescent="0.35">
      <c r="A799">
        <v>798</v>
      </c>
      <c r="B799">
        <v>619</v>
      </c>
      <c r="C799">
        <v>4</v>
      </c>
      <c r="D799" t="s">
        <v>5807</v>
      </c>
      <c r="E799" s="23">
        <v>42822</v>
      </c>
      <c r="F799" s="23">
        <v>42823</v>
      </c>
      <c r="G799">
        <v>1</v>
      </c>
      <c r="H799">
        <v>3</v>
      </c>
      <c r="I799" t="s">
        <v>5581</v>
      </c>
    </row>
    <row r="800" spans="1:9" x14ac:dyDescent="0.35">
      <c r="A800">
        <v>799</v>
      </c>
      <c r="B800">
        <v>607</v>
      </c>
      <c r="C800">
        <v>4</v>
      </c>
      <c r="D800" t="s">
        <v>5808</v>
      </c>
      <c r="E800" s="23">
        <v>42822</v>
      </c>
      <c r="F800" s="23">
        <v>42823</v>
      </c>
      <c r="G800">
        <v>1</v>
      </c>
      <c r="H800">
        <v>3</v>
      </c>
      <c r="I800" t="s">
        <v>5581</v>
      </c>
    </row>
    <row r="801" spans="1:9" x14ac:dyDescent="0.35">
      <c r="A801">
        <v>800</v>
      </c>
      <c r="B801">
        <v>1057</v>
      </c>
      <c r="C801">
        <v>4</v>
      </c>
      <c r="D801" t="s">
        <v>5808</v>
      </c>
      <c r="E801" s="23">
        <v>42823</v>
      </c>
      <c r="F801" s="23">
        <v>42822</v>
      </c>
      <c r="G801">
        <v>2</v>
      </c>
      <c r="H801">
        <v>6</v>
      </c>
      <c r="I801" t="s">
        <v>5581</v>
      </c>
    </row>
    <row r="802" spans="1:9" x14ac:dyDescent="0.35">
      <c r="A802">
        <v>801</v>
      </c>
      <c r="B802">
        <v>78</v>
      </c>
      <c r="C802">
        <v>4</v>
      </c>
      <c r="D802" t="s">
        <v>5809</v>
      </c>
      <c r="E802" s="23">
        <v>42823</v>
      </c>
      <c r="F802" s="23">
        <v>42824</v>
      </c>
      <c r="G802">
        <v>1</v>
      </c>
      <c r="H802">
        <v>2</v>
      </c>
      <c r="I802" t="s">
        <v>5581</v>
      </c>
    </row>
    <row r="803" spans="1:9" x14ac:dyDescent="0.35">
      <c r="A803">
        <v>802</v>
      </c>
      <c r="B803">
        <v>340</v>
      </c>
      <c r="C803">
        <v>4</v>
      </c>
      <c r="D803" t="s">
        <v>5809</v>
      </c>
      <c r="E803" s="23">
        <v>42823</v>
      </c>
      <c r="F803" s="23">
        <v>42824</v>
      </c>
      <c r="G803">
        <v>2</v>
      </c>
      <c r="H803">
        <v>6</v>
      </c>
      <c r="I803" t="s">
        <v>5581</v>
      </c>
    </row>
    <row r="804" spans="1:9" x14ac:dyDescent="0.35">
      <c r="A804">
        <v>803</v>
      </c>
      <c r="B804">
        <v>1105</v>
      </c>
      <c r="C804">
        <v>4</v>
      </c>
      <c r="D804" t="s">
        <v>5809</v>
      </c>
      <c r="E804" s="23">
        <v>42825</v>
      </c>
      <c r="F804" s="23">
        <v>42824</v>
      </c>
      <c r="G804">
        <v>3</v>
      </c>
      <c r="H804">
        <v>8</v>
      </c>
      <c r="I804" t="s">
        <v>5581</v>
      </c>
    </row>
    <row r="805" spans="1:9" x14ac:dyDescent="0.35">
      <c r="A805">
        <v>804</v>
      </c>
      <c r="B805">
        <v>95</v>
      </c>
      <c r="C805">
        <v>4</v>
      </c>
      <c r="D805" t="s">
        <v>5810</v>
      </c>
      <c r="E805" s="23">
        <v>42825</v>
      </c>
      <c r="F805" s="23">
        <v>42824</v>
      </c>
      <c r="G805">
        <v>2</v>
      </c>
      <c r="H805">
        <v>6</v>
      </c>
      <c r="I805" t="s">
        <v>5581</v>
      </c>
    </row>
    <row r="806" spans="1:9" x14ac:dyDescent="0.35">
      <c r="A806">
        <v>805</v>
      </c>
      <c r="B806">
        <v>420</v>
      </c>
      <c r="C806">
        <v>4</v>
      </c>
      <c r="D806" t="s">
        <v>5810</v>
      </c>
      <c r="E806" s="23">
        <v>42824</v>
      </c>
      <c r="F806" s="23">
        <v>42826</v>
      </c>
      <c r="G806">
        <v>2</v>
      </c>
      <c r="H806">
        <v>6</v>
      </c>
      <c r="I806" t="s">
        <v>5581</v>
      </c>
    </row>
    <row r="807" spans="1:9" x14ac:dyDescent="0.35">
      <c r="A807">
        <v>806</v>
      </c>
      <c r="B807">
        <v>234</v>
      </c>
      <c r="C807">
        <v>4</v>
      </c>
      <c r="D807" t="s">
        <v>5811</v>
      </c>
      <c r="E807" s="23">
        <v>42825</v>
      </c>
      <c r="F807" s="23">
        <v>42825</v>
      </c>
      <c r="G807">
        <v>2</v>
      </c>
      <c r="H807">
        <v>7</v>
      </c>
      <c r="I807" t="s">
        <v>5581</v>
      </c>
    </row>
    <row r="808" spans="1:9" x14ac:dyDescent="0.35">
      <c r="A808">
        <v>807</v>
      </c>
      <c r="B808">
        <v>1148</v>
      </c>
      <c r="C808">
        <v>4</v>
      </c>
      <c r="D808" t="s">
        <v>5811</v>
      </c>
      <c r="E808" s="23">
        <v>42826</v>
      </c>
      <c r="F808" s="23">
        <v>42827</v>
      </c>
      <c r="G808">
        <v>2</v>
      </c>
      <c r="H808">
        <v>6</v>
      </c>
      <c r="I808" t="s">
        <v>5581</v>
      </c>
    </row>
    <row r="809" spans="1:9" x14ac:dyDescent="0.35">
      <c r="A809">
        <v>808</v>
      </c>
      <c r="B809">
        <v>315</v>
      </c>
      <c r="C809">
        <v>4</v>
      </c>
      <c r="D809" t="s">
        <v>5812</v>
      </c>
      <c r="E809" s="23">
        <v>42827</v>
      </c>
      <c r="F809" s="23">
        <v>42827</v>
      </c>
      <c r="G809">
        <v>2</v>
      </c>
      <c r="H809">
        <v>6</v>
      </c>
      <c r="I809" t="s">
        <v>5581</v>
      </c>
    </row>
    <row r="810" spans="1:9" x14ac:dyDescent="0.35">
      <c r="A810">
        <v>809</v>
      </c>
      <c r="B810">
        <v>1222</v>
      </c>
      <c r="C810">
        <v>4</v>
      </c>
      <c r="D810" t="s">
        <v>5812</v>
      </c>
      <c r="E810" s="23">
        <v>42828</v>
      </c>
      <c r="F810" s="23">
        <v>42828</v>
      </c>
      <c r="G810">
        <v>2</v>
      </c>
      <c r="H810">
        <v>7</v>
      </c>
      <c r="I810" t="s">
        <v>5581</v>
      </c>
    </row>
    <row r="811" spans="1:9" x14ac:dyDescent="0.35">
      <c r="A811">
        <v>810</v>
      </c>
      <c r="B811">
        <v>153</v>
      </c>
      <c r="C811">
        <v>3</v>
      </c>
      <c r="D811" s="23">
        <v>42739</v>
      </c>
      <c r="E811" s="23">
        <v>42826</v>
      </c>
      <c r="F811" t="s">
        <v>5597</v>
      </c>
      <c r="G811">
        <v>3</v>
      </c>
      <c r="H811">
        <v>8</v>
      </c>
      <c r="I811" t="s">
        <v>5598</v>
      </c>
    </row>
    <row r="812" spans="1:9" x14ac:dyDescent="0.35">
      <c r="A812">
        <v>811</v>
      </c>
      <c r="B812">
        <v>524</v>
      </c>
      <c r="C812">
        <v>4</v>
      </c>
      <c r="D812" s="23">
        <v>42739</v>
      </c>
      <c r="E812" s="23">
        <v>42829</v>
      </c>
      <c r="F812" s="23">
        <v>42829</v>
      </c>
      <c r="G812">
        <v>2</v>
      </c>
      <c r="H812">
        <v>7</v>
      </c>
      <c r="I812" t="s">
        <v>5581</v>
      </c>
    </row>
    <row r="813" spans="1:9" x14ac:dyDescent="0.35">
      <c r="A813">
        <v>812</v>
      </c>
      <c r="B813">
        <v>1164</v>
      </c>
      <c r="C813">
        <v>4</v>
      </c>
      <c r="D813" s="23">
        <v>42739</v>
      </c>
      <c r="E813" s="23">
        <v>42827</v>
      </c>
      <c r="F813" s="23">
        <v>42828</v>
      </c>
      <c r="G813">
        <v>2</v>
      </c>
      <c r="H813">
        <v>7</v>
      </c>
      <c r="I813" t="s">
        <v>5581</v>
      </c>
    </row>
    <row r="814" spans="1:9" x14ac:dyDescent="0.35">
      <c r="A814">
        <v>813</v>
      </c>
      <c r="B814">
        <v>1203</v>
      </c>
      <c r="C814">
        <v>4</v>
      </c>
      <c r="D814" s="23">
        <v>42739</v>
      </c>
      <c r="E814" s="23">
        <v>42828</v>
      </c>
      <c r="F814" s="23">
        <v>42827</v>
      </c>
      <c r="G814">
        <v>3</v>
      </c>
      <c r="H814">
        <v>9</v>
      </c>
      <c r="I814" t="s">
        <v>5581</v>
      </c>
    </row>
    <row r="815" spans="1:9" x14ac:dyDescent="0.35">
      <c r="A815">
        <v>814</v>
      </c>
      <c r="B815">
        <v>629</v>
      </c>
      <c r="C815">
        <v>4</v>
      </c>
      <c r="D815" s="23">
        <v>42770</v>
      </c>
      <c r="E815" s="23">
        <v>42830</v>
      </c>
      <c r="F815" s="23">
        <v>42828</v>
      </c>
      <c r="G815">
        <v>2</v>
      </c>
      <c r="H815">
        <v>7</v>
      </c>
      <c r="I815" t="s">
        <v>5581</v>
      </c>
    </row>
    <row r="816" spans="1:9" x14ac:dyDescent="0.35">
      <c r="A816">
        <v>815</v>
      </c>
      <c r="B816">
        <v>1251</v>
      </c>
      <c r="C816">
        <v>4</v>
      </c>
      <c r="D816" s="23">
        <v>42798</v>
      </c>
      <c r="E816" s="23">
        <v>42830</v>
      </c>
      <c r="F816" s="23">
        <v>42829</v>
      </c>
      <c r="G816">
        <v>1</v>
      </c>
      <c r="H816">
        <v>3</v>
      </c>
      <c r="I816" t="s">
        <v>5581</v>
      </c>
    </row>
    <row r="817" spans="1:9" x14ac:dyDescent="0.35">
      <c r="A817">
        <v>816</v>
      </c>
      <c r="B817">
        <v>811</v>
      </c>
      <c r="C817">
        <v>4</v>
      </c>
      <c r="D817" s="23">
        <v>42798</v>
      </c>
      <c r="E817" s="23">
        <v>42830</v>
      </c>
      <c r="F817" s="23">
        <v>42830</v>
      </c>
      <c r="G817">
        <v>2</v>
      </c>
      <c r="H817">
        <v>6</v>
      </c>
      <c r="I817" t="s">
        <v>5581</v>
      </c>
    </row>
    <row r="818" spans="1:9" x14ac:dyDescent="0.35">
      <c r="A818">
        <v>817</v>
      </c>
      <c r="B818">
        <v>301</v>
      </c>
      <c r="C818">
        <v>4</v>
      </c>
      <c r="D818" s="23">
        <v>42829</v>
      </c>
      <c r="E818" s="23">
        <v>42830</v>
      </c>
      <c r="F818" s="23">
        <v>42832</v>
      </c>
      <c r="G818">
        <v>2</v>
      </c>
      <c r="H818">
        <v>7</v>
      </c>
      <c r="I818" t="s">
        <v>5581</v>
      </c>
    </row>
    <row r="819" spans="1:9" x14ac:dyDescent="0.35">
      <c r="A819">
        <v>818</v>
      </c>
      <c r="B819">
        <v>1319</v>
      </c>
      <c r="C819">
        <v>4</v>
      </c>
      <c r="D819" s="23">
        <v>42829</v>
      </c>
      <c r="E819" s="23">
        <v>42832</v>
      </c>
      <c r="F819" s="23">
        <v>42832</v>
      </c>
      <c r="G819">
        <v>2</v>
      </c>
      <c r="H819">
        <v>6</v>
      </c>
      <c r="I819" t="s">
        <v>5581</v>
      </c>
    </row>
    <row r="820" spans="1:9" x14ac:dyDescent="0.35">
      <c r="A820">
        <v>819</v>
      </c>
      <c r="B820">
        <v>221</v>
      </c>
      <c r="C820">
        <v>4</v>
      </c>
      <c r="D820" s="23">
        <v>42829</v>
      </c>
      <c r="E820" s="23">
        <v>42832</v>
      </c>
      <c r="F820" s="23">
        <v>42830</v>
      </c>
      <c r="G820">
        <v>3</v>
      </c>
      <c r="H820">
        <v>9</v>
      </c>
      <c r="I820" t="s">
        <v>5581</v>
      </c>
    </row>
    <row r="821" spans="1:9" x14ac:dyDescent="0.35">
      <c r="A821">
        <v>820</v>
      </c>
      <c r="B821">
        <v>725</v>
      </c>
      <c r="C821">
        <v>4</v>
      </c>
      <c r="D821" s="23">
        <v>42859</v>
      </c>
      <c r="E821" s="23">
        <v>42833</v>
      </c>
      <c r="F821" s="23">
        <v>42832</v>
      </c>
      <c r="G821">
        <v>2</v>
      </c>
      <c r="H821">
        <v>7</v>
      </c>
      <c r="I821" t="s">
        <v>5581</v>
      </c>
    </row>
    <row r="822" spans="1:9" x14ac:dyDescent="0.35">
      <c r="A822">
        <v>821</v>
      </c>
      <c r="B822">
        <v>1181</v>
      </c>
      <c r="C822">
        <v>4</v>
      </c>
      <c r="D822" s="23">
        <v>42859</v>
      </c>
      <c r="E822" s="23">
        <v>42832</v>
      </c>
      <c r="F822" s="23">
        <v>42833</v>
      </c>
      <c r="G822">
        <v>2</v>
      </c>
      <c r="H822">
        <v>7</v>
      </c>
      <c r="I822" t="s">
        <v>5581</v>
      </c>
    </row>
    <row r="823" spans="1:9" x14ac:dyDescent="0.35">
      <c r="A823">
        <v>822</v>
      </c>
      <c r="B823">
        <v>294</v>
      </c>
      <c r="C823">
        <v>4</v>
      </c>
      <c r="D823" s="23">
        <v>42890</v>
      </c>
      <c r="E823" s="23">
        <v>42833</v>
      </c>
      <c r="F823" s="23">
        <v>42834</v>
      </c>
      <c r="G823">
        <v>2</v>
      </c>
      <c r="H823">
        <v>7</v>
      </c>
      <c r="I823" t="s">
        <v>5581</v>
      </c>
    </row>
    <row r="824" spans="1:9" x14ac:dyDescent="0.35">
      <c r="A824">
        <v>823</v>
      </c>
      <c r="B824">
        <v>415</v>
      </c>
      <c r="C824">
        <v>4</v>
      </c>
      <c r="D824" s="23">
        <v>42890</v>
      </c>
      <c r="E824" s="23">
        <v>42832</v>
      </c>
      <c r="F824" s="23">
        <v>42833</v>
      </c>
      <c r="G824">
        <v>3</v>
      </c>
      <c r="H824">
        <v>8</v>
      </c>
      <c r="I824" t="s">
        <v>5581</v>
      </c>
    </row>
    <row r="825" spans="1:9" x14ac:dyDescent="0.35">
      <c r="A825">
        <v>824</v>
      </c>
      <c r="B825">
        <v>993</v>
      </c>
      <c r="C825">
        <v>4</v>
      </c>
      <c r="D825" s="23">
        <v>42920</v>
      </c>
      <c r="E825" s="23">
        <v>42834</v>
      </c>
      <c r="F825" s="23">
        <v>42835</v>
      </c>
      <c r="G825">
        <v>1</v>
      </c>
      <c r="H825">
        <v>2</v>
      </c>
      <c r="I825" t="s">
        <v>5581</v>
      </c>
    </row>
    <row r="826" spans="1:9" x14ac:dyDescent="0.35">
      <c r="A826">
        <v>825</v>
      </c>
      <c r="B826">
        <v>10</v>
      </c>
      <c r="C826">
        <v>4</v>
      </c>
      <c r="D826" s="23">
        <v>42920</v>
      </c>
      <c r="E826" s="23">
        <v>42833</v>
      </c>
      <c r="F826" s="23">
        <v>42834</v>
      </c>
      <c r="G826">
        <v>2</v>
      </c>
      <c r="H826">
        <v>7</v>
      </c>
      <c r="I826" t="s">
        <v>5581</v>
      </c>
    </row>
    <row r="827" spans="1:9" x14ac:dyDescent="0.35">
      <c r="A827">
        <v>826</v>
      </c>
      <c r="B827">
        <v>45</v>
      </c>
      <c r="C827">
        <v>4</v>
      </c>
      <c r="D827" s="23">
        <v>42920</v>
      </c>
      <c r="E827" s="23">
        <v>42835</v>
      </c>
      <c r="F827" s="23">
        <v>42835</v>
      </c>
      <c r="G827">
        <v>2</v>
      </c>
      <c r="H827">
        <v>6</v>
      </c>
      <c r="I827" t="s">
        <v>5581</v>
      </c>
    </row>
    <row r="828" spans="1:9" x14ac:dyDescent="0.35">
      <c r="A828">
        <v>827</v>
      </c>
      <c r="B828">
        <v>666</v>
      </c>
      <c r="C828">
        <v>4</v>
      </c>
      <c r="D828" s="23">
        <v>42920</v>
      </c>
      <c r="E828" s="23">
        <v>42835</v>
      </c>
      <c r="F828" s="23">
        <v>42835</v>
      </c>
      <c r="G828">
        <v>2</v>
      </c>
      <c r="H828">
        <v>7</v>
      </c>
      <c r="I828" t="s">
        <v>5581</v>
      </c>
    </row>
    <row r="829" spans="1:9" x14ac:dyDescent="0.35">
      <c r="A829">
        <v>828</v>
      </c>
      <c r="B829">
        <v>246</v>
      </c>
      <c r="C829">
        <v>4</v>
      </c>
      <c r="D829" s="23">
        <v>42982</v>
      </c>
      <c r="E829" s="23">
        <v>42835</v>
      </c>
      <c r="F829" s="23">
        <v>42837</v>
      </c>
      <c r="G829">
        <v>2</v>
      </c>
      <c r="H829">
        <v>6</v>
      </c>
      <c r="I829" t="s">
        <v>5581</v>
      </c>
    </row>
    <row r="830" spans="1:9" x14ac:dyDescent="0.35">
      <c r="A830">
        <v>829</v>
      </c>
      <c r="B830">
        <v>674</v>
      </c>
      <c r="C830">
        <v>4</v>
      </c>
      <c r="D830" s="23">
        <v>42982</v>
      </c>
      <c r="E830" s="23">
        <v>42835</v>
      </c>
      <c r="F830" s="23">
        <v>42835</v>
      </c>
      <c r="G830">
        <v>2</v>
      </c>
      <c r="H830">
        <v>7</v>
      </c>
      <c r="I830" t="s">
        <v>5581</v>
      </c>
    </row>
    <row r="831" spans="1:9" x14ac:dyDescent="0.35">
      <c r="A831">
        <v>830</v>
      </c>
      <c r="B831">
        <v>431</v>
      </c>
      <c r="C831">
        <v>4</v>
      </c>
      <c r="D831" s="23">
        <v>43043</v>
      </c>
      <c r="E831" s="23">
        <v>42839</v>
      </c>
      <c r="F831" s="23">
        <v>42837</v>
      </c>
      <c r="G831">
        <v>2</v>
      </c>
      <c r="H831">
        <v>6</v>
      </c>
      <c r="I831" t="s">
        <v>5581</v>
      </c>
    </row>
    <row r="832" spans="1:9" x14ac:dyDescent="0.35">
      <c r="A832">
        <v>831</v>
      </c>
      <c r="B832">
        <v>1000</v>
      </c>
      <c r="C832">
        <v>4</v>
      </c>
      <c r="D832" s="23">
        <v>43043</v>
      </c>
      <c r="E832" s="23">
        <v>42837</v>
      </c>
      <c r="F832" s="23">
        <v>42837</v>
      </c>
      <c r="G832">
        <v>2</v>
      </c>
      <c r="H832">
        <v>7</v>
      </c>
      <c r="I832" t="s">
        <v>5581</v>
      </c>
    </row>
    <row r="833" spans="1:9" x14ac:dyDescent="0.35">
      <c r="A833">
        <v>832</v>
      </c>
      <c r="B833">
        <v>1215</v>
      </c>
      <c r="C833">
        <v>4</v>
      </c>
      <c r="D833" s="23">
        <v>43043</v>
      </c>
      <c r="E833" s="23">
        <v>42837</v>
      </c>
      <c r="F833" s="23">
        <v>42837</v>
      </c>
      <c r="G833">
        <v>2</v>
      </c>
      <c r="H833">
        <v>7</v>
      </c>
      <c r="I833" t="s">
        <v>5581</v>
      </c>
    </row>
    <row r="834" spans="1:9" x14ac:dyDescent="0.35">
      <c r="A834">
        <v>833</v>
      </c>
      <c r="B834">
        <v>406</v>
      </c>
      <c r="C834">
        <v>4</v>
      </c>
      <c r="D834" s="23">
        <v>43073</v>
      </c>
      <c r="E834" s="23">
        <v>42839</v>
      </c>
      <c r="F834" s="23">
        <v>42840</v>
      </c>
      <c r="G834">
        <v>2</v>
      </c>
      <c r="H834">
        <v>7</v>
      </c>
      <c r="I834" t="s">
        <v>5581</v>
      </c>
    </row>
    <row r="835" spans="1:9" x14ac:dyDescent="0.35">
      <c r="A835">
        <v>834</v>
      </c>
      <c r="B835">
        <v>890</v>
      </c>
      <c r="C835">
        <v>4</v>
      </c>
      <c r="D835" s="23">
        <v>43073</v>
      </c>
      <c r="E835" s="23">
        <v>42838</v>
      </c>
      <c r="F835" s="23">
        <v>42840</v>
      </c>
      <c r="G835">
        <v>2</v>
      </c>
      <c r="H835">
        <v>6</v>
      </c>
      <c r="I835" t="s">
        <v>5581</v>
      </c>
    </row>
    <row r="836" spans="1:9" x14ac:dyDescent="0.35">
      <c r="A836">
        <v>835</v>
      </c>
      <c r="B836">
        <v>940</v>
      </c>
      <c r="C836">
        <v>4</v>
      </c>
      <c r="D836" t="s">
        <v>5813</v>
      </c>
      <c r="E836" s="23">
        <v>42840</v>
      </c>
      <c r="F836" s="23">
        <v>42839</v>
      </c>
      <c r="G836">
        <v>1</v>
      </c>
      <c r="H836">
        <v>2</v>
      </c>
      <c r="I836" t="s">
        <v>5581</v>
      </c>
    </row>
    <row r="837" spans="1:9" x14ac:dyDescent="0.35">
      <c r="A837">
        <v>836</v>
      </c>
      <c r="B837">
        <v>455</v>
      </c>
      <c r="C837">
        <v>4</v>
      </c>
      <c r="D837" t="s">
        <v>5813</v>
      </c>
      <c r="E837" s="23">
        <v>42841</v>
      </c>
      <c r="F837" s="23">
        <v>42839</v>
      </c>
      <c r="G837">
        <v>2</v>
      </c>
      <c r="H837">
        <v>6</v>
      </c>
      <c r="I837" t="s">
        <v>5581</v>
      </c>
    </row>
    <row r="838" spans="1:9" x14ac:dyDescent="0.35">
      <c r="A838">
        <v>837</v>
      </c>
      <c r="B838">
        <v>948</v>
      </c>
      <c r="C838">
        <v>4</v>
      </c>
      <c r="D838" t="s">
        <v>5813</v>
      </c>
      <c r="E838" s="23">
        <v>42841</v>
      </c>
      <c r="F838" s="23">
        <v>42839</v>
      </c>
      <c r="G838">
        <v>2</v>
      </c>
      <c r="H838">
        <v>7</v>
      </c>
      <c r="I838" t="s">
        <v>5581</v>
      </c>
    </row>
    <row r="839" spans="1:9" x14ac:dyDescent="0.35">
      <c r="A839">
        <v>838</v>
      </c>
      <c r="B839">
        <v>1395</v>
      </c>
      <c r="C839">
        <v>4</v>
      </c>
      <c r="D839" t="s">
        <v>5814</v>
      </c>
      <c r="E839" s="23">
        <v>42842</v>
      </c>
      <c r="F839" s="23">
        <v>42840</v>
      </c>
      <c r="G839">
        <v>2</v>
      </c>
      <c r="H839">
        <v>7</v>
      </c>
      <c r="I839" t="s">
        <v>5581</v>
      </c>
    </row>
    <row r="840" spans="1:9" x14ac:dyDescent="0.35">
      <c r="A840">
        <v>839</v>
      </c>
      <c r="B840">
        <v>1332</v>
      </c>
      <c r="C840">
        <v>4</v>
      </c>
      <c r="D840" t="s">
        <v>5815</v>
      </c>
      <c r="E840" s="23">
        <v>42843</v>
      </c>
      <c r="F840" s="23">
        <v>42841</v>
      </c>
      <c r="G840">
        <v>1</v>
      </c>
      <c r="H840">
        <v>3</v>
      </c>
      <c r="I840" t="s">
        <v>5581</v>
      </c>
    </row>
    <row r="841" spans="1:9" x14ac:dyDescent="0.35">
      <c r="A841">
        <v>840</v>
      </c>
      <c r="B841">
        <v>372</v>
      </c>
      <c r="C841">
        <v>4</v>
      </c>
      <c r="D841" t="s">
        <v>5815</v>
      </c>
      <c r="E841" s="23">
        <v>42841</v>
      </c>
      <c r="F841" s="23">
        <v>42841</v>
      </c>
      <c r="G841">
        <v>2</v>
      </c>
      <c r="H841">
        <v>6</v>
      </c>
      <c r="I841" t="s">
        <v>5581</v>
      </c>
    </row>
    <row r="842" spans="1:9" x14ac:dyDescent="0.35">
      <c r="A842">
        <v>841</v>
      </c>
      <c r="B842">
        <v>428</v>
      </c>
      <c r="C842">
        <v>4</v>
      </c>
      <c r="D842" t="s">
        <v>5815</v>
      </c>
      <c r="E842" s="23">
        <v>42843</v>
      </c>
      <c r="F842" s="23">
        <v>42842</v>
      </c>
      <c r="G842">
        <v>2</v>
      </c>
      <c r="H842">
        <v>7</v>
      </c>
      <c r="I842" t="s">
        <v>5581</v>
      </c>
    </row>
    <row r="843" spans="1:9" x14ac:dyDescent="0.35">
      <c r="A843">
        <v>842</v>
      </c>
      <c r="B843">
        <v>1133</v>
      </c>
      <c r="C843">
        <v>4</v>
      </c>
      <c r="D843" t="s">
        <v>5815</v>
      </c>
      <c r="E843" s="23">
        <v>42843</v>
      </c>
      <c r="F843" s="23">
        <v>42841</v>
      </c>
      <c r="G843">
        <v>2</v>
      </c>
      <c r="H843">
        <v>6</v>
      </c>
      <c r="I843" t="s">
        <v>5581</v>
      </c>
    </row>
    <row r="844" spans="1:9" x14ac:dyDescent="0.35">
      <c r="A844">
        <v>843</v>
      </c>
      <c r="B844">
        <v>1059</v>
      </c>
      <c r="C844">
        <v>4</v>
      </c>
      <c r="D844" t="s">
        <v>5816</v>
      </c>
      <c r="E844" s="23">
        <v>42842</v>
      </c>
      <c r="F844" s="23">
        <v>42844</v>
      </c>
      <c r="G844">
        <v>2</v>
      </c>
      <c r="H844">
        <v>7</v>
      </c>
      <c r="I844" t="s">
        <v>5581</v>
      </c>
    </row>
    <row r="845" spans="1:9" x14ac:dyDescent="0.35">
      <c r="A845">
        <v>844</v>
      </c>
      <c r="B845">
        <v>1436</v>
      </c>
      <c r="C845">
        <v>4</v>
      </c>
      <c r="D845" t="s">
        <v>5816</v>
      </c>
      <c r="E845" s="23">
        <v>42842</v>
      </c>
      <c r="F845" s="23">
        <v>42843</v>
      </c>
      <c r="G845">
        <v>2</v>
      </c>
      <c r="H845">
        <v>6</v>
      </c>
      <c r="I845" t="s">
        <v>5581</v>
      </c>
    </row>
    <row r="846" spans="1:9" x14ac:dyDescent="0.35">
      <c r="A846">
        <v>845</v>
      </c>
      <c r="B846">
        <v>662</v>
      </c>
      <c r="C846">
        <v>4</v>
      </c>
      <c r="D846" t="s">
        <v>5817</v>
      </c>
      <c r="E846" s="23">
        <v>42843</v>
      </c>
      <c r="F846" s="23">
        <v>42843</v>
      </c>
      <c r="G846">
        <v>2</v>
      </c>
      <c r="H846">
        <v>7</v>
      </c>
      <c r="I846" t="s">
        <v>5581</v>
      </c>
    </row>
    <row r="847" spans="1:9" x14ac:dyDescent="0.35">
      <c r="A847">
        <v>846</v>
      </c>
      <c r="B847">
        <v>715</v>
      </c>
      <c r="C847">
        <v>4</v>
      </c>
      <c r="D847" t="s">
        <v>5817</v>
      </c>
      <c r="E847" s="23">
        <v>42844</v>
      </c>
      <c r="F847" s="23">
        <v>42844</v>
      </c>
      <c r="G847">
        <v>2</v>
      </c>
      <c r="H847">
        <v>6</v>
      </c>
      <c r="I847" t="s">
        <v>5581</v>
      </c>
    </row>
    <row r="848" spans="1:9" x14ac:dyDescent="0.35">
      <c r="A848">
        <v>847</v>
      </c>
      <c r="B848">
        <v>329</v>
      </c>
      <c r="C848">
        <v>4</v>
      </c>
      <c r="D848" t="s">
        <v>5818</v>
      </c>
      <c r="E848" s="23">
        <v>42844</v>
      </c>
      <c r="F848" s="23">
        <v>42844</v>
      </c>
      <c r="G848">
        <v>2</v>
      </c>
      <c r="H848">
        <v>7</v>
      </c>
      <c r="I848" t="s">
        <v>5581</v>
      </c>
    </row>
    <row r="849" spans="1:9" x14ac:dyDescent="0.35">
      <c r="A849">
        <v>848</v>
      </c>
      <c r="B849">
        <v>597</v>
      </c>
      <c r="C849">
        <v>4</v>
      </c>
      <c r="D849" t="s">
        <v>5818</v>
      </c>
      <c r="E849" s="23">
        <v>42845</v>
      </c>
      <c r="F849" s="23">
        <v>42845</v>
      </c>
      <c r="G849">
        <v>2</v>
      </c>
      <c r="H849">
        <v>7</v>
      </c>
      <c r="I849" t="s">
        <v>5581</v>
      </c>
    </row>
    <row r="850" spans="1:9" x14ac:dyDescent="0.35">
      <c r="A850">
        <v>849</v>
      </c>
      <c r="B850">
        <v>776</v>
      </c>
      <c r="C850">
        <v>4</v>
      </c>
      <c r="D850" t="s">
        <v>5819</v>
      </c>
      <c r="E850" s="23">
        <v>42845</v>
      </c>
      <c r="F850" s="23">
        <v>42846</v>
      </c>
      <c r="G850">
        <v>1</v>
      </c>
      <c r="H850">
        <v>2</v>
      </c>
      <c r="I850" t="s">
        <v>5581</v>
      </c>
    </row>
    <row r="851" spans="1:9" x14ac:dyDescent="0.35">
      <c r="A851">
        <v>850</v>
      </c>
      <c r="B851">
        <v>1346</v>
      </c>
      <c r="C851">
        <v>4</v>
      </c>
      <c r="D851" t="s">
        <v>5819</v>
      </c>
      <c r="E851" s="23">
        <v>42847</v>
      </c>
      <c r="F851" s="23">
        <v>42847</v>
      </c>
      <c r="G851">
        <v>1</v>
      </c>
      <c r="H851">
        <v>3</v>
      </c>
      <c r="I851" t="s">
        <v>5581</v>
      </c>
    </row>
    <row r="852" spans="1:9" x14ac:dyDescent="0.35">
      <c r="A852">
        <v>851</v>
      </c>
      <c r="B852">
        <v>1139</v>
      </c>
      <c r="C852">
        <v>4</v>
      </c>
      <c r="D852" t="s">
        <v>5820</v>
      </c>
      <c r="E852" s="23">
        <v>42846</v>
      </c>
      <c r="F852" s="23">
        <v>42847</v>
      </c>
      <c r="G852">
        <v>2</v>
      </c>
      <c r="H852">
        <v>6</v>
      </c>
      <c r="I852" t="s">
        <v>5581</v>
      </c>
    </row>
    <row r="853" spans="1:9" x14ac:dyDescent="0.35">
      <c r="A853">
        <v>852</v>
      </c>
      <c r="B853">
        <v>13</v>
      </c>
      <c r="C853">
        <v>4</v>
      </c>
      <c r="D853" t="s">
        <v>5821</v>
      </c>
      <c r="E853" s="23">
        <v>42848</v>
      </c>
      <c r="F853" s="23">
        <v>42847</v>
      </c>
      <c r="G853">
        <v>3</v>
      </c>
      <c r="H853">
        <v>9</v>
      </c>
      <c r="I853" t="s">
        <v>5581</v>
      </c>
    </row>
    <row r="854" spans="1:9" x14ac:dyDescent="0.35">
      <c r="A854">
        <v>853</v>
      </c>
      <c r="B854">
        <v>883</v>
      </c>
      <c r="C854">
        <v>4</v>
      </c>
      <c r="D854" t="s">
        <v>5821</v>
      </c>
      <c r="E854" s="23">
        <v>42849</v>
      </c>
      <c r="F854" s="23">
        <v>42849</v>
      </c>
      <c r="G854">
        <v>3</v>
      </c>
      <c r="H854">
        <v>8</v>
      </c>
      <c r="I854" t="s">
        <v>5581</v>
      </c>
    </row>
    <row r="855" spans="1:9" x14ac:dyDescent="0.35">
      <c r="A855">
        <v>854</v>
      </c>
      <c r="B855">
        <v>177</v>
      </c>
      <c r="C855">
        <v>4</v>
      </c>
      <c r="D855" t="s">
        <v>5822</v>
      </c>
      <c r="E855" s="23">
        <v>42850</v>
      </c>
      <c r="F855" s="23">
        <v>42848</v>
      </c>
      <c r="G855">
        <v>2</v>
      </c>
      <c r="H855">
        <v>6</v>
      </c>
      <c r="I855" t="s">
        <v>5581</v>
      </c>
    </row>
    <row r="856" spans="1:9" x14ac:dyDescent="0.35">
      <c r="A856">
        <v>855</v>
      </c>
      <c r="B856">
        <v>775</v>
      </c>
      <c r="C856">
        <v>4</v>
      </c>
      <c r="D856" t="s">
        <v>5822</v>
      </c>
      <c r="E856" s="23">
        <v>42848</v>
      </c>
      <c r="F856" s="23">
        <v>42850</v>
      </c>
      <c r="G856">
        <v>2</v>
      </c>
      <c r="H856">
        <v>6</v>
      </c>
      <c r="I856" t="s">
        <v>5581</v>
      </c>
    </row>
    <row r="857" spans="1:9" x14ac:dyDescent="0.35">
      <c r="A857">
        <v>856</v>
      </c>
      <c r="B857">
        <v>477</v>
      </c>
      <c r="C857">
        <v>4</v>
      </c>
      <c r="D857" t="s">
        <v>5823</v>
      </c>
      <c r="E857" s="23">
        <v>42850</v>
      </c>
      <c r="F857" s="23">
        <v>42851</v>
      </c>
      <c r="G857">
        <v>2</v>
      </c>
      <c r="H857">
        <v>6</v>
      </c>
      <c r="I857" t="s">
        <v>5581</v>
      </c>
    </row>
    <row r="858" spans="1:9" x14ac:dyDescent="0.35">
      <c r="A858">
        <v>857</v>
      </c>
      <c r="B858">
        <v>1402</v>
      </c>
      <c r="C858">
        <v>4</v>
      </c>
      <c r="D858" t="s">
        <v>5824</v>
      </c>
      <c r="E858" s="23">
        <v>42850</v>
      </c>
      <c r="F858" s="23">
        <v>42851</v>
      </c>
      <c r="G858">
        <v>2</v>
      </c>
      <c r="H858">
        <v>7</v>
      </c>
      <c r="I858" t="s">
        <v>5581</v>
      </c>
    </row>
    <row r="859" spans="1:9" x14ac:dyDescent="0.35">
      <c r="A859">
        <v>858</v>
      </c>
      <c r="B859">
        <v>162</v>
      </c>
      <c r="C859">
        <v>4</v>
      </c>
      <c r="D859" t="s">
        <v>5825</v>
      </c>
      <c r="E859" s="23">
        <v>42852</v>
      </c>
      <c r="F859" s="23">
        <v>42853</v>
      </c>
      <c r="G859">
        <v>2</v>
      </c>
      <c r="H859">
        <v>6</v>
      </c>
      <c r="I859" t="s">
        <v>5581</v>
      </c>
    </row>
    <row r="860" spans="1:9" x14ac:dyDescent="0.35">
      <c r="A860">
        <v>859</v>
      </c>
      <c r="B860">
        <v>644</v>
      </c>
      <c r="C860">
        <v>4</v>
      </c>
      <c r="D860" t="s">
        <v>5825</v>
      </c>
      <c r="E860" s="23">
        <v>42851</v>
      </c>
      <c r="F860" s="23">
        <v>42851</v>
      </c>
      <c r="G860">
        <v>2</v>
      </c>
      <c r="H860">
        <v>6</v>
      </c>
      <c r="I860" t="s">
        <v>5581</v>
      </c>
    </row>
    <row r="861" spans="1:9" x14ac:dyDescent="0.35">
      <c r="A861">
        <v>860</v>
      </c>
      <c r="B861">
        <v>473</v>
      </c>
      <c r="C861">
        <v>4</v>
      </c>
      <c r="D861" t="s">
        <v>5826</v>
      </c>
      <c r="E861" s="23">
        <v>42854</v>
      </c>
      <c r="F861" s="23">
        <v>42853</v>
      </c>
      <c r="G861">
        <v>2</v>
      </c>
      <c r="H861">
        <v>7</v>
      </c>
      <c r="I861" t="s">
        <v>5581</v>
      </c>
    </row>
    <row r="862" spans="1:9" x14ac:dyDescent="0.35">
      <c r="A862">
        <v>861</v>
      </c>
      <c r="B862">
        <v>1177</v>
      </c>
      <c r="C862">
        <v>4</v>
      </c>
      <c r="D862" t="s">
        <v>5826</v>
      </c>
      <c r="E862" s="23">
        <v>42854</v>
      </c>
      <c r="F862" s="23">
        <v>42855</v>
      </c>
      <c r="G862">
        <v>2</v>
      </c>
      <c r="H862">
        <v>7</v>
      </c>
      <c r="I862" t="s">
        <v>5581</v>
      </c>
    </row>
    <row r="863" spans="1:9" x14ac:dyDescent="0.35">
      <c r="A863">
        <v>862</v>
      </c>
      <c r="B863">
        <v>1230</v>
      </c>
      <c r="C863">
        <v>4</v>
      </c>
      <c r="D863" t="s">
        <v>5826</v>
      </c>
      <c r="E863" s="23">
        <v>42855</v>
      </c>
      <c r="F863" s="23">
        <v>42854</v>
      </c>
      <c r="G863">
        <v>3</v>
      </c>
      <c r="H863">
        <v>8</v>
      </c>
      <c r="I863" t="s">
        <v>5581</v>
      </c>
    </row>
    <row r="864" spans="1:9" x14ac:dyDescent="0.35">
      <c r="A864">
        <v>863</v>
      </c>
      <c r="B864">
        <v>446</v>
      </c>
      <c r="C864">
        <v>4</v>
      </c>
      <c r="D864" t="s">
        <v>5827</v>
      </c>
      <c r="E864" s="23">
        <v>42855</v>
      </c>
      <c r="F864" s="23">
        <v>42856</v>
      </c>
      <c r="G864">
        <v>2</v>
      </c>
      <c r="H864">
        <v>7</v>
      </c>
      <c r="I864" t="s">
        <v>5581</v>
      </c>
    </row>
    <row r="865" spans="1:9" x14ac:dyDescent="0.35">
      <c r="A865">
        <v>864</v>
      </c>
      <c r="B865">
        <v>902</v>
      </c>
      <c r="C865">
        <v>4</v>
      </c>
      <c r="D865" t="s">
        <v>5827</v>
      </c>
      <c r="E865" s="23">
        <v>42855</v>
      </c>
      <c r="F865" s="23">
        <v>42854</v>
      </c>
      <c r="G865">
        <v>2</v>
      </c>
      <c r="H865">
        <v>6</v>
      </c>
      <c r="I865" t="s">
        <v>5581</v>
      </c>
    </row>
    <row r="866" spans="1:9" x14ac:dyDescent="0.35">
      <c r="A866">
        <v>865</v>
      </c>
      <c r="B866">
        <v>974</v>
      </c>
      <c r="C866">
        <v>4</v>
      </c>
      <c r="D866" t="s">
        <v>5828</v>
      </c>
      <c r="E866" s="23">
        <v>42857</v>
      </c>
      <c r="F866" s="23">
        <v>42856</v>
      </c>
      <c r="G866">
        <v>2</v>
      </c>
      <c r="H866">
        <v>6</v>
      </c>
      <c r="I866" t="s">
        <v>5581</v>
      </c>
    </row>
    <row r="867" spans="1:9" x14ac:dyDescent="0.35">
      <c r="A867">
        <v>866</v>
      </c>
      <c r="B867">
        <v>1410</v>
      </c>
      <c r="C867">
        <v>4</v>
      </c>
      <c r="D867" t="s">
        <v>5828</v>
      </c>
      <c r="E867" s="23">
        <v>42855</v>
      </c>
      <c r="F867" s="23">
        <v>42856</v>
      </c>
      <c r="G867">
        <v>2</v>
      </c>
      <c r="H867">
        <v>6</v>
      </c>
      <c r="I867" t="s">
        <v>5581</v>
      </c>
    </row>
    <row r="868" spans="1:9" x14ac:dyDescent="0.35">
      <c r="A868">
        <v>867</v>
      </c>
      <c r="B868">
        <v>97</v>
      </c>
      <c r="C868">
        <v>4</v>
      </c>
      <c r="D868" s="23">
        <v>42740</v>
      </c>
      <c r="E868" s="23">
        <v>42858</v>
      </c>
      <c r="F868" s="23">
        <v>42857</v>
      </c>
      <c r="G868">
        <v>1</v>
      </c>
      <c r="H868">
        <v>3</v>
      </c>
      <c r="I868" t="s">
        <v>5581</v>
      </c>
    </row>
    <row r="869" spans="1:9" x14ac:dyDescent="0.35">
      <c r="A869">
        <v>868</v>
      </c>
      <c r="B869">
        <v>868</v>
      </c>
      <c r="C869">
        <v>4</v>
      </c>
      <c r="D869" s="23">
        <v>42740</v>
      </c>
      <c r="E869" s="23">
        <v>42859</v>
      </c>
      <c r="F869" s="23">
        <v>42857</v>
      </c>
      <c r="G869">
        <v>1</v>
      </c>
      <c r="H869">
        <v>3</v>
      </c>
      <c r="I869" t="s">
        <v>5581</v>
      </c>
    </row>
    <row r="870" spans="1:9" x14ac:dyDescent="0.35">
      <c r="A870">
        <v>869</v>
      </c>
      <c r="B870">
        <v>844</v>
      </c>
      <c r="C870">
        <v>4</v>
      </c>
      <c r="D870" s="23">
        <v>42740</v>
      </c>
      <c r="E870" s="23">
        <v>42859</v>
      </c>
      <c r="F870" s="23">
        <v>42857</v>
      </c>
      <c r="G870">
        <v>2</v>
      </c>
      <c r="H870">
        <v>7</v>
      </c>
      <c r="I870" t="s">
        <v>5581</v>
      </c>
    </row>
    <row r="871" spans="1:9" x14ac:dyDescent="0.35">
      <c r="A871">
        <v>870</v>
      </c>
      <c r="B871">
        <v>1416</v>
      </c>
      <c r="C871">
        <v>4</v>
      </c>
      <c r="D871" s="23">
        <v>42740</v>
      </c>
      <c r="E871" s="23">
        <v>42859</v>
      </c>
      <c r="F871" s="23">
        <v>42857</v>
      </c>
      <c r="G871">
        <v>2</v>
      </c>
      <c r="H871">
        <v>6</v>
      </c>
      <c r="I871" t="s">
        <v>5581</v>
      </c>
    </row>
    <row r="872" spans="1:9" x14ac:dyDescent="0.35">
      <c r="A872">
        <v>871</v>
      </c>
      <c r="B872">
        <v>358</v>
      </c>
      <c r="C872">
        <v>4</v>
      </c>
      <c r="D872" s="23">
        <v>42771</v>
      </c>
      <c r="E872" s="23">
        <v>42859</v>
      </c>
      <c r="F872" s="23">
        <v>42858</v>
      </c>
      <c r="G872">
        <v>2</v>
      </c>
      <c r="H872">
        <v>7</v>
      </c>
      <c r="I872" t="s">
        <v>5581</v>
      </c>
    </row>
    <row r="873" spans="1:9" x14ac:dyDescent="0.35">
      <c r="A873">
        <v>872</v>
      </c>
      <c r="B873">
        <v>394</v>
      </c>
      <c r="C873">
        <v>4</v>
      </c>
      <c r="D873" s="23">
        <v>42799</v>
      </c>
      <c r="E873" s="23">
        <v>42861</v>
      </c>
      <c r="F873" s="23">
        <v>42861</v>
      </c>
      <c r="G873">
        <v>1</v>
      </c>
      <c r="H873">
        <v>3</v>
      </c>
      <c r="I873" t="s">
        <v>5581</v>
      </c>
    </row>
    <row r="874" spans="1:9" x14ac:dyDescent="0.35">
      <c r="A874">
        <v>873</v>
      </c>
      <c r="B874">
        <v>829</v>
      </c>
      <c r="C874">
        <v>4</v>
      </c>
      <c r="D874" s="23">
        <v>42799</v>
      </c>
      <c r="E874" s="23">
        <v>42860</v>
      </c>
      <c r="F874" s="23">
        <v>42860</v>
      </c>
      <c r="G874">
        <v>2</v>
      </c>
      <c r="H874">
        <v>7</v>
      </c>
      <c r="I874" t="s">
        <v>5581</v>
      </c>
    </row>
    <row r="875" spans="1:9" x14ac:dyDescent="0.35">
      <c r="A875">
        <v>874</v>
      </c>
      <c r="B875">
        <v>661</v>
      </c>
      <c r="C875">
        <v>4</v>
      </c>
      <c r="D875" s="23">
        <v>42830</v>
      </c>
      <c r="E875" s="23">
        <v>42860</v>
      </c>
      <c r="F875" s="23">
        <v>42861</v>
      </c>
      <c r="G875">
        <v>2</v>
      </c>
      <c r="H875">
        <v>7</v>
      </c>
      <c r="I875" t="s">
        <v>5581</v>
      </c>
    </row>
    <row r="876" spans="1:9" x14ac:dyDescent="0.35">
      <c r="A876">
        <v>875</v>
      </c>
      <c r="B876">
        <v>386</v>
      </c>
      <c r="C876">
        <v>4</v>
      </c>
      <c r="D876" s="23">
        <v>42860</v>
      </c>
      <c r="E876" s="23">
        <v>42861</v>
      </c>
      <c r="F876" s="23">
        <v>42863</v>
      </c>
      <c r="G876">
        <v>1</v>
      </c>
      <c r="H876">
        <v>3</v>
      </c>
      <c r="I876" t="s">
        <v>5581</v>
      </c>
    </row>
    <row r="877" spans="1:9" x14ac:dyDescent="0.35">
      <c r="A877">
        <v>876</v>
      </c>
      <c r="B877">
        <v>1046</v>
      </c>
      <c r="C877">
        <v>4</v>
      </c>
      <c r="D877" s="23">
        <v>42860</v>
      </c>
      <c r="E877" s="23">
        <v>42863</v>
      </c>
      <c r="F877" s="23">
        <v>42861</v>
      </c>
      <c r="G877">
        <v>2</v>
      </c>
      <c r="H877">
        <v>7</v>
      </c>
      <c r="I877" t="s">
        <v>5581</v>
      </c>
    </row>
    <row r="878" spans="1:9" x14ac:dyDescent="0.35">
      <c r="A878">
        <v>877</v>
      </c>
      <c r="B878">
        <v>784</v>
      </c>
      <c r="C878">
        <v>4</v>
      </c>
      <c r="D878" s="23">
        <v>42891</v>
      </c>
      <c r="E878" s="23">
        <v>42862</v>
      </c>
      <c r="F878" s="23">
        <v>42863</v>
      </c>
      <c r="G878">
        <v>2</v>
      </c>
      <c r="H878">
        <v>6</v>
      </c>
      <c r="I878" t="s">
        <v>5581</v>
      </c>
    </row>
    <row r="879" spans="1:9" x14ac:dyDescent="0.35">
      <c r="A879">
        <v>878</v>
      </c>
      <c r="B879">
        <v>224</v>
      </c>
      <c r="C879">
        <v>4</v>
      </c>
      <c r="D879" s="23">
        <v>42921</v>
      </c>
      <c r="E879" s="23">
        <v>42865</v>
      </c>
      <c r="F879" s="23">
        <v>42864</v>
      </c>
      <c r="G879">
        <v>1</v>
      </c>
      <c r="H879">
        <v>3</v>
      </c>
      <c r="I879" t="s">
        <v>5581</v>
      </c>
    </row>
    <row r="880" spans="1:9" x14ac:dyDescent="0.35">
      <c r="A880">
        <v>879</v>
      </c>
      <c r="B880">
        <v>214</v>
      </c>
      <c r="C880">
        <v>4</v>
      </c>
      <c r="D880" s="23">
        <v>42952</v>
      </c>
      <c r="E880" s="23">
        <v>42864</v>
      </c>
      <c r="F880" s="23">
        <v>42864</v>
      </c>
      <c r="G880">
        <v>2</v>
      </c>
      <c r="H880">
        <v>7</v>
      </c>
      <c r="I880" t="s">
        <v>5581</v>
      </c>
    </row>
    <row r="881" spans="1:9" x14ac:dyDescent="0.35">
      <c r="A881">
        <v>880</v>
      </c>
      <c r="B881">
        <v>1206</v>
      </c>
      <c r="C881">
        <v>4</v>
      </c>
      <c r="D881" s="23">
        <v>42952</v>
      </c>
      <c r="E881" s="23">
        <v>42866</v>
      </c>
      <c r="F881" s="23">
        <v>42865</v>
      </c>
      <c r="G881">
        <v>2</v>
      </c>
      <c r="H881">
        <v>6</v>
      </c>
      <c r="I881" t="s">
        <v>5581</v>
      </c>
    </row>
    <row r="882" spans="1:9" x14ac:dyDescent="0.35">
      <c r="A882">
        <v>881</v>
      </c>
      <c r="B882">
        <v>1024</v>
      </c>
      <c r="C882">
        <v>4</v>
      </c>
      <c r="D882" s="23">
        <v>42952</v>
      </c>
      <c r="E882" s="23">
        <v>42866</v>
      </c>
      <c r="F882" s="23">
        <v>42866</v>
      </c>
      <c r="G882">
        <v>3</v>
      </c>
      <c r="H882">
        <v>9</v>
      </c>
      <c r="I882" t="s">
        <v>5581</v>
      </c>
    </row>
    <row r="883" spans="1:9" x14ac:dyDescent="0.35">
      <c r="A883">
        <v>882</v>
      </c>
      <c r="B883">
        <v>196</v>
      </c>
      <c r="C883">
        <v>4</v>
      </c>
      <c r="D883" s="23">
        <v>42983</v>
      </c>
      <c r="E883" s="23">
        <v>42867</v>
      </c>
      <c r="F883" s="23">
        <v>42865</v>
      </c>
      <c r="G883">
        <v>2</v>
      </c>
      <c r="H883">
        <v>6</v>
      </c>
      <c r="I883" t="s">
        <v>5581</v>
      </c>
    </row>
    <row r="884" spans="1:9" x14ac:dyDescent="0.35">
      <c r="A884">
        <v>883</v>
      </c>
      <c r="B884">
        <v>507</v>
      </c>
      <c r="C884">
        <v>4</v>
      </c>
      <c r="D884" s="23">
        <v>43044</v>
      </c>
      <c r="E884" s="23">
        <v>42868</v>
      </c>
      <c r="F884" s="23">
        <v>42869</v>
      </c>
      <c r="G884">
        <v>2</v>
      </c>
      <c r="H884">
        <v>6</v>
      </c>
      <c r="I884" t="s">
        <v>5581</v>
      </c>
    </row>
    <row r="885" spans="1:9" x14ac:dyDescent="0.35">
      <c r="A885">
        <v>884</v>
      </c>
      <c r="B885">
        <v>871</v>
      </c>
      <c r="C885">
        <v>4</v>
      </c>
      <c r="D885" s="23">
        <v>43044</v>
      </c>
      <c r="E885" s="23">
        <v>42868</v>
      </c>
      <c r="F885" s="23">
        <v>42867</v>
      </c>
      <c r="G885">
        <v>2</v>
      </c>
      <c r="H885">
        <v>7</v>
      </c>
      <c r="I885" t="s">
        <v>5581</v>
      </c>
    </row>
    <row r="886" spans="1:9" x14ac:dyDescent="0.35">
      <c r="A886">
        <v>885</v>
      </c>
      <c r="B886">
        <v>66</v>
      </c>
      <c r="C886">
        <v>3</v>
      </c>
      <c r="D886" t="s">
        <v>5829</v>
      </c>
      <c r="E886" s="23">
        <v>42868</v>
      </c>
      <c r="F886" t="s">
        <v>5597</v>
      </c>
      <c r="G886">
        <v>3</v>
      </c>
      <c r="H886">
        <v>8</v>
      </c>
      <c r="I886" t="s">
        <v>5598</v>
      </c>
    </row>
    <row r="887" spans="1:9" x14ac:dyDescent="0.35">
      <c r="A887">
        <v>886</v>
      </c>
      <c r="B887">
        <v>1396</v>
      </c>
      <c r="C887">
        <v>4</v>
      </c>
      <c r="D887" t="s">
        <v>5829</v>
      </c>
      <c r="E887" s="23">
        <v>42869</v>
      </c>
      <c r="F887" s="23">
        <v>42870</v>
      </c>
      <c r="G887">
        <v>1</v>
      </c>
      <c r="H887">
        <v>2</v>
      </c>
      <c r="I887" t="s">
        <v>5581</v>
      </c>
    </row>
    <row r="888" spans="1:9" x14ac:dyDescent="0.35">
      <c r="A888">
        <v>887</v>
      </c>
      <c r="B888">
        <v>1195</v>
      </c>
      <c r="C888">
        <v>4</v>
      </c>
      <c r="D888" t="s">
        <v>5829</v>
      </c>
      <c r="E888" s="23">
        <v>42870</v>
      </c>
      <c r="F888" s="23">
        <v>42870</v>
      </c>
      <c r="G888">
        <v>2</v>
      </c>
      <c r="H888">
        <v>6</v>
      </c>
      <c r="I888" t="s">
        <v>5581</v>
      </c>
    </row>
    <row r="889" spans="1:9" x14ac:dyDescent="0.35">
      <c r="A889">
        <v>888</v>
      </c>
      <c r="B889">
        <v>1038</v>
      </c>
      <c r="C889">
        <v>4</v>
      </c>
      <c r="D889" t="s">
        <v>5830</v>
      </c>
      <c r="E889" s="23">
        <v>42871</v>
      </c>
      <c r="F889" s="23">
        <v>42871</v>
      </c>
      <c r="G889">
        <v>2</v>
      </c>
      <c r="H889">
        <v>7</v>
      </c>
      <c r="I889" t="s">
        <v>5581</v>
      </c>
    </row>
    <row r="890" spans="1:9" x14ac:dyDescent="0.35">
      <c r="A890">
        <v>889</v>
      </c>
      <c r="B890">
        <v>830</v>
      </c>
      <c r="C890">
        <v>4</v>
      </c>
      <c r="D890" t="s">
        <v>5830</v>
      </c>
      <c r="E890" s="23">
        <v>42872</v>
      </c>
      <c r="F890" s="23">
        <v>42870</v>
      </c>
      <c r="G890">
        <v>3</v>
      </c>
      <c r="H890">
        <v>8</v>
      </c>
      <c r="I890" t="s">
        <v>5581</v>
      </c>
    </row>
    <row r="891" spans="1:9" x14ac:dyDescent="0.35">
      <c r="A891">
        <v>890</v>
      </c>
      <c r="B891">
        <v>171</v>
      </c>
      <c r="C891">
        <v>4</v>
      </c>
      <c r="D891" t="s">
        <v>5831</v>
      </c>
      <c r="E891" s="23">
        <v>42873</v>
      </c>
      <c r="F891" s="23">
        <v>42873</v>
      </c>
      <c r="G891">
        <v>2</v>
      </c>
      <c r="H891">
        <v>6</v>
      </c>
      <c r="I891" t="s">
        <v>5581</v>
      </c>
    </row>
    <row r="892" spans="1:9" x14ac:dyDescent="0.35">
      <c r="A892">
        <v>891</v>
      </c>
      <c r="B892">
        <v>384</v>
      </c>
      <c r="C892">
        <v>4</v>
      </c>
      <c r="D892" t="s">
        <v>5831</v>
      </c>
      <c r="E892" s="23">
        <v>42873</v>
      </c>
      <c r="F892" s="23">
        <v>42871</v>
      </c>
      <c r="G892">
        <v>2</v>
      </c>
      <c r="H892">
        <v>6</v>
      </c>
      <c r="I892" t="s">
        <v>5581</v>
      </c>
    </row>
    <row r="893" spans="1:9" x14ac:dyDescent="0.35">
      <c r="A893">
        <v>892</v>
      </c>
      <c r="B893">
        <v>651</v>
      </c>
      <c r="C893">
        <v>4</v>
      </c>
      <c r="D893" t="s">
        <v>5831</v>
      </c>
      <c r="E893" s="23">
        <v>42873</v>
      </c>
      <c r="F893" s="23">
        <v>42872</v>
      </c>
      <c r="G893">
        <v>2</v>
      </c>
      <c r="H893">
        <v>7</v>
      </c>
      <c r="I893" t="s">
        <v>5581</v>
      </c>
    </row>
    <row r="894" spans="1:9" x14ac:dyDescent="0.35">
      <c r="A894">
        <v>893</v>
      </c>
      <c r="B894">
        <v>1293</v>
      </c>
      <c r="C894">
        <v>4</v>
      </c>
      <c r="D894" t="s">
        <v>5832</v>
      </c>
      <c r="E894" s="23">
        <v>42874</v>
      </c>
      <c r="F894" s="23">
        <v>42874</v>
      </c>
      <c r="G894">
        <v>2</v>
      </c>
      <c r="H894">
        <v>7</v>
      </c>
      <c r="I894" t="s">
        <v>5581</v>
      </c>
    </row>
    <row r="895" spans="1:9" x14ac:dyDescent="0.35">
      <c r="A895">
        <v>894</v>
      </c>
      <c r="B895">
        <v>1320</v>
      </c>
      <c r="C895">
        <v>4</v>
      </c>
      <c r="D895" t="s">
        <v>5832</v>
      </c>
      <c r="E895" s="23">
        <v>42874</v>
      </c>
      <c r="F895" s="23">
        <v>42874</v>
      </c>
      <c r="G895">
        <v>2</v>
      </c>
      <c r="H895">
        <v>6</v>
      </c>
      <c r="I895" t="s">
        <v>5581</v>
      </c>
    </row>
    <row r="896" spans="1:9" x14ac:dyDescent="0.35">
      <c r="A896">
        <v>895</v>
      </c>
      <c r="B896">
        <v>857</v>
      </c>
      <c r="C896">
        <v>4</v>
      </c>
      <c r="D896" t="s">
        <v>5833</v>
      </c>
      <c r="E896" s="23">
        <v>42876</v>
      </c>
      <c r="F896" s="23">
        <v>42874</v>
      </c>
      <c r="G896">
        <v>2</v>
      </c>
      <c r="H896">
        <v>6</v>
      </c>
      <c r="I896" t="s">
        <v>5581</v>
      </c>
    </row>
    <row r="897" spans="1:9" x14ac:dyDescent="0.35">
      <c r="A897">
        <v>896</v>
      </c>
      <c r="B897">
        <v>376</v>
      </c>
      <c r="C897">
        <v>4</v>
      </c>
      <c r="D897" t="s">
        <v>5834</v>
      </c>
      <c r="E897" s="23">
        <v>42877</v>
      </c>
      <c r="F897" s="23">
        <v>42876</v>
      </c>
      <c r="G897">
        <v>3</v>
      </c>
      <c r="H897">
        <v>9</v>
      </c>
      <c r="I897" t="s">
        <v>5581</v>
      </c>
    </row>
    <row r="898" spans="1:9" x14ac:dyDescent="0.35">
      <c r="A898">
        <v>897</v>
      </c>
      <c r="B898">
        <v>47</v>
      </c>
      <c r="C898">
        <v>4</v>
      </c>
      <c r="D898" t="s">
        <v>5835</v>
      </c>
      <c r="E898" s="23">
        <v>42876</v>
      </c>
      <c r="F898" s="23">
        <v>42876</v>
      </c>
      <c r="G898">
        <v>1</v>
      </c>
      <c r="H898">
        <v>2</v>
      </c>
      <c r="I898" t="s">
        <v>5581</v>
      </c>
    </row>
    <row r="899" spans="1:9" x14ac:dyDescent="0.35">
      <c r="A899">
        <v>898</v>
      </c>
      <c r="B899">
        <v>352</v>
      </c>
      <c r="C899">
        <v>4</v>
      </c>
      <c r="D899" t="s">
        <v>5835</v>
      </c>
      <c r="E899" s="23">
        <v>42876</v>
      </c>
      <c r="F899" s="23">
        <v>42877</v>
      </c>
      <c r="G899">
        <v>2</v>
      </c>
      <c r="H899">
        <v>6</v>
      </c>
      <c r="I899" t="s">
        <v>5581</v>
      </c>
    </row>
    <row r="900" spans="1:9" x14ac:dyDescent="0.35">
      <c r="A900">
        <v>899</v>
      </c>
      <c r="B900">
        <v>605</v>
      </c>
      <c r="C900">
        <v>4</v>
      </c>
      <c r="D900" t="s">
        <v>5835</v>
      </c>
      <c r="E900" s="23">
        <v>42876</v>
      </c>
      <c r="F900" s="23">
        <v>42876</v>
      </c>
      <c r="G900">
        <v>2</v>
      </c>
      <c r="H900">
        <v>7</v>
      </c>
      <c r="I900" t="s">
        <v>5581</v>
      </c>
    </row>
    <row r="901" spans="1:9" x14ac:dyDescent="0.35">
      <c r="A901">
        <v>900</v>
      </c>
      <c r="B901">
        <v>971</v>
      </c>
      <c r="C901">
        <v>4</v>
      </c>
      <c r="D901" t="s">
        <v>5835</v>
      </c>
      <c r="E901" s="23">
        <v>42876</v>
      </c>
      <c r="F901" s="23">
        <v>42877</v>
      </c>
      <c r="G901">
        <v>2</v>
      </c>
      <c r="H901">
        <v>6</v>
      </c>
      <c r="I901" t="s">
        <v>5581</v>
      </c>
    </row>
    <row r="902" spans="1:9" x14ac:dyDescent="0.35">
      <c r="A902">
        <v>901</v>
      </c>
      <c r="B902">
        <v>345</v>
      </c>
      <c r="C902">
        <v>4</v>
      </c>
      <c r="D902" t="s">
        <v>5836</v>
      </c>
      <c r="E902" s="23">
        <v>42877</v>
      </c>
      <c r="F902" s="23">
        <v>42879</v>
      </c>
      <c r="G902">
        <v>2</v>
      </c>
      <c r="H902">
        <v>7</v>
      </c>
      <c r="I902" t="s">
        <v>5581</v>
      </c>
    </row>
    <row r="903" spans="1:9" x14ac:dyDescent="0.35">
      <c r="A903">
        <v>902</v>
      </c>
      <c r="B903">
        <v>1278</v>
      </c>
      <c r="C903">
        <v>4</v>
      </c>
      <c r="D903" t="s">
        <v>5836</v>
      </c>
      <c r="E903" s="23">
        <v>42879</v>
      </c>
      <c r="F903" s="23">
        <v>42877</v>
      </c>
      <c r="G903">
        <v>2</v>
      </c>
      <c r="H903">
        <v>6</v>
      </c>
      <c r="I903" t="s">
        <v>5581</v>
      </c>
    </row>
    <row r="904" spans="1:9" x14ac:dyDescent="0.35">
      <c r="A904">
        <v>903</v>
      </c>
      <c r="B904">
        <v>179</v>
      </c>
      <c r="C904">
        <v>4</v>
      </c>
      <c r="D904" t="s">
        <v>5837</v>
      </c>
      <c r="E904" s="23">
        <v>42878</v>
      </c>
      <c r="F904" s="23">
        <v>42879</v>
      </c>
      <c r="G904">
        <v>2</v>
      </c>
      <c r="H904">
        <v>7</v>
      </c>
      <c r="I904" t="s">
        <v>5581</v>
      </c>
    </row>
    <row r="905" spans="1:9" x14ac:dyDescent="0.35">
      <c r="A905">
        <v>904</v>
      </c>
      <c r="B905">
        <v>1020</v>
      </c>
      <c r="C905">
        <v>4</v>
      </c>
      <c r="D905" t="s">
        <v>5838</v>
      </c>
      <c r="E905" s="23">
        <v>42881</v>
      </c>
      <c r="F905" s="23">
        <v>42879</v>
      </c>
      <c r="G905">
        <v>1</v>
      </c>
      <c r="H905">
        <v>2</v>
      </c>
      <c r="I905" t="s">
        <v>5581</v>
      </c>
    </row>
    <row r="906" spans="1:9" x14ac:dyDescent="0.35">
      <c r="A906">
        <v>905</v>
      </c>
      <c r="B906">
        <v>609</v>
      </c>
      <c r="C906">
        <v>4</v>
      </c>
      <c r="D906" t="s">
        <v>5838</v>
      </c>
      <c r="E906" s="23">
        <v>42881</v>
      </c>
      <c r="F906" s="23">
        <v>42879</v>
      </c>
      <c r="G906">
        <v>2</v>
      </c>
      <c r="H906">
        <v>6</v>
      </c>
      <c r="I906" t="s">
        <v>5581</v>
      </c>
    </row>
    <row r="907" spans="1:9" x14ac:dyDescent="0.35">
      <c r="A907">
        <v>906</v>
      </c>
      <c r="B907">
        <v>877</v>
      </c>
      <c r="C907">
        <v>4</v>
      </c>
      <c r="D907" t="s">
        <v>5838</v>
      </c>
      <c r="E907" s="23">
        <v>42881</v>
      </c>
      <c r="F907" s="23">
        <v>42881</v>
      </c>
      <c r="G907">
        <v>2</v>
      </c>
      <c r="H907">
        <v>7</v>
      </c>
      <c r="I907" t="s">
        <v>5581</v>
      </c>
    </row>
    <row r="908" spans="1:9" x14ac:dyDescent="0.35">
      <c r="A908">
        <v>907</v>
      </c>
      <c r="B908">
        <v>120</v>
      </c>
      <c r="C908">
        <v>4</v>
      </c>
      <c r="D908" t="s">
        <v>5839</v>
      </c>
      <c r="E908" s="23">
        <v>42881</v>
      </c>
      <c r="F908" s="23">
        <v>42882</v>
      </c>
      <c r="G908">
        <v>1</v>
      </c>
      <c r="H908">
        <v>2</v>
      </c>
      <c r="I908" t="s">
        <v>5581</v>
      </c>
    </row>
    <row r="909" spans="1:9" x14ac:dyDescent="0.35">
      <c r="A909">
        <v>908</v>
      </c>
      <c r="B909">
        <v>402</v>
      </c>
      <c r="C909">
        <v>4</v>
      </c>
      <c r="D909" t="s">
        <v>5840</v>
      </c>
      <c r="E909" s="23">
        <v>42883</v>
      </c>
      <c r="F909" s="23">
        <v>42882</v>
      </c>
      <c r="G909">
        <v>2</v>
      </c>
      <c r="H909">
        <v>7</v>
      </c>
      <c r="I909" t="s">
        <v>5581</v>
      </c>
    </row>
    <row r="910" spans="1:9" x14ac:dyDescent="0.35">
      <c r="A910">
        <v>909</v>
      </c>
      <c r="B910">
        <v>188</v>
      </c>
      <c r="C910">
        <v>4</v>
      </c>
      <c r="D910" t="s">
        <v>5841</v>
      </c>
      <c r="E910" s="23">
        <v>42882</v>
      </c>
      <c r="F910" s="23">
        <v>42883</v>
      </c>
      <c r="G910">
        <v>1</v>
      </c>
      <c r="H910">
        <v>2</v>
      </c>
      <c r="I910" t="s">
        <v>5581</v>
      </c>
    </row>
    <row r="911" spans="1:9" x14ac:dyDescent="0.35">
      <c r="A911">
        <v>910</v>
      </c>
      <c r="B911">
        <v>342</v>
      </c>
      <c r="C911">
        <v>4</v>
      </c>
      <c r="D911" t="s">
        <v>5841</v>
      </c>
      <c r="E911" s="23">
        <v>42883</v>
      </c>
      <c r="F911" s="23">
        <v>42883</v>
      </c>
      <c r="G911">
        <v>2</v>
      </c>
      <c r="H911">
        <v>7</v>
      </c>
      <c r="I911" t="s">
        <v>5581</v>
      </c>
    </row>
    <row r="912" spans="1:9" x14ac:dyDescent="0.35">
      <c r="A912">
        <v>911</v>
      </c>
      <c r="B912">
        <v>887</v>
      </c>
      <c r="C912">
        <v>4</v>
      </c>
      <c r="D912" t="s">
        <v>5841</v>
      </c>
      <c r="E912" s="23">
        <v>42884</v>
      </c>
      <c r="F912" s="23">
        <v>42884</v>
      </c>
      <c r="G912">
        <v>2</v>
      </c>
      <c r="H912">
        <v>6</v>
      </c>
      <c r="I912" t="s">
        <v>5581</v>
      </c>
    </row>
    <row r="913" spans="1:9" x14ac:dyDescent="0.35">
      <c r="A913">
        <v>912</v>
      </c>
      <c r="B913">
        <v>519</v>
      </c>
      <c r="C913">
        <v>4</v>
      </c>
      <c r="D913" t="s">
        <v>5842</v>
      </c>
      <c r="E913" s="23">
        <v>42884</v>
      </c>
      <c r="F913" s="23">
        <v>42884</v>
      </c>
      <c r="G913">
        <v>1</v>
      </c>
      <c r="H913">
        <v>2</v>
      </c>
      <c r="I913" t="s">
        <v>5581</v>
      </c>
    </row>
    <row r="914" spans="1:9" x14ac:dyDescent="0.35">
      <c r="A914">
        <v>913</v>
      </c>
      <c r="B914">
        <v>699</v>
      </c>
      <c r="C914">
        <v>4</v>
      </c>
      <c r="D914" t="s">
        <v>5842</v>
      </c>
      <c r="E914" s="23">
        <v>42884</v>
      </c>
      <c r="F914" s="23">
        <v>42884</v>
      </c>
      <c r="G914">
        <v>2</v>
      </c>
      <c r="H914">
        <v>6</v>
      </c>
      <c r="I914" t="s">
        <v>5581</v>
      </c>
    </row>
    <row r="915" spans="1:9" x14ac:dyDescent="0.35">
      <c r="A915">
        <v>914</v>
      </c>
      <c r="B915">
        <v>1068</v>
      </c>
      <c r="C915">
        <v>4</v>
      </c>
      <c r="D915" t="s">
        <v>5843</v>
      </c>
      <c r="E915" s="23">
        <v>42886</v>
      </c>
      <c r="F915" s="23">
        <v>42886</v>
      </c>
      <c r="G915">
        <v>1</v>
      </c>
      <c r="H915">
        <v>2</v>
      </c>
      <c r="I915" t="s">
        <v>5581</v>
      </c>
    </row>
    <row r="916" spans="1:9" x14ac:dyDescent="0.35">
      <c r="A916">
        <v>915</v>
      </c>
      <c r="B916">
        <v>215</v>
      </c>
      <c r="C916">
        <v>4</v>
      </c>
      <c r="D916" t="s">
        <v>5843</v>
      </c>
      <c r="E916" s="23">
        <v>42885</v>
      </c>
      <c r="F916" s="23">
        <v>42885</v>
      </c>
      <c r="G916">
        <v>2</v>
      </c>
      <c r="H916">
        <v>6</v>
      </c>
      <c r="I916" t="s">
        <v>5581</v>
      </c>
    </row>
    <row r="917" spans="1:9" x14ac:dyDescent="0.35">
      <c r="A917">
        <v>916</v>
      </c>
      <c r="B917">
        <v>718</v>
      </c>
      <c r="C917">
        <v>4</v>
      </c>
      <c r="D917" t="s">
        <v>5843</v>
      </c>
      <c r="E917" s="23">
        <v>42884</v>
      </c>
      <c r="F917" s="23">
        <v>42884</v>
      </c>
      <c r="G917">
        <v>2</v>
      </c>
      <c r="H917">
        <v>6</v>
      </c>
      <c r="I917" t="s">
        <v>5581</v>
      </c>
    </row>
    <row r="918" spans="1:9" x14ac:dyDescent="0.35">
      <c r="A918">
        <v>917</v>
      </c>
      <c r="B918">
        <v>881</v>
      </c>
      <c r="C918">
        <v>4</v>
      </c>
      <c r="D918" t="s">
        <v>5844</v>
      </c>
      <c r="E918" s="23">
        <v>42886</v>
      </c>
      <c r="F918" s="23">
        <v>42887</v>
      </c>
      <c r="G918">
        <v>1</v>
      </c>
      <c r="H918">
        <v>2</v>
      </c>
      <c r="I918" t="s">
        <v>5581</v>
      </c>
    </row>
    <row r="919" spans="1:9" x14ac:dyDescent="0.35">
      <c r="A919">
        <v>918</v>
      </c>
      <c r="B919">
        <v>242</v>
      </c>
      <c r="C919">
        <v>4</v>
      </c>
      <c r="D919" t="s">
        <v>5845</v>
      </c>
      <c r="E919" s="23">
        <v>42886</v>
      </c>
      <c r="F919" s="23">
        <v>42886</v>
      </c>
      <c r="G919">
        <v>1</v>
      </c>
      <c r="H919">
        <v>3</v>
      </c>
      <c r="I919" t="s">
        <v>5581</v>
      </c>
    </row>
    <row r="920" spans="1:9" x14ac:dyDescent="0.35">
      <c r="A920">
        <v>919</v>
      </c>
      <c r="B920">
        <v>781</v>
      </c>
      <c r="C920">
        <v>4</v>
      </c>
      <c r="D920" t="s">
        <v>5845</v>
      </c>
      <c r="E920" s="23">
        <v>42886</v>
      </c>
      <c r="F920" s="23">
        <v>42886</v>
      </c>
      <c r="G920">
        <v>2</v>
      </c>
      <c r="H920">
        <v>7</v>
      </c>
      <c r="I920" t="s">
        <v>5581</v>
      </c>
    </row>
    <row r="921" spans="1:9" x14ac:dyDescent="0.35">
      <c r="A921">
        <v>920</v>
      </c>
      <c r="B921">
        <v>966</v>
      </c>
      <c r="C921">
        <v>4</v>
      </c>
      <c r="D921" t="s">
        <v>5845</v>
      </c>
      <c r="E921" s="23">
        <v>42887</v>
      </c>
      <c r="F921" s="23">
        <v>42888</v>
      </c>
      <c r="G921">
        <v>2</v>
      </c>
      <c r="H921">
        <v>7</v>
      </c>
      <c r="I921" t="s">
        <v>5581</v>
      </c>
    </row>
    <row r="922" spans="1:9" x14ac:dyDescent="0.35">
      <c r="A922">
        <v>921</v>
      </c>
      <c r="B922">
        <v>628</v>
      </c>
      <c r="C922">
        <v>4</v>
      </c>
      <c r="D922" t="s">
        <v>5846</v>
      </c>
      <c r="E922" s="23">
        <v>42888</v>
      </c>
      <c r="F922" s="23">
        <v>42888</v>
      </c>
      <c r="G922">
        <v>2</v>
      </c>
      <c r="H922">
        <v>6</v>
      </c>
      <c r="I922" t="s">
        <v>5581</v>
      </c>
    </row>
    <row r="923" spans="1:9" x14ac:dyDescent="0.35">
      <c r="A923">
        <v>922</v>
      </c>
      <c r="B923">
        <v>656</v>
      </c>
      <c r="C923">
        <v>4</v>
      </c>
      <c r="D923" t="s">
        <v>5846</v>
      </c>
      <c r="E923" s="23">
        <v>42887</v>
      </c>
      <c r="F923" s="23">
        <v>42889</v>
      </c>
      <c r="G923">
        <v>2</v>
      </c>
      <c r="H923">
        <v>6</v>
      </c>
      <c r="I923" t="s">
        <v>5581</v>
      </c>
    </row>
    <row r="924" spans="1:9" x14ac:dyDescent="0.35">
      <c r="A924">
        <v>923</v>
      </c>
      <c r="B924">
        <v>769</v>
      </c>
      <c r="C924">
        <v>4</v>
      </c>
      <c r="D924" t="s">
        <v>5846</v>
      </c>
      <c r="E924" s="23">
        <v>42889</v>
      </c>
      <c r="F924" s="23">
        <v>42888</v>
      </c>
      <c r="G924">
        <v>2</v>
      </c>
      <c r="H924">
        <v>7</v>
      </c>
      <c r="I924" t="s">
        <v>5581</v>
      </c>
    </row>
    <row r="925" spans="1:9" x14ac:dyDescent="0.35">
      <c r="A925">
        <v>924</v>
      </c>
      <c r="B925">
        <v>68</v>
      </c>
      <c r="C925">
        <v>3</v>
      </c>
      <c r="D925" s="23">
        <v>42772</v>
      </c>
      <c r="E925" s="23">
        <v>42888</v>
      </c>
      <c r="F925" t="s">
        <v>5597</v>
      </c>
      <c r="G925">
        <v>3</v>
      </c>
      <c r="H925">
        <v>8</v>
      </c>
      <c r="I925" t="s">
        <v>5598</v>
      </c>
    </row>
    <row r="926" spans="1:9" x14ac:dyDescent="0.35">
      <c r="A926">
        <v>925</v>
      </c>
      <c r="B926">
        <v>1316</v>
      </c>
      <c r="C926">
        <v>4</v>
      </c>
      <c r="D926" s="23">
        <v>42772</v>
      </c>
      <c r="E926" s="23">
        <v>42891</v>
      </c>
      <c r="F926" s="23">
        <v>42889</v>
      </c>
      <c r="G926">
        <v>2</v>
      </c>
      <c r="H926">
        <v>7</v>
      </c>
      <c r="I926" t="s">
        <v>5581</v>
      </c>
    </row>
    <row r="927" spans="1:9" x14ac:dyDescent="0.35">
      <c r="A927">
        <v>926</v>
      </c>
      <c r="B927">
        <v>233</v>
      </c>
      <c r="C927">
        <v>4</v>
      </c>
      <c r="D927" s="23">
        <v>42800</v>
      </c>
      <c r="E927" s="23">
        <v>42891</v>
      </c>
      <c r="F927" s="23">
        <v>42892</v>
      </c>
      <c r="G927">
        <v>1</v>
      </c>
      <c r="H927">
        <v>2</v>
      </c>
      <c r="I927" t="s">
        <v>5581</v>
      </c>
    </row>
    <row r="928" spans="1:9" x14ac:dyDescent="0.35">
      <c r="A928">
        <v>927</v>
      </c>
      <c r="B928">
        <v>1438</v>
      </c>
      <c r="C928">
        <v>4</v>
      </c>
      <c r="D928" s="23">
        <v>42800</v>
      </c>
      <c r="E928" s="23">
        <v>42891</v>
      </c>
      <c r="F928" s="23">
        <v>42892</v>
      </c>
      <c r="G928">
        <v>1</v>
      </c>
      <c r="H928">
        <v>2</v>
      </c>
      <c r="I928" t="s">
        <v>5581</v>
      </c>
    </row>
    <row r="929" spans="1:9" x14ac:dyDescent="0.35">
      <c r="A929">
        <v>928</v>
      </c>
      <c r="B929">
        <v>957</v>
      </c>
      <c r="C929">
        <v>4</v>
      </c>
      <c r="D929" s="23">
        <v>42861</v>
      </c>
      <c r="E929" s="23">
        <v>42892</v>
      </c>
      <c r="F929" s="23">
        <v>42892</v>
      </c>
      <c r="G929">
        <v>1</v>
      </c>
      <c r="H929">
        <v>3</v>
      </c>
      <c r="I929" t="s">
        <v>5581</v>
      </c>
    </row>
    <row r="930" spans="1:9" x14ac:dyDescent="0.35">
      <c r="A930">
        <v>929</v>
      </c>
      <c r="B930">
        <v>472</v>
      </c>
      <c r="C930">
        <v>4</v>
      </c>
      <c r="D930" s="23">
        <v>42861</v>
      </c>
      <c r="E930" s="23">
        <v>42892</v>
      </c>
      <c r="F930" s="23">
        <v>42894</v>
      </c>
      <c r="G930">
        <v>2</v>
      </c>
      <c r="H930">
        <v>6</v>
      </c>
      <c r="I930" t="s">
        <v>5581</v>
      </c>
    </row>
    <row r="931" spans="1:9" x14ac:dyDescent="0.35">
      <c r="A931">
        <v>930</v>
      </c>
      <c r="B931">
        <v>1224</v>
      </c>
      <c r="C931">
        <v>4</v>
      </c>
      <c r="D931" s="23">
        <v>42861</v>
      </c>
      <c r="E931" s="23">
        <v>42892</v>
      </c>
      <c r="F931" s="23">
        <v>42892</v>
      </c>
      <c r="G931">
        <v>3</v>
      </c>
      <c r="H931">
        <v>9</v>
      </c>
      <c r="I931" t="s">
        <v>5581</v>
      </c>
    </row>
    <row r="932" spans="1:9" x14ac:dyDescent="0.35">
      <c r="A932">
        <v>931</v>
      </c>
      <c r="B932">
        <v>631</v>
      </c>
      <c r="C932">
        <v>4</v>
      </c>
      <c r="D932" s="23">
        <v>42922</v>
      </c>
      <c r="E932" s="23">
        <v>42894</v>
      </c>
      <c r="F932" s="23">
        <v>42894</v>
      </c>
      <c r="G932">
        <v>2</v>
      </c>
      <c r="H932">
        <v>6</v>
      </c>
      <c r="I932" t="s">
        <v>5581</v>
      </c>
    </row>
    <row r="933" spans="1:9" x14ac:dyDescent="0.35">
      <c r="A933">
        <v>932</v>
      </c>
      <c r="B933">
        <v>804</v>
      </c>
      <c r="C933">
        <v>4</v>
      </c>
      <c r="D933" s="23">
        <v>42922</v>
      </c>
      <c r="E933" s="23">
        <v>42894</v>
      </c>
      <c r="F933" s="23">
        <v>42895</v>
      </c>
      <c r="G933">
        <v>2</v>
      </c>
      <c r="H933">
        <v>6</v>
      </c>
      <c r="I933" t="s">
        <v>5581</v>
      </c>
    </row>
    <row r="934" spans="1:9" x14ac:dyDescent="0.35">
      <c r="A934">
        <v>933</v>
      </c>
      <c r="B934">
        <v>909</v>
      </c>
      <c r="C934">
        <v>4</v>
      </c>
      <c r="D934" s="23">
        <v>42922</v>
      </c>
      <c r="E934" s="23">
        <v>42896</v>
      </c>
      <c r="F934" s="23">
        <v>42894</v>
      </c>
      <c r="G934">
        <v>2</v>
      </c>
      <c r="H934">
        <v>6</v>
      </c>
      <c r="I934" t="s">
        <v>5581</v>
      </c>
    </row>
    <row r="935" spans="1:9" x14ac:dyDescent="0.35">
      <c r="A935">
        <v>934</v>
      </c>
      <c r="B935">
        <v>93</v>
      </c>
      <c r="C935">
        <v>4</v>
      </c>
      <c r="D935" s="23">
        <v>42984</v>
      </c>
      <c r="E935" s="23">
        <v>42896</v>
      </c>
      <c r="F935" s="23">
        <v>42898</v>
      </c>
      <c r="G935">
        <v>2</v>
      </c>
      <c r="H935">
        <v>7</v>
      </c>
      <c r="I935" t="s">
        <v>5581</v>
      </c>
    </row>
    <row r="936" spans="1:9" x14ac:dyDescent="0.35">
      <c r="A936">
        <v>935</v>
      </c>
      <c r="B936">
        <v>43</v>
      </c>
      <c r="C936">
        <v>3</v>
      </c>
      <c r="D936" s="23">
        <v>43014</v>
      </c>
      <c r="E936" s="23">
        <v>42896</v>
      </c>
      <c r="F936" t="s">
        <v>5597</v>
      </c>
      <c r="G936">
        <v>3</v>
      </c>
      <c r="H936">
        <v>8</v>
      </c>
      <c r="I936" t="s">
        <v>5598</v>
      </c>
    </row>
    <row r="937" spans="1:9" x14ac:dyDescent="0.35">
      <c r="A937">
        <v>936</v>
      </c>
      <c r="B937">
        <v>265</v>
      </c>
      <c r="C937">
        <v>4</v>
      </c>
      <c r="D937" s="23">
        <v>43014</v>
      </c>
      <c r="E937" s="23">
        <v>42899</v>
      </c>
      <c r="F937" s="23">
        <v>42898</v>
      </c>
      <c r="G937">
        <v>2</v>
      </c>
      <c r="H937">
        <v>6</v>
      </c>
      <c r="I937" t="s">
        <v>5581</v>
      </c>
    </row>
    <row r="938" spans="1:9" x14ac:dyDescent="0.35">
      <c r="A938">
        <v>937</v>
      </c>
      <c r="B938">
        <v>73</v>
      </c>
      <c r="C938">
        <v>4</v>
      </c>
      <c r="D938" s="23">
        <v>43045</v>
      </c>
      <c r="E938" s="23">
        <v>42900</v>
      </c>
      <c r="F938" s="23">
        <v>42899</v>
      </c>
      <c r="G938">
        <v>2</v>
      </c>
      <c r="H938">
        <v>7</v>
      </c>
      <c r="I938" t="s">
        <v>5581</v>
      </c>
    </row>
    <row r="939" spans="1:9" x14ac:dyDescent="0.35">
      <c r="A939">
        <v>938</v>
      </c>
      <c r="B939">
        <v>129</v>
      </c>
      <c r="C939">
        <v>4</v>
      </c>
      <c r="D939" s="23">
        <v>43045</v>
      </c>
      <c r="E939" s="23">
        <v>42898</v>
      </c>
      <c r="F939" s="23">
        <v>42898</v>
      </c>
      <c r="G939">
        <v>2</v>
      </c>
      <c r="H939">
        <v>6</v>
      </c>
      <c r="I939" t="s">
        <v>5581</v>
      </c>
    </row>
    <row r="940" spans="1:9" x14ac:dyDescent="0.35">
      <c r="A940">
        <v>939</v>
      </c>
      <c r="B940">
        <v>1407</v>
      </c>
      <c r="C940">
        <v>4</v>
      </c>
      <c r="D940" s="23">
        <v>43045</v>
      </c>
      <c r="E940" s="23">
        <v>42898</v>
      </c>
      <c r="F940" s="23">
        <v>42900</v>
      </c>
      <c r="G940">
        <v>2</v>
      </c>
      <c r="H940">
        <v>6</v>
      </c>
      <c r="I940" t="s">
        <v>5581</v>
      </c>
    </row>
    <row r="941" spans="1:9" x14ac:dyDescent="0.35">
      <c r="A941">
        <v>940</v>
      </c>
      <c r="B941">
        <v>585</v>
      </c>
      <c r="C941">
        <v>4</v>
      </c>
      <c r="D941" s="23">
        <v>43075</v>
      </c>
      <c r="E941" s="23">
        <v>42900</v>
      </c>
      <c r="F941" s="23">
        <v>42899</v>
      </c>
      <c r="G941">
        <v>1</v>
      </c>
      <c r="H941">
        <v>2</v>
      </c>
      <c r="I941" t="s">
        <v>5581</v>
      </c>
    </row>
    <row r="942" spans="1:9" x14ac:dyDescent="0.35">
      <c r="A942">
        <v>941</v>
      </c>
      <c r="B942">
        <v>736</v>
      </c>
      <c r="C942">
        <v>4</v>
      </c>
      <c r="D942" s="23">
        <v>43075</v>
      </c>
      <c r="E942" s="23">
        <v>42900</v>
      </c>
      <c r="F942" s="23">
        <v>42900</v>
      </c>
      <c r="G942">
        <v>1</v>
      </c>
      <c r="H942">
        <v>2</v>
      </c>
      <c r="I942" t="s">
        <v>5581</v>
      </c>
    </row>
    <row r="943" spans="1:9" x14ac:dyDescent="0.35">
      <c r="A943">
        <v>942</v>
      </c>
      <c r="B943">
        <v>537</v>
      </c>
      <c r="C943">
        <v>4</v>
      </c>
      <c r="D943" t="s">
        <v>5847</v>
      </c>
      <c r="E943" s="23">
        <v>42902</v>
      </c>
      <c r="F943" s="23">
        <v>42901</v>
      </c>
      <c r="G943">
        <v>2</v>
      </c>
      <c r="H943">
        <v>6</v>
      </c>
      <c r="I943" t="s">
        <v>5581</v>
      </c>
    </row>
    <row r="944" spans="1:9" x14ac:dyDescent="0.35">
      <c r="A944">
        <v>943</v>
      </c>
      <c r="B944">
        <v>1025</v>
      </c>
      <c r="C944">
        <v>4</v>
      </c>
      <c r="D944" t="s">
        <v>5847</v>
      </c>
      <c r="E944" s="23">
        <v>42901</v>
      </c>
      <c r="F944" s="23">
        <v>42901</v>
      </c>
      <c r="G944">
        <v>2</v>
      </c>
      <c r="H944">
        <v>6</v>
      </c>
      <c r="I944" t="s">
        <v>5581</v>
      </c>
    </row>
    <row r="945" spans="1:9" x14ac:dyDescent="0.35">
      <c r="A945">
        <v>944</v>
      </c>
      <c r="B945">
        <v>138</v>
      </c>
      <c r="C945">
        <v>4</v>
      </c>
      <c r="D945" t="s">
        <v>5848</v>
      </c>
      <c r="E945" s="23">
        <v>42901</v>
      </c>
      <c r="F945" s="23">
        <v>42903</v>
      </c>
      <c r="G945">
        <v>1</v>
      </c>
      <c r="H945">
        <v>3</v>
      </c>
      <c r="I945" t="s">
        <v>5581</v>
      </c>
    </row>
    <row r="946" spans="1:9" x14ac:dyDescent="0.35">
      <c r="A946">
        <v>945</v>
      </c>
      <c r="B946">
        <v>167</v>
      </c>
      <c r="C946">
        <v>4</v>
      </c>
      <c r="D946" t="s">
        <v>5848</v>
      </c>
      <c r="E946" s="23">
        <v>42901</v>
      </c>
      <c r="F946" s="23">
        <v>42902</v>
      </c>
      <c r="G946">
        <v>2</v>
      </c>
      <c r="H946">
        <v>7</v>
      </c>
      <c r="I946" t="s">
        <v>5581</v>
      </c>
    </row>
    <row r="947" spans="1:9" x14ac:dyDescent="0.35">
      <c r="A947">
        <v>946</v>
      </c>
      <c r="B947">
        <v>525</v>
      </c>
      <c r="C947">
        <v>4</v>
      </c>
      <c r="D947" t="s">
        <v>5848</v>
      </c>
      <c r="E947" s="23">
        <v>42902</v>
      </c>
      <c r="F947" s="23">
        <v>42901</v>
      </c>
      <c r="G947">
        <v>2</v>
      </c>
      <c r="H947">
        <v>6</v>
      </c>
      <c r="I947" t="s">
        <v>5581</v>
      </c>
    </row>
    <row r="948" spans="1:9" x14ac:dyDescent="0.35">
      <c r="A948">
        <v>947</v>
      </c>
      <c r="B948">
        <v>278</v>
      </c>
      <c r="C948">
        <v>4</v>
      </c>
      <c r="D948" t="s">
        <v>5849</v>
      </c>
      <c r="E948" s="23">
        <v>42904</v>
      </c>
      <c r="F948" s="23">
        <v>42903</v>
      </c>
      <c r="G948">
        <v>1</v>
      </c>
      <c r="H948">
        <v>3</v>
      </c>
      <c r="I948" t="s">
        <v>5581</v>
      </c>
    </row>
    <row r="949" spans="1:9" x14ac:dyDescent="0.35">
      <c r="A949">
        <v>948</v>
      </c>
      <c r="B949">
        <v>618</v>
      </c>
      <c r="C949">
        <v>4</v>
      </c>
      <c r="D949" t="s">
        <v>5849</v>
      </c>
      <c r="E949" s="23">
        <v>42903</v>
      </c>
      <c r="F949" s="23">
        <v>42903</v>
      </c>
      <c r="G949">
        <v>2</v>
      </c>
      <c r="H949">
        <v>6</v>
      </c>
      <c r="I949" t="s">
        <v>5581</v>
      </c>
    </row>
    <row r="950" spans="1:9" x14ac:dyDescent="0.35">
      <c r="A950">
        <v>949</v>
      </c>
      <c r="B950">
        <v>867</v>
      </c>
      <c r="C950">
        <v>4</v>
      </c>
      <c r="D950" t="s">
        <v>5850</v>
      </c>
      <c r="E950" s="23">
        <v>42904</v>
      </c>
      <c r="F950" s="23">
        <v>42903</v>
      </c>
      <c r="G950">
        <v>1</v>
      </c>
      <c r="H950">
        <v>3</v>
      </c>
      <c r="I950" t="s">
        <v>5581</v>
      </c>
    </row>
    <row r="951" spans="1:9" x14ac:dyDescent="0.35">
      <c r="A951">
        <v>950</v>
      </c>
      <c r="B951">
        <v>142</v>
      </c>
      <c r="C951">
        <v>4</v>
      </c>
      <c r="D951" t="s">
        <v>5850</v>
      </c>
      <c r="E951" s="23">
        <v>42905</v>
      </c>
      <c r="F951" s="23">
        <v>42904</v>
      </c>
      <c r="G951">
        <v>2</v>
      </c>
      <c r="H951">
        <v>6</v>
      </c>
      <c r="I951" t="s">
        <v>5581</v>
      </c>
    </row>
    <row r="952" spans="1:9" x14ac:dyDescent="0.35">
      <c r="A952">
        <v>951</v>
      </c>
      <c r="B952">
        <v>339</v>
      </c>
      <c r="C952">
        <v>4</v>
      </c>
      <c r="D952" t="s">
        <v>5850</v>
      </c>
      <c r="E952" s="23">
        <v>42905</v>
      </c>
      <c r="F952" s="23">
        <v>42905</v>
      </c>
      <c r="G952">
        <v>2</v>
      </c>
      <c r="H952">
        <v>7</v>
      </c>
      <c r="I952" t="s">
        <v>5581</v>
      </c>
    </row>
    <row r="953" spans="1:9" x14ac:dyDescent="0.35">
      <c r="A953">
        <v>952</v>
      </c>
      <c r="B953">
        <v>355</v>
      </c>
      <c r="C953">
        <v>4</v>
      </c>
      <c r="D953" t="s">
        <v>5850</v>
      </c>
      <c r="E953" s="23">
        <v>42904</v>
      </c>
      <c r="F953" s="23">
        <v>42904</v>
      </c>
      <c r="G953">
        <v>2</v>
      </c>
      <c r="H953">
        <v>7</v>
      </c>
      <c r="I953" t="s">
        <v>5581</v>
      </c>
    </row>
    <row r="954" spans="1:9" x14ac:dyDescent="0.35">
      <c r="A954">
        <v>953</v>
      </c>
      <c r="B954">
        <v>658</v>
      </c>
      <c r="C954">
        <v>4</v>
      </c>
      <c r="D954" t="s">
        <v>5850</v>
      </c>
      <c r="E954" s="23">
        <v>42904</v>
      </c>
      <c r="F954" s="23">
        <v>42903</v>
      </c>
      <c r="G954">
        <v>2</v>
      </c>
      <c r="H954">
        <v>7</v>
      </c>
      <c r="I954" t="s">
        <v>5581</v>
      </c>
    </row>
    <row r="955" spans="1:9" x14ac:dyDescent="0.35">
      <c r="A955">
        <v>954</v>
      </c>
      <c r="B955">
        <v>611</v>
      </c>
      <c r="C955">
        <v>4</v>
      </c>
      <c r="D955" t="s">
        <v>5851</v>
      </c>
      <c r="E955" s="23">
        <v>42906</v>
      </c>
      <c r="F955" s="23">
        <v>42906</v>
      </c>
      <c r="G955">
        <v>2</v>
      </c>
      <c r="H955">
        <v>6</v>
      </c>
      <c r="I955" t="s">
        <v>5581</v>
      </c>
    </row>
    <row r="956" spans="1:9" x14ac:dyDescent="0.35">
      <c r="A956">
        <v>955</v>
      </c>
      <c r="B956">
        <v>880</v>
      </c>
      <c r="C956">
        <v>4</v>
      </c>
      <c r="D956" t="s">
        <v>5851</v>
      </c>
      <c r="E956" s="23">
        <v>42905</v>
      </c>
      <c r="F956" s="23">
        <v>42904</v>
      </c>
      <c r="G956">
        <v>2</v>
      </c>
      <c r="H956">
        <v>6</v>
      </c>
      <c r="I956" t="s">
        <v>5581</v>
      </c>
    </row>
    <row r="957" spans="1:9" x14ac:dyDescent="0.35">
      <c r="A957">
        <v>956</v>
      </c>
      <c r="B957">
        <v>1184</v>
      </c>
      <c r="C957">
        <v>4</v>
      </c>
      <c r="D957" t="s">
        <v>5851</v>
      </c>
      <c r="E957" s="23">
        <v>42905</v>
      </c>
      <c r="F957" s="23">
        <v>42906</v>
      </c>
      <c r="G957">
        <v>2</v>
      </c>
      <c r="H957">
        <v>6</v>
      </c>
      <c r="I957" t="s">
        <v>5581</v>
      </c>
    </row>
    <row r="958" spans="1:9" x14ac:dyDescent="0.35">
      <c r="A958">
        <v>957</v>
      </c>
      <c r="B958">
        <v>722</v>
      </c>
      <c r="C958">
        <v>4</v>
      </c>
      <c r="D958" t="s">
        <v>5851</v>
      </c>
      <c r="E958" s="23">
        <v>42906</v>
      </c>
      <c r="F958" s="23">
        <v>42906</v>
      </c>
      <c r="G958">
        <v>3</v>
      </c>
      <c r="H958">
        <v>9</v>
      </c>
      <c r="I958" t="s">
        <v>5581</v>
      </c>
    </row>
    <row r="959" spans="1:9" x14ac:dyDescent="0.35">
      <c r="A959">
        <v>958</v>
      </c>
      <c r="B959">
        <v>1276</v>
      </c>
      <c r="C959">
        <v>4</v>
      </c>
      <c r="D959" t="s">
        <v>5852</v>
      </c>
      <c r="E959" s="23">
        <v>42906</v>
      </c>
      <c r="F959" s="23">
        <v>42905</v>
      </c>
      <c r="G959">
        <v>1</v>
      </c>
      <c r="H959">
        <v>2</v>
      </c>
      <c r="I959" t="s">
        <v>5581</v>
      </c>
    </row>
    <row r="960" spans="1:9" x14ac:dyDescent="0.35">
      <c r="A960">
        <v>959</v>
      </c>
      <c r="B960">
        <v>650</v>
      </c>
      <c r="C960">
        <v>4</v>
      </c>
      <c r="D960" t="s">
        <v>5852</v>
      </c>
      <c r="E960" s="23">
        <v>42907</v>
      </c>
      <c r="F960" s="23">
        <v>42907</v>
      </c>
      <c r="G960">
        <v>2</v>
      </c>
      <c r="H960">
        <v>7</v>
      </c>
      <c r="I960" t="s">
        <v>5581</v>
      </c>
    </row>
    <row r="961" spans="1:9" x14ac:dyDescent="0.35">
      <c r="A961">
        <v>960</v>
      </c>
      <c r="B961">
        <v>1390</v>
      </c>
      <c r="C961">
        <v>4</v>
      </c>
      <c r="D961" t="s">
        <v>5852</v>
      </c>
      <c r="E961" s="23">
        <v>42905</v>
      </c>
      <c r="F961" s="23">
        <v>42905</v>
      </c>
      <c r="G961">
        <v>2</v>
      </c>
      <c r="H961">
        <v>7</v>
      </c>
      <c r="I961" t="s">
        <v>5581</v>
      </c>
    </row>
    <row r="962" spans="1:9" x14ac:dyDescent="0.35">
      <c r="A962">
        <v>961</v>
      </c>
      <c r="B962">
        <v>82</v>
      </c>
      <c r="C962">
        <v>4</v>
      </c>
      <c r="D962" t="s">
        <v>5853</v>
      </c>
      <c r="E962" s="23">
        <v>42907</v>
      </c>
      <c r="F962" s="23">
        <v>42908</v>
      </c>
      <c r="G962">
        <v>1</v>
      </c>
      <c r="H962">
        <v>2</v>
      </c>
      <c r="I962" t="s">
        <v>5581</v>
      </c>
    </row>
    <row r="963" spans="1:9" x14ac:dyDescent="0.35">
      <c r="A963">
        <v>962</v>
      </c>
      <c r="B963">
        <v>570</v>
      </c>
      <c r="C963">
        <v>4</v>
      </c>
      <c r="D963" t="s">
        <v>5853</v>
      </c>
      <c r="E963" s="23">
        <v>42908</v>
      </c>
      <c r="F963" s="23">
        <v>42906</v>
      </c>
      <c r="G963">
        <v>2</v>
      </c>
      <c r="H963">
        <v>7</v>
      </c>
      <c r="I963" t="s">
        <v>5581</v>
      </c>
    </row>
    <row r="964" spans="1:9" x14ac:dyDescent="0.35">
      <c r="A964">
        <v>963</v>
      </c>
      <c r="B964">
        <v>1432</v>
      </c>
      <c r="C964">
        <v>4</v>
      </c>
      <c r="D964" t="s">
        <v>5853</v>
      </c>
      <c r="E964" s="23">
        <v>42907</v>
      </c>
      <c r="F964" s="23">
        <v>42907</v>
      </c>
      <c r="G964">
        <v>2</v>
      </c>
      <c r="H964">
        <v>6</v>
      </c>
      <c r="I964" t="s">
        <v>5581</v>
      </c>
    </row>
    <row r="965" spans="1:9" x14ac:dyDescent="0.35">
      <c r="A965">
        <v>964</v>
      </c>
      <c r="B965">
        <v>404</v>
      </c>
      <c r="C965">
        <v>4</v>
      </c>
      <c r="D965" t="s">
        <v>5854</v>
      </c>
      <c r="E965" s="23">
        <v>42908</v>
      </c>
      <c r="F965" s="23">
        <v>42908</v>
      </c>
      <c r="G965">
        <v>2</v>
      </c>
      <c r="H965">
        <v>7</v>
      </c>
      <c r="I965" t="s">
        <v>5581</v>
      </c>
    </row>
    <row r="966" spans="1:9" x14ac:dyDescent="0.35">
      <c r="A966">
        <v>965</v>
      </c>
      <c r="B966">
        <v>457</v>
      </c>
      <c r="C966">
        <v>4</v>
      </c>
      <c r="D966" t="s">
        <v>5854</v>
      </c>
      <c r="E966" s="23">
        <v>42908</v>
      </c>
      <c r="F966" s="23">
        <v>42909</v>
      </c>
      <c r="G966">
        <v>2</v>
      </c>
      <c r="H966">
        <v>6</v>
      </c>
      <c r="I966" t="s">
        <v>5581</v>
      </c>
    </row>
    <row r="967" spans="1:9" x14ac:dyDescent="0.35">
      <c r="A967">
        <v>966</v>
      </c>
      <c r="B967">
        <v>389</v>
      </c>
      <c r="C967">
        <v>4</v>
      </c>
      <c r="D967" t="s">
        <v>5854</v>
      </c>
      <c r="E967" s="23">
        <v>42908</v>
      </c>
      <c r="F967" s="23">
        <v>42908</v>
      </c>
      <c r="G967">
        <v>3</v>
      </c>
      <c r="H967">
        <v>8</v>
      </c>
      <c r="I967" t="s">
        <v>5581</v>
      </c>
    </row>
    <row r="968" spans="1:9" x14ac:dyDescent="0.35">
      <c r="A968">
        <v>967</v>
      </c>
      <c r="B968">
        <v>1323</v>
      </c>
      <c r="C968">
        <v>4</v>
      </c>
      <c r="D968" t="s">
        <v>5855</v>
      </c>
      <c r="E968" s="23">
        <v>42910</v>
      </c>
      <c r="F968" s="23">
        <v>42910</v>
      </c>
      <c r="G968">
        <v>2</v>
      </c>
      <c r="H968">
        <v>6</v>
      </c>
      <c r="I968" t="s">
        <v>5581</v>
      </c>
    </row>
    <row r="969" spans="1:9" x14ac:dyDescent="0.35">
      <c r="A969">
        <v>968</v>
      </c>
      <c r="B969">
        <v>1403</v>
      </c>
      <c r="C969">
        <v>4</v>
      </c>
      <c r="D969" t="s">
        <v>5855</v>
      </c>
      <c r="E969" s="23">
        <v>42909</v>
      </c>
      <c r="F969" s="23">
        <v>42909</v>
      </c>
      <c r="G969">
        <v>2</v>
      </c>
      <c r="H969">
        <v>6</v>
      </c>
      <c r="I969" t="s">
        <v>5581</v>
      </c>
    </row>
    <row r="970" spans="1:9" x14ac:dyDescent="0.35">
      <c r="A970">
        <v>969</v>
      </c>
      <c r="B970">
        <v>248</v>
      </c>
      <c r="C970">
        <v>4</v>
      </c>
      <c r="D970" t="s">
        <v>5855</v>
      </c>
      <c r="E970" s="23">
        <v>42910</v>
      </c>
      <c r="F970" s="23">
        <v>42908</v>
      </c>
      <c r="G970">
        <v>3</v>
      </c>
      <c r="H970">
        <v>9</v>
      </c>
      <c r="I970" t="s">
        <v>5581</v>
      </c>
    </row>
    <row r="971" spans="1:9" x14ac:dyDescent="0.35">
      <c r="A971">
        <v>970</v>
      </c>
      <c r="B971">
        <v>836</v>
      </c>
      <c r="C971">
        <v>4</v>
      </c>
      <c r="D971" t="s">
        <v>5856</v>
      </c>
      <c r="E971" s="23">
        <v>42911</v>
      </c>
      <c r="F971" s="23">
        <v>42909</v>
      </c>
      <c r="G971">
        <v>2</v>
      </c>
      <c r="H971">
        <v>7</v>
      </c>
      <c r="I971" t="s">
        <v>5581</v>
      </c>
    </row>
    <row r="972" spans="1:9" x14ac:dyDescent="0.35">
      <c r="A972">
        <v>971</v>
      </c>
      <c r="B972">
        <v>1426</v>
      </c>
      <c r="C972">
        <v>4</v>
      </c>
      <c r="D972" t="s">
        <v>5856</v>
      </c>
      <c r="E972" s="23">
        <v>42909</v>
      </c>
      <c r="F972" s="23">
        <v>42910</v>
      </c>
      <c r="G972">
        <v>3</v>
      </c>
      <c r="H972">
        <v>8</v>
      </c>
      <c r="I972" t="s">
        <v>5581</v>
      </c>
    </row>
    <row r="973" spans="1:9" x14ac:dyDescent="0.35">
      <c r="A973">
        <v>972</v>
      </c>
      <c r="B973">
        <v>270</v>
      </c>
      <c r="C973">
        <v>4</v>
      </c>
      <c r="D973" t="s">
        <v>5857</v>
      </c>
      <c r="E973" s="23">
        <v>42910</v>
      </c>
      <c r="F973" s="23">
        <v>42911</v>
      </c>
      <c r="G973">
        <v>2</v>
      </c>
      <c r="H973">
        <v>7</v>
      </c>
      <c r="I973" t="s">
        <v>5581</v>
      </c>
    </row>
    <row r="974" spans="1:9" x14ac:dyDescent="0.35">
      <c r="A974">
        <v>973</v>
      </c>
      <c r="B974">
        <v>238</v>
      </c>
      <c r="C974">
        <v>4</v>
      </c>
      <c r="D974" t="s">
        <v>5858</v>
      </c>
      <c r="E974" s="23">
        <v>42913</v>
      </c>
      <c r="F974" s="23">
        <v>42913</v>
      </c>
      <c r="G974">
        <v>2</v>
      </c>
      <c r="H974">
        <v>6</v>
      </c>
      <c r="I974" t="s">
        <v>5581</v>
      </c>
    </row>
    <row r="975" spans="1:9" x14ac:dyDescent="0.35">
      <c r="A975">
        <v>974</v>
      </c>
      <c r="B975">
        <v>511</v>
      </c>
      <c r="C975">
        <v>4</v>
      </c>
      <c r="D975" t="s">
        <v>5858</v>
      </c>
      <c r="E975" s="23">
        <v>42913</v>
      </c>
      <c r="F975" s="23">
        <v>42913</v>
      </c>
      <c r="G975">
        <v>3</v>
      </c>
      <c r="H975">
        <v>8</v>
      </c>
      <c r="I975" t="s">
        <v>5581</v>
      </c>
    </row>
    <row r="976" spans="1:9" x14ac:dyDescent="0.35">
      <c r="A976">
        <v>975</v>
      </c>
      <c r="B976">
        <v>1092</v>
      </c>
      <c r="C976">
        <v>4</v>
      </c>
      <c r="D976" t="s">
        <v>5859</v>
      </c>
      <c r="E976" s="23">
        <v>42913</v>
      </c>
      <c r="F976" s="23">
        <v>42914</v>
      </c>
      <c r="G976">
        <v>2</v>
      </c>
      <c r="H976">
        <v>6</v>
      </c>
      <c r="I976" t="s">
        <v>5581</v>
      </c>
    </row>
    <row r="977" spans="1:9" x14ac:dyDescent="0.35">
      <c r="A977">
        <v>976</v>
      </c>
      <c r="B977">
        <v>1266</v>
      </c>
      <c r="C977">
        <v>4</v>
      </c>
      <c r="D977" t="s">
        <v>5859</v>
      </c>
      <c r="E977" s="23">
        <v>42914</v>
      </c>
      <c r="F977" s="23">
        <v>42913</v>
      </c>
      <c r="G977">
        <v>3</v>
      </c>
      <c r="H977">
        <v>9</v>
      </c>
      <c r="I977" t="s">
        <v>5581</v>
      </c>
    </row>
    <row r="978" spans="1:9" x14ac:dyDescent="0.35">
      <c r="A978">
        <v>977</v>
      </c>
      <c r="B978">
        <v>400</v>
      </c>
      <c r="C978">
        <v>4</v>
      </c>
      <c r="D978" t="s">
        <v>5860</v>
      </c>
      <c r="E978" s="23">
        <v>42914</v>
      </c>
      <c r="F978" s="23">
        <v>42913</v>
      </c>
      <c r="G978">
        <v>2</v>
      </c>
      <c r="H978">
        <v>7</v>
      </c>
      <c r="I978" t="s">
        <v>5581</v>
      </c>
    </row>
    <row r="979" spans="1:9" x14ac:dyDescent="0.35">
      <c r="A979">
        <v>978</v>
      </c>
      <c r="B979">
        <v>1123</v>
      </c>
      <c r="C979">
        <v>4</v>
      </c>
      <c r="D979" t="s">
        <v>5860</v>
      </c>
      <c r="E979" s="23">
        <v>42914</v>
      </c>
      <c r="F979" s="23">
        <v>42913</v>
      </c>
      <c r="G979">
        <v>2</v>
      </c>
      <c r="H979">
        <v>6</v>
      </c>
      <c r="I979" t="s">
        <v>5581</v>
      </c>
    </row>
    <row r="980" spans="1:9" x14ac:dyDescent="0.35">
      <c r="A980">
        <v>979</v>
      </c>
      <c r="B980">
        <v>1190</v>
      </c>
      <c r="C980">
        <v>4</v>
      </c>
      <c r="D980" t="s">
        <v>5860</v>
      </c>
      <c r="E980" s="23">
        <v>42915</v>
      </c>
      <c r="F980" s="23">
        <v>42913</v>
      </c>
      <c r="G980">
        <v>2</v>
      </c>
      <c r="H980">
        <v>6</v>
      </c>
      <c r="I980" t="s">
        <v>5581</v>
      </c>
    </row>
    <row r="981" spans="1:9" x14ac:dyDescent="0.35">
      <c r="A981">
        <v>980</v>
      </c>
      <c r="B981">
        <v>328</v>
      </c>
      <c r="C981">
        <v>4</v>
      </c>
      <c r="D981" t="s">
        <v>5860</v>
      </c>
      <c r="E981" s="23">
        <v>42914</v>
      </c>
      <c r="F981" s="23">
        <v>42913</v>
      </c>
      <c r="G981">
        <v>3</v>
      </c>
      <c r="H981">
        <v>9</v>
      </c>
      <c r="I981" t="s">
        <v>5581</v>
      </c>
    </row>
    <row r="982" spans="1:9" x14ac:dyDescent="0.35">
      <c r="A982">
        <v>981</v>
      </c>
      <c r="B982">
        <v>687</v>
      </c>
      <c r="C982">
        <v>4</v>
      </c>
      <c r="D982" t="s">
        <v>5860</v>
      </c>
      <c r="E982" s="23">
        <v>42915</v>
      </c>
      <c r="F982" s="23">
        <v>42914</v>
      </c>
      <c r="G982">
        <v>3</v>
      </c>
      <c r="H982">
        <v>8</v>
      </c>
      <c r="I982" t="s">
        <v>5581</v>
      </c>
    </row>
    <row r="983" spans="1:9" x14ac:dyDescent="0.35">
      <c r="A983">
        <v>982</v>
      </c>
      <c r="B983">
        <v>1423</v>
      </c>
      <c r="C983">
        <v>4</v>
      </c>
      <c r="D983" t="s">
        <v>5860</v>
      </c>
      <c r="E983" s="23">
        <v>42915</v>
      </c>
      <c r="F983" s="23">
        <v>42914</v>
      </c>
      <c r="G983">
        <v>3</v>
      </c>
      <c r="H983">
        <v>9</v>
      </c>
      <c r="I983" t="s">
        <v>5581</v>
      </c>
    </row>
    <row r="984" spans="1:9" x14ac:dyDescent="0.35">
      <c r="A984">
        <v>983</v>
      </c>
      <c r="B984">
        <v>1158</v>
      </c>
      <c r="C984">
        <v>4</v>
      </c>
      <c r="D984" t="s">
        <v>5861</v>
      </c>
      <c r="E984" s="23">
        <v>42914</v>
      </c>
      <c r="F984" s="23">
        <v>42915</v>
      </c>
      <c r="G984">
        <v>2</v>
      </c>
      <c r="H984">
        <v>6</v>
      </c>
      <c r="I984" t="s">
        <v>5581</v>
      </c>
    </row>
    <row r="985" spans="1:9" x14ac:dyDescent="0.35">
      <c r="A985">
        <v>984</v>
      </c>
      <c r="B985">
        <v>1287</v>
      </c>
      <c r="C985">
        <v>4</v>
      </c>
      <c r="D985" t="s">
        <v>5861</v>
      </c>
      <c r="E985" s="23">
        <v>42914</v>
      </c>
      <c r="F985" s="23">
        <v>42915</v>
      </c>
      <c r="G985">
        <v>2</v>
      </c>
      <c r="H985">
        <v>7</v>
      </c>
      <c r="I985" t="s">
        <v>5581</v>
      </c>
    </row>
    <row r="986" spans="1:9" x14ac:dyDescent="0.35">
      <c r="A986">
        <v>985</v>
      </c>
      <c r="B986">
        <v>461</v>
      </c>
      <c r="C986">
        <v>4</v>
      </c>
      <c r="D986" t="s">
        <v>5862</v>
      </c>
      <c r="E986" s="23">
        <v>42918</v>
      </c>
      <c r="F986" s="23">
        <v>42917</v>
      </c>
      <c r="G986">
        <v>2</v>
      </c>
      <c r="H986">
        <v>6</v>
      </c>
      <c r="I986" t="s">
        <v>5581</v>
      </c>
    </row>
    <row r="987" spans="1:9" x14ac:dyDescent="0.35">
      <c r="A987">
        <v>986</v>
      </c>
      <c r="B987">
        <v>556</v>
      </c>
      <c r="C987">
        <v>4</v>
      </c>
      <c r="D987" t="s">
        <v>5862</v>
      </c>
      <c r="E987" s="23">
        <v>42919</v>
      </c>
      <c r="F987" s="23">
        <v>42917</v>
      </c>
      <c r="G987">
        <v>2</v>
      </c>
      <c r="H987">
        <v>7</v>
      </c>
      <c r="I987" t="s">
        <v>5581</v>
      </c>
    </row>
    <row r="988" spans="1:9" x14ac:dyDescent="0.35">
      <c r="A988">
        <v>987</v>
      </c>
      <c r="B988">
        <v>172</v>
      </c>
      <c r="C988">
        <v>4</v>
      </c>
      <c r="D988" s="23">
        <v>42773</v>
      </c>
      <c r="E988" s="23">
        <v>42920</v>
      </c>
      <c r="F988" s="23">
        <v>42920</v>
      </c>
      <c r="G988">
        <v>1</v>
      </c>
      <c r="H988">
        <v>2</v>
      </c>
      <c r="I988" t="s">
        <v>5581</v>
      </c>
    </row>
    <row r="989" spans="1:9" x14ac:dyDescent="0.35">
      <c r="A989">
        <v>988</v>
      </c>
      <c r="B989">
        <v>436</v>
      </c>
      <c r="C989">
        <v>4</v>
      </c>
      <c r="D989" s="23">
        <v>42773</v>
      </c>
      <c r="E989" s="23">
        <v>42920</v>
      </c>
      <c r="F989" s="23">
        <v>42921</v>
      </c>
      <c r="G989">
        <v>2</v>
      </c>
      <c r="H989">
        <v>6</v>
      </c>
      <c r="I989" t="s">
        <v>5581</v>
      </c>
    </row>
    <row r="990" spans="1:9" x14ac:dyDescent="0.35">
      <c r="A990">
        <v>989</v>
      </c>
      <c r="B990">
        <v>1145</v>
      </c>
      <c r="C990">
        <v>4</v>
      </c>
      <c r="D990" s="23">
        <v>42773</v>
      </c>
      <c r="E990" s="23">
        <v>42920</v>
      </c>
      <c r="F990" s="23">
        <v>42919</v>
      </c>
      <c r="G990">
        <v>2</v>
      </c>
      <c r="H990">
        <v>6</v>
      </c>
      <c r="I990" t="s">
        <v>5581</v>
      </c>
    </row>
    <row r="991" spans="1:9" x14ac:dyDescent="0.35">
      <c r="A991">
        <v>990</v>
      </c>
      <c r="B991">
        <v>706</v>
      </c>
      <c r="C991">
        <v>4</v>
      </c>
      <c r="D991" s="23">
        <v>42832</v>
      </c>
      <c r="E991" s="23">
        <v>42923</v>
      </c>
      <c r="F991" s="23">
        <v>42923</v>
      </c>
      <c r="G991">
        <v>2</v>
      </c>
      <c r="H991">
        <v>7</v>
      </c>
      <c r="I991" t="s">
        <v>5581</v>
      </c>
    </row>
    <row r="992" spans="1:9" x14ac:dyDescent="0.35">
      <c r="A992">
        <v>991</v>
      </c>
      <c r="B992">
        <v>751</v>
      </c>
      <c r="C992">
        <v>4</v>
      </c>
      <c r="D992" s="23">
        <v>42893</v>
      </c>
      <c r="E992" s="23">
        <v>42923</v>
      </c>
      <c r="F992" s="23">
        <v>42925</v>
      </c>
      <c r="G992">
        <v>1</v>
      </c>
      <c r="H992">
        <v>2</v>
      </c>
      <c r="I992" t="s">
        <v>5581</v>
      </c>
    </row>
    <row r="993" spans="1:9" x14ac:dyDescent="0.35">
      <c r="A993">
        <v>992</v>
      </c>
      <c r="B993">
        <v>723</v>
      </c>
      <c r="C993">
        <v>4</v>
      </c>
      <c r="D993" s="23">
        <v>42923</v>
      </c>
      <c r="E993" s="23">
        <v>42926</v>
      </c>
      <c r="F993" s="23">
        <v>42925</v>
      </c>
      <c r="G993">
        <v>2</v>
      </c>
      <c r="H993">
        <v>7</v>
      </c>
      <c r="I993" t="s">
        <v>5581</v>
      </c>
    </row>
    <row r="994" spans="1:9" x14ac:dyDescent="0.35">
      <c r="A994">
        <v>993</v>
      </c>
      <c r="B994">
        <v>1415</v>
      </c>
      <c r="C994">
        <v>4</v>
      </c>
      <c r="D994" s="23">
        <v>42985</v>
      </c>
      <c r="E994" s="23">
        <v>42927</v>
      </c>
      <c r="F994" s="23">
        <v>42927</v>
      </c>
      <c r="G994">
        <v>1</v>
      </c>
      <c r="H994">
        <v>3</v>
      </c>
      <c r="I994" t="s">
        <v>5581</v>
      </c>
    </row>
    <row r="995" spans="1:9" x14ac:dyDescent="0.35">
      <c r="A995">
        <v>994</v>
      </c>
      <c r="B995">
        <v>419</v>
      </c>
      <c r="C995">
        <v>4</v>
      </c>
      <c r="D995" s="23">
        <v>42985</v>
      </c>
      <c r="E995" s="23">
        <v>42927</v>
      </c>
      <c r="F995" s="23">
        <v>42927</v>
      </c>
      <c r="G995">
        <v>2</v>
      </c>
      <c r="H995">
        <v>7</v>
      </c>
      <c r="I995" t="s">
        <v>5581</v>
      </c>
    </row>
    <row r="996" spans="1:9" x14ac:dyDescent="0.35">
      <c r="A996">
        <v>995</v>
      </c>
      <c r="B996">
        <v>621</v>
      </c>
      <c r="C996">
        <v>4</v>
      </c>
      <c r="D996" s="23">
        <v>43046</v>
      </c>
      <c r="E996" s="23">
        <v>42929</v>
      </c>
      <c r="F996" s="23">
        <v>42930</v>
      </c>
      <c r="G996">
        <v>1</v>
      </c>
      <c r="H996">
        <v>2</v>
      </c>
      <c r="I996" t="s">
        <v>5581</v>
      </c>
    </row>
    <row r="997" spans="1:9" x14ac:dyDescent="0.35">
      <c r="A997">
        <v>996</v>
      </c>
      <c r="B997">
        <v>915</v>
      </c>
      <c r="C997">
        <v>4</v>
      </c>
      <c r="D997" s="23">
        <v>43046</v>
      </c>
      <c r="E997" s="23">
        <v>42928</v>
      </c>
      <c r="F997" s="23">
        <v>42928</v>
      </c>
      <c r="G997">
        <v>1</v>
      </c>
      <c r="H997">
        <v>2</v>
      </c>
      <c r="I997" t="s">
        <v>5581</v>
      </c>
    </row>
    <row r="998" spans="1:9" x14ac:dyDescent="0.35">
      <c r="A998">
        <v>997</v>
      </c>
      <c r="B998">
        <v>485</v>
      </c>
      <c r="C998">
        <v>4</v>
      </c>
      <c r="D998" s="23">
        <v>43046</v>
      </c>
      <c r="E998" s="23">
        <v>42929</v>
      </c>
      <c r="F998" s="23">
        <v>42930</v>
      </c>
      <c r="G998">
        <v>2</v>
      </c>
      <c r="H998">
        <v>7</v>
      </c>
      <c r="I998" t="s">
        <v>5581</v>
      </c>
    </row>
    <row r="999" spans="1:9" x14ac:dyDescent="0.35">
      <c r="A999">
        <v>998</v>
      </c>
      <c r="B999">
        <v>219</v>
      </c>
      <c r="C999">
        <v>4</v>
      </c>
      <c r="D999" s="23">
        <v>43076</v>
      </c>
      <c r="E999" s="23">
        <v>42929</v>
      </c>
      <c r="F999" s="23">
        <v>42930</v>
      </c>
      <c r="G999">
        <v>2</v>
      </c>
      <c r="H999">
        <v>7</v>
      </c>
      <c r="I999" t="s">
        <v>5581</v>
      </c>
    </row>
    <row r="1000" spans="1:9" x14ac:dyDescent="0.35">
      <c r="A1000">
        <v>999</v>
      </c>
      <c r="B1000">
        <v>590</v>
      </c>
      <c r="C1000">
        <v>4</v>
      </c>
      <c r="D1000" s="23">
        <v>43076</v>
      </c>
      <c r="E1000" s="23">
        <v>42929</v>
      </c>
      <c r="F1000" s="23">
        <v>42930</v>
      </c>
      <c r="G1000">
        <v>2</v>
      </c>
      <c r="H1000">
        <v>6</v>
      </c>
      <c r="I1000" t="s">
        <v>5581</v>
      </c>
    </row>
    <row r="1001" spans="1:9" x14ac:dyDescent="0.35">
      <c r="A1001">
        <v>1000</v>
      </c>
      <c r="B1001">
        <v>645</v>
      </c>
      <c r="C1001">
        <v>4</v>
      </c>
      <c r="D1001" s="23">
        <v>43076</v>
      </c>
      <c r="E1001" s="23">
        <v>42930</v>
      </c>
      <c r="F1001" s="23">
        <v>42931</v>
      </c>
      <c r="G1001">
        <v>2</v>
      </c>
      <c r="H1001">
        <v>7</v>
      </c>
      <c r="I1001" t="s">
        <v>5581</v>
      </c>
    </row>
    <row r="1002" spans="1:9" x14ac:dyDescent="0.35">
      <c r="A1002">
        <v>1001</v>
      </c>
      <c r="B1002">
        <v>354</v>
      </c>
      <c r="C1002">
        <v>4</v>
      </c>
      <c r="D1002" t="s">
        <v>5863</v>
      </c>
      <c r="E1002" s="23">
        <v>42932</v>
      </c>
      <c r="F1002" s="23">
        <v>42931</v>
      </c>
      <c r="G1002">
        <v>2</v>
      </c>
      <c r="H1002">
        <v>6</v>
      </c>
      <c r="I1002" t="s">
        <v>5581</v>
      </c>
    </row>
    <row r="1003" spans="1:9" x14ac:dyDescent="0.35">
      <c r="A1003">
        <v>1002</v>
      </c>
      <c r="B1003">
        <v>1418</v>
      </c>
      <c r="C1003">
        <v>4</v>
      </c>
      <c r="D1003" t="s">
        <v>5864</v>
      </c>
      <c r="E1003" s="23">
        <v>42932</v>
      </c>
      <c r="F1003" s="23">
        <v>42932</v>
      </c>
      <c r="G1003">
        <v>1</v>
      </c>
      <c r="H1003">
        <v>3</v>
      </c>
      <c r="I1003" t="s">
        <v>5581</v>
      </c>
    </row>
    <row r="1004" spans="1:9" x14ac:dyDescent="0.35">
      <c r="A1004">
        <v>1003</v>
      </c>
      <c r="B1004">
        <v>503</v>
      </c>
      <c r="C1004">
        <v>4</v>
      </c>
      <c r="D1004" t="s">
        <v>5864</v>
      </c>
      <c r="E1004" s="23">
        <v>42932</v>
      </c>
      <c r="F1004" s="23">
        <v>42932</v>
      </c>
      <c r="G1004">
        <v>2</v>
      </c>
      <c r="H1004">
        <v>7</v>
      </c>
      <c r="I1004" t="s">
        <v>5581</v>
      </c>
    </row>
    <row r="1005" spans="1:9" x14ac:dyDescent="0.35">
      <c r="A1005">
        <v>1004</v>
      </c>
      <c r="B1005">
        <v>1389</v>
      </c>
      <c r="C1005">
        <v>4</v>
      </c>
      <c r="D1005" t="s">
        <v>5864</v>
      </c>
      <c r="E1005" s="23">
        <v>42933</v>
      </c>
      <c r="F1005" s="23">
        <v>42932</v>
      </c>
      <c r="G1005">
        <v>2</v>
      </c>
      <c r="H1005">
        <v>6</v>
      </c>
      <c r="I1005" t="s">
        <v>5581</v>
      </c>
    </row>
    <row r="1006" spans="1:9" x14ac:dyDescent="0.35">
      <c r="A1006">
        <v>1005</v>
      </c>
      <c r="B1006">
        <v>266</v>
      </c>
      <c r="C1006">
        <v>4</v>
      </c>
      <c r="D1006" t="s">
        <v>5865</v>
      </c>
      <c r="E1006" s="23">
        <v>42933</v>
      </c>
      <c r="F1006" s="23">
        <v>42932</v>
      </c>
      <c r="G1006">
        <v>2</v>
      </c>
      <c r="H1006">
        <v>7</v>
      </c>
      <c r="I1006" t="s">
        <v>5581</v>
      </c>
    </row>
    <row r="1007" spans="1:9" x14ac:dyDescent="0.35">
      <c r="A1007">
        <v>1006</v>
      </c>
      <c r="B1007">
        <v>1070</v>
      </c>
      <c r="C1007">
        <v>4</v>
      </c>
      <c r="D1007" t="s">
        <v>5865</v>
      </c>
      <c r="E1007" s="23">
        <v>42934</v>
      </c>
      <c r="F1007" s="23">
        <v>42933</v>
      </c>
      <c r="G1007">
        <v>2</v>
      </c>
      <c r="H1007">
        <v>7</v>
      </c>
      <c r="I1007" t="s">
        <v>5581</v>
      </c>
    </row>
    <row r="1008" spans="1:9" x14ac:dyDescent="0.35">
      <c r="A1008">
        <v>1007</v>
      </c>
      <c r="B1008">
        <v>1115</v>
      </c>
      <c r="C1008">
        <v>4</v>
      </c>
      <c r="D1008" t="s">
        <v>5866</v>
      </c>
      <c r="E1008" s="23">
        <v>42933</v>
      </c>
      <c r="F1008" s="23">
        <v>42933</v>
      </c>
      <c r="G1008">
        <v>2</v>
      </c>
      <c r="H1008">
        <v>6</v>
      </c>
      <c r="I1008" t="s">
        <v>5581</v>
      </c>
    </row>
    <row r="1009" spans="1:9" x14ac:dyDescent="0.35">
      <c r="A1009">
        <v>1008</v>
      </c>
      <c r="B1009">
        <v>1345</v>
      </c>
      <c r="C1009">
        <v>4</v>
      </c>
      <c r="D1009" t="s">
        <v>5866</v>
      </c>
      <c r="E1009" s="23">
        <v>42934</v>
      </c>
      <c r="F1009" s="23">
        <v>42934</v>
      </c>
      <c r="G1009">
        <v>2</v>
      </c>
      <c r="H1009">
        <v>6</v>
      </c>
      <c r="I1009" t="s">
        <v>5581</v>
      </c>
    </row>
    <row r="1010" spans="1:9" x14ac:dyDescent="0.35">
      <c r="A1010">
        <v>1009</v>
      </c>
      <c r="B1010">
        <v>1064</v>
      </c>
      <c r="C1010">
        <v>4</v>
      </c>
      <c r="D1010" t="s">
        <v>5866</v>
      </c>
      <c r="E1010" s="23">
        <v>42935</v>
      </c>
      <c r="F1010" s="23">
        <v>42935</v>
      </c>
      <c r="G1010">
        <v>3</v>
      </c>
      <c r="H1010">
        <v>8</v>
      </c>
      <c r="I1010" t="s">
        <v>5581</v>
      </c>
    </row>
    <row r="1011" spans="1:9" x14ac:dyDescent="0.35">
      <c r="A1011">
        <v>1010</v>
      </c>
      <c r="B1011">
        <v>8</v>
      </c>
      <c r="C1011">
        <v>3</v>
      </c>
      <c r="D1011" t="s">
        <v>5867</v>
      </c>
      <c r="E1011" s="23">
        <v>42934</v>
      </c>
      <c r="F1011" t="s">
        <v>5597</v>
      </c>
      <c r="G1011">
        <v>2</v>
      </c>
      <c r="H1011">
        <v>7</v>
      </c>
      <c r="I1011" t="s">
        <v>5598</v>
      </c>
    </row>
    <row r="1012" spans="1:9" x14ac:dyDescent="0.35">
      <c r="A1012">
        <v>1011</v>
      </c>
      <c r="B1012">
        <v>495</v>
      </c>
      <c r="C1012">
        <v>4</v>
      </c>
      <c r="D1012" t="s">
        <v>5867</v>
      </c>
      <c r="E1012" s="23">
        <v>42937</v>
      </c>
      <c r="F1012" s="23">
        <v>42937</v>
      </c>
      <c r="G1012">
        <v>1</v>
      </c>
      <c r="H1012">
        <v>3</v>
      </c>
      <c r="I1012" t="s">
        <v>5581</v>
      </c>
    </row>
    <row r="1013" spans="1:9" x14ac:dyDescent="0.35">
      <c r="A1013">
        <v>1012</v>
      </c>
      <c r="B1013">
        <v>620</v>
      </c>
      <c r="C1013">
        <v>4</v>
      </c>
      <c r="D1013" t="s">
        <v>5867</v>
      </c>
      <c r="E1013" s="23">
        <v>42936</v>
      </c>
      <c r="F1013" s="23">
        <v>42936</v>
      </c>
      <c r="G1013">
        <v>2</v>
      </c>
      <c r="H1013">
        <v>7</v>
      </c>
      <c r="I1013" t="s">
        <v>5581</v>
      </c>
    </row>
    <row r="1014" spans="1:9" x14ac:dyDescent="0.35">
      <c r="A1014">
        <v>1013</v>
      </c>
      <c r="B1014">
        <v>174</v>
      </c>
      <c r="C1014">
        <v>4</v>
      </c>
      <c r="D1014" t="s">
        <v>5868</v>
      </c>
      <c r="E1014" s="23">
        <v>42938</v>
      </c>
      <c r="F1014" s="23">
        <v>42937</v>
      </c>
      <c r="G1014">
        <v>2</v>
      </c>
      <c r="H1014">
        <v>6</v>
      </c>
      <c r="I1014" t="s">
        <v>5581</v>
      </c>
    </row>
    <row r="1015" spans="1:9" x14ac:dyDescent="0.35">
      <c r="A1015">
        <v>1014</v>
      </c>
      <c r="B1015">
        <v>748</v>
      </c>
      <c r="C1015">
        <v>4</v>
      </c>
      <c r="D1015" t="s">
        <v>5868</v>
      </c>
      <c r="E1015" s="23">
        <v>42937</v>
      </c>
      <c r="F1015" s="23">
        <v>42937</v>
      </c>
      <c r="G1015">
        <v>2</v>
      </c>
      <c r="H1015">
        <v>6</v>
      </c>
      <c r="I1015" t="s">
        <v>5581</v>
      </c>
    </row>
    <row r="1016" spans="1:9" x14ac:dyDescent="0.35">
      <c r="A1016">
        <v>1015</v>
      </c>
      <c r="B1016">
        <v>799</v>
      </c>
      <c r="C1016">
        <v>4</v>
      </c>
      <c r="D1016" t="s">
        <v>5868</v>
      </c>
      <c r="E1016" s="23">
        <v>42938</v>
      </c>
      <c r="F1016" s="23">
        <v>42937</v>
      </c>
      <c r="G1016">
        <v>2</v>
      </c>
      <c r="H1016">
        <v>7</v>
      </c>
      <c r="I1016" t="s">
        <v>5581</v>
      </c>
    </row>
    <row r="1017" spans="1:9" x14ac:dyDescent="0.35">
      <c r="A1017">
        <v>1016</v>
      </c>
      <c r="B1017">
        <v>1417</v>
      </c>
      <c r="C1017">
        <v>4</v>
      </c>
      <c r="D1017" t="s">
        <v>5868</v>
      </c>
      <c r="E1017" s="23">
        <v>42936</v>
      </c>
      <c r="F1017" s="23">
        <v>42937</v>
      </c>
      <c r="G1017">
        <v>3</v>
      </c>
      <c r="H1017">
        <v>9</v>
      </c>
      <c r="I1017" t="s">
        <v>5581</v>
      </c>
    </row>
    <row r="1018" spans="1:9" x14ac:dyDescent="0.35">
      <c r="A1018">
        <v>1017</v>
      </c>
      <c r="B1018">
        <v>168</v>
      </c>
      <c r="C1018">
        <v>4</v>
      </c>
      <c r="D1018" t="s">
        <v>5869</v>
      </c>
      <c r="E1018" s="23">
        <v>42937</v>
      </c>
      <c r="F1018" s="23">
        <v>42939</v>
      </c>
      <c r="G1018">
        <v>2</v>
      </c>
      <c r="H1018">
        <v>6</v>
      </c>
      <c r="I1018" t="s">
        <v>5581</v>
      </c>
    </row>
    <row r="1019" spans="1:9" x14ac:dyDescent="0.35">
      <c r="A1019">
        <v>1018</v>
      </c>
      <c r="B1019">
        <v>290</v>
      </c>
      <c r="C1019">
        <v>4</v>
      </c>
      <c r="D1019" t="s">
        <v>5870</v>
      </c>
      <c r="E1019" s="23">
        <v>42939</v>
      </c>
      <c r="F1019" s="23">
        <v>42939</v>
      </c>
      <c r="G1019">
        <v>2</v>
      </c>
      <c r="H1019">
        <v>6</v>
      </c>
      <c r="I1019" t="s">
        <v>5581</v>
      </c>
    </row>
    <row r="1020" spans="1:9" x14ac:dyDescent="0.35">
      <c r="A1020">
        <v>1019</v>
      </c>
      <c r="B1020">
        <v>408</v>
      </c>
      <c r="C1020">
        <v>4</v>
      </c>
      <c r="D1020" t="s">
        <v>5870</v>
      </c>
      <c r="E1020" s="23">
        <v>42939</v>
      </c>
      <c r="F1020" s="23">
        <v>42940</v>
      </c>
      <c r="G1020">
        <v>2</v>
      </c>
      <c r="H1020">
        <v>7</v>
      </c>
      <c r="I1020" t="s">
        <v>5581</v>
      </c>
    </row>
    <row r="1021" spans="1:9" x14ac:dyDescent="0.35">
      <c r="A1021">
        <v>1020</v>
      </c>
      <c r="B1021">
        <v>16</v>
      </c>
      <c r="C1021">
        <v>3</v>
      </c>
      <c r="D1021" t="s">
        <v>5871</v>
      </c>
      <c r="E1021" s="23">
        <v>42939</v>
      </c>
      <c r="F1021" t="s">
        <v>5597</v>
      </c>
      <c r="G1021">
        <v>2</v>
      </c>
      <c r="H1021">
        <v>6</v>
      </c>
      <c r="I1021" t="s">
        <v>5598</v>
      </c>
    </row>
    <row r="1022" spans="1:9" x14ac:dyDescent="0.35">
      <c r="A1022">
        <v>1021</v>
      </c>
      <c r="B1022">
        <v>125</v>
      </c>
      <c r="C1022">
        <v>4</v>
      </c>
      <c r="D1022" t="s">
        <v>5871</v>
      </c>
      <c r="E1022" s="23">
        <v>42940</v>
      </c>
      <c r="F1022" s="23">
        <v>42942</v>
      </c>
      <c r="G1022">
        <v>2</v>
      </c>
      <c r="H1022">
        <v>6</v>
      </c>
      <c r="I1022" t="s">
        <v>5581</v>
      </c>
    </row>
    <row r="1023" spans="1:9" x14ac:dyDescent="0.35">
      <c r="A1023">
        <v>1022</v>
      </c>
      <c r="B1023">
        <v>353</v>
      </c>
      <c r="C1023">
        <v>4</v>
      </c>
      <c r="D1023" t="s">
        <v>5871</v>
      </c>
      <c r="E1023" s="23">
        <v>42942</v>
      </c>
      <c r="F1023" s="23">
        <v>42940</v>
      </c>
      <c r="G1023">
        <v>2</v>
      </c>
      <c r="H1023">
        <v>7</v>
      </c>
      <c r="I1023" t="s">
        <v>5581</v>
      </c>
    </row>
    <row r="1024" spans="1:9" x14ac:dyDescent="0.35">
      <c r="A1024">
        <v>1023</v>
      </c>
      <c r="B1024">
        <v>356</v>
      </c>
      <c r="C1024">
        <v>4</v>
      </c>
      <c r="D1024" t="s">
        <v>5871</v>
      </c>
      <c r="E1024" s="23">
        <v>42942</v>
      </c>
      <c r="F1024" s="23">
        <v>42941</v>
      </c>
      <c r="G1024">
        <v>2</v>
      </c>
      <c r="H1024">
        <v>6</v>
      </c>
      <c r="I1024" t="s">
        <v>5581</v>
      </c>
    </row>
    <row r="1025" spans="1:9" x14ac:dyDescent="0.35">
      <c r="A1025">
        <v>1024</v>
      </c>
      <c r="B1025">
        <v>837</v>
      </c>
      <c r="C1025">
        <v>4</v>
      </c>
      <c r="D1025" t="s">
        <v>5871</v>
      </c>
      <c r="E1025" s="23">
        <v>42941</v>
      </c>
      <c r="F1025" s="23">
        <v>42942</v>
      </c>
      <c r="G1025">
        <v>2</v>
      </c>
      <c r="H1025">
        <v>7</v>
      </c>
      <c r="I1025" t="s">
        <v>5581</v>
      </c>
    </row>
    <row r="1026" spans="1:9" x14ac:dyDescent="0.35">
      <c r="A1026">
        <v>1025</v>
      </c>
      <c r="B1026">
        <v>1304</v>
      </c>
      <c r="C1026">
        <v>4</v>
      </c>
      <c r="D1026" t="s">
        <v>5871</v>
      </c>
      <c r="E1026" s="23">
        <v>42942</v>
      </c>
      <c r="F1026" s="23">
        <v>42942</v>
      </c>
      <c r="G1026">
        <v>2</v>
      </c>
      <c r="H1026">
        <v>6</v>
      </c>
      <c r="I1026" t="s">
        <v>5581</v>
      </c>
    </row>
    <row r="1027" spans="1:9" x14ac:dyDescent="0.35">
      <c r="A1027">
        <v>1026</v>
      </c>
      <c r="B1027">
        <v>1370</v>
      </c>
      <c r="C1027">
        <v>4</v>
      </c>
      <c r="D1027" t="s">
        <v>5872</v>
      </c>
      <c r="E1027" s="23">
        <v>42944</v>
      </c>
      <c r="F1027" s="23">
        <v>42945</v>
      </c>
      <c r="G1027">
        <v>1</v>
      </c>
      <c r="H1027">
        <v>2</v>
      </c>
      <c r="I1027" t="s">
        <v>5581</v>
      </c>
    </row>
    <row r="1028" spans="1:9" x14ac:dyDescent="0.35">
      <c r="A1028">
        <v>1027</v>
      </c>
      <c r="B1028">
        <v>588</v>
      </c>
      <c r="C1028">
        <v>4</v>
      </c>
      <c r="D1028" t="s">
        <v>5872</v>
      </c>
      <c r="E1028" s="23">
        <v>42944</v>
      </c>
      <c r="F1028" s="23">
        <v>42944</v>
      </c>
      <c r="G1028">
        <v>2</v>
      </c>
      <c r="H1028">
        <v>6</v>
      </c>
      <c r="I1028" t="s">
        <v>5581</v>
      </c>
    </row>
    <row r="1029" spans="1:9" x14ac:dyDescent="0.35">
      <c r="A1029">
        <v>1028</v>
      </c>
      <c r="B1029">
        <v>1273</v>
      </c>
      <c r="C1029">
        <v>4</v>
      </c>
      <c r="D1029" t="s">
        <v>5873</v>
      </c>
      <c r="E1029" s="23">
        <v>42944</v>
      </c>
      <c r="F1029" s="23">
        <v>42946</v>
      </c>
      <c r="G1029">
        <v>2</v>
      </c>
      <c r="H1029">
        <v>7</v>
      </c>
      <c r="I1029" t="s">
        <v>5581</v>
      </c>
    </row>
    <row r="1030" spans="1:9" x14ac:dyDescent="0.35">
      <c r="A1030">
        <v>1029</v>
      </c>
      <c r="B1030">
        <v>407</v>
      </c>
      <c r="C1030">
        <v>4</v>
      </c>
      <c r="D1030" t="s">
        <v>5874</v>
      </c>
      <c r="E1030" s="23">
        <v>42946</v>
      </c>
      <c r="F1030" s="23">
        <v>42948</v>
      </c>
      <c r="G1030">
        <v>1</v>
      </c>
      <c r="H1030">
        <v>3</v>
      </c>
      <c r="I1030" t="s">
        <v>5581</v>
      </c>
    </row>
    <row r="1031" spans="1:9" x14ac:dyDescent="0.35">
      <c r="A1031">
        <v>1030</v>
      </c>
      <c r="B1031">
        <v>161</v>
      </c>
      <c r="C1031">
        <v>4</v>
      </c>
      <c r="D1031" t="s">
        <v>5874</v>
      </c>
      <c r="E1031" s="23">
        <v>42946</v>
      </c>
      <c r="F1031" s="23">
        <v>42947</v>
      </c>
      <c r="G1031">
        <v>2</v>
      </c>
      <c r="H1031">
        <v>6</v>
      </c>
      <c r="I1031" t="s">
        <v>5581</v>
      </c>
    </row>
    <row r="1032" spans="1:9" x14ac:dyDescent="0.35">
      <c r="A1032">
        <v>1031</v>
      </c>
      <c r="B1032">
        <v>1308</v>
      </c>
      <c r="C1032">
        <v>4</v>
      </c>
      <c r="D1032" t="s">
        <v>5875</v>
      </c>
      <c r="E1032" s="23">
        <v>42948</v>
      </c>
      <c r="F1032" s="23">
        <v>42949</v>
      </c>
      <c r="G1032">
        <v>1</v>
      </c>
      <c r="H1032">
        <v>2</v>
      </c>
      <c r="I1032" t="s">
        <v>5581</v>
      </c>
    </row>
    <row r="1033" spans="1:9" x14ac:dyDescent="0.35">
      <c r="A1033">
        <v>1032</v>
      </c>
      <c r="B1033">
        <v>429</v>
      </c>
      <c r="C1033">
        <v>4</v>
      </c>
      <c r="D1033" t="s">
        <v>5875</v>
      </c>
      <c r="E1033" s="23">
        <v>42949</v>
      </c>
      <c r="F1033" s="23">
        <v>42948</v>
      </c>
      <c r="G1033">
        <v>2</v>
      </c>
      <c r="H1033">
        <v>6</v>
      </c>
      <c r="I1033" t="s">
        <v>5581</v>
      </c>
    </row>
    <row r="1034" spans="1:9" x14ac:dyDescent="0.35">
      <c r="A1034">
        <v>1033</v>
      </c>
      <c r="B1034">
        <v>582</v>
      </c>
      <c r="C1034">
        <v>4</v>
      </c>
      <c r="D1034" t="s">
        <v>5875</v>
      </c>
      <c r="E1034" s="23">
        <v>42947</v>
      </c>
      <c r="F1034" s="23">
        <v>42949</v>
      </c>
      <c r="G1034">
        <v>2</v>
      </c>
      <c r="H1034">
        <v>7</v>
      </c>
      <c r="I1034" t="s">
        <v>5581</v>
      </c>
    </row>
    <row r="1035" spans="1:9" x14ac:dyDescent="0.35">
      <c r="A1035">
        <v>1034</v>
      </c>
      <c r="B1035">
        <v>895</v>
      </c>
      <c r="C1035">
        <v>4</v>
      </c>
      <c r="D1035" t="s">
        <v>5875</v>
      </c>
      <c r="E1035" s="23">
        <v>42947</v>
      </c>
      <c r="F1035" s="23">
        <v>42947</v>
      </c>
      <c r="G1035">
        <v>2</v>
      </c>
      <c r="H1035">
        <v>7</v>
      </c>
      <c r="I1035" t="s">
        <v>5581</v>
      </c>
    </row>
    <row r="1036" spans="1:9" x14ac:dyDescent="0.35">
      <c r="A1036">
        <v>1035</v>
      </c>
      <c r="B1036">
        <v>1283</v>
      </c>
      <c r="C1036">
        <v>4</v>
      </c>
      <c r="D1036" t="s">
        <v>5875</v>
      </c>
      <c r="E1036" s="23">
        <v>42949</v>
      </c>
      <c r="F1036" s="23">
        <v>42949</v>
      </c>
      <c r="G1036">
        <v>2</v>
      </c>
      <c r="H1036">
        <v>6</v>
      </c>
      <c r="I1036" t="s">
        <v>5581</v>
      </c>
    </row>
    <row r="1037" spans="1:9" x14ac:dyDescent="0.35">
      <c r="A1037">
        <v>1036</v>
      </c>
      <c r="B1037">
        <v>1442</v>
      </c>
      <c r="C1037">
        <v>4</v>
      </c>
      <c r="D1037" t="s">
        <v>5875</v>
      </c>
      <c r="E1037" s="23">
        <v>42948</v>
      </c>
      <c r="F1037" s="23">
        <v>42947</v>
      </c>
      <c r="G1037">
        <v>2</v>
      </c>
      <c r="H1037">
        <v>6</v>
      </c>
      <c r="I1037" t="s">
        <v>5581</v>
      </c>
    </row>
    <row r="1038" spans="1:9" x14ac:dyDescent="0.35">
      <c r="A1038">
        <v>1037</v>
      </c>
      <c r="B1038">
        <v>1229</v>
      </c>
      <c r="C1038">
        <v>4</v>
      </c>
      <c r="D1038" t="s">
        <v>5876</v>
      </c>
      <c r="E1038" s="23">
        <v>42949</v>
      </c>
      <c r="F1038" s="23">
        <v>42950</v>
      </c>
      <c r="G1038">
        <v>2</v>
      </c>
      <c r="H1038">
        <v>6</v>
      </c>
      <c r="I1038" t="s">
        <v>5581</v>
      </c>
    </row>
    <row r="1039" spans="1:9" x14ac:dyDescent="0.35">
      <c r="A1039">
        <v>1038</v>
      </c>
      <c r="B1039">
        <v>1281</v>
      </c>
      <c r="C1039">
        <v>4</v>
      </c>
      <c r="D1039" t="s">
        <v>5876</v>
      </c>
      <c r="E1039" s="23">
        <v>42948</v>
      </c>
      <c r="F1039" s="23">
        <v>42950</v>
      </c>
      <c r="G1039">
        <v>2</v>
      </c>
      <c r="H1039">
        <v>7</v>
      </c>
      <c r="I1039" t="s">
        <v>5581</v>
      </c>
    </row>
    <row r="1040" spans="1:9" x14ac:dyDescent="0.35">
      <c r="A1040">
        <v>1039</v>
      </c>
      <c r="B1040">
        <v>1077</v>
      </c>
      <c r="C1040">
        <v>4</v>
      </c>
      <c r="D1040" s="23">
        <v>42774</v>
      </c>
      <c r="E1040" s="23">
        <v>42951</v>
      </c>
      <c r="F1040" s="23">
        <v>42950</v>
      </c>
      <c r="G1040">
        <v>2</v>
      </c>
      <c r="H1040">
        <v>7</v>
      </c>
      <c r="I1040" t="s">
        <v>5581</v>
      </c>
    </row>
    <row r="1041" spans="1:9" x14ac:dyDescent="0.35">
      <c r="A1041">
        <v>1040</v>
      </c>
      <c r="B1041">
        <v>1225</v>
      </c>
      <c r="C1041">
        <v>4</v>
      </c>
      <c r="D1041" s="23">
        <v>42833</v>
      </c>
      <c r="E1041" s="23">
        <v>42954</v>
      </c>
      <c r="F1041" s="23">
        <v>42952</v>
      </c>
      <c r="G1041">
        <v>1</v>
      </c>
      <c r="H1041">
        <v>2</v>
      </c>
      <c r="I1041" t="s">
        <v>5581</v>
      </c>
    </row>
    <row r="1042" spans="1:9" x14ac:dyDescent="0.35">
      <c r="A1042">
        <v>1041</v>
      </c>
      <c r="B1042">
        <v>70</v>
      </c>
      <c r="C1042">
        <v>4</v>
      </c>
      <c r="D1042" s="23">
        <v>42833</v>
      </c>
      <c r="E1042" s="23">
        <v>42953</v>
      </c>
      <c r="F1042" s="23">
        <v>42952</v>
      </c>
      <c r="G1042">
        <v>2</v>
      </c>
      <c r="H1042">
        <v>7</v>
      </c>
      <c r="I1042" t="s">
        <v>5581</v>
      </c>
    </row>
    <row r="1043" spans="1:9" x14ac:dyDescent="0.35">
      <c r="A1043">
        <v>1042</v>
      </c>
      <c r="B1043">
        <v>539</v>
      </c>
      <c r="C1043">
        <v>4</v>
      </c>
      <c r="D1043" s="23">
        <v>42894</v>
      </c>
      <c r="E1043" s="23">
        <v>42954</v>
      </c>
      <c r="F1043" s="23">
        <v>42954</v>
      </c>
      <c r="G1043">
        <v>2</v>
      </c>
      <c r="H1043">
        <v>7</v>
      </c>
      <c r="I1043" t="s">
        <v>5581</v>
      </c>
    </row>
    <row r="1044" spans="1:9" x14ac:dyDescent="0.35">
      <c r="A1044">
        <v>1043</v>
      </c>
      <c r="B1044">
        <v>1235</v>
      </c>
      <c r="C1044">
        <v>4</v>
      </c>
      <c r="D1044" s="23">
        <v>42894</v>
      </c>
      <c r="E1044" s="23">
        <v>42956</v>
      </c>
      <c r="F1044" s="23">
        <v>42955</v>
      </c>
      <c r="G1044">
        <v>2</v>
      </c>
      <c r="H1044">
        <v>6</v>
      </c>
      <c r="I1044" t="s">
        <v>5581</v>
      </c>
    </row>
    <row r="1045" spans="1:9" x14ac:dyDescent="0.35">
      <c r="A1045">
        <v>1044</v>
      </c>
      <c r="B1045">
        <v>1270</v>
      </c>
      <c r="C1045">
        <v>4</v>
      </c>
      <c r="D1045" s="23">
        <v>42924</v>
      </c>
      <c r="E1045" s="23">
        <v>42957</v>
      </c>
      <c r="F1045" s="23">
        <v>42955</v>
      </c>
      <c r="G1045">
        <v>2</v>
      </c>
      <c r="H1045">
        <v>7</v>
      </c>
      <c r="I1045" t="s">
        <v>5581</v>
      </c>
    </row>
    <row r="1046" spans="1:9" x14ac:dyDescent="0.35">
      <c r="A1046">
        <v>1045</v>
      </c>
      <c r="B1046">
        <v>185</v>
      </c>
      <c r="C1046">
        <v>4</v>
      </c>
      <c r="D1046" s="23">
        <v>42924</v>
      </c>
      <c r="E1046" s="23">
        <v>42956</v>
      </c>
      <c r="F1046" s="23">
        <v>42957</v>
      </c>
      <c r="G1046">
        <v>3</v>
      </c>
      <c r="H1046">
        <v>9</v>
      </c>
      <c r="I1046" t="s">
        <v>5581</v>
      </c>
    </row>
    <row r="1047" spans="1:9" x14ac:dyDescent="0.35">
      <c r="A1047">
        <v>1046</v>
      </c>
      <c r="B1047">
        <v>1134</v>
      </c>
      <c r="C1047">
        <v>4</v>
      </c>
      <c r="D1047" s="23">
        <v>42924</v>
      </c>
      <c r="E1047" s="23">
        <v>42956</v>
      </c>
      <c r="F1047" s="23">
        <v>42955</v>
      </c>
      <c r="G1047">
        <v>3</v>
      </c>
      <c r="H1047">
        <v>8</v>
      </c>
      <c r="I1047" t="s">
        <v>5581</v>
      </c>
    </row>
    <row r="1048" spans="1:9" x14ac:dyDescent="0.35">
      <c r="A1048">
        <v>1047</v>
      </c>
      <c r="B1048">
        <v>116</v>
      </c>
      <c r="C1048">
        <v>3</v>
      </c>
      <c r="D1048" s="23">
        <v>42955</v>
      </c>
      <c r="E1048" s="23">
        <v>42955</v>
      </c>
      <c r="F1048" t="s">
        <v>5597</v>
      </c>
      <c r="G1048">
        <v>3</v>
      </c>
      <c r="H1048">
        <v>8</v>
      </c>
      <c r="I1048" t="s">
        <v>5598</v>
      </c>
    </row>
    <row r="1049" spans="1:9" x14ac:dyDescent="0.35">
      <c r="A1049">
        <v>1048</v>
      </c>
      <c r="B1049">
        <v>777</v>
      </c>
      <c r="C1049">
        <v>4</v>
      </c>
      <c r="D1049" s="23">
        <v>42955</v>
      </c>
      <c r="E1049" s="23">
        <v>42957</v>
      </c>
      <c r="F1049" s="23">
        <v>42956</v>
      </c>
      <c r="G1049">
        <v>2</v>
      </c>
      <c r="H1049">
        <v>7</v>
      </c>
      <c r="I1049" t="s">
        <v>5581</v>
      </c>
    </row>
    <row r="1050" spans="1:9" x14ac:dyDescent="0.35">
      <c r="A1050">
        <v>1049</v>
      </c>
      <c r="B1050">
        <v>194</v>
      </c>
      <c r="C1050">
        <v>4</v>
      </c>
      <c r="D1050" s="23">
        <v>42986</v>
      </c>
      <c r="E1050" s="23">
        <v>42958</v>
      </c>
      <c r="F1050" s="23">
        <v>42957</v>
      </c>
      <c r="G1050">
        <v>1</v>
      </c>
      <c r="H1050">
        <v>2</v>
      </c>
      <c r="I1050" t="s">
        <v>5581</v>
      </c>
    </row>
    <row r="1051" spans="1:9" x14ac:dyDescent="0.35">
      <c r="A1051">
        <v>1050</v>
      </c>
      <c r="B1051">
        <v>239</v>
      </c>
      <c r="C1051">
        <v>4</v>
      </c>
      <c r="D1051" s="23">
        <v>42986</v>
      </c>
      <c r="E1051" s="23">
        <v>42959</v>
      </c>
      <c r="F1051" s="23">
        <v>42959</v>
      </c>
      <c r="G1051">
        <v>1</v>
      </c>
      <c r="H1051">
        <v>3</v>
      </c>
      <c r="I1051" t="s">
        <v>5581</v>
      </c>
    </row>
    <row r="1052" spans="1:9" x14ac:dyDescent="0.35">
      <c r="A1052">
        <v>1051</v>
      </c>
      <c r="B1052">
        <v>209</v>
      </c>
      <c r="C1052">
        <v>4</v>
      </c>
      <c r="D1052" s="23">
        <v>43016</v>
      </c>
      <c r="E1052" s="23">
        <v>42958</v>
      </c>
      <c r="F1052" s="23">
        <v>42958</v>
      </c>
      <c r="G1052">
        <v>2</v>
      </c>
      <c r="H1052">
        <v>7</v>
      </c>
      <c r="I1052" t="s">
        <v>5581</v>
      </c>
    </row>
    <row r="1053" spans="1:9" x14ac:dyDescent="0.35">
      <c r="A1053">
        <v>1052</v>
      </c>
      <c r="B1053">
        <v>460</v>
      </c>
      <c r="C1053">
        <v>4</v>
      </c>
      <c r="D1053" s="23">
        <v>43016</v>
      </c>
      <c r="E1053" s="23">
        <v>42959</v>
      </c>
      <c r="F1053" s="23">
        <v>42960</v>
      </c>
      <c r="G1053">
        <v>2</v>
      </c>
      <c r="H1053">
        <v>6</v>
      </c>
      <c r="I1053" t="s">
        <v>5581</v>
      </c>
    </row>
    <row r="1054" spans="1:9" x14ac:dyDescent="0.35">
      <c r="A1054">
        <v>1053</v>
      </c>
      <c r="B1054">
        <v>1439</v>
      </c>
      <c r="C1054">
        <v>4</v>
      </c>
      <c r="D1054" s="23">
        <v>43016</v>
      </c>
      <c r="E1054" s="23">
        <v>42958</v>
      </c>
      <c r="F1054" s="23">
        <v>42959</v>
      </c>
      <c r="G1054">
        <v>2</v>
      </c>
      <c r="H1054">
        <v>6</v>
      </c>
      <c r="I1054" t="s">
        <v>5581</v>
      </c>
    </row>
    <row r="1055" spans="1:9" x14ac:dyDescent="0.35">
      <c r="A1055">
        <v>1054</v>
      </c>
      <c r="B1055">
        <v>189</v>
      </c>
      <c r="C1055">
        <v>4</v>
      </c>
      <c r="D1055" s="23">
        <v>43047</v>
      </c>
      <c r="E1055" s="23">
        <v>42959</v>
      </c>
      <c r="F1055" s="23">
        <v>42959</v>
      </c>
      <c r="G1055">
        <v>2</v>
      </c>
      <c r="H1055">
        <v>7</v>
      </c>
      <c r="I1055" t="s">
        <v>5581</v>
      </c>
    </row>
    <row r="1056" spans="1:9" x14ac:dyDescent="0.35">
      <c r="A1056">
        <v>1055</v>
      </c>
      <c r="B1056">
        <v>140</v>
      </c>
      <c r="C1056">
        <v>4</v>
      </c>
      <c r="D1056" s="23">
        <v>43077</v>
      </c>
      <c r="E1056" s="23">
        <v>42962</v>
      </c>
      <c r="F1056" s="23">
        <v>42962</v>
      </c>
      <c r="G1056">
        <v>2</v>
      </c>
      <c r="H1056">
        <v>6</v>
      </c>
      <c r="I1056" t="s">
        <v>5581</v>
      </c>
    </row>
    <row r="1057" spans="1:9" x14ac:dyDescent="0.35">
      <c r="A1057">
        <v>1056</v>
      </c>
      <c r="B1057">
        <v>325</v>
      </c>
      <c r="C1057">
        <v>4</v>
      </c>
      <c r="D1057" s="23">
        <v>43077</v>
      </c>
      <c r="E1057" s="23">
        <v>42962</v>
      </c>
      <c r="F1057" s="23">
        <v>42960</v>
      </c>
      <c r="G1057">
        <v>2</v>
      </c>
      <c r="H1057">
        <v>7</v>
      </c>
      <c r="I1057" t="s">
        <v>5581</v>
      </c>
    </row>
    <row r="1058" spans="1:9" x14ac:dyDescent="0.35">
      <c r="A1058">
        <v>1057</v>
      </c>
      <c r="B1058">
        <v>456</v>
      </c>
      <c r="C1058">
        <v>4</v>
      </c>
      <c r="D1058" s="23">
        <v>43077</v>
      </c>
      <c r="E1058" s="23">
        <v>42962</v>
      </c>
      <c r="F1058" s="23">
        <v>42960</v>
      </c>
      <c r="G1058">
        <v>2</v>
      </c>
      <c r="H1058">
        <v>7</v>
      </c>
      <c r="I1058" t="s">
        <v>5581</v>
      </c>
    </row>
    <row r="1059" spans="1:9" x14ac:dyDescent="0.35">
      <c r="A1059">
        <v>1058</v>
      </c>
      <c r="B1059">
        <v>782</v>
      </c>
      <c r="C1059">
        <v>4</v>
      </c>
      <c r="D1059" t="s">
        <v>5877</v>
      </c>
      <c r="E1059" s="23">
        <v>42963</v>
      </c>
      <c r="F1059" s="23">
        <v>42961</v>
      </c>
      <c r="G1059">
        <v>2</v>
      </c>
      <c r="H1059">
        <v>6</v>
      </c>
      <c r="I1059" t="s">
        <v>5581</v>
      </c>
    </row>
    <row r="1060" spans="1:9" x14ac:dyDescent="0.35">
      <c r="A1060">
        <v>1059</v>
      </c>
      <c r="B1060">
        <v>6</v>
      </c>
      <c r="C1060">
        <v>4</v>
      </c>
      <c r="D1060" t="s">
        <v>5878</v>
      </c>
      <c r="E1060" s="23">
        <v>42964</v>
      </c>
      <c r="F1060" s="23">
        <v>42964</v>
      </c>
      <c r="G1060">
        <v>2</v>
      </c>
      <c r="H1060">
        <v>7</v>
      </c>
      <c r="I1060" t="s">
        <v>5581</v>
      </c>
    </row>
    <row r="1061" spans="1:9" x14ac:dyDescent="0.35">
      <c r="A1061">
        <v>1060</v>
      </c>
      <c r="B1061">
        <v>182</v>
      </c>
      <c r="C1061">
        <v>4</v>
      </c>
      <c r="D1061" t="s">
        <v>5879</v>
      </c>
      <c r="E1061" s="23">
        <v>42965</v>
      </c>
      <c r="F1061" s="23">
        <v>42964</v>
      </c>
      <c r="G1061">
        <v>2</v>
      </c>
      <c r="H1061">
        <v>6</v>
      </c>
      <c r="I1061" t="s">
        <v>5581</v>
      </c>
    </row>
    <row r="1062" spans="1:9" x14ac:dyDescent="0.35">
      <c r="A1062">
        <v>1061</v>
      </c>
      <c r="B1062">
        <v>655</v>
      </c>
      <c r="C1062">
        <v>4</v>
      </c>
      <c r="D1062" t="s">
        <v>5879</v>
      </c>
      <c r="E1062" s="23">
        <v>42965</v>
      </c>
      <c r="F1062" s="23">
        <v>42965</v>
      </c>
      <c r="G1062">
        <v>2</v>
      </c>
      <c r="H1062">
        <v>7</v>
      </c>
      <c r="I1062" t="s">
        <v>5581</v>
      </c>
    </row>
    <row r="1063" spans="1:9" x14ac:dyDescent="0.35">
      <c r="A1063">
        <v>1062</v>
      </c>
      <c r="B1063">
        <v>1210</v>
      </c>
      <c r="C1063">
        <v>4</v>
      </c>
      <c r="D1063" t="s">
        <v>5879</v>
      </c>
      <c r="E1063" s="23">
        <v>42964</v>
      </c>
      <c r="F1063" s="23">
        <v>42965</v>
      </c>
      <c r="G1063">
        <v>2</v>
      </c>
      <c r="H1063">
        <v>6</v>
      </c>
      <c r="I1063" t="s">
        <v>5581</v>
      </c>
    </row>
    <row r="1064" spans="1:9" x14ac:dyDescent="0.35">
      <c r="A1064">
        <v>1063</v>
      </c>
      <c r="B1064">
        <v>198</v>
      </c>
      <c r="C1064">
        <v>4</v>
      </c>
      <c r="D1064" t="s">
        <v>5880</v>
      </c>
      <c r="E1064" s="23">
        <v>42966</v>
      </c>
      <c r="F1064" s="23">
        <v>42966</v>
      </c>
      <c r="G1064">
        <v>3</v>
      </c>
      <c r="H1064">
        <v>8</v>
      </c>
      <c r="I1064" t="s">
        <v>5581</v>
      </c>
    </row>
    <row r="1065" spans="1:9" x14ac:dyDescent="0.35">
      <c r="A1065">
        <v>1064</v>
      </c>
      <c r="B1065">
        <v>898</v>
      </c>
      <c r="C1065">
        <v>4</v>
      </c>
      <c r="D1065" t="s">
        <v>5880</v>
      </c>
      <c r="E1065" s="23">
        <v>42965</v>
      </c>
      <c r="F1065" s="23">
        <v>42966</v>
      </c>
      <c r="G1065">
        <v>3</v>
      </c>
      <c r="H1065">
        <v>9</v>
      </c>
      <c r="I1065" t="s">
        <v>5581</v>
      </c>
    </row>
    <row r="1066" spans="1:9" x14ac:dyDescent="0.35">
      <c r="A1066">
        <v>1065</v>
      </c>
      <c r="B1066">
        <v>25</v>
      </c>
      <c r="C1066">
        <v>4</v>
      </c>
      <c r="D1066" t="s">
        <v>5881</v>
      </c>
      <c r="E1066" s="23">
        <v>42966</v>
      </c>
      <c r="F1066" s="23">
        <v>42966</v>
      </c>
      <c r="G1066">
        <v>2</v>
      </c>
      <c r="H1066">
        <v>7</v>
      </c>
      <c r="I1066" t="s">
        <v>5581</v>
      </c>
    </row>
    <row r="1067" spans="1:9" x14ac:dyDescent="0.35">
      <c r="A1067">
        <v>1066</v>
      </c>
      <c r="B1067">
        <v>106</v>
      </c>
      <c r="C1067">
        <v>4</v>
      </c>
      <c r="D1067" t="s">
        <v>5881</v>
      </c>
      <c r="E1067" s="23">
        <v>42967</v>
      </c>
      <c r="F1067" s="23">
        <v>42966</v>
      </c>
      <c r="G1067">
        <v>2</v>
      </c>
      <c r="H1067">
        <v>7</v>
      </c>
      <c r="I1067" t="s">
        <v>5581</v>
      </c>
    </row>
    <row r="1068" spans="1:9" x14ac:dyDescent="0.35">
      <c r="A1068">
        <v>1067</v>
      </c>
      <c r="B1068">
        <v>225</v>
      </c>
      <c r="C1068">
        <v>4</v>
      </c>
      <c r="D1068" t="s">
        <v>5881</v>
      </c>
      <c r="E1068" s="23">
        <v>42966</v>
      </c>
      <c r="F1068" s="23">
        <v>42966</v>
      </c>
      <c r="G1068">
        <v>2</v>
      </c>
      <c r="H1068">
        <v>7</v>
      </c>
      <c r="I1068" t="s">
        <v>5581</v>
      </c>
    </row>
    <row r="1069" spans="1:9" x14ac:dyDescent="0.35">
      <c r="A1069">
        <v>1068</v>
      </c>
      <c r="B1069">
        <v>453</v>
      </c>
      <c r="C1069">
        <v>4</v>
      </c>
      <c r="D1069" t="s">
        <v>5881</v>
      </c>
      <c r="E1069" s="23">
        <v>42967</v>
      </c>
      <c r="F1069" s="23">
        <v>42966</v>
      </c>
      <c r="G1069">
        <v>2</v>
      </c>
      <c r="H1069">
        <v>7</v>
      </c>
      <c r="I1069" t="s">
        <v>5581</v>
      </c>
    </row>
    <row r="1070" spans="1:9" x14ac:dyDescent="0.35">
      <c r="A1070">
        <v>1069</v>
      </c>
      <c r="B1070">
        <v>493</v>
      </c>
      <c r="C1070">
        <v>4</v>
      </c>
      <c r="D1070" t="s">
        <v>5881</v>
      </c>
      <c r="E1070" s="23">
        <v>42966</v>
      </c>
      <c r="F1070" s="23">
        <v>42965</v>
      </c>
      <c r="G1070">
        <v>2</v>
      </c>
      <c r="H1070">
        <v>6</v>
      </c>
      <c r="I1070" t="s">
        <v>5581</v>
      </c>
    </row>
    <row r="1071" spans="1:9" x14ac:dyDescent="0.35">
      <c r="A1071">
        <v>1070</v>
      </c>
      <c r="B1071">
        <v>596</v>
      </c>
      <c r="C1071">
        <v>4</v>
      </c>
      <c r="D1071" t="s">
        <v>5881</v>
      </c>
      <c r="E1071" s="23">
        <v>42967</v>
      </c>
      <c r="F1071" s="23">
        <v>42965</v>
      </c>
      <c r="G1071">
        <v>2</v>
      </c>
      <c r="H1071">
        <v>7</v>
      </c>
      <c r="I1071" t="s">
        <v>5581</v>
      </c>
    </row>
    <row r="1072" spans="1:9" x14ac:dyDescent="0.35">
      <c r="A1072">
        <v>1071</v>
      </c>
      <c r="B1072">
        <v>602</v>
      </c>
      <c r="C1072">
        <v>4</v>
      </c>
      <c r="D1072" t="s">
        <v>5881</v>
      </c>
      <c r="E1072" s="23">
        <v>42967</v>
      </c>
      <c r="F1072" s="23">
        <v>42965</v>
      </c>
      <c r="G1072">
        <v>3</v>
      </c>
      <c r="H1072">
        <v>8</v>
      </c>
      <c r="I1072" t="s">
        <v>5581</v>
      </c>
    </row>
    <row r="1073" spans="1:9" x14ac:dyDescent="0.35">
      <c r="A1073">
        <v>1072</v>
      </c>
      <c r="B1073">
        <v>47</v>
      </c>
      <c r="C1073">
        <v>3</v>
      </c>
      <c r="D1073" t="s">
        <v>5882</v>
      </c>
      <c r="E1073" s="23">
        <v>42965</v>
      </c>
      <c r="F1073" t="s">
        <v>5597</v>
      </c>
      <c r="G1073">
        <v>1</v>
      </c>
      <c r="H1073">
        <v>3</v>
      </c>
      <c r="I1073" t="s">
        <v>5598</v>
      </c>
    </row>
    <row r="1074" spans="1:9" x14ac:dyDescent="0.35">
      <c r="A1074">
        <v>1073</v>
      </c>
      <c r="B1074">
        <v>911</v>
      </c>
      <c r="C1074">
        <v>4</v>
      </c>
      <c r="D1074" t="s">
        <v>5882</v>
      </c>
      <c r="E1074" s="23">
        <v>42966</v>
      </c>
      <c r="F1074" s="23">
        <v>42968</v>
      </c>
      <c r="G1074">
        <v>2</v>
      </c>
      <c r="H1074">
        <v>7</v>
      </c>
      <c r="I1074" t="s">
        <v>5581</v>
      </c>
    </row>
    <row r="1075" spans="1:9" x14ac:dyDescent="0.35">
      <c r="A1075">
        <v>1074</v>
      </c>
      <c r="B1075">
        <v>11</v>
      </c>
      <c r="C1075">
        <v>3</v>
      </c>
      <c r="D1075" t="s">
        <v>5883</v>
      </c>
      <c r="E1075" s="23">
        <v>42966</v>
      </c>
      <c r="F1075" t="s">
        <v>5597</v>
      </c>
      <c r="G1075">
        <v>2</v>
      </c>
      <c r="H1075">
        <v>6</v>
      </c>
      <c r="I1075" t="s">
        <v>5598</v>
      </c>
    </row>
    <row r="1076" spans="1:9" x14ac:dyDescent="0.35">
      <c r="A1076">
        <v>1075</v>
      </c>
      <c r="B1076">
        <v>1003</v>
      </c>
      <c r="C1076">
        <v>4</v>
      </c>
      <c r="D1076" t="s">
        <v>5883</v>
      </c>
      <c r="E1076" s="23">
        <v>42968</v>
      </c>
      <c r="F1076" s="23">
        <v>42969</v>
      </c>
      <c r="G1076">
        <v>1</v>
      </c>
      <c r="H1076">
        <v>3</v>
      </c>
      <c r="I1076" t="s">
        <v>5581</v>
      </c>
    </row>
    <row r="1077" spans="1:9" x14ac:dyDescent="0.35">
      <c r="A1077">
        <v>1076</v>
      </c>
      <c r="B1077">
        <v>42</v>
      </c>
      <c r="C1077">
        <v>4</v>
      </c>
      <c r="D1077" t="s">
        <v>5883</v>
      </c>
      <c r="E1077" s="23">
        <v>42969</v>
      </c>
      <c r="F1077" s="23">
        <v>42969</v>
      </c>
      <c r="G1077">
        <v>2</v>
      </c>
      <c r="H1077">
        <v>6</v>
      </c>
      <c r="I1077" t="s">
        <v>5581</v>
      </c>
    </row>
    <row r="1078" spans="1:9" x14ac:dyDescent="0.35">
      <c r="A1078">
        <v>1077</v>
      </c>
      <c r="B1078">
        <v>412</v>
      </c>
      <c r="C1078">
        <v>4</v>
      </c>
      <c r="D1078" t="s">
        <v>5883</v>
      </c>
      <c r="E1078" s="23">
        <v>42967</v>
      </c>
      <c r="F1078" s="23">
        <v>42968</v>
      </c>
      <c r="G1078">
        <v>2</v>
      </c>
      <c r="H1078">
        <v>6</v>
      </c>
      <c r="I1078" t="s">
        <v>5581</v>
      </c>
    </row>
    <row r="1079" spans="1:9" x14ac:dyDescent="0.35">
      <c r="A1079">
        <v>1078</v>
      </c>
      <c r="B1079">
        <v>793</v>
      </c>
      <c r="C1079">
        <v>4</v>
      </c>
      <c r="D1079" t="s">
        <v>5883</v>
      </c>
      <c r="E1079" s="23">
        <v>42968</v>
      </c>
      <c r="F1079" s="23">
        <v>42967</v>
      </c>
      <c r="G1079">
        <v>2</v>
      </c>
      <c r="H1079">
        <v>6</v>
      </c>
      <c r="I1079" t="s">
        <v>5581</v>
      </c>
    </row>
    <row r="1080" spans="1:9" x14ac:dyDescent="0.35">
      <c r="A1080">
        <v>1079</v>
      </c>
      <c r="B1080">
        <v>812</v>
      </c>
      <c r="C1080">
        <v>4</v>
      </c>
      <c r="D1080" t="s">
        <v>5883</v>
      </c>
      <c r="E1080" s="23">
        <v>42967</v>
      </c>
      <c r="F1080" s="23">
        <v>42967</v>
      </c>
      <c r="G1080">
        <v>2</v>
      </c>
      <c r="H1080">
        <v>7</v>
      </c>
      <c r="I1080" t="s">
        <v>5581</v>
      </c>
    </row>
    <row r="1081" spans="1:9" x14ac:dyDescent="0.35">
      <c r="A1081">
        <v>1080</v>
      </c>
      <c r="B1081">
        <v>1086</v>
      </c>
      <c r="C1081">
        <v>4</v>
      </c>
      <c r="D1081" t="s">
        <v>5883</v>
      </c>
      <c r="E1081" s="23">
        <v>42967</v>
      </c>
      <c r="F1081" s="23">
        <v>42967</v>
      </c>
      <c r="G1081">
        <v>2</v>
      </c>
      <c r="H1081">
        <v>7</v>
      </c>
      <c r="I1081" t="s">
        <v>5581</v>
      </c>
    </row>
    <row r="1082" spans="1:9" x14ac:dyDescent="0.35">
      <c r="A1082">
        <v>1081</v>
      </c>
      <c r="B1082">
        <v>1106</v>
      </c>
      <c r="C1082">
        <v>4</v>
      </c>
      <c r="D1082" t="s">
        <v>5883</v>
      </c>
      <c r="E1082" s="23">
        <v>42969</v>
      </c>
      <c r="F1082" s="23">
        <v>42969</v>
      </c>
      <c r="G1082">
        <v>2</v>
      </c>
      <c r="H1082">
        <v>6</v>
      </c>
      <c r="I1082" t="s">
        <v>5581</v>
      </c>
    </row>
    <row r="1083" spans="1:9" x14ac:dyDescent="0.35">
      <c r="A1083">
        <v>1082</v>
      </c>
      <c r="B1083">
        <v>1327</v>
      </c>
      <c r="C1083">
        <v>4</v>
      </c>
      <c r="D1083" t="s">
        <v>5884</v>
      </c>
      <c r="E1083" s="23">
        <v>42969</v>
      </c>
      <c r="F1083" s="23">
        <v>42968</v>
      </c>
      <c r="G1083">
        <v>2</v>
      </c>
      <c r="H1083">
        <v>6</v>
      </c>
      <c r="I1083" t="s">
        <v>5581</v>
      </c>
    </row>
    <row r="1084" spans="1:9" x14ac:dyDescent="0.35">
      <c r="A1084">
        <v>1083</v>
      </c>
      <c r="B1084">
        <v>1372</v>
      </c>
      <c r="C1084">
        <v>4</v>
      </c>
      <c r="D1084" t="s">
        <v>5884</v>
      </c>
      <c r="E1084" s="23">
        <v>42970</v>
      </c>
      <c r="F1084" s="23">
        <v>42970</v>
      </c>
      <c r="G1084">
        <v>2</v>
      </c>
      <c r="H1084">
        <v>6</v>
      </c>
      <c r="I1084" t="s">
        <v>5581</v>
      </c>
    </row>
    <row r="1085" spans="1:9" x14ac:dyDescent="0.35">
      <c r="A1085">
        <v>1084</v>
      </c>
      <c r="B1085">
        <v>2</v>
      </c>
      <c r="C1085">
        <v>4</v>
      </c>
      <c r="D1085" t="s">
        <v>5885</v>
      </c>
      <c r="E1085" s="23">
        <v>42971</v>
      </c>
      <c r="F1085" s="23">
        <v>42970</v>
      </c>
      <c r="G1085">
        <v>1</v>
      </c>
      <c r="H1085">
        <v>2</v>
      </c>
      <c r="I1085" t="s">
        <v>5581</v>
      </c>
    </row>
    <row r="1086" spans="1:9" x14ac:dyDescent="0.35">
      <c r="A1086">
        <v>1085</v>
      </c>
      <c r="B1086">
        <v>305</v>
      </c>
      <c r="C1086">
        <v>4</v>
      </c>
      <c r="D1086" t="s">
        <v>5885</v>
      </c>
      <c r="E1086" s="23">
        <v>42970</v>
      </c>
      <c r="F1086" s="23">
        <v>42970</v>
      </c>
      <c r="G1086">
        <v>1</v>
      </c>
      <c r="H1086">
        <v>3</v>
      </c>
      <c r="I1086" t="s">
        <v>5581</v>
      </c>
    </row>
    <row r="1087" spans="1:9" x14ac:dyDescent="0.35">
      <c r="A1087">
        <v>1086</v>
      </c>
      <c r="B1087">
        <v>220</v>
      </c>
      <c r="C1087">
        <v>4</v>
      </c>
      <c r="D1087" t="s">
        <v>5885</v>
      </c>
      <c r="E1087" s="23">
        <v>42970</v>
      </c>
      <c r="F1087" s="23">
        <v>42971</v>
      </c>
      <c r="G1087">
        <v>2</v>
      </c>
      <c r="H1087">
        <v>7</v>
      </c>
      <c r="I1087" t="s">
        <v>5581</v>
      </c>
    </row>
    <row r="1088" spans="1:9" x14ac:dyDescent="0.35">
      <c r="A1088">
        <v>1087</v>
      </c>
      <c r="B1088">
        <v>675</v>
      </c>
      <c r="C1088">
        <v>4</v>
      </c>
      <c r="D1088" t="s">
        <v>5886</v>
      </c>
      <c r="E1088" s="23">
        <v>42970</v>
      </c>
      <c r="F1088" s="23">
        <v>42972</v>
      </c>
      <c r="G1088">
        <v>3</v>
      </c>
      <c r="H1088">
        <v>8</v>
      </c>
      <c r="I1088" t="s">
        <v>5581</v>
      </c>
    </row>
    <row r="1089" spans="1:9" x14ac:dyDescent="0.35">
      <c r="A1089">
        <v>1088</v>
      </c>
      <c r="B1089">
        <v>1160</v>
      </c>
      <c r="C1089">
        <v>4</v>
      </c>
      <c r="D1089" t="s">
        <v>5886</v>
      </c>
      <c r="E1089" s="23">
        <v>42970</v>
      </c>
      <c r="F1089" s="23">
        <v>42970</v>
      </c>
      <c r="G1089">
        <v>3</v>
      </c>
      <c r="H1089">
        <v>8</v>
      </c>
      <c r="I1089" t="s">
        <v>5581</v>
      </c>
    </row>
    <row r="1090" spans="1:9" x14ac:dyDescent="0.35">
      <c r="A1090">
        <v>1089</v>
      </c>
      <c r="B1090">
        <v>46</v>
      </c>
      <c r="C1090">
        <v>3</v>
      </c>
      <c r="D1090" t="s">
        <v>5887</v>
      </c>
      <c r="E1090" s="23">
        <v>42970</v>
      </c>
      <c r="F1090" t="s">
        <v>5597</v>
      </c>
      <c r="G1090">
        <v>1</v>
      </c>
      <c r="H1090">
        <v>2</v>
      </c>
      <c r="I1090" t="s">
        <v>5598</v>
      </c>
    </row>
    <row r="1091" spans="1:9" x14ac:dyDescent="0.35">
      <c r="A1091">
        <v>1090</v>
      </c>
      <c r="B1091">
        <v>1427</v>
      </c>
      <c r="C1091">
        <v>4</v>
      </c>
      <c r="D1091" t="s">
        <v>5888</v>
      </c>
      <c r="E1091" s="23">
        <v>42973</v>
      </c>
      <c r="F1091" s="23">
        <v>42973</v>
      </c>
      <c r="G1091">
        <v>1</v>
      </c>
      <c r="H1091">
        <v>2</v>
      </c>
      <c r="I1091" t="s">
        <v>5581</v>
      </c>
    </row>
    <row r="1092" spans="1:9" x14ac:dyDescent="0.35">
      <c r="A1092">
        <v>1091</v>
      </c>
      <c r="B1092">
        <v>1260</v>
      </c>
      <c r="C1092">
        <v>4</v>
      </c>
      <c r="D1092" t="s">
        <v>5888</v>
      </c>
      <c r="E1092" s="23">
        <v>42972</v>
      </c>
      <c r="F1092" s="23">
        <v>42972</v>
      </c>
      <c r="G1092">
        <v>2</v>
      </c>
      <c r="H1092">
        <v>7</v>
      </c>
      <c r="I1092" t="s">
        <v>5581</v>
      </c>
    </row>
    <row r="1093" spans="1:9" x14ac:dyDescent="0.35">
      <c r="A1093">
        <v>1092</v>
      </c>
      <c r="B1093">
        <v>40</v>
      </c>
      <c r="C1093">
        <v>4</v>
      </c>
      <c r="D1093" t="s">
        <v>5889</v>
      </c>
      <c r="E1093" s="23">
        <v>42975</v>
      </c>
      <c r="F1093" s="23">
        <v>42974</v>
      </c>
      <c r="G1093">
        <v>1</v>
      </c>
      <c r="H1093">
        <v>2</v>
      </c>
      <c r="I1093" t="s">
        <v>5581</v>
      </c>
    </row>
    <row r="1094" spans="1:9" x14ac:dyDescent="0.35">
      <c r="A1094">
        <v>1093</v>
      </c>
      <c r="B1094">
        <v>326</v>
      </c>
      <c r="C1094">
        <v>4</v>
      </c>
      <c r="D1094" t="s">
        <v>5889</v>
      </c>
      <c r="E1094" s="23">
        <v>42975</v>
      </c>
      <c r="F1094" s="23">
        <v>42973</v>
      </c>
      <c r="G1094">
        <v>1</v>
      </c>
      <c r="H1094">
        <v>3</v>
      </c>
      <c r="I1094" t="s">
        <v>5581</v>
      </c>
    </row>
    <row r="1095" spans="1:9" x14ac:dyDescent="0.35">
      <c r="A1095">
        <v>1094</v>
      </c>
      <c r="B1095">
        <v>828</v>
      </c>
      <c r="C1095">
        <v>4</v>
      </c>
      <c r="D1095" t="s">
        <v>5889</v>
      </c>
      <c r="E1095" s="23">
        <v>42974</v>
      </c>
      <c r="F1095" s="23">
        <v>42975</v>
      </c>
      <c r="G1095">
        <v>2</v>
      </c>
      <c r="H1095">
        <v>6</v>
      </c>
      <c r="I1095" t="s">
        <v>5581</v>
      </c>
    </row>
    <row r="1096" spans="1:9" x14ac:dyDescent="0.35">
      <c r="A1096">
        <v>1095</v>
      </c>
      <c r="B1096">
        <v>1382</v>
      </c>
      <c r="C1096">
        <v>4</v>
      </c>
      <c r="D1096" t="s">
        <v>5890</v>
      </c>
      <c r="E1096" s="23">
        <v>42975</v>
      </c>
      <c r="F1096" s="23">
        <v>42974</v>
      </c>
      <c r="G1096">
        <v>3</v>
      </c>
      <c r="H1096">
        <v>9</v>
      </c>
      <c r="I1096" t="s">
        <v>5581</v>
      </c>
    </row>
    <row r="1097" spans="1:9" x14ac:dyDescent="0.35">
      <c r="A1097">
        <v>1096</v>
      </c>
      <c r="B1097">
        <v>589</v>
      </c>
      <c r="C1097">
        <v>4</v>
      </c>
      <c r="D1097" t="s">
        <v>5891</v>
      </c>
      <c r="E1097" s="23">
        <v>42976</v>
      </c>
      <c r="F1097" s="23">
        <v>42976</v>
      </c>
      <c r="G1097">
        <v>1</v>
      </c>
      <c r="H1097">
        <v>2</v>
      </c>
      <c r="I1097" t="s">
        <v>5581</v>
      </c>
    </row>
    <row r="1098" spans="1:9" x14ac:dyDescent="0.35">
      <c r="A1098">
        <v>1097</v>
      </c>
      <c r="B1098">
        <v>1311</v>
      </c>
      <c r="C1098">
        <v>4</v>
      </c>
      <c r="D1098" t="s">
        <v>5891</v>
      </c>
      <c r="E1098" s="23">
        <v>42977</v>
      </c>
      <c r="F1098" s="23">
        <v>42975</v>
      </c>
      <c r="G1098">
        <v>2</v>
      </c>
      <c r="H1098">
        <v>6</v>
      </c>
      <c r="I1098" t="s">
        <v>5581</v>
      </c>
    </row>
    <row r="1099" spans="1:9" x14ac:dyDescent="0.35">
      <c r="A1099">
        <v>1098</v>
      </c>
      <c r="B1099">
        <v>752</v>
      </c>
      <c r="C1099">
        <v>4</v>
      </c>
      <c r="D1099" t="s">
        <v>5892</v>
      </c>
      <c r="E1099" s="23">
        <v>42977</v>
      </c>
      <c r="F1099" s="23">
        <v>42977</v>
      </c>
      <c r="G1099">
        <v>1</v>
      </c>
      <c r="H1099">
        <v>2</v>
      </c>
      <c r="I1099" t="s">
        <v>5581</v>
      </c>
    </row>
    <row r="1100" spans="1:9" x14ac:dyDescent="0.35">
      <c r="A1100">
        <v>1099</v>
      </c>
      <c r="B1100">
        <v>1128</v>
      </c>
      <c r="C1100">
        <v>4</v>
      </c>
      <c r="D1100" t="s">
        <v>5892</v>
      </c>
      <c r="E1100" s="23">
        <v>42976</v>
      </c>
      <c r="F1100" s="23">
        <v>42977</v>
      </c>
      <c r="G1100">
        <v>2</v>
      </c>
      <c r="H1100">
        <v>6</v>
      </c>
      <c r="I1100" t="s">
        <v>5581</v>
      </c>
    </row>
    <row r="1101" spans="1:9" x14ac:dyDescent="0.35">
      <c r="A1101">
        <v>1100</v>
      </c>
      <c r="B1101">
        <v>1392</v>
      </c>
      <c r="C1101">
        <v>4</v>
      </c>
      <c r="D1101" t="s">
        <v>5892</v>
      </c>
      <c r="E1101" s="23">
        <v>42976</v>
      </c>
      <c r="F1101" s="23">
        <v>42976</v>
      </c>
      <c r="G1101">
        <v>2</v>
      </c>
      <c r="H1101">
        <v>7</v>
      </c>
      <c r="I1101" t="s">
        <v>5581</v>
      </c>
    </row>
    <row r="1102" spans="1:9" x14ac:dyDescent="0.35">
      <c r="A1102">
        <v>1101</v>
      </c>
      <c r="B1102">
        <v>379</v>
      </c>
      <c r="C1102">
        <v>4</v>
      </c>
      <c r="D1102" t="s">
        <v>5893</v>
      </c>
      <c r="E1102" s="23">
        <v>42977</v>
      </c>
      <c r="F1102" s="23">
        <v>42977</v>
      </c>
      <c r="G1102">
        <v>2</v>
      </c>
      <c r="H1102">
        <v>7</v>
      </c>
      <c r="I1102" t="s">
        <v>5581</v>
      </c>
    </row>
    <row r="1103" spans="1:9" x14ac:dyDescent="0.35">
      <c r="A1103">
        <v>1102</v>
      </c>
      <c r="B1103">
        <v>1317</v>
      </c>
      <c r="C1103">
        <v>4</v>
      </c>
      <c r="D1103" t="s">
        <v>5893</v>
      </c>
      <c r="E1103" s="23">
        <v>42978</v>
      </c>
      <c r="F1103" s="23">
        <v>42978</v>
      </c>
      <c r="G1103">
        <v>2</v>
      </c>
      <c r="H1103">
        <v>6</v>
      </c>
      <c r="I1103" t="s">
        <v>5581</v>
      </c>
    </row>
    <row r="1104" spans="1:9" x14ac:dyDescent="0.35">
      <c r="A1104">
        <v>1103</v>
      </c>
      <c r="B1104">
        <v>1394</v>
      </c>
      <c r="C1104">
        <v>4</v>
      </c>
      <c r="D1104" t="s">
        <v>5894</v>
      </c>
      <c r="E1104" s="23">
        <v>42980</v>
      </c>
      <c r="F1104" s="23">
        <v>42980</v>
      </c>
      <c r="G1104">
        <v>2</v>
      </c>
      <c r="H1104">
        <v>7</v>
      </c>
      <c r="I1104" t="s">
        <v>5581</v>
      </c>
    </row>
    <row r="1105" spans="1:9" x14ac:dyDescent="0.35">
      <c r="A1105">
        <v>1104</v>
      </c>
      <c r="B1105">
        <v>268</v>
      </c>
      <c r="C1105">
        <v>4</v>
      </c>
      <c r="D1105" s="23">
        <v>42744</v>
      </c>
      <c r="E1105" s="23">
        <v>42982</v>
      </c>
      <c r="F1105" s="23">
        <v>42981</v>
      </c>
      <c r="G1105">
        <v>2</v>
      </c>
      <c r="H1105">
        <v>6</v>
      </c>
      <c r="I1105" t="s">
        <v>5581</v>
      </c>
    </row>
    <row r="1106" spans="1:9" x14ac:dyDescent="0.35">
      <c r="A1106">
        <v>1105</v>
      </c>
      <c r="B1106">
        <v>747</v>
      </c>
      <c r="C1106">
        <v>4</v>
      </c>
      <c r="D1106" s="23">
        <v>42744</v>
      </c>
      <c r="E1106" s="23">
        <v>42982</v>
      </c>
      <c r="F1106" s="23">
        <v>42981</v>
      </c>
      <c r="G1106">
        <v>3</v>
      </c>
      <c r="H1106">
        <v>8</v>
      </c>
      <c r="I1106" t="s">
        <v>5581</v>
      </c>
    </row>
    <row r="1107" spans="1:9" x14ac:dyDescent="0.35">
      <c r="A1107">
        <v>1106</v>
      </c>
      <c r="B1107">
        <v>1009</v>
      </c>
      <c r="C1107">
        <v>4</v>
      </c>
      <c r="D1107" s="23">
        <v>42775</v>
      </c>
      <c r="E1107" s="23">
        <v>42982</v>
      </c>
      <c r="F1107" s="23">
        <v>42982</v>
      </c>
      <c r="G1107">
        <v>2</v>
      </c>
      <c r="H1107">
        <v>6</v>
      </c>
      <c r="I1107" t="s">
        <v>5581</v>
      </c>
    </row>
    <row r="1108" spans="1:9" x14ac:dyDescent="0.35">
      <c r="A1108">
        <v>1107</v>
      </c>
      <c r="B1108">
        <v>1424</v>
      </c>
      <c r="C1108">
        <v>4</v>
      </c>
      <c r="D1108" s="23">
        <v>42775</v>
      </c>
      <c r="E1108" s="23">
        <v>42983</v>
      </c>
      <c r="F1108" s="23">
        <v>42983</v>
      </c>
      <c r="G1108">
        <v>2</v>
      </c>
      <c r="H1108">
        <v>7</v>
      </c>
      <c r="I1108" t="s">
        <v>5581</v>
      </c>
    </row>
    <row r="1109" spans="1:9" x14ac:dyDescent="0.35">
      <c r="A1109">
        <v>1108</v>
      </c>
      <c r="B1109">
        <v>735</v>
      </c>
      <c r="C1109">
        <v>4</v>
      </c>
      <c r="D1109" s="23">
        <v>42803</v>
      </c>
      <c r="E1109" s="23">
        <v>42983</v>
      </c>
      <c r="F1109" s="23">
        <v>42982</v>
      </c>
      <c r="G1109">
        <v>1</v>
      </c>
      <c r="H1109">
        <v>3</v>
      </c>
      <c r="I1109" t="s">
        <v>5581</v>
      </c>
    </row>
    <row r="1110" spans="1:9" x14ac:dyDescent="0.35">
      <c r="A1110">
        <v>1109</v>
      </c>
      <c r="B1110">
        <v>23</v>
      </c>
      <c r="C1110">
        <v>4</v>
      </c>
      <c r="D1110" s="23">
        <v>42803</v>
      </c>
      <c r="E1110" s="23">
        <v>42982</v>
      </c>
      <c r="F1110" s="23">
        <v>42982</v>
      </c>
      <c r="G1110">
        <v>2</v>
      </c>
      <c r="H1110">
        <v>6</v>
      </c>
      <c r="I1110" t="s">
        <v>5581</v>
      </c>
    </row>
    <row r="1111" spans="1:9" x14ac:dyDescent="0.35">
      <c r="A1111">
        <v>1110</v>
      </c>
      <c r="B1111">
        <v>912</v>
      </c>
      <c r="C1111">
        <v>4</v>
      </c>
      <c r="D1111" s="23">
        <v>42834</v>
      </c>
      <c r="E1111" s="23">
        <v>42985</v>
      </c>
      <c r="F1111" s="23">
        <v>42985</v>
      </c>
      <c r="G1111">
        <v>2</v>
      </c>
      <c r="H1111">
        <v>6</v>
      </c>
      <c r="I1111" t="s">
        <v>5581</v>
      </c>
    </row>
    <row r="1112" spans="1:9" x14ac:dyDescent="0.35">
      <c r="A1112">
        <v>1111</v>
      </c>
      <c r="B1112">
        <v>930</v>
      </c>
      <c r="C1112">
        <v>4</v>
      </c>
      <c r="D1112" s="23">
        <v>42834</v>
      </c>
      <c r="E1112" s="23">
        <v>42984</v>
      </c>
      <c r="F1112" s="23">
        <v>42983</v>
      </c>
      <c r="G1112">
        <v>2</v>
      </c>
      <c r="H1112">
        <v>6</v>
      </c>
      <c r="I1112" t="s">
        <v>5581</v>
      </c>
    </row>
    <row r="1113" spans="1:9" x14ac:dyDescent="0.35">
      <c r="A1113">
        <v>1112</v>
      </c>
      <c r="B1113">
        <v>798</v>
      </c>
      <c r="C1113">
        <v>4</v>
      </c>
      <c r="D1113" s="23">
        <v>42864</v>
      </c>
      <c r="E1113" s="23">
        <v>42986</v>
      </c>
      <c r="F1113" s="23">
        <v>42985</v>
      </c>
      <c r="G1113">
        <v>2</v>
      </c>
      <c r="H1113">
        <v>7</v>
      </c>
      <c r="I1113" t="s">
        <v>5581</v>
      </c>
    </row>
    <row r="1114" spans="1:9" x14ac:dyDescent="0.35">
      <c r="A1114">
        <v>1113</v>
      </c>
      <c r="B1114">
        <v>388</v>
      </c>
      <c r="C1114">
        <v>4</v>
      </c>
      <c r="D1114" s="23">
        <v>42895</v>
      </c>
      <c r="E1114" s="23">
        <v>42986</v>
      </c>
      <c r="F1114" s="23">
        <v>42985</v>
      </c>
      <c r="G1114">
        <v>2</v>
      </c>
      <c r="H1114">
        <v>7</v>
      </c>
      <c r="I1114" t="s">
        <v>5581</v>
      </c>
    </row>
    <row r="1115" spans="1:9" x14ac:dyDescent="0.35">
      <c r="A1115">
        <v>1114</v>
      </c>
      <c r="B1115">
        <v>1036</v>
      </c>
      <c r="C1115">
        <v>4</v>
      </c>
      <c r="D1115" s="23">
        <v>42895</v>
      </c>
      <c r="E1115" s="23">
        <v>42986</v>
      </c>
      <c r="F1115" s="23">
        <v>42986</v>
      </c>
      <c r="G1115">
        <v>2</v>
      </c>
      <c r="H1115">
        <v>6</v>
      </c>
      <c r="I1115" t="s">
        <v>5581</v>
      </c>
    </row>
    <row r="1116" spans="1:9" x14ac:dyDescent="0.35">
      <c r="A1116">
        <v>1115</v>
      </c>
      <c r="B1116">
        <v>1100</v>
      </c>
      <c r="C1116">
        <v>4</v>
      </c>
      <c r="D1116" s="23">
        <v>42925</v>
      </c>
      <c r="E1116" s="23">
        <v>42987</v>
      </c>
      <c r="F1116" s="23">
        <v>42987</v>
      </c>
      <c r="G1116">
        <v>2</v>
      </c>
      <c r="H1116">
        <v>6</v>
      </c>
      <c r="I1116" t="s">
        <v>5581</v>
      </c>
    </row>
    <row r="1117" spans="1:9" x14ac:dyDescent="0.35">
      <c r="A1117">
        <v>1116</v>
      </c>
      <c r="B1117">
        <v>52</v>
      </c>
      <c r="C1117">
        <v>4</v>
      </c>
      <c r="D1117" s="23">
        <v>42956</v>
      </c>
      <c r="E1117" s="23">
        <v>42988</v>
      </c>
      <c r="F1117" s="23">
        <v>42988</v>
      </c>
      <c r="G1117">
        <v>2</v>
      </c>
      <c r="H1117">
        <v>7</v>
      </c>
      <c r="I1117" t="s">
        <v>5581</v>
      </c>
    </row>
    <row r="1118" spans="1:9" x14ac:dyDescent="0.35">
      <c r="A1118">
        <v>1117</v>
      </c>
      <c r="B1118">
        <v>334</v>
      </c>
      <c r="C1118">
        <v>4</v>
      </c>
      <c r="D1118" s="23">
        <v>42956</v>
      </c>
      <c r="E1118" s="23">
        <v>42988</v>
      </c>
      <c r="F1118" s="23">
        <v>42988</v>
      </c>
      <c r="G1118">
        <v>2</v>
      </c>
      <c r="H1118">
        <v>6</v>
      </c>
      <c r="I1118" t="s">
        <v>5581</v>
      </c>
    </row>
    <row r="1119" spans="1:9" x14ac:dyDescent="0.35">
      <c r="A1119">
        <v>1118</v>
      </c>
      <c r="B1119">
        <v>1023</v>
      </c>
      <c r="C1119">
        <v>4</v>
      </c>
      <c r="D1119" s="23">
        <v>42956</v>
      </c>
      <c r="E1119" s="23">
        <v>42989</v>
      </c>
      <c r="F1119" s="23">
        <v>42989</v>
      </c>
      <c r="G1119">
        <v>2</v>
      </c>
      <c r="H1119">
        <v>6</v>
      </c>
      <c r="I1119" t="s">
        <v>5581</v>
      </c>
    </row>
    <row r="1120" spans="1:9" x14ac:dyDescent="0.35">
      <c r="A1120">
        <v>1119</v>
      </c>
      <c r="B1120">
        <v>749</v>
      </c>
      <c r="C1120">
        <v>4</v>
      </c>
      <c r="D1120" s="23">
        <v>43017</v>
      </c>
      <c r="E1120" s="23">
        <v>42990</v>
      </c>
      <c r="F1120" s="23">
        <v>42991</v>
      </c>
      <c r="G1120">
        <v>1</v>
      </c>
      <c r="H1120">
        <v>2</v>
      </c>
      <c r="I1120" t="s">
        <v>5581</v>
      </c>
    </row>
    <row r="1121" spans="1:9" x14ac:dyDescent="0.35">
      <c r="A1121">
        <v>1120</v>
      </c>
      <c r="B1121">
        <v>1269</v>
      </c>
      <c r="C1121">
        <v>4</v>
      </c>
      <c r="D1121" s="23">
        <v>43017</v>
      </c>
      <c r="E1121" s="23">
        <v>42990</v>
      </c>
      <c r="F1121" s="23">
        <v>42991</v>
      </c>
      <c r="G1121">
        <v>2</v>
      </c>
      <c r="H1121">
        <v>7</v>
      </c>
      <c r="I1121" t="s">
        <v>5581</v>
      </c>
    </row>
    <row r="1122" spans="1:9" x14ac:dyDescent="0.35">
      <c r="A1122">
        <v>1121</v>
      </c>
      <c r="B1122">
        <v>143</v>
      </c>
      <c r="C1122">
        <v>4</v>
      </c>
      <c r="D1122" s="23">
        <v>43048</v>
      </c>
      <c r="E1122" s="23">
        <v>42991</v>
      </c>
      <c r="F1122" s="23">
        <v>42990</v>
      </c>
      <c r="G1122">
        <v>2</v>
      </c>
      <c r="H1122">
        <v>7</v>
      </c>
      <c r="I1122" t="s">
        <v>5581</v>
      </c>
    </row>
    <row r="1123" spans="1:9" x14ac:dyDescent="0.35">
      <c r="A1123">
        <v>1122</v>
      </c>
      <c r="B1123">
        <v>1132</v>
      </c>
      <c r="C1123">
        <v>4</v>
      </c>
      <c r="D1123" s="23">
        <v>43078</v>
      </c>
      <c r="E1123" s="23">
        <v>42992</v>
      </c>
      <c r="F1123" s="23">
        <v>42992</v>
      </c>
      <c r="G1123">
        <v>2</v>
      </c>
      <c r="H1123">
        <v>6</v>
      </c>
      <c r="I1123" t="s">
        <v>5581</v>
      </c>
    </row>
    <row r="1124" spans="1:9" x14ac:dyDescent="0.35">
      <c r="A1124">
        <v>1123</v>
      </c>
      <c r="B1124">
        <v>598</v>
      </c>
      <c r="C1124">
        <v>4</v>
      </c>
      <c r="D1124" t="s">
        <v>5895</v>
      </c>
      <c r="E1124" s="23">
        <v>42992</v>
      </c>
      <c r="F1124" s="23">
        <v>42992</v>
      </c>
      <c r="G1124">
        <v>2</v>
      </c>
      <c r="H1124">
        <v>7</v>
      </c>
      <c r="I1124" t="s">
        <v>5581</v>
      </c>
    </row>
    <row r="1125" spans="1:9" x14ac:dyDescent="0.35">
      <c r="A1125">
        <v>1124</v>
      </c>
      <c r="B1125">
        <v>275</v>
      </c>
      <c r="C1125">
        <v>4</v>
      </c>
      <c r="D1125" t="s">
        <v>5895</v>
      </c>
      <c r="E1125" s="23">
        <v>42992</v>
      </c>
      <c r="F1125" s="23">
        <v>42994</v>
      </c>
      <c r="G1125">
        <v>3</v>
      </c>
      <c r="H1125">
        <v>9</v>
      </c>
      <c r="I1125" t="s">
        <v>5581</v>
      </c>
    </row>
    <row r="1126" spans="1:9" x14ac:dyDescent="0.35">
      <c r="A1126">
        <v>1125</v>
      </c>
      <c r="B1126">
        <v>945</v>
      </c>
      <c r="C1126">
        <v>4</v>
      </c>
      <c r="D1126" t="s">
        <v>5896</v>
      </c>
      <c r="E1126" s="23">
        <v>42993</v>
      </c>
      <c r="F1126" s="23">
        <v>42993</v>
      </c>
      <c r="G1126">
        <v>2</v>
      </c>
      <c r="H1126">
        <v>7</v>
      </c>
      <c r="I1126" t="s">
        <v>5581</v>
      </c>
    </row>
    <row r="1127" spans="1:9" x14ac:dyDescent="0.35">
      <c r="A1127">
        <v>1126</v>
      </c>
      <c r="B1127">
        <v>1213</v>
      </c>
      <c r="C1127">
        <v>4</v>
      </c>
      <c r="D1127" t="s">
        <v>5896</v>
      </c>
      <c r="E1127" s="23">
        <v>42994</v>
      </c>
      <c r="F1127" s="23">
        <v>42993</v>
      </c>
      <c r="G1127">
        <v>3</v>
      </c>
      <c r="H1127">
        <v>8</v>
      </c>
      <c r="I1127" t="s">
        <v>5581</v>
      </c>
    </row>
    <row r="1128" spans="1:9" x14ac:dyDescent="0.35">
      <c r="A1128">
        <v>1127</v>
      </c>
      <c r="B1128">
        <v>494</v>
      </c>
      <c r="C1128">
        <v>4</v>
      </c>
      <c r="D1128" t="s">
        <v>5897</v>
      </c>
      <c r="E1128" s="23">
        <v>42994</v>
      </c>
      <c r="F1128" s="23">
        <v>42994</v>
      </c>
      <c r="G1128">
        <v>2</v>
      </c>
      <c r="H1128">
        <v>7</v>
      </c>
      <c r="I1128" t="s">
        <v>5581</v>
      </c>
    </row>
    <row r="1129" spans="1:9" x14ac:dyDescent="0.35">
      <c r="A1129">
        <v>1128</v>
      </c>
      <c r="B1129">
        <v>936</v>
      </c>
      <c r="C1129">
        <v>4</v>
      </c>
      <c r="D1129" t="s">
        <v>5897</v>
      </c>
      <c r="E1129" s="23">
        <v>42995</v>
      </c>
      <c r="F1129" s="23">
        <v>42994</v>
      </c>
      <c r="G1129">
        <v>2</v>
      </c>
      <c r="H1129">
        <v>6</v>
      </c>
      <c r="I1129" t="s">
        <v>5581</v>
      </c>
    </row>
    <row r="1130" spans="1:9" x14ac:dyDescent="0.35">
      <c r="A1130">
        <v>1129</v>
      </c>
      <c r="B1130">
        <v>663</v>
      </c>
      <c r="C1130">
        <v>4</v>
      </c>
      <c r="D1130" t="s">
        <v>5898</v>
      </c>
      <c r="E1130" s="23">
        <v>42996</v>
      </c>
      <c r="F1130" s="23">
        <v>42998</v>
      </c>
      <c r="G1130">
        <v>2</v>
      </c>
      <c r="H1130">
        <v>6</v>
      </c>
      <c r="I1130" t="s">
        <v>5581</v>
      </c>
    </row>
    <row r="1131" spans="1:9" x14ac:dyDescent="0.35">
      <c r="A1131">
        <v>1130</v>
      </c>
      <c r="B1131">
        <v>69</v>
      </c>
      <c r="C1131">
        <v>4</v>
      </c>
      <c r="D1131" t="s">
        <v>5899</v>
      </c>
      <c r="E1131" s="23">
        <v>42998</v>
      </c>
      <c r="F1131" s="23">
        <v>42998</v>
      </c>
      <c r="G1131">
        <v>1</v>
      </c>
      <c r="H1131">
        <v>3</v>
      </c>
      <c r="I1131" t="s">
        <v>5581</v>
      </c>
    </row>
    <row r="1132" spans="1:9" x14ac:dyDescent="0.35">
      <c r="A1132">
        <v>1131</v>
      </c>
      <c r="B1132">
        <v>1178</v>
      </c>
      <c r="C1132">
        <v>4</v>
      </c>
      <c r="D1132" t="s">
        <v>5899</v>
      </c>
      <c r="E1132" s="23">
        <v>42998</v>
      </c>
      <c r="F1132" s="23">
        <v>42997</v>
      </c>
      <c r="G1132">
        <v>1</v>
      </c>
      <c r="H1132">
        <v>3</v>
      </c>
      <c r="I1132" t="s">
        <v>5581</v>
      </c>
    </row>
    <row r="1133" spans="1:9" x14ac:dyDescent="0.35">
      <c r="A1133">
        <v>1132</v>
      </c>
      <c r="B1133">
        <v>351</v>
      </c>
      <c r="C1133">
        <v>4</v>
      </c>
      <c r="D1133" t="s">
        <v>5900</v>
      </c>
      <c r="E1133" s="23">
        <v>42998</v>
      </c>
      <c r="F1133" s="23">
        <v>42998</v>
      </c>
      <c r="G1133">
        <v>2</v>
      </c>
      <c r="H1133">
        <v>6</v>
      </c>
      <c r="I1133" t="s">
        <v>5581</v>
      </c>
    </row>
    <row r="1134" spans="1:9" x14ac:dyDescent="0.35">
      <c r="A1134">
        <v>1133</v>
      </c>
      <c r="B1134">
        <v>517</v>
      </c>
      <c r="C1134">
        <v>4</v>
      </c>
      <c r="D1134" t="s">
        <v>5900</v>
      </c>
      <c r="E1134" s="23">
        <v>42999</v>
      </c>
      <c r="F1134" s="23">
        <v>42999</v>
      </c>
      <c r="G1134">
        <v>2</v>
      </c>
      <c r="H1134">
        <v>7</v>
      </c>
      <c r="I1134" t="s">
        <v>5581</v>
      </c>
    </row>
    <row r="1135" spans="1:9" x14ac:dyDescent="0.35">
      <c r="A1135">
        <v>1134</v>
      </c>
      <c r="B1135">
        <v>978</v>
      </c>
      <c r="C1135">
        <v>4</v>
      </c>
      <c r="D1135" t="s">
        <v>5900</v>
      </c>
      <c r="E1135" s="23">
        <v>43000</v>
      </c>
      <c r="F1135" s="23">
        <v>42998</v>
      </c>
      <c r="G1135">
        <v>2</v>
      </c>
      <c r="H1135">
        <v>6</v>
      </c>
      <c r="I1135" t="s">
        <v>5581</v>
      </c>
    </row>
    <row r="1136" spans="1:9" x14ac:dyDescent="0.35">
      <c r="A1136">
        <v>1135</v>
      </c>
      <c r="B1136">
        <v>1347</v>
      </c>
      <c r="C1136">
        <v>4</v>
      </c>
      <c r="D1136" t="s">
        <v>5900</v>
      </c>
      <c r="E1136" s="23">
        <v>42999</v>
      </c>
      <c r="F1136" s="23">
        <v>42998</v>
      </c>
      <c r="G1136">
        <v>2</v>
      </c>
      <c r="H1136">
        <v>6</v>
      </c>
      <c r="I1136" t="s">
        <v>5581</v>
      </c>
    </row>
    <row r="1137" spans="1:9" x14ac:dyDescent="0.35">
      <c r="A1137">
        <v>1136</v>
      </c>
      <c r="B1137">
        <v>1050</v>
      </c>
      <c r="C1137">
        <v>4</v>
      </c>
      <c r="D1137" t="s">
        <v>5901</v>
      </c>
      <c r="E1137" s="23">
        <v>42999</v>
      </c>
      <c r="F1137" s="23">
        <v>42999</v>
      </c>
      <c r="G1137">
        <v>2</v>
      </c>
      <c r="H1137">
        <v>6</v>
      </c>
      <c r="I1137" t="s">
        <v>5581</v>
      </c>
    </row>
    <row r="1138" spans="1:9" x14ac:dyDescent="0.35">
      <c r="A1138">
        <v>1137</v>
      </c>
      <c r="B1138">
        <v>810</v>
      </c>
      <c r="C1138">
        <v>4</v>
      </c>
      <c r="D1138" t="s">
        <v>5901</v>
      </c>
      <c r="E1138" s="23">
        <v>43001</v>
      </c>
      <c r="F1138" s="23">
        <v>43001</v>
      </c>
      <c r="G1138">
        <v>3</v>
      </c>
      <c r="H1138">
        <v>8</v>
      </c>
      <c r="I1138" t="s">
        <v>5581</v>
      </c>
    </row>
    <row r="1139" spans="1:9" x14ac:dyDescent="0.35">
      <c r="A1139">
        <v>1138</v>
      </c>
      <c r="B1139">
        <v>254</v>
      </c>
      <c r="C1139">
        <v>4</v>
      </c>
      <c r="D1139" t="s">
        <v>5902</v>
      </c>
      <c r="E1139" s="23">
        <v>43001</v>
      </c>
      <c r="F1139" s="23">
        <v>43000</v>
      </c>
      <c r="G1139">
        <v>1</v>
      </c>
      <c r="H1139">
        <v>2</v>
      </c>
      <c r="I1139" t="s">
        <v>5581</v>
      </c>
    </row>
    <row r="1140" spans="1:9" x14ac:dyDescent="0.35">
      <c r="A1140">
        <v>1139</v>
      </c>
      <c r="B1140">
        <v>1006</v>
      </c>
      <c r="C1140">
        <v>4</v>
      </c>
      <c r="D1140" t="s">
        <v>5902</v>
      </c>
      <c r="E1140" s="23">
        <v>43000</v>
      </c>
      <c r="F1140" s="23">
        <v>43001</v>
      </c>
      <c r="G1140">
        <v>1</v>
      </c>
      <c r="H1140">
        <v>2</v>
      </c>
      <c r="I1140" t="s">
        <v>5581</v>
      </c>
    </row>
    <row r="1141" spans="1:9" x14ac:dyDescent="0.35">
      <c r="A1141">
        <v>1140</v>
      </c>
      <c r="B1141">
        <v>1063</v>
      </c>
      <c r="C1141">
        <v>4</v>
      </c>
      <c r="D1141" t="s">
        <v>5902</v>
      </c>
      <c r="E1141" s="23">
        <v>43000</v>
      </c>
      <c r="F1141" s="23">
        <v>43000</v>
      </c>
      <c r="G1141">
        <v>3</v>
      </c>
      <c r="H1141">
        <v>8</v>
      </c>
      <c r="I1141" t="s">
        <v>5581</v>
      </c>
    </row>
    <row r="1142" spans="1:9" x14ac:dyDescent="0.35">
      <c r="A1142">
        <v>1141</v>
      </c>
      <c r="B1142">
        <v>1076</v>
      </c>
      <c r="C1142">
        <v>4</v>
      </c>
      <c r="D1142" t="s">
        <v>5903</v>
      </c>
      <c r="E1142" s="23">
        <v>43001</v>
      </c>
      <c r="F1142" s="23">
        <v>43002</v>
      </c>
      <c r="G1142">
        <v>1</v>
      </c>
      <c r="H1142">
        <v>2</v>
      </c>
      <c r="I1142" t="s">
        <v>5581</v>
      </c>
    </row>
    <row r="1143" spans="1:9" x14ac:dyDescent="0.35">
      <c r="A1143">
        <v>1142</v>
      </c>
      <c r="B1143">
        <v>554</v>
      </c>
      <c r="C1143">
        <v>4</v>
      </c>
      <c r="D1143" t="s">
        <v>5904</v>
      </c>
      <c r="E1143" s="23">
        <v>43004</v>
      </c>
      <c r="F1143" s="23">
        <v>43004</v>
      </c>
      <c r="G1143">
        <v>1</v>
      </c>
      <c r="H1143">
        <v>3</v>
      </c>
      <c r="I1143" t="s">
        <v>5581</v>
      </c>
    </row>
    <row r="1144" spans="1:9" x14ac:dyDescent="0.35">
      <c r="A1144">
        <v>1143</v>
      </c>
      <c r="B1144">
        <v>1087</v>
      </c>
      <c r="C1144">
        <v>4</v>
      </c>
      <c r="D1144" t="s">
        <v>5905</v>
      </c>
      <c r="E1144" s="23">
        <v>43004</v>
      </c>
      <c r="F1144" s="23">
        <v>43005</v>
      </c>
      <c r="G1144">
        <v>1</v>
      </c>
      <c r="H1144">
        <v>2</v>
      </c>
      <c r="I1144" t="s">
        <v>5581</v>
      </c>
    </row>
    <row r="1145" spans="1:9" x14ac:dyDescent="0.35">
      <c r="A1145">
        <v>1144</v>
      </c>
      <c r="B1145">
        <v>1414</v>
      </c>
      <c r="C1145">
        <v>4</v>
      </c>
      <c r="D1145" t="s">
        <v>5905</v>
      </c>
      <c r="E1145" s="23">
        <v>43005</v>
      </c>
      <c r="F1145" s="23">
        <v>43005</v>
      </c>
      <c r="G1145">
        <v>2</v>
      </c>
      <c r="H1145">
        <v>7</v>
      </c>
      <c r="I1145" t="s">
        <v>5581</v>
      </c>
    </row>
    <row r="1146" spans="1:9" x14ac:dyDescent="0.35">
      <c r="A1146">
        <v>1145</v>
      </c>
      <c r="B1146">
        <v>617</v>
      </c>
      <c r="C1146">
        <v>4</v>
      </c>
      <c r="D1146" t="s">
        <v>5906</v>
      </c>
      <c r="E1146" s="23">
        <v>43005</v>
      </c>
      <c r="F1146" s="23">
        <v>43004</v>
      </c>
      <c r="G1146">
        <v>2</v>
      </c>
      <c r="H1146">
        <v>6</v>
      </c>
      <c r="I1146" t="s">
        <v>5581</v>
      </c>
    </row>
    <row r="1147" spans="1:9" x14ac:dyDescent="0.35">
      <c r="A1147">
        <v>1146</v>
      </c>
      <c r="B1147">
        <v>757</v>
      </c>
      <c r="C1147">
        <v>4</v>
      </c>
      <c r="D1147" t="s">
        <v>5906</v>
      </c>
      <c r="E1147" s="23">
        <v>43004</v>
      </c>
      <c r="F1147" s="23">
        <v>43006</v>
      </c>
      <c r="G1147">
        <v>2</v>
      </c>
      <c r="H1147">
        <v>7</v>
      </c>
      <c r="I1147" t="s">
        <v>5581</v>
      </c>
    </row>
    <row r="1148" spans="1:9" x14ac:dyDescent="0.35">
      <c r="A1148">
        <v>1147</v>
      </c>
      <c r="B1148">
        <v>1344</v>
      </c>
      <c r="C1148">
        <v>4</v>
      </c>
      <c r="D1148" t="s">
        <v>5906</v>
      </c>
      <c r="E1148" s="23">
        <v>43004</v>
      </c>
      <c r="F1148" s="23">
        <v>43005</v>
      </c>
      <c r="G1148">
        <v>2</v>
      </c>
      <c r="H1148">
        <v>6</v>
      </c>
      <c r="I1148" t="s">
        <v>5581</v>
      </c>
    </row>
    <row r="1149" spans="1:9" x14ac:dyDescent="0.35">
      <c r="A1149">
        <v>1148</v>
      </c>
      <c r="B1149">
        <v>1379</v>
      </c>
      <c r="C1149">
        <v>4</v>
      </c>
      <c r="D1149" t="s">
        <v>5906</v>
      </c>
      <c r="E1149" s="23">
        <v>43004</v>
      </c>
      <c r="F1149" s="23">
        <v>43005</v>
      </c>
      <c r="G1149">
        <v>2</v>
      </c>
      <c r="H1149">
        <v>7</v>
      </c>
      <c r="I1149" t="s">
        <v>5581</v>
      </c>
    </row>
    <row r="1150" spans="1:9" x14ac:dyDescent="0.35">
      <c r="A1150">
        <v>1149</v>
      </c>
      <c r="B1150">
        <v>787</v>
      </c>
      <c r="C1150">
        <v>4</v>
      </c>
      <c r="D1150" t="s">
        <v>5907</v>
      </c>
      <c r="E1150" s="23">
        <v>43008</v>
      </c>
      <c r="F1150" s="23">
        <v>43008</v>
      </c>
      <c r="G1150">
        <v>2</v>
      </c>
      <c r="H1150">
        <v>7</v>
      </c>
      <c r="I1150" t="s">
        <v>5581</v>
      </c>
    </row>
    <row r="1151" spans="1:9" x14ac:dyDescent="0.35">
      <c r="A1151">
        <v>1150</v>
      </c>
      <c r="B1151">
        <v>1183</v>
      </c>
      <c r="C1151">
        <v>4</v>
      </c>
      <c r="D1151" t="s">
        <v>5908</v>
      </c>
      <c r="E1151" s="23">
        <v>43009</v>
      </c>
      <c r="F1151" s="23">
        <v>43008</v>
      </c>
      <c r="G1151">
        <v>2</v>
      </c>
      <c r="H1151">
        <v>7</v>
      </c>
      <c r="I1151" t="s">
        <v>5581</v>
      </c>
    </row>
    <row r="1152" spans="1:9" x14ac:dyDescent="0.35">
      <c r="A1152">
        <v>1151</v>
      </c>
      <c r="B1152">
        <v>708</v>
      </c>
      <c r="C1152">
        <v>4</v>
      </c>
      <c r="D1152" t="s">
        <v>5909</v>
      </c>
      <c r="E1152" s="23">
        <v>43008</v>
      </c>
      <c r="F1152" s="23">
        <v>43008</v>
      </c>
      <c r="G1152">
        <v>1</v>
      </c>
      <c r="H1152">
        <v>3</v>
      </c>
      <c r="I1152" t="s">
        <v>5581</v>
      </c>
    </row>
    <row r="1153" spans="1:9" x14ac:dyDescent="0.35">
      <c r="A1153">
        <v>1152</v>
      </c>
      <c r="B1153">
        <v>1244</v>
      </c>
      <c r="C1153">
        <v>4</v>
      </c>
      <c r="D1153" t="s">
        <v>5909</v>
      </c>
      <c r="E1153" s="23">
        <v>43010</v>
      </c>
      <c r="F1153" s="23">
        <v>43009</v>
      </c>
      <c r="G1153">
        <v>2</v>
      </c>
      <c r="H1153">
        <v>6</v>
      </c>
      <c r="I1153" t="s">
        <v>5581</v>
      </c>
    </row>
    <row r="1154" spans="1:9" x14ac:dyDescent="0.35">
      <c r="A1154">
        <v>1153</v>
      </c>
      <c r="B1154">
        <v>720</v>
      </c>
      <c r="C1154">
        <v>4</v>
      </c>
      <c r="D1154" t="s">
        <v>5910</v>
      </c>
      <c r="E1154" s="23">
        <v>43011</v>
      </c>
      <c r="F1154" s="23">
        <v>43011</v>
      </c>
      <c r="G1154">
        <v>2</v>
      </c>
      <c r="H1154">
        <v>7</v>
      </c>
      <c r="I1154" t="s">
        <v>5581</v>
      </c>
    </row>
    <row r="1155" spans="1:9" x14ac:dyDescent="0.35">
      <c r="A1155">
        <v>1154</v>
      </c>
      <c r="B1155">
        <v>789</v>
      </c>
      <c r="C1155">
        <v>4</v>
      </c>
      <c r="D1155" t="s">
        <v>5910</v>
      </c>
      <c r="E1155" s="23">
        <v>43011</v>
      </c>
      <c r="F1155" s="23">
        <v>43011</v>
      </c>
      <c r="G1155">
        <v>2</v>
      </c>
      <c r="H1155">
        <v>7</v>
      </c>
      <c r="I1155" t="s">
        <v>5581</v>
      </c>
    </row>
    <row r="1156" spans="1:9" x14ac:dyDescent="0.35">
      <c r="A1156">
        <v>1155</v>
      </c>
      <c r="B1156">
        <v>865</v>
      </c>
      <c r="C1156">
        <v>4</v>
      </c>
      <c r="D1156" t="s">
        <v>5910</v>
      </c>
      <c r="E1156" s="23">
        <v>43009</v>
      </c>
      <c r="F1156" s="23">
        <v>43009</v>
      </c>
      <c r="G1156">
        <v>2</v>
      </c>
      <c r="H1156">
        <v>7</v>
      </c>
      <c r="I1156" t="s">
        <v>5581</v>
      </c>
    </row>
    <row r="1157" spans="1:9" x14ac:dyDescent="0.35">
      <c r="A1157">
        <v>1156</v>
      </c>
      <c r="B1157">
        <v>869</v>
      </c>
      <c r="C1157">
        <v>4</v>
      </c>
      <c r="D1157" t="s">
        <v>5910</v>
      </c>
      <c r="E1157" s="23">
        <v>43011</v>
      </c>
      <c r="F1157" s="23">
        <v>43011</v>
      </c>
      <c r="G1157">
        <v>2</v>
      </c>
      <c r="H1157">
        <v>7</v>
      </c>
      <c r="I1157" t="s">
        <v>5581</v>
      </c>
    </row>
    <row r="1158" spans="1:9" x14ac:dyDescent="0.35">
      <c r="A1158">
        <v>1157</v>
      </c>
      <c r="B1158">
        <v>24</v>
      </c>
      <c r="C1158">
        <v>4</v>
      </c>
      <c r="D1158" s="23">
        <v>42745</v>
      </c>
      <c r="E1158" s="23">
        <v>43011</v>
      </c>
      <c r="F1158" s="23">
        <v>43012</v>
      </c>
      <c r="G1158">
        <v>1</v>
      </c>
      <c r="H1158">
        <v>3</v>
      </c>
      <c r="I1158" t="s">
        <v>5581</v>
      </c>
    </row>
    <row r="1159" spans="1:9" x14ac:dyDescent="0.35">
      <c r="A1159">
        <v>1158</v>
      </c>
      <c r="B1159">
        <v>889</v>
      </c>
      <c r="C1159">
        <v>4</v>
      </c>
      <c r="D1159" s="23">
        <v>42745</v>
      </c>
      <c r="E1159" s="23">
        <v>43011</v>
      </c>
      <c r="F1159" s="23">
        <v>43010</v>
      </c>
      <c r="G1159">
        <v>1</v>
      </c>
      <c r="H1159">
        <v>2</v>
      </c>
      <c r="I1159" t="s">
        <v>5581</v>
      </c>
    </row>
    <row r="1160" spans="1:9" x14ac:dyDescent="0.35">
      <c r="A1160">
        <v>1159</v>
      </c>
      <c r="B1160">
        <v>1221</v>
      </c>
      <c r="C1160">
        <v>4</v>
      </c>
      <c r="D1160" s="23">
        <v>42745</v>
      </c>
      <c r="E1160" s="23">
        <v>43010</v>
      </c>
      <c r="F1160" s="23">
        <v>43011</v>
      </c>
      <c r="G1160">
        <v>1</v>
      </c>
      <c r="H1160">
        <v>3</v>
      </c>
      <c r="I1160" t="s">
        <v>5581</v>
      </c>
    </row>
    <row r="1161" spans="1:9" x14ac:dyDescent="0.35">
      <c r="A1161">
        <v>1160</v>
      </c>
      <c r="B1161">
        <v>1262</v>
      </c>
      <c r="C1161">
        <v>4</v>
      </c>
      <c r="D1161" s="23">
        <v>42745</v>
      </c>
      <c r="E1161" s="23">
        <v>43010</v>
      </c>
      <c r="F1161" s="23">
        <v>43012</v>
      </c>
      <c r="G1161">
        <v>1</v>
      </c>
      <c r="H1161">
        <v>2</v>
      </c>
      <c r="I1161" t="s">
        <v>5581</v>
      </c>
    </row>
    <row r="1162" spans="1:9" x14ac:dyDescent="0.35">
      <c r="A1162">
        <v>1161</v>
      </c>
      <c r="B1162">
        <v>41</v>
      </c>
      <c r="C1162">
        <v>4</v>
      </c>
      <c r="D1162" s="23">
        <v>42745</v>
      </c>
      <c r="E1162" s="23">
        <v>43012</v>
      </c>
      <c r="F1162" s="23">
        <v>43010</v>
      </c>
      <c r="G1162">
        <v>2</v>
      </c>
      <c r="H1162">
        <v>7</v>
      </c>
      <c r="I1162" t="s">
        <v>5581</v>
      </c>
    </row>
    <row r="1163" spans="1:9" x14ac:dyDescent="0.35">
      <c r="A1163">
        <v>1162</v>
      </c>
      <c r="B1163">
        <v>888</v>
      </c>
      <c r="C1163">
        <v>4</v>
      </c>
      <c r="D1163" s="23">
        <v>42745</v>
      </c>
      <c r="E1163" s="23">
        <v>43011</v>
      </c>
      <c r="F1163" s="23">
        <v>43011</v>
      </c>
      <c r="G1163">
        <v>2</v>
      </c>
      <c r="H1163">
        <v>6</v>
      </c>
      <c r="I1163" t="s">
        <v>5581</v>
      </c>
    </row>
    <row r="1164" spans="1:9" x14ac:dyDescent="0.35">
      <c r="A1164">
        <v>1163</v>
      </c>
      <c r="B1164">
        <v>934</v>
      </c>
      <c r="C1164">
        <v>4</v>
      </c>
      <c r="D1164" s="23">
        <v>42745</v>
      </c>
      <c r="E1164" s="23">
        <v>43010</v>
      </c>
      <c r="F1164" s="23">
        <v>43010</v>
      </c>
      <c r="G1164">
        <v>2</v>
      </c>
      <c r="H1164">
        <v>6</v>
      </c>
      <c r="I1164" t="s">
        <v>5581</v>
      </c>
    </row>
    <row r="1165" spans="1:9" x14ac:dyDescent="0.35">
      <c r="A1165">
        <v>1164</v>
      </c>
      <c r="B1165">
        <v>1067</v>
      </c>
      <c r="C1165">
        <v>4</v>
      </c>
      <c r="D1165" s="23">
        <v>42745</v>
      </c>
      <c r="E1165" s="23">
        <v>43010</v>
      </c>
      <c r="F1165" s="23">
        <v>43011</v>
      </c>
      <c r="G1165">
        <v>2</v>
      </c>
      <c r="H1165">
        <v>6</v>
      </c>
      <c r="I1165" t="s">
        <v>5581</v>
      </c>
    </row>
    <row r="1166" spans="1:9" x14ac:dyDescent="0.35">
      <c r="A1166">
        <v>1165</v>
      </c>
      <c r="B1166">
        <v>652</v>
      </c>
      <c r="C1166">
        <v>4</v>
      </c>
      <c r="D1166" s="23">
        <v>42776</v>
      </c>
      <c r="E1166" s="23">
        <v>43011</v>
      </c>
      <c r="F1166" s="23">
        <v>43013</v>
      </c>
      <c r="G1166">
        <v>2</v>
      </c>
      <c r="H1166">
        <v>7</v>
      </c>
      <c r="I1166" t="s">
        <v>5581</v>
      </c>
    </row>
    <row r="1167" spans="1:9" x14ac:dyDescent="0.35">
      <c r="A1167">
        <v>1166</v>
      </c>
      <c r="B1167">
        <v>286</v>
      </c>
      <c r="C1167">
        <v>4</v>
      </c>
      <c r="D1167" s="23">
        <v>42804</v>
      </c>
      <c r="E1167" s="23">
        <v>43012</v>
      </c>
      <c r="F1167" s="23">
        <v>43012</v>
      </c>
      <c r="G1167">
        <v>2</v>
      </c>
      <c r="H1167">
        <v>7</v>
      </c>
      <c r="I1167" t="s">
        <v>5581</v>
      </c>
    </row>
    <row r="1168" spans="1:9" x14ac:dyDescent="0.35">
      <c r="A1168">
        <v>1167</v>
      </c>
      <c r="B1168">
        <v>900</v>
      </c>
      <c r="C1168">
        <v>4</v>
      </c>
      <c r="D1168" s="23">
        <v>42835</v>
      </c>
      <c r="E1168" s="23">
        <v>43015</v>
      </c>
      <c r="F1168" s="23">
        <v>43014</v>
      </c>
      <c r="G1168">
        <v>1</v>
      </c>
      <c r="H1168">
        <v>2</v>
      </c>
      <c r="I1168" t="s">
        <v>5581</v>
      </c>
    </row>
    <row r="1169" spans="1:9" x14ac:dyDescent="0.35">
      <c r="A1169">
        <v>1168</v>
      </c>
      <c r="B1169">
        <v>1031</v>
      </c>
      <c r="C1169">
        <v>4</v>
      </c>
      <c r="D1169" s="23">
        <v>42835</v>
      </c>
      <c r="E1169" s="23">
        <v>43013</v>
      </c>
      <c r="F1169" s="23">
        <v>43014</v>
      </c>
      <c r="G1169">
        <v>2</v>
      </c>
      <c r="H1169">
        <v>6</v>
      </c>
      <c r="I1169" t="s">
        <v>5581</v>
      </c>
    </row>
    <row r="1170" spans="1:9" x14ac:dyDescent="0.35">
      <c r="A1170">
        <v>1169</v>
      </c>
      <c r="B1170">
        <v>1421</v>
      </c>
      <c r="C1170">
        <v>4</v>
      </c>
      <c r="D1170" s="23">
        <v>42835</v>
      </c>
      <c r="E1170" s="23">
        <v>43014</v>
      </c>
      <c r="F1170" s="23">
        <v>43015</v>
      </c>
      <c r="G1170">
        <v>2</v>
      </c>
      <c r="H1170">
        <v>7</v>
      </c>
      <c r="I1170" t="s">
        <v>5581</v>
      </c>
    </row>
    <row r="1171" spans="1:9" x14ac:dyDescent="0.35">
      <c r="A1171">
        <v>1170</v>
      </c>
      <c r="B1171">
        <v>534</v>
      </c>
      <c r="C1171">
        <v>4</v>
      </c>
      <c r="D1171" s="23">
        <v>42865</v>
      </c>
      <c r="E1171" s="23">
        <v>43015</v>
      </c>
      <c r="F1171" s="23">
        <v>43014</v>
      </c>
      <c r="G1171">
        <v>2</v>
      </c>
      <c r="H1171">
        <v>6</v>
      </c>
      <c r="I1171" t="s">
        <v>5581</v>
      </c>
    </row>
    <row r="1172" spans="1:9" x14ac:dyDescent="0.35">
      <c r="A1172">
        <v>1171</v>
      </c>
      <c r="B1172">
        <v>826</v>
      </c>
      <c r="C1172">
        <v>4</v>
      </c>
      <c r="D1172" s="23">
        <v>42865</v>
      </c>
      <c r="E1172" s="23">
        <v>43014</v>
      </c>
      <c r="F1172" s="23">
        <v>43016</v>
      </c>
      <c r="G1172">
        <v>2</v>
      </c>
      <c r="H1172">
        <v>6</v>
      </c>
      <c r="I1172" t="s">
        <v>5581</v>
      </c>
    </row>
    <row r="1173" spans="1:9" x14ac:dyDescent="0.35">
      <c r="A1173">
        <v>1172</v>
      </c>
      <c r="B1173">
        <v>1339</v>
      </c>
      <c r="C1173">
        <v>4</v>
      </c>
      <c r="D1173" s="23">
        <v>42926</v>
      </c>
      <c r="E1173" s="23">
        <v>43018</v>
      </c>
      <c r="F1173" s="23">
        <v>43017</v>
      </c>
      <c r="G1173">
        <v>2</v>
      </c>
      <c r="H1173">
        <v>7</v>
      </c>
      <c r="I1173" t="s">
        <v>5581</v>
      </c>
    </row>
    <row r="1174" spans="1:9" x14ac:dyDescent="0.35">
      <c r="A1174">
        <v>1173</v>
      </c>
      <c r="B1174">
        <v>548</v>
      </c>
      <c r="C1174">
        <v>4</v>
      </c>
      <c r="D1174" s="23">
        <v>42957</v>
      </c>
      <c r="E1174" s="23">
        <v>43018</v>
      </c>
      <c r="F1174" s="23">
        <v>43017</v>
      </c>
      <c r="G1174">
        <v>2</v>
      </c>
      <c r="H1174">
        <v>7</v>
      </c>
      <c r="I1174" t="s">
        <v>5581</v>
      </c>
    </row>
    <row r="1175" spans="1:9" x14ac:dyDescent="0.35">
      <c r="A1175">
        <v>1174</v>
      </c>
      <c r="B1175">
        <v>1109</v>
      </c>
      <c r="C1175">
        <v>4</v>
      </c>
      <c r="D1175" s="23">
        <v>42957</v>
      </c>
      <c r="E1175" s="23">
        <v>43018</v>
      </c>
      <c r="F1175" s="23">
        <v>43019</v>
      </c>
      <c r="G1175">
        <v>2</v>
      </c>
      <c r="H1175">
        <v>6</v>
      </c>
      <c r="I1175" t="s">
        <v>5581</v>
      </c>
    </row>
    <row r="1176" spans="1:9" x14ac:dyDescent="0.35">
      <c r="A1176">
        <v>1175</v>
      </c>
      <c r="B1176">
        <v>292</v>
      </c>
      <c r="C1176">
        <v>4</v>
      </c>
      <c r="D1176" s="23">
        <v>42988</v>
      </c>
      <c r="E1176" s="23">
        <v>43019</v>
      </c>
      <c r="F1176" s="23">
        <v>43020</v>
      </c>
      <c r="G1176">
        <v>2</v>
      </c>
      <c r="H1176">
        <v>6</v>
      </c>
      <c r="I1176" t="s">
        <v>5581</v>
      </c>
    </row>
    <row r="1177" spans="1:9" x14ac:dyDescent="0.35">
      <c r="A1177">
        <v>1176</v>
      </c>
      <c r="B1177">
        <v>1111</v>
      </c>
      <c r="C1177">
        <v>4</v>
      </c>
      <c r="D1177" s="23">
        <v>43018</v>
      </c>
      <c r="E1177" s="23">
        <v>43021</v>
      </c>
      <c r="F1177" s="23">
        <v>43019</v>
      </c>
      <c r="G1177">
        <v>3</v>
      </c>
      <c r="H1177">
        <v>9</v>
      </c>
      <c r="I1177" t="s">
        <v>5581</v>
      </c>
    </row>
    <row r="1178" spans="1:9" x14ac:dyDescent="0.35">
      <c r="A1178">
        <v>1177</v>
      </c>
      <c r="B1178">
        <v>21</v>
      </c>
      <c r="C1178">
        <v>3</v>
      </c>
      <c r="D1178" s="23">
        <v>43079</v>
      </c>
      <c r="E1178" s="23">
        <v>43020</v>
      </c>
      <c r="F1178" t="s">
        <v>5597</v>
      </c>
      <c r="G1178">
        <v>3</v>
      </c>
      <c r="H1178">
        <v>9</v>
      </c>
      <c r="I1178" t="s">
        <v>5598</v>
      </c>
    </row>
    <row r="1179" spans="1:9" x14ac:dyDescent="0.35">
      <c r="A1179">
        <v>1178</v>
      </c>
      <c r="B1179">
        <v>771</v>
      </c>
      <c r="C1179">
        <v>4</v>
      </c>
      <c r="D1179" s="23">
        <v>43079</v>
      </c>
      <c r="E1179" s="23">
        <v>43023</v>
      </c>
      <c r="F1179" s="23">
        <v>43021</v>
      </c>
      <c r="G1179">
        <v>2</v>
      </c>
      <c r="H1179">
        <v>6</v>
      </c>
      <c r="I1179" t="s">
        <v>5581</v>
      </c>
    </row>
    <row r="1180" spans="1:9" x14ac:dyDescent="0.35">
      <c r="A1180">
        <v>1179</v>
      </c>
      <c r="B1180">
        <v>1150</v>
      </c>
      <c r="C1180">
        <v>4</v>
      </c>
      <c r="D1180" s="23">
        <v>43079</v>
      </c>
      <c r="E1180" s="23">
        <v>43023</v>
      </c>
      <c r="F1180" s="23">
        <v>43023</v>
      </c>
      <c r="G1180">
        <v>3</v>
      </c>
      <c r="H1180">
        <v>9</v>
      </c>
      <c r="I1180" t="s">
        <v>5581</v>
      </c>
    </row>
    <row r="1181" spans="1:9" x14ac:dyDescent="0.35">
      <c r="A1181">
        <v>1180</v>
      </c>
      <c r="B1181">
        <v>1065</v>
      </c>
      <c r="C1181">
        <v>4</v>
      </c>
      <c r="D1181" t="s">
        <v>5911</v>
      </c>
      <c r="E1181" s="23">
        <v>43024</v>
      </c>
      <c r="F1181" s="23">
        <v>43024</v>
      </c>
      <c r="G1181">
        <v>1</v>
      </c>
      <c r="H1181">
        <v>3</v>
      </c>
      <c r="I1181" t="s">
        <v>5581</v>
      </c>
    </row>
    <row r="1182" spans="1:9" x14ac:dyDescent="0.35">
      <c r="A1182">
        <v>1181</v>
      </c>
      <c r="B1182">
        <v>1022</v>
      </c>
      <c r="C1182">
        <v>4</v>
      </c>
      <c r="D1182" t="s">
        <v>5911</v>
      </c>
      <c r="E1182" s="23">
        <v>43024</v>
      </c>
      <c r="F1182" s="23">
        <v>43023</v>
      </c>
      <c r="G1182">
        <v>2</v>
      </c>
      <c r="H1182">
        <v>7</v>
      </c>
      <c r="I1182" t="s">
        <v>5581</v>
      </c>
    </row>
    <row r="1183" spans="1:9" x14ac:dyDescent="0.35">
      <c r="A1183">
        <v>1182</v>
      </c>
      <c r="B1183">
        <v>1422</v>
      </c>
      <c r="C1183">
        <v>4</v>
      </c>
      <c r="D1183" t="s">
        <v>5911</v>
      </c>
      <c r="E1183" s="23">
        <v>43022</v>
      </c>
      <c r="F1183" s="23">
        <v>43024</v>
      </c>
      <c r="G1183">
        <v>2</v>
      </c>
      <c r="H1183">
        <v>7</v>
      </c>
      <c r="I1183" t="s">
        <v>5581</v>
      </c>
    </row>
    <row r="1184" spans="1:9" x14ac:dyDescent="0.35">
      <c r="A1184">
        <v>1183</v>
      </c>
      <c r="B1184">
        <v>216</v>
      </c>
      <c r="C1184">
        <v>4</v>
      </c>
      <c r="D1184" t="s">
        <v>5912</v>
      </c>
      <c r="E1184" s="23">
        <v>43025</v>
      </c>
      <c r="F1184" s="23">
        <v>43025</v>
      </c>
      <c r="G1184">
        <v>2</v>
      </c>
      <c r="H1184">
        <v>6</v>
      </c>
      <c r="I1184" t="s">
        <v>5581</v>
      </c>
    </row>
    <row r="1185" spans="1:9" x14ac:dyDescent="0.35">
      <c r="A1185">
        <v>1184</v>
      </c>
      <c r="B1185">
        <v>369</v>
      </c>
      <c r="C1185">
        <v>4</v>
      </c>
      <c r="D1185" t="s">
        <v>5912</v>
      </c>
      <c r="E1185" s="23">
        <v>43023</v>
      </c>
      <c r="F1185" s="23">
        <v>43024</v>
      </c>
      <c r="G1185">
        <v>2</v>
      </c>
      <c r="H1185">
        <v>6</v>
      </c>
      <c r="I1185" t="s">
        <v>5581</v>
      </c>
    </row>
    <row r="1186" spans="1:9" x14ac:dyDescent="0.35">
      <c r="A1186">
        <v>1185</v>
      </c>
      <c r="B1186">
        <v>960</v>
      </c>
      <c r="C1186">
        <v>4</v>
      </c>
      <c r="D1186" t="s">
        <v>5912</v>
      </c>
      <c r="E1186" s="23">
        <v>43024</v>
      </c>
      <c r="F1186" s="23">
        <v>43025</v>
      </c>
      <c r="G1186">
        <v>2</v>
      </c>
      <c r="H1186">
        <v>6</v>
      </c>
      <c r="I1186" t="s">
        <v>5581</v>
      </c>
    </row>
    <row r="1187" spans="1:9" x14ac:dyDescent="0.35">
      <c r="A1187">
        <v>1186</v>
      </c>
      <c r="B1187">
        <v>1120</v>
      </c>
      <c r="C1187">
        <v>4</v>
      </c>
      <c r="D1187" t="s">
        <v>5912</v>
      </c>
      <c r="E1187" s="23">
        <v>43024</v>
      </c>
      <c r="F1187" s="23">
        <v>43023</v>
      </c>
      <c r="G1187">
        <v>2</v>
      </c>
      <c r="H1187">
        <v>6</v>
      </c>
      <c r="I1187" t="s">
        <v>5581</v>
      </c>
    </row>
    <row r="1188" spans="1:9" x14ac:dyDescent="0.35">
      <c r="A1188">
        <v>1187</v>
      </c>
      <c r="B1188">
        <v>486</v>
      </c>
      <c r="C1188">
        <v>4</v>
      </c>
      <c r="D1188" t="s">
        <v>5913</v>
      </c>
      <c r="E1188" s="23">
        <v>43026</v>
      </c>
      <c r="F1188" s="23">
        <v>43024</v>
      </c>
      <c r="G1188">
        <v>2</v>
      </c>
      <c r="H1188">
        <v>6</v>
      </c>
      <c r="I1188" t="s">
        <v>5581</v>
      </c>
    </row>
    <row r="1189" spans="1:9" x14ac:dyDescent="0.35">
      <c r="A1189">
        <v>1188</v>
      </c>
      <c r="B1189">
        <v>647</v>
      </c>
      <c r="C1189">
        <v>4</v>
      </c>
      <c r="D1189" t="s">
        <v>5913</v>
      </c>
      <c r="E1189" s="23">
        <v>43026</v>
      </c>
      <c r="F1189" s="23">
        <v>43025</v>
      </c>
      <c r="G1189">
        <v>2</v>
      </c>
      <c r="H1189">
        <v>7</v>
      </c>
      <c r="I1189" t="s">
        <v>5581</v>
      </c>
    </row>
    <row r="1190" spans="1:9" x14ac:dyDescent="0.35">
      <c r="A1190">
        <v>1189</v>
      </c>
      <c r="B1190">
        <v>1090</v>
      </c>
      <c r="C1190">
        <v>4</v>
      </c>
      <c r="D1190" t="s">
        <v>5913</v>
      </c>
      <c r="E1190" s="23">
        <v>43025</v>
      </c>
      <c r="F1190" s="23">
        <v>43026</v>
      </c>
      <c r="G1190">
        <v>2</v>
      </c>
      <c r="H1190">
        <v>6</v>
      </c>
      <c r="I1190" t="s">
        <v>5581</v>
      </c>
    </row>
    <row r="1191" spans="1:9" x14ac:dyDescent="0.35">
      <c r="A1191">
        <v>1190</v>
      </c>
      <c r="B1191">
        <v>34</v>
      </c>
      <c r="C1191">
        <v>4</v>
      </c>
      <c r="D1191" t="s">
        <v>5914</v>
      </c>
      <c r="E1191" s="23">
        <v>43027</v>
      </c>
      <c r="F1191" s="23">
        <v>43025</v>
      </c>
      <c r="G1191">
        <v>2</v>
      </c>
      <c r="H1191">
        <v>6</v>
      </c>
      <c r="I1191" t="s">
        <v>5581</v>
      </c>
    </row>
    <row r="1192" spans="1:9" x14ac:dyDescent="0.35">
      <c r="A1192">
        <v>1191</v>
      </c>
      <c r="B1192">
        <v>186</v>
      </c>
      <c r="C1192">
        <v>4</v>
      </c>
      <c r="D1192" t="s">
        <v>5915</v>
      </c>
      <c r="E1192" s="23">
        <v>43026</v>
      </c>
      <c r="F1192" s="23">
        <v>43026</v>
      </c>
      <c r="G1192">
        <v>2</v>
      </c>
      <c r="H1192">
        <v>6</v>
      </c>
      <c r="I1192" t="s">
        <v>5581</v>
      </c>
    </row>
    <row r="1193" spans="1:9" x14ac:dyDescent="0.35">
      <c r="A1193">
        <v>1192</v>
      </c>
      <c r="B1193">
        <v>1114</v>
      </c>
      <c r="C1193">
        <v>4</v>
      </c>
      <c r="D1193" t="s">
        <v>5915</v>
      </c>
      <c r="E1193" s="23">
        <v>43027</v>
      </c>
      <c r="F1193" s="23">
        <v>43026</v>
      </c>
      <c r="G1193">
        <v>2</v>
      </c>
      <c r="H1193">
        <v>6</v>
      </c>
      <c r="I1193" t="s">
        <v>5581</v>
      </c>
    </row>
    <row r="1194" spans="1:9" x14ac:dyDescent="0.35">
      <c r="A1194">
        <v>1193</v>
      </c>
      <c r="B1194">
        <v>1412</v>
      </c>
      <c r="C1194">
        <v>4</v>
      </c>
      <c r="D1194" t="s">
        <v>5915</v>
      </c>
      <c r="E1194" s="23">
        <v>43027</v>
      </c>
      <c r="F1194" s="23">
        <v>43027</v>
      </c>
      <c r="G1194">
        <v>2</v>
      </c>
      <c r="H1194">
        <v>7</v>
      </c>
      <c r="I1194" t="s">
        <v>5581</v>
      </c>
    </row>
    <row r="1195" spans="1:9" x14ac:dyDescent="0.35">
      <c r="A1195">
        <v>1194</v>
      </c>
      <c r="B1195">
        <v>192</v>
      </c>
      <c r="C1195">
        <v>4</v>
      </c>
      <c r="D1195" t="s">
        <v>5916</v>
      </c>
      <c r="E1195" s="23">
        <v>43030</v>
      </c>
      <c r="F1195" s="23">
        <v>43030</v>
      </c>
      <c r="G1195">
        <v>1</v>
      </c>
      <c r="H1195">
        <v>2</v>
      </c>
      <c r="I1195" t="s">
        <v>5581</v>
      </c>
    </row>
    <row r="1196" spans="1:9" x14ac:dyDescent="0.35">
      <c r="A1196">
        <v>1195</v>
      </c>
      <c r="B1196">
        <v>229</v>
      </c>
      <c r="C1196">
        <v>4</v>
      </c>
      <c r="D1196" t="s">
        <v>5916</v>
      </c>
      <c r="E1196" s="23">
        <v>43029</v>
      </c>
      <c r="F1196" s="23">
        <v>43029</v>
      </c>
      <c r="G1196">
        <v>2</v>
      </c>
      <c r="H1196">
        <v>7</v>
      </c>
      <c r="I1196" t="s">
        <v>5581</v>
      </c>
    </row>
    <row r="1197" spans="1:9" x14ac:dyDescent="0.35">
      <c r="A1197">
        <v>1196</v>
      </c>
      <c r="B1197">
        <v>508</v>
      </c>
      <c r="C1197">
        <v>4</v>
      </c>
      <c r="D1197" t="s">
        <v>5916</v>
      </c>
      <c r="E1197" s="23">
        <v>43029</v>
      </c>
      <c r="F1197" s="23">
        <v>43028</v>
      </c>
      <c r="G1197">
        <v>2</v>
      </c>
      <c r="H1197">
        <v>6</v>
      </c>
      <c r="I1197" t="s">
        <v>5581</v>
      </c>
    </row>
    <row r="1198" spans="1:9" x14ac:dyDescent="0.35">
      <c r="A1198">
        <v>1197</v>
      </c>
      <c r="B1198">
        <v>269</v>
      </c>
      <c r="C1198">
        <v>4</v>
      </c>
      <c r="D1198" t="s">
        <v>5917</v>
      </c>
      <c r="E1198" s="23">
        <v>43031</v>
      </c>
      <c r="F1198" s="23">
        <v>43031</v>
      </c>
      <c r="G1198">
        <v>2</v>
      </c>
      <c r="H1198">
        <v>6</v>
      </c>
      <c r="I1198" t="s">
        <v>5581</v>
      </c>
    </row>
    <row r="1199" spans="1:9" x14ac:dyDescent="0.35">
      <c r="A1199">
        <v>1198</v>
      </c>
      <c r="B1199">
        <v>1289</v>
      </c>
      <c r="C1199">
        <v>4</v>
      </c>
      <c r="D1199" t="s">
        <v>5918</v>
      </c>
      <c r="E1199" s="23">
        <v>43032</v>
      </c>
      <c r="F1199" s="23">
        <v>43032</v>
      </c>
      <c r="G1199">
        <v>2</v>
      </c>
      <c r="H1199">
        <v>7</v>
      </c>
      <c r="I1199" t="s">
        <v>5581</v>
      </c>
    </row>
    <row r="1200" spans="1:9" x14ac:dyDescent="0.35">
      <c r="A1200">
        <v>1199</v>
      </c>
      <c r="B1200">
        <v>318</v>
      </c>
      <c r="C1200">
        <v>4</v>
      </c>
      <c r="D1200" t="s">
        <v>5919</v>
      </c>
      <c r="E1200" s="23">
        <v>43032</v>
      </c>
      <c r="F1200" s="23">
        <v>43034</v>
      </c>
      <c r="G1200">
        <v>1</v>
      </c>
      <c r="H1200">
        <v>2</v>
      </c>
      <c r="I1200" t="s">
        <v>5581</v>
      </c>
    </row>
    <row r="1201" spans="1:9" x14ac:dyDescent="0.35">
      <c r="A1201">
        <v>1200</v>
      </c>
      <c r="B1201">
        <v>48</v>
      </c>
      <c r="C1201">
        <v>4</v>
      </c>
      <c r="D1201" t="s">
        <v>5919</v>
      </c>
      <c r="E1201" s="23">
        <v>43033</v>
      </c>
      <c r="F1201" s="23">
        <v>43034</v>
      </c>
      <c r="G1201">
        <v>2</v>
      </c>
      <c r="H1201">
        <v>6</v>
      </c>
      <c r="I1201" t="s">
        <v>5581</v>
      </c>
    </row>
    <row r="1202" spans="1:9" x14ac:dyDescent="0.35">
      <c r="A1202">
        <v>1201</v>
      </c>
      <c r="B1202">
        <v>201</v>
      </c>
      <c r="C1202">
        <v>4</v>
      </c>
      <c r="D1202" t="s">
        <v>5919</v>
      </c>
      <c r="E1202" s="23">
        <v>43032</v>
      </c>
      <c r="F1202" s="23">
        <v>43032</v>
      </c>
      <c r="G1202">
        <v>2</v>
      </c>
      <c r="H1202">
        <v>6</v>
      </c>
      <c r="I1202" t="s">
        <v>5581</v>
      </c>
    </row>
    <row r="1203" spans="1:9" x14ac:dyDescent="0.35">
      <c r="A1203">
        <v>1202</v>
      </c>
      <c r="B1203">
        <v>593</v>
      </c>
      <c r="C1203">
        <v>4</v>
      </c>
      <c r="D1203" t="s">
        <v>5920</v>
      </c>
      <c r="E1203" s="23">
        <v>43033</v>
      </c>
      <c r="F1203" s="23">
        <v>43033</v>
      </c>
      <c r="G1203">
        <v>2</v>
      </c>
      <c r="H1203">
        <v>6</v>
      </c>
      <c r="I1203" t="s">
        <v>5581</v>
      </c>
    </row>
    <row r="1204" spans="1:9" x14ac:dyDescent="0.35">
      <c r="A1204">
        <v>1203</v>
      </c>
      <c r="B1204">
        <v>1191</v>
      </c>
      <c r="C1204">
        <v>4</v>
      </c>
      <c r="D1204" t="s">
        <v>5921</v>
      </c>
      <c r="E1204" s="23">
        <v>43035</v>
      </c>
      <c r="F1204" s="23">
        <v>43034</v>
      </c>
      <c r="G1204">
        <v>2</v>
      </c>
      <c r="H1204">
        <v>7</v>
      </c>
      <c r="I1204" t="s">
        <v>5581</v>
      </c>
    </row>
    <row r="1205" spans="1:9" x14ac:dyDescent="0.35">
      <c r="A1205">
        <v>1204</v>
      </c>
      <c r="B1205">
        <v>1277</v>
      </c>
      <c r="C1205">
        <v>4</v>
      </c>
      <c r="D1205" t="s">
        <v>5921</v>
      </c>
      <c r="E1205" s="23">
        <v>43036</v>
      </c>
      <c r="F1205" s="23">
        <v>43036</v>
      </c>
      <c r="G1205">
        <v>2</v>
      </c>
      <c r="H1205">
        <v>6</v>
      </c>
      <c r="I1205" t="s">
        <v>5581</v>
      </c>
    </row>
    <row r="1206" spans="1:9" x14ac:dyDescent="0.35">
      <c r="A1206">
        <v>1205</v>
      </c>
      <c r="B1206">
        <v>1091</v>
      </c>
      <c r="C1206">
        <v>4</v>
      </c>
      <c r="D1206" t="s">
        <v>5922</v>
      </c>
      <c r="E1206" s="23">
        <v>43036</v>
      </c>
      <c r="F1206" s="23">
        <v>43036</v>
      </c>
      <c r="G1206">
        <v>1</v>
      </c>
      <c r="H1206">
        <v>2</v>
      </c>
      <c r="I1206" t="s">
        <v>5581</v>
      </c>
    </row>
    <row r="1207" spans="1:9" x14ac:dyDescent="0.35">
      <c r="A1207">
        <v>1206</v>
      </c>
      <c r="B1207">
        <v>222</v>
      </c>
      <c r="C1207">
        <v>4</v>
      </c>
      <c r="D1207" t="s">
        <v>5922</v>
      </c>
      <c r="E1207" s="23">
        <v>43037</v>
      </c>
      <c r="F1207" s="23">
        <v>43037</v>
      </c>
      <c r="G1207">
        <v>2</v>
      </c>
      <c r="H1207">
        <v>6</v>
      </c>
      <c r="I1207" t="s">
        <v>5581</v>
      </c>
    </row>
    <row r="1208" spans="1:9" x14ac:dyDescent="0.35">
      <c r="A1208">
        <v>1207</v>
      </c>
      <c r="B1208">
        <v>1002</v>
      </c>
      <c r="C1208">
        <v>4</v>
      </c>
      <c r="D1208" t="s">
        <v>5922</v>
      </c>
      <c r="E1208" s="23">
        <v>43036</v>
      </c>
      <c r="F1208" s="23">
        <v>43035</v>
      </c>
      <c r="G1208">
        <v>2</v>
      </c>
      <c r="H1208">
        <v>6</v>
      </c>
      <c r="I1208" t="s">
        <v>5581</v>
      </c>
    </row>
    <row r="1209" spans="1:9" x14ac:dyDescent="0.35">
      <c r="A1209">
        <v>1208</v>
      </c>
      <c r="B1209">
        <v>1226</v>
      </c>
      <c r="C1209">
        <v>4</v>
      </c>
      <c r="D1209" t="s">
        <v>5922</v>
      </c>
      <c r="E1209" s="23">
        <v>43036</v>
      </c>
      <c r="F1209" s="23">
        <v>43035</v>
      </c>
      <c r="G1209">
        <v>2</v>
      </c>
      <c r="H1209">
        <v>7</v>
      </c>
      <c r="I1209" t="s">
        <v>5581</v>
      </c>
    </row>
    <row r="1210" spans="1:9" x14ac:dyDescent="0.35">
      <c r="A1210">
        <v>1209</v>
      </c>
      <c r="B1210">
        <v>1342</v>
      </c>
      <c r="C1210">
        <v>4</v>
      </c>
      <c r="D1210" t="s">
        <v>5922</v>
      </c>
      <c r="E1210" s="23">
        <v>43035</v>
      </c>
      <c r="F1210" s="23">
        <v>43037</v>
      </c>
      <c r="G1210">
        <v>2</v>
      </c>
      <c r="H1210">
        <v>7</v>
      </c>
      <c r="I1210" t="s">
        <v>5581</v>
      </c>
    </row>
    <row r="1211" spans="1:9" x14ac:dyDescent="0.35">
      <c r="A1211">
        <v>1210</v>
      </c>
      <c r="B1211">
        <v>730</v>
      </c>
      <c r="C1211">
        <v>4</v>
      </c>
      <c r="D1211" t="s">
        <v>5922</v>
      </c>
      <c r="E1211" s="23">
        <v>43035</v>
      </c>
      <c r="F1211" s="23">
        <v>43037</v>
      </c>
      <c r="G1211">
        <v>3</v>
      </c>
      <c r="H1211">
        <v>8</v>
      </c>
      <c r="I1211" t="s">
        <v>5581</v>
      </c>
    </row>
    <row r="1212" spans="1:9" x14ac:dyDescent="0.35">
      <c r="A1212">
        <v>1211</v>
      </c>
      <c r="B1212">
        <v>19</v>
      </c>
      <c r="C1212">
        <v>4</v>
      </c>
      <c r="D1212" t="s">
        <v>5923</v>
      </c>
      <c r="E1212" s="23">
        <v>43036</v>
      </c>
      <c r="F1212" s="23">
        <v>43037</v>
      </c>
      <c r="G1212">
        <v>2</v>
      </c>
      <c r="H1212">
        <v>7</v>
      </c>
      <c r="I1212" t="s">
        <v>5581</v>
      </c>
    </row>
    <row r="1213" spans="1:9" x14ac:dyDescent="0.35">
      <c r="A1213">
        <v>1212</v>
      </c>
      <c r="B1213">
        <v>213</v>
      </c>
      <c r="C1213">
        <v>4</v>
      </c>
      <c r="D1213" t="s">
        <v>5923</v>
      </c>
      <c r="E1213" s="23">
        <v>43038</v>
      </c>
      <c r="F1213" s="23">
        <v>43037</v>
      </c>
      <c r="G1213">
        <v>2</v>
      </c>
      <c r="H1213">
        <v>6</v>
      </c>
      <c r="I1213" t="s">
        <v>5581</v>
      </c>
    </row>
    <row r="1214" spans="1:9" x14ac:dyDescent="0.35">
      <c r="A1214">
        <v>1213</v>
      </c>
      <c r="B1214">
        <v>669</v>
      </c>
      <c r="C1214">
        <v>4</v>
      </c>
      <c r="D1214" t="s">
        <v>5923</v>
      </c>
      <c r="E1214" s="23">
        <v>43037</v>
      </c>
      <c r="F1214" s="23">
        <v>43037</v>
      </c>
      <c r="G1214">
        <v>3</v>
      </c>
      <c r="H1214">
        <v>9</v>
      </c>
      <c r="I1214" t="s">
        <v>5581</v>
      </c>
    </row>
    <row r="1215" spans="1:9" x14ac:dyDescent="0.35">
      <c r="A1215">
        <v>1214</v>
      </c>
      <c r="B1215">
        <v>783</v>
      </c>
      <c r="C1215">
        <v>4</v>
      </c>
      <c r="D1215" t="s">
        <v>5924</v>
      </c>
      <c r="E1215" s="23">
        <v>43037</v>
      </c>
      <c r="F1215" s="23">
        <v>43037</v>
      </c>
      <c r="G1215">
        <v>2</v>
      </c>
      <c r="H1215">
        <v>6</v>
      </c>
      <c r="I1215" t="s">
        <v>5581</v>
      </c>
    </row>
    <row r="1216" spans="1:9" x14ac:dyDescent="0.35">
      <c r="A1216">
        <v>1215</v>
      </c>
      <c r="B1216">
        <v>807</v>
      </c>
      <c r="C1216">
        <v>4</v>
      </c>
      <c r="D1216" t="s">
        <v>5924</v>
      </c>
      <c r="E1216" s="23">
        <v>43039</v>
      </c>
      <c r="F1216" s="23">
        <v>43038</v>
      </c>
      <c r="G1216">
        <v>2</v>
      </c>
      <c r="H1216">
        <v>7</v>
      </c>
      <c r="I1216" t="s">
        <v>5581</v>
      </c>
    </row>
    <row r="1217" spans="1:9" x14ac:dyDescent="0.35">
      <c r="A1217">
        <v>1216</v>
      </c>
      <c r="B1217">
        <v>886</v>
      </c>
      <c r="C1217">
        <v>4</v>
      </c>
      <c r="D1217" t="s">
        <v>5924</v>
      </c>
      <c r="E1217" s="23">
        <v>43038</v>
      </c>
      <c r="F1217" s="23">
        <v>43037</v>
      </c>
      <c r="G1217">
        <v>2</v>
      </c>
      <c r="H1217">
        <v>7</v>
      </c>
      <c r="I1217" t="s">
        <v>5581</v>
      </c>
    </row>
    <row r="1218" spans="1:9" x14ac:dyDescent="0.35">
      <c r="A1218">
        <v>1217</v>
      </c>
      <c r="B1218">
        <v>1155</v>
      </c>
      <c r="C1218">
        <v>4</v>
      </c>
      <c r="D1218" t="s">
        <v>5924</v>
      </c>
      <c r="E1218" s="23">
        <v>43039</v>
      </c>
      <c r="F1218" s="23">
        <v>43038</v>
      </c>
      <c r="G1218">
        <v>2</v>
      </c>
      <c r="H1218">
        <v>7</v>
      </c>
      <c r="I1218" t="s">
        <v>5581</v>
      </c>
    </row>
    <row r="1219" spans="1:9" x14ac:dyDescent="0.35">
      <c r="A1219">
        <v>1218</v>
      </c>
      <c r="B1219">
        <v>1017</v>
      </c>
      <c r="C1219">
        <v>4</v>
      </c>
      <c r="D1219" t="s">
        <v>5925</v>
      </c>
      <c r="E1219" s="23">
        <v>43040</v>
      </c>
      <c r="F1219" s="23">
        <v>43039</v>
      </c>
      <c r="G1219">
        <v>1</v>
      </c>
      <c r="H1219">
        <v>2</v>
      </c>
      <c r="I1219" t="s">
        <v>5581</v>
      </c>
    </row>
    <row r="1220" spans="1:9" x14ac:dyDescent="0.35">
      <c r="A1220">
        <v>1219</v>
      </c>
      <c r="B1220">
        <v>840</v>
      </c>
      <c r="C1220">
        <v>4</v>
      </c>
      <c r="D1220" t="s">
        <v>5925</v>
      </c>
      <c r="E1220" s="23">
        <v>43041</v>
      </c>
      <c r="F1220" s="23">
        <v>43041</v>
      </c>
      <c r="G1220">
        <v>2</v>
      </c>
      <c r="H1220">
        <v>7</v>
      </c>
      <c r="I1220" t="s">
        <v>5581</v>
      </c>
    </row>
    <row r="1221" spans="1:9" x14ac:dyDescent="0.35">
      <c r="A1221">
        <v>1220</v>
      </c>
      <c r="B1221">
        <v>803</v>
      </c>
      <c r="C1221">
        <v>4</v>
      </c>
      <c r="D1221" t="s">
        <v>5926</v>
      </c>
      <c r="E1221" s="23">
        <v>43042</v>
      </c>
      <c r="F1221" s="23">
        <v>43042</v>
      </c>
      <c r="G1221">
        <v>2</v>
      </c>
      <c r="H1221">
        <v>6</v>
      </c>
      <c r="I1221" t="s">
        <v>5581</v>
      </c>
    </row>
    <row r="1222" spans="1:9" x14ac:dyDescent="0.35">
      <c r="A1222">
        <v>1221</v>
      </c>
      <c r="B1222">
        <v>1290</v>
      </c>
      <c r="C1222">
        <v>4</v>
      </c>
      <c r="D1222" t="s">
        <v>5926</v>
      </c>
      <c r="E1222" s="23">
        <v>43041</v>
      </c>
      <c r="F1222" s="23">
        <v>43040</v>
      </c>
      <c r="G1222">
        <v>2</v>
      </c>
      <c r="H1222">
        <v>7</v>
      </c>
      <c r="I1222" t="s">
        <v>5581</v>
      </c>
    </row>
    <row r="1223" spans="1:9" x14ac:dyDescent="0.35">
      <c r="A1223">
        <v>1222</v>
      </c>
      <c r="B1223">
        <v>482</v>
      </c>
      <c r="C1223">
        <v>4</v>
      </c>
      <c r="D1223" s="23">
        <v>42746</v>
      </c>
      <c r="E1223" s="23">
        <v>43043</v>
      </c>
      <c r="F1223" s="23">
        <v>43042</v>
      </c>
      <c r="G1223">
        <v>3</v>
      </c>
      <c r="H1223">
        <v>9</v>
      </c>
      <c r="I1223" t="s">
        <v>5581</v>
      </c>
    </row>
    <row r="1224" spans="1:9" x14ac:dyDescent="0.35">
      <c r="A1224">
        <v>1223</v>
      </c>
      <c r="B1224">
        <v>1207</v>
      </c>
      <c r="C1224">
        <v>4</v>
      </c>
      <c r="D1224" s="23">
        <v>42777</v>
      </c>
      <c r="E1224" s="23">
        <v>43042</v>
      </c>
      <c r="F1224" s="23">
        <v>43042</v>
      </c>
      <c r="G1224">
        <v>2</v>
      </c>
      <c r="H1224">
        <v>6</v>
      </c>
      <c r="I1224" t="s">
        <v>5581</v>
      </c>
    </row>
    <row r="1225" spans="1:9" x14ac:dyDescent="0.35">
      <c r="A1225">
        <v>1224</v>
      </c>
      <c r="B1225">
        <v>544</v>
      </c>
      <c r="C1225">
        <v>4</v>
      </c>
      <c r="D1225" s="23">
        <v>42805</v>
      </c>
      <c r="E1225" s="23">
        <v>43043</v>
      </c>
      <c r="F1225" s="23">
        <v>43043</v>
      </c>
      <c r="G1225">
        <v>2</v>
      </c>
      <c r="H1225">
        <v>6</v>
      </c>
      <c r="I1225" t="s">
        <v>5581</v>
      </c>
    </row>
    <row r="1226" spans="1:9" x14ac:dyDescent="0.35">
      <c r="A1226">
        <v>1225</v>
      </c>
      <c r="B1226">
        <v>768</v>
      </c>
      <c r="C1226">
        <v>4</v>
      </c>
      <c r="D1226" s="23">
        <v>42836</v>
      </c>
      <c r="E1226" s="23">
        <v>43044</v>
      </c>
      <c r="F1226" s="23">
        <v>43046</v>
      </c>
      <c r="G1226">
        <v>1</v>
      </c>
      <c r="H1226">
        <v>2</v>
      </c>
      <c r="I1226" t="s">
        <v>5581</v>
      </c>
    </row>
    <row r="1227" spans="1:9" x14ac:dyDescent="0.35">
      <c r="A1227">
        <v>1226</v>
      </c>
      <c r="B1227">
        <v>226</v>
      </c>
      <c r="C1227">
        <v>4</v>
      </c>
      <c r="D1227" s="23">
        <v>42836</v>
      </c>
      <c r="E1227" s="23">
        <v>43046</v>
      </c>
      <c r="F1227" s="23">
        <v>43045</v>
      </c>
      <c r="G1227">
        <v>2</v>
      </c>
      <c r="H1227">
        <v>7</v>
      </c>
      <c r="I1227" t="s">
        <v>5581</v>
      </c>
    </row>
    <row r="1228" spans="1:9" x14ac:dyDescent="0.35">
      <c r="A1228">
        <v>1227</v>
      </c>
      <c r="B1228">
        <v>702</v>
      </c>
      <c r="C1228">
        <v>4</v>
      </c>
      <c r="D1228" s="23">
        <v>42836</v>
      </c>
      <c r="E1228" s="23">
        <v>43046</v>
      </c>
      <c r="F1228" s="23">
        <v>43045</v>
      </c>
      <c r="G1228">
        <v>2</v>
      </c>
      <c r="H1228">
        <v>6</v>
      </c>
      <c r="I1228" t="s">
        <v>5581</v>
      </c>
    </row>
    <row r="1229" spans="1:9" x14ac:dyDescent="0.35">
      <c r="A1229">
        <v>1228</v>
      </c>
      <c r="B1229">
        <v>1041</v>
      </c>
      <c r="C1229">
        <v>4</v>
      </c>
      <c r="D1229" s="23">
        <v>42836</v>
      </c>
      <c r="E1229" s="23">
        <v>43045</v>
      </c>
      <c r="F1229" s="23">
        <v>43045</v>
      </c>
      <c r="G1229">
        <v>2</v>
      </c>
      <c r="H1229">
        <v>6</v>
      </c>
      <c r="I1229" t="s">
        <v>5581</v>
      </c>
    </row>
    <row r="1230" spans="1:9" x14ac:dyDescent="0.35">
      <c r="A1230">
        <v>1229</v>
      </c>
      <c r="B1230">
        <v>89</v>
      </c>
      <c r="C1230">
        <v>4</v>
      </c>
      <c r="D1230" s="23">
        <v>42866</v>
      </c>
      <c r="E1230" s="23">
        <v>43047</v>
      </c>
      <c r="F1230" s="23">
        <v>43045</v>
      </c>
      <c r="G1230">
        <v>1</v>
      </c>
      <c r="H1230">
        <v>3</v>
      </c>
      <c r="I1230" t="s">
        <v>5581</v>
      </c>
    </row>
    <row r="1231" spans="1:9" x14ac:dyDescent="0.35">
      <c r="A1231">
        <v>1230</v>
      </c>
      <c r="B1231">
        <v>1107</v>
      </c>
      <c r="C1231">
        <v>4</v>
      </c>
      <c r="D1231" s="23">
        <v>42866</v>
      </c>
      <c r="E1231" s="23">
        <v>43045</v>
      </c>
      <c r="F1231" s="23">
        <v>43046</v>
      </c>
      <c r="G1231">
        <v>2</v>
      </c>
      <c r="H1231">
        <v>6</v>
      </c>
      <c r="I1231" t="s">
        <v>5581</v>
      </c>
    </row>
    <row r="1232" spans="1:9" x14ac:dyDescent="0.35">
      <c r="A1232">
        <v>1231</v>
      </c>
      <c r="B1232">
        <v>1180</v>
      </c>
      <c r="C1232">
        <v>4</v>
      </c>
      <c r="D1232" s="23">
        <v>42866</v>
      </c>
      <c r="E1232" s="23">
        <v>43046</v>
      </c>
      <c r="F1232" s="23">
        <v>43045</v>
      </c>
      <c r="G1232">
        <v>2</v>
      </c>
      <c r="H1232">
        <v>6</v>
      </c>
      <c r="I1232" t="s">
        <v>5581</v>
      </c>
    </row>
    <row r="1233" spans="1:9" x14ac:dyDescent="0.35">
      <c r="A1233">
        <v>1232</v>
      </c>
      <c r="B1233">
        <v>665</v>
      </c>
      <c r="C1233">
        <v>4</v>
      </c>
      <c r="D1233" s="23">
        <v>42897</v>
      </c>
      <c r="E1233" s="23">
        <v>43046</v>
      </c>
      <c r="F1233" s="23">
        <v>43048</v>
      </c>
      <c r="G1233">
        <v>1</v>
      </c>
      <c r="H1233">
        <v>3</v>
      </c>
      <c r="I1233" t="s">
        <v>5581</v>
      </c>
    </row>
    <row r="1234" spans="1:9" x14ac:dyDescent="0.35">
      <c r="A1234">
        <v>1233</v>
      </c>
      <c r="B1234">
        <v>462</v>
      </c>
      <c r="C1234">
        <v>4</v>
      </c>
      <c r="D1234" s="23">
        <v>42897</v>
      </c>
      <c r="E1234" s="23">
        <v>43046</v>
      </c>
      <c r="F1234" s="23">
        <v>43047</v>
      </c>
      <c r="G1234">
        <v>2</v>
      </c>
      <c r="H1234">
        <v>6</v>
      </c>
      <c r="I1234" t="s">
        <v>5581</v>
      </c>
    </row>
    <row r="1235" spans="1:9" x14ac:dyDescent="0.35">
      <c r="A1235">
        <v>1234</v>
      </c>
      <c r="B1235">
        <v>19</v>
      </c>
      <c r="C1235">
        <v>3</v>
      </c>
      <c r="D1235" s="23">
        <v>42927</v>
      </c>
      <c r="E1235" s="23">
        <v>43046</v>
      </c>
      <c r="F1235" t="s">
        <v>5597</v>
      </c>
      <c r="G1235">
        <v>2</v>
      </c>
      <c r="H1235">
        <v>6</v>
      </c>
      <c r="I1235" t="s">
        <v>5598</v>
      </c>
    </row>
    <row r="1236" spans="1:9" x14ac:dyDescent="0.35">
      <c r="A1236">
        <v>1235</v>
      </c>
      <c r="B1236">
        <v>210</v>
      </c>
      <c r="C1236">
        <v>4</v>
      </c>
      <c r="D1236" s="23">
        <v>42927</v>
      </c>
      <c r="E1236" s="23">
        <v>43047</v>
      </c>
      <c r="F1236" s="23">
        <v>43048</v>
      </c>
      <c r="G1236">
        <v>2</v>
      </c>
      <c r="H1236">
        <v>6</v>
      </c>
      <c r="I1236" t="s">
        <v>5581</v>
      </c>
    </row>
    <row r="1237" spans="1:9" x14ac:dyDescent="0.35">
      <c r="A1237">
        <v>1236</v>
      </c>
      <c r="B1237">
        <v>243</v>
      </c>
      <c r="C1237">
        <v>4</v>
      </c>
      <c r="D1237" s="23">
        <v>42958</v>
      </c>
      <c r="E1237" s="23">
        <v>43050</v>
      </c>
      <c r="F1237" s="23">
        <v>43048</v>
      </c>
      <c r="G1237">
        <v>2</v>
      </c>
      <c r="H1237">
        <v>7</v>
      </c>
      <c r="I1237" t="s">
        <v>5581</v>
      </c>
    </row>
    <row r="1238" spans="1:9" x14ac:dyDescent="0.35">
      <c r="A1238">
        <v>1237</v>
      </c>
      <c r="B1238">
        <v>571</v>
      </c>
      <c r="C1238">
        <v>4</v>
      </c>
      <c r="D1238" s="23">
        <v>42989</v>
      </c>
      <c r="E1238" s="23">
        <v>43051</v>
      </c>
      <c r="F1238" s="23">
        <v>43050</v>
      </c>
      <c r="G1238">
        <v>1</v>
      </c>
      <c r="H1238">
        <v>2</v>
      </c>
      <c r="I1238" t="s">
        <v>5581</v>
      </c>
    </row>
    <row r="1239" spans="1:9" x14ac:dyDescent="0.35">
      <c r="A1239">
        <v>1238</v>
      </c>
      <c r="B1239">
        <v>998</v>
      </c>
      <c r="C1239">
        <v>4</v>
      </c>
      <c r="D1239" s="23">
        <v>42989</v>
      </c>
      <c r="E1239" s="23">
        <v>43049</v>
      </c>
      <c r="F1239" s="23">
        <v>43050</v>
      </c>
      <c r="G1239">
        <v>2</v>
      </c>
      <c r="H1239">
        <v>6</v>
      </c>
      <c r="I1239" t="s">
        <v>5581</v>
      </c>
    </row>
    <row r="1240" spans="1:9" x14ac:dyDescent="0.35">
      <c r="A1240">
        <v>1239</v>
      </c>
      <c r="B1240">
        <v>1197</v>
      </c>
      <c r="C1240">
        <v>4</v>
      </c>
      <c r="D1240" s="23">
        <v>42989</v>
      </c>
      <c r="E1240" s="23">
        <v>43049</v>
      </c>
      <c r="F1240" s="23">
        <v>43050</v>
      </c>
      <c r="G1240">
        <v>2</v>
      </c>
      <c r="H1240">
        <v>7</v>
      </c>
      <c r="I1240" t="s">
        <v>5581</v>
      </c>
    </row>
    <row r="1241" spans="1:9" x14ac:dyDescent="0.35">
      <c r="A1241">
        <v>1240</v>
      </c>
      <c r="B1241">
        <v>903</v>
      </c>
      <c r="C1241">
        <v>4</v>
      </c>
      <c r="D1241" s="23">
        <v>43019</v>
      </c>
      <c r="E1241" s="23">
        <v>43050</v>
      </c>
      <c r="F1241" s="23">
        <v>43050</v>
      </c>
      <c r="G1241">
        <v>2</v>
      </c>
      <c r="H1241">
        <v>7</v>
      </c>
      <c r="I1241" t="s">
        <v>5581</v>
      </c>
    </row>
    <row r="1242" spans="1:9" x14ac:dyDescent="0.35">
      <c r="A1242">
        <v>1241</v>
      </c>
      <c r="B1242">
        <v>1170</v>
      </c>
      <c r="C1242">
        <v>4</v>
      </c>
      <c r="D1242" s="23">
        <v>43019</v>
      </c>
      <c r="E1242" s="23">
        <v>43051</v>
      </c>
      <c r="F1242" s="23">
        <v>43050</v>
      </c>
      <c r="G1242">
        <v>2</v>
      </c>
      <c r="H1242">
        <v>7</v>
      </c>
      <c r="I1242" t="s">
        <v>5581</v>
      </c>
    </row>
    <row r="1243" spans="1:9" x14ac:dyDescent="0.35">
      <c r="A1243">
        <v>1242</v>
      </c>
      <c r="B1243">
        <v>303</v>
      </c>
      <c r="C1243">
        <v>4</v>
      </c>
      <c r="D1243" s="23">
        <v>43050</v>
      </c>
      <c r="E1243" s="23">
        <v>43051</v>
      </c>
      <c r="F1243" s="23">
        <v>43051</v>
      </c>
      <c r="G1243">
        <v>2</v>
      </c>
      <c r="H1243">
        <v>6</v>
      </c>
      <c r="I1243" t="s">
        <v>5581</v>
      </c>
    </row>
    <row r="1244" spans="1:9" x14ac:dyDescent="0.35">
      <c r="A1244">
        <v>1243</v>
      </c>
      <c r="B1244">
        <v>346</v>
      </c>
      <c r="C1244">
        <v>4</v>
      </c>
      <c r="D1244" s="23">
        <v>43050</v>
      </c>
      <c r="E1244" s="23">
        <v>43052</v>
      </c>
      <c r="F1244" s="23">
        <v>43053</v>
      </c>
      <c r="G1244">
        <v>2</v>
      </c>
      <c r="H1244">
        <v>6</v>
      </c>
      <c r="I1244" t="s">
        <v>5581</v>
      </c>
    </row>
    <row r="1245" spans="1:9" x14ac:dyDescent="0.35">
      <c r="A1245">
        <v>1244</v>
      </c>
      <c r="B1245">
        <v>333</v>
      </c>
      <c r="C1245">
        <v>4</v>
      </c>
      <c r="D1245" s="23">
        <v>43080</v>
      </c>
      <c r="E1245" s="23">
        <v>43053</v>
      </c>
      <c r="F1245" s="23">
        <v>43052</v>
      </c>
      <c r="G1245">
        <v>2</v>
      </c>
      <c r="H1245">
        <v>6</v>
      </c>
      <c r="I1245" t="s">
        <v>5581</v>
      </c>
    </row>
    <row r="1246" spans="1:9" x14ac:dyDescent="0.35">
      <c r="A1246">
        <v>1245</v>
      </c>
      <c r="B1246">
        <v>1166</v>
      </c>
      <c r="C1246">
        <v>4</v>
      </c>
      <c r="D1246" t="s">
        <v>5927</v>
      </c>
      <c r="E1246" s="23">
        <v>43055</v>
      </c>
      <c r="F1246" s="23">
        <v>43053</v>
      </c>
      <c r="G1246">
        <v>2</v>
      </c>
      <c r="H1246">
        <v>7</v>
      </c>
      <c r="I1246" t="s">
        <v>5581</v>
      </c>
    </row>
    <row r="1247" spans="1:9" x14ac:dyDescent="0.35">
      <c r="A1247">
        <v>1246</v>
      </c>
      <c r="B1247">
        <v>1329</v>
      </c>
      <c r="C1247">
        <v>4</v>
      </c>
      <c r="D1247" t="s">
        <v>5927</v>
      </c>
      <c r="E1247" s="23">
        <v>43055</v>
      </c>
      <c r="F1247" s="23">
        <v>43055</v>
      </c>
      <c r="G1247">
        <v>2</v>
      </c>
      <c r="H1247">
        <v>7</v>
      </c>
      <c r="I1247" t="s">
        <v>5581</v>
      </c>
    </row>
    <row r="1248" spans="1:9" x14ac:dyDescent="0.35">
      <c r="A1248">
        <v>1247</v>
      </c>
      <c r="B1248">
        <v>426</v>
      </c>
      <c r="C1248">
        <v>4</v>
      </c>
      <c r="D1248" t="s">
        <v>5928</v>
      </c>
      <c r="E1248" s="23">
        <v>43057</v>
      </c>
      <c r="F1248" s="23">
        <v>43056</v>
      </c>
      <c r="G1248">
        <v>1</v>
      </c>
      <c r="H1248">
        <v>2</v>
      </c>
      <c r="I1248" t="s">
        <v>5581</v>
      </c>
    </row>
    <row r="1249" spans="1:9" x14ac:dyDescent="0.35">
      <c r="A1249">
        <v>1248</v>
      </c>
      <c r="B1249">
        <v>1367</v>
      </c>
      <c r="C1249">
        <v>4</v>
      </c>
      <c r="D1249" t="s">
        <v>5928</v>
      </c>
      <c r="E1249" s="23">
        <v>43056</v>
      </c>
      <c r="F1249" s="23">
        <v>43057</v>
      </c>
      <c r="G1249">
        <v>1</v>
      </c>
      <c r="H1249">
        <v>3</v>
      </c>
      <c r="I1249" t="s">
        <v>5581</v>
      </c>
    </row>
    <row r="1250" spans="1:9" x14ac:dyDescent="0.35">
      <c r="A1250">
        <v>1249</v>
      </c>
      <c r="B1250">
        <v>545</v>
      </c>
      <c r="C1250">
        <v>4</v>
      </c>
      <c r="D1250" t="s">
        <v>5929</v>
      </c>
      <c r="E1250" s="23">
        <v>43057</v>
      </c>
      <c r="F1250" s="23">
        <v>43059</v>
      </c>
      <c r="G1250">
        <v>2</v>
      </c>
      <c r="H1250">
        <v>6</v>
      </c>
      <c r="I1250" t="s">
        <v>5581</v>
      </c>
    </row>
    <row r="1251" spans="1:9" x14ac:dyDescent="0.35">
      <c r="A1251">
        <v>1250</v>
      </c>
      <c r="B1251">
        <v>1188</v>
      </c>
      <c r="C1251">
        <v>4</v>
      </c>
      <c r="D1251" t="s">
        <v>5929</v>
      </c>
      <c r="E1251" s="23">
        <v>43058</v>
      </c>
      <c r="F1251" s="23">
        <v>43057</v>
      </c>
      <c r="G1251">
        <v>2</v>
      </c>
      <c r="H1251">
        <v>6</v>
      </c>
      <c r="I1251" t="s">
        <v>5581</v>
      </c>
    </row>
    <row r="1252" spans="1:9" x14ac:dyDescent="0.35">
      <c r="A1252">
        <v>1251</v>
      </c>
      <c r="B1252">
        <v>289</v>
      </c>
      <c r="C1252">
        <v>4</v>
      </c>
      <c r="D1252" t="s">
        <v>5929</v>
      </c>
      <c r="E1252" s="23">
        <v>43058</v>
      </c>
      <c r="F1252" s="23">
        <v>43058</v>
      </c>
      <c r="G1252">
        <v>3</v>
      </c>
      <c r="H1252">
        <v>9</v>
      </c>
      <c r="I1252" t="s">
        <v>5581</v>
      </c>
    </row>
    <row r="1253" spans="1:9" x14ac:dyDescent="0.35">
      <c r="A1253">
        <v>1252</v>
      </c>
      <c r="B1253">
        <v>110</v>
      </c>
      <c r="C1253">
        <v>4</v>
      </c>
      <c r="D1253" t="s">
        <v>5930</v>
      </c>
      <c r="E1253" s="23">
        <v>43059</v>
      </c>
      <c r="F1253" s="23">
        <v>43060</v>
      </c>
      <c r="G1253">
        <v>1</v>
      </c>
      <c r="H1253">
        <v>3</v>
      </c>
      <c r="I1253" t="s">
        <v>5581</v>
      </c>
    </row>
    <row r="1254" spans="1:9" x14ac:dyDescent="0.35">
      <c r="A1254">
        <v>1253</v>
      </c>
      <c r="B1254">
        <v>44</v>
      </c>
      <c r="C1254">
        <v>4</v>
      </c>
      <c r="D1254" t="s">
        <v>5930</v>
      </c>
      <c r="E1254" s="23">
        <v>43060</v>
      </c>
      <c r="F1254" s="23">
        <v>43060</v>
      </c>
      <c r="G1254">
        <v>2</v>
      </c>
      <c r="H1254">
        <v>6</v>
      </c>
      <c r="I1254" t="s">
        <v>5581</v>
      </c>
    </row>
    <row r="1255" spans="1:9" x14ac:dyDescent="0.35">
      <c r="A1255">
        <v>1254</v>
      </c>
      <c r="B1255">
        <v>1098</v>
      </c>
      <c r="C1255">
        <v>4</v>
      </c>
      <c r="D1255" t="s">
        <v>5930</v>
      </c>
      <c r="E1255" s="23">
        <v>43058</v>
      </c>
      <c r="F1255" s="23">
        <v>43058</v>
      </c>
      <c r="G1255">
        <v>2</v>
      </c>
      <c r="H1255">
        <v>7</v>
      </c>
      <c r="I1255" t="s">
        <v>5581</v>
      </c>
    </row>
    <row r="1256" spans="1:9" x14ac:dyDescent="0.35">
      <c r="A1256">
        <v>1255</v>
      </c>
      <c r="B1256">
        <v>375</v>
      </c>
      <c r="C1256">
        <v>4</v>
      </c>
      <c r="D1256" t="s">
        <v>5931</v>
      </c>
      <c r="E1256" s="23">
        <v>43059</v>
      </c>
      <c r="F1256" s="23">
        <v>43060</v>
      </c>
      <c r="G1256">
        <v>2</v>
      </c>
      <c r="H1256">
        <v>6</v>
      </c>
      <c r="I1256" t="s">
        <v>5581</v>
      </c>
    </row>
    <row r="1257" spans="1:9" x14ac:dyDescent="0.35">
      <c r="A1257">
        <v>1256</v>
      </c>
      <c r="B1257">
        <v>458</v>
      </c>
      <c r="C1257">
        <v>4</v>
      </c>
      <c r="D1257" t="s">
        <v>5931</v>
      </c>
      <c r="E1257" s="23">
        <v>43059</v>
      </c>
      <c r="F1257" s="23">
        <v>43061</v>
      </c>
      <c r="G1257">
        <v>2</v>
      </c>
      <c r="H1257">
        <v>6</v>
      </c>
      <c r="I1257" t="s">
        <v>5581</v>
      </c>
    </row>
    <row r="1258" spans="1:9" x14ac:dyDescent="0.35">
      <c r="A1258">
        <v>1257</v>
      </c>
      <c r="B1258">
        <v>1136</v>
      </c>
      <c r="C1258">
        <v>4</v>
      </c>
      <c r="D1258" t="s">
        <v>5931</v>
      </c>
      <c r="E1258" s="23">
        <v>43061</v>
      </c>
      <c r="F1258" s="23">
        <v>43059</v>
      </c>
      <c r="G1258">
        <v>2</v>
      </c>
      <c r="H1258">
        <v>7</v>
      </c>
      <c r="I1258" t="s">
        <v>5581</v>
      </c>
    </row>
    <row r="1259" spans="1:9" x14ac:dyDescent="0.35">
      <c r="A1259">
        <v>1258</v>
      </c>
      <c r="B1259">
        <v>1099</v>
      </c>
      <c r="C1259">
        <v>4</v>
      </c>
      <c r="D1259" t="s">
        <v>5932</v>
      </c>
      <c r="E1259" s="23">
        <v>43060</v>
      </c>
      <c r="F1259" s="23">
        <v>43061</v>
      </c>
      <c r="G1259">
        <v>2</v>
      </c>
      <c r="H1259">
        <v>7</v>
      </c>
      <c r="I1259" t="s">
        <v>5581</v>
      </c>
    </row>
    <row r="1260" spans="1:9" x14ac:dyDescent="0.35">
      <c r="A1260">
        <v>1259</v>
      </c>
      <c r="B1260">
        <v>4</v>
      </c>
      <c r="C1260">
        <v>3</v>
      </c>
      <c r="D1260" t="s">
        <v>5933</v>
      </c>
      <c r="E1260" s="23">
        <v>43060</v>
      </c>
      <c r="F1260" t="s">
        <v>5597</v>
      </c>
      <c r="G1260">
        <v>2</v>
      </c>
      <c r="H1260">
        <v>7</v>
      </c>
      <c r="I1260" t="s">
        <v>5598</v>
      </c>
    </row>
    <row r="1261" spans="1:9" x14ac:dyDescent="0.35">
      <c r="A1261">
        <v>1260</v>
      </c>
      <c r="B1261">
        <v>1117</v>
      </c>
      <c r="C1261">
        <v>4</v>
      </c>
      <c r="D1261" t="s">
        <v>5934</v>
      </c>
      <c r="E1261" s="23">
        <v>43062</v>
      </c>
      <c r="F1261" s="23">
        <v>43063</v>
      </c>
      <c r="G1261">
        <v>2</v>
      </c>
      <c r="H1261">
        <v>6</v>
      </c>
      <c r="I1261" t="s">
        <v>5581</v>
      </c>
    </row>
    <row r="1262" spans="1:9" x14ac:dyDescent="0.35">
      <c r="A1262">
        <v>1261</v>
      </c>
      <c r="B1262">
        <v>435</v>
      </c>
      <c r="C1262">
        <v>4</v>
      </c>
      <c r="D1262" t="s">
        <v>5935</v>
      </c>
      <c r="E1262" s="23">
        <v>43064</v>
      </c>
      <c r="F1262" s="23">
        <v>43063</v>
      </c>
      <c r="G1262">
        <v>2</v>
      </c>
      <c r="H1262">
        <v>7</v>
      </c>
      <c r="I1262" t="s">
        <v>5581</v>
      </c>
    </row>
    <row r="1263" spans="1:9" x14ac:dyDescent="0.35">
      <c r="A1263">
        <v>1262</v>
      </c>
      <c r="B1263">
        <v>509</v>
      </c>
      <c r="C1263">
        <v>4</v>
      </c>
      <c r="D1263" t="s">
        <v>5935</v>
      </c>
      <c r="E1263" s="23">
        <v>43065</v>
      </c>
      <c r="F1263" s="23">
        <v>43065</v>
      </c>
      <c r="G1263">
        <v>2</v>
      </c>
      <c r="H1263">
        <v>6</v>
      </c>
      <c r="I1263" t="s">
        <v>5581</v>
      </c>
    </row>
    <row r="1264" spans="1:9" x14ac:dyDescent="0.35">
      <c r="A1264">
        <v>1263</v>
      </c>
      <c r="B1264">
        <v>1408</v>
      </c>
      <c r="C1264">
        <v>4</v>
      </c>
      <c r="D1264" t="s">
        <v>5935</v>
      </c>
      <c r="E1264" s="23">
        <v>43065</v>
      </c>
      <c r="F1264" s="23">
        <v>43065</v>
      </c>
      <c r="G1264">
        <v>2</v>
      </c>
      <c r="H1264">
        <v>6</v>
      </c>
      <c r="I1264" t="s">
        <v>5581</v>
      </c>
    </row>
    <row r="1265" spans="1:9" x14ac:dyDescent="0.35">
      <c r="A1265">
        <v>1264</v>
      </c>
      <c r="B1265">
        <v>113</v>
      </c>
      <c r="C1265">
        <v>4</v>
      </c>
      <c r="D1265" t="s">
        <v>5936</v>
      </c>
      <c r="E1265" s="23">
        <v>43066</v>
      </c>
      <c r="F1265" s="23">
        <v>43064</v>
      </c>
      <c r="G1265">
        <v>2</v>
      </c>
      <c r="H1265">
        <v>6</v>
      </c>
      <c r="I1265" t="s">
        <v>5581</v>
      </c>
    </row>
    <row r="1266" spans="1:9" x14ac:dyDescent="0.35">
      <c r="A1266">
        <v>1265</v>
      </c>
      <c r="B1266">
        <v>950</v>
      </c>
      <c r="C1266">
        <v>4</v>
      </c>
      <c r="D1266" t="s">
        <v>5936</v>
      </c>
      <c r="E1266" s="23">
        <v>43066</v>
      </c>
      <c r="F1266" s="23">
        <v>43066</v>
      </c>
      <c r="G1266">
        <v>2</v>
      </c>
      <c r="H1266">
        <v>7</v>
      </c>
      <c r="I1266" t="s">
        <v>5581</v>
      </c>
    </row>
    <row r="1267" spans="1:9" x14ac:dyDescent="0.35">
      <c r="A1267">
        <v>1266</v>
      </c>
      <c r="B1267">
        <v>387</v>
      </c>
      <c r="C1267">
        <v>4</v>
      </c>
      <c r="D1267" t="s">
        <v>5937</v>
      </c>
      <c r="E1267" s="23">
        <v>43067</v>
      </c>
      <c r="F1267" s="23">
        <v>43066</v>
      </c>
      <c r="G1267">
        <v>2</v>
      </c>
      <c r="H1267">
        <v>6</v>
      </c>
      <c r="I1267" t="s">
        <v>5581</v>
      </c>
    </row>
    <row r="1268" spans="1:9" x14ac:dyDescent="0.35">
      <c r="A1268">
        <v>1267</v>
      </c>
      <c r="B1268">
        <v>467</v>
      </c>
      <c r="C1268">
        <v>4</v>
      </c>
      <c r="D1268" t="s">
        <v>5937</v>
      </c>
      <c r="E1268" s="23">
        <v>43065</v>
      </c>
      <c r="F1268" s="23">
        <v>43065</v>
      </c>
      <c r="G1268">
        <v>2</v>
      </c>
      <c r="H1268">
        <v>6</v>
      </c>
      <c r="I1268" t="s">
        <v>5581</v>
      </c>
    </row>
    <row r="1269" spans="1:9" x14ac:dyDescent="0.35">
      <c r="A1269">
        <v>1268</v>
      </c>
      <c r="B1269">
        <v>774</v>
      </c>
      <c r="C1269">
        <v>4</v>
      </c>
      <c r="D1269" t="s">
        <v>5938</v>
      </c>
      <c r="E1269" s="23">
        <v>43067</v>
      </c>
      <c r="F1269" s="23">
        <v>43068</v>
      </c>
      <c r="G1269">
        <v>1</v>
      </c>
      <c r="H1269">
        <v>3</v>
      </c>
      <c r="I1269" t="s">
        <v>5581</v>
      </c>
    </row>
    <row r="1270" spans="1:9" x14ac:dyDescent="0.35">
      <c r="A1270">
        <v>1269</v>
      </c>
      <c r="B1270">
        <v>1236</v>
      </c>
      <c r="C1270">
        <v>4</v>
      </c>
      <c r="D1270" t="s">
        <v>5938</v>
      </c>
      <c r="E1270" s="23">
        <v>43068</v>
      </c>
      <c r="F1270" s="23">
        <v>43068</v>
      </c>
      <c r="G1270">
        <v>2</v>
      </c>
      <c r="H1270">
        <v>6</v>
      </c>
      <c r="I1270" t="s">
        <v>5581</v>
      </c>
    </row>
    <row r="1271" spans="1:9" x14ac:dyDescent="0.35">
      <c r="A1271">
        <v>1270</v>
      </c>
      <c r="B1271">
        <v>1388</v>
      </c>
      <c r="C1271">
        <v>4</v>
      </c>
      <c r="D1271" t="s">
        <v>5938</v>
      </c>
      <c r="E1271" s="23">
        <v>43068</v>
      </c>
      <c r="F1271" s="23">
        <v>43068</v>
      </c>
      <c r="G1271">
        <v>2</v>
      </c>
      <c r="H1271">
        <v>6</v>
      </c>
      <c r="I1271" t="s">
        <v>5581</v>
      </c>
    </row>
    <row r="1272" spans="1:9" x14ac:dyDescent="0.35">
      <c r="A1272">
        <v>1271</v>
      </c>
      <c r="B1272">
        <v>734</v>
      </c>
      <c r="C1272">
        <v>4</v>
      </c>
      <c r="D1272" t="s">
        <v>5939</v>
      </c>
      <c r="E1272" s="23">
        <v>43069</v>
      </c>
      <c r="F1272" s="23">
        <v>43069</v>
      </c>
      <c r="G1272">
        <v>2</v>
      </c>
      <c r="H1272">
        <v>6</v>
      </c>
      <c r="I1272" t="s">
        <v>5581</v>
      </c>
    </row>
    <row r="1273" spans="1:9" x14ac:dyDescent="0.35">
      <c r="A1273">
        <v>1272</v>
      </c>
      <c r="B1273">
        <v>935</v>
      </c>
      <c r="C1273">
        <v>4</v>
      </c>
      <c r="D1273" t="s">
        <v>5939</v>
      </c>
      <c r="E1273" s="23">
        <v>43068</v>
      </c>
      <c r="F1273" s="23">
        <v>43069</v>
      </c>
      <c r="G1273">
        <v>2</v>
      </c>
      <c r="H1273">
        <v>6</v>
      </c>
      <c r="I1273" t="s">
        <v>5581</v>
      </c>
    </row>
    <row r="1274" spans="1:9" x14ac:dyDescent="0.35">
      <c r="A1274">
        <v>1273</v>
      </c>
      <c r="B1274">
        <v>1268</v>
      </c>
      <c r="C1274">
        <v>4</v>
      </c>
      <c r="D1274" t="s">
        <v>5939</v>
      </c>
      <c r="E1274" s="23">
        <v>43068</v>
      </c>
      <c r="F1274" s="23">
        <v>43068</v>
      </c>
      <c r="G1274">
        <v>2</v>
      </c>
      <c r="H1274">
        <v>6</v>
      </c>
      <c r="I1274" t="s">
        <v>5581</v>
      </c>
    </row>
    <row r="1275" spans="1:9" x14ac:dyDescent="0.35">
      <c r="A1275">
        <v>1274</v>
      </c>
      <c r="B1275">
        <v>1364</v>
      </c>
      <c r="C1275">
        <v>4</v>
      </c>
      <c r="D1275" t="s">
        <v>5940</v>
      </c>
      <c r="E1275" s="23">
        <v>43068</v>
      </c>
      <c r="F1275" s="23">
        <v>43070</v>
      </c>
      <c r="G1275">
        <v>2</v>
      </c>
      <c r="H1275">
        <v>7</v>
      </c>
      <c r="I1275" t="s">
        <v>5581</v>
      </c>
    </row>
    <row r="1276" spans="1:9" x14ac:dyDescent="0.35">
      <c r="A1276">
        <v>1275</v>
      </c>
      <c r="B1276">
        <v>165</v>
      </c>
      <c r="C1276">
        <v>4</v>
      </c>
      <c r="D1276" t="s">
        <v>5941</v>
      </c>
      <c r="E1276" s="23">
        <v>43070</v>
      </c>
      <c r="F1276" s="23">
        <v>43069</v>
      </c>
      <c r="G1276">
        <v>1</v>
      </c>
      <c r="H1276">
        <v>2</v>
      </c>
      <c r="I1276" t="s">
        <v>5581</v>
      </c>
    </row>
    <row r="1277" spans="1:9" x14ac:dyDescent="0.35">
      <c r="A1277">
        <v>1276</v>
      </c>
      <c r="B1277">
        <v>893</v>
      </c>
      <c r="C1277">
        <v>4</v>
      </c>
      <c r="D1277" t="s">
        <v>5942</v>
      </c>
      <c r="E1277" s="23">
        <v>43072</v>
      </c>
      <c r="F1277" s="23">
        <v>43071</v>
      </c>
      <c r="G1277">
        <v>2</v>
      </c>
      <c r="H1277">
        <v>6</v>
      </c>
      <c r="I1277" t="s">
        <v>5581</v>
      </c>
    </row>
    <row r="1278" spans="1:9" x14ac:dyDescent="0.35">
      <c r="A1278">
        <v>1277</v>
      </c>
      <c r="B1278">
        <v>227</v>
      </c>
      <c r="C1278">
        <v>4</v>
      </c>
      <c r="D1278" s="23">
        <v>42747</v>
      </c>
      <c r="E1278" s="23">
        <v>43073</v>
      </c>
      <c r="F1278" s="23">
        <v>43071</v>
      </c>
      <c r="G1278">
        <v>2</v>
      </c>
      <c r="H1278">
        <v>6</v>
      </c>
      <c r="I1278" t="s">
        <v>5581</v>
      </c>
    </row>
    <row r="1279" spans="1:9" x14ac:dyDescent="0.35">
      <c r="A1279">
        <v>1278</v>
      </c>
      <c r="B1279">
        <v>980</v>
      </c>
      <c r="C1279">
        <v>4</v>
      </c>
      <c r="D1279" s="23">
        <v>42747</v>
      </c>
      <c r="E1279" s="23">
        <v>43071</v>
      </c>
      <c r="F1279" s="23">
        <v>43073</v>
      </c>
      <c r="G1279">
        <v>2</v>
      </c>
      <c r="H1279">
        <v>7</v>
      </c>
      <c r="I1279" t="s">
        <v>5581</v>
      </c>
    </row>
    <row r="1280" spans="1:9" x14ac:dyDescent="0.35">
      <c r="A1280">
        <v>1279</v>
      </c>
      <c r="B1280">
        <v>1014</v>
      </c>
      <c r="C1280">
        <v>4</v>
      </c>
      <c r="D1280" s="23">
        <v>42747</v>
      </c>
      <c r="E1280" s="23">
        <v>43073</v>
      </c>
      <c r="F1280" s="23">
        <v>43072</v>
      </c>
      <c r="G1280">
        <v>2</v>
      </c>
      <c r="H1280">
        <v>6</v>
      </c>
      <c r="I1280" t="s">
        <v>5581</v>
      </c>
    </row>
    <row r="1281" spans="1:9" x14ac:dyDescent="0.35">
      <c r="A1281">
        <v>1280</v>
      </c>
      <c r="B1281">
        <v>123</v>
      </c>
      <c r="C1281">
        <v>4</v>
      </c>
      <c r="D1281" s="23">
        <v>42747</v>
      </c>
      <c r="E1281" s="23">
        <v>43072</v>
      </c>
      <c r="F1281" s="23">
        <v>43072</v>
      </c>
      <c r="G1281">
        <v>3</v>
      </c>
      <c r="H1281">
        <v>9</v>
      </c>
      <c r="I1281" t="s">
        <v>5581</v>
      </c>
    </row>
    <row r="1282" spans="1:9" x14ac:dyDescent="0.35">
      <c r="A1282">
        <v>1281</v>
      </c>
      <c r="B1282">
        <v>1060</v>
      </c>
      <c r="C1282">
        <v>4</v>
      </c>
      <c r="D1282" s="23">
        <v>42778</v>
      </c>
      <c r="E1282" s="23">
        <v>43074</v>
      </c>
      <c r="F1282" s="23">
        <v>43074</v>
      </c>
      <c r="G1282">
        <v>2</v>
      </c>
      <c r="H1282">
        <v>6</v>
      </c>
      <c r="I1282" t="s">
        <v>5581</v>
      </c>
    </row>
    <row r="1283" spans="1:9" x14ac:dyDescent="0.35">
      <c r="A1283">
        <v>1282</v>
      </c>
      <c r="B1283">
        <v>320</v>
      </c>
      <c r="C1283">
        <v>4</v>
      </c>
      <c r="D1283" s="23">
        <v>42806</v>
      </c>
      <c r="E1283" s="23">
        <v>43074</v>
      </c>
      <c r="F1283" s="23">
        <v>43074</v>
      </c>
      <c r="G1283">
        <v>2</v>
      </c>
      <c r="H1283">
        <v>6</v>
      </c>
      <c r="I1283" t="s">
        <v>5581</v>
      </c>
    </row>
    <row r="1284" spans="1:9" x14ac:dyDescent="0.35">
      <c r="A1284">
        <v>1283</v>
      </c>
      <c r="B1284">
        <v>85</v>
      </c>
      <c r="C1284">
        <v>4</v>
      </c>
      <c r="D1284" s="23">
        <v>42837</v>
      </c>
      <c r="E1284" s="23">
        <v>43076</v>
      </c>
      <c r="F1284" s="23">
        <v>43076</v>
      </c>
      <c r="G1284">
        <v>2</v>
      </c>
      <c r="H1284">
        <v>7</v>
      </c>
      <c r="I1284" t="s">
        <v>5581</v>
      </c>
    </row>
    <row r="1285" spans="1:9" x14ac:dyDescent="0.35">
      <c r="A1285">
        <v>1284</v>
      </c>
      <c r="B1285">
        <v>128</v>
      </c>
      <c r="C1285">
        <v>4</v>
      </c>
      <c r="D1285" s="23">
        <v>42837</v>
      </c>
      <c r="E1285" s="23">
        <v>43075</v>
      </c>
      <c r="F1285" s="23">
        <v>43076</v>
      </c>
      <c r="G1285">
        <v>2</v>
      </c>
      <c r="H1285">
        <v>7</v>
      </c>
      <c r="I1285" t="s">
        <v>5581</v>
      </c>
    </row>
    <row r="1286" spans="1:9" x14ac:dyDescent="0.35">
      <c r="A1286">
        <v>1285</v>
      </c>
      <c r="B1286">
        <v>262</v>
      </c>
      <c r="C1286">
        <v>4</v>
      </c>
      <c r="D1286" s="23">
        <v>42837</v>
      </c>
      <c r="E1286" s="23">
        <v>43076</v>
      </c>
      <c r="F1286" s="23">
        <v>43076</v>
      </c>
      <c r="G1286">
        <v>2</v>
      </c>
      <c r="H1286">
        <v>7</v>
      </c>
      <c r="I1286" t="s">
        <v>5581</v>
      </c>
    </row>
    <row r="1287" spans="1:9" x14ac:dyDescent="0.35">
      <c r="A1287">
        <v>1286</v>
      </c>
      <c r="B1287">
        <v>1033</v>
      </c>
      <c r="C1287">
        <v>4</v>
      </c>
      <c r="D1287" s="23">
        <v>42837</v>
      </c>
      <c r="E1287" s="23">
        <v>43076</v>
      </c>
      <c r="F1287" s="23">
        <v>43075</v>
      </c>
      <c r="G1287">
        <v>2</v>
      </c>
      <c r="H1287">
        <v>7</v>
      </c>
      <c r="I1287" t="s">
        <v>5581</v>
      </c>
    </row>
    <row r="1288" spans="1:9" x14ac:dyDescent="0.35">
      <c r="A1288">
        <v>1287</v>
      </c>
      <c r="B1288">
        <v>279</v>
      </c>
      <c r="C1288">
        <v>4</v>
      </c>
      <c r="D1288" s="23">
        <v>42928</v>
      </c>
      <c r="E1288" s="23">
        <v>43079</v>
      </c>
      <c r="F1288" s="23">
        <v>43078</v>
      </c>
      <c r="G1288">
        <v>1</v>
      </c>
      <c r="H1288">
        <v>3</v>
      </c>
      <c r="I1288" t="s">
        <v>5581</v>
      </c>
    </row>
    <row r="1289" spans="1:9" x14ac:dyDescent="0.35">
      <c r="A1289">
        <v>1288</v>
      </c>
      <c r="B1289">
        <v>778</v>
      </c>
      <c r="C1289">
        <v>4</v>
      </c>
      <c r="D1289" s="23">
        <v>42928</v>
      </c>
      <c r="E1289" s="23">
        <v>43079</v>
      </c>
      <c r="F1289" s="23">
        <v>43078</v>
      </c>
      <c r="G1289">
        <v>3</v>
      </c>
      <c r="H1289">
        <v>9</v>
      </c>
      <c r="I1289" t="s">
        <v>5581</v>
      </c>
    </row>
    <row r="1290" spans="1:9" x14ac:dyDescent="0.35">
      <c r="A1290">
        <v>1289</v>
      </c>
      <c r="B1290">
        <v>1292</v>
      </c>
      <c r="C1290">
        <v>4</v>
      </c>
      <c r="D1290" s="23">
        <v>42959</v>
      </c>
      <c r="E1290" s="23">
        <v>43080</v>
      </c>
      <c r="F1290" s="23">
        <v>43079</v>
      </c>
      <c r="G1290">
        <v>1</v>
      </c>
      <c r="H1290">
        <v>3</v>
      </c>
      <c r="I1290" t="s">
        <v>5581</v>
      </c>
    </row>
    <row r="1291" spans="1:9" x14ac:dyDescent="0.35">
      <c r="A1291">
        <v>1290</v>
      </c>
      <c r="B1291">
        <v>967</v>
      </c>
      <c r="C1291">
        <v>4</v>
      </c>
      <c r="D1291" s="23">
        <v>42959</v>
      </c>
      <c r="E1291" s="23">
        <v>43079</v>
      </c>
      <c r="F1291" s="23">
        <v>43079</v>
      </c>
      <c r="G1291">
        <v>2</v>
      </c>
      <c r="H1291">
        <v>6</v>
      </c>
      <c r="I1291" t="s">
        <v>5581</v>
      </c>
    </row>
    <row r="1292" spans="1:9" x14ac:dyDescent="0.35">
      <c r="A1292">
        <v>1291</v>
      </c>
      <c r="B1292">
        <v>1284</v>
      </c>
      <c r="C1292">
        <v>4</v>
      </c>
      <c r="D1292" s="23">
        <v>42990</v>
      </c>
      <c r="E1292" s="23">
        <v>43080</v>
      </c>
      <c r="F1292" s="23">
        <v>43081</v>
      </c>
      <c r="G1292">
        <v>2</v>
      </c>
      <c r="H1292">
        <v>6</v>
      </c>
      <c r="I1292" t="s">
        <v>5581</v>
      </c>
    </row>
    <row r="1293" spans="1:9" x14ac:dyDescent="0.35">
      <c r="A1293">
        <v>1292</v>
      </c>
      <c r="B1293">
        <v>285</v>
      </c>
      <c r="C1293">
        <v>4</v>
      </c>
      <c r="D1293" s="23">
        <v>43020</v>
      </c>
      <c r="E1293" s="23">
        <v>43082</v>
      </c>
      <c r="F1293" s="23">
        <v>43080</v>
      </c>
      <c r="G1293">
        <v>2</v>
      </c>
      <c r="H1293">
        <v>6</v>
      </c>
      <c r="I1293" t="s">
        <v>5581</v>
      </c>
    </row>
    <row r="1294" spans="1:9" x14ac:dyDescent="0.35">
      <c r="A1294">
        <v>1293</v>
      </c>
      <c r="B1294">
        <v>1401</v>
      </c>
      <c r="C1294">
        <v>4</v>
      </c>
      <c r="D1294" s="23">
        <v>43020</v>
      </c>
      <c r="E1294" s="23">
        <v>43081</v>
      </c>
      <c r="F1294" s="23">
        <v>43080</v>
      </c>
      <c r="G1294">
        <v>2</v>
      </c>
      <c r="H1294">
        <v>7</v>
      </c>
      <c r="I1294" t="s">
        <v>5581</v>
      </c>
    </row>
    <row r="1295" spans="1:9" x14ac:dyDescent="0.35">
      <c r="A1295">
        <v>1294</v>
      </c>
      <c r="B1295">
        <v>947</v>
      </c>
      <c r="C1295">
        <v>4</v>
      </c>
      <c r="D1295" s="23">
        <v>43051</v>
      </c>
      <c r="E1295" s="23">
        <v>43082</v>
      </c>
      <c r="F1295" s="23">
        <v>43083</v>
      </c>
      <c r="G1295">
        <v>1</v>
      </c>
      <c r="H1295">
        <v>2</v>
      </c>
      <c r="I1295" t="s">
        <v>5581</v>
      </c>
    </row>
    <row r="1296" spans="1:9" x14ac:dyDescent="0.35">
      <c r="A1296">
        <v>1295</v>
      </c>
      <c r="B1296">
        <v>37</v>
      </c>
      <c r="C1296">
        <v>4</v>
      </c>
      <c r="D1296" s="23">
        <v>43051</v>
      </c>
      <c r="E1296" s="23">
        <v>43081</v>
      </c>
      <c r="F1296" s="23">
        <v>43083</v>
      </c>
      <c r="G1296">
        <v>2</v>
      </c>
      <c r="H1296">
        <v>7</v>
      </c>
      <c r="I1296" t="s">
        <v>5581</v>
      </c>
    </row>
    <row r="1297" spans="1:9" x14ac:dyDescent="0.35">
      <c r="A1297">
        <v>1296</v>
      </c>
      <c r="B1297">
        <v>231</v>
      </c>
      <c r="C1297">
        <v>4</v>
      </c>
      <c r="D1297" t="s">
        <v>5943</v>
      </c>
      <c r="E1297" s="23">
        <v>43086</v>
      </c>
      <c r="F1297" s="23">
        <v>43084</v>
      </c>
      <c r="G1297">
        <v>1</v>
      </c>
      <c r="H1297">
        <v>3</v>
      </c>
      <c r="I1297" t="s">
        <v>5581</v>
      </c>
    </row>
    <row r="1298" spans="1:9" x14ac:dyDescent="0.35">
      <c r="A1298">
        <v>1297</v>
      </c>
      <c r="B1298">
        <v>108</v>
      </c>
      <c r="C1298">
        <v>4</v>
      </c>
      <c r="D1298" t="s">
        <v>5943</v>
      </c>
      <c r="E1298" s="23">
        <v>43086</v>
      </c>
      <c r="F1298" s="23">
        <v>43085</v>
      </c>
      <c r="G1298">
        <v>2</v>
      </c>
      <c r="H1298">
        <v>6</v>
      </c>
      <c r="I1298" t="s">
        <v>5581</v>
      </c>
    </row>
    <row r="1299" spans="1:9" x14ac:dyDescent="0.35">
      <c r="A1299">
        <v>1298</v>
      </c>
      <c r="B1299">
        <v>533</v>
      </c>
      <c r="C1299">
        <v>4</v>
      </c>
      <c r="D1299" t="s">
        <v>5943</v>
      </c>
      <c r="E1299" s="23">
        <v>43086</v>
      </c>
      <c r="F1299" s="23">
        <v>43085</v>
      </c>
      <c r="G1299">
        <v>3</v>
      </c>
      <c r="H1299">
        <v>9</v>
      </c>
      <c r="I1299" t="s">
        <v>5581</v>
      </c>
    </row>
    <row r="1300" spans="1:9" x14ac:dyDescent="0.35">
      <c r="A1300">
        <v>1299</v>
      </c>
      <c r="B1300">
        <v>1216</v>
      </c>
      <c r="C1300">
        <v>4</v>
      </c>
      <c r="D1300" t="s">
        <v>5944</v>
      </c>
      <c r="E1300" s="23">
        <v>43087</v>
      </c>
      <c r="F1300" s="23">
        <v>43085</v>
      </c>
      <c r="G1300">
        <v>1</v>
      </c>
      <c r="H1300">
        <v>2</v>
      </c>
      <c r="I1300" t="s">
        <v>5581</v>
      </c>
    </row>
    <row r="1301" spans="1:9" x14ac:dyDescent="0.35">
      <c r="A1301">
        <v>1300</v>
      </c>
      <c r="B1301">
        <v>824</v>
      </c>
      <c r="C1301">
        <v>4</v>
      </c>
      <c r="D1301" t="s">
        <v>5944</v>
      </c>
      <c r="E1301" s="23">
        <v>43086</v>
      </c>
      <c r="F1301" s="23">
        <v>43086</v>
      </c>
      <c r="G1301">
        <v>2</v>
      </c>
      <c r="H1301">
        <v>6</v>
      </c>
      <c r="I1301" t="s">
        <v>5581</v>
      </c>
    </row>
    <row r="1302" spans="1:9" x14ac:dyDescent="0.35">
      <c r="A1302">
        <v>1301</v>
      </c>
      <c r="B1302">
        <v>1088</v>
      </c>
      <c r="C1302">
        <v>4</v>
      </c>
      <c r="D1302" t="s">
        <v>5945</v>
      </c>
      <c r="E1302" s="23">
        <v>43088</v>
      </c>
      <c r="F1302" s="23">
        <v>43088</v>
      </c>
      <c r="G1302">
        <v>1</v>
      </c>
      <c r="H1302">
        <v>3</v>
      </c>
      <c r="I1302" t="s">
        <v>5581</v>
      </c>
    </row>
    <row r="1303" spans="1:9" x14ac:dyDescent="0.35">
      <c r="A1303">
        <v>1302</v>
      </c>
      <c r="B1303">
        <v>322</v>
      </c>
      <c r="C1303">
        <v>4</v>
      </c>
      <c r="D1303" t="s">
        <v>5945</v>
      </c>
      <c r="E1303" s="23">
        <v>43087</v>
      </c>
      <c r="F1303" s="23">
        <v>43088</v>
      </c>
      <c r="G1303">
        <v>2</v>
      </c>
      <c r="H1303">
        <v>7</v>
      </c>
      <c r="I1303" t="s">
        <v>5581</v>
      </c>
    </row>
    <row r="1304" spans="1:9" x14ac:dyDescent="0.35">
      <c r="A1304">
        <v>1303</v>
      </c>
      <c r="B1304">
        <v>878</v>
      </c>
      <c r="C1304">
        <v>4</v>
      </c>
      <c r="D1304" t="s">
        <v>5945</v>
      </c>
      <c r="E1304" s="23">
        <v>43088</v>
      </c>
      <c r="F1304" s="23">
        <v>43087</v>
      </c>
      <c r="G1304">
        <v>2</v>
      </c>
      <c r="H1304">
        <v>7</v>
      </c>
      <c r="I1304" t="s">
        <v>5581</v>
      </c>
    </row>
    <row r="1305" spans="1:9" x14ac:dyDescent="0.35">
      <c r="A1305">
        <v>1304</v>
      </c>
      <c r="B1305">
        <v>1409</v>
      </c>
      <c r="C1305">
        <v>4</v>
      </c>
      <c r="D1305" t="s">
        <v>5945</v>
      </c>
      <c r="E1305" s="23">
        <v>43086</v>
      </c>
      <c r="F1305" s="23">
        <v>43086</v>
      </c>
      <c r="G1305">
        <v>2</v>
      </c>
      <c r="H1305">
        <v>6</v>
      </c>
      <c r="I1305" t="s">
        <v>5581</v>
      </c>
    </row>
    <row r="1306" spans="1:9" x14ac:dyDescent="0.35">
      <c r="A1306">
        <v>1305</v>
      </c>
      <c r="B1306">
        <v>257</v>
      </c>
      <c r="C1306">
        <v>4</v>
      </c>
      <c r="D1306" t="s">
        <v>5946</v>
      </c>
      <c r="E1306" s="23">
        <v>43088</v>
      </c>
      <c r="F1306" s="23">
        <v>43087</v>
      </c>
      <c r="G1306">
        <v>2</v>
      </c>
      <c r="H1306">
        <v>7</v>
      </c>
      <c r="I1306" t="s">
        <v>5581</v>
      </c>
    </row>
    <row r="1307" spans="1:9" x14ac:dyDescent="0.35">
      <c r="A1307">
        <v>1306</v>
      </c>
      <c r="B1307">
        <v>28</v>
      </c>
      <c r="C1307">
        <v>4</v>
      </c>
      <c r="D1307" t="s">
        <v>5947</v>
      </c>
      <c r="E1307" s="23">
        <v>43090</v>
      </c>
      <c r="F1307" s="23">
        <v>43091</v>
      </c>
      <c r="G1307">
        <v>2</v>
      </c>
      <c r="H1307">
        <v>6</v>
      </c>
      <c r="I1307" t="s">
        <v>5581</v>
      </c>
    </row>
    <row r="1308" spans="1:9" x14ac:dyDescent="0.35">
      <c r="A1308">
        <v>1307</v>
      </c>
      <c r="B1308">
        <v>1384</v>
      </c>
      <c r="C1308">
        <v>4</v>
      </c>
      <c r="D1308" t="s">
        <v>5948</v>
      </c>
      <c r="E1308" s="23">
        <v>43092</v>
      </c>
      <c r="F1308" s="23">
        <v>43094</v>
      </c>
      <c r="G1308">
        <v>1</v>
      </c>
      <c r="H1308">
        <v>2</v>
      </c>
      <c r="I1308" t="s">
        <v>5581</v>
      </c>
    </row>
    <row r="1309" spans="1:9" x14ac:dyDescent="0.35">
      <c r="A1309">
        <v>1308</v>
      </c>
      <c r="B1309">
        <v>713</v>
      </c>
      <c r="C1309">
        <v>4</v>
      </c>
      <c r="D1309" t="s">
        <v>5948</v>
      </c>
      <c r="E1309" s="23">
        <v>43093</v>
      </c>
      <c r="F1309" s="23">
        <v>43093</v>
      </c>
      <c r="G1309">
        <v>2</v>
      </c>
      <c r="H1309">
        <v>7</v>
      </c>
      <c r="I1309" t="s">
        <v>5581</v>
      </c>
    </row>
    <row r="1310" spans="1:9" x14ac:dyDescent="0.35">
      <c r="A1310">
        <v>1309</v>
      </c>
      <c r="B1310">
        <v>821</v>
      </c>
      <c r="C1310">
        <v>4</v>
      </c>
      <c r="D1310" t="s">
        <v>5948</v>
      </c>
      <c r="E1310" s="23">
        <v>43094</v>
      </c>
      <c r="F1310" s="23">
        <v>43093</v>
      </c>
      <c r="G1310">
        <v>2</v>
      </c>
      <c r="H1310">
        <v>6</v>
      </c>
      <c r="I1310" t="s">
        <v>5581</v>
      </c>
    </row>
    <row r="1311" spans="1:9" x14ac:dyDescent="0.35">
      <c r="A1311">
        <v>1310</v>
      </c>
      <c r="B1311">
        <v>444</v>
      </c>
      <c r="C1311">
        <v>4</v>
      </c>
      <c r="D1311" t="s">
        <v>5949</v>
      </c>
      <c r="E1311" s="23">
        <v>43094</v>
      </c>
      <c r="F1311" s="23">
        <v>43095</v>
      </c>
      <c r="G1311">
        <v>1</v>
      </c>
      <c r="H1311">
        <v>3</v>
      </c>
      <c r="I1311" t="s">
        <v>5581</v>
      </c>
    </row>
    <row r="1312" spans="1:9" x14ac:dyDescent="0.35">
      <c r="A1312">
        <v>1311</v>
      </c>
      <c r="B1312">
        <v>1021</v>
      </c>
      <c r="C1312">
        <v>4</v>
      </c>
      <c r="D1312" t="s">
        <v>5949</v>
      </c>
      <c r="E1312" s="23">
        <v>43095</v>
      </c>
      <c r="F1312" s="23">
        <v>43096</v>
      </c>
      <c r="G1312">
        <v>2</v>
      </c>
      <c r="H1312">
        <v>6</v>
      </c>
      <c r="I1312" t="s">
        <v>5581</v>
      </c>
    </row>
    <row r="1313" spans="1:9" x14ac:dyDescent="0.35">
      <c r="A1313">
        <v>1312</v>
      </c>
      <c r="B1313">
        <v>311</v>
      </c>
      <c r="C1313">
        <v>4</v>
      </c>
      <c r="D1313" t="s">
        <v>5950</v>
      </c>
      <c r="E1313" s="23">
        <v>43097</v>
      </c>
      <c r="F1313" s="23">
        <v>43095</v>
      </c>
      <c r="G1313">
        <v>1</v>
      </c>
      <c r="H1313">
        <v>3</v>
      </c>
      <c r="I1313" t="s">
        <v>5581</v>
      </c>
    </row>
    <row r="1314" spans="1:9" x14ac:dyDescent="0.35">
      <c r="A1314">
        <v>1313</v>
      </c>
      <c r="B1314">
        <v>1294</v>
      </c>
      <c r="C1314">
        <v>4</v>
      </c>
      <c r="D1314" t="s">
        <v>5950</v>
      </c>
      <c r="E1314" s="23">
        <v>43096</v>
      </c>
      <c r="F1314" s="23">
        <v>43096</v>
      </c>
      <c r="G1314">
        <v>1</v>
      </c>
      <c r="H1314">
        <v>3</v>
      </c>
      <c r="I1314" t="s">
        <v>5581</v>
      </c>
    </row>
    <row r="1315" spans="1:9" x14ac:dyDescent="0.35">
      <c r="A1315">
        <v>1314</v>
      </c>
      <c r="B1315">
        <v>1027</v>
      </c>
      <c r="C1315">
        <v>4</v>
      </c>
      <c r="D1315" t="s">
        <v>5950</v>
      </c>
      <c r="E1315" s="23">
        <v>43095</v>
      </c>
      <c r="F1315" s="23">
        <v>43097</v>
      </c>
      <c r="G1315">
        <v>2</v>
      </c>
      <c r="H1315">
        <v>7</v>
      </c>
      <c r="I1315" t="s">
        <v>5581</v>
      </c>
    </row>
    <row r="1316" spans="1:9" x14ac:dyDescent="0.35">
      <c r="A1316">
        <v>1315</v>
      </c>
      <c r="B1316">
        <v>931</v>
      </c>
      <c r="C1316">
        <v>4</v>
      </c>
      <c r="D1316" t="s">
        <v>5950</v>
      </c>
      <c r="E1316" s="23">
        <v>43096</v>
      </c>
      <c r="F1316" s="23">
        <v>43097</v>
      </c>
      <c r="G1316">
        <v>3</v>
      </c>
      <c r="H1316">
        <v>9</v>
      </c>
      <c r="I1316" t="s">
        <v>5581</v>
      </c>
    </row>
    <row r="1317" spans="1:9" x14ac:dyDescent="0.35">
      <c r="A1317">
        <v>1316</v>
      </c>
      <c r="B1317">
        <v>846</v>
      </c>
      <c r="C1317">
        <v>4</v>
      </c>
      <c r="D1317" t="s">
        <v>5951</v>
      </c>
      <c r="E1317" s="23">
        <v>43098</v>
      </c>
      <c r="F1317" s="23">
        <v>43096</v>
      </c>
      <c r="G1317">
        <v>1</v>
      </c>
      <c r="H1317">
        <v>3</v>
      </c>
      <c r="I1317" t="s">
        <v>5581</v>
      </c>
    </row>
    <row r="1318" spans="1:9" x14ac:dyDescent="0.35">
      <c r="A1318">
        <v>1317</v>
      </c>
      <c r="B1318">
        <v>418</v>
      </c>
      <c r="C1318">
        <v>4</v>
      </c>
      <c r="D1318" t="s">
        <v>5952</v>
      </c>
      <c r="E1318" s="23">
        <v>43097</v>
      </c>
      <c r="F1318" s="23">
        <v>43098</v>
      </c>
      <c r="G1318">
        <v>1</v>
      </c>
      <c r="H1318">
        <v>3</v>
      </c>
      <c r="I1318" t="s">
        <v>5581</v>
      </c>
    </row>
    <row r="1319" spans="1:9" x14ac:dyDescent="0.35">
      <c r="A1319">
        <v>1318</v>
      </c>
      <c r="B1319">
        <v>75</v>
      </c>
      <c r="C1319">
        <v>4</v>
      </c>
      <c r="D1319" t="s">
        <v>5952</v>
      </c>
      <c r="E1319" s="23">
        <v>43099</v>
      </c>
      <c r="F1319" s="23">
        <v>43098</v>
      </c>
      <c r="G1319">
        <v>2</v>
      </c>
      <c r="H1319">
        <v>6</v>
      </c>
      <c r="I1319" t="s">
        <v>5581</v>
      </c>
    </row>
    <row r="1320" spans="1:9" x14ac:dyDescent="0.35">
      <c r="A1320">
        <v>1319</v>
      </c>
      <c r="B1320">
        <v>604</v>
      </c>
      <c r="C1320">
        <v>4</v>
      </c>
      <c r="D1320" t="s">
        <v>5952</v>
      </c>
      <c r="E1320" s="23">
        <v>43099</v>
      </c>
      <c r="F1320" s="23">
        <v>43099</v>
      </c>
      <c r="G1320">
        <v>2</v>
      </c>
      <c r="H1320">
        <v>6</v>
      </c>
      <c r="I1320" t="s">
        <v>5581</v>
      </c>
    </row>
    <row r="1321" spans="1:9" x14ac:dyDescent="0.35">
      <c r="A1321">
        <v>1320</v>
      </c>
      <c r="B1321">
        <v>244</v>
      </c>
      <c r="C1321">
        <v>4</v>
      </c>
      <c r="D1321" t="s">
        <v>5953</v>
      </c>
      <c r="E1321" s="23">
        <v>43099</v>
      </c>
      <c r="F1321" s="23">
        <v>43098</v>
      </c>
      <c r="G1321">
        <v>1</v>
      </c>
      <c r="H1321">
        <v>3</v>
      </c>
      <c r="I1321" t="s">
        <v>5581</v>
      </c>
    </row>
    <row r="1322" spans="1:9" x14ac:dyDescent="0.35">
      <c r="A1322">
        <v>1321</v>
      </c>
      <c r="B1322">
        <v>217</v>
      </c>
      <c r="C1322">
        <v>4</v>
      </c>
      <c r="D1322" t="s">
        <v>5954</v>
      </c>
      <c r="E1322" s="23">
        <v>43100</v>
      </c>
      <c r="F1322" s="23">
        <v>43100</v>
      </c>
      <c r="G1322">
        <v>1</v>
      </c>
      <c r="H1322">
        <v>3</v>
      </c>
      <c r="I1322" t="s">
        <v>5581</v>
      </c>
    </row>
    <row r="1323" spans="1:9" x14ac:dyDescent="0.35">
      <c r="A1323">
        <v>1322</v>
      </c>
      <c r="B1323">
        <v>39</v>
      </c>
      <c r="C1323">
        <v>4</v>
      </c>
      <c r="D1323" t="s">
        <v>5955</v>
      </c>
      <c r="E1323" s="23">
        <v>43103</v>
      </c>
      <c r="F1323" s="23">
        <v>43102</v>
      </c>
      <c r="G1323">
        <v>2</v>
      </c>
      <c r="H1323">
        <v>7</v>
      </c>
      <c r="I1323" t="s">
        <v>5581</v>
      </c>
    </row>
    <row r="1324" spans="1:9" x14ac:dyDescent="0.35">
      <c r="A1324">
        <v>1323</v>
      </c>
      <c r="B1324">
        <v>273</v>
      </c>
      <c r="C1324">
        <v>4</v>
      </c>
      <c r="D1324" t="s">
        <v>5955</v>
      </c>
      <c r="E1324" s="23">
        <v>43101</v>
      </c>
      <c r="F1324" s="23">
        <v>43101</v>
      </c>
      <c r="G1324">
        <v>2</v>
      </c>
      <c r="H1324">
        <v>6</v>
      </c>
      <c r="I1324" t="s">
        <v>5581</v>
      </c>
    </row>
    <row r="1325" spans="1:9" x14ac:dyDescent="0.35">
      <c r="A1325">
        <v>1324</v>
      </c>
      <c r="B1325">
        <v>862</v>
      </c>
      <c r="C1325">
        <v>4</v>
      </c>
      <c r="D1325" s="23">
        <v>43101</v>
      </c>
      <c r="E1325" s="23">
        <v>43104</v>
      </c>
      <c r="F1325" s="23">
        <v>43103</v>
      </c>
      <c r="G1325">
        <v>2</v>
      </c>
      <c r="H1325">
        <v>6</v>
      </c>
      <c r="I1325" t="s">
        <v>5581</v>
      </c>
    </row>
    <row r="1326" spans="1:9" x14ac:dyDescent="0.35">
      <c r="A1326">
        <v>1325</v>
      </c>
      <c r="B1326">
        <v>68</v>
      </c>
      <c r="C1326">
        <v>4</v>
      </c>
      <c r="D1326" s="23">
        <v>43101</v>
      </c>
      <c r="E1326" s="23">
        <v>43102</v>
      </c>
      <c r="F1326" s="23">
        <v>43103</v>
      </c>
      <c r="G1326">
        <v>3</v>
      </c>
      <c r="H1326">
        <v>8</v>
      </c>
      <c r="I1326" t="s">
        <v>5581</v>
      </c>
    </row>
    <row r="1327" spans="1:9" x14ac:dyDescent="0.35">
      <c r="A1327">
        <v>1326</v>
      </c>
      <c r="B1327">
        <v>567</v>
      </c>
      <c r="C1327">
        <v>4</v>
      </c>
      <c r="D1327" s="23">
        <v>43101</v>
      </c>
      <c r="E1327" s="23">
        <v>43103</v>
      </c>
      <c r="F1327" s="23">
        <v>43102</v>
      </c>
      <c r="G1327">
        <v>3</v>
      </c>
      <c r="H1327">
        <v>9</v>
      </c>
      <c r="I1327" t="s">
        <v>5581</v>
      </c>
    </row>
    <row r="1328" spans="1:9" x14ac:dyDescent="0.35">
      <c r="A1328">
        <v>1327</v>
      </c>
      <c r="B1328">
        <v>1026</v>
      </c>
      <c r="C1328">
        <v>4</v>
      </c>
      <c r="D1328" s="23">
        <v>43132</v>
      </c>
      <c r="E1328" s="23">
        <v>43103</v>
      </c>
      <c r="F1328" s="23">
        <v>43105</v>
      </c>
      <c r="G1328">
        <v>2</v>
      </c>
      <c r="H1328">
        <v>6</v>
      </c>
      <c r="I1328" t="s">
        <v>5581</v>
      </c>
    </row>
    <row r="1329" spans="1:9" x14ac:dyDescent="0.35">
      <c r="A1329">
        <v>1328</v>
      </c>
      <c r="B1329">
        <v>1083</v>
      </c>
      <c r="C1329">
        <v>4</v>
      </c>
      <c r="D1329" s="23">
        <v>43132</v>
      </c>
      <c r="E1329" s="23">
        <v>43103</v>
      </c>
      <c r="F1329" s="23">
        <v>43103</v>
      </c>
      <c r="G1329">
        <v>2</v>
      </c>
      <c r="H1329">
        <v>6</v>
      </c>
      <c r="I1329" t="s">
        <v>5581</v>
      </c>
    </row>
    <row r="1330" spans="1:9" x14ac:dyDescent="0.35">
      <c r="A1330">
        <v>1329</v>
      </c>
      <c r="B1330">
        <v>443</v>
      </c>
      <c r="C1330">
        <v>4</v>
      </c>
      <c r="D1330" s="23">
        <v>43191</v>
      </c>
      <c r="E1330" s="23">
        <v>43105</v>
      </c>
      <c r="F1330" s="23">
        <v>43106</v>
      </c>
      <c r="G1330">
        <v>1</v>
      </c>
      <c r="H1330">
        <v>3</v>
      </c>
      <c r="I1330" t="s">
        <v>5581</v>
      </c>
    </row>
    <row r="1331" spans="1:9" x14ac:dyDescent="0.35">
      <c r="A1331">
        <v>1330</v>
      </c>
      <c r="B1331">
        <v>761</v>
      </c>
      <c r="C1331">
        <v>4</v>
      </c>
      <c r="D1331" s="23">
        <v>43191</v>
      </c>
      <c r="E1331" s="23">
        <v>43105</v>
      </c>
      <c r="F1331" s="23">
        <v>43107</v>
      </c>
      <c r="G1331">
        <v>2</v>
      </c>
      <c r="H1331">
        <v>7</v>
      </c>
      <c r="I1331" t="s">
        <v>5581</v>
      </c>
    </row>
    <row r="1332" spans="1:9" x14ac:dyDescent="0.35">
      <c r="A1332">
        <v>1331</v>
      </c>
      <c r="B1332">
        <v>1122</v>
      </c>
      <c r="C1332">
        <v>4</v>
      </c>
      <c r="D1332" s="23">
        <v>43221</v>
      </c>
      <c r="E1332" s="23">
        <v>43106</v>
      </c>
      <c r="F1332" s="23">
        <v>43108</v>
      </c>
      <c r="G1332">
        <v>2</v>
      </c>
      <c r="H1332">
        <v>6</v>
      </c>
      <c r="I1332" t="s">
        <v>5581</v>
      </c>
    </row>
    <row r="1333" spans="1:9" x14ac:dyDescent="0.35">
      <c r="A1333">
        <v>1332</v>
      </c>
      <c r="B1333">
        <v>256</v>
      </c>
      <c r="C1333">
        <v>4</v>
      </c>
      <c r="D1333" s="23">
        <v>43252</v>
      </c>
      <c r="E1333" s="23">
        <v>43107</v>
      </c>
      <c r="F1333" s="23">
        <v>43109</v>
      </c>
      <c r="G1333">
        <v>2</v>
      </c>
      <c r="H1333">
        <v>7</v>
      </c>
      <c r="I1333" t="s">
        <v>5581</v>
      </c>
    </row>
    <row r="1334" spans="1:9" x14ac:dyDescent="0.35">
      <c r="A1334">
        <v>1333</v>
      </c>
      <c r="B1334">
        <v>203</v>
      </c>
      <c r="C1334">
        <v>4</v>
      </c>
      <c r="D1334" s="23">
        <v>43252</v>
      </c>
      <c r="E1334" s="23">
        <v>43107</v>
      </c>
      <c r="F1334" s="23">
        <v>43107</v>
      </c>
      <c r="G1334">
        <v>3</v>
      </c>
      <c r="H1334">
        <v>8</v>
      </c>
      <c r="I1334" t="s">
        <v>5581</v>
      </c>
    </row>
    <row r="1335" spans="1:9" x14ac:dyDescent="0.35">
      <c r="A1335">
        <v>1334</v>
      </c>
      <c r="B1335">
        <v>425</v>
      </c>
      <c r="C1335">
        <v>4</v>
      </c>
      <c r="D1335" s="23">
        <v>43282</v>
      </c>
      <c r="E1335" s="23">
        <v>43109</v>
      </c>
      <c r="F1335" s="23">
        <v>43110</v>
      </c>
      <c r="G1335">
        <v>2</v>
      </c>
      <c r="H1335">
        <v>6</v>
      </c>
      <c r="I1335" t="s">
        <v>5581</v>
      </c>
    </row>
    <row r="1336" spans="1:9" x14ac:dyDescent="0.35">
      <c r="A1336">
        <v>1335</v>
      </c>
      <c r="B1336">
        <v>955</v>
      </c>
      <c r="C1336">
        <v>4</v>
      </c>
      <c r="D1336" s="23">
        <v>43282</v>
      </c>
      <c r="E1336" s="23">
        <v>43108</v>
      </c>
      <c r="F1336" s="23">
        <v>43108</v>
      </c>
      <c r="G1336">
        <v>2</v>
      </c>
      <c r="H1336">
        <v>7</v>
      </c>
      <c r="I1336" t="s">
        <v>5581</v>
      </c>
    </row>
    <row r="1337" spans="1:9" x14ac:dyDescent="0.35">
      <c r="A1337">
        <v>1336</v>
      </c>
      <c r="B1337">
        <v>904</v>
      </c>
      <c r="C1337">
        <v>4</v>
      </c>
      <c r="D1337" s="23">
        <v>43344</v>
      </c>
      <c r="E1337" s="23">
        <v>43110</v>
      </c>
      <c r="F1337" s="23">
        <v>43112</v>
      </c>
      <c r="G1337">
        <v>1</v>
      </c>
      <c r="H1337">
        <v>2</v>
      </c>
      <c r="I1337" t="s">
        <v>5581</v>
      </c>
    </row>
    <row r="1338" spans="1:9" x14ac:dyDescent="0.35">
      <c r="A1338">
        <v>1337</v>
      </c>
      <c r="B1338">
        <v>970</v>
      </c>
      <c r="C1338">
        <v>4</v>
      </c>
      <c r="D1338" s="23">
        <v>43344</v>
      </c>
      <c r="E1338" s="23">
        <v>43112</v>
      </c>
      <c r="F1338" s="23">
        <v>43112</v>
      </c>
      <c r="G1338">
        <v>2</v>
      </c>
      <c r="H1338">
        <v>7</v>
      </c>
      <c r="I1338" t="s">
        <v>5581</v>
      </c>
    </row>
    <row r="1339" spans="1:9" x14ac:dyDescent="0.35">
      <c r="A1339">
        <v>1338</v>
      </c>
      <c r="B1339">
        <v>905</v>
      </c>
      <c r="C1339">
        <v>4</v>
      </c>
      <c r="D1339" s="23">
        <v>43374</v>
      </c>
      <c r="E1339" s="23">
        <v>43111</v>
      </c>
      <c r="F1339" s="23">
        <v>43113</v>
      </c>
      <c r="G1339">
        <v>2</v>
      </c>
      <c r="H1339">
        <v>6</v>
      </c>
      <c r="I1339" t="s">
        <v>5581</v>
      </c>
    </row>
    <row r="1340" spans="1:9" x14ac:dyDescent="0.35">
      <c r="A1340">
        <v>1339</v>
      </c>
      <c r="B1340">
        <v>580</v>
      </c>
      <c r="C1340">
        <v>4</v>
      </c>
      <c r="D1340" s="23">
        <v>43405</v>
      </c>
      <c r="E1340" s="23">
        <v>43114</v>
      </c>
      <c r="F1340" s="23">
        <v>43113</v>
      </c>
      <c r="G1340">
        <v>1</v>
      </c>
      <c r="H1340">
        <v>3</v>
      </c>
      <c r="I1340" t="s">
        <v>5581</v>
      </c>
    </row>
    <row r="1341" spans="1:9" x14ac:dyDescent="0.35">
      <c r="A1341">
        <v>1340</v>
      </c>
      <c r="B1341">
        <v>1066</v>
      </c>
      <c r="C1341">
        <v>4</v>
      </c>
      <c r="D1341" s="23">
        <v>43435</v>
      </c>
      <c r="E1341" s="23">
        <v>43113</v>
      </c>
      <c r="F1341" s="23">
        <v>43113</v>
      </c>
      <c r="G1341">
        <v>1</v>
      </c>
      <c r="H1341">
        <v>3</v>
      </c>
      <c r="I1341" t="s">
        <v>5581</v>
      </c>
    </row>
    <row r="1342" spans="1:9" x14ac:dyDescent="0.35">
      <c r="A1342">
        <v>1341</v>
      </c>
      <c r="B1342">
        <v>1258</v>
      </c>
      <c r="C1342">
        <v>4</v>
      </c>
      <c r="D1342" s="23">
        <v>43435</v>
      </c>
      <c r="E1342" s="23">
        <v>43113</v>
      </c>
      <c r="F1342" s="23">
        <v>43114</v>
      </c>
      <c r="G1342">
        <v>2</v>
      </c>
      <c r="H1342">
        <v>7</v>
      </c>
      <c r="I1342" t="s">
        <v>5581</v>
      </c>
    </row>
    <row r="1343" spans="1:9" x14ac:dyDescent="0.35">
      <c r="A1343">
        <v>1342</v>
      </c>
      <c r="B1343">
        <v>1393</v>
      </c>
      <c r="C1343">
        <v>4</v>
      </c>
      <c r="D1343" s="23">
        <v>43435</v>
      </c>
      <c r="E1343" s="23">
        <v>43113</v>
      </c>
      <c r="F1343" s="23">
        <v>43115</v>
      </c>
      <c r="G1343">
        <v>2</v>
      </c>
      <c r="H1343">
        <v>7</v>
      </c>
      <c r="I1343" t="s">
        <v>5581</v>
      </c>
    </row>
    <row r="1344" spans="1:9" x14ac:dyDescent="0.35">
      <c r="A1344">
        <v>1343</v>
      </c>
      <c r="B1344">
        <v>594</v>
      </c>
      <c r="C1344">
        <v>4</v>
      </c>
      <c r="D1344" t="s">
        <v>5956</v>
      </c>
      <c r="E1344" s="23">
        <v>43115</v>
      </c>
      <c r="F1344" s="23">
        <v>43114</v>
      </c>
      <c r="G1344">
        <v>2</v>
      </c>
      <c r="H1344">
        <v>6</v>
      </c>
      <c r="I1344" t="s">
        <v>5581</v>
      </c>
    </row>
    <row r="1345" spans="1:9" x14ac:dyDescent="0.35">
      <c r="A1345">
        <v>1344</v>
      </c>
      <c r="B1345">
        <v>916</v>
      </c>
      <c r="C1345">
        <v>4</v>
      </c>
      <c r="D1345" t="s">
        <v>5956</v>
      </c>
      <c r="E1345" s="23">
        <v>43116</v>
      </c>
      <c r="F1345" s="23">
        <v>43115</v>
      </c>
      <c r="G1345">
        <v>2</v>
      </c>
      <c r="H1345">
        <v>6</v>
      </c>
      <c r="I1345" t="s">
        <v>5581</v>
      </c>
    </row>
    <row r="1346" spans="1:9" x14ac:dyDescent="0.35">
      <c r="A1346">
        <v>1345</v>
      </c>
      <c r="B1346">
        <v>1037</v>
      </c>
      <c r="C1346">
        <v>4</v>
      </c>
      <c r="D1346" t="s">
        <v>5957</v>
      </c>
      <c r="E1346" s="23">
        <v>43115</v>
      </c>
      <c r="F1346" s="23">
        <v>43115</v>
      </c>
      <c r="G1346">
        <v>2</v>
      </c>
      <c r="H1346">
        <v>6</v>
      </c>
      <c r="I1346" t="s">
        <v>5581</v>
      </c>
    </row>
    <row r="1347" spans="1:9" x14ac:dyDescent="0.35">
      <c r="A1347">
        <v>1346</v>
      </c>
      <c r="B1347">
        <v>136</v>
      </c>
      <c r="C1347">
        <v>4</v>
      </c>
      <c r="D1347" t="s">
        <v>5957</v>
      </c>
      <c r="E1347" s="23">
        <v>43115</v>
      </c>
      <c r="F1347" s="23">
        <v>43115</v>
      </c>
      <c r="G1347">
        <v>3</v>
      </c>
      <c r="H1347">
        <v>8</v>
      </c>
      <c r="I1347" t="s">
        <v>5581</v>
      </c>
    </row>
    <row r="1348" spans="1:9" x14ac:dyDescent="0.35">
      <c r="A1348">
        <v>1347</v>
      </c>
      <c r="B1348">
        <v>247</v>
      </c>
      <c r="C1348">
        <v>4</v>
      </c>
      <c r="D1348" t="s">
        <v>5958</v>
      </c>
      <c r="E1348" s="23">
        <v>43118</v>
      </c>
      <c r="F1348" s="23">
        <v>43118</v>
      </c>
      <c r="G1348">
        <v>1</v>
      </c>
      <c r="H1348">
        <v>2</v>
      </c>
      <c r="I1348" t="s">
        <v>5581</v>
      </c>
    </row>
    <row r="1349" spans="1:9" x14ac:dyDescent="0.35">
      <c r="A1349">
        <v>1348</v>
      </c>
      <c r="B1349">
        <v>1214</v>
      </c>
      <c r="C1349">
        <v>4</v>
      </c>
      <c r="D1349" t="s">
        <v>5958</v>
      </c>
      <c r="E1349" s="23">
        <v>43117</v>
      </c>
      <c r="F1349" s="23">
        <v>43117</v>
      </c>
      <c r="G1349">
        <v>1</v>
      </c>
      <c r="H1349">
        <v>2</v>
      </c>
      <c r="I1349" t="s">
        <v>5581</v>
      </c>
    </row>
    <row r="1350" spans="1:9" x14ac:dyDescent="0.35">
      <c r="A1350">
        <v>1349</v>
      </c>
      <c r="B1350">
        <v>464</v>
      </c>
      <c r="C1350">
        <v>4</v>
      </c>
      <c r="D1350" t="s">
        <v>5958</v>
      </c>
      <c r="E1350" s="23">
        <v>43117</v>
      </c>
      <c r="F1350" s="23">
        <v>43116</v>
      </c>
      <c r="G1350">
        <v>2</v>
      </c>
      <c r="H1350">
        <v>6</v>
      </c>
      <c r="I1350" t="s">
        <v>5581</v>
      </c>
    </row>
    <row r="1351" spans="1:9" x14ac:dyDescent="0.35">
      <c r="A1351">
        <v>1350</v>
      </c>
      <c r="B1351">
        <v>637</v>
      </c>
      <c r="C1351">
        <v>4</v>
      </c>
      <c r="D1351" t="s">
        <v>5958</v>
      </c>
      <c r="E1351" s="23">
        <v>43118</v>
      </c>
      <c r="F1351" s="23">
        <v>43117</v>
      </c>
      <c r="G1351">
        <v>2</v>
      </c>
      <c r="H1351">
        <v>7</v>
      </c>
      <c r="I1351" t="s">
        <v>5581</v>
      </c>
    </row>
    <row r="1352" spans="1:9" x14ac:dyDescent="0.35">
      <c r="A1352">
        <v>1351</v>
      </c>
      <c r="B1352">
        <v>1016</v>
      </c>
      <c r="C1352">
        <v>4</v>
      </c>
      <c r="D1352" t="s">
        <v>5959</v>
      </c>
      <c r="E1352" s="23">
        <v>43119</v>
      </c>
      <c r="F1352" s="23">
        <v>43119</v>
      </c>
      <c r="G1352">
        <v>2</v>
      </c>
      <c r="H1352">
        <v>7</v>
      </c>
      <c r="I1352" t="s">
        <v>5581</v>
      </c>
    </row>
    <row r="1353" spans="1:9" x14ac:dyDescent="0.35">
      <c r="A1353">
        <v>1352</v>
      </c>
      <c r="B1353">
        <v>1433</v>
      </c>
      <c r="C1353">
        <v>4</v>
      </c>
      <c r="D1353" t="s">
        <v>5959</v>
      </c>
      <c r="E1353" s="23">
        <v>43118</v>
      </c>
      <c r="F1353" s="23">
        <v>43118</v>
      </c>
      <c r="G1353">
        <v>2</v>
      </c>
      <c r="H1353">
        <v>6</v>
      </c>
      <c r="I1353" t="s">
        <v>5581</v>
      </c>
    </row>
    <row r="1354" spans="1:9" x14ac:dyDescent="0.35">
      <c r="A1354">
        <v>1353</v>
      </c>
      <c r="B1354">
        <v>502</v>
      </c>
      <c r="C1354">
        <v>4</v>
      </c>
      <c r="D1354" t="s">
        <v>5960</v>
      </c>
      <c r="E1354" s="23">
        <v>43119</v>
      </c>
      <c r="F1354" s="23">
        <v>43118</v>
      </c>
      <c r="G1354">
        <v>2</v>
      </c>
      <c r="H1354">
        <v>6</v>
      </c>
      <c r="I1354" t="s">
        <v>5581</v>
      </c>
    </row>
    <row r="1355" spans="1:9" x14ac:dyDescent="0.35">
      <c r="A1355">
        <v>1354</v>
      </c>
      <c r="B1355">
        <v>476</v>
      </c>
      <c r="C1355">
        <v>4</v>
      </c>
      <c r="D1355" t="s">
        <v>5961</v>
      </c>
      <c r="E1355" s="23">
        <v>43120</v>
      </c>
      <c r="F1355" s="23">
        <v>43121</v>
      </c>
      <c r="G1355">
        <v>1</v>
      </c>
      <c r="H1355">
        <v>3</v>
      </c>
      <c r="I1355" t="s">
        <v>5581</v>
      </c>
    </row>
    <row r="1356" spans="1:9" x14ac:dyDescent="0.35">
      <c r="A1356">
        <v>1355</v>
      </c>
      <c r="B1356">
        <v>1010</v>
      </c>
      <c r="C1356">
        <v>4</v>
      </c>
      <c r="D1356" t="s">
        <v>5961</v>
      </c>
      <c r="E1356" s="23">
        <v>43121</v>
      </c>
      <c r="F1356" s="23">
        <v>43120</v>
      </c>
      <c r="G1356">
        <v>2</v>
      </c>
      <c r="H1356">
        <v>7</v>
      </c>
      <c r="I1356" t="s">
        <v>5581</v>
      </c>
    </row>
    <row r="1357" spans="1:9" x14ac:dyDescent="0.35">
      <c r="A1357">
        <v>1356</v>
      </c>
      <c r="B1357">
        <v>1161</v>
      </c>
      <c r="C1357">
        <v>4</v>
      </c>
      <c r="D1357" t="s">
        <v>5961</v>
      </c>
      <c r="E1357" s="23">
        <v>43121</v>
      </c>
      <c r="F1357" s="23">
        <v>43122</v>
      </c>
      <c r="G1357">
        <v>2</v>
      </c>
      <c r="H1357">
        <v>6</v>
      </c>
      <c r="I1357" t="s">
        <v>5581</v>
      </c>
    </row>
    <row r="1358" spans="1:9" x14ac:dyDescent="0.35">
      <c r="A1358">
        <v>1357</v>
      </c>
      <c r="B1358">
        <v>440</v>
      </c>
      <c r="C1358">
        <v>4</v>
      </c>
      <c r="D1358" t="s">
        <v>5962</v>
      </c>
      <c r="E1358" s="23">
        <v>43123</v>
      </c>
      <c r="F1358" s="23">
        <v>43121</v>
      </c>
      <c r="G1358">
        <v>2</v>
      </c>
      <c r="H1358">
        <v>6</v>
      </c>
      <c r="I1358" t="s">
        <v>5581</v>
      </c>
    </row>
    <row r="1359" spans="1:9" x14ac:dyDescent="0.35">
      <c r="A1359">
        <v>1358</v>
      </c>
      <c r="B1359">
        <v>253</v>
      </c>
      <c r="C1359">
        <v>4</v>
      </c>
      <c r="D1359" t="s">
        <v>5963</v>
      </c>
      <c r="E1359" s="23">
        <v>43123</v>
      </c>
      <c r="F1359" s="23">
        <v>43124</v>
      </c>
      <c r="G1359">
        <v>1</v>
      </c>
      <c r="H1359">
        <v>2</v>
      </c>
      <c r="I1359" t="s">
        <v>5581</v>
      </c>
    </row>
    <row r="1360" spans="1:9" x14ac:dyDescent="0.35">
      <c r="A1360">
        <v>1359</v>
      </c>
      <c r="B1360">
        <v>1008</v>
      </c>
      <c r="C1360">
        <v>4</v>
      </c>
      <c r="D1360" t="s">
        <v>5963</v>
      </c>
      <c r="E1360" s="23">
        <v>43122</v>
      </c>
      <c r="F1360" s="23">
        <v>43122</v>
      </c>
      <c r="G1360">
        <v>3</v>
      </c>
      <c r="H1360">
        <v>9</v>
      </c>
      <c r="I1360" t="s">
        <v>5581</v>
      </c>
    </row>
    <row r="1361" spans="1:9" x14ac:dyDescent="0.35">
      <c r="A1361">
        <v>1360</v>
      </c>
      <c r="B1361">
        <v>71</v>
      </c>
      <c r="C1361">
        <v>4</v>
      </c>
      <c r="D1361" t="s">
        <v>5964</v>
      </c>
      <c r="E1361" s="23">
        <v>43125</v>
      </c>
      <c r="F1361" s="23">
        <v>43124</v>
      </c>
      <c r="G1361">
        <v>2</v>
      </c>
      <c r="H1361">
        <v>6</v>
      </c>
      <c r="I1361" t="s">
        <v>5581</v>
      </c>
    </row>
    <row r="1362" spans="1:9" x14ac:dyDescent="0.35">
      <c r="A1362">
        <v>1361</v>
      </c>
      <c r="B1362">
        <v>1084</v>
      </c>
      <c r="C1362">
        <v>4</v>
      </c>
      <c r="D1362" t="s">
        <v>5964</v>
      </c>
      <c r="E1362" s="23">
        <v>43124</v>
      </c>
      <c r="F1362" s="23">
        <v>43123</v>
      </c>
      <c r="G1362">
        <v>2</v>
      </c>
      <c r="H1362">
        <v>7</v>
      </c>
      <c r="I1362" t="s">
        <v>5581</v>
      </c>
    </row>
    <row r="1363" spans="1:9" x14ac:dyDescent="0.35">
      <c r="A1363">
        <v>1362</v>
      </c>
      <c r="B1363">
        <v>310</v>
      </c>
      <c r="C1363">
        <v>4</v>
      </c>
      <c r="D1363" t="s">
        <v>5965</v>
      </c>
      <c r="E1363" s="23">
        <v>43124</v>
      </c>
      <c r="F1363" s="23">
        <v>43125</v>
      </c>
      <c r="G1363">
        <v>2</v>
      </c>
      <c r="H1363">
        <v>6</v>
      </c>
      <c r="I1363" t="s">
        <v>5581</v>
      </c>
    </row>
    <row r="1364" spans="1:9" x14ac:dyDescent="0.35">
      <c r="A1364">
        <v>1363</v>
      </c>
      <c r="B1364">
        <v>860</v>
      </c>
      <c r="C1364">
        <v>4</v>
      </c>
      <c r="D1364" t="s">
        <v>5966</v>
      </c>
      <c r="E1364" s="23">
        <v>43125</v>
      </c>
      <c r="F1364" s="23">
        <v>43125</v>
      </c>
      <c r="G1364">
        <v>2</v>
      </c>
      <c r="H1364">
        <v>6</v>
      </c>
      <c r="I1364" t="s">
        <v>5581</v>
      </c>
    </row>
    <row r="1365" spans="1:9" x14ac:dyDescent="0.35">
      <c r="A1365">
        <v>1364</v>
      </c>
      <c r="B1365">
        <v>122</v>
      </c>
      <c r="C1365">
        <v>4</v>
      </c>
      <c r="D1365" t="s">
        <v>5967</v>
      </c>
      <c r="E1365" s="23">
        <v>43128</v>
      </c>
      <c r="F1365" s="23">
        <v>43128</v>
      </c>
      <c r="G1365">
        <v>2</v>
      </c>
      <c r="H1365">
        <v>6</v>
      </c>
      <c r="I1365" t="s">
        <v>5581</v>
      </c>
    </row>
    <row r="1366" spans="1:9" x14ac:dyDescent="0.35">
      <c r="A1366">
        <v>1365</v>
      </c>
      <c r="B1366">
        <v>689</v>
      </c>
      <c r="C1366">
        <v>4</v>
      </c>
      <c r="D1366" t="s">
        <v>5967</v>
      </c>
      <c r="E1366" s="23">
        <v>43128</v>
      </c>
      <c r="F1366" s="23">
        <v>43127</v>
      </c>
      <c r="G1366">
        <v>2</v>
      </c>
      <c r="H1366">
        <v>7</v>
      </c>
      <c r="I1366" t="s">
        <v>5581</v>
      </c>
    </row>
    <row r="1367" spans="1:9" x14ac:dyDescent="0.35">
      <c r="A1367">
        <v>1366</v>
      </c>
      <c r="B1367">
        <v>1441</v>
      </c>
      <c r="C1367">
        <v>4</v>
      </c>
      <c r="D1367" t="s">
        <v>5968</v>
      </c>
      <c r="E1367" s="23">
        <v>43127</v>
      </c>
      <c r="F1367" s="23">
        <v>43128</v>
      </c>
      <c r="G1367">
        <v>2</v>
      </c>
      <c r="H1367">
        <v>6</v>
      </c>
      <c r="I1367" t="s">
        <v>5581</v>
      </c>
    </row>
    <row r="1368" spans="1:9" x14ac:dyDescent="0.35">
      <c r="A1368">
        <v>1367</v>
      </c>
      <c r="B1368">
        <v>1118</v>
      </c>
      <c r="C1368">
        <v>4</v>
      </c>
      <c r="D1368" t="s">
        <v>5969</v>
      </c>
      <c r="E1368" s="23">
        <v>43128</v>
      </c>
      <c r="F1368" s="23">
        <v>43128</v>
      </c>
      <c r="G1368">
        <v>1</v>
      </c>
      <c r="H1368">
        <v>3</v>
      </c>
      <c r="I1368" t="s">
        <v>5581</v>
      </c>
    </row>
    <row r="1369" spans="1:9" x14ac:dyDescent="0.35">
      <c r="A1369">
        <v>1368</v>
      </c>
      <c r="B1369">
        <v>765</v>
      </c>
      <c r="C1369">
        <v>4</v>
      </c>
      <c r="D1369" t="s">
        <v>5969</v>
      </c>
      <c r="E1369" s="23">
        <v>43128</v>
      </c>
      <c r="F1369" s="23">
        <v>43129</v>
      </c>
      <c r="G1369">
        <v>2</v>
      </c>
      <c r="H1369">
        <v>6</v>
      </c>
      <c r="I1369" t="s">
        <v>5581</v>
      </c>
    </row>
    <row r="1370" spans="1:9" x14ac:dyDescent="0.35">
      <c r="A1370">
        <v>1369</v>
      </c>
      <c r="B1370">
        <v>92</v>
      </c>
      <c r="C1370">
        <v>4</v>
      </c>
      <c r="D1370" t="s">
        <v>5970</v>
      </c>
      <c r="E1370" s="23">
        <v>43130</v>
      </c>
      <c r="F1370" s="23">
        <v>43130</v>
      </c>
      <c r="G1370">
        <v>2</v>
      </c>
      <c r="H1370">
        <v>6</v>
      </c>
      <c r="I1370" t="s">
        <v>5581</v>
      </c>
    </row>
    <row r="1371" spans="1:9" x14ac:dyDescent="0.35">
      <c r="A1371">
        <v>1370</v>
      </c>
      <c r="B1371">
        <v>115</v>
      </c>
      <c r="C1371">
        <v>4</v>
      </c>
      <c r="D1371" t="s">
        <v>5970</v>
      </c>
      <c r="E1371" s="23">
        <v>43129</v>
      </c>
      <c r="F1371" s="23">
        <v>43129</v>
      </c>
      <c r="G1371">
        <v>2</v>
      </c>
      <c r="H1371">
        <v>7</v>
      </c>
      <c r="I1371" t="s">
        <v>5581</v>
      </c>
    </row>
    <row r="1372" spans="1:9" x14ac:dyDescent="0.35">
      <c r="A1372">
        <v>1371</v>
      </c>
      <c r="B1372">
        <v>937</v>
      </c>
      <c r="C1372">
        <v>4</v>
      </c>
      <c r="D1372" t="s">
        <v>5971</v>
      </c>
      <c r="E1372" s="23">
        <v>43130</v>
      </c>
      <c r="F1372" s="23">
        <v>43132</v>
      </c>
      <c r="G1372">
        <v>2</v>
      </c>
      <c r="H1372">
        <v>7</v>
      </c>
      <c r="I1372" t="s">
        <v>5581</v>
      </c>
    </row>
    <row r="1373" spans="1:9" x14ac:dyDescent="0.35">
      <c r="A1373">
        <v>1372</v>
      </c>
      <c r="B1373">
        <v>1013</v>
      </c>
      <c r="C1373">
        <v>4</v>
      </c>
      <c r="D1373" t="s">
        <v>5971</v>
      </c>
      <c r="E1373" s="23">
        <v>43132</v>
      </c>
      <c r="F1373" s="23">
        <v>43130</v>
      </c>
      <c r="G1373">
        <v>2</v>
      </c>
      <c r="H1373">
        <v>6</v>
      </c>
      <c r="I1373" t="s">
        <v>5581</v>
      </c>
    </row>
    <row r="1374" spans="1:9" x14ac:dyDescent="0.35">
      <c r="A1374">
        <v>1373</v>
      </c>
      <c r="B1374">
        <v>427</v>
      </c>
      <c r="C1374">
        <v>4</v>
      </c>
      <c r="D1374" t="s">
        <v>5971</v>
      </c>
      <c r="E1374" s="23">
        <v>43131</v>
      </c>
      <c r="F1374" s="23">
        <v>43131</v>
      </c>
      <c r="G1374">
        <v>3</v>
      </c>
      <c r="H1374">
        <v>9</v>
      </c>
      <c r="I1374" t="s">
        <v>5581</v>
      </c>
    </row>
    <row r="1375" spans="1:9" x14ac:dyDescent="0.35">
      <c r="A1375">
        <v>1374</v>
      </c>
      <c r="B1375">
        <v>1330</v>
      </c>
      <c r="C1375">
        <v>4</v>
      </c>
      <c r="D1375" t="s">
        <v>5972</v>
      </c>
      <c r="E1375" s="23">
        <v>43132</v>
      </c>
      <c r="F1375" s="23">
        <v>43132</v>
      </c>
      <c r="G1375">
        <v>1</v>
      </c>
      <c r="H1375">
        <v>3</v>
      </c>
      <c r="I1375" t="s">
        <v>5581</v>
      </c>
    </row>
    <row r="1376" spans="1:9" x14ac:dyDescent="0.35">
      <c r="A1376">
        <v>1375</v>
      </c>
      <c r="B1376">
        <v>312</v>
      </c>
      <c r="C1376">
        <v>4</v>
      </c>
      <c r="D1376" t="s">
        <v>5972</v>
      </c>
      <c r="E1376" s="23">
        <v>43132</v>
      </c>
      <c r="F1376" s="23">
        <v>43132</v>
      </c>
      <c r="G1376">
        <v>3</v>
      </c>
      <c r="H1376">
        <v>8</v>
      </c>
      <c r="I1376" t="s">
        <v>5581</v>
      </c>
    </row>
    <row r="1377" spans="1:9" x14ac:dyDescent="0.35">
      <c r="A1377">
        <v>1376</v>
      </c>
      <c r="B1377">
        <v>1186</v>
      </c>
      <c r="C1377">
        <v>4</v>
      </c>
      <c r="D1377" s="23">
        <v>43102</v>
      </c>
      <c r="E1377" s="23">
        <v>43133</v>
      </c>
      <c r="F1377" s="23">
        <v>43134</v>
      </c>
      <c r="G1377">
        <v>1</v>
      </c>
      <c r="H1377">
        <v>2</v>
      </c>
      <c r="I1377" t="s">
        <v>5581</v>
      </c>
    </row>
    <row r="1378" spans="1:9" x14ac:dyDescent="0.35">
      <c r="A1378">
        <v>1377</v>
      </c>
      <c r="B1378">
        <v>1007</v>
      </c>
      <c r="C1378">
        <v>4</v>
      </c>
      <c r="D1378" s="23">
        <v>43102</v>
      </c>
      <c r="E1378" s="23">
        <v>43134</v>
      </c>
      <c r="F1378" s="23">
        <v>43134</v>
      </c>
      <c r="G1378">
        <v>2</v>
      </c>
      <c r="H1378">
        <v>7</v>
      </c>
      <c r="I1378" t="s">
        <v>5581</v>
      </c>
    </row>
    <row r="1379" spans="1:9" x14ac:dyDescent="0.35">
      <c r="A1379">
        <v>1378</v>
      </c>
      <c r="B1379">
        <v>983</v>
      </c>
      <c r="C1379">
        <v>4</v>
      </c>
      <c r="D1379" s="23">
        <v>43133</v>
      </c>
      <c r="E1379" s="23">
        <v>43136</v>
      </c>
      <c r="F1379" s="23">
        <v>43135</v>
      </c>
      <c r="G1379">
        <v>1</v>
      </c>
      <c r="H1379">
        <v>2</v>
      </c>
      <c r="I1379" t="s">
        <v>5581</v>
      </c>
    </row>
    <row r="1380" spans="1:9" x14ac:dyDescent="0.35">
      <c r="A1380">
        <v>1379</v>
      </c>
      <c r="B1380">
        <v>1256</v>
      </c>
      <c r="C1380">
        <v>4</v>
      </c>
      <c r="D1380" s="23">
        <v>43133</v>
      </c>
      <c r="E1380" s="23">
        <v>43136</v>
      </c>
      <c r="F1380" s="23">
        <v>43136</v>
      </c>
      <c r="G1380">
        <v>2</v>
      </c>
      <c r="H1380">
        <v>6</v>
      </c>
      <c r="I1380" t="s">
        <v>5581</v>
      </c>
    </row>
    <row r="1381" spans="1:9" x14ac:dyDescent="0.35">
      <c r="A1381">
        <v>1380</v>
      </c>
      <c r="B1381">
        <v>818</v>
      </c>
      <c r="C1381">
        <v>4</v>
      </c>
      <c r="D1381" s="23">
        <v>43222</v>
      </c>
      <c r="E1381" s="23">
        <v>43139</v>
      </c>
      <c r="F1381" s="23">
        <v>43139</v>
      </c>
      <c r="G1381">
        <v>1</v>
      </c>
      <c r="H1381">
        <v>3</v>
      </c>
      <c r="I1381" t="s">
        <v>5581</v>
      </c>
    </row>
    <row r="1382" spans="1:9" x14ac:dyDescent="0.35">
      <c r="A1382">
        <v>1381</v>
      </c>
      <c r="B1382">
        <v>680</v>
      </c>
      <c r="C1382">
        <v>4</v>
      </c>
      <c r="D1382" s="23">
        <v>43222</v>
      </c>
      <c r="E1382" s="23">
        <v>43137</v>
      </c>
      <c r="F1382" s="23">
        <v>43139</v>
      </c>
      <c r="G1382">
        <v>2</v>
      </c>
      <c r="H1382">
        <v>7</v>
      </c>
      <c r="I1382" t="s">
        <v>5581</v>
      </c>
    </row>
    <row r="1383" spans="1:9" x14ac:dyDescent="0.35">
      <c r="A1383">
        <v>1382</v>
      </c>
      <c r="B1383">
        <v>1303</v>
      </c>
      <c r="C1383">
        <v>4</v>
      </c>
      <c r="D1383" s="23">
        <v>43253</v>
      </c>
      <c r="E1383" s="23">
        <v>43140</v>
      </c>
      <c r="F1383" s="23">
        <v>43139</v>
      </c>
      <c r="G1383">
        <v>2</v>
      </c>
      <c r="H1383">
        <v>6</v>
      </c>
      <c r="I1383" t="s">
        <v>5581</v>
      </c>
    </row>
    <row r="1384" spans="1:9" x14ac:dyDescent="0.35">
      <c r="A1384">
        <v>1383</v>
      </c>
      <c r="B1384">
        <v>488</v>
      </c>
      <c r="C1384">
        <v>4</v>
      </c>
      <c r="D1384" s="23">
        <v>43283</v>
      </c>
      <c r="E1384" s="23">
        <v>43139</v>
      </c>
      <c r="F1384" s="23">
        <v>43139</v>
      </c>
      <c r="G1384">
        <v>1</v>
      </c>
      <c r="H1384">
        <v>3</v>
      </c>
      <c r="I1384" t="s">
        <v>5581</v>
      </c>
    </row>
    <row r="1385" spans="1:9" x14ac:dyDescent="0.35">
      <c r="A1385">
        <v>1384</v>
      </c>
      <c r="B1385">
        <v>1126</v>
      </c>
      <c r="C1385">
        <v>4</v>
      </c>
      <c r="D1385" s="23">
        <v>43314</v>
      </c>
      <c r="E1385" s="23">
        <v>43141</v>
      </c>
      <c r="F1385" s="23">
        <v>43140</v>
      </c>
      <c r="G1385">
        <v>2</v>
      </c>
      <c r="H1385">
        <v>7</v>
      </c>
      <c r="I1385" t="s">
        <v>5581</v>
      </c>
    </row>
    <row r="1386" spans="1:9" x14ac:dyDescent="0.35">
      <c r="A1386">
        <v>1385</v>
      </c>
      <c r="B1386">
        <v>866</v>
      </c>
      <c r="C1386">
        <v>4</v>
      </c>
      <c r="D1386" s="23">
        <v>43314</v>
      </c>
      <c r="E1386" s="23">
        <v>43142</v>
      </c>
      <c r="F1386" s="23">
        <v>43140</v>
      </c>
      <c r="G1386">
        <v>3</v>
      </c>
      <c r="H1386">
        <v>9</v>
      </c>
      <c r="I1386" t="s">
        <v>5581</v>
      </c>
    </row>
    <row r="1387" spans="1:9" x14ac:dyDescent="0.35">
      <c r="A1387">
        <v>1386</v>
      </c>
      <c r="B1387">
        <v>1254</v>
      </c>
      <c r="C1387">
        <v>4</v>
      </c>
      <c r="D1387" s="23">
        <v>43345</v>
      </c>
      <c r="E1387" s="23">
        <v>43141</v>
      </c>
      <c r="F1387" s="23">
        <v>43142</v>
      </c>
      <c r="G1387">
        <v>1</v>
      </c>
      <c r="H1387">
        <v>2</v>
      </c>
      <c r="I1387" t="s">
        <v>5581</v>
      </c>
    </row>
    <row r="1388" spans="1:9" x14ac:dyDescent="0.35">
      <c r="A1388">
        <v>1387</v>
      </c>
      <c r="B1388">
        <v>11</v>
      </c>
      <c r="C1388">
        <v>4</v>
      </c>
      <c r="D1388" s="23">
        <v>43345</v>
      </c>
      <c r="E1388" s="23">
        <v>43142</v>
      </c>
      <c r="F1388" s="23">
        <v>43142</v>
      </c>
      <c r="G1388">
        <v>2</v>
      </c>
      <c r="H1388">
        <v>7</v>
      </c>
      <c r="I1388" t="s">
        <v>5581</v>
      </c>
    </row>
    <row r="1389" spans="1:9" x14ac:dyDescent="0.35">
      <c r="A1389">
        <v>1388</v>
      </c>
      <c r="B1389">
        <v>323</v>
      </c>
      <c r="C1389">
        <v>4</v>
      </c>
      <c r="D1389" s="23">
        <v>43345</v>
      </c>
      <c r="E1389" s="23">
        <v>43143</v>
      </c>
      <c r="F1389" s="23">
        <v>43143</v>
      </c>
      <c r="G1389">
        <v>2</v>
      </c>
      <c r="H1389">
        <v>7</v>
      </c>
      <c r="I1389" t="s">
        <v>5581</v>
      </c>
    </row>
    <row r="1390" spans="1:9" x14ac:dyDescent="0.35">
      <c r="A1390">
        <v>1389</v>
      </c>
      <c r="B1390">
        <v>491</v>
      </c>
      <c r="C1390">
        <v>4</v>
      </c>
      <c r="D1390" s="23">
        <v>43406</v>
      </c>
      <c r="E1390" s="23">
        <v>43143</v>
      </c>
      <c r="F1390" s="23">
        <v>43145</v>
      </c>
      <c r="G1390">
        <v>2</v>
      </c>
      <c r="H1390">
        <v>7</v>
      </c>
      <c r="I1390" t="s">
        <v>5581</v>
      </c>
    </row>
    <row r="1391" spans="1:9" x14ac:dyDescent="0.35">
      <c r="A1391">
        <v>1390</v>
      </c>
      <c r="B1391">
        <v>63</v>
      </c>
      <c r="C1391">
        <v>4</v>
      </c>
      <c r="D1391" s="23">
        <v>43436</v>
      </c>
      <c r="E1391" s="23">
        <v>43144</v>
      </c>
      <c r="F1391" s="23">
        <v>43144</v>
      </c>
      <c r="G1391">
        <v>2</v>
      </c>
      <c r="H1391">
        <v>7</v>
      </c>
      <c r="I1391" t="s">
        <v>5581</v>
      </c>
    </row>
    <row r="1392" spans="1:9" x14ac:dyDescent="0.35">
      <c r="A1392">
        <v>1391</v>
      </c>
      <c r="B1392">
        <v>914</v>
      </c>
      <c r="C1392">
        <v>4</v>
      </c>
      <c r="D1392" t="s">
        <v>5973</v>
      </c>
      <c r="E1392" s="23">
        <v>43145</v>
      </c>
      <c r="F1392" s="23">
        <v>43145</v>
      </c>
      <c r="G1392">
        <v>2</v>
      </c>
      <c r="H1392">
        <v>7</v>
      </c>
      <c r="I1392" t="s">
        <v>5581</v>
      </c>
    </row>
    <row r="1393" spans="1:9" x14ac:dyDescent="0.35">
      <c r="A1393">
        <v>1392</v>
      </c>
      <c r="B1393">
        <v>1187</v>
      </c>
      <c r="C1393">
        <v>4</v>
      </c>
      <c r="D1393" t="s">
        <v>5973</v>
      </c>
      <c r="E1393" s="23">
        <v>43145</v>
      </c>
      <c r="F1393" s="23">
        <v>43145</v>
      </c>
      <c r="G1393">
        <v>2</v>
      </c>
      <c r="H1393">
        <v>6</v>
      </c>
      <c r="I1393" t="s">
        <v>5581</v>
      </c>
    </row>
    <row r="1394" spans="1:9" x14ac:dyDescent="0.35">
      <c r="A1394">
        <v>1393</v>
      </c>
      <c r="B1394">
        <v>547</v>
      </c>
      <c r="C1394">
        <v>4</v>
      </c>
      <c r="D1394" t="s">
        <v>5974</v>
      </c>
      <c r="E1394" s="23">
        <v>43146</v>
      </c>
      <c r="F1394" s="23">
        <v>43146</v>
      </c>
      <c r="G1394">
        <v>2</v>
      </c>
      <c r="H1394">
        <v>7</v>
      </c>
      <c r="I1394" t="s">
        <v>5581</v>
      </c>
    </row>
    <row r="1395" spans="1:9" x14ac:dyDescent="0.35">
      <c r="A1395">
        <v>1394</v>
      </c>
      <c r="B1395">
        <v>906</v>
      </c>
      <c r="C1395">
        <v>4</v>
      </c>
      <c r="D1395" t="s">
        <v>5974</v>
      </c>
      <c r="E1395" s="23">
        <v>43147</v>
      </c>
      <c r="F1395" s="23">
        <v>43147</v>
      </c>
      <c r="G1395">
        <v>3</v>
      </c>
      <c r="H1395">
        <v>8</v>
      </c>
      <c r="I1395" t="s">
        <v>5581</v>
      </c>
    </row>
    <row r="1396" spans="1:9" x14ac:dyDescent="0.35">
      <c r="A1396">
        <v>1395</v>
      </c>
      <c r="B1396">
        <v>1052</v>
      </c>
      <c r="C1396">
        <v>4</v>
      </c>
      <c r="D1396" t="s">
        <v>5975</v>
      </c>
      <c r="E1396" s="23">
        <v>43149</v>
      </c>
      <c r="F1396" s="23">
        <v>43147</v>
      </c>
      <c r="G1396">
        <v>1</v>
      </c>
      <c r="H1396">
        <v>3</v>
      </c>
      <c r="I1396" t="s">
        <v>5581</v>
      </c>
    </row>
    <row r="1397" spans="1:9" x14ac:dyDescent="0.35">
      <c r="A1397">
        <v>1396</v>
      </c>
      <c r="B1397">
        <v>856</v>
      </c>
      <c r="C1397">
        <v>4</v>
      </c>
      <c r="D1397" t="s">
        <v>5975</v>
      </c>
      <c r="E1397" s="23">
        <v>43149</v>
      </c>
      <c r="F1397" s="23">
        <v>43147</v>
      </c>
      <c r="G1397">
        <v>2</v>
      </c>
      <c r="H1397">
        <v>7</v>
      </c>
      <c r="I1397" t="s">
        <v>5581</v>
      </c>
    </row>
    <row r="1398" spans="1:9" x14ac:dyDescent="0.35">
      <c r="A1398">
        <v>1397</v>
      </c>
      <c r="B1398">
        <v>920</v>
      </c>
      <c r="C1398">
        <v>4</v>
      </c>
      <c r="D1398" t="s">
        <v>5975</v>
      </c>
      <c r="E1398" s="23">
        <v>43148</v>
      </c>
      <c r="F1398" s="23">
        <v>43147</v>
      </c>
      <c r="G1398">
        <v>2</v>
      </c>
      <c r="H1398">
        <v>6</v>
      </c>
      <c r="I1398" t="s">
        <v>5581</v>
      </c>
    </row>
    <row r="1399" spans="1:9" x14ac:dyDescent="0.35">
      <c r="A1399">
        <v>1398</v>
      </c>
      <c r="B1399">
        <v>1383</v>
      </c>
      <c r="C1399">
        <v>4</v>
      </c>
      <c r="D1399" t="s">
        <v>5976</v>
      </c>
      <c r="E1399" s="23">
        <v>43150</v>
      </c>
      <c r="F1399" s="23">
        <v>43150</v>
      </c>
      <c r="G1399">
        <v>1</v>
      </c>
      <c r="H1399">
        <v>3</v>
      </c>
      <c r="I1399" t="s">
        <v>5581</v>
      </c>
    </row>
    <row r="1400" spans="1:9" x14ac:dyDescent="0.35">
      <c r="A1400">
        <v>1399</v>
      </c>
      <c r="B1400">
        <v>146</v>
      </c>
      <c r="C1400">
        <v>4</v>
      </c>
      <c r="D1400" t="s">
        <v>5976</v>
      </c>
      <c r="E1400" s="23">
        <v>43149</v>
      </c>
      <c r="F1400" s="23">
        <v>43149</v>
      </c>
      <c r="G1400">
        <v>2</v>
      </c>
      <c r="H1400">
        <v>6</v>
      </c>
      <c r="I1400" t="s">
        <v>5581</v>
      </c>
    </row>
    <row r="1401" spans="1:9" x14ac:dyDescent="0.35">
      <c r="A1401">
        <v>1400</v>
      </c>
      <c r="B1401">
        <v>987</v>
      </c>
      <c r="C1401">
        <v>4</v>
      </c>
      <c r="D1401" t="s">
        <v>5977</v>
      </c>
      <c r="E1401" s="23">
        <v>43149</v>
      </c>
      <c r="F1401" s="23">
        <v>43149</v>
      </c>
      <c r="G1401">
        <v>2</v>
      </c>
      <c r="H1401">
        <v>6</v>
      </c>
      <c r="I1401" t="s">
        <v>5581</v>
      </c>
    </row>
    <row r="1402" spans="1:9" x14ac:dyDescent="0.35">
      <c r="A1402">
        <v>1401</v>
      </c>
      <c r="B1402">
        <v>15</v>
      </c>
      <c r="C1402">
        <v>4</v>
      </c>
      <c r="D1402" t="s">
        <v>5978</v>
      </c>
      <c r="E1402" s="23">
        <v>43150</v>
      </c>
      <c r="F1402" s="23">
        <v>43151</v>
      </c>
      <c r="G1402">
        <v>2</v>
      </c>
      <c r="H1402">
        <v>7</v>
      </c>
      <c r="I1402" t="s">
        <v>5581</v>
      </c>
    </row>
    <row r="1403" spans="1:9" x14ac:dyDescent="0.35">
      <c r="A1403">
        <v>1402</v>
      </c>
      <c r="B1403">
        <v>1171</v>
      </c>
      <c r="C1403">
        <v>4</v>
      </c>
      <c r="D1403" t="s">
        <v>5979</v>
      </c>
      <c r="E1403" s="23">
        <v>43152</v>
      </c>
      <c r="F1403" s="23">
        <v>43152</v>
      </c>
      <c r="G1403">
        <v>2</v>
      </c>
      <c r="H1403">
        <v>6</v>
      </c>
      <c r="I1403" t="s">
        <v>5581</v>
      </c>
    </row>
    <row r="1404" spans="1:9" x14ac:dyDescent="0.35">
      <c r="A1404">
        <v>1403</v>
      </c>
      <c r="B1404">
        <v>452</v>
      </c>
      <c r="C1404">
        <v>4</v>
      </c>
      <c r="D1404" t="s">
        <v>5980</v>
      </c>
      <c r="E1404" s="23">
        <v>43153</v>
      </c>
      <c r="F1404" s="23">
        <v>43153</v>
      </c>
      <c r="G1404">
        <v>2</v>
      </c>
      <c r="H1404">
        <v>7</v>
      </c>
      <c r="I1404" t="s">
        <v>5581</v>
      </c>
    </row>
    <row r="1405" spans="1:9" x14ac:dyDescent="0.35">
      <c r="A1405">
        <v>1404</v>
      </c>
      <c r="B1405">
        <v>1240</v>
      </c>
      <c r="C1405">
        <v>4</v>
      </c>
      <c r="D1405" t="s">
        <v>5981</v>
      </c>
      <c r="E1405" s="23">
        <v>43157</v>
      </c>
      <c r="F1405" s="23">
        <v>43155</v>
      </c>
      <c r="G1405">
        <v>1</v>
      </c>
      <c r="H1405">
        <v>3</v>
      </c>
      <c r="I1405" t="s">
        <v>5581</v>
      </c>
    </row>
    <row r="1406" spans="1:9" x14ac:dyDescent="0.35">
      <c r="A1406">
        <v>1405</v>
      </c>
      <c r="B1406">
        <v>100</v>
      </c>
      <c r="C1406">
        <v>4</v>
      </c>
      <c r="D1406" t="s">
        <v>5982</v>
      </c>
      <c r="E1406" s="23">
        <v>43159</v>
      </c>
      <c r="F1406" s="23">
        <v>43158</v>
      </c>
      <c r="G1406">
        <v>2</v>
      </c>
      <c r="H1406">
        <v>6</v>
      </c>
      <c r="I1406" t="s">
        <v>5581</v>
      </c>
    </row>
    <row r="1407" spans="1:9" x14ac:dyDescent="0.35">
      <c r="A1407">
        <v>1406</v>
      </c>
      <c r="B1407">
        <v>1053</v>
      </c>
      <c r="C1407">
        <v>4</v>
      </c>
      <c r="D1407" t="s">
        <v>5982</v>
      </c>
      <c r="E1407" s="23">
        <v>43158</v>
      </c>
      <c r="F1407" s="23">
        <v>43158</v>
      </c>
      <c r="G1407">
        <v>2</v>
      </c>
      <c r="H1407">
        <v>7</v>
      </c>
      <c r="I1407" t="s">
        <v>5581</v>
      </c>
    </row>
    <row r="1408" spans="1:9" x14ac:dyDescent="0.35">
      <c r="A1408">
        <v>1407</v>
      </c>
      <c r="B1408">
        <v>18</v>
      </c>
      <c r="C1408">
        <v>3</v>
      </c>
      <c r="D1408" t="s">
        <v>5983</v>
      </c>
      <c r="E1408" s="23">
        <v>43157</v>
      </c>
      <c r="F1408" t="s">
        <v>5597</v>
      </c>
      <c r="G1408">
        <v>2</v>
      </c>
      <c r="H1408">
        <v>6</v>
      </c>
      <c r="I1408" t="s">
        <v>5598</v>
      </c>
    </row>
    <row r="1409" spans="1:9" x14ac:dyDescent="0.35">
      <c r="A1409">
        <v>1408</v>
      </c>
      <c r="B1409">
        <v>1172</v>
      </c>
      <c r="C1409">
        <v>4</v>
      </c>
      <c r="D1409" t="s">
        <v>5983</v>
      </c>
      <c r="E1409" s="23">
        <v>43158</v>
      </c>
      <c r="F1409" s="23">
        <v>43160</v>
      </c>
      <c r="G1409">
        <v>2</v>
      </c>
      <c r="H1409">
        <v>6</v>
      </c>
      <c r="I1409" t="s">
        <v>5581</v>
      </c>
    </row>
    <row r="1410" spans="1:9" x14ac:dyDescent="0.35">
      <c r="A1410">
        <v>1409</v>
      </c>
      <c r="B1410">
        <v>21</v>
      </c>
      <c r="C1410">
        <v>4</v>
      </c>
      <c r="D1410" t="s">
        <v>5983</v>
      </c>
      <c r="E1410" s="23">
        <v>43159</v>
      </c>
      <c r="F1410" s="23">
        <v>43159</v>
      </c>
      <c r="G1410">
        <v>3</v>
      </c>
      <c r="H1410">
        <v>8</v>
      </c>
      <c r="I1410" t="s">
        <v>5581</v>
      </c>
    </row>
    <row r="1411" spans="1:9" x14ac:dyDescent="0.35">
      <c r="A1411">
        <v>1410</v>
      </c>
      <c r="B1411">
        <v>1005</v>
      </c>
      <c r="C1411">
        <v>4</v>
      </c>
      <c r="D1411" t="s">
        <v>5984</v>
      </c>
      <c r="E1411" s="23">
        <v>43159</v>
      </c>
      <c r="F1411" s="23">
        <v>43159</v>
      </c>
      <c r="G1411">
        <v>2</v>
      </c>
      <c r="H1411">
        <v>7</v>
      </c>
      <c r="I1411" t="s">
        <v>5581</v>
      </c>
    </row>
    <row r="1412" spans="1:9" x14ac:dyDescent="0.35">
      <c r="A1412">
        <v>1411</v>
      </c>
      <c r="B1412">
        <v>109</v>
      </c>
      <c r="C1412">
        <v>4</v>
      </c>
      <c r="D1412" s="23">
        <v>43103</v>
      </c>
      <c r="E1412" s="23">
        <v>43161</v>
      </c>
      <c r="F1412" s="23">
        <v>43161</v>
      </c>
      <c r="G1412">
        <v>1</v>
      </c>
      <c r="H1412">
        <v>2</v>
      </c>
      <c r="I1412" t="s">
        <v>5581</v>
      </c>
    </row>
    <row r="1413" spans="1:9" x14ac:dyDescent="0.35">
      <c r="A1413">
        <v>1412</v>
      </c>
      <c r="B1413">
        <v>1043</v>
      </c>
      <c r="C1413">
        <v>4</v>
      </c>
      <c r="D1413" s="23">
        <v>43103</v>
      </c>
      <c r="E1413" s="23">
        <v>43161</v>
      </c>
      <c r="F1413" s="23">
        <v>43163</v>
      </c>
      <c r="G1413">
        <v>2</v>
      </c>
      <c r="H1413">
        <v>7</v>
      </c>
      <c r="I1413" t="s">
        <v>5581</v>
      </c>
    </row>
    <row r="1414" spans="1:9" x14ac:dyDescent="0.35">
      <c r="A1414">
        <v>1413</v>
      </c>
      <c r="B1414">
        <v>56</v>
      </c>
      <c r="C1414">
        <v>4</v>
      </c>
      <c r="D1414" s="23">
        <v>43103</v>
      </c>
      <c r="E1414" s="23">
        <v>43162</v>
      </c>
      <c r="F1414" s="23">
        <v>43163</v>
      </c>
      <c r="G1414">
        <v>3</v>
      </c>
      <c r="H1414">
        <v>8</v>
      </c>
      <c r="I1414" t="s">
        <v>5581</v>
      </c>
    </row>
    <row r="1415" spans="1:9" x14ac:dyDescent="0.35">
      <c r="A1415">
        <v>1414</v>
      </c>
      <c r="B1415">
        <v>293</v>
      </c>
      <c r="C1415">
        <v>4</v>
      </c>
      <c r="D1415" s="23">
        <v>43162</v>
      </c>
      <c r="E1415" s="23">
        <v>43164</v>
      </c>
      <c r="F1415" s="23">
        <v>43165</v>
      </c>
      <c r="G1415">
        <v>2</v>
      </c>
      <c r="H1415">
        <v>7</v>
      </c>
      <c r="I1415" t="s">
        <v>5581</v>
      </c>
    </row>
    <row r="1416" spans="1:9" x14ac:dyDescent="0.35">
      <c r="A1416">
        <v>1415</v>
      </c>
      <c r="B1416">
        <v>839</v>
      </c>
      <c r="C1416">
        <v>4</v>
      </c>
      <c r="D1416" s="23">
        <v>43162</v>
      </c>
      <c r="E1416" s="23">
        <v>43163</v>
      </c>
      <c r="F1416" s="23">
        <v>43164</v>
      </c>
      <c r="G1416">
        <v>2</v>
      </c>
      <c r="H1416">
        <v>7</v>
      </c>
      <c r="I1416" t="s">
        <v>5581</v>
      </c>
    </row>
    <row r="1417" spans="1:9" x14ac:dyDescent="0.35">
      <c r="A1417">
        <v>1416</v>
      </c>
      <c r="B1417">
        <v>566</v>
      </c>
      <c r="C1417">
        <v>4</v>
      </c>
      <c r="D1417" s="23">
        <v>43162</v>
      </c>
      <c r="E1417" s="23">
        <v>43163</v>
      </c>
      <c r="F1417" s="23">
        <v>43165</v>
      </c>
      <c r="G1417">
        <v>3</v>
      </c>
      <c r="H1417">
        <v>8</v>
      </c>
      <c r="I1417" t="s">
        <v>5581</v>
      </c>
    </row>
    <row r="1418" spans="1:9" x14ac:dyDescent="0.35">
      <c r="A1418">
        <v>1417</v>
      </c>
      <c r="B1418">
        <v>300</v>
      </c>
      <c r="C1418">
        <v>4</v>
      </c>
      <c r="D1418" s="23">
        <v>43193</v>
      </c>
      <c r="E1418" s="23">
        <v>43165</v>
      </c>
      <c r="F1418" s="23">
        <v>43166</v>
      </c>
      <c r="G1418">
        <v>1</v>
      </c>
      <c r="H1418">
        <v>2</v>
      </c>
      <c r="I1418" t="s">
        <v>5581</v>
      </c>
    </row>
    <row r="1419" spans="1:9" x14ac:dyDescent="0.35">
      <c r="A1419">
        <v>1418</v>
      </c>
      <c r="B1419">
        <v>364</v>
      </c>
      <c r="C1419">
        <v>4</v>
      </c>
      <c r="D1419" s="23">
        <v>43193</v>
      </c>
      <c r="E1419" s="23">
        <v>43164</v>
      </c>
      <c r="F1419" s="23">
        <v>43166</v>
      </c>
      <c r="G1419">
        <v>2</v>
      </c>
      <c r="H1419">
        <v>6</v>
      </c>
      <c r="I1419" t="s">
        <v>5581</v>
      </c>
    </row>
    <row r="1420" spans="1:9" x14ac:dyDescent="0.35">
      <c r="A1420">
        <v>1419</v>
      </c>
      <c r="B1420">
        <v>474</v>
      </c>
      <c r="C1420">
        <v>4</v>
      </c>
      <c r="D1420" s="23">
        <v>43193</v>
      </c>
      <c r="E1420" s="23">
        <v>43166</v>
      </c>
      <c r="F1420" s="23">
        <v>43166</v>
      </c>
      <c r="G1420">
        <v>2</v>
      </c>
      <c r="H1420">
        <v>6</v>
      </c>
      <c r="I1420" t="s">
        <v>5581</v>
      </c>
    </row>
    <row r="1421" spans="1:9" x14ac:dyDescent="0.35">
      <c r="A1421">
        <v>1420</v>
      </c>
      <c r="B1421">
        <v>838</v>
      </c>
      <c r="C1421">
        <v>4</v>
      </c>
      <c r="D1421" s="23">
        <v>43193</v>
      </c>
      <c r="E1421" s="23">
        <v>43164</v>
      </c>
      <c r="F1421" s="23">
        <v>43166</v>
      </c>
      <c r="G1421">
        <v>2</v>
      </c>
      <c r="H1421">
        <v>7</v>
      </c>
      <c r="I1421" t="s">
        <v>5581</v>
      </c>
    </row>
    <row r="1422" spans="1:9" x14ac:dyDescent="0.35">
      <c r="A1422">
        <v>1421</v>
      </c>
      <c r="B1422">
        <v>1176</v>
      </c>
      <c r="C1422">
        <v>4</v>
      </c>
      <c r="D1422" s="23">
        <v>43223</v>
      </c>
      <c r="E1422" s="23">
        <v>43166</v>
      </c>
      <c r="F1422" s="23">
        <v>43166</v>
      </c>
      <c r="G1422">
        <v>2</v>
      </c>
      <c r="H1422">
        <v>7</v>
      </c>
      <c r="I1422" t="s">
        <v>5581</v>
      </c>
    </row>
    <row r="1423" spans="1:9" x14ac:dyDescent="0.35">
      <c r="A1423">
        <v>1422</v>
      </c>
      <c r="B1423">
        <v>599</v>
      </c>
      <c r="C1423">
        <v>4</v>
      </c>
      <c r="D1423" s="23">
        <v>43223</v>
      </c>
      <c r="E1423" s="23">
        <v>43165</v>
      </c>
      <c r="F1423" s="23">
        <v>43167</v>
      </c>
      <c r="G1423">
        <v>3</v>
      </c>
      <c r="H1423">
        <v>8</v>
      </c>
      <c r="I1423" t="s">
        <v>5581</v>
      </c>
    </row>
    <row r="1424" spans="1:9" x14ac:dyDescent="0.35">
      <c r="A1424">
        <v>1423</v>
      </c>
      <c r="B1424">
        <v>1231</v>
      </c>
      <c r="C1424">
        <v>4</v>
      </c>
      <c r="D1424" s="23">
        <v>43254</v>
      </c>
      <c r="E1424" s="23">
        <v>43166</v>
      </c>
      <c r="F1424" s="23">
        <v>43166</v>
      </c>
      <c r="G1424">
        <v>1</v>
      </c>
      <c r="H1424">
        <v>2</v>
      </c>
      <c r="I1424" t="s">
        <v>5581</v>
      </c>
    </row>
    <row r="1425" spans="1:9" x14ac:dyDescent="0.35">
      <c r="A1425">
        <v>1424</v>
      </c>
      <c r="B1425">
        <v>1445</v>
      </c>
      <c r="C1425">
        <v>4</v>
      </c>
      <c r="D1425" s="23">
        <v>43284</v>
      </c>
      <c r="E1425" s="23">
        <v>43169</v>
      </c>
      <c r="F1425" s="23">
        <v>43169</v>
      </c>
      <c r="G1425">
        <v>1</v>
      </c>
      <c r="H1425">
        <v>2</v>
      </c>
      <c r="I1425" t="s">
        <v>5581</v>
      </c>
    </row>
    <row r="1426" spans="1:9" x14ac:dyDescent="0.35">
      <c r="A1426">
        <v>1425</v>
      </c>
      <c r="B1426">
        <v>126</v>
      </c>
      <c r="C1426">
        <v>4</v>
      </c>
      <c r="D1426" s="23">
        <v>43284</v>
      </c>
      <c r="E1426" s="23">
        <v>43168</v>
      </c>
      <c r="F1426" s="23">
        <v>43168</v>
      </c>
      <c r="G1426">
        <v>2</v>
      </c>
      <c r="H1426">
        <v>6</v>
      </c>
      <c r="I1426" t="s">
        <v>5581</v>
      </c>
    </row>
    <row r="1427" spans="1:9" x14ac:dyDescent="0.35">
      <c r="A1427">
        <v>1426</v>
      </c>
      <c r="B1427">
        <v>938</v>
      </c>
      <c r="C1427">
        <v>4</v>
      </c>
      <c r="D1427" s="23">
        <v>43284</v>
      </c>
      <c r="E1427" s="23">
        <v>43167</v>
      </c>
      <c r="F1427" s="23">
        <v>43169</v>
      </c>
      <c r="G1427">
        <v>2</v>
      </c>
      <c r="H1427">
        <v>6</v>
      </c>
      <c r="I1427" t="s">
        <v>5581</v>
      </c>
    </row>
    <row r="1428" spans="1:9" x14ac:dyDescent="0.35">
      <c r="A1428">
        <v>1427</v>
      </c>
      <c r="B1428">
        <v>999</v>
      </c>
      <c r="C1428">
        <v>4</v>
      </c>
      <c r="D1428" s="23">
        <v>43284</v>
      </c>
      <c r="E1428" s="23">
        <v>43167</v>
      </c>
      <c r="F1428" s="23">
        <v>43167</v>
      </c>
      <c r="G1428">
        <v>2</v>
      </c>
      <c r="H1428">
        <v>6</v>
      </c>
      <c r="I1428" t="s">
        <v>5581</v>
      </c>
    </row>
    <row r="1429" spans="1:9" x14ac:dyDescent="0.35">
      <c r="A1429">
        <v>1428</v>
      </c>
      <c r="B1429">
        <v>195</v>
      </c>
      <c r="C1429">
        <v>4</v>
      </c>
      <c r="D1429" s="23">
        <v>43315</v>
      </c>
      <c r="E1429" s="23">
        <v>43169</v>
      </c>
      <c r="F1429" s="23">
        <v>43170</v>
      </c>
      <c r="G1429">
        <v>2</v>
      </c>
      <c r="H1429">
        <v>7</v>
      </c>
      <c r="I1429" t="s">
        <v>5581</v>
      </c>
    </row>
    <row r="1430" spans="1:9" x14ac:dyDescent="0.35">
      <c r="A1430">
        <v>1429</v>
      </c>
      <c r="B1430">
        <v>1116</v>
      </c>
      <c r="C1430">
        <v>4</v>
      </c>
      <c r="D1430" s="23">
        <v>43315</v>
      </c>
      <c r="E1430" s="23">
        <v>43168</v>
      </c>
      <c r="F1430" s="23">
        <v>43168</v>
      </c>
      <c r="G1430">
        <v>2</v>
      </c>
      <c r="H1430">
        <v>6</v>
      </c>
      <c r="I1430" t="s">
        <v>5581</v>
      </c>
    </row>
    <row r="1431" spans="1:9" x14ac:dyDescent="0.35">
      <c r="A1431">
        <v>1430</v>
      </c>
      <c r="B1431">
        <v>1239</v>
      </c>
      <c r="C1431">
        <v>4</v>
      </c>
      <c r="D1431" s="23">
        <v>43376</v>
      </c>
      <c r="E1431" s="23">
        <v>43172</v>
      </c>
      <c r="F1431" s="23">
        <v>43170</v>
      </c>
      <c r="G1431">
        <v>2</v>
      </c>
      <c r="H1431">
        <v>7</v>
      </c>
      <c r="I1431" t="s">
        <v>5581</v>
      </c>
    </row>
    <row r="1432" spans="1:9" x14ac:dyDescent="0.35">
      <c r="A1432">
        <v>1431</v>
      </c>
      <c r="B1432">
        <v>308</v>
      </c>
      <c r="C1432">
        <v>4</v>
      </c>
      <c r="D1432" s="23">
        <v>43407</v>
      </c>
      <c r="E1432" s="23">
        <v>43171</v>
      </c>
      <c r="F1432" s="23">
        <v>43173</v>
      </c>
      <c r="G1432">
        <v>2</v>
      </c>
      <c r="H1432">
        <v>6</v>
      </c>
      <c r="I1432" t="s">
        <v>5581</v>
      </c>
    </row>
    <row r="1433" spans="1:9" x14ac:dyDescent="0.35">
      <c r="A1433">
        <v>1432</v>
      </c>
      <c r="B1433">
        <v>483</v>
      </c>
      <c r="C1433">
        <v>4</v>
      </c>
      <c r="D1433" s="23">
        <v>43407</v>
      </c>
      <c r="E1433" s="23">
        <v>43171</v>
      </c>
      <c r="F1433" s="23">
        <v>43173</v>
      </c>
      <c r="G1433">
        <v>2</v>
      </c>
      <c r="H1433">
        <v>6</v>
      </c>
      <c r="I1433" t="s">
        <v>5581</v>
      </c>
    </row>
    <row r="1434" spans="1:9" x14ac:dyDescent="0.35">
      <c r="A1434">
        <v>1433</v>
      </c>
      <c r="B1434">
        <v>1142</v>
      </c>
      <c r="C1434">
        <v>4</v>
      </c>
      <c r="D1434" s="23">
        <v>43407</v>
      </c>
      <c r="E1434" s="23">
        <v>43172</v>
      </c>
      <c r="F1434" s="23">
        <v>43171</v>
      </c>
      <c r="G1434">
        <v>2</v>
      </c>
      <c r="H1434">
        <v>7</v>
      </c>
      <c r="I1434" t="s">
        <v>5581</v>
      </c>
    </row>
    <row r="1435" spans="1:9" x14ac:dyDescent="0.35">
      <c r="A1435">
        <v>1434</v>
      </c>
      <c r="B1435">
        <v>595</v>
      </c>
      <c r="C1435">
        <v>4</v>
      </c>
      <c r="D1435" t="s">
        <v>5985</v>
      </c>
      <c r="E1435" s="23">
        <v>43175</v>
      </c>
      <c r="F1435" s="23">
        <v>43175</v>
      </c>
      <c r="G1435">
        <v>2</v>
      </c>
      <c r="H1435">
        <v>6</v>
      </c>
      <c r="I1435" t="s">
        <v>5581</v>
      </c>
    </row>
    <row r="1436" spans="1:9" x14ac:dyDescent="0.35">
      <c r="A1436">
        <v>1435</v>
      </c>
      <c r="B1436">
        <v>744</v>
      </c>
      <c r="C1436">
        <v>4</v>
      </c>
      <c r="D1436" t="s">
        <v>5985</v>
      </c>
      <c r="E1436" s="23">
        <v>43174</v>
      </c>
      <c r="F1436" s="23">
        <v>43175</v>
      </c>
      <c r="G1436">
        <v>2</v>
      </c>
      <c r="H1436">
        <v>6</v>
      </c>
      <c r="I1436" t="s">
        <v>5581</v>
      </c>
    </row>
    <row r="1437" spans="1:9" x14ac:dyDescent="0.35">
      <c r="A1437">
        <v>1436</v>
      </c>
      <c r="B1437">
        <v>1044</v>
      </c>
      <c r="C1437">
        <v>4</v>
      </c>
      <c r="D1437" t="s">
        <v>5985</v>
      </c>
      <c r="E1437" s="23">
        <v>43176</v>
      </c>
      <c r="F1437" s="23">
        <v>43175</v>
      </c>
      <c r="G1437">
        <v>2</v>
      </c>
      <c r="H1437">
        <v>6</v>
      </c>
      <c r="I1437" t="s">
        <v>5581</v>
      </c>
    </row>
    <row r="1438" spans="1:9" x14ac:dyDescent="0.35">
      <c r="A1438">
        <v>1437</v>
      </c>
      <c r="B1438">
        <v>518</v>
      </c>
      <c r="C1438">
        <v>4</v>
      </c>
      <c r="D1438" t="s">
        <v>5986</v>
      </c>
      <c r="E1438" s="23">
        <v>43175</v>
      </c>
      <c r="F1438" s="23">
        <v>43175</v>
      </c>
      <c r="G1438">
        <v>1</v>
      </c>
      <c r="H1438">
        <v>2</v>
      </c>
      <c r="I1438" t="s">
        <v>5581</v>
      </c>
    </row>
    <row r="1439" spans="1:9" x14ac:dyDescent="0.35">
      <c r="A1439">
        <v>1438</v>
      </c>
      <c r="B1439">
        <v>263</v>
      </c>
      <c r="C1439">
        <v>4</v>
      </c>
      <c r="D1439" t="s">
        <v>5986</v>
      </c>
      <c r="E1439" s="23">
        <v>43176</v>
      </c>
      <c r="F1439" s="23">
        <v>43175</v>
      </c>
      <c r="G1439">
        <v>2</v>
      </c>
      <c r="H1439">
        <v>6</v>
      </c>
      <c r="I1439" t="s">
        <v>5581</v>
      </c>
    </row>
    <row r="1440" spans="1:9" x14ac:dyDescent="0.35">
      <c r="A1440">
        <v>1439</v>
      </c>
      <c r="B1440">
        <v>463</v>
      </c>
      <c r="C1440">
        <v>4</v>
      </c>
      <c r="D1440" t="s">
        <v>5986</v>
      </c>
      <c r="E1440" s="23">
        <v>43175</v>
      </c>
      <c r="F1440" s="23">
        <v>43176</v>
      </c>
      <c r="G1440">
        <v>2</v>
      </c>
      <c r="H1440">
        <v>7</v>
      </c>
      <c r="I1440" t="s">
        <v>5581</v>
      </c>
    </row>
    <row r="1441" spans="1:9" x14ac:dyDescent="0.35">
      <c r="A1441">
        <v>1440</v>
      </c>
      <c r="B1441">
        <v>859</v>
      </c>
      <c r="C1441">
        <v>4</v>
      </c>
      <c r="D1441" t="s">
        <v>5986</v>
      </c>
      <c r="E1441" s="23">
        <v>43177</v>
      </c>
      <c r="F1441" s="23">
        <v>43175</v>
      </c>
      <c r="G1441">
        <v>3</v>
      </c>
      <c r="H1441">
        <v>8</v>
      </c>
      <c r="I1441" t="s">
        <v>5581</v>
      </c>
    </row>
    <row r="1442" spans="1:9" x14ac:dyDescent="0.35">
      <c r="A1442">
        <v>1441</v>
      </c>
      <c r="B1442">
        <v>982</v>
      </c>
      <c r="C1442">
        <v>4</v>
      </c>
      <c r="D1442" t="s">
        <v>5986</v>
      </c>
      <c r="E1442" s="23">
        <v>43175</v>
      </c>
      <c r="F1442" s="23">
        <v>43177</v>
      </c>
      <c r="G1442">
        <v>3</v>
      </c>
      <c r="H1442">
        <v>8</v>
      </c>
      <c r="I1442" t="s">
        <v>5581</v>
      </c>
    </row>
    <row r="1443" spans="1:9" x14ac:dyDescent="0.35">
      <c r="A1443">
        <v>1442</v>
      </c>
      <c r="B1443">
        <v>478</v>
      </c>
      <c r="C1443">
        <v>4</v>
      </c>
      <c r="D1443" t="s">
        <v>5987</v>
      </c>
      <c r="E1443" s="23">
        <v>43176</v>
      </c>
      <c r="F1443" s="23">
        <v>43176</v>
      </c>
      <c r="G1443">
        <v>2</v>
      </c>
      <c r="H1443">
        <v>7</v>
      </c>
      <c r="I1443" t="s">
        <v>5581</v>
      </c>
    </row>
    <row r="1444" spans="1:9" x14ac:dyDescent="0.35">
      <c r="A1444">
        <v>1443</v>
      </c>
      <c r="B1444">
        <v>972</v>
      </c>
      <c r="C1444">
        <v>4</v>
      </c>
      <c r="D1444" t="s">
        <v>5987</v>
      </c>
      <c r="E1444" s="23">
        <v>43176</v>
      </c>
      <c r="F1444" s="23">
        <v>43176</v>
      </c>
      <c r="G1444">
        <v>2</v>
      </c>
      <c r="H1444">
        <v>7</v>
      </c>
      <c r="I1444" t="s">
        <v>5581</v>
      </c>
    </row>
    <row r="1445" spans="1:9" x14ac:dyDescent="0.35">
      <c r="A1445">
        <v>1444</v>
      </c>
      <c r="B1445">
        <v>1154</v>
      </c>
      <c r="C1445">
        <v>4</v>
      </c>
      <c r="D1445" t="s">
        <v>5987</v>
      </c>
      <c r="E1445" s="23">
        <v>43176</v>
      </c>
      <c r="F1445" s="23">
        <v>43178</v>
      </c>
      <c r="G1445">
        <v>2</v>
      </c>
      <c r="H1445">
        <v>6</v>
      </c>
      <c r="I1445" t="s">
        <v>5581</v>
      </c>
    </row>
    <row r="1446" spans="1:9" x14ac:dyDescent="0.35">
      <c r="A1446">
        <v>1445</v>
      </c>
      <c r="B1446">
        <v>515</v>
      </c>
      <c r="C1446">
        <v>4</v>
      </c>
      <c r="D1446" t="s">
        <v>5988</v>
      </c>
      <c r="E1446" s="23">
        <v>43177</v>
      </c>
      <c r="F1446" s="23">
        <v>43179</v>
      </c>
      <c r="G1446">
        <v>2</v>
      </c>
      <c r="H1446">
        <v>7</v>
      </c>
      <c r="I1446" t="s">
        <v>5581</v>
      </c>
    </row>
    <row r="1447" spans="1:9" x14ac:dyDescent="0.35">
      <c r="A1447">
        <v>1446</v>
      </c>
      <c r="B1447">
        <v>820</v>
      </c>
      <c r="C1447">
        <v>4</v>
      </c>
      <c r="D1447" t="s">
        <v>5988</v>
      </c>
      <c r="E1447" s="23">
        <v>43177</v>
      </c>
      <c r="F1447" s="23">
        <v>43177</v>
      </c>
      <c r="G1447">
        <v>2</v>
      </c>
      <c r="H1447">
        <v>6</v>
      </c>
      <c r="I1447" t="s">
        <v>5581</v>
      </c>
    </row>
    <row r="1448" spans="1:9" x14ac:dyDescent="0.35">
      <c r="A1448">
        <v>1447</v>
      </c>
      <c r="B1448">
        <v>1419</v>
      </c>
      <c r="C1448">
        <v>4</v>
      </c>
      <c r="D1448" t="s">
        <v>5989</v>
      </c>
      <c r="E1448" s="23">
        <v>43179</v>
      </c>
      <c r="F1448" s="23">
        <v>43179</v>
      </c>
      <c r="G1448">
        <v>1</v>
      </c>
      <c r="H1448">
        <v>3</v>
      </c>
      <c r="I1448" t="s">
        <v>5581</v>
      </c>
    </row>
    <row r="1449" spans="1:9" x14ac:dyDescent="0.35">
      <c r="A1449">
        <v>1448</v>
      </c>
      <c r="B1449">
        <v>228</v>
      </c>
      <c r="C1449">
        <v>4</v>
      </c>
      <c r="D1449" t="s">
        <v>5989</v>
      </c>
      <c r="E1449" s="23">
        <v>43178</v>
      </c>
      <c r="F1449" s="23">
        <v>43180</v>
      </c>
      <c r="G1449">
        <v>2</v>
      </c>
      <c r="H1449">
        <v>6</v>
      </c>
      <c r="I1449" t="s">
        <v>5581</v>
      </c>
    </row>
    <row r="1450" spans="1:9" x14ac:dyDescent="0.35">
      <c r="A1450">
        <v>1449</v>
      </c>
      <c r="B1450">
        <v>330</v>
      </c>
      <c r="C1450">
        <v>4</v>
      </c>
      <c r="D1450" t="s">
        <v>5989</v>
      </c>
      <c r="E1450" s="23">
        <v>43178</v>
      </c>
      <c r="F1450" s="23">
        <v>43179</v>
      </c>
      <c r="G1450">
        <v>2</v>
      </c>
      <c r="H1450">
        <v>7</v>
      </c>
      <c r="I1450" t="s">
        <v>5581</v>
      </c>
    </row>
    <row r="1451" spans="1:9" x14ac:dyDescent="0.35">
      <c r="A1451">
        <v>1450</v>
      </c>
      <c r="B1451">
        <v>296</v>
      </c>
      <c r="C1451">
        <v>4</v>
      </c>
      <c r="D1451" t="s">
        <v>5990</v>
      </c>
      <c r="E1451" s="23">
        <v>43179</v>
      </c>
      <c r="F1451" s="23">
        <v>43181</v>
      </c>
      <c r="G1451">
        <v>2</v>
      </c>
      <c r="H1451">
        <v>7</v>
      </c>
      <c r="I1451" t="s">
        <v>5581</v>
      </c>
    </row>
    <row r="1452" spans="1:9" x14ac:dyDescent="0.35">
      <c r="A1452">
        <v>1451</v>
      </c>
      <c r="B1452">
        <v>822</v>
      </c>
      <c r="C1452">
        <v>4</v>
      </c>
      <c r="D1452" t="s">
        <v>5990</v>
      </c>
      <c r="E1452" s="23">
        <v>43181</v>
      </c>
      <c r="F1452" s="23">
        <v>43179</v>
      </c>
      <c r="G1452">
        <v>2</v>
      </c>
      <c r="H1452">
        <v>6</v>
      </c>
      <c r="I1452" t="s">
        <v>5581</v>
      </c>
    </row>
    <row r="1453" spans="1:9" x14ac:dyDescent="0.35">
      <c r="A1453">
        <v>1452</v>
      </c>
      <c r="B1453">
        <v>287</v>
      </c>
      <c r="C1453">
        <v>4</v>
      </c>
      <c r="D1453" t="s">
        <v>5991</v>
      </c>
      <c r="E1453" s="23">
        <v>43182</v>
      </c>
      <c r="F1453" s="23">
        <v>43182</v>
      </c>
      <c r="G1453">
        <v>1</v>
      </c>
      <c r="H1453">
        <v>3</v>
      </c>
      <c r="I1453" t="s">
        <v>5581</v>
      </c>
    </row>
    <row r="1454" spans="1:9" x14ac:dyDescent="0.35">
      <c r="A1454">
        <v>1453</v>
      </c>
      <c r="B1454">
        <v>601</v>
      </c>
      <c r="C1454">
        <v>4</v>
      </c>
      <c r="D1454" t="s">
        <v>5991</v>
      </c>
      <c r="E1454" s="23">
        <v>43182</v>
      </c>
      <c r="F1454" s="23">
        <v>43181</v>
      </c>
      <c r="G1454">
        <v>1</v>
      </c>
      <c r="H1454">
        <v>3</v>
      </c>
      <c r="I1454" t="s">
        <v>5581</v>
      </c>
    </row>
    <row r="1455" spans="1:9" x14ac:dyDescent="0.35">
      <c r="A1455">
        <v>1454</v>
      </c>
      <c r="B1455">
        <v>395</v>
      </c>
      <c r="C1455">
        <v>4</v>
      </c>
      <c r="D1455" t="s">
        <v>5991</v>
      </c>
      <c r="E1455" s="23">
        <v>43180</v>
      </c>
      <c r="F1455" s="23">
        <v>43181</v>
      </c>
      <c r="G1455">
        <v>2</v>
      </c>
      <c r="H1455">
        <v>6</v>
      </c>
      <c r="I1455" t="s">
        <v>5581</v>
      </c>
    </row>
    <row r="1456" spans="1:9" x14ac:dyDescent="0.35">
      <c r="A1456">
        <v>1455</v>
      </c>
      <c r="B1456">
        <v>405</v>
      </c>
      <c r="C1456">
        <v>4</v>
      </c>
      <c r="D1456" t="s">
        <v>5991</v>
      </c>
      <c r="E1456" s="23">
        <v>43181</v>
      </c>
      <c r="F1456" s="23">
        <v>43180</v>
      </c>
      <c r="G1456">
        <v>2</v>
      </c>
      <c r="H1456">
        <v>6</v>
      </c>
      <c r="I1456" t="s">
        <v>5581</v>
      </c>
    </row>
    <row r="1457" spans="1:9" x14ac:dyDescent="0.35">
      <c r="A1457">
        <v>1456</v>
      </c>
      <c r="B1457">
        <v>754</v>
      </c>
      <c r="C1457">
        <v>4</v>
      </c>
      <c r="D1457" t="s">
        <v>5991</v>
      </c>
      <c r="E1457" s="23">
        <v>43180</v>
      </c>
      <c r="F1457" s="23">
        <v>43182</v>
      </c>
      <c r="G1457">
        <v>2</v>
      </c>
      <c r="H1457">
        <v>7</v>
      </c>
      <c r="I1457" t="s">
        <v>5581</v>
      </c>
    </row>
    <row r="1458" spans="1:9" x14ac:dyDescent="0.35">
      <c r="A1458">
        <v>1457</v>
      </c>
      <c r="B1458">
        <v>1411</v>
      </c>
      <c r="C1458">
        <v>4</v>
      </c>
      <c r="D1458" t="s">
        <v>5991</v>
      </c>
      <c r="E1458" s="23">
        <v>43182</v>
      </c>
      <c r="F1458" s="23">
        <v>43182</v>
      </c>
      <c r="G1458">
        <v>2</v>
      </c>
      <c r="H1458">
        <v>6</v>
      </c>
      <c r="I1458" t="s">
        <v>5581</v>
      </c>
    </row>
    <row r="1459" spans="1:9" x14ac:dyDescent="0.35">
      <c r="A1459">
        <v>1458</v>
      </c>
      <c r="B1459">
        <v>1029</v>
      </c>
      <c r="C1459">
        <v>4</v>
      </c>
      <c r="D1459" t="s">
        <v>5991</v>
      </c>
      <c r="E1459" s="23">
        <v>43181</v>
      </c>
      <c r="F1459" s="23">
        <v>43180</v>
      </c>
      <c r="G1459">
        <v>3</v>
      </c>
      <c r="H1459">
        <v>8</v>
      </c>
      <c r="I1459" t="s">
        <v>5581</v>
      </c>
    </row>
    <row r="1460" spans="1:9" x14ac:dyDescent="0.35">
      <c r="A1460">
        <v>1459</v>
      </c>
      <c r="B1460">
        <v>9</v>
      </c>
      <c r="C1460">
        <v>4</v>
      </c>
      <c r="D1460" t="s">
        <v>5992</v>
      </c>
      <c r="E1460" s="23">
        <v>43181</v>
      </c>
      <c r="F1460" s="23">
        <v>43181</v>
      </c>
      <c r="G1460">
        <v>2</v>
      </c>
      <c r="H1460">
        <v>7</v>
      </c>
      <c r="I1460" t="s">
        <v>5581</v>
      </c>
    </row>
    <row r="1461" spans="1:9" x14ac:dyDescent="0.35">
      <c r="A1461">
        <v>1460</v>
      </c>
      <c r="B1461">
        <v>1131</v>
      </c>
      <c r="C1461">
        <v>4</v>
      </c>
      <c r="D1461" t="s">
        <v>5992</v>
      </c>
      <c r="E1461" s="23">
        <v>43182</v>
      </c>
      <c r="F1461" s="23">
        <v>43182</v>
      </c>
      <c r="G1461">
        <v>2</v>
      </c>
      <c r="H1461">
        <v>7</v>
      </c>
      <c r="I1461" t="s">
        <v>5581</v>
      </c>
    </row>
    <row r="1462" spans="1:9" x14ac:dyDescent="0.35">
      <c r="A1462">
        <v>1461</v>
      </c>
      <c r="B1462">
        <v>139</v>
      </c>
      <c r="C1462">
        <v>4</v>
      </c>
      <c r="D1462" t="s">
        <v>5993</v>
      </c>
      <c r="E1462" s="23">
        <v>43184</v>
      </c>
      <c r="F1462" s="23">
        <v>43182</v>
      </c>
      <c r="G1462">
        <v>2</v>
      </c>
      <c r="H1462">
        <v>6</v>
      </c>
      <c r="I1462" t="s">
        <v>5581</v>
      </c>
    </row>
    <row r="1463" spans="1:9" x14ac:dyDescent="0.35">
      <c r="A1463">
        <v>1462</v>
      </c>
      <c r="B1463">
        <v>1101</v>
      </c>
      <c r="C1463">
        <v>4</v>
      </c>
      <c r="D1463" t="s">
        <v>5993</v>
      </c>
      <c r="E1463" s="23">
        <v>43183</v>
      </c>
      <c r="F1463" s="23">
        <v>43183</v>
      </c>
      <c r="G1463">
        <v>2</v>
      </c>
      <c r="H1463">
        <v>6</v>
      </c>
      <c r="I1463" t="s">
        <v>5581</v>
      </c>
    </row>
    <row r="1464" spans="1:9" x14ac:dyDescent="0.35">
      <c r="A1464">
        <v>1463</v>
      </c>
      <c r="B1464">
        <v>692</v>
      </c>
      <c r="C1464">
        <v>4</v>
      </c>
      <c r="D1464" t="s">
        <v>5994</v>
      </c>
      <c r="E1464" s="23">
        <v>43183</v>
      </c>
      <c r="F1464" s="23">
        <v>43183</v>
      </c>
      <c r="G1464">
        <v>2</v>
      </c>
      <c r="H1464">
        <v>7</v>
      </c>
      <c r="I1464" t="s">
        <v>5581</v>
      </c>
    </row>
    <row r="1465" spans="1:9" x14ac:dyDescent="0.35">
      <c r="A1465">
        <v>1464</v>
      </c>
      <c r="B1465">
        <v>1279</v>
      </c>
      <c r="C1465">
        <v>4</v>
      </c>
      <c r="D1465" t="s">
        <v>5995</v>
      </c>
      <c r="E1465" s="23">
        <v>43184</v>
      </c>
      <c r="F1465" s="23">
        <v>43184</v>
      </c>
      <c r="G1465">
        <v>2</v>
      </c>
      <c r="H1465">
        <v>7</v>
      </c>
      <c r="I1465" t="s">
        <v>5581</v>
      </c>
    </row>
    <row r="1466" spans="1:9" x14ac:dyDescent="0.35">
      <c r="A1466">
        <v>1465</v>
      </c>
      <c r="B1466">
        <v>623</v>
      </c>
      <c r="C1466">
        <v>4</v>
      </c>
      <c r="D1466" t="s">
        <v>5996</v>
      </c>
      <c r="E1466" s="23">
        <v>43187</v>
      </c>
      <c r="F1466" s="23">
        <v>43187</v>
      </c>
      <c r="G1466">
        <v>2</v>
      </c>
      <c r="H1466">
        <v>7</v>
      </c>
      <c r="I1466" t="s">
        <v>5581</v>
      </c>
    </row>
    <row r="1467" spans="1:9" x14ac:dyDescent="0.35">
      <c r="A1467">
        <v>1466</v>
      </c>
      <c r="B1467">
        <v>738</v>
      </c>
      <c r="C1467">
        <v>4</v>
      </c>
      <c r="D1467" t="s">
        <v>5997</v>
      </c>
      <c r="E1467" s="23">
        <v>43188</v>
      </c>
      <c r="F1467" s="23">
        <v>43187</v>
      </c>
      <c r="G1467">
        <v>1</v>
      </c>
      <c r="H1467">
        <v>3</v>
      </c>
      <c r="I1467" t="s">
        <v>5581</v>
      </c>
    </row>
    <row r="1468" spans="1:9" x14ac:dyDescent="0.35">
      <c r="A1468">
        <v>1467</v>
      </c>
      <c r="B1468">
        <v>152</v>
      </c>
      <c r="C1468">
        <v>4</v>
      </c>
      <c r="D1468" t="s">
        <v>5997</v>
      </c>
      <c r="E1468" s="23">
        <v>43186</v>
      </c>
      <c r="F1468" s="23">
        <v>43188</v>
      </c>
      <c r="G1468">
        <v>2</v>
      </c>
      <c r="H1468">
        <v>7</v>
      </c>
      <c r="I1468" t="s">
        <v>5581</v>
      </c>
    </row>
    <row r="1469" spans="1:9" x14ac:dyDescent="0.35">
      <c r="A1469">
        <v>1468</v>
      </c>
      <c r="B1469">
        <v>3</v>
      </c>
      <c r="C1469">
        <v>4</v>
      </c>
      <c r="D1469" t="s">
        <v>5998</v>
      </c>
      <c r="E1469" s="23">
        <v>43189</v>
      </c>
      <c r="F1469" s="23">
        <v>43188</v>
      </c>
      <c r="G1469">
        <v>1</v>
      </c>
      <c r="H1469">
        <v>2</v>
      </c>
      <c r="I1469" t="s">
        <v>5581</v>
      </c>
    </row>
    <row r="1470" spans="1:9" x14ac:dyDescent="0.35">
      <c r="A1470">
        <v>1469</v>
      </c>
      <c r="B1470">
        <v>1135</v>
      </c>
      <c r="C1470">
        <v>4</v>
      </c>
      <c r="D1470" t="s">
        <v>5998</v>
      </c>
      <c r="E1470" s="23">
        <v>43187</v>
      </c>
      <c r="F1470" s="23">
        <v>43189</v>
      </c>
      <c r="G1470">
        <v>3</v>
      </c>
      <c r="H1470">
        <v>8</v>
      </c>
      <c r="I1470" t="s">
        <v>5581</v>
      </c>
    </row>
    <row r="1471" spans="1:9" x14ac:dyDescent="0.35">
      <c r="A1471">
        <v>1470</v>
      </c>
      <c r="B1471">
        <v>505</v>
      </c>
      <c r="C1471">
        <v>4</v>
      </c>
      <c r="D1471" t="s">
        <v>5999</v>
      </c>
      <c r="E1471" s="23">
        <v>43190</v>
      </c>
      <c r="F1471" s="23">
        <v>43190</v>
      </c>
      <c r="G1471">
        <v>2</v>
      </c>
      <c r="H1471">
        <v>7</v>
      </c>
      <c r="I1471" t="s">
        <v>5581</v>
      </c>
    </row>
    <row r="1472" spans="1:9" x14ac:dyDescent="0.35">
      <c r="A1472">
        <v>1471</v>
      </c>
      <c r="B1472">
        <v>1310</v>
      </c>
      <c r="C1472">
        <v>4</v>
      </c>
      <c r="D1472" t="s">
        <v>5999</v>
      </c>
      <c r="E1472" s="23">
        <v>43189</v>
      </c>
      <c r="F1472" s="23">
        <v>43188</v>
      </c>
      <c r="G1472">
        <v>2</v>
      </c>
      <c r="H1472">
        <v>7</v>
      </c>
      <c r="I1472" t="s">
        <v>5581</v>
      </c>
    </row>
    <row r="1473" spans="1:9" x14ac:dyDescent="0.35">
      <c r="A1473">
        <v>1472</v>
      </c>
      <c r="B1473">
        <v>114</v>
      </c>
      <c r="C1473">
        <v>4</v>
      </c>
      <c r="D1473" t="s">
        <v>6000</v>
      </c>
      <c r="E1473" s="23">
        <v>43189</v>
      </c>
      <c r="F1473" s="23">
        <v>43190</v>
      </c>
      <c r="G1473">
        <v>2</v>
      </c>
      <c r="H1473">
        <v>6</v>
      </c>
      <c r="I1473" t="s">
        <v>5581</v>
      </c>
    </row>
    <row r="1474" spans="1:9" x14ac:dyDescent="0.35">
      <c r="A1474">
        <v>1473</v>
      </c>
      <c r="B1474">
        <v>302</v>
      </c>
      <c r="C1474">
        <v>4</v>
      </c>
      <c r="D1474" t="s">
        <v>6001</v>
      </c>
      <c r="E1474" s="23">
        <v>43191</v>
      </c>
      <c r="F1474" s="23">
        <v>43192</v>
      </c>
      <c r="G1474">
        <v>1</v>
      </c>
      <c r="H1474">
        <v>2</v>
      </c>
      <c r="I1474" t="s">
        <v>5581</v>
      </c>
    </row>
    <row r="1475" spans="1:9" x14ac:dyDescent="0.35">
      <c r="A1475">
        <v>1474</v>
      </c>
      <c r="B1475">
        <v>816</v>
      </c>
      <c r="C1475">
        <v>4</v>
      </c>
      <c r="D1475" t="s">
        <v>6001</v>
      </c>
      <c r="E1475" s="23">
        <v>43191</v>
      </c>
      <c r="F1475" s="23">
        <v>43192</v>
      </c>
      <c r="G1475">
        <v>1</v>
      </c>
      <c r="H1475">
        <v>3</v>
      </c>
      <c r="I1475" t="s">
        <v>5581</v>
      </c>
    </row>
    <row r="1476" spans="1:9" x14ac:dyDescent="0.35">
      <c r="A1476">
        <v>1475</v>
      </c>
      <c r="B1476">
        <v>112</v>
      </c>
      <c r="C1476">
        <v>4</v>
      </c>
      <c r="D1476" t="s">
        <v>6001</v>
      </c>
      <c r="E1476" s="23">
        <v>43191</v>
      </c>
      <c r="F1476" s="23">
        <v>43190</v>
      </c>
      <c r="G1476">
        <v>2</v>
      </c>
      <c r="H1476">
        <v>6</v>
      </c>
      <c r="I1476" t="s">
        <v>5581</v>
      </c>
    </row>
    <row r="1477" spans="1:9" x14ac:dyDescent="0.35">
      <c r="A1477">
        <v>1476</v>
      </c>
      <c r="B1477">
        <v>35</v>
      </c>
      <c r="C1477">
        <v>4</v>
      </c>
      <c r="D1477" t="s">
        <v>6002</v>
      </c>
      <c r="E1477" s="23">
        <v>43191</v>
      </c>
      <c r="F1477" s="23">
        <v>43191</v>
      </c>
      <c r="G1477">
        <v>2</v>
      </c>
      <c r="H1477">
        <v>7</v>
      </c>
      <c r="I1477" t="s">
        <v>5581</v>
      </c>
    </row>
    <row r="1478" spans="1:9" x14ac:dyDescent="0.35">
      <c r="A1478">
        <v>1477</v>
      </c>
      <c r="B1478">
        <v>180</v>
      </c>
      <c r="C1478">
        <v>4</v>
      </c>
      <c r="D1478" t="s">
        <v>6002</v>
      </c>
      <c r="E1478" s="23">
        <v>43193</v>
      </c>
      <c r="F1478" s="23">
        <v>43191</v>
      </c>
      <c r="G1478">
        <v>2</v>
      </c>
      <c r="H1478">
        <v>6</v>
      </c>
      <c r="I1478" t="s">
        <v>5581</v>
      </c>
    </row>
    <row r="1479" spans="1:9" x14ac:dyDescent="0.35">
      <c r="A1479">
        <v>1478</v>
      </c>
      <c r="B1479">
        <v>392</v>
      </c>
      <c r="C1479">
        <v>4</v>
      </c>
      <c r="D1479" t="s">
        <v>6002</v>
      </c>
      <c r="E1479" s="23">
        <v>43192</v>
      </c>
      <c r="F1479" s="23">
        <v>43192</v>
      </c>
      <c r="G1479">
        <v>2</v>
      </c>
      <c r="H1479">
        <v>6</v>
      </c>
      <c r="I1479" t="s">
        <v>5581</v>
      </c>
    </row>
    <row r="1480" spans="1:9" x14ac:dyDescent="0.35">
      <c r="A1480">
        <v>1479</v>
      </c>
      <c r="B1480">
        <v>23</v>
      </c>
      <c r="C1480">
        <v>2</v>
      </c>
      <c r="D1480" s="23">
        <v>43104</v>
      </c>
      <c r="E1480" s="23">
        <v>43191</v>
      </c>
      <c r="F1480" t="s">
        <v>5597</v>
      </c>
      <c r="G1480">
        <v>2</v>
      </c>
      <c r="H1480">
        <v>7</v>
      </c>
      <c r="I1480" t="s">
        <v>6003</v>
      </c>
    </row>
    <row r="1481" spans="1:9" x14ac:dyDescent="0.35">
      <c r="A1481">
        <v>1480</v>
      </c>
      <c r="B1481">
        <v>27</v>
      </c>
      <c r="C1481">
        <v>2</v>
      </c>
      <c r="D1481" s="23">
        <v>43104</v>
      </c>
      <c r="E1481" s="23">
        <v>43191</v>
      </c>
      <c r="F1481" t="s">
        <v>5597</v>
      </c>
      <c r="G1481">
        <v>2</v>
      </c>
      <c r="H1481">
        <v>7</v>
      </c>
      <c r="I1481" t="s">
        <v>6003</v>
      </c>
    </row>
    <row r="1482" spans="1:9" x14ac:dyDescent="0.35">
      <c r="A1482">
        <v>1481</v>
      </c>
      <c r="B1482">
        <v>62</v>
      </c>
      <c r="C1482">
        <v>1</v>
      </c>
      <c r="D1482" s="23">
        <v>43104</v>
      </c>
      <c r="E1482" s="23">
        <v>43191</v>
      </c>
      <c r="F1482" t="s">
        <v>5597</v>
      </c>
      <c r="G1482">
        <v>2</v>
      </c>
      <c r="H1482">
        <v>6</v>
      </c>
      <c r="I1482" t="s">
        <v>6004</v>
      </c>
    </row>
    <row r="1483" spans="1:9" x14ac:dyDescent="0.35">
      <c r="A1483">
        <v>1482</v>
      </c>
      <c r="B1483">
        <v>94</v>
      </c>
      <c r="C1483">
        <v>1</v>
      </c>
      <c r="D1483" s="23">
        <v>43104</v>
      </c>
      <c r="E1483" s="23">
        <v>43191</v>
      </c>
      <c r="F1483" t="s">
        <v>5597</v>
      </c>
      <c r="G1483">
        <v>2</v>
      </c>
      <c r="H1483">
        <v>7</v>
      </c>
      <c r="I1483" t="s">
        <v>6004</v>
      </c>
    </row>
    <row r="1484" spans="1:9" x14ac:dyDescent="0.35">
      <c r="A1484">
        <v>1483</v>
      </c>
      <c r="B1484">
        <v>15</v>
      </c>
      <c r="C1484">
        <v>1</v>
      </c>
      <c r="D1484" s="23">
        <v>43135</v>
      </c>
      <c r="E1484" s="23">
        <v>43192</v>
      </c>
      <c r="F1484" t="s">
        <v>5597</v>
      </c>
      <c r="G1484">
        <v>2</v>
      </c>
      <c r="H1484">
        <v>7</v>
      </c>
      <c r="I1484" t="s">
        <v>6004</v>
      </c>
    </row>
    <row r="1485" spans="1:9" x14ac:dyDescent="0.35">
      <c r="A1485">
        <v>1484</v>
      </c>
      <c r="B1485">
        <v>35</v>
      </c>
      <c r="C1485">
        <v>2</v>
      </c>
      <c r="D1485" s="23">
        <v>43135</v>
      </c>
      <c r="E1485" s="23">
        <v>43192</v>
      </c>
      <c r="F1485" t="s">
        <v>5597</v>
      </c>
      <c r="G1485">
        <v>2</v>
      </c>
      <c r="H1485">
        <v>6</v>
      </c>
      <c r="I1485" t="s">
        <v>6003</v>
      </c>
    </row>
    <row r="1486" spans="1:9" x14ac:dyDescent="0.35">
      <c r="A1486">
        <v>1485</v>
      </c>
      <c r="B1486">
        <v>51</v>
      </c>
      <c r="C1486">
        <v>2</v>
      </c>
      <c r="D1486" s="23">
        <v>43135</v>
      </c>
      <c r="E1486" s="23">
        <v>43192</v>
      </c>
      <c r="F1486" t="s">
        <v>5597</v>
      </c>
      <c r="G1486">
        <v>2</v>
      </c>
      <c r="H1486">
        <v>7</v>
      </c>
      <c r="I1486" t="s">
        <v>6003</v>
      </c>
    </row>
    <row r="1487" spans="1:9" x14ac:dyDescent="0.35">
      <c r="A1487">
        <v>1486</v>
      </c>
      <c r="B1487">
        <v>84</v>
      </c>
      <c r="C1487">
        <v>2</v>
      </c>
      <c r="D1487" s="23">
        <v>43135</v>
      </c>
      <c r="E1487" s="23">
        <v>43192</v>
      </c>
      <c r="F1487" t="s">
        <v>5597</v>
      </c>
      <c r="G1487">
        <v>2</v>
      </c>
      <c r="H1487">
        <v>7</v>
      </c>
      <c r="I1487" t="s">
        <v>6003</v>
      </c>
    </row>
    <row r="1488" spans="1:9" x14ac:dyDescent="0.35">
      <c r="A1488">
        <v>1487</v>
      </c>
      <c r="B1488">
        <v>33</v>
      </c>
      <c r="C1488">
        <v>1</v>
      </c>
      <c r="D1488" s="23">
        <v>43163</v>
      </c>
      <c r="E1488" s="23">
        <v>43193</v>
      </c>
      <c r="F1488" t="s">
        <v>5597</v>
      </c>
      <c r="G1488">
        <v>1</v>
      </c>
      <c r="H1488">
        <v>3</v>
      </c>
      <c r="I1488" t="s">
        <v>6004</v>
      </c>
    </row>
    <row r="1489" spans="1:9" x14ac:dyDescent="0.35">
      <c r="A1489">
        <v>1488</v>
      </c>
      <c r="B1489">
        <v>181</v>
      </c>
      <c r="C1489">
        <v>2</v>
      </c>
      <c r="D1489" s="23">
        <v>43163</v>
      </c>
      <c r="E1489" s="23">
        <v>43193</v>
      </c>
      <c r="F1489" t="s">
        <v>5597</v>
      </c>
      <c r="G1489">
        <v>1</v>
      </c>
      <c r="H1489">
        <v>3</v>
      </c>
      <c r="I1489" t="s">
        <v>6003</v>
      </c>
    </row>
    <row r="1490" spans="1:9" x14ac:dyDescent="0.35">
      <c r="A1490">
        <v>1489</v>
      </c>
      <c r="B1490">
        <v>194</v>
      </c>
      <c r="C1490">
        <v>1</v>
      </c>
      <c r="D1490" s="23">
        <v>43163</v>
      </c>
      <c r="E1490" s="23">
        <v>43193</v>
      </c>
      <c r="F1490" t="s">
        <v>5597</v>
      </c>
      <c r="G1490">
        <v>1</v>
      </c>
      <c r="H1490">
        <v>3</v>
      </c>
      <c r="I1490" t="s">
        <v>6004</v>
      </c>
    </row>
    <row r="1491" spans="1:9" x14ac:dyDescent="0.35">
      <c r="A1491">
        <v>1490</v>
      </c>
      <c r="B1491">
        <v>217</v>
      </c>
      <c r="C1491">
        <v>2</v>
      </c>
      <c r="D1491" s="23">
        <v>43163</v>
      </c>
      <c r="E1491" s="23">
        <v>43193</v>
      </c>
      <c r="F1491" t="s">
        <v>5597</v>
      </c>
      <c r="G1491">
        <v>1</v>
      </c>
      <c r="H1491">
        <v>3</v>
      </c>
      <c r="I1491" t="s">
        <v>6003</v>
      </c>
    </row>
    <row r="1492" spans="1:9" x14ac:dyDescent="0.35">
      <c r="A1492">
        <v>1491</v>
      </c>
      <c r="B1492">
        <v>82</v>
      </c>
      <c r="C1492">
        <v>1</v>
      </c>
      <c r="D1492" s="23">
        <v>43194</v>
      </c>
      <c r="E1492" s="23">
        <v>43194</v>
      </c>
      <c r="F1492" t="s">
        <v>5597</v>
      </c>
      <c r="G1492">
        <v>1</v>
      </c>
      <c r="H1492">
        <v>3</v>
      </c>
      <c r="I1492" t="s">
        <v>6004</v>
      </c>
    </row>
    <row r="1493" spans="1:9" x14ac:dyDescent="0.35">
      <c r="A1493">
        <v>1492</v>
      </c>
      <c r="B1493">
        <v>41</v>
      </c>
      <c r="C1493">
        <v>1</v>
      </c>
      <c r="D1493" s="23">
        <v>43194</v>
      </c>
      <c r="E1493" s="23">
        <v>43194</v>
      </c>
      <c r="F1493" t="s">
        <v>5597</v>
      </c>
      <c r="G1493">
        <v>2</v>
      </c>
      <c r="H1493">
        <v>7</v>
      </c>
      <c r="I1493" t="s">
        <v>6004</v>
      </c>
    </row>
    <row r="1494" spans="1:9" x14ac:dyDescent="0.35">
      <c r="A1494">
        <v>1493</v>
      </c>
      <c r="B1494">
        <v>64</v>
      </c>
      <c r="C1494">
        <v>2</v>
      </c>
      <c r="D1494" s="23">
        <v>43194</v>
      </c>
      <c r="E1494" s="23">
        <v>43194</v>
      </c>
      <c r="F1494" t="s">
        <v>5597</v>
      </c>
      <c r="G1494">
        <v>3</v>
      </c>
      <c r="H1494">
        <v>8</v>
      </c>
      <c r="I1494" t="s">
        <v>6003</v>
      </c>
    </row>
    <row r="1495" spans="1:9" x14ac:dyDescent="0.35">
      <c r="A1495">
        <v>1494</v>
      </c>
      <c r="B1495">
        <v>69</v>
      </c>
      <c r="C1495">
        <v>2</v>
      </c>
      <c r="D1495" s="23">
        <v>43224</v>
      </c>
      <c r="E1495" s="23">
        <v>43195</v>
      </c>
      <c r="F1495" t="s">
        <v>5597</v>
      </c>
      <c r="G1495">
        <v>1</v>
      </c>
      <c r="H1495">
        <v>3</v>
      </c>
      <c r="I1495" t="s">
        <v>6003</v>
      </c>
    </row>
    <row r="1496" spans="1:9" x14ac:dyDescent="0.35">
      <c r="A1496">
        <v>1495</v>
      </c>
      <c r="B1496">
        <v>86</v>
      </c>
      <c r="C1496">
        <v>2</v>
      </c>
      <c r="D1496" s="23">
        <v>43224</v>
      </c>
      <c r="E1496" s="23">
        <v>43195</v>
      </c>
      <c r="F1496" t="s">
        <v>5597</v>
      </c>
      <c r="G1496">
        <v>2</v>
      </c>
      <c r="H1496">
        <v>7</v>
      </c>
      <c r="I1496" t="s">
        <v>6003</v>
      </c>
    </row>
    <row r="1497" spans="1:9" x14ac:dyDescent="0.35">
      <c r="A1497">
        <v>1496</v>
      </c>
      <c r="B1497">
        <v>3</v>
      </c>
      <c r="C1497">
        <v>1</v>
      </c>
      <c r="D1497" s="23">
        <v>43255</v>
      </c>
      <c r="E1497" s="23">
        <v>43196</v>
      </c>
      <c r="F1497" t="s">
        <v>5597</v>
      </c>
      <c r="G1497">
        <v>1</v>
      </c>
      <c r="H1497">
        <v>3</v>
      </c>
      <c r="I1497" t="s">
        <v>6004</v>
      </c>
    </row>
    <row r="1498" spans="1:9" x14ac:dyDescent="0.35">
      <c r="A1498">
        <v>1497</v>
      </c>
      <c r="B1498">
        <v>31</v>
      </c>
      <c r="C1498">
        <v>2</v>
      </c>
      <c r="D1498" s="23">
        <v>43255</v>
      </c>
      <c r="E1498" s="23">
        <v>43196</v>
      </c>
      <c r="F1498" t="s">
        <v>5597</v>
      </c>
      <c r="G1498">
        <v>1</v>
      </c>
      <c r="H1498">
        <v>2</v>
      </c>
      <c r="I1498" t="s">
        <v>6003</v>
      </c>
    </row>
    <row r="1499" spans="1:9" x14ac:dyDescent="0.35">
      <c r="A1499">
        <v>1498</v>
      </c>
      <c r="B1499">
        <v>81</v>
      </c>
      <c r="C1499">
        <v>1</v>
      </c>
      <c r="D1499" s="23">
        <v>43255</v>
      </c>
      <c r="E1499" s="23">
        <v>43196</v>
      </c>
      <c r="F1499" t="s">
        <v>5597</v>
      </c>
      <c r="G1499">
        <v>1</v>
      </c>
      <c r="H1499">
        <v>2</v>
      </c>
      <c r="I1499" t="s">
        <v>6004</v>
      </c>
    </row>
    <row r="1500" spans="1:9" x14ac:dyDescent="0.35">
      <c r="A1500">
        <v>1499</v>
      </c>
      <c r="B1500">
        <v>120</v>
      </c>
      <c r="C1500">
        <v>2</v>
      </c>
      <c r="D1500" s="23">
        <v>43255</v>
      </c>
      <c r="E1500" s="23">
        <v>43196</v>
      </c>
      <c r="F1500" t="s">
        <v>5597</v>
      </c>
      <c r="G1500">
        <v>1</v>
      </c>
      <c r="H1500">
        <v>2</v>
      </c>
      <c r="I1500" t="s">
        <v>6003</v>
      </c>
    </row>
    <row r="1501" spans="1:9" x14ac:dyDescent="0.35">
      <c r="A1501">
        <v>1500</v>
      </c>
      <c r="B1501">
        <v>151</v>
      </c>
      <c r="C1501">
        <v>2</v>
      </c>
      <c r="D1501" s="23">
        <v>43255</v>
      </c>
      <c r="E1501" s="23">
        <v>43196</v>
      </c>
      <c r="F1501" t="s">
        <v>5597</v>
      </c>
      <c r="G1501">
        <v>1</v>
      </c>
      <c r="H1501">
        <v>3</v>
      </c>
      <c r="I1501" t="s">
        <v>6003</v>
      </c>
    </row>
    <row r="1502" spans="1:9" x14ac:dyDescent="0.35">
      <c r="A1502">
        <v>1501</v>
      </c>
      <c r="B1502">
        <v>52</v>
      </c>
      <c r="C1502">
        <v>1</v>
      </c>
      <c r="D1502" s="23">
        <v>43255</v>
      </c>
      <c r="E1502" s="23">
        <v>43196</v>
      </c>
      <c r="F1502" t="s">
        <v>5597</v>
      </c>
      <c r="G1502">
        <v>2</v>
      </c>
      <c r="H1502">
        <v>6</v>
      </c>
      <c r="I1502" t="s">
        <v>6004</v>
      </c>
    </row>
    <row r="1503" spans="1:9" x14ac:dyDescent="0.35">
      <c r="A1503">
        <v>1502</v>
      </c>
      <c r="B1503">
        <v>83</v>
      </c>
      <c r="C1503">
        <v>2</v>
      </c>
      <c r="D1503" s="23">
        <v>43255</v>
      </c>
      <c r="E1503" s="23">
        <v>43196</v>
      </c>
      <c r="F1503" t="s">
        <v>5597</v>
      </c>
      <c r="G1503">
        <v>2</v>
      </c>
      <c r="H1503">
        <v>6</v>
      </c>
      <c r="I1503" t="s">
        <v>6003</v>
      </c>
    </row>
    <row r="1504" spans="1:9" x14ac:dyDescent="0.35">
      <c r="A1504">
        <v>1503</v>
      </c>
      <c r="B1504">
        <v>208</v>
      </c>
      <c r="C1504">
        <v>2</v>
      </c>
      <c r="D1504" s="23">
        <v>43285</v>
      </c>
      <c r="E1504" s="23">
        <v>43197</v>
      </c>
      <c r="F1504" t="s">
        <v>5597</v>
      </c>
      <c r="G1504">
        <v>1</v>
      </c>
      <c r="H1504">
        <v>3</v>
      </c>
      <c r="I1504" t="s">
        <v>6003</v>
      </c>
    </row>
    <row r="1505" spans="1:9" x14ac:dyDescent="0.35">
      <c r="A1505">
        <v>1504</v>
      </c>
      <c r="B1505">
        <v>237</v>
      </c>
      <c r="C1505">
        <v>2</v>
      </c>
      <c r="D1505" s="23">
        <v>43316</v>
      </c>
      <c r="E1505" s="23">
        <v>43198</v>
      </c>
      <c r="F1505" t="s">
        <v>5597</v>
      </c>
      <c r="G1505">
        <v>1</v>
      </c>
      <c r="H1505">
        <v>2</v>
      </c>
      <c r="I1505" t="s">
        <v>6003</v>
      </c>
    </row>
    <row r="1506" spans="1:9" x14ac:dyDescent="0.35">
      <c r="A1506">
        <v>1505</v>
      </c>
      <c r="B1506">
        <v>22</v>
      </c>
      <c r="C1506">
        <v>1</v>
      </c>
      <c r="D1506" s="23">
        <v>43316</v>
      </c>
      <c r="E1506" s="23">
        <v>43198</v>
      </c>
      <c r="F1506" t="s">
        <v>5597</v>
      </c>
      <c r="G1506">
        <v>2</v>
      </c>
      <c r="H1506">
        <v>7</v>
      </c>
      <c r="I1506" t="s">
        <v>6004</v>
      </c>
    </row>
    <row r="1507" spans="1:9" x14ac:dyDescent="0.35">
      <c r="A1507">
        <v>1506</v>
      </c>
      <c r="B1507">
        <v>75</v>
      </c>
      <c r="C1507">
        <v>1</v>
      </c>
      <c r="D1507" s="23">
        <v>43316</v>
      </c>
      <c r="E1507" s="23">
        <v>43198</v>
      </c>
      <c r="F1507" t="s">
        <v>5597</v>
      </c>
      <c r="G1507">
        <v>2</v>
      </c>
      <c r="H1507">
        <v>7</v>
      </c>
      <c r="I1507" t="s">
        <v>6004</v>
      </c>
    </row>
    <row r="1508" spans="1:9" x14ac:dyDescent="0.35">
      <c r="A1508">
        <v>1507</v>
      </c>
      <c r="B1508">
        <v>85</v>
      </c>
      <c r="C1508">
        <v>2</v>
      </c>
      <c r="D1508" s="23">
        <v>43316</v>
      </c>
      <c r="E1508" s="23">
        <v>43198</v>
      </c>
      <c r="F1508" t="s">
        <v>5597</v>
      </c>
      <c r="G1508">
        <v>2</v>
      </c>
      <c r="H1508">
        <v>6</v>
      </c>
      <c r="I1508" t="s">
        <v>6003</v>
      </c>
    </row>
    <row r="1509" spans="1:9" x14ac:dyDescent="0.35">
      <c r="A1509">
        <v>1508</v>
      </c>
      <c r="B1509">
        <v>92</v>
      </c>
      <c r="C1509">
        <v>2</v>
      </c>
      <c r="D1509" s="23">
        <v>43316</v>
      </c>
      <c r="E1509" s="23">
        <v>43198</v>
      </c>
      <c r="F1509" t="s">
        <v>5597</v>
      </c>
      <c r="G1509">
        <v>2</v>
      </c>
      <c r="H1509">
        <v>6</v>
      </c>
      <c r="I1509" t="s">
        <v>6003</v>
      </c>
    </row>
    <row r="1510" spans="1:9" x14ac:dyDescent="0.35">
      <c r="A1510">
        <v>1509</v>
      </c>
      <c r="B1510">
        <v>2</v>
      </c>
      <c r="C1510">
        <v>1</v>
      </c>
      <c r="D1510" s="23">
        <v>43347</v>
      </c>
      <c r="E1510" s="23">
        <v>43199</v>
      </c>
      <c r="F1510" t="s">
        <v>5597</v>
      </c>
      <c r="G1510">
        <v>1</v>
      </c>
      <c r="H1510">
        <v>3</v>
      </c>
      <c r="I1510" t="s">
        <v>6004</v>
      </c>
    </row>
    <row r="1511" spans="1:9" x14ac:dyDescent="0.35">
      <c r="A1511">
        <v>1510</v>
      </c>
      <c r="B1511">
        <v>16</v>
      </c>
      <c r="C1511">
        <v>2</v>
      </c>
      <c r="D1511" s="23">
        <v>43347</v>
      </c>
      <c r="E1511" s="23">
        <v>43199</v>
      </c>
      <c r="F1511" t="s">
        <v>5597</v>
      </c>
      <c r="G1511">
        <v>2</v>
      </c>
      <c r="H1511">
        <v>6</v>
      </c>
      <c r="I1511" t="s">
        <v>6003</v>
      </c>
    </row>
    <row r="1512" spans="1:9" x14ac:dyDescent="0.35">
      <c r="A1512">
        <v>1511</v>
      </c>
      <c r="B1512">
        <v>25</v>
      </c>
      <c r="C1512">
        <v>1</v>
      </c>
      <c r="D1512" s="23">
        <v>43347</v>
      </c>
      <c r="E1512" s="23">
        <v>43199</v>
      </c>
      <c r="F1512" t="s">
        <v>5597</v>
      </c>
      <c r="G1512">
        <v>2</v>
      </c>
      <c r="H1512">
        <v>6</v>
      </c>
      <c r="I1512" t="s">
        <v>6004</v>
      </c>
    </row>
    <row r="1513" spans="1:9" x14ac:dyDescent="0.35">
      <c r="A1513">
        <v>1512</v>
      </c>
      <c r="B1513">
        <v>68</v>
      </c>
      <c r="C1513">
        <v>1</v>
      </c>
      <c r="D1513" s="23">
        <v>43347</v>
      </c>
      <c r="E1513" s="23">
        <v>43199</v>
      </c>
      <c r="F1513" t="s">
        <v>5597</v>
      </c>
      <c r="G1513">
        <v>3</v>
      </c>
      <c r="H1513">
        <v>9</v>
      </c>
      <c r="I1513" t="s">
        <v>6004</v>
      </c>
    </row>
    <row r="1514" spans="1:9" x14ac:dyDescent="0.35">
      <c r="A1514">
        <v>1513</v>
      </c>
      <c r="B1514">
        <v>32</v>
      </c>
      <c r="C1514">
        <v>2</v>
      </c>
      <c r="D1514" s="23">
        <v>43377</v>
      </c>
      <c r="E1514" s="23">
        <v>43200</v>
      </c>
      <c r="F1514" t="s">
        <v>5597</v>
      </c>
      <c r="G1514">
        <v>1</v>
      </c>
      <c r="H1514">
        <v>2</v>
      </c>
      <c r="I1514" t="s">
        <v>6003</v>
      </c>
    </row>
    <row r="1515" spans="1:9" x14ac:dyDescent="0.35">
      <c r="A1515">
        <v>1514</v>
      </c>
      <c r="B1515">
        <v>87</v>
      </c>
      <c r="C1515">
        <v>2</v>
      </c>
      <c r="D1515" s="23">
        <v>43377</v>
      </c>
      <c r="E1515" s="23">
        <v>43200</v>
      </c>
      <c r="F1515" t="s">
        <v>5597</v>
      </c>
      <c r="G1515">
        <v>1</v>
      </c>
      <c r="H1515">
        <v>3</v>
      </c>
      <c r="I1515" t="s">
        <v>6003</v>
      </c>
    </row>
    <row r="1516" spans="1:9" x14ac:dyDescent="0.35">
      <c r="A1516">
        <v>1515</v>
      </c>
      <c r="B1516">
        <v>61</v>
      </c>
      <c r="C1516">
        <v>1</v>
      </c>
      <c r="D1516" s="23">
        <v>43377</v>
      </c>
      <c r="E1516" s="23">
        <v>43200</v>
      </c>
      <c r="F1516" t="s">
        <v>5597</v>
      </c>
      <c r="G1516">
        <v>3</v>
      </c>
      <c r="H1516">
        <v>9</v>
      </c>
      <c r="I1516" t="s">
        <v>6004</v>
      </c>
    </row>
    <row r="1517" spans="1:9" x14ac:dyDescent="0.35">
      <c r="A1517">
        <v>1516</v>
      </c>
      <c r="B1517">
        <v>47</v>
      </c>
      <c r="C1517">
        <v>2</v>
      </c>
      <c r="D1517" s="23">
        <v>43408</v>
      </c>
      <c r="E1517" s="23">
        <v>43201</v>
      </c>
      <c r="F1517" t="s">
        <v>5597</v>
      </c>
      <c r="G1517">
        <v>1</v>
      </c>
      <c r="H1517">
        <v>3</v>
      </c>
      <c r="I1517" t="s">
        <v>6003</v>
      </c>
    </row>
    <row r="1518" spans="1:9" x14ac:dyDescent="0.35">
      <c r="A1518">
        <v>1517</v>
      </c>
      <c r="B1518">
        <v>97</v>
      </c>
      <c r="C1518">
        <v>1</v>
      </c>
      <c r="D1518" s="23">
        <v>43408</v>
      </c>
      <c r="E1518" s="23">
        <v>43201</v>
      </c>
      <c r="F1518" t="s">
        <v>5597</v>
      </c>
      <c r="G1518">
        <v>1</v>
      </c>
      <c r="H1518">
        <v>2</v>
      </c>
      <c r="I1518" t="s">
        <v>6004</v>
      </c>
    </row>
    <row r="1519" spans="1:9" x14ac:dyDescent="0.35">
      <c r="A1519">
        <v>1518</v>
      </c>
      <c r="B1519">
        <v>175</v>
      </c>
      <c r="C1519">
        <v>1</v>
      </c>
      <c r="D1519" s="23">
        <v>43408</v>
      </c>
      <c r="E1519" s="23">
        <v>43201</v>
      </c>
      <c r="F1519" t="s">
        <v>5597</v>
      </c>
      <c r="G1519">
        <v>1</v>
      </c>
      <c r="H1519">
        <v>2</v>
      </c>
      <c r="I1519" t="s">
        <v>6004</v>
      </c>
    </row>
    <row r="1520" spans="1:9" x14ac:dyDescent="0.35">
      <c r="A1520">
        <v>1519</v>
      </c>
      <c r="B1520">
        <v>26</v>
      </c>
      <c r="C1520">
        <v>2</v>
      </c>
      <c r="D1520" s="23">
        <v>43408</v>
      </c>
      <c r="E1520" s="23">
        <v>43201</v>
      </c>
      <c r="F1520" t="s">
        <v>5597</v>
      </c>
      <c r="G1520">
        <v>2</v>
      </c>
      <c r="H1520">
        <v>7</v>
      </c>
      <c r="I1520" t="s">
        <v>6003</v>
      </c>
    </row>
    <row r="1521" spans="1:9" x14ac:dyDescent="0.35">
      <c r="A1521">
        <v>1520</v>
      </c>
      <c r="B1521">
        <v>66</v>
      </c>
      <c r="C1521">
        <v>2</v>
      </c>
      <c r="D1521" s="23">
        <v>43408</v>
      </c>
      <c r="E1521" s="23">
        <v>43201</v>
      </c>
      <c r="F1521" t="s">
        <v>5597</v>
      </c>
      <c r="G1521">
        <v>3</v>
      </c>
      <c r="H1521">
        <v>8</v>
      </c>
      <c r="I1521" t="s">
        <v>6003</v>
      </c>
    </row>
    <row r="1522" spans="1:9" x14ac:dyDescent="0.35">
      <c r="A1522">
        <v>1521</v>
      </c>
      <c r="B1522">
        <v>53</v>
      </c>
      <c r="C1522">
        <v>1</v>
      </c>
      <c r="D1522" s="23">
        <v>43438</v>
      </c>
      <c r="E1522" s="23">
        <v>43202</v>
      </c>
      <c r="F1522" t="s">
        <v>5597</v>
      </c>
      <c r="G1522">
        <v>1</v>
      </c>
      <c r="H1522">
        <v>3</v>
      </c>
      <c r="I1522" t="s">
        <v>6004</v>
      </c>
    </row>
    <row r="1523" spans="1:9" x14ac:dyDescent="0.35">
      <c r="A1523">
        <v>1522</v>
      </c>
      <c r="B1523">
        <v>78</v>
      </c>
      <c r="C1523">
        <v>1</v>
      </c>
      <c r="D1523" s="23">
        <v>43438</v>
      </c>
      <c r="E1523" s="23">
        <v>43202</v>
      </c>
      <c r="F1523" t="s">
        <v>5597</v>
      </c>
      <c r="G1523">
        <v>1</v>
      </c>
      <c r="H1523">
        <v>3</v>
      </c>
      <c r="I1523" t="s">
        <v>6004</v>
      </c>
    </row>
    <row r="1524" spans="1:9" x14ac:dyDescent="0.35">
      <c r="A1524">
        <v>1523</v>
      </c>
      <c r="B1524">
        <v>8</v>
      </c>
      <c r="C1524">
        <v>1</v>
      </c>
      <c r="D1524" s="23">
        <v>43438</v>
      </c>
      <c r="E1524" s="23">
        <v>43202</v>
      </c>
      <c r="F1524" t="s">
        <v>5597</v>
      </c>
      <c r="G1524">
        <v>2</v>
      </c>
      <c r="H1524">
        <v>7</v>
      </c>
      <c r="I1524" t="s">
        <v>6004</v>
      </c>
    </row>
    <row r="1525" spans="1:9" x14ac:dyDescent="0.35">
      <c r="A1525">
        <v>1524</v>
      </c>
      <c r="B1525">
        <v>37</v>
      </c>
      <c r="C1525">
        <v>1</v>
      </c>
      <c r="D1525" s="23">
        <v>43438</v>
      </c>
      <c r="E1525" s="23">
        <v>43202</v>
      </c>
      <c r="F1525" t="s">
        <v>5597</v>
      </c>
      <c r="G1525">
        <v>2</v>
      </c>
      <c r="H1525">
        <v>6</v>
      </c>
      <c r="I1525" t="s">
        <v>6004</v>
      </c>
    </row>
    <row r="1526" spans="1:9" x14ac:dyDescent="0.35">
      <c r="A1526">
        <v>1525</v>
      </c>
      <c r="B1526">
        <v>38</v>
      </c>
      <c r="C1526">
        <v>2</v>
      </c>
      <c r="D1526" s="23">
        <v>43438</v>
      </c>
      <c r="E1526" s="23">
        <v>43202</v>
      </c>
      <c r="F1526" t="s">
        <v>5597</v>
      </c>
      <c r="G1526">
        <v>2</v>
      </c>
      <c r="H1526">
        <v>7</v>
      </c>
      <c r="I1526" t="s">
        <v>6003</v>
      </c>
    </row>
    <row r="1527" spans="1:9" x14ac:dyDescent="0.35">
      <c r="A1527">
        <v>1526</v>
      </c>
      <c r="B1527">
        <v>59</v>
      </c>
      <c r="C1527">
        <v>2</v>
      </c>
      <c r="D1527" s="23">
        <v>43438</v>
      </c>
      <c r="E1527" s="23">
        <v>43202</v>
      </c>
      <c r="F1527" t="s">
        <v>5597</v>
      </c>
      <c r="G1527">
        <v>2</v>
      </c>
      <c r="H1527">
        <v>7</v>
      </c>
      <c r="I1527" t="s">
        <v>6003</v>
      </c>
    </row>
    <row r="1528" spans="1:9" x14ac:dyDescent="0.35">
      <c r="A1528">
        <v>1527</v>
      </c>
      <c r="B1528">
        <v>13</v>
      </c>
      <c r="C1528">
        <v>2</v>
      </c>
      <c r="D1528" s="23">
        <v>43438</v>
      </c>
      <c r="E1528" s="23">
        <v>43202</v>
      </c>
      <c r="F1528" t="s">
        <v>5597</v>
      </c>
      <c r="G1528">
        <v>3</v>
      </c>
      <c r="H1528">
        <v>9</v>
      </c>
      <c r="I1528" t="s">
        <v>6003</v>
      </c>
    </row>
    <row r="1529" spans="1:9" x14ac:dyDescent="0.35">
      <c r="A1529">
        <v>1528</v>
      </c>
      <c r="B1529">
        <v>20</v>
      </c>
      <c r="C1529">
        <v>1</v>
      </c>
      <c r="D1529" s="23">
        <v>43438</v>
      </c>
      <c r="E1529" s="23">
        <v>43202</v>
      </c>
      <c r="F1529" t="s">
        <v>5597</v>
      </c>
      <c r="G1529">
        <v>3</v>
      </c>
      <c r="H1529">
        <v>8</v>
      </c>
      <c r="I1529" t="s">
        <v>6004</v>
      </c>
    </row>
    <row r="1530" spans="1:9" x14ac:dyDescent="0.35">
      <c r="A1530">
        <v>1529</v>
      </c>
      <c r="B1530">
        <v>50</v>
      </c>
      <c r="C1530">
        <v>1</v>
      </c>
      <c r="D1530" s="23">
        <v>43438</v>
      </c>
      <c r="E1530" s="23">
        <v>43202</v>
      </c>
      <c r="F1530" t="s">
        <v>5597</v>
      </c>
      <c r="G1530">
        <v>3</v>
      </c>
      <c r="H1530">
        <v>8</v>
      </c>
      <c r="I1530" t="s">
        <v>6004</v>
      </c>
    </row>
    <row r="1531" spans="1:9" x14ac:dyDescent="0.35">
      <c r="A1531">
        <v>1530</v>
      </c>
      <c r="B1531">
        <v>110</v>
      </c>
      <c r="C1531">
        <v>1</v>
      </c>
      <c r="D1531" t="s">
        <v>6005</v>
      </c>
      <c r="E1531" s="23">
        <v>43203</v>
      </c>
      <c r="F1531" t="s">
        <v>5597</v>
      </c>
      <c r="G1531">
        <v>1</v>
      </c>
      <c r="H1531">
        <v>2</v>
      </c>
      <c r="I1531" t="s">
        <v>6004</v>
      </c>
    </row>
    <row r="1532" spans="1:9" x14ac:dyDescent="0.35">
      <c r="A1532">
        <v>1531</v>
      </c>
      <c r="B1532">
        <v>233</v>
      </c>
      <c r="C1532">
        <v>1</v>
      </c>
      <c r="D1532" t="s">
        <v>6005</v>
      </c>
      <c r="E1532" s="23">
        <v>43203</v>
      </c>
      <c r="F1532" t="s">
        <v>5597</v>
      </c>
      <c r="G1532">
        <v>1</v>
      </c>
      <c r="H1532">
        <v>2</v>
      </c>
      <c r="I1532" t="s">
        <v>6004</v>
      </c>
    </row>
    <row r="1533" spans="1:9" x14ac:dyDescent="0.35">
      <c r="A1533">
        <v>1532</v>
      </c>
      <c r="B1533">
        <v>7</v>
      </c>
      <c r="C1533">
        <v>2</v>
      </c>
      <c r="D1533" t="s">
        <v>6005</v>
      </c>
      <c r="E1533" s="23">
        <v>43203</v>
      </c>
      <c r="F1533" t="s">
        <v>5597</v>
      </c>
      <c r="G1533">
        <v>2</v>
      </c>
      <c r="H1533">
        <v>7</v>
      </c>
      <c r="I1533" t="s">
        <v>6003</v>
      </c>
    </row>
    <row r="1534" spans="1:9" x14ac:dyDescent="0.35">
      <c r="A1534">
        <v>1533</v>
      </c>
      <c r="B1534">
        <v>28</v>
      </c>
      <c r="C1534">
        <v>2</v>
      </c>
      <c r="D1534" t="s">
        <v>6005</v>
      </c>
      <c r="E1534" s="23">
        <v>43203</v>
      </c>
      <c r="F1534" t="s">
        <v>5597</v>
      </c>
      <c r="G1534">
        <v>2</v>
      </c>
      <c r="H1534">
        <v>6</v>
      </c>
      <c r="I1534" t="s">
        <v>6003</v>
      </c>
    </row>
    <row r="1535" spans="1:9" x14ac:dyDescent="0.35">
      <c r="A1535">
        <v>1534</v>
      </c>
      <c r="B1535">
        <v>18</v>
      </c>
      <c r="C1535">
        <v>2</v>
      </c>
      <c r="D1535" t="s">
        <v>6006</v>
      </c>
      <c r="E1535" s="23">
        <v>43204</v>
      </c>
      <c r="F1535" t="s">
        <v>5597</v>
      </c>
      <c r="G1535">
        <v>2</v>
      </c>
      <c r="H1535">
        <v>7</v>
      </c>
      <c r="I1535" t="s">
        <v>6003</v>
      </c>
    </row>
    <row r="1536" spans="1:9" x14ac:dyDescent="0.35">
      <c r="A1536">
        <v>1535</v>
      </c>
      <c r="B1536">
        <v>19</v>
      </c>
      <c r="C1536">
        <v>2</v>
      </c>
      <c r="D1536" t="s">
        <v>6006</v>
      </c>
      <c r="E1536" s="23">
        <v>43204</v>
      </c>
      <c r="F1536" t="s">
        <v>5597</v>
      </c>
      <c r="G1536">
        <v>2</v>
      </c>
      <c r="H1536">
        <v>7</v>
      </c>
      <c r="I1536" t="s">
        <v>6003</v>
      </c>
    </row>
    <row r="1537" spans="1:9" x14ac:dyDescent="0.35">
      <c r="A1537">
        <v>1536</v>
      </c>
      <c r="B1537">
        <v>34</v>
      </c>
      <c r="C1537">
        <v>2</v>
      </c>
      <c r="D1537" t="s">
        <v>6006</v>
      </c>
      <c r="E1537" s="23">
        <v>43204</v>
      </c>
      <c r="F1537" t="s">
        <v>5597</v>
      </c>
      <c r="G1537">
        <v>2</v>
      </c>
      <c r="H1537">
        <v>7</v>
      </c>
      <c r="I1537" t="s">
        <v>6003</v>
      </c>
    </row>
    <row r="1538" spans="1:9" x14ac:dyDescent="0.35">
      <c r="A1538">
        <v>1537</v>
      </c>
      <c r="B1538">
        <v>36</v>
      </c>
      <c r="C1538">
        <v>1</v>
      </c>
      <c r="D1538" t="s">
        <v>6007</v>
      </c>
      <c r="E1538" s="23">
        <v>43205</v>
      </c>
      <c r="F1538" t="s">
        <v>5597</v>
      </c>
      <c r="G1538">
        <v>2</v>
      </c>
      <c r="H1538">
        <v>6</v>
      </c>
      <c r="I1538" t="s">
        <v>6004</v>
      </c>
    </row>
    <row r="1539" spans="1:9" x14ac:dyDescent="0.35">
      <c r="A1539">
        <v>1538</v>
      </c>
      <c r="B1539">
        <v>79</v>
      </c>
      <c r="C1539">
        <v>2</v>
      </c>
      <c r="D1539" t="s">
        <v>6007</v>
      </c>
      <c r="E1539" s="23">
        <v>43205</v>
      </c>
      <c r="F1539" t="s">
        <v>5597</v>
      </c>
      <c r="G1539">
        <v>2</v>
      </c>
      <c r="H1539">
        <v>6</v>
      </c>
      <c r="I1539" t="s">
        <v>6003</v>
      </c>
    </row>
    <row r="1540" spans="1:9" x14ac:dyDescent="0.35">
      <c r="A1540">
        <v>1539</v>
      </c>
      <c r="B1540">
        <v>116</v>
      </c>
      <c r="C1540">
        <v>1</v>
      </c>
      <c r="D1540" t="s">
        <v>6007</v>
      </c>
      <c r="E1540" s="23">
        <v>43205</v>
      </c>
      <c r="F1540" t="s">
        <v>5597</v>
      </c>
      <c r="G1540">
        <v>3</v>
      </c>
      <c r="H1540">
        <v>9</v>
      </c>
      <c r="I1540" t="s">
        <v>6004</v>
      </c>
    </row>
    <row r="1541" spans="1:9" x14ac:dyDescent="0.35">
      <c r="A1541">
        <v>1540</v>
      </c>
      <c r="B1541">
        <v>187</v>
      </c>
      <c r="C1541">
        <v>1</v>
      </c>
      <c r="D1541" t="s">
        <v>6008</v>
      </c>
      <c r="E1541" s="23">
        <v>43206</v>
      </c>
      <c r="F1541" t="s">
        <v>5597</v>
      </c>
      <c r="G1541">
        <v>1</v>
      </c>
      <c r="H1541">
        <v>2</v>
      </c>
      <c r="I1541" t="s">
        <v>6004</v>
      </c>
    </row>
    <row r="1542" spans="1:9" x14ac:dyDescent="0.35">
      <c r="A1542">
        <v>1541</v>
      </c>
      <c r="B1542">
        <v>10</v>
      </c>
      <c r="C1542">
        <v>2</v>
      </c>
      <c r="D1542" t="s">
        <v>6008</v>
      </c>
      <c r="E1542" s="23">
        <v>43206</v>
      </c>
      <c r="F1542" t="s">
        <v>5597</v>
      </c>
      <c r="G1542">
        <v>2</v>
      </c>
      <c r="H1542">
        <v>7</v>
      </c>
      <c r="I1542" t="s">
        <v>6003</v>
      </c>
    </row>
    <row r="1543" spans="1:9" x14ac:dyDescent="0.35">
      <c r="A1543">
        <v>1542</v>
      </c>
      <c r="B1543">
        <v>58</v>
      </c>
      <c r="C1543">
        <v>2</v>
      </c>
      <c r="D1543" t="s">
        <v>6008</v>
      </c>
      <c r="E1543" s="23">
        <v>43206</v>
      </c>
      <c r="F1543" t="s">
        <v>5597</v>
      </c>
      <c r="G1543">
        <v>2</v>
      </c>
      <c r="H1543">
        <v>6</v>
      </c>
      <c r="I1543" t="s">
        <v>6003</v>
      </c>
    </row>
    <row r="1544" spans="1:9" x14ac:dyDescent="0.35">
      <c r="A1544">
        <v>1543</v>
      </c>
      <c r="B1544">
        <v>76</v>
      </c>
      <c r="C1544">
        <v>1</v>
      </c>
      <c r="D1544" t="s">
        <v>6008</v>
      </c>
      <c r="E1544" s="23">
        <v>43206</v>
      </c>
      <c r="F1544" t="s">
        <v>5597</v>
      </c>
      <c r="G1544">
        <v>2</v>
      </c>
      <c r="H1544">
        <v>6</v>
      </c>
      <c r="I1544" t="s">
        <v>6004</v>
      </c>
    </row>
    <row r="1545" spans="1:9" x14ac:dyDescent="0.35">
      <c r="A1545">
        <v>1544</v>
      </c>
      <c r="B1545">
        <v>5</v>
      </c>
      <c r="C1545">
        <v>1</v>
      </c>
      <c r="D1545" t="s">
        <v>6009</v>
      </c>
      <c r="E1545" s="23">
        <v>43207</v>
      </c>
      <c r="F1545" t="s">
        <v>5597</v>
      </c>
      <c r="G1545">
        <v>1</v>
      </c>
      <c r="H1545">
        <v>2</v>
      </c>
      <c r="I1545" t="s">
        <v>6004</v>
      </c>
    </row>
    <row r="1546" spans="1:9" x14ac:dyDescent="0.35">
      <c r="A1546">
        <v>1545</v>
      </c>
      <c r="B1546">
        <v>67</v>
      </c>
      <c r="C1546">
        <v>1</v>
      </c>
      <c r="D1546" t="s">
        <v>6009</v>
      </c>
      <c r="E1546" s="23">
        <v>43207</v>
      </c>
      <c r="F1546" t="s">
        <v>5597</v>
      </c>
      <c r="G1546">
        <v>1</v>
      </c>
      <c r="H1546">
        <v>3</v>
      </c>
      <c r="I1546" t="s">
        <v>6004</v>
      </c>
    </row>
    <row r="1547" spans="1:9" x14ac:dyDescent="0.35">
      <c r="A1547">
        <v>1546</v>
      </c>
      <c r="B1547">
        <v>91</v>
      </c>
      <c r="C1547">
        <v>2</v>
      </c>
      <c r="D1547" t="s">
        <v>6009</v>
      </c>
      <c r="E1547" s="23">
        <v>43207</v>
      </c>
      <c r="F1547" t="s">
        <v>5597</v>
      </c>
      <c r="G1547">
        <v>1</v>
      </c>
      <c r="H1547">
        <v>3</v>
      </c>
      <c r="I1547" t="s">
        <v>6003</v>
      </c>
    </row>
    <row r="1548" spans="1:9" x14ac:dyDescent="0.35">
      <c r="A1548">
        <v>1547</v>
      </c>
      <c r="B1548">
        <v>169</v>
      </c>
      <c r="C1548">
        <v>1</v>
      </c>
      <c r="D1548" t="s">
        <v>6009</v>
      </c>
      <c r="E1548" s="23">
        <v>43207</v>
      </c>
      <c r="F1548" t="s">
        <v>5597</v>
      </c>
      <c r="G1548">
        <v>1</v>
      </c>
      <c r="H1548">
        <v>3</v>
      </c>
      <c r="I1548" t="s">
        <v>6004</v>
      </c>
    </row>
    <row r="1549" spans="1:9" x14ac:dyDescent="0.35">
      <c r="A1549">
        <v>1548</v>
      </c>
      <c r="B1549">
        <v>170</v>
      </c>
      <c r="C1549">
        <v>1</v>
      </c>
      <c r="D1549" t="s">
        <v>6009</v>
      </c>
      <c r="E1549" s="23">
        <v>43207</v>
      </c>
      <c r="F1549" t="s">
        <v>5597</v>
      </c>
      <c r="G1549">
        <v>1</v>
      </c>
      <c r="H1549">
        <v>2</v>
      </c>
      <c r="I1549" t="s">
        <v>6004</v>
      </c>
    </row>
    <row r="1550" spans="1:9" x14ac:dyDescent="0.35">
      <c r="A1550">
        <v>1549</v>
      </c>
      <c r="B1550">
        <v>17</v>
      </c>
      <c r="C1550">
        <v>1</v>
      </c>
      <c r="D1550" t="s">
        <v>6009</v>
      </c>
      <c r="E1550" s="23">
        <v>43207</v>
      </c>
      <c r="F1550" t="s">
        <v>5597</v>
      </c>
      <c r="G1550">
        <v>2</v>
      </c>
      <c r="H1550">
        <v>7</v>
      </c>
      <c r="I1550" t="s">
        <v>6004</v>
      </c>
    </row>
    <row r="1551" spans="1:9" x14ac:dyDescent="0.35">
      <c r="A1551">
        <v>1550</v>
      </c>
      <c r="B1551">
        <v>39</v>
      </c>
      <c r="C1551">
        <v>1</v>
      </c>
      <c r="D1551" t="s">
        <v>6009</v>
      </c>
      <c r="E1551" s="23">
        <v>43207</v>
      </c>
      <c r="F1551" t="s">
        <v>5597</v>
      </c>
      <c r="G1551">
        <v>2</v>
      </c>
      <c r="H1551">
        <v>6</v>
      </c>
      <c r="I1551" t="s">
        <v>6004</v>
      </c>
    </row>
    <row r="1552" spans="1:9" x14ac:dyDescent="0.35">
      <c r="A1552">
        <v>1551</v>
      </c>
      <c r="B1552">
        <v>70</v>
      </c>
      <c r="C1552">
        <v>1</v>
      </c>
      <c r="D1552" t="s">
        <v>6009</v>
      </c>
      <c r="E1552" s="23">
        <v>43207</v>
      </c>
      <c r="F1552" t="s">
        <v>5597</v>
      </c>
      <c r="G1552">
        <v>2</v>
      </c>
      <c r="H1552">
        <v>7</v>
      </c>
      <c r="I1552" t="s">
        <v>6004</v>
      </c>
    </row>
    <row r="1553" spans="1:9" x14ac:dyDescent="0.35">
      <c r="A1553">
        <v>1552</v>
      </c>
      <c r="B1553">
        <v>73</v>
      </c>
      <c r="C1553">
        <v>1</v>
      </c>
      <c r="D1553" t="s">
        <v>6009</v>
      </c>
      <c r="E1553" s="23">
        <v>43207</v>
      </c>
      <c r="F1553" t="s">
        <v>5597</v>
      </c>
      <c r="G1553">
        <v>2</v>
      </c>
      <c r="H1553">
        <v>7</v>
      </c>
      <c r="I1553" t="s">
        <v>6004</v>
      </c>
    </row>
    <row r="1554" spans="1:9" x14ac:dyDescent="0.35">
      <c r="A1554">
        <v>1553</v>
      </c>
      <c r="B1554">
        <v>30</v>
      </c>
      <c r="C1554">
        <v>2</v>
      </c>
      <c r="D1554" t="s">
        <v>6010</v>
      </c>
      <c r="E1554" s="23">
        <v>43208</v>
      </c>
      <c r="F1554" t="s">
        <v>5597</v>
      </c>
      <c r="G1554">
        <v>1</v>
      </c>
      <c r="H1554">
        <v>3</v>
      </c>
      <c r="I1554" t="s">
        <v>6003</v>
      </c>
    </row>
    <row r="1555" spans="1:9" x14ac:dyDescent="0.35">
      <c r="A1555">
        <v>1554</v>
      </c>
      <c r="B1555">
        <v>172</v>
      </c>
      <c r="C1555">
        <v>1</v>
      </c>
      <c r="D1555" t="s">
        <v>6010</v>
      </c>
      <c r="E1555" s="23">
        <v>43208</v>
      </c>
      <c r="F1555" t="s">
        <v>5597</v>
      </c>
      <c r="G1555">
        <v>1</v>
      </c>
      <c r="H1555">
        <v>3</v>
      </c>
      <c r="I1555" t="s">
        <v>6004</v>
      </c>
    </row>
    <row r="1556" spans="1:9" x14ac:dyDescent="0.35">
      <c r="A1556">
        <v>1555</v>
      </c>
      <c r="B1556">
        <v>1</v>
      </c>
      <c r="C1556">
        <v>1</v>
      </c>
      <c r="D1556" t="s">
        <v>6010</v>
      </c>
      <c r="E1556" s="23">
        <v>43208</v>
      </c>
      <c r="F1556" t="s">
        <v>5597</v>
      </c>
      <c r="G1556">
        <v>2</v>
      </c>
      <c r="H1556">
        <v>7</v>
      </c>
      <c r="I1556" t="s">
        <v>6004</v>
      </c>
    </row>
    <row r="1557" spans="1:9" x14ac:dyDescent="0.35">
      <c r="A1557">
        <v>1556</v>
      </c>
      <c r="B1557">
        <v>4</v>
      </c>
      <c r="C1557">
        <v>2</v>
      </c>
      <c r="D1557" t="s">
        <v>6010</v>
      </c>
      <c r="E1557" s="23">
        <v>43208</v>
      </c>
      <c r="F1557" t="s">
        <v>5597</v>
      </c>
      <c r="G1557">
        <v>2</v>
      </c>
      <c r="H1557">
        <v>6</v>
      </c>
      <c r="I1557" t="s">
        <v>6003</v>
      </c>
    </row>
    <row r="1558" spans="1:9" x14ac:dyDescent="0.35">
      <c r="A1558">
        <v>1557</v>
      </c>
      <c r="B1558">
        <v>121</v>
      </c>
      <c r="C1558">
        <v>2</v>
      </c>
      <c r="D1558" t="s">
        <v>6011</v>
      </c>
      <c r="E1558" s="23">
        <v>43209</v>
      </c>
      <c r="F1558" t="s">
        <v>5597</v>
      </c>
      <c r="G1558">
        <v>1</v>
      </c>
      <c r="H1558">
        <v>3</v>
      </c>
      <c r="I1558" t="s">
        <v>6003</v>
      </c>
    </row>
    <row r="1559" spans="1:9" x14ac:dyDescent="0.35">
      <c r="A1559">
        <v>1558</v>
      </c>
      <c r="B1559">
        <v>63</v>
      </c>
      <c r="C1559">
        <v>1</v>
      </c>
      <c r="D1559" t="s">
        <v>6011</v>
      </c>
      <c r="E1559" s="23">
        <v>43209</v>
      </c>
      <c r="F1559" t="s">
        <v>5597</v>
      </c>
      <c r="G1559">
        <v>2</v>
      </c>
      <c r="H1559">
        <v>6</v>
      </c>
      <c r="I1559" t="s">
        <v>6004</v>
      </c>
    </row>
    <row r="1560" spans="1:9" x14ac:dyDescent="0.35">
      <c r="A1560">
        <v>1559</v>
      </c>
      <c r="B1560">
        <v>42</v>
      </c>
      <c r="C1560">
        <v>2</v>
      </c>
      <c r="D1560" t="s">
        <v>6012</v>
      </c>
      <c r="E1560" s="23">
        <v>43210</v>
      </c>
      <c r="F1560" t="s">
        <v>5597</v>
      </c>
      <c r="G1560">
        <v>2</v>
      </c>
      <c r="H1560">
        <v>6</v>
      </c>
      <c r="I1560" t="s">
        <v>6003</v>
      </c>
    </row>
    <row r="1561" spans="1:9" x14ac:dyDescent="0.35">
      <c r="A1561">
        <v>1560</v>
      </c>
      <c r="B1561">
        <v>57</v>
      </c>
      <c r="C1561">
        <v>1</v>
      </c>
      <c r="D1561" t="s">
        <v>6012</v>
      </c>
      <c r="E1561" s="23">
        <v>43210</v>
      </c>
      <c r="F1561" t="s">
        <v>5597</v>
      </c>
      <c r="G1561">
        <v>2</v>
      </c>
      <c r="H1561">
        <v>7</v>
      </c>
      <c r="I1561" t="s">
        <v>6004</v>
      </c>
    </row>
    <row r="1562" spans="1:9" x14ac:dyDescent="0.35">
      <c r="A1562">
        <v>1561</v>
      </c>
      <c r="B1562">
        <v>65</v>
      </c>
      <c r="C1562">
        <v>2</v>
      </c>
      <c r="D1562" t="s">
        <v>6012</v>
      </c>
      <c r="E1562" s="23">
        <v>43210</v>
      </c>
      <c r="F1562" t="s">
        <v>5597</v>
      </c>
      <c r="G1562">
        <v>2</v>
      </c>
      <c r="H1562">
        <v>7</v>
      </c>
      <c r="I1562" t="s">
        <v>6003</v>
      </c>
    </row>
    <row r="1563" spans="1:9" x14ac:dyDescent="0.35">
      <c r="A1563">
        <v>1562</v>
      </c>
      <c r="B1563">
        <v>88</v>
      </c>
      <c r="C1563">
        <v>1</v>
      </c>
      <c r="D1563" t="s">
        <v>6012</v>
      </c>
      <c r="E1563" s="23">
        <v>43210</v>
      </c>
      <c r="F1563" t="s">
        <v>5597</v>
      </c>
      <c r="G1563">
        <v>2</v>
      </c>
      <c r="H1563">
        <v>7</v>
      </c>
      <c r="I1563" t="s">
        <v>6004</v>
      </c>
    </row>
    <row r="1564" spans="1:9" x14ac:dyDescent="0.35">
      <c r="A1564">
        <v>1563</v>
      </c>
      <c r="B1564">
        <v>77</v>
      </c>
      <c r="C1564">
        <v>2</v>
      </c>
      <c r="D1564" t="s">
        <v>6012</v>
      </c>
      <c r="E1564" s="23">
        <v>43210</v>
      </c>
      <c r="F1564" t="s">
        <v>5597</v>
      </c>
      <c r="G1564">
        <v>3</v>
      </c>
      <c r="H1564">
        <v>9</v>
      </c>
      <c r="I1564" t="s">
        <v>6003</v>
      </c>
    </row>
    <row r="1565" spans="1:9" x14ac:dyDescent="0.35">
      <c r="A1565">
        <v>1564</v>
      </c>
      <c r="B1565">
        <v>46</v>
      </c>
      <c r="C1565">
        <v>1</v>
      </c>
      <c r="D1565" t="s">
        <v>6013</v>
      </c>
      <c r="E1565" s="23">
        <v>43211</v>
      </c>
      <c r="F1565" t="s">
        <v>5597</v>
      </c>
      <c r="G1565">
        <v>1</v>
      </c>
      <c r="H1565">
        <v>3</v>
      </c>
      <c r="I1565" t="s">
        <v>6004</v>
      </c>
    </row>
    <row r="1566" spans="1:9" x14ac:dyDescent="0.35">
      <c r="A1566">
        <v>1565</v>
      </c>
      <c r="B1566">
        <v>60</v>
      </c>
      <c r="C1566">
        <v>2</v>
      </c>
      <c r="D1566" t="s">
        <v>6013</v>
      </c>
      <c r="E1566" s="23">
        <v>43211</v>
      </c>
      <c r="F1566" t="s">
        <v>5597</v>
      </c>
      <c r="G1566">
        <v>1</v>
      </c>
      <c r="H1566">
        <v>2</v>
      </c>
      <c r="I1566" t="s">
        <v>6003</v>
      </c>
    </row>
    <row r="1567" spans="1:9" x14ac:dyDescent="0.35">
      <c r="A1567">
        <v>1566</v>
      </c>
      <c r="B1567">
        <v>72</v>
      </c>
      <c r="C1567">
        <v>1</v>
      </c>
      <c r="D1567" t="s">
        <v>6013</v>
      </c>
      <c r="E1567" s="23">
        <v>43211</v>
      </c>
      <c r="F1567" t="s">
        <v>5597</v>
      </c>
      <c r="G1567">
        <v>1</v>
      </c>
      <c r="H1567">
        <v>3</v>
      </c>
      <c r="I1567" t="s">
        <v>6004</v>
      </c>
    </row>
    <row r="1568" spans="1:9" x14ac:dyDescent="0.35">
      <c r="A1568">
        <v>1567</v>
      </c>
      <c r="B1568">
        <v>89</v>
      </c>
      <c r="C1568">
        <v>2</v>
      </c>
      <c r="D1568" t="s">
        <v>6013</v>
      </c>
      <c r="E1568" s="23">
        <v>43211</v>
      </c>
      <c r="F1568" t="s">
        <v>5597</v>
      </c>
      <c r="G1568">
        <v>1</v>
      </c>
      <c r="H1568">
        <v>2</v>
      </c>
      <c r="I1568" t="s">
        <v>6003</v>
      </c>
    </row>
    <row r="1569" spans="1:9" x14ac:dyDescent="0.35">
      <c r="A1569">
        <v>1568</v>
      </c>
      <c r="B1569">
        <v>192</v>
      </c>
      <c r="C1569">
        <v>2</v>
      </c>
      <c r="D1569" t="s">
        <v>6013</v>
      </c>
      <c r="E1569" s="23">
        <v>43211</v>
      </c>
      <c r="F1569" t="s">
        <v>5597</v>
      </c>
      <c r="G1569">
        <v>1</v>
      </c>
      <c r="H1569">
        <v>3</v>
      </c>
      <c r="I1569" t="s">
        <v>6003</v>
      </c>
    </row>
    <row r="1570" spans="1:9" x14ac:dyDescent="0.35">
      <c r="A1570">
        <v>1569</v>
      </c>
      <c r="B1570">
        <v>29</v>
      </c>
      <c r="C1570">
        <v>2</v>
      </c>
      <c r="D1570" t="s">
        <v>6014</v>
      </c>
      <c r="E1570" s="23">
        <v>43212</v>
      </c>
      <c r="F1570" t="s">
        <v>5597</v>
      </c>
      <c r="G1570">
        <v>2</v>
      </c>
      <c r="H1570">
        <v>7</v>
      </c>
      <c r="I1570" t="s">
        <v>6003</v>
      </c>
    </row>
    <row r="1571" spans="1:9" x14ac:dyDescent="0.35">
      <c r="A1571">
        <v>1570</v>
      </c>
      <c r="B1571">
        <v>54</v>
      </c>
      <c r="C1571">
        <v>2</v>
      </c>
      <c r="D1571" t="s">
        <v>6014</v>
      </c>
      <c r="E1571" s="23">
        <v>43212</v>
      </c>
      <c r="F1571" t="s">
        <v>5597</v>
      </c>
      <c r="G1571">
        <v>2</v>
      </c>
      <c r="H1571">
        <v>7</v>
      </c>
      <c r="I1571" t="s">
        <v>6003</v>
      </c>
    </row>
    <row r="1572" spans="1:9" x14ac:dyDescent="0.35">
      <c r="A1572">
        <v>1571</v>
      </c>
      <c r="B1572">
        <v>80</v>
      </c>
      <c r="C1572">
        <v>1</v>
      </c>
      <c r="D1572" t="s">
        <v>6014</v>
      </c>
      <c r="E1572" s="23">
        <v>43212</v>
      </c>
      <c r="F1572" t="s">
        <v>5597</v>
      </c>
      <c r="G1572">
        <v>2</v>
      </c>
      <c r="H1572">
        <v>7</v>
      </c>
      <c r="I1572" t="s">
        <v>6004</v>
      </c>
    </row>
    <row r="1573" spans="1:9" x14ac:dyDescent="0.35">
      <c r="A1573">
        <v>1572</v>
      </c>
      <c r="B1573">
        <v>14</v>
      </c>
      <c r="C1573">
        <v>1</v>
      </c>
      <c r="D1573" t="s">
        <v>6014</v>
      </c>
      <c r="E1573" s="23">
        <v>43212</v>
      </c>
      <c r="F1573" t="s">
        <v>5597</v>
      </c>
      <c r="G1573">
        <v>3</v>
      </c>
      <c r="H1573">
        <v>9</v>
      </c>
      <c r="I1573" t="s">
        <v>6004</v>
      </c>
    </row>
    <row r="1574" spans="1:9" x14ac:dyDescent="0.35">
      <c r="A1574">
        <v>1573</v>
      </c>
      <c r="B1574">
        <v>24</v>
      </c>
      <c r="C1574">
        <v>2</v>
      </c>
      <c r="D1574" t="s">
        <v>6015</v>
      </c>
      <c r="E1574" s="23">
        <v>43213</v>
      </c>
      <c r="F1574" t="s">
        <v>5597</v>
      </c>
      <c r="G1574">
        <v>1</v>
      </c>
      <c r="H1574">
        <v>2</v>
      </c>
      <c r="I1574" t="s">
        <v>6003</v>
      </c>
    </row>
    <row r="1575" spans="1:9" x14ac:dyDescent="0.35">
      <c r="A1575">
        <v>1574</v>
      </c>
      <c r="B1575">
        <v>124</v>
      </c>
      <c r="C1575">
        <v>1</v>
      </c>
      <c r="D1575" t="s">
        <v>6015</v>
      </c>
      <c r="E1575" s="23">
        <v>43213</v>
      </c>
      <c r="F1575" t="s">
        <v>5597</v>
      </c>
      <c r="G1575">
        <v>1</v>
      </c>
      <c r="H1575">
        <v>2</v>
      </c>
      <c r="I1575" t="s">
        <v>6004</v>
      </c>
    </row>
    <row r="1576" spans="1:9" x14ac:dyDescent="0.35">
      <c r="A1576">
        <v>1575</v>
      </c>
      <c r="B1576">
        <v>224</v>
      </c>
      <c r="C1576">
        <v>2</v>
      </c>
      <c r="D1576" t="s">
        <v>6015</v>
      </c>
      <c r="E1576" s="23">
        <v>43213</v>
      </c>
      <c r="F1576" t="s">
        <v>5597</v>
      </c>
      <c r="G1576">
        <v>1</v>
      </c>
      <c r="H1576">
        <v>3</v>
      </c>
      <c r="I1576" t="s">
        <v>6003</v>
      </c>
    </row>
    <row r="1577" spans="1:9" x14ac:dyDescent="0.35">
      <c r="A1577">
        <v>1576</v>
      </c>
      <c r="B1577">
        <v>12</v>
      </c>
      <c r="C1577">
        <v>2</v>
      </c>
      <c r="D1577" t="s">
        <v>6015</v>
      </c>
      <c r="E1577" s="23">
        <v>43213</v>
      </c>
      <c r="F1577" t="s">
        <v>5597</v>
      </c>
      <c r="G1577">
        <v>2</v>
      </c>
      <c r="H1577">
        <v>7</v>
      </c>
      <c r="I1577" t="s">
        <v>6003</v>
      </c>
    </row>
    <row r="1578" spans="1:9" x14ac:dyDescent="0.35">
      <c r="A1578">
        <v>1577</v>
      </c>
      <c r="B1578">
        <v>48</v>
      </c>
      <c r="C1578">
        <v>1</v>
      </c>
      <c r="D1578" t="s">
        <v>6015</v>
      </c>
      <c r="E1578" s="23">
        <v>43213</v>
      </c>
      <c r="F1578" t="s">
        <v>5597</v>
      </c>
      <c r="G1578">
        <v>2</v>
      </c>
      <c r="H1578">
        <v>7</v>
      </c>
      <c r="I1578" t="s">
        <v>6004</v>
      </c>
    </row>
    <row r="1579" spans="1:9" x14ac:dyDescent="0.35">
      <c r="A1579">
        <v>1578</v>
      </c>
      <c r="B1579">
        <v>93</v>
      </c>
      <c r="C1579">
        <v>2</v>
      </c>
      <c r="D1579" t="s">
        <v>6015</v>
      </c>
      <c r="E1579" s="23">
        <v>43213</v>
      </c>
      <c r="F1579" t="s">
        <v>5597</v>
      </c>
      <c r="G1579">
        <v>2</v>
      </c>
      <c r="H1579">
        <v>7</v>
      </c>
      <c r="I1579" t="s">
        <v>6003</v>
      </c>
    </row>
    <row r="1580" spans="1:9" x14ac:dyDescent="0.35">
      <c r="A1580">
        <v>1579</v>
      </c>
      <c r="B1580">
        <v>104</v>
      </c>
      <c r="C1580">
        <v>2</v>
      </c>
      <c r="D1580" t="s">
        <v>6016</v>
      </c>
      <c r="E1580" s="23">
        <v>43214</v>
      </c>
      <c r="F1580" t="s">
        <v>5597</v>
      </c>
      <c r="G1580">
        <v>1</v>
      </c>
      <c r="H1580">
        <v>2</v>
      </c>
      <c r="I1580" t="s">
        <v>6003</v>
      </c>
    </row>
    <row r="1581" spans="1:9" x14ac:dyDescent="0.35">
      <c r="A1581">
        <v>1580</v>
      </c>
      <c r="B1581">
        <v>191</v>
      </c>
      <c r="C1581">
        <v>2</v>
      </c>
      <c r="D1581" t="s">
        <v>6016</v>
      </c>
      <c r="E1581" s="23">
        <v>43214</v>
      </c>
      <c r="F1581" t="s">
        <v>5597</v>
      </c>
      <c r="G1581">
        <v>1</v>
      </c>
      <c r="H1581">
        <v>2</v>
      </c>
      <c r="I1581" t="s">
        <v>6003</v>
      </c>
    </row>
    <row r="1582" spans="1:9" x14ac:dyDescent="0.35">
      <c r="A1582">
        <v>1581</v>
      </c>
      <c r="B1582">
        <v>188</v>
      </c>
      <c r="C1582">
        <v>2</v>
      </c>
      <c r="D1582" t="s">
        <v>6017</v>
      </c>
      <c r="E1582" s="23">
        <v>43215</v>
      </c>
      <c r="F1582" t="s">
        <v>5597</v>
      </c>
      <c r="G1582">
        <v>1</v>
      </c>
      <c r="H1582">
        <v>2</v>
      </c>
      <c r="I1582" t="s">
        <v>6003</v>
      </c>
    </row>
    <row r="1583" spans="1:9" x14ac:dyDescent="0.35">
      <c r="A1583">
        <v>1582</v>
      </c>
      <c r="B1583">
        <v>240</v>
      </c>
      <c r="C1583">
        <v>1</v>
      </c>
      <c r="D1583" t="s">
        <v>6017</v>
      </c>
      <c r="E1583" s="23">
        <v>43215</v>
      </c>
      <c r="F1583" t="s">
        <v>5597</v>
      </c>
      <c r="G1583">
        <v>1</v>
      </c>
      <c r="H1583">
        <v>3</v>
      </c>
      <c r="I1583" t="s">
        <v>6004</v>
      </c>
    </row>
    <row r="1584" spans="1:9" x14ac:dyDescent="0.35">
      <c r="A1584">
        <v>1583</v>
      </c>
      <c r="B1584">
        <v>44</v>
      </c>
      <c r="C1584">
        <v>1</v>
      </c>
      <c r="D1584" t="s">
        <v>6017</v>
      </c>
      <c r="E1584" s="23">
        <v>43215</v>
      </c>
      <c r="F1584" t="s">
        <v>5597</v>
      </c>
      <c r="G1584">
        <v>2</v>
      </c>
      <c r="H1584">
        <v>6</v>
      </c>
      <c r="I1584" t="s">
        <v>6004</v>
      </c>
    </row>
    <row r="1585" spans="1:9" x14ac:dyDescent="0.35">
      <c r="A1585">
        <v>1584</v>
      </c>
      <c r="B1585">
        <v>109</v>
      </c>
      <c r="C1585">
        <v>2</v>
      </c>
      <c r="D1585" t="s">
        <v>6018</v>
      </c>
      <c r="E1585" s="23">
        <v>43216</v>
      </c>
      <c r="F1585" t="s">
        <v>5597</v>
      </c>
      <c r="G1585">
        <v>1</v>
      </c>
      <c r="H1585">
        <v>3</v>
      </c>
      <c r="I1585" t="s">
        <v>6003</v>
      </c>
    </row>
    <row r="1586" spans="1:9" x14ac:dyDescent="0.35">
      <c r="A1586">
        <v>1585</v>
      </c>
      <c r="B1586">
        <v>157</v>
      </c>
      <c r="C1586">
        <v>1</v>
      </c>
      <c r="D1586" t="s">
        <v>6018</v>
      </c>
      <c r="E1586" s="23">
        <v>43216</v>
      </c>
      <c r="F1586" t="s">
        <v>5597</v>
      </c>
      <c r="G1586">
        <v>1</v>
      </c>
      <c r="H1586">
        <v>3</v>
      </c>
      <c r="I1586" t="s">
        <v>6004</v>
      </c>
    </row>
    <row r="1587" spans="1:9" x14ac:dyDescent="0.35">
      <c r="A1587">
        <v>1586</v>
      </c>
      <c r="B1587">
        <v>176</v>
      </c>
      <c r="C1587">
        <v>1</v>
      </c>
      <c r="D1587" t="s">
        <v>6018</v>
      </c>
      <c r="E1587" s="23">
        <v>43216</v>
      </c>
      <c r="F1587" t="s">
        <v>5597</v>
      </c>
      <c r="G1587">
        <v>1</v>
      </c>
      <c r="H1587">
        <v>2</v>
      </c>
      <c r="I1587" t="s">
        <v>6004</v>
      </c>
    </row>
    <row r="1588" spans="1:9" x14ac:dyDescent="0.35">
      <c r="A1588">
        <v>1587</v>
      </c>
      <c r="B1588">
        <v>231</v>
      </c>
      <c r="C1588">
        <v>2</v>
      </c>
      <c r="D1588" t="s">
        <v>6018</v>
      </c>
      <c r="E1588" s="23">
        <v>43216</v>
      </c>
      <c r="F1588" t="s">
        <v>5597</v>
      </c>
      <c r="G1588">
        <v>1</v>
      </c>
      <c r="H1588">
        <v>2</v>
      </c>
      <c r="I1588" t="s">
        <v>6003</v>
      </c>
    </row>
    <row r="1589" spans="1:9" x14ac:dyDescent="0.35">
      <c r="A1589">
        <v>1588</v>
      </c>
      <c r="B1589">
        <v>11</v>
      </c>
      <c r="C1589">
        <v>1</v>
      </c>
      <c r="D1589" t="s">
        <v>6018</v>
      </c>
      <c r="E1589" s="23">
        <v>43216</v>
      </c>
      <c r="F1589" t="s">
        <v>5597</v>
      </c>
      <c r="G1589">
        <v>2</v>
      </c>
      <c r="H1589">
        <v>6</v>
      </c>
      <c r="I1589" t="s">
        <v>6004</v>
      </c>
    </row>
    <row r="1590" spans="1:9" x14ac:dyDescent="0.35">
      <c r="A1590">
        <v>1589</v>
      </c>
      <c r="B1590">
        <v>40</v>
      </c>
      <c r="C1590">
        <v>2</v>
      </c>
      <c r="D1590" t="s">
        <v>6019</v>
      </c>
      <c r="E1590" s="23">
        <v>43217</v>
      </c>
      <c r="F1590" t="s">
        <v>5597</v>
      </c>
      <c r="G1590">
        <v>1</v>
      </c>
      <c r="H1590">
        <v>3</v>
      </c>
      <c r="I1590" t="s">
        <v>6003</v>
      </c>
    </row>
    <row r="1591" spans="1:9" x14ac:dyDescent="0.35">
      <c r="A1591">
        <v>1590</v>
      </c>
      <c r="B1591">
        <v>138</v>
      </c>
      <c r="C1591">
        <v>1</v>
      </c>
      <c r="D1591" t="s">
        <v>6019</v>
      </c>
      <c r="E1591" s="23">
        <v>43217</v>
      </c>
      <c r="F1591" t="s">
        <v>5597</v>
      </c>
      <c r="G1591">
        <v>1</v>
      </c>
      <c r="H1591">
        <v>3</v>
      </c>
      <c r="I1591" t="s">
        <v>6004</v>
      </c>
    </row>
    <row r="1592" spans="1:9" x14ac:dyDescent="0.35">
      <c r="A1592">
        <v>1591</v>
      </c>
      <c r="B1592">
        <v>165</v>
      </c>
      <c r="C1592">
        <v>2</v>
      </c>
      <c r="D1592" t="s">
        <v>6019</v>
      </c>
      <c r="E1592" s="23">
        <v>43217</v>
      </c>
      <c r="F1592" t="s">
        <v>5597</v>
      </c>
      <c r="G1592">
        <v>1</v>
      </c>
      <c r="H1592">
        <v>2</v>
      </c>
      <c r="I1592" t="s">
        <v>6003</v>
      </c>
    </row>
    <row r="1593" spans="1:9" x14ac:dyDescent="0.35">
      <c r="A1593">
        <v>1592</v>
      </c>
      <c r="B1593">
        <v>6</v>
      </c>
      <c r="C1593">
        <v>2</v>
      </c>
      <c r="D1593" t="s">
        <v>6019</v>
      </c>
      <c r="E1593" s="23">
        <v>43217</v>
      </c>
      <c r="F1593" t="s">
        <v>5597</v>
      </c>
      <c r="G1593">
        <v>2</v>
      </c>
      <c r="H1593">
        <v>7</v>
      </c>
      <c r="I1593" t="s">
        <v>6003</v>
      </c>
    </row>
    <row r="1594" spans="1:9" x14ac:dyDescent="0.35">
      <c r="A1594">
        <v>1593</v>
      </c>
      <c r="B1594">
        <v>9</v>
      </c>
      <c r="C1594">
        <v>1</v>
      </c>
      <c r="D1594" t="s">
        <v>6019</v>
      </c>
      <c r="E1594" s="23">
        <v>43217</v>
      </c>
      <c r="F1594" t="s">
        <v>5597</v>
      </c>
      <c r="G1594">
        <v>2</v>
      </c>
      <c r="H1594">
        <v>6</v>
      </c>
      <c r="I1594" t="s">
        <v>6004</v>
      </c>
    </row>
    <row r="1595" spans="1:9" x14ac:dyDescent="0.35">
      <c r="A1595">
        <v>1594</v>
      </c>
      <c r="B1595">
        <v>45</v>
      </c>
      <c r="C1595">
        <v>1</v>
      </c>
      <c r="D1595" t="s">
        <v>6020</v>
      </c>
      <c r="E1595" s="23">
        <v>43218</v>
      </c>
      <c r="F1595" t="s">
        <v>5597</v>
      </c>
      <c r="G1595">
        <v>2</v>
      </c>
      <c r="H1595">
        <v>7</v>
      </c>
      <c r="I1595" t="s">
        <v>6004</v>
      </c>
    </row>
    <row r="1596" spans="1:9" x14ac:dyDescent="0.35">
      <c r="A1596">
        <v>1595</v>
      </c>
      <c r="B1596">
        <v>71</v>
      </c>
      <c r="C1596">
        <v>2</v>
      </c>
      <c r="D1596" t="s">
        <v>6020</v>
      </c>
      <c r="E1596" s="23">
        <v>43218</v>
      </c>
      <c r="F1596" t="s">
        <v>5597</v>
      </c>
      <c r="G1596">
        <v>2</v>
      </c>
      <c r="H1596">
        <v>7</v>
      </c>
      <c r="I1596" t="s">
        <v>6003</v>
      </c>
    </row>
    <row r="1597" spans="1:9" x14ac:dyDescent="0.35">
      <c r="A1597">
        <v>1596</v>
      </c>
      <c r="B1597">
        <v>21</v>
      </c>
      <c r="C1597">
        <v>2</v>
      </c>
      <c r="D1597" t="s">
        <v>6020</v>
      </c>
      <c r="E1597" s="23">
        <v>43218</v>
      </c>
      <c r="F1597" t="s">
        <v>5597</v>
      </c>
      <c r="G1597">
        <v>3</v>
      </c>
      <c r="H1597">
        <v>8</v>
      </c>
      <c r="I1597" t="s">
        <v>6003</v>
      </c>
    </row>
    <row r="1598" spans="1:9" x14ac:dyDescent="0.35">
      <c r="A1598">
        <v>1597</v>
      </c>
      <c r="B1598">
        <v>56</v>
      </c>
      <c r="C1598">
        <v>1</v>
      </c>
      <c r="D1598" t="s">
        <v>6020</v>
      </c>
      <c r="E1598" s="23">
        <v>43218</v>
      </c>
      <c r="F1598" t="s">
        <v>5597</v>
      </c>
      <c r="G1598">
        <v>3</v>
      </c>
      <c r="H1598">
        <v>9</v>
      </c>
      <c r="I1598" t="s">
        <v>6004</v>
      </c>
    </row>
    <row r="1599" spans="1:9" x14ac:dyDescent="0.35">
      <c r="A1599">
        <v>1598</v>
      </c>
      <c r="B1599">
        <v>239</v>
      </c>
      <c r="C1599">
        <v>2</v>
      </c>
      <c r="D1599" t="s">
        <v>6021</v>
      </c>
      <c r="E1599" s="23">
        <v>43219</v>
      </c>
      <c r="F1599" t="s">
        <v>5597</v>
      </c>
      <c r="G1599">
        <v>1</v>
      </c>
      <c r="H1599">
        <v>3</v>
      </c>
      <c r="I1599" t="s">
        <v>6003</v>
      </c>
    </row>
    <row r="1600" spans="1:9" x14ac:dyDescent="0.35">
      <c r="A1600">
        <v>1599</v>
      </c>
      <c r="B1600">
        <v>49</v>
      </c>
      <c r="C1600">
        <v>1</v>
      </c>
      <c r="D1600" t="s">
        <v>6021</v>
      </c>
      <c r="E1600" s="23">
        <v>43219</v>
      </c>
      <c r="F1600" t="s">
        <v>5597</v>
      </c>
      <c r="G1600">
        <v>2</v>
      </c>
      <c r="H1600">
        <v>7</v>
      </c>
      <c r="I1600" t="s">
        <v>6004</v>
      </c>
    </row>
    <row r="1601" spans="1:9" x14ac:dyDescent="0.35">
      <c r="A1601">
        <v>1600</v>
      </c>
      <c r="B1601">
        <v>90</v>
      </c>
      <c r="C1601">
        <v>1</v>
      </c>
      <c r="D1601" t="s">
        <v>6021</v>
      </c>
      <c r="E1601" s="23">
        <v>43219</v>
      </c>
      <c r="F1601" t="s">
        <v>5597</v>
      </c>
      <c r="G1601">
        <v>2</v>
      </c>
      <c r="H1601">
        <v>6</v>
      </c>
      <c r="I1601" t="s">
        <v>6004</v>
      </c>
    </row>
    <row r="1602" spans="1:9" x14ac:dyDescent="0.35">
      <c r="A1602">
        <v>1601</v>
      </c>
      <c r="B1602">
        <v>43</v>
      </c>
      <c r="C1602">
        <v>1</v>
      </c>
      <c r="D1602" t="s">
        <v>6021</v>
      </c>
      <c r="E1602" s="23">
        <v>43219</v>
      </c>
      <c r="F1602" t="s">
        <v>5597</v>
      </c>
      <c r="G1602">
        <v>3</v>
      </c>
      <c r="H1602">
        <v>8</v>
      </c>
      <c r="I1602" t="s">
        <v>6004</v>
      </c>
    </row>
    <row r="1603" spans="1:9" x14ac:dyDescent="0.35">
      <c r="A1603">
        <v>1602</v>
      </c>
      <c r="B1603">
        <v>55</v>
      </c>
      <c r="C1603">
        <v>1</v>
      </c>
      <c r="D1603" t="s">
        <v>6022</v>
      </c>
      <c r="E1603" s="23">
        <v>43220</v>
      </c>
      <c r="F1603" t="s">
        <v>5597</v>
      </c>
      <c r="G1603">
        <v>2</v>
      </c>
      <c r="H1603">
        <v>6</v>
      </c>
      <c r="I1603" t="s">
        <v>6004</v>
      </c>
    </row>
    <row r="1604" spans="1:9" x14ac:dyDescent="0.35">
      <c r="A1604">
        <v>1603</v>
      </c>
      <c r="B1604">
        <v>74</v>
      </c>
      <c r="C1604">
        <v>2</v>
      </c>
      <c r="D1604" t="s">
        <v>6022</v>
      </c>
      <c r="E1604" s="23">
        <v>43220</v>
      </c>
      <c r="F1604" t="s">
        <v>5597</v>
      </c>
      <c r="G1604">
        <v>2</v>
      </c>
      <c r="H1604">
        <v>6</v>
      </c>
      <c r="I1604" t="s">
        <v>6003</v>
      </c>
    </row>
    <row r="1605" spans="1:9" x14ac:dyDescent="0.35">
      <c r="A1605">
        <v>1604</v>
      </c>
      <c r="B1605">
        <v>7</v>
      </c>
      <c r="C1605">
        <v>3</v>
      </c>
      <c r="D1605" t="s">
        <v>6023</v>
      </c>
      <c r="E1605" s="23">
        <v>43268</v>
      </c>
      <c r="F1605" t="s">
        <v>5597</v>
      </c>
      <c r="G1605">
        <v>2</v>
      </c>
      <c r="H1605">
        <v>7</v>
      </c>
      <c r="I1605" t="s">
        <v>5598</v>
      </c>
    </row>
    <row r="1606" spans="1:9" x14ac:dyDescent="0.35">
      <c r="A1606">
        <v>1605</v>
      </c>
      <c r="B1606">
        <v>123</v>
      </c>
      <c r="C1606">
        <v>3</v>
      </c>
      <c r="D1606" s="23">
        <v>43107</v>
      </c>
      <c r="E1606" s="23">
        <v>43282</v>
      </c>
      <c r="F1606" t="s">
        <v>5597</v>
      </c>
      <c r="G1606">
        <v>3</v>
      </c>
      <c r="H1606">
        <v>8</v>
      </c>
      <c r="I1606" t="s">
        <v>5598</v>
      </c>
    </row>
    <row r="1607" spans="1:9" x14ac:dyDescent="0.35">
      <c r="A1607">
        <v>1606</v>
      </c>
      <c r="B1607">
        <v>119</v>
      </c>
      <c r="C1607">
        <v>3</v>
      </c>
      <c r="D1607" s="23">
        <v>43380</v>
      </c>
      <c r="E1607" s="23">
        <v>43291</v>
      </c>
      <c r="F1607" t="s">
        <v>5597</v>
      </c>
      <c r="G1607">
        <v>3</v>
      </c>
      <c r="H1607">
        <v>8</v>
      </c>
      <c r="I1607" t="s">
        <v>5598</v>
      </c>
    </row>
    <row r="1608" spans="1:9" x14ac:dyDescent="0.35">
      <c r="A1608">
        <v>1607</v>
      </c>
      <c r="B1608">
        <v>33</v>
      </c>
      <c r="C1608">
        <v>3</v>
      </c>
      <c r="D1608" s="23">
        <v>43411</v>
      </c>
      <c r="E1608" s="23">
        <v>43292</v>
      </c>
      <c r="F1608" t="s">
        <v>5597</v>
      </c>
      <c r="G1608">
        <v>1</v>
      </c>
      <c r="H1608">
        <v>2</v>
      </c>
      <c r="I1608" t="s">
        <v>5598</v>
      </c>
    </row>
    <row r="1609" spans="1:9" x14ac:dyDescent="0.35">
      <c r="A1609">
        <v>1608</v>
      </c>
      <c r="B1609">
        <v>53</v>
      </c>
      <c r="C1609">
        <v>3</v>
      </c>
      <c r="D1609" s="23">
        <v>43441</v>
      </c>
      <c r="E1609" s="23">
        <v>43293</v>
      </c>
      <c r="F1609" t="s">
        <v>5597</v>
      </c>
      <c r="G1609">
        <v>1</v>
      </c>
      <c r="H1609">
        <v>2</v>
      </c>
      <c r="I1609" t="s">
        <v>5598</v>
      </c>
    </row>
    <row r="1610" spans="1:9" x14ac:dyDescent="0.35">
      <c r="A1610">
        <v>1609</v>
      </c>
      <c r="B1610">
        <v>10</v>
      </c>
      <c r="C1610">
        <v>3</v>
      </c>
      <c r="D1610" t="s">
        <v>6024</v>
      </c>
      <c r="E1610" s="23">
        <v>43335</v>
      </c>
      <c r="F1610" t="s">
        <v>5597</v>
      </c>
      <c r="G1610">
        <v>2</v>
      </c>
      <c r="H1610">
        <v>7</v>
      </c>
      <c r="I1610" t="s">
        <v>5598</v>
      </c>
    </row>
    <row r="1611" spans="1:9" x14ac:dyDescent="0.35">
      <c r="A1611">
        <v>1610</v>
      </c>
      <c r="B1611">
        <v>15</v>
      </c>
      <c r="C1611">
        <v>3</v>
      </c>
      <c r="D1611" t="s">
        <v>6025</v>
      </c>
      <c r="E1611" s="23">
        <v>43337</v>
      </c>
      <c r="F1611" t="s">
        <v>5597</v>
      </c>
      <c r="G1611">
        <v>2</v>
      </c>
      <c r="H1611">
        <v>7</v>
      </c>
      <c r="I1611" t="s">
        <v>5598</v>
      </c>
    </row>
    <row r="1612" spans="1:9" x14ac:dyDescent="0.35">
      <c r="A1612">
        <v>1611</v>
      </c>
      <c r="B1612">
        <v>6</v>
      </c>
      <c r="C1612">
        <v>3</v>
      </c>
      <c r="D1612" s="23">
        <v>43260</v>
      </c>
      <c r="E1612" s="23">
        <v>43349</v>
      </c>
      <c r="F1612" t="s">
        <v>5597</v>
      </c>
      <c r="G1612">
        <v>2</v>
      </c>
      <c r="H1612">
        <v>7</v>
      </c>
      <c r="I1612" t="s">
        <v>5598</v>
      </c>
    </row>
    <row r="1613" spans="1:9" x14ac:dyDescent="0.35">
      <c r="A1613">
        <v>1612</v>
      </c>
      <c r="B1613">
        <v>3</v>
      </c>
      <c r="C1613">
        <v>3</v>
      </c>
      <c r="D1613" t="s">
        <v>6026</v>
      </c>
      <c r="E1613" s="23">
        <v>43394</v>
      </c>
      <c r="F1613" t="s">
        <v>5597</v>
      </c>
      <c r="G1613">
        <v>1</v>
      </c>
      <c r="H1613">
        <v>3</v>
      </c>
      <c r="I1613" t="s">
        <v>5598</v>
      </c>
    </row>
    <row r="1614" spans="1:9" x14ac:dyDescent="0.35">
      <c r="A1614">
        <v>1613</v>
      </c>
      <c r="B1614">
        <v>1</v>
      </c>
      <c r="C1614">
        <v>3</v>
      </c>
      <c r="D1614" t="s">
        <v>6027</v>
      </c>
      <c r="E1614" s="23">
        <v>43422</v>
      </c>
      <c r="F1614" t="s">
        <v>5597</v>
      </c>
      <c r="G1614">
        <v>2</v>
      </c>
      <c r="H1614">
        <v>6</v>
      </c>
      <c r="I1614" t="s">
        <v>5598</v>
      </c>
    </row>
    <row r="1615" spans="1:9" x14ac:dyDescent="0.35">
      <c r="A1615">
        <v>1614</v>
      </c>
      <c r="B1615">
        <v>135</v>
      </c>
      <c r="C1615">
        <v>3</v>
      </c>
      <c r="D1615" t="s">
        <v>6028</v>
      </c>
      <c r="E1615" s="23">
        <v>43432</v>
      </c>
      <c r="F1615" t="s">
        <v>5597</v>
      </c>
      <c r="G1615">
        <v>3</v>
      </c>
      <c r="H1615">
        <v>8</v>
      </c>
      <c r="I1615" t="s">
        <v>5598</v>
      </c>
    </row>
    <row r="1616" spans="1:9" x14ac:dyDescent="0.35">
      <c r="A1616">
        <v>1615</v>
      </c>
      <c r="B1616">
        <v>136</v>
      </c>
      <c r="C1616">
        <v>3</v>
      </c>
      <c r="D1616" t="s">
        <v>6029</v>
      </c>
      <c r="E1616" s="23">
        <v>43462</v>
      </c>
      <c r="F1616" t="s">
        <v>5597</v>
      </c>
      <c r="G1616">
        <v>3</v>
      </c>
      <c r="H1616">
        <v>8</v>
      </c>
      <c r="I1616" t="s">
        <v>5598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DFCF19-A301-4777-84CC-127E64AFEDFC}">
  <dimension ref="A1:C940"/>
  <sheetViews>
    <sheetView workbookViewId="0">
      <selection activeCell="L18" sqref="L18"/>
    </sheetView>
  </sheetViews>
  <sheetFormatPr defaultRowHeight="14.5" x14ac:dyDescent="0.35"/>
  <sheetData>
    <row r="1" spans="1:3" x14ac:dyDescent="0.35">
      <c r="A1" t="s">
        <v>320</v>
      </c>
      <c r="B1" t="s">
        <v>0</v>
      </c>
      <c r="C1" t="s">
        <v>6030</v>
      </c>
    </row>
    <row r="2" spans="1:3" x14ac:dyDescent="0.35">
      <c r="A2">
        <v>1</v>
      </c>
      <c r="B2">
        <v>1</v>
      </c>
      <c r="C2">
        <v>27</v>
      </c>
    </row>
    <row r="3" spans="1:3" x14ac:dyDescent="0.35">
      <c r="A3">
        <v>1</v>
      </c>
      <c r="B3">
        <v>2</v>
      </c>
      <c r="C3">
        <v>5</v>
      </c>
    </row>
    <row r="4" spans="1:3" x14ac:dyDescent="0.35">
      <c r="A4">
        <v>1</v>
      </c>
      <c r="B4">
        <v>3</v>
      </c>
      <c r="C4">
        <v>6</v>
      </c>
    </row>
    <row r="5" spans="1:3" x14ac:dyDescent="0.35">
      <c r="A5">
        <v>1</v>
      </c>
      <c r="B5">
        <v>4</v>
      </c>
      <c r="C5">
        <v>23</v>
      </c>
    </row>
    <row r="6" spans="1:3" x14ac:dyDescent="0.35">
      <c r="A6">
        <v>1</v>
      </c>
      <c r="B6">
        <v>5</v>
      </c>
      <c r="C6">
        <v>22</v>
      </c>
    </row>
    <row r="7" spans="1:3" x14ac:dyDescent="0.35">
      <c r="A7">
        <v>1</v>
      </c>
      <c r="B7">
        <v>6</v>
      </c>
      <c r="C7">
        <v>0</v>
      </c>
    </row>
    <row r="8" spans="1:3" x14ac:dyDescent="0.35">
      <c r="A8">
        <v>1</v>
      </c>
      <c r="B8">
        <v>7</v>
      </c>
      <c r="C8">
        <v>8</v>
      </c>
    </row>
    <row r="9" spans="1:3" x14ac:dyDescent="0.35">
      <c r="A9">
        <v>1</v>
      </c>
      <c r="B9">
        <v>8</v>
      </c>
      <c r="C9">
        <v>0</v>
      </c>
    </row>
    <row r="10" spans="1:3" x14ac:dyDescent="0.35">
      <c r="A10">
        <v>1</v>
      </c>
      <c r="B10">
        <v>9</v>
      </c>
      <c r="C10">
        <v>11</v>
      </c>
    </row>
    <row r="11" spans="1:3" x14ac:dyDescent="0.35">
      <c r="A11">
        <v>1</v>
      </c>
      <c r="B11">
        <v>10</v>
      </c>
      <c r="C11">
        <v>15</v>
      </c>
    </row>
    <row r="12" spans="1:3" x14ac:dyDescent="0.35">
      <c r="A12">
        <v>1</v>
      </c>
      <c r="B12">
        <v>11</v>
      </c>
      <c r="C12">
        <v>8</v>
      </c>
    </row>
    <row r="13" spans="1:3" x14ac:dyDescent="0.35">
      <c r="A13">
        <v>1</v>
      </c>
      <c r="B13">
        <v>12</v>
      </c>
      <c r="C13">
        <v>16</v>
      </c>
    </row>
    <row r="14" spans="1:3" x14ac:dyDescent="0.35">
      <c r="A14">
        <v>1</v>
      </c>
      <c r="B14">
        <v>13</v>
      </c>
      <c r="C14">
        <v>13</v>
      </c>
    </row>
    <row r="15" spans="1:3" x14ac:dyDescent="0.35">
      <c r="A15">
        <v>1</v>
      </c>
      <c r="B15">
        <v>14</v>
      </c>
      <c r="C15">
        <v>8</v>
      </c>
    </row>
    <row r="16" spans="1:3" x14ac:dyDescent="0.35">
      <c r="A16">
        <v>1</v>
      </c>
      <c r="B16">
        <v>15</v>
      </c>
      <c r="C16">
        <v>3</v>
      </c>
    </row>
    <row r="17" spans="1:3" x14ac:dyDescent="0.35">
      <c r="A17">
        <v>1</v>
      </c>
      <c r="B17">
        <v>16</v>
      </c>
      <c r="C17">
        <v>4</v>
      </c>
    </row>
    <row r="18" spans="1:3" x14ac:dyDescent="0.35">
      <c r="A18">
        <v>1</v>
      </c>
      <c r="B18">
        <v>17</v>
      </c>
      <c r="C18">
        <v>2</v>
      </c>
    </row>
    <row r="19" spans="1:3" x14ac:dyDescent="0.35">
      <c r="A19">
        <v>1</v>
      </c>
      <c r="B19">
        <v>18</v>
      </c>
      <c r="C19">
        <v>16</v>
      </c>
    </row>
    <row r="20" spans="1:3" x14ac:dyDescent="0.35">
      <c r="A20">
        <v>1</v>
      </c>
      <c r="B20">
        <v>19</v>
      </c>
      <c r="C20">
        <v>4</v>
      </c>
    </row>
    <row r="21" spans="1:3" x14ac:dyDescent="0.35">
      <c r="A21">
        <v>1</v>
      </c>
      <c r="B21">
        <v>20</v>
      </c>
      <c r="C21">
        <v>26</v>
      </c>
    </row>
    <row r="22" spans="1:3" x14ac:dyDescent="0.35">
      <c r="A22">
        <v>1</v>
      </c>
      <c r="B22">
        <v>21</v>
      </c>
      <c r="C22">
        <v>24</v>
      </c>
    </row>
    <row r="23" spans="1:3" x14ac:dyDescent="0.35">
      <c r="A23">
        <v>1</v>
      </c>
      <c r="B23">
        <v>22</v>
      </c>
      <c r="C23">
        <v>29</v>
      </c>
    </row>
    <row r="24" spans="1:3" x14ac:dyDescent="0.35">
      <c r="A24">
        <v>1</v>
      </c>
      <c r="B24">
        <v>23</v>
      </c>
      <c r="C24">
        <v>9</v>
      </c>
    </row>
    <row r="25" spans="1:3" x14ac:dyDescent="0.35">
      <c r="A25">
        <v>1</v>
      </c>
      <c r="B25">
        <v>24</v>
      </c>
      <c r="C25">
        <v>10</v>
      </c>
    </row>
    <row r="26" spans="1:3" x14ac:dyDescent="0.35">
      <c r="A26">
        <v>1</v>
      </c>
      <c r="B26">
        <v>25</v>
      </c>
      <c r="C26">
        <v>10</v>
      </c>
    </row>
    <row r="27" spans="1:3" x14ac:dyDescent="0.35">
      <c r="A27">
        <v>1</v>
      </c>
      <c r="B27">
        <v>26</v>
      </c>
      <c r="C27">
        <v>16</v>
      </c>
    </row>
    <row r="28" spans="1:3" x14ac:dyDescent="0.35">
      <c r="A28">
        <v>1</v>
      </c>
      <c r="B28">
        <v>27</v>
      </c>
      <c r="C28">
        <v>21</v>
      </c>
    </row>
    <row r="29" spans="1:3" x14ac:dyDescent="0.35">
      <c r="A29">
        <v>1</v>
      </c>
      <c r="B29">
        <v>28</v>
      </c>
      <c r="C29">
        <v>20</v>
      </c>
    </row>
    <row r="30" spans="1:3" x14ac:dyDescent="0.35">
      <c r="A30">
        <v>1</v>
      </c>
      <c r="B30">
        <v>29</v>
      </c>
      <c r="C30">
        <v>13</v>
      </c>
    </row>
    <row r="31" spans="1:3" x14ac:dyDescent="0.35">
      <c r="A31">
        <v>1</v>
      </c>
      <c r="B31">
        <v>30</v>
      </c>
      <c r="C31">
        <v>30</v>
      </c>
    </row>
    <row r="32" spans="1:3" x14ac:dyDescent="0.35">
      <c r="A32">
        <v>1</v>
      </c>
      <c r="B32">
        <v>31</v>
      </c>
      <c r="C32">
        <v>2</v>
      </c>
    </row>
    <row r="33" spans="1:3" x14ac:dyDescent="0.35">
      <c r="A33">
        <v>1</v>
      </c>
      <c r="B33">
        <v>32</v>
      </c>
      <c r="C33">
        <v>0</v>
      </c>
    </row>
    <row r="34" spans="1:3" x14ac:dyDescent="0.35">
      <c r="A34">
        <v>1</v>
      </c>
      <c r="B34">
        <v>33</v>
      </c>
      <c r="C34">
        <v>10</v>
      </c>
    </row>
    <row r="35" spans="1:3" x14ac:dyDescent="0.35">
      <c r="A35">
        <v>1</v>
      </c>
      <c r="B35">
        <v>34</v>
      </c>
      <c r="C35">
        <v>2</v>
      </c>
    </row>
    <row r="36" spans="1:3" x14ac:dyDescent="0.35">
      <c r="A36">
        <v>1</v>
      </c>
      <c r="B36">
        <v>35</v>
      </c>
      <c r="C36">
        <v>18</v>
      </c>
    </row>
    <row r="37" spans="1:3" x14ac:dyDescent="0.35">
      <c r="A37">
        <v>1</v>
      </c>
      <c r="B37">
        <v>36</v>
      </c>
      <c r="C37">
        <v>26</v>
      </c>
    </row>
    <row r="38" spans="1:3" x14ac:dyDescent="0.35">
      <c r="A38">
        <v>1</v>
      </c>
      <c r="B38">
        <v>37</v>
      </c>
      <c r="C38">
        <v>12</v>
      </c>
    </row>
    <row r="39" spans="1:3" x14ac:dyDescent="0.35">
      <c r="A39">
        <v>1</v>
      </c>
      <c r="B39">
        <v>38</v>
      </c>
      <c r="C39">
        <v>13</v>
      </c>
    </row>
    <row r="40" spans="1:3" x14ac:dyDescent="0.35">
      <c r="A40">
        <v>1</v>
      </c>
      <c r="B40">
        <v>39</v>
      </c>
      <c r="C40">
        <v>2</v>
      </c>
    </row>
    <row r="41" spans="1:3" x14ac:dyDescent="0.35">
      <c r="A41">
        <v>1</v>
      </c>
      <c r="B41">
        <v>40</v>
      </c>
      <c r="C41">
        <v>24</v>
      </c>
    </row>
    <row r="42" spans="1:3" x14ac:dyDescent="0.35">
      <c r="A42">
        <v>1</v>
      </c>
      <c r="B42">
        <v>41</v>
      </c>
      <c r="C42">
        <v>10</v>
      </c>
    </row>
    <row r="43" spans="1:3" x14ac:dyDescent="0.35">
      <c r="A43">
        <v>1</v>
      </c>
      <c r="B43">
        <v>42</v>
      </c>
      <c r="C43">
        <v>0</v>
      </c>
    </row>
    <row r="44" spans="1:3" x14ac:dyDescent="0.35">
      <c r="A44">
        <v>1</v>
      </c>
      <c r="B44">
        <v>43</v>
      </c>
      <c r="C44">
        <v>2</v>
      </c>
    </row>
    <row r="45" spans="1:3" x14ac:dyDescent="0.35">
      <c r="A45">
        <v>1</v>
      </c>
      <c r="B45">
        <v>44</v>
      </c>
      <c r="C45">
        <v>1</v>
      </c>
    </row>
    <row r="46" spans="1:3" x14ac:dyDescent="0.35">
      <c r="A46">
        <v>1</v>
      </c>
      <c r="B46">
        <v>45</v>
      </c>
      <c r="C46">
        <v>15</v>
      </c>
    </row>
    <row r="47" spans="1:3" x14ac:dyDescent="0.35">
      <c r="A47">
        <v>1</v>
      </c>
      <c r="B47">
        <v>46</v>
      </c>
      <c r="C47">
        <v>19</v>
      </c>
    </row>
    <row r="48" spans="1:3" x14ac:dyDescent="0.35">
      <c r="A48">
        <v>1</v>
      </c>
      <c r="B48">
        <v>47</v>
      </c>
      <c r="C48">
        <v>21</v>
      </c>
    </row>
    <row r="49" spans="1:3" x14ac:dyDescent="0.35">
      <c r="A49">
        <v>1</v>
      </c>
      <c r="B49">
        <v>48</v>
      </c>
      <c r="C49">
        <v>5</v>
      </c>
    </row>
    <row r="50" spans="1:3" x14ac:dyDescent="0.35">
      <c r="A50">
        <v>1</v>
      </c>
      <c r="B50">
        <v>49</v>
      </c>
      <c r="C50">
        <v>8</v>
      </c>
    </row>
    <row r="51" spans="1:3" x14ac:dyDescent="0.35">
      <c r="A51">
        <v>1</v>
      </c>
      <c r="B51">
        <v>50</v>
      </c>
      <c r="C51">
        <v>29</v>
      </c>
    </row>
    <row r="52" spans="1:3" x14ac:dyDescent="0.35">
      <c r="A52">
        <v>1</v>
      </c>
      <c r="B52">
        <v>51</v>
      </c>
      <c r="C52">
        <v>2</v>
      </c>
    </row>
    <row r="53" spans="1:3" x14ac:dyDescent="0.35">
      <c r="A53">
        <v>1</v>
      </c>
      <c r="B53">
        <v>52</v>
      </c>
      <c r="C53">
        <v>18</v>
      </c>
    </row>
    <row r="54" spans="1:3" x14ac:dyDescent="0.35">
      <c r="A54">
        <v>1</v>
      </c>
      <c r="B54">
        <v>53</v>
      </c>
      <c r="C54">
        <v>17</v>
      </c>
    </row>
    <row r="55" spans="1:3" x14ac:dyDescent="0.35">
      <c r="A55">
        <v>1</v>
      </c>
      <c r="B55">
        <v>54</v>
      </c>
      <c r="C55">
        <v>11</v>
      </c>
    </row>
    <row r="56" spans="1:3" x14ac:dyDescent="0.35">
      <c r="A56">
        <v>1</v>
      </c>
      <c r="B56">
        <v>55</v>
      </c>
      <c r="C56">
        <v>11</v>
      </c>
    </row>
    <row r="57" spans="1:3" x14ac:dyDescent="0.35">
      <c r="A57">
        <v>1</v>
      </c>
      <c r="B57">
        <v>56</v>
      </c>
      <c r="C57">
        <v>15</v>
      </c>
    </row>
    <row r="58" spans="1:3" x14ac:dyDescent="0.35">
      <c r="A58">
        <v>1</v>
      </c>
      <c r="B58">
        <v>57</v>
      </c>
      <c r="C58">
        <v>1</v>
      </c>
    </row>
    <row r="59" spans="1:3" x14ac:dyDescent="0.35">
      <c r="A59">
        <v>1</v>
      </c>
      <c r="B59">
        <v>58</v>
      </c>
      <c r="C59">
        <v>1</v>
      </c>
    </row>
    <row r="60" spans="1:3" x14ac:dyDescent="0.35">
      <c r="A60">
        <v>1</v>
      </c>
      <c r="B60">
        <v>59</v>
      </c>
      <c r="C60">
        <v>22</v>
      </c>
    </row>
    <row r="61" spans="1:3" x14ac:dyDescent="0.35">
      <c r="A61">
        <v>1</v>
      </c>
      <c r="B61">
        <v>60</v>
      </c>
      <c r="C61">
        <v>19</v>
      </c>
    </row>
    <row r="62" spans="1:3" x14ac:dyDescent="0.35">
      <c r="A62">
        <v>1</v>
      </c>
      <c r="B62">
        <v>61</v>
      </c>
      <c r="C62">
        <v>30</v>
      </c>
    </row>
    <row r="63" spans="1:3" x14ac:dyDescent="0.35">
      <c r="A63">
        <v>1</v>
      </c>
      <c r="B63">
        <v>62</v>
      </c>
      <c r="C63">
        <v>21</v>
      </c>
    </row>
    <row r="64" spans="1:3" x14ac:dyDescent="0.35">
      <c r="A64">
        <v>1</v>
      </c>
      <c r="B64">
        <v>63</v>
      </c>
      <c r="C64">
        <v>4</v>
      </c>
    </row>
    <row r="65" spans="1:3" x14ac:dyDescent="0.35">
      <c r="A65">
        <v>1</v>
      </c>
      <c r="B65">
        <v>64</v>
      </c>
      <c r="C65">
        <v>30</v>
      </c>
    </row>
    <row r="66" spans="1:3" x14ac:dyDescent="0.35">
      <c r="A66">
        <v>1</v>
      </c>
      <c r="B66">
        <v>65</v>
      </c>
      <c r="C66">
        <v>10</v>
      </c>
    </row>
    <row r="67" spans="1:3" x14ac:dyDescent="0.35">
      <c r="A67">
        <v>1</v>
      </c>
      <c r="B67">
        <v>66</v>
      </c>
      <c r="C67">
        <v>12</v>
      </c>
    </row>
    <row r="68" spans="1:3" x14ac:dyDescent="0.35">
      <c r="A68">
        <v>1</v>
      </c>
      <c r="B68">
        <v>67</v>
      </c>
      <c r="C68">
        <v>19</v>
      </c>
    </row>
    <row r="69" spans="1:3" x14ac:dyDescent="0.35">
      <c r="A69">
        <v>1</v>
      </c>
      <c r="B69">
        <v>68</v>
      </c>
      <c r="C69">
        <v>30</v>
      </c>
    </row>
    <row r="70" spans="1:3" x14ac:dyDescent="0.35">
      <c r="A70">
        <v>1</v>
      </c>
      <c r="B70">
        <v>69</v>
      </c>
      <c r="C70">
        <v>4</v>
      </c>
    </row>
    <row r="71" spans="1:3" x14ac:dyDescent="0.35">
      <c r="A71">
        <v>1</v>
      </c>
      <c r="B71">
        <v>70</v>
      </c>
      <c r="C71">
        <v>3</v>
      </c>
    </row>
    <row r="72" spans="1:3" x14ac:dyDescent="0.35">
      <c r="A72">
        <v>1</v>
      </c>
      <c r="B72">
        <v>71</v>
      </c>
      <c r="C72">
        <v>25</v>
      </c>
    </row>
    <row r="73" spans="1:3" x14ac:dyDescent="0.35">
      <c r="A73">
        <v>1</v>
      </c>
      <c r="B73">
        <v>72</v>
      </c>
      <c r="C73">
        <v>9</v>
      </c>
    </row>
    <row r="74" spans="1:3" x14ac:dyDescent="0.35">
      <c r="A74">
        <v>1</v>
      </c>
      <c r="B74">
        <v>73</v>
      </c>
      <c r="C74">
        <v>7</v>
      </c>
    </row>
    <row r="75" spans="1:3" x14ac:dyDescent="0.35">
      <c r="A75">
        <v>1</v>
      </c>
      <c r="B75">
        <v>74</v>
      </c>
      <c r="C75">
        <v>9</v>
      </c>
    </row>
    <row r="76" spans="1:3" x14ac:dyDescent="0.35">
      <c r="A76">
        <v>1</v>
      </c>
      <c r="B76">
        <v>75</v>
      </c>
      <c r="C76">
        <v>23</v>
      </c>
    </row>
    <row r="77" spans="1:3" x14ac:dyDescent="0.35">
      <c r="A77">
        <v>1</v>
      </c>
      <c r="B77">
        <v>76</v>
      </c>
      <c r="C77">
        <v>15</v>
      </c>
    </row>
    <row r="78" spans="1:3" x14ac:dyDescent="0.35">
      <c r="A78">
        <v>1</v>
      </c>
      <c r="B78">
        <v>77</v>
      </c>
      <c r="C78">
        <v>16</v>
      </c>
    </row>
    <row r="79" spans="1:3" x14ac:dyDescent="0.35">
      <c r="A79">
        <v>1</v>
      </c>
      <c r="B79">
        <v>78</v>
      </c>
      <c r="C79">
        <v>13</v>
      </c>
    </row>
    <row r="80" spans="1:3" x14ac:dyDescent="0.35">
      <c r="A80">
        <v>1</v>
      </c>
      <c r="B80">
        <v>79</v>
      </c>
      <c r="C80">
        <v>13</v>
      </c>
    </row>
    <row r="81" spans="1:3" x14ac:dyDescent="0.35">
      <c r="A81">
        <v>1</v>
      </c>
      <c r="B81">
        <v>80</v>
      </c>
      <c r="C81">
        <v>11</v>
      </c>
    </row>
    <row r="82" spans="1:3" x14ac:dyDescent="0.35">
      <c r="A82">
        <v>1</v>
      </c>
      <c r="B82">
        <v>81</v>
      </c>
      <c r="C82">
        <v>25</v>
      </c>
    </row>
    <row r="83" spans="1:3" x14ac:dyDescent="0.35">
      <c r="A83">
        <v>1</v>
      </c>
      <c r="B83">
        <v>82</v>
      </c>
      <c r="C83">
        <v>1</v>
      </c>
    </row>
    <row r="84" spans="1:3" x14ac:dyDescent="0.35">
      <c r="A84">
        <v>1</v>
      </c>
      <c r="B84">
        <v>83</v>
      </c>
      <c r="C84">
        <v>13</v>
      </c>
    </row>
    <row r="85" spans="1:3" x14ac:dyDescent="0.35">
      <c r="A85">
        <v>1</v>
      </c>
      <c r="B85">
        <v>84</v>
      </c>
      <c r="C85">
        <v>11</v>
      </c>
    </row>
    <row r="86" spans="1:3" x14ac:dyDescent="0.35">
      <c r="A86">
        <v>1</v>
      </c>
      <c r="B86">
        <v>85</v>
      </c>
      <c r="C86">
        <v>23</v>
      </c>
    </row>
    <row r="87" spans="1:3" x14ac:dyDescent="0.35">
      <c r="A87">
        <v>1</v>
      </c>
      <c r="B87">
        <v>86</v>
      </c>
      <c r="C87">
        <v>19</v>
      </c>
    </row>
    <row r="88" spans="1:3" x14ac:dyDescent="0.35">
      <c r="A88">
        <v>1</v>
      </c>
      <c r="B88">
        <v>87</v>
      </c>
      <c r="C88">
        <v>27</v>
      </c>
    </row>
    <row r="89" spans="1:3" x14ac:dyDescent="0.35">
      <c r="A89">
        <v>1</v>
      </c>
      <c r="B89">
        <v>88</v>
      </c>
      <c r="C89">
        <v>7</v>
      </c>
    </row>
    <row r="90" spans="1:3" x14ac:dyDescent="0.35">
      <c r="A90">
        <v>1</v>
      </c>
      <c r="B90">
        <v>89</v>
      </c>
      <c r="C90">
        <v>9</v>
      </c>
    </row>
    <row r="91" spans="1:3" x14ac:dyDescent="0.35">
      <c r="A91">
        <v>1</v>
      </c>
      <c r="B91">
        <v>90</v>
      </c>
      <c r="C91">
        <v>4</v>
      </c>
    </row>
    <row r="92" spans="1:3" x14ac:dyDescent="0.35">
      <c r="A92">
        <v>1</v>
      </c>
      <c r="B92">
        <v>91</v>
      </c>
      <c r="C92">
        <v>8</v>
      </c>
    </row>
    <row r="93" spans="1:3" x14ac:dyDescent="0.35">
      <c r="A93">
        <v>1</v>
      </c>
      <c r="B93">
        <v>92</v>
      </c>
      <c r="C93">
        <v>0</v>
      </c>
    </row>
    <row r="94" spans="1:3" x14ac:dyDescent="0.35">
      <c r="A94">
        <v>1</v>
      </c>
      <c r="B94">
        <v>93</v>
      </c>
      <c r="C94">
        <v>22</v>
      </c>
    </row>
    <row r="95" spans="1:3" x14ac:dyDescent="0.35">
      <c r="A95">
        <v>1</v>
      </c>
      <c r="B95">
        <v>94</v>
      </c>
      <c r="C95">
        <v>6</v>
      </c>
    </row>
    <row r="96" spans="1:3" x14ac:dyDescent="0.35">
      <c r="A96">
        <v>1</v>
      </c>
      <c r="B96">
        <v>95</v>
      </c>
      <c r="C96">
        <v>25</v>
      </c>
    </row>
    <row r="97" spans="1:3" x14ac:dyDescent="0.35">
      <c r="A97">
        <v>1</v>
      </c>
      <c r="B97">
        <v>96</v>
      </c>
      <c r="C97">
        <v>20</v>
      </c>
    </row>
    <row r="98" spans="1:3" x14ac:dyDescent="0.35">
      <c r="A98">
        <v>1</v>
      </c>
      <c r="B98">
        <v>97</v>
      </c>
      <c r="C98">
        <v>20</v>
      </c>
    </row>
    <row r="99" spans="1:3" x14ac:dyDescent="0.35">
      <c r="A99">
        <v>1</v>
      </c>
      <c r="B99">
        <v>98</v>
      </c>
      <c r="C99">
        <v>28</v>
      </c>
    </row>
    <row r="100" spans="1:3" x14ac:dyDescent="0.35">
      <c r="A100">
        <v>1</v>
      </c>
      <c r="B100">
        <v>99</v>
      </c>
      <c r="C100">
        <v>28</v>
      </c>
    </row>
    <row r="101" spans="1:3" x14ac:dyDescent="0.35">
      <c r="A101">
        <v>1</v>
      </c>
      <c r="B101">
        <v>100</v>
      </c>
      <c r="C101">
        <v>15</v>
      </c>
    </row>
    <row r="102" spans="1:3" x14ac:dyDescent="0.35">
      <c r="A102">
        <v>1</v>
      </c>
      <c r="B102">
        <v>101</v>
      </c>
      <c r="C102">
        <v>17</v>
      </c>
    </row>
    <row r="103" spans="1:3" x14ac:dyDescent="0.35">
      <c r="A103">
        <v>1</v>
      </c>
      <c r="B103">
        <v>102</v>
      </c>
      <c r="C103">
        <v>9</v>
      </c>
    </row>
    <row r="104" spans="1:3" x14ac:dyDescent="0.35">
      <c r="A104">
        <v>1</v>
      </c>
      <c r="B104">
        <v>103</v>
      </c>
      <c r="C104">
        <v>13</v>
      </c>
    </row>
    <row r="105" spans="1:3" x14ac:dyDescent="0.35">
      <c r="A105">
        <v>1</v>
      </c>
      <c r="B105">
        <v>104</v>
      </c>
      <c r="C105">
        <v>25</v>
      </c>
    </row>
    <row r="106" spans="1:3" x14ac:dyDescent="0.35">
      <c r="A106">
        <v>1</v>
      </c>
      <c r="B106">
        <v>105</v>
      </c>
      <c r="C106">
        <v>7</v>
      </c>
    </row>
    <row r="107" spans="1:3" x14ac:dyDescent="0.35">
      <c r="A107">
        <v>1</v>
      </c>
      <c r="B107">
        <v>106</v>
      </c>
      <c r="C107">
        <v>30</v>
      </c>
    </row>
    <row r="108" spans="1:3" x14ac:dyDescent="0.35">
      <c r="A108">
        <v>1</v>
      </c>
      <c r="B108">
        <v>107</v>
      </c>
      <c r="C108">
        <v>20</v>
      </c>
    </row>
    <row r="109" spans="1:3" x14ac:dyDescent="0.35">
      <c r="A109">
        <v>1</v>
      </c>
      <c r="B109">
        <v>108</v>
      </c>
      <c r="C109">
        <v>15</v>
      </c>
    </row>
    <row r="110" spans="1:3" x14ac:dyDescent="0.35">
      <c r="A110">
        <v>1</v>
      </c>
      <c r="B110">
        <v>109</v>
      </c>
      <c r="C110">
        <v>30</v>
      </c>
    </row>
    <row r="111" spans="1:3" x14ac:dyDescent="0.35">
      <c r="A111">
        <v>1</v>
      </c>
      <c r="B111">
        <v>110</v>
      </c>
      <c r="C111">
        <v>1</v>
      </c>
    </row>
    <row r="112" spans="1:3" x14ac:dyDescent="0.35">
      <c r="A112">
        <v>1</v>
      </c>
      <c r="B112">
        <v>111</v>
      </c>
      <c r="C112">
        <v>11</v>
      </c>
    </row>
    <row r="113" spans="1:3" x14ac:dyDescent="0.35">
      <c r="A113">
        <v>1</v>
      </c>
      <c r="B113">
        <v>112</v>
      </c>
      <c r="C113">
        <v>17</v>
      </c>
    </row>
    <row r="114" spans="1:3" x14ac:dyDescent="0.35">
      <c r="A114">
        <v>1</v>
      </c>
      <c r="B114">
        <v>113</v>
      </c>
      <c r="C114">
        <v>24</v>
      </c>
    </row>
    <row r="115" spans="1:3" x14ac:dyDescent="0.35">
      <c r="A115">
        <v>1</v>
      </c>
      <c r="B115">
        <v>114</v>
      </c>
      <c r="C115">
        <v>3</v>
      </c>
    </row>
    <row r="116" spans="1:3" x14ac:dyDescent="0.35">
      <c r="A116">
        <v>1</v>
      </c>
      <c r="B116">
        <v>115</v>
      </c>
      <c r="C116">
        <v>10</v>
      </c>
    </row>
    <row r="117" spans="1:3" x14ac:dyDescent="0.35">
      <c r="A117">
        <v>1</v>
      </c>
      <c r="B117">
        <v>116</v>
      </c>
      <c r="C117">
        <v>24</v>
      </c>
    </row>
    <row r="118" spans="1:3" x14ac:dyDescent="0.35">
      <c r="A118">
        <v>1</v>
      </c>
      <c r="B118">
        <v>117</v>
      </c>
      <c r="C118">
        <v>15</v>
      </c>
    </row>
    <row r="119" spans="1:3" x14ac:dyDescent="0.35">
      <c r="A119">
        <v>1</v>
      </c>
      <c r="B119">
        <v>118</v>
      </c>
      <c r="C119">
        <v>12</v>
      </c>
    </row>
    <row r="120" spans="1:3" x14ac:dyDescent="0.35">
      <c r="A120">
        <v>1</v>
      </c>
      <c r="B120">
        <v>119</v>
      </c>
      <c r="C120">
        <v>17</v>
      </c>
    </row>
    <row r="121" spans="1:3" x14ac:dyDescent="0.35">
      <c r="A121">
        <v>1</v>
      </c>
      <c r="B121">
        <v>120</v>
      </c>
      <c r="C121">
        <v>23</v>
      </c>
    </row>
    <row r="122" spans="1:3" x14ac:dyDescent="0.35">
      <c r="A122">
        <v>1</v>
      </c>
      <c r="B122">
        <v>121</v>
      </c>
      <c r="C122">
        <v>19</v>
      </c>
    </row>
    <row r="123" spans="1:3" x14ac:dyDescent="0.35">
      <c r="A123">
        <v>1</v>
      </c>
      <c r="B123">
        <v>122</v>
      </c>
      <c r="C123">
        <v>22</v>
      </c>
    </row>
    <row r="124" spans="1:3" x14ac:dyDescent="0.35">
      <c r="A124">
        <v>1</v>
      </c>
      <c r="B124">
        <v>123</v>
      </c>
      <c r="C124">
        <v>8</v>
      </c>
    </row>
    <row r="125" spans="1:3" x14ac:dyDescent="0.35">
      <c r="A125">
        <v>1</v>
      </c>
      <c r="B125">
        <v>124</v>
      </c>
      <c r="C125">
        <v>23</v>
      </c>
    </row>
    <row r="126" spans="1:3" x14ac:dyDescent="0.35">
      <c r="A126">
        <v>1</v>
      </c>
      <c r="B126">
        <v>125</v>
      </c>
      <c r="C126">
        <v>22</v>
      </c>
    </row>
    <row r="127" spans="1:3" x14ac:dyDescent="0.35">
      <c r="A127">
        <v>1</v>
      </c>
      <c r="B127">
        <v>126</v>
      </c>
      <c r="C127">
        <v>28</v>
      </c>
    </row>
    <row r="128" spans="1:3" x14ac:dyDescent="0.35">
      <c r="A128">
        <v>1</v>
      </c>
      <c r="B128">
        <v>127</v>
      </c>
      <c r="C128">
        <v>12</v>
      </c>
    </row>
    <row r="129" spans="1:3" x14ac:dyDescent="0.35">
      <c r="A129">
        <v>1</v>
      </c>
      <c r="B129">
        <v>128</v>
      </c>
      <c r="C129">
        <v>11</v>
      </c>
    </row>
    <row r="130" spans="1:3" x14ac:dyDescent="0.35">
      <c r="A130">
        <v>1</v>
      </c>
      <c r="B130">
        <v>129</v>
      </c>
      <c r="C130">
        <v>21</v>
      </c>
    </row>
    <row r="131" spans="1:3" x14ac:dyDescent="0.35">
      <c r="A131">
        <v>1</v>
      </c>
      <c r="B131">
        <v>130</v>
      </c>
      <c r="C131">
        <v>22</v>
      </c>
    </row>
    <row r="132" spans="1:3" x14ac:dyDescent="0.35">
      <c r="A132">
        <v>1</v>
      </c>
      <c r="B132">
        <v>131</v>
      </c>
      <c r="C132">
        <v>20</v>
      </c>
    </row>
    <row r="133" spans="1:3" x14ac:dyDescent="0.35">
      <c r="A133">
        <v>1</v>
      </c>
      <c r="B133">
        <v>132</v>
      </c>
      <c r="C133">
        <v>1</v>
      </c>
    </row>
    <row r="134" spans="1:3" x14ac:dyDescent="0.35">
      <c r="A134">
        <v>1</v>
      </c>
      <c r="B134">
        <v>133</v>
      </c>
      <c r="C134">
        <v>9</v>
      </c>
    </row>
    <row r="135" spans="1:3" x14ac:dyDescent="0.35">
      <c r="A135">
        <v>1</v>
      </c>
      <c r="B135">
        <v>134</v>
      </c>
      <c r="C135">
        <v>26</v>
      </c>
    </row>
    <row r="136" spans="1:3" x14ac:dyDescent="0.35">
      <c r="A136">
        <v>1</v>
      </c>
      <c r="B136">
        <v>135</v>
      </c>
      <c r="C136">
        <v>15</v>
      </c>
    </row>
    <row r="137" spans="1:3" x14ac:dyDescent="0.35">
      <c r="A137">
        <v>1</v>
      </c>
      <c r="B137">
        <v>136</v>
      </c>
      <c r="C137">
        <v>12</v>
      </c>
    </row>
    <row r="138" spans="1:3" x14ac:dyDescent="0.35">
      <c r="A138">
        <v>1</v>
      </c>
      <c r="B138">
        <v>137</v>
      </c>
      <c r="C138">
        <v>12</v>
      </c>
    </row>
    <row r="139" spans="1:3" x14ac:dyDescent="0.35">
      <c r="A139">
        <v>1</v>
      </c>
      <c r="B139">
        <v>138</v>
      </c>
      <c r="C139">
        <v>6</v>
      </c>
    </row>
    <row r="140" spans="1:3" x14ac:dyDescent="0.35">
      <c r="A140">
        <v>1</v>
      </c>
      <c r="B140">
        <v>139</v>
      </c>
      <c r="C140">
        <v>17</v>
      </c>
    </row>
    <row r="141" spans="1:3" x14ac:dyDescent="0.35">
      <c r="A141">
        <v>1</v>
      </c>
      <c r="B141">
        <v>140</v>
      </c>
      <c r="C141">
        <v>3</v>
      </c>
    </row>
    <row r="142" spans="1:3" x14ac:dyDescent="0.35">
      <c r="A142">
        <v>1</v>
      </c>
      <c r="B142">
        <v>141</v>
      </c>
      <c r="C142">
        <v>21</v>
      </c>
    </row>
    <row r="143" spans="1:3" x14ac:dyDescent="0.35">
      <c r="A143">
        <v>1</v>
      </c>
      <c r="B143">
        <v>142</v>
      </c>
      <c r="C143">
        <v>22</v>
      </c>
    </row>
    <row r="144" spans="1:3" x14ac:dyDescent="0.35">
      <c r="A144">
        <v>1</v>
      </c>
      <c r="B144">
        <v>143</v>
      </c>
      <c r="C144">
        <v>19</v>
      </c>
    </row>
    <row r="145" spans="1:3" x14ac:dyDescent="0.35">
      <c r="A145">
        <v>1</v>
      </c>
      <c r="B145">
        <v>144</v>
      </c>
      <c r="C145">
        <v>7</v>
      </c>
    </row>
    <row r="146" spans="1:3" x14ac:dyDescent="0.35">
      <c r="A146">
        <v>1</v>
      </c>
      <c r="B146">
        <v>145</v>
      </c>
      <c r="C146">
        <v>5</v>
      </c>
    </row>
    <row r="147" spans="1:3" x14ac:dyDescent="0.35">
      <c r="A147">
        <v>1</v>
      </c>
      <c r="B147">
        <v>146</v>
      </c>
      <c r="C147">
        <v>6</v>
      </c>
    </row>
    <row r="148" spans="1:3" x14ac:dyDescent="0.35">
      <c r="A148">
        <v>1</v>
      </c>
      <c r="B148">
        <v>147</v>
      </c>
      <c r="C148">
        <v>8</v>
      </c>
    </row>
    <row r="149" spans="1:3" x14ac:dyDescent="0.35">
      <c r="A149">
        <v>1</v>
      </c>
      <c r="B149">
        <v>148</v>
      </c>
      <c r="C149">
        <v>6</v>
      </c>
    </row>
    <row r="150" spans="1:3" x14ac:dyDescent="0.35">
      <c r="A150">
        <v>1</v>
      </c>
      <c r="B150">
        <v>149</v>
      </c>
      <c r="C150">
        <v>1</v>
      </c>
    </row>
    <row r="151" spans="1:3" x14ac:dyDescent="0.35">
      <c r="A151">
        <v>1</v>
      </c>
      <c r="B151">
        <v>150</v>
      </c>
      <c r="C151">
        <v>22</v>
      </c>
    </row>
    <row r="152" spans="1:3" x14ac:dyDescent="0.35">
      <c r="A152">
        <v>1</v>
      </c>
      <c r="B152">
        <v>151</v>
      </c>
      <c r="C152">
        <v>24</v>
      </c>
    </row>
    <row r="153" spans="1:3" x14ac:dyDescent="0.35">
      <c r="A153">
        <v>1</v>
      </c>
      <c r="B153">
        <v>152</v>
      </c>
      <c r="C153">
        <v>12</v>
      </c>
    </row>
    <row r="154" spans="1:3" x14ac:dyDescent="0.35">
      <c r="A154">
        <v>1</v>
      </c>
      <c r="B154">
        <v>153</v>
      </c>
      <c r="C154">
        <v>25</v>
      </c>
    </row>
    <row r="155" spans="1:3" x14ac:dyDescent="0.35">
      <c r="A155">
        <v>1</v>
      </c>
      <c r="B155">
        <v>154</v>
      </c>
      <c r="C155">
        <v>13</v>
      </c>
    </row>
    <row r="156" spans="1:3" x14ac:dyDescent="0.35">
      <c r="A156">
        <v>1</v>
      </c>
      <c r="B156">
        <v>155</v>
      </c>
      <c r="C156">
        <v>8</v>
      </c>
    </row>
    <row r="157" spans="1:3" x14ac:dyDescent="0.35">
      <c r="A157">
        <v>1</v>
      </c>
      <c r="B157">
        <v>156</v>
      </c>
      <c r="C157">
        <v>13</v>
      </c>
    </row>
    <row r="158" spans="1:3" x14ac:dyDescent="0.35">
      <c r="A158">
        <v>1</v>
      </c>
      <c r="B158">
        <v>157</v>
      </c>
      <c r="C158">
        <v>25</v>
      </c>
    </row>
    <row r="159" spans="1:3" x14ac:dyDescent="0.35">
      <c r="A159">
        <v>1</v>
      </c>
      <c r="B159">
        <v>158</v>
      </c>
      <c r="C159">
        <v>11</v>
      </c>
    </row>
    <row r="160" spans="1:3" x14ac:dyDescent="0.35">
      <c r="A160">
        <v>1</v>
      </c>
      <c r="B160">
        <v>159</v>
      </c>
      <c r="C160">
        <v>18</v>
      </c>
    </row>
    <row r="161" spans="1:3" x14ac:dyDescent="0.35">
      <c r="A161">
        <v>1</v>
      </c>
      <c r="B161">
        <v>160</v>
      </c>
      <c r="C161">
        <v>0</v>
      </c>
    </row>
    <row r="162" spans="1:3" x14ac:dyDescent="0.35">
      <c r="A162">
        <v>1</v>
      </c>
      <c r="B162">
        <v>161</v>
      </c>
      <c r="C162">
        <v>17</v>
      </c>
    </row>
    <row r="163" spans="1:3" x14ac:dyDescent="0.35">
      <c r="A163">
        <v>1</v>
      </c>
      <c r="B163">
        <v>162</v>
      </c>
      <c r="C163">
        <v>14</v>
      </c>
    </row>
    <row r="164" spans="1:3" x14ac:dyDescent="0.35">
      <c r="A164">
        <v>1</v>
      </c>
      <c r="B164">
        <v>163</v>
      </c>
      <c r="C164">
        <v>0</v>
      </c>
    </row>
    <row r="165" spans="1:3" x14ac:dyDescent="0.35">
      <c r="A165">
        <v>1</v>
      </c>
      <c r="B165">
        <v>164</v>
      </c>
      <c r="C165">
        <v>15</v>
      </c>
    </row>
    <row r="166" spans="1:3" x14ac:dyDescent="0.35">
      <c r="A166">
        <v>1</v>
      </c>
      <c r="B166">
        <v>165</v>
      </c>
      <c r="C166">
        <v>16</v>
      </c>
    </row>
    <row r="167" spans="1:3" x14ac:dyDescent="0.35">
      <c r="A167">
        <v>1</v>
      </c>
      <c r="B167">
        <v>166</v>
      </c>
      <c r="C167">
        <v>23</v>
      </c>
    </row>
    <row r="168" spans="1:3" x14ac:dyDescent="0.35">
      <c r="A168">
        <v>1</v>
      </c>
      <c r="B168">
        <v>167</v>
      </c>
      <c r="C168">
        <v>28</v>
      </c>
    </row>
    <row r="169" spans="1:3" x14ac:dyDescent="0.35">
      <c r="A169">
        <v>1</v>
      </c>
      <c r="B169">
        <v>168</v>
      </c>
      <c r="C169">
        <v>0</v>
      </c>
    </row>
    <row r="170" spans="1:3" x14ac:dyDescent="0.35">
      <c r="A170">
        <v>1</v>
      </c>
      <c r="B170">
        <v>169</v>
      </c>
      <c r="C170">
        <v>25</v>
      </c>
    </row>
    <row r="171" spans="1:3" x14ac:dyDescent="0.35">
      <c r="A171">
        <v>1</v>
      </c>
      <c r="B171">
        <v>170</v>
      </c>
      <c r="C171">
        <v>14</v>
      </c>
    </row>
    <row r="172" spans="1:3" x14ac:dyDescent="0.35">
      <c r="A172">
        <v>1</v>
      </c>
      <c r="B172">
        <v>171</v>
      </c>
      <c r="C172">
        <v>3</v>
      </c>
    </row>
    <row r="173" spans="1:3" x14ac:dyDescent="0.35">
      <c r="A173">
        <v>1</v>
      </c>
      <c r="B173">
        <v>172</v>
      </c>
      <c r="C173">
        <v>3</v>
      </c>
    </row>
    <row r="174" spans="1:3" x14ac:dyDescent="0.35">
      <c r="A174">
        <v>1</v>
      </c>
      <c r="B174">
        <v>173</v>
      </c>
      <c r="C174">
        <v>2</v>
      </c>
    </row>
    <row r="175" spans="1:3" x14ac:dyDescent="0.35">
      <c r="A175">
        <v>1</v>
      </c>
      <c r="B175">
        <v>174</v>
      </c>
      <c r="C175">
        <v>26</v>
      </c>
    </row>
    <row r="176" spans="1:3" x14ac:dyDescent="0.35">
      <c r="A176">
        <v>1</v>
      </c>
      <c r="B176">
        <v>175</v>
      </c>
      <c r="C176">
        <v>2</v>
      </c>
    </row>
    <row r="177" spans="1:3" x14ac:dyDescent="0.35">
      <c r="A177">
        <v>1</v>
      </c>
      <c r="B177">
        <v>176</v>
      </c>
      <c r="C177">
        <v>11</v>
      </c>
    </row>
    <row r="178" spans="1:3" x14ac:dyDescent="0.35">
      <c r="A178">
        <v>1</v>
      </c>
      <c r="B178">
        <v>177</v>
      </c>
      <c r="C178">
        <v>19</v>
      </c>
    </row>
    <row r="179" spans="1:3" x14ac:dyDescent="0.35">
      <c r="A179">
        <v>1</v>
      </c>
      <c r="B179">
        <v>178</v>
      </c>
      <c r="C179">
        <v>23</v>
      </c>
    </row>
    <row r="180" spans="1:3" x14ac:dyDescent="0.35">
      <c r="A180">
        <v>1</v>
      </c>
      <c r="B180">
        <v>179</v>
      </c>
      <c r="C180">
        <v>16</v>
      </c>
    </row>
    <row r="181" spans="1:3" x14ac:dyDescent="0.35">
      <c r="A181">
        <v>1</v>
      </c>
      <c r="B181">
        <v>180</v>
      </c>
      <c r="C181">
        <v>5</v>
      </c>
    </row>
    <row r="182" spans="1:3" x14ac:dyDescent="0.35">
      <c r="A182">
        <v>1</v>
      </c>
      <c r="B182">
        <v>181</v>
      </c>
      <c r="C182">
        <v>19</v>
      </c>
    </row>
    <row r="183" spans="1:3" x14ac:dyDescent="0.35">
      <c r="A183">
        <v>1</v>
      </c>
      <c r="B183">
        <v>182</v>
      </c>
      <c r="C183">
        <v>28</v>
      </c>
    </row>
    <row r="184" spans="1:3" x14ac:dyDescent="0.35">
      <c r="A184">
        <v>1</v>
      </c>
      <c r="B184">
        <v>183</v>
      </c>
      <c r="C184">
        <v>11</v>
      </c>
    </row>
    <row r="185" spans="1:3" x14ac:dyDescent="0.35">
      <c r="A185">
        <v>1</v>
      </c>
      <c r="B185">
        <v>184</v>
      </c>
      <c r="C185">
        <v>4</v>
      </c>
    </row>
    <row r="186" spans="1:3" x14ac:dyDescent="0.35">
      <c r="A186">
        <v>1</v>
      </c>
      <c r="B186">
        <v>185</v>
      </c>
      <c r="C186">
        <v>3</v>
      </c>
    </row>
    <row r="187" spans="1:3" x14ac:dyDescent="0.35">
      <c r="A187">
        <v>1</v>
      </c>
      <c r="B187">
        <v>186</v>
      </c>
      <c r="C187">
        <v>1</v>
      </c>
    </row>
    <row r="188" spans="1:3" x14ac:dyDescent="0.35">
      <c r="A188">
        <v>1</v>
      </c>
      <c r="B188">
        <v>187</v>
      </c>
      <c r="C188">
        <v>16</v>
      </c>
    </row>
    <row r="189" spans="1:3" x14ac:dyDescent="0.35">
      <c r="A189">
        <v>1</v>
      </c>
      <c r="B189">
        <v>188</v>
      </c>
      <c r="C189">
        <v>30</v>
      </c>
    </row>
    <row r="190" spans="1:3" x14ac:dyDescent="0.35">
      <c r="A190">
        <v>1</v>
      </c>
      <c r="B190">
        <v>189</v>
      </c>
      <c r="C190">
        <v>6</v>
      </c>
    </row>
    <row r="191" spans="1:3" x14ac:dyDescent="0.35">
      <c r="A191">
        <v>1</v>
      </c>
      <c r="B191">
        <v>190</v>
      </c>
      <c r="C191">
        <v>21</v>
      </c>
    </row>
    <row r="192" spans="1:3" x14ac:dyDescent="0.35">
      <c r="A192">
        <v>1</v>
      </c>
      <c r="B192">
        <v>191</v>
      </c>
      <c r="C192">
        <v>21</v>
      </c>
    </row>
    <row r="193" spans="1:3" x14ac:dyDescent="0.35">
      <c r="A193">
        <v>1</v>
      </c>
      <c r="B193">
        <v>192</v>
      </c>
      <c r="C193">
        <v>20</v>
      </c>
    </row>
    <row r="194" spans="1:3" x14ac:dyDescent="0.35">
      <c r="A194">
        <v>1</v>
      </c>
      <c r="B194">
        <v>193</v>
      </c>
      <c r="C194">
        <v>30</v>
      </c>
    </row>
    <row r="195" spans="1:3" x14ac:dyDescent="0.35">
      <c r="A195">
        <v>1</v>
      </c>
      <c r="B195">
        <v>194</v>
      </c>
      <c r="C195">
        <v>24</v>
      </c>
    </row>
    <row r="196" spans="1:3" x14ac:dyDescent="0.35">
      <c r="A196">
        <v>1</v>
      </c>
      <c r="B196">
        <v>195</v>
      </c>
      <c r="C196">
        <v>1</v>
      </c>
    </row>
    <row r="197" spans="1:3" x14ac:dyDescent="0.35">
      <c r="A197">
        <v>1</v>
      </c>
      <c r="B197">
        <v>196</v>
      </c>
      <c r="C197">
        <v>26</v>
      </c>
    </row>
    <row r="198" spans="1:3" x14ac:dyDescent="0.35">
      <c r="A198">
        <v>1</v>
      </c>
      <c r="B198">
        <v>197</v>
      </c>
      <c r="C198">
        <v>22</v>
      </c>
    </row>
    <row r="199" spans="1:3" x14ac:dyDescent="0.35">
      <c r="A199">
        <v>1</v>
      </c>
      <c r="B199">
        <v>198</v>
      </c>
      <c r="C199">
        <v>1</v>
      </c>
    </row>
    <row r="200" spans="1:3" x14ac:dyDescent="0.35">
      <c r="A200">
        <v>1</v>
      </c>
      <c r="B200">
        <v>199</v>
      </c>
      <c r="C200">
        <v>2</v>
      </c>
    </row>
    <row r="201" spans="1:3" x14ac:dyDescent="0.35">
      <c r="A201">
        <v>1</v>
      </c>
      <c r="B201">
        <v>200</v>
      </c>
      <c r="C201">
        <v>27</v>
      </c>
    </row>
    <row r="202" spans="1:3" x14ac:dyDescent="0.35">
      <c r="A202">
        <v>1</v>
      </c>
      <c r="B202">
        <v>201</v>
      </c>
      <c r="C202">
        <v>16</v>
      </c>
    </row>
    <row r="203" spans="1:3" x14ac:dyDescent="0.35">
      <c r="A203">
        <v>1</v>
      </c>
      <c r="B203">
        <v>202</v>
      </c>
      <c r="C203">
        <v>5</v>
      </c>
    </row>
    <row r="204" spans="1:3" x14ac:dyDescent="0.35">
      <c r="A204">
        <v>1</v>
      </c>
      <c r="B204">
        <v>203</v>
      </c>
      <c r="C204">
        <v>4</v>
      </c>
    </row>
    <row r="205" spans="1:3" x14ac:dyDescent="0.35">
      <c r="A205">
        <v>1</v>
      </c>
      <c r="B205">
        <v>204</v>
      </c>
      <c r="C205">
        <v>23</v>
      </c>
    </row>
    <row r="206" spans="1:3" x14ac:dyDescent="0.35">
      <c r="A206">
        <v>1</v>
      </c>
      <c r="B206">
        <v>205</v>
      </c>
      <c r="C206">
        <v>9</v>
      </c>
    </row>
    <row r="207" spans="1:3" x14ac:dyDescent="0.35">
      <c r="A207">
        <v>1</v>
      </c>
      <c r="B207">
        <v>206</v>
      </c>
      <c r="C207">
        <v>10</v>
      </c>
    </row>
    <row r="208" spans="1:3" x14ac:dyDescent="0.35">
      <c r="A208">
        <v>1</v>
      </c>
      <c r="B208">
        <v>207</v>
      </c>
      <c r="C208">
        <v>27</v>
      </c>
    </row>
    <row r="209" spans="1:3" x14ac:dyDescent="0.35">
      <c r="A209">
        <v>1</v>
      </c>
      <c r="B209">
        <v>208</v>
      </c>
      <c r="C209">
        <v>13</v>
      </c>
    </row>
    <row r="210" spans="1:3" x14ac:dyDescent="0.35">
      <c r="A210">
        <v>1</v>
      </c>
      <c r="B210">
        <v>209</v>
      </c>
      <c r="C210">
        <v>22</v>
      </c>
    </row>
    <row r="211" spans="1:3" x14ac:dyDescent="0.35">
      <c r="A211">
        <v>1</v>
      </c>
      <c r="B211">
        <v>210</v>
      </c>
      <c r="C211">
        <v>25</v>
      </c>
    </row>
    <row r="212" spans="1:3" x14ac:dyDescent="0.35">
      <c r="A212">
        <v>1</v>
      </c>
      <c r="B212">
        <v>211</v>
      </c>
      <c r="C212">
        <v>13</v>
      </c>
    </row>
    <row r="213" spans="1:3" x14ac:dyDescent="0.35">
      <c r="A213">
        <v>1</v>
      </c>
      <c r="B213">
        <v>212</v>
      </c>
      <c r="C213">
        <v>17</v>
      </c>
    </row>
    <row r="214" spans="1:3" x14ac:dyDescent="0.35">
      <c r="A214">
        <v>1</v>
      </c>
      <c r="B214">
        <v>213</v>
      </c>
      <c r="C214">
        <v>14</v>
      </c>
    </row>
    <row r="215" spans="1:3" x14ac:dyDescent="0.35">
      <c r="A215">
        <v>1</v>
      </c>
      <c r="B215">
        <v>214</v>
      </c>
      <c r="C215">
        <v>4</v>
      </c>
    </row>
    <row r="216" spans="1:3" x14ac:dyDescent="0.35">
      <c r="A216">
        <v>1</v>
      </c>
      <c r="B216">
        <v>215</v>
      </c>
      <c r="C216">
        <v>1</v>
      </c>
    </row>
    <row r="217" spans="1:3" x14ac:dyDescent="0.35">
      <c r="A217">
        <v>1</v>
      </c>
      <c r="B217">
        <v>216</v>
      </c>
      <c r="C217">
        <v>11</v>
      </c>
    </row>
    <row r="218" spans="1:3" x14ac:dyDescent="0.35">
      <c r="A218">
        <v>1</v>
      </c>
      <c r="B218">
        <v>217</v>
      </c>
      <c r="C218">
        <v>11</v>
      </c>
    </row>
    <row r="219" spans="1:3" x14ac:dyDescent="0.35">
      <c r="A219">
        <v>1</v>
      </c>
      <c r="B219">
        <v>218</v>
      </c>
      <c r="C219">
        <v>27</v>
      </c>
    </row>
    <row r="220" spans="1:3" x14ac:dyDescent="0.35">
      <c r="A220">
        <v>1</v>
      </c>
      <c r="B220">
        <v>219</v>
      </c>
      <c r="C220">
        <v>30</v>
      </c>
    </row>
    <row r="221" spans="1:3" x14ac:dyDescent="0.35">
      <c r="A221">
        <v>1</v>
      </c>
      <c r="B221">
        <v>220</v>
      </c>
      <c r="C221">
        <v>4</v>
      </c>
    </row>
    <row r="222" spans="1:3" x14ac:dyDescent="0.35">
      <c r="A222">
        <v>1</v>
      </c>
      <c r="B222">
        <v>221</v>
      </c>
      <c r="C222">
        <v>7</v>
      </c>
    </row>
    <row r="223" spans="1:3" x14ac:dyDescent="0.35">
      <c r="A223">
        <v>1</v>
      </c>
      <c r="B223">
        <v>222</v>
      </c>
      <c r="C223">
        <v>12</v>
      </c>
    </row>
    <row r="224" spans="1:3" x14ac:dyDescent="0.35">
      <c r="A224">
        <v>1</v>
      </c>
      <c r="B224">
        <v>223</v>
      </c>
      <c r="C224">
        <v>3</v>
      </c>
    </row>
    <row r="225" spans="1:3" x14ac:dyDescent="0.35">
      <c r="A225">
        <v>1</v>
      </c>
      <c r="B225">
        <v>224</v>
      </c>
      <c r="C225">
        <v>16</v>
      </c>
    </row>
    <row r="226" spans="1:3" x14ac:dyDescent="0.35">
      <c r="A226">
        <v>1</v>
      </c>
      <c r="B226">
        <v>225</v>
      </c>
      <c r="C226">
        <v>24</v>
      </c>
    </row>
    <row r="227" spans="1:3" x14ac:dyDescent="0.35">
      <c r="A227">
        <v>1</v>
      </c>
      <c r="B227">
        <v>226</v>
      </c>
      <c r="C227">
        <v>18</v>
      </c>
    </row>
    <row r="228" spans="1:3" x14ac:dyDescent="0.35">
      <c r="A228">
        <v>1</v>
      </c>
      <c r="B228">
        <v>227</v>
      </c>
      <c r="C228">
        <v>19</v>
      </c>
    </row>
    <row r="229" spans="1:3" x14ac:dyDescent="0.35">
      <c r="A229">
        <v>1</v>
      </c>
      <c r="B229">
        <v>228</v>
      </c>
      <c r="C229">
        <v>22</v>
      </c>
    </row>
    <row r="230" spans="1:3" x14ac:dyDescent="0.35">
      <c r="A230">
        <v>1</v>
      </c>
      <c r="B230">
        <v>229</v>
      </c>
      <c r="C230">
        <v>27</v>
      </c>
    </row>
    <row r="231" spans="1:3" x14ac:dyDescent="0.35">
      <c r="A231">
        <v>1</v>
      </c>
      <c r="B231">
        <v>230</v>
      </c>
      <c r="C231">
        <v>7</v>
      </c>
    </row>
    <row r="232" spans="1:3" x14ac:dyDescent="0.35">
      <c r="A232">
        <v>1</v>
      </c>
      <c r="B232">
        <v>231</v>
      </c>
      <c r="C232">
        <v>25</v>
      </c>
    </row>
    <row r="233" spans="1:3" x14ac:dyDescent="0.35">
      <c r="A233">
        <v>1</v>
      </c>
      <c r="B233">
        <v>232</v>
      </c>
      <c r="C233">
        <v>5</v>
      </c>
    </row>
    <row r="234" spans="1:3" x14ac:dyDescent="0.35">
      <c r="A234">
        <v>1</v>
      </c>
      <c r="B234">
        <v>233</v>
      </c>
      <c r="C234">
        <v>5</v>
      </c>
    </row>
    <row r="235" spans="1:3" x14ac:dyDescent="0.35">
      <c r="A235">
        <v>1</v>
      </c>
      <c r="B235">
        <v>234</v>
      </c>
      <c r="C235">
        <v>13</v>
      </c>
    </row>
    <row r="236" spans="1:3" x14ac:dyDescent="0.35">
      <c r="A236">
        <v>1</v>
      </c>
      <c r="B236">
        <v>235</v>
      </c>
      <c r="C236">
        <v>7</v>
      </c>
    </row>
    <row r="237" spans="1:3" x14ac:dyDescent="0.35">
      <c r="A237">
        <v>1</v>
      </c>
      <c r="B237">
        <v>236</v>
      </c>
      <c r="C237">
        <v>18</v>
      </c>
    </row>
    <row r="238" spans="1:3" x14ac:dyDescent="0.35">
      <c r="A238">
        <v>1</v>
      </c>
      <c r="B238">
        <v>237</v>
      </c>
      <c r="C238">
        <v>26</v>
      </c>
    </row>
    <row r="239" spans="1:3" x14ac:dyDescent="0.35">
      <c r="A239">
        <v>1</v>
      </c>
      <c r="B239">
        <v>238</v>
      </c>
      <c r="C239">
        <v>20</v>
      </c>
    </row>
    <row r="240" spans="1:3" x14ac:dyDescent="0.35">
      <c r="A240">
        <v>1</v>
      </c>
      <c r="B240">
        <v>239</v>
      </c>
      <c r="C240">
        <v>28</v>
      </c>
    </row>
    <row r="241" spans="1:3" x14ac:dyDescent="0.35">
      <c r="A241">
        <v>1</v>
      </c>
      <c r="B241">
        <v>240</v>
      </c>
      <c r="C241">
        <v>17</v>
      </c>
    </row>
    <row r="242" spans="1:3" x14ac:dyDescent="0.35">
      <c r="A242">
        <v>1</v>
      </c>
      <c r="B242">
        <v>241</v>
      </c>
      <c r="C242">
        <v>17</v>
      </c>
    </row>
    <row r="243" spans="1:3" x14ac:dyDescent="0.35">
      <c r="A243">
        <v>1</v>
      </c>
      <c r="B243">
        <v>242</v>
      </c>
      <c r="C243">
        <v>10</v>
      </c>
    </row>
    <row r="244" spans="1:3" x14ac:dyDescent="0.35">
      <c r="A244">
        <v>1</v>
      </c>
      <c r="B244">
        <v>243</v>
      </c>
      <c r="C244">
        <v>11</v>
      </c>
    </row>
    <row r="245" spans="1:3" x14ac:dyDescent="0.35">
      <c r="A245">
        <v>1</v>
      </c>
      <c r="B245">
        <v>244</v>
      </c>
      <c r="C245">
        <v>10</v>
      </c>
    </row>
    <row r="246" spans="1:3" x14ac:dyDescent="0.35">
      <c r="A246">
        <v>1</v>
      </c>
      <c r="B246">
        <v>245</v>
      </c>
      <c r="C246">
        <v>3</v>
      </c>
    </row>
    <row r="247" spans="1:3" x14ac:dyDescent="0.35">
      <c r="A247">
        <v>1</v>
      </c>
      <c r="B247">
        <v>246</v>
      </c>
      <c r="C247">
        <v>0</v>
      </c>
    </row>
    <row r="248" spans="1:3" x14ac:dyDescent="0.35">
      <c r="A248">
        <v>1</v>
      </c>
      <c r="B248">
        <v>247</v>
      </c>
      <c r="C248">
        <v>15</v>
      </c>
    </row>
    <row r="249" spans="1:3" x14ac:dyDescent="0.35">
      <c r="A249">
        <v>1</v>
      </c>
      <c r="B249">
        <v>248</v>
      </c>
      <c r="C249">
        <v>14</v>
      </c>
    </row>
    <row r="250" spans="1:3" x14ac:dyDescent="0.35">
      <c r="A250">
        <v>1</v>
      </c>
      <c r="B250">
        <v>249</v>
      </c>
      <c r="C250">
        <v>27</v>
      </c>
    </row>
    <row r="251" spans="1:3" x14ac:dyDescent="0.35">
      <c r="A251">
        <v>1</v>
      </c>
      <c r="B251">
        <v>250</v>
      </c>
      <c r="C251">
        <v>3</v>
      </c>
    </row>
    <row r="252" spans="1:3" x14ac:dyDescent="0.35">
      <c r="A252">
        <v>1</v>
      </c>
      <c r="B252">
        <v>251</v>
      </c>
      <c r="C252">
        <v>2</v>
      </c>
    </row>
    <row r="253" spans="1:3" x14ac:dyDescent="0.35">
      <c r="A253">
        <v>1</v>
      </c>
      <c r="B253">
        <v>252</v>
      </c>
      <c r="C253">
        <v>28</v>
      </c>
    </row>
    <row r="254" spans="1:3" x14ac:dyDescent="0.35">
      <c r="A254">
        <v>1</v>
      </c>
      <c r="B254">
        <v>253</v>
      </c>
      <c r="C254">
        <v>16</v>
      </c>
    </row>
    <row r="255" spans="1:3" x14ac:dyDescent="0.35">
      <c r="A255">
        <v>1</v>
      </c>
      <c r="B255">
        <v>254</v>
      </c>
      <c r="C255">
        <v>24</v>
      </c>
    </row>
    <row r="256" spans="1:3" x14ac:dyDescent="0.35">
      <c r="A256">
        <v>1</v>
      </c>
      <c r="B256">
        <v>255</v>
      </c>
      <c r="C256">
        <v>13</v>
      </c>
    </row>
    <row r="257" spans="1:3" x14ac:dyDescent="0.35">
      <c r="A257">
        <v>1</v>
      </c>
      <c r="B257">
        <v>256</v>
      </c>
      <c r="C257">
        <v>20</v>
      </c>
    </row>
    <row r="258" spans="1:3" x14ac:dyDescent="0.35">
      <c r="A258">
        <v>1</v>
      </c>
      <c r="B258">
        <v>257</v>
      </c>
      <c r="C258">
        <v>17</v>
      </c>
    </row>
    <row r="259" spans="1:3" x14ac:dyDescent="0.35">
      <c r="A259">
        <v>1</v>
      </c>
      <c r="B259">
        <v>258</v>
      </c>
      <c r="C259">
        <v>25</v>
      </c>
    </row>
    <row r="260" spans="1:3" x14ac:dyDescent="0.35">
      <c r="A260">
        <v>1</v>
      </c>
      <c r="B260">
        <v>259</v>
      </c>
      <c r="C260">
        <v>10</v>
      </c>
    </row>
    <row r="261" spans="1:3" x14ac:dyDescent="0.35">
      <c r="A261">
        <v>1</v>
      </c>
      <c r="B261">
        <v>260</v>
      </c>
      <c r="C261">
        <v>20</v>
      </c>
    </row>
    <row r="262" spans="1:3" x14ac:dyDescent="0.35">
      <c r="A262">
        <v>1</v>
      </c>
      <c r="B262">
        <v>261</v>
      </c>
      <c r="C262">
        <v>3</v>
      </c>
    </row>
    <row r="263" spans="1:3" x14ac:dyDescent="0.35">
      <c r="A263">
        <v>1</v>
      </c>
      <c r="B263">
        <v>262</v>
      </c>
      <c r="C263">
        <v>6</v>
      </c>
    </row>
    <row r="264" spans="1:3" x14ac:dyDescent="0.35">
      <c r="A264">
        <v>1</v>
      </c>
      <c r="B264">
        <v>263</v>
      </c>
      <c r="C264">
        <v>21</v>
      </c>
    </row>
    <row r="265" spans="1:3" x14ac:dyDescent="0.35">
      <c r="A265">
        <v>1</v>
      </c>
      <c r="B265">
        <v>264</v>
      </c>
      <c r="C265">
        <v>16</v>
      </c>
    </row>
    <row r="266" spans="1:3" x14ac:dyDescent="0.35">
      <c r="A266">
        <v>1</v>
      </c>
      <c r="B266">
        <v>265</v>
      </c>
      <c r="C266">
        <v>28</v>
      </c>
    </row>
    <row r="267" spans="1:3" x14ac:dyDescent="0.35">
      <c r="A267">
        <v>1</v>
      </c>
      <c r="B267">
        <v>266</v>
      </c>
      <c r="C267">
        <v>1</v>
      </c>
    </row>
    <row r="268" spans="1:3" x14ac:dyDescent="0.35">
      <c r="A268">
        <v>1</v>
      </c>
      <c r="B268">
        <v>267</v>
      </c>
      <c r="C268">
        <v>27</v>
      </c>
    </row>
    <row r="269" spans="1:3" x14ac:dyDescent="0.35">
      <c r="A269">
        <v>1</v>
      </c>
      <c r="B269">
        <v>268</v>
      </c>
      <c r="C269">
        <v>23</v>
      </c>
    </row>
    <row r="270" spans="1:3" x14ac:dyDescent="0.35">
      <c r="A270">
        <v>1</v>
      </c>
      <c r="B270">
        <v>269</v>
      </c>
      <c r="C270">
        <v>22</v>
      </c>
    </row>
    <row r="271" spans="1:3" x14ac:dyDescent="0.35">
      <c r="A271">
        <v>1</v>
      </c>
      <c r="B271">
        <v>270</v>
      </c>
      <c r="C271">
        <v>16</v>
      </c>
    </row>
    <row r="272" spans="1:3" x14ac:dyDescent="0.35">
      <c r="A272">
        <v>1</v>
      </c>
      <c r="B272">
        <v>271</v>
      </c>
      <c r="C272">
        <v>6</v>
      </c>
    </row>
    <row r="273" spans="1:3" x14ac:dyDescent="0.35">
      <c r="A273">
        <v>1</v>
      </c>
      <c r="B273">
        <v>272</v>
      </c>
      <c r="C273">
        <v>14</v>
      </c>
    </row>
    <row r="274" spans="1:3" x14ac:dyDescent="0.35">
      <c r="A274">
        <v>1</v>
      </c>
      <c r="B274">
        <v>273</v>
      </c>
      <c r="C274">
        <v>20</v>
      </c>
    </row>
    <row r="275" spans="1:3" x14ac:dyDescent="0.35">
      <c r="A275">
        <v>1</v>
      </c>
      <c r="B275">
        <v>274</v>
      </c>
      <c r="C275">
        <v>19</v>
      </c>
    </row>
    <row r="276" spans="1:3" x14ac:dyDescent="0.35">
      <c r="A276">
        <v>1</v>
      </c>
      <c r="B276">
        <v>275</v>
      </c>
      <c r="C276">
        <v>28</v>
      </c>
    </row>
    <row r="277" spans="1:3" x14ac:dyDescent="0.35">
      <c r="A277">
        <v>1</v>
      </c>
      <c r="B277">
        <v>276</v>
      </c>
      <c r="C277">
        <v>7</v>
      </c>
    </row>
    <row r="278" spans="1:3" x14ac:dyDescent="0.35">
      <c r="A278">
        <v>1</v>
      </c>
      <c r="B278">
        <v>277</v>
      </c>
      <c r="C278">
        <v>13</v>
      </c>
    </row>
    <row r="279" spans="1:3" x14ac:dyDescent="0.35">
      <c r="A279">
        <v>1</v>
      </c>
      <c r="B279">
        <v>278</v>
      </c>
      <c r="C279">
        <v>17</v>
      </c>
    </row>
    <row r="280" spans="1:3" x14ac:dyDescent="0.35">
      <c r="A280">
        <v>1</v>
      </c>
      <c r="B280">
        <v>279</v>
      </c>
      <c r="C280">
        <v>17</v>
      </c>
    </row>
    <row r="281" spans="1:3" x14ac:dyDescent="0.35">
      <c r="A281">
        <v>1</v>
      </c>
      <c r="B281">
        <v>280</v>
      </c>
      <c r="C281">
        <v>23</v>
      </c>
    </row>
    <row r="282" spans="1:3" x14ac:dyDescent="0.35">
      <c r="A282">
        <v>1</v>
      </c>
      <c r="B282">
        <v>281</v>
      </c>
      <c r="C282">
        <v>11</v>
      </c>
    </row>
    <row r="283" spans="1:3" x14ac:dyDescent="0.35">
      <c r="A283">
        <v>1</v>
      </c>
      <c r="B283">
        <v>282</v>
      </c>
      <c r="C283">
        <v>6</v>
      </c>
    </row>
    <row r="284" spans="1:3" x14ac:dyDescent="0.35">
      <c r="A284">
        <v>1</v>
      </c>
      <c r="B284">
        <v>283</v>
      </c>
      <c r="C284">
        <v>10</v>
      </c>
    </row>
    <row r="285" spans="1:3" x14ac:dyDescent="0.35">
      <c r="A285">
        <v>1</v>
      </c>
      <c r="B285">
        <v>284</v>
      </c>
      <c r="C285">
        <v>27</v>
      </c>
    </row>
    <row r="286" spans="1:3" x14ac:dyDescent="0.35">
      <c r="A286">
        <v>1</v>
      </c>
      <c r="B286">
        <v>285</v>
      </c>
      <c r="C286">
        <v>20</v>
      </c>
    </row>
    <row r="287" spans="1:3" x14ac:dyDescent="0.35">
      <c r="A287">
        <v>1</v>
      </c>
      <c r="B287">
        <v>286</v>
      </c>
      <c r="C287">
        <v>28</v>
      </c>
    </row>
    <row r="288" spans="1:3" x14ac:dyDescent="0.35">
      <c r="A288">
        <v>1</v>
      </c>
      <c r="B288">
        <v>287</v>
      </c>
      <c r="C288">
        <v>2</v>
      </c>
    </row>
    <row r="289" spans="1:3" x14ac:dyDescent="0.35">
      <c r="A289">
        <v>1</v>
      </c>
      <c r="B289">
        <v>288</v>
      </c>
      <c r="C289">
        <v>9</v>
      </c>
    </row>
    <row r="290" spans="1:3" x14ac:dyDescent="0.35">
      <c r="A290">
        <v>1</v>
      </c>
      <c r="B290">
        <v>289</v>
      </c>
      <c r="C290">
        <v>2</v>
      </c>
    </row>
    <row r="291" spans="1:3" x14ac:dyDescent="0.35">
      <c r="A291">
        <v>1</v>
      </c>
      <c r="B291">
        <v>290</v>
      </c>
      <c r="C291">
        <v>8</v>
      </c>
    </row>
    <row r="292" spans="1:3" x14ac:dyDescent="0.35">
      <c r="A292">
        <v>1</v>
      </c>
      <c r="B292">
        <v>291</v>
      </c>
      <c r="C292">
        <v>9</v>
      </c>
    </row>
    <row r="293" spans="1:3" x14ac:dyDescent="0.35">
      <c r="A293">
        <v>1</v>
      </c>
      <c r="B293">
        <v>292</v>
      </c>
      <c r="C293">
        <v>30</v>
      </c>
    </row>
    <row r="294" spans="1:3" x14ac:dyDescent="0.35">
      <c r="A294">
        <v>1</v>
      </c>
      <c r="B294">
        <v>293</v>
      </c>
      <c r="C294">
        <v>18</v>
      </c>
    </row>
    <row r="295" spans="1:3" x14ac:dyDescent="0.35">
      <c r="A295">
        <v>1</v>
      </c>
      <c r="B295">
        <v>294</v>
      </c>
      <c r="C295">
        <v>3</v>
      </c>
    </row>
    <row r="296" spans="1:3" x14ac:dyDescent="0.35">
      <c r="A296">
        <v>1</v>
      </c>
      <c r="B296">
        <v>295</v>
      </c>
      <c r="C296">
        <v>24</v>
      </c>
    </row>
    <row r="297" spans="1:3" x14ac:dyDescent="0.35">
      <c r="A297">
        <v>1</v>
      </c>
      <c r="B297">
        <v>296</v>
      </c>
      <c r="C297">
        <v>9</v>
      </c>
    </row>
    <row r="298" spans="1:3" x14ac:dyDescent="0.35">
      <c r="A298">
        <v>1</v>
      </c>
      <c r="B298">
        <v>297</v>
      </c>
      <c r="C298">
        <v>22</v>
      </c>
    </row>
    <row r="299" spans="1:3" x14ac:dyDescent="0.35">
      <c r="A299">
        <v>1</v>
      </c>
      <c r="B299">
        <v>298</v>
      </c>
      <c r="C299">
        <v>26</v>
      </c>
    </row>
    <row r="300" spans="1:3" x14ac:dyDescent="0.35">
      <c r="A300">
        <v>1</v>
      </c>
      <c r="B300">
        <v>299</v>
      </c>
      <c r="C300">
        <v>18</v>
      </c>
    </row>
    <row r="301" spans="1:3" x14ac:dyDescent="0.35">
      <c r="A301">
        <v>1</v>
      </c>
      <c r="B301">
        <v>300</v>
      </c>
      <c r="C301">
        <v>7</v>
      </c>
    </row>
    <row r="302" spans="1:3" x14ac:dyDescent="0.35">
      <c r="A302">
        <v>1</v>
      </c>
      <c r="B302">
        <v>301</v>
      </c>
      <c r="C302">
        <v>10</v>
      </c>
    </row>
    <row r="303" spans="1:3" x14ac:dyDescent="0.35">
      <c r="A303">
        <v>1</v>
      </c>
      <c r="B303">
        <v>302</v>
      </c>
      <c r="C303">
        <v>0</v>
      </c>
    </row>
    <row r="304" spans="1:3" x14ac:dyDescent="0.35">
      <c r="A304">
        <v>1</v>
      </c>
      <c r="B304">
        <v>303</v>
      </c>
      <c r="C304">
        <v>12</v>
      </c>
    </row>
    <row r="305" spans="1:3" x14ac:dyDescent="0.35">
      <c r="A305">
        <v>1</v>
      </c>
      <c r="B305">
        <v>304</v>
      </c>
      <c r="C305">
        <v>15</v>
      </c>
    </row>
    <row r="306" spans="1:3" x14ac:dyDescent="0.35">
      <c r="A306">
        <v>1</v>
      </c>
      <c r="B306">
        <v>305</v>
      </c>
      <c r="C306">
        <v>23</v>
      </c>
    </row>
    <row r="307" spans="1:3" x14ac:dyDescent="0.35">
      <c r="A307">
        <v>1</v>
      </c>
      <c r="B307">
        <v>306</v>
      </c>
      <c r="C307">
        <v>21</v>
      </c>
    </row>
    <row r="308" spans="1:3" x14ac:dyDescent="0.35">
      <c r="A308">
        <v>1</v>
      </c>
      <c r="B308">
        <v>307</v>
      </c>
      <c r="C308">
        <v>17</v>
      </c>
    </row>
    <row r="309" spans="1:3" x14ac:dyDescent="0.35">
      <c r="A309">
        <v>1</v>
      </c>
      <c r="B309">
        <v>308</v>
      </c>
      <c r="C309">
        <v>23</v>
      </c>
    </row>
    <row r="310" spans="1:3" x14ac:dyDescent="0.35">
      <c r="A310">
        <v>1</v>
      </c>
      <c r="B310">
        <v>309</v>
      </c>
      <c r="C310">
        <v>7</v>
      </c>
    </row>
    <row r="311" spans="1:3" x14ac:dyDescent="0.35">
      <c r="A311">
        <v>1</v>
      </c>
      <c r="B311">
        <v>310</v>
      </c>
      <c r="C311">
        <v>18</v>
      </c>
    </row>
    <row r="312" spans="1:3" x14ac:dyDescent="0.35">
      <c r="A312">
        <v>1</v>
      </c>
      <c r="B312">
        <v>311</v>
      </c>
      <c r="C312">
        <v>20</v>
      </c>
    </row>
    <row r="313" spans="1:3" x14ac:dyDescent="0.35">
      <c r="A313">
        <v>1</v>
      </c>
      <c r="B313">
        <v>312</v>
      </c>
      <c r="C313">
        <v>23</v>
      </c>
    </row>
    <row r="314" spans="1:3" x14ac:dyDescent="0.35">
      <c r="A314">
        <v>1</v>
      </c>
      <c r="B314">
        <v>313</v>
      </c>
      <c r="C314">
        <v>14</v>
      </c>
    </row>
    <row r="315" spans="1:3" x14ac:dyDescent="0.35">
      <c r="A315">
        <v>2</v>
      </c>
      <c r="B315">
        <v>1</v>
      </c>
      <c r="C315">
        <v>14</v>
      </c>
    </row>
    <row r="316" spans="1:3" x14ac:dyDescent="0.35">
      <c r="A316">
        <v>2</v>
      </c>
      <c r="B316">
        <v>2</v>
      </c>
      <c r="C316">
        <v>16</v>
      </c>
    </row>
    <row r="317" spans="1:3" x14ac:dyDescent="0.35">
      <c r="A317">
        <v>2</v>
      </c>
      <c r="B317">
        <v>3</v>
      </c>
      <c r="C317">
        <v>28</v>
      </c>
    </row>
    <row r="318" spans="1:3" x14ac:dyDescent="0.35">
      <c r="A318">
        <v>2</v>
      </c>
      <c r="B318">
        <v>4</v>
      </c>
      <c r="C318">
        <v>2</v>
      </c>
    </row>
    <row r="319" spans="1:3" x14ac:dyDescent="0.35">
      <c r="A319">
        <v>2</v>
      </c>
      <c r="B319">
        <v>5</v>
      </c>
      <c r="C319">
        <v>1</v>
      </c>
    </row>
    <row r="320" spans="1:3" x14ac:dyDescent="0.35">
      <c r="A320">
        <v>2</v>
      </c>
      <c r="B320">
        <v>6</v>
      </c>
      <c r="C320">
        <v>11</v>
      </c>
    </row>
    <row r="321" spans="1:3" x14ac:dyDescent="0.35">
      <c r="A321">
        <v>2</v>
      </c>
      <c r="B321">
        <v>7</v>
      </c>
      <c r="C321">
        <v>8</v>
      </c>
    </row>
    <row r="322" spans="1:3" x14ac:dyDescent="0.35">
      <c r="A322">
        <v>2</v>
      </c>
      <c r="B322">
        <v>8</v>
      </c>
      <c r="C322">
        <v>1</v>
      </c>
    </row>
    <row r="323" spans="1:3" x14ac:dyDescent="0.35">
      <c r="A323">
        <v>2</v>
      </c>
      <c r="B323">
        <v>9</v>
      </c>
      <c r="C323">
        <v>17</v>
      </c>
    </row>
    <row r="324" spans="1:3" x14ac:dyDescent="0.35">
      <c r="A324">
        <v>2</v>
      </c>
      <c r="B324">
        <v>10</v>
      </c>
      <c r="C324">
        <v>13</v>
      </c>
    </row>
    <row r="325" spans="1:3" x14ac:dyDescent="0.35">
      <c r="A325">
        <v>2</v>
      </c>
      <c r="B325">
        <v>11</v>
      </c>
      <c r="C325">
        <v>21</v>
      </c>
    </row>
    <row r="326" spans="1:3" x14ac:dyDescent="0.35">
      <c r="A326">
        <v>2</v>
      </c>
      <c r="B326">
        <v>12</v>
      </c>
      <c r="C326">
        <v>2</v>
      </c>
    </row>
    <row r="327" spans="1:3" x14ac:dyDescent="0.35">
      <c r="A327">
        <v>2</v>
      </c>
      <c r="B327">
        <v>13</v>
      </c>
      <c r="C327">
        <v>1</v>
      </c>
    </row>
    <row r="328" spans="1:3" x14ac:dyDescent="0.35">
      <c r="A328">
        <v>2</v>
      </c>
      <c r="B328">
        <v>14</v>
      </c>
      <c r="C328">
        <v>18</v>
      </c>
    </row>
    <row r="329" spans="1:3" x14ac:dyDescent="0.35">
      <c r="A329">
        <v>2</v>
      </c>
      <c r="B329">
        <v>15</v>
      </c>
      <c r="C329">
        <v>6</v>
      </c>
    </row>
    <row r="330" spans="1:3" x14ac:dyDescent="0.35">
      <c r="A330">
        <v>2</v>
      </c>
      <c r="B330">
        <v>16</v>
      </c>
      <c r="C330">
        <v>20</v>
      </c>
    </row>
    <row r="331" spans="1:3" x14ac:dyDescent="0.35">
      <c r="A331">
        <v>2</v>
      </c>
      <c r="B331">
        <v>17</v>
      </c>
      <c r="C331">
        <v>3</v>
      </c>
    </row>
    <row r="332" spans="1:3" x14ac:dyDescent="0.35">
      <c r="A332">
        <v>2</v>
      </c>
      <c r="B332">
        <v>18</v>
      </c>
      <c r="C332">
        <v>13</v>
      </c>
    </row>
    <row r="333" spans="1:3" x14ac:dyDescent="0.35">
      <c r="A333">
        <v>2</v>
      </c>
      <c r="B333">
        <v>19</v>
      </c>
      <c r="C333">
        <v>15</v>
      </c>
    </row>
    <row r="334" spans="1:3" x14ac:dyDescent="0.35">
      <c r="A334">
        <v>2</v>
      </c>
      <c r="B334">
        <v>20</v>
      </c>
      <c r="C334">
        <v>20</v>
      </c>
    </row>
    <row r="335" spans="1:3" x14ac:dyDescent="0.35">
      <c r="A335">
        <v>2</v>
      </c>
      <c r="B335">
        <v>21</v>
      </c>
      <c r="C335">
        <v>16</v>
      </c>
    </row>
    <row r="336" spans="1:3" x14ac:dyDescent="0.35">
      <c r="A336">
        <v>2</v>
      </c>
      <c r="B336">
        <v>22</v>
      </c>
      <c r="C336">
        <v>0</v>
      </c>
    </row>
    <row r="337" spans="1:3" x14ac:dyDescent="0.35">
      <c r="A337">
        <v>2</v>
      </c>
      <c r="B337">
        <v>23</v>
      </c>
      <c r="C337">
        <v>12</v>
      </c>
    </row>
    <row r="338" spans="1:3" x14ac:dyDescent="0.35">
      <c r="A338">
        <v>2</v>
      </c>
      <c r="B338">
        <v>24</v>
      </c>
      <c r="C338">
        <v>16</v>
      </c>
    </row>
    <row r="339" spans="1:3" x14ac:dyDescent="0.35">
      <c r="A339">
        <v>2</v>
      </c>
      <c r="B339">
        <v>25</v>
      </c>
      <c r="C339">
        <v>18</v>
      </c>
    </row>
    <row r="340" spans="1:3" x14ac:dyDescent="0.35">
      <c r="A340">
        <v>2</v>
      </c>
      <c r="B340">
        <v>26</v>
      </c>
      <c r="C340">
        <v>2</v>
      </c>
    </row>
    <row r="341" spans="1:3" x14ac:dyDescent="0.35">
      <c r="A341">
        <v>2</v>
      </c>
      <c r="B341">
        <v>27</v>
      </c>
      <c r="C341">
        <v>10</v>
      </c>
    </row>
    <row r="342" spans="1:3" x14ac:dyDescent="0.35">
      <c r="A342">
        <v>2</v>
      </c>
      <c r="B342">
        <v>28</v>
      </c>
      <c r="C342">
        <v>25</v>
      </c>
    </row>
    <row r="343" spans="1:3" x14ac:dyDescent="0.35">
      <c r="A343">
        <v>2</v>
      </c>
      <c r="B343">
        <v>29</v>
      </c>
      <c r="C343">
        <v>29</v>
      </c>
    </row>
    <row r="344" spans="1:3" x14ac:dyDescent="0.35">
      <c r="A344">
        <v>2</v>
      </c>
      <c r="B344">
        <v>30</v>
      </c>
      <c r="C344">
        <v>17</v>
      </c>
    </row>
    <row r="345" spans="1:3" x14ac:dyDescent="0.35">
      <c r="A345">
        <v>2</v>
      </c>
      <c r="B345">
        <v>31</v>
      </c>
      <c r="C345">
        <v>10</v>
      </c>
    </row>
    <row r="346" spans="1:3" x14ac:dyDescent="0.35">
      <c r="A346">
        <v>2</v>
      </c>
      <c r="B346">
        <v>32</v>
      </c>
      <c r="C346">
        <v>13</v>
      </c>
    </row>
    <row r="347" spans="1:3" x14ac:dyDescent="0.35">
      <c r="A347">
        <v>2</v>
      </c>
      <c r="B347">
        <v>33</v>
      </c>
      <c r="C347">
        <v>8</v>
      </c>
    </row>
    <row r="348" spans="1:3" x14ac:dyDescent="0.35">
      <c r="A348">
        <v>2</v>
      </c>
      <c r="B348">
        <v>34</v>
      </c>
      <c r="C348">
        <v>24</v>
      </c>
    </row>
    <row r="349" spans="1:3" x14ac:dyDescent="0.35">
      <c r="A349">
        <v>2</v>
      </c>
      <c r="B349">
        <v>35</v>
      </c>
      <c r="C349">
        <v>25</v>
      </c>
    </row>
    <row r="350" spans="1:3" x14ac:dyDescent="0.35">
      <c r="A350">
        <v>2</v>
      </c>
      <c r="B350">
        <v>36</v>
      </c>
      <c r="C350">
        <v>15</v>
      </c>
    </row>
    <row r="351" spans="1:3" x14ac:dyDescent="0.35">
      <c r="A351">
        <v>2</v>
      </c>
      <c r="B351">
        <v>37</v>
      </c>
      <c r="C351">
        <v>5</v>
      </c>
    </row>
    <row r="352" spans="1:3" x14ac:dyDescent="0.35">
      <c r="A352">
        <v>2</v>
      </c>
      <c r="B352">
        <v>38</v>
      </c>
      <c r="C352">
        <v>18</v>
      </c>
    </row>
    <row r="353" spans="1:3" x14ac:dyDescent="0.35">
      <c r="A353">
        <v>2</v>
      </c>
      <c r="B353">
        <v>39</v>
      </c>
      <c r="C353">
        <v>28</v>
      </c>
    </row>
    <row r="354" spans="1:3" x14ac:dyDescent="0.35">
      <c r="A354">
        <v>2</v>
      </c>
      <c r="B354">
        <v>40</v>
      </c>
      <c r="C354">
        <v>15</v>
      </c>
    </row>
    <row r="355" spans="1:3" x14ac:dyDescent="0.35">
      <c r="A355">
        <v>2</v>
      </c>
      <c r="B355">
        <v>41</v>
      </c>
      <c r="C355">
        <v>6</v>
      </c>
    </row>
    <row r="356" spans="1:3" x14ac:dyDescent="0.35">
      <c r="A356">
        <v>2</v>
      </c>
      <c r="B356">
        <v>42</v>
      </c>
      <c r="C356">
        <v>16</v>
      </c>
    </row>
    <row r="357" spans="1:3" x14ac:dyDescent="0.35">
      <c r="A357">
        <v>2</v>
      </c>
      <c r="B357">
        <v>43</v>
      </c>
      <c r="C357">
        <v>2</v>
      </c>
    </row>
    <row r="358" spans="1:3" x14ac:dyDescent="0.35">
      <c r="A358">
        <v>2</v>
      </c>
      <c r="B358">
        <v>44</v>
      </c>
      <c r="C358">
        <v>24</v>
      </c>
    </row>
    <row r="359" spans="1:3" x14ac:dyDescent="0.35">
      <c r="A359">
        <v>2</v>
      </c>
      <c r="B359">
        <v>45</v>
      </c>
      <c r="C359">
        <v>13</v>
      </c>
    </row>
    <row r="360" spans="1:3" x14ac:dyDescent="0.35">
      <c r="A360">
        <v>2</v>
      </c>
      <c r="B360">
        <v>46</v>
      </c>
      <c r="C360">
        <v>18</v>
      </c>
    </row>
    <row r="361" spans="1:3" x14ac:dyDescent="0.35">
      <c r="A361">
        <v>2</v>
      </c>
      <c r="B361">
        <v>47</v>
      </c>
      <c r="C361">
        <v>0</v>
      </c>
    </row>
    <row r="362" spans="1:3" x14ac:dyDescent="0.35">
      <c r="A362">
        <v>2</v>
      </c>
      <c r="B362">
        <v>48</v>
      </c>
      <c r="C362">
        <v>20</v>
      </c>
    </row>
    <row r="363" spans="1:3" x14ac:dyDescent="0.35">
      <c r="A363">
        <v>2</v>
      </c>
      <c r="B363">
        <v>49</v>
      </c>
      <c r="C363">
        <v>4</v>
      </c>
    </row>
    <row r="364" spans="1:3" x14ac:dyDescent="0.35">
      <c r="A364">
        <v>2</v>
      </c>
      <c r="B364">
        <v>50</v>
      </c>
      <c r="C364">
        <v>7</v>
      </c>
    </row>
    <row r="365" spans="1:3" x14ac:dyDescent="0.35">
      <c r="A365">
        <v>2</v>
      </c>
      <c r="B365">
        <v>51</v>
      </c>
      <c r="C365">
        <v>8</v>
      </c>
    </row>
    <row r="366" spans="1:3" x14ac:dyDescent="0.35">
      <c r="A366">
        <v>2</v>
      </c>
      <c r="B366">
        <v>52</v>
      </c>
      <c r="C366">
        <v>23</v>
      </c>
    </row>
    <row r="367" spans="1:3" x14ac:dyDescent="0.35">
      <c r="A367">
        <v>2</v>
      </c>
      <c r="B367">
        <v>53</v>
      </c>
      <c r="C367">
        <v>19</v>
      </c>
    </row>
    <row r="368" spans="1:3" x14ac:dyDescent="0.35">
      <c r="A368">
        <v>2</v>
      </c>
      <c r="B368">
        <v>54</v>
      </c>
      <c r="C368">
        <v>6</v>
      </c>
    </row>
    <row r="369" spans="1:3" x14ac:dyDescent="0.35">
      <c r="A369">
        <v>2</v>
      </c>
      <c r="B369">
        <v>55</v>
      </c>
      <c r="C369">
        <v>5</v>
      </c>
    </row>
    <row r="370" spans="1:3" x14ac:dyDescent="0.35">
      <c r="A370">
        <v>2</v>
      </c>
      <c r="B370">
        <v>56</v>
      </c>
      <c r="C370">
        <v>20</v>
      </c>
    </row>
    <row r="371" spans="1:3" x14ac:dyDescent="0.35">
      <c r="A371">
        <v>2</v>
      </c>
      <c r="B371">
        <v>57</v>
      </c>
      <c r="C371">
        <v>27</v>
      </c>
    </row>
    <row r="372" spans="1:3" x14ac:dyDescent="0.35">
      <c r="A372">
        <v>2</v>
      </c>
      <c r="B372">
        <v>58</v>
      </c>
      <c r="C372">
        <v>15</v>
      </c>
    </row>
    <row r="373" spans="1:3" x14ac:dyDescent="0.35">
      <c r="A373">
        <v>2</v>
      </c>
      <c r="B373">
        <v>59</v>
      </c>
      <c r="C373">
        <v>17</v>
      </c>
    </row>
    <row r="374" spans="1:3" x14ac:dyDescent="0.35">
      <c r="A374">
        <v>2</v>
      </c>
      <c r="B374">
        <v>60</v>
      </c>
      <c r="C374">
        <v>1</v>
      </c>
    </row>
    <row r="375" spans="1:3" x14ac:dyDescent="0.35">
      <c r="A375">
        <v>2</v>
      </c>
      <c r="B375">
        <v>61</v>
      </c>
      <c r="C375">
        <v>20</v>
      </c>
    </row>
    <row r="376" spans="1:3" x14ac:dyDescent="0.35">
      <c r="A376">
        <v>2</v>
      </c>
      <c r="B376">
        <v>62</v>
      </c>
      <c r="C376">
        <v>4</v>
      </c>
    </row>
    <row r="377" spans="1:3" x14ac:dyDescent="0.35">
      <c r="A377">
        <v>2</v>
      </c>
      <c r="B377">
        <v>63</v>
      </c>
      <c r="C377">
        <v>5</v>
      </c>
    </row>
    <row r="378" spans="1:3" x14ac:dyDescent="0.35">
      <c r="A378">
        <v>2</v>
      </c>
      <c r="B378">
        <v>64</v>
      </c>
      <c r="C378">
        <v>30</v>
      </c>
    </row>
    <row r="379" spans="1:3" x14ac:dyDescent="0.35">
      <c r="A379">
        <v>2</v>
      </c>
      <c r="B379">
        <v>65</v>
      </c>
      <c r="C379">
        <v>16</v>
      </c>
    </row>
    <row r="380" spans="1:3" x14ac:dyDescent="0.35">
      <c r="A380">
        <v>2</v>
      </c>
      <c r="B380">
        <v>66</v>
      </c>
      <c r="C380">
        <v>22</v>
      </c>
    </row>
    <row r="381" spans="1:3" x14ac:dyDescent="0.35">
      <c r="A381">
        <v>2</v>
      </c>
      <c r="B381">
        <v>67</v>
      </c>
      <c r="C381">
        <v>8</v>
      </c>
    </row>
    <row r="382" spans="1:3" x14ac:dyDescent="0.35">
      <c r="A382">
        <v>2</v>
      </c>
      <c r="B382">
        <v>68</v>
      </c>
      <c r="C382">
        <v>23</v>
      </c>
    </row>
    <row r="383" spans="1:3" x14ac:dyDescent="0.35">
      <c r="A383">
        <v>2</v>
      </c>
      <c r="B383">
        <v>69</v>
      </c>
      <c r="C383">
        <v>22</v>
      </c>
    </row>
    <row r="384" spans="1:3" x14ac:dyDescent="0.35">
      <c r="A384">
        <v>2</v>
      </c>
      <c r="B384">
        <v>70</v>
      </c>
      <c r="C384">
        <v>6</v>
      </c>
    </row>
    <row r="385" spans="1:3" x14ac:dyDescent="0.35">
      <c r="A385">
        <v>2</v>
      </c>
      <c r="B385">
        <v>71</v>
      </c>
      <c r="C385">
        <v>30</v>
      </c>
    </row>
    <row r="386" spans="1:3" x14ac:dyDescent="0.35">
      <c r="A386">
        <v>2</v>
      </c>
      <c r="B386">
        <v>72</v>
      </c>
      <c r="C386">
        <v>1</v>
      </c>
    </row>
    <row r="387" spans="1:3" x14ac:dyDescent="0.35">
      <c r="A387">
        <v>2</v>
      </c>
      <c r="B387">
        <v>73</v>
      </c>
      <c r="C387">
        <v>20</v>
      </c>
    </row>
    <row r="388" spans="1:3" x14ac:dyDescent="0.35">
      <c r="A388">
        <v>2</v>
      </c>
      <c r="B388">
        <v>74</v>
      </c>
      <c r="C388">
        <v>23</v>
      </c>
    </row>
    <row r="389" spans="1:3" x14ac:dyDescent="0.35">
      <c r="A389">
        <v>2</v>
      </c>
      <c r="B389">
        <v>75</v>
      </c>
      <c r="C389">
        <v>11</v>
      </c>
    </row>
    <row r="390" spans="1:3" x14ac:dyDescent="0.35">
      <c r="A390">
        <v>2</v>
      </c>
      <c r="B390">
        <v>76</v>
      </c>
      <c r="C390">
        <v>20</v>
      </c>
    </row>
    <row r="391" spans="1:3" x14ac:dyDescent="0.35">
      <c r="A391">
        <v>2</v>
      </c>
      <c r="B391">
        <v>77</v>
      </c>
      <c r="C391">
        <v>25</v>
      </c>
    </row>
    <row r="392" spans="1:3" x14ac:dyDescent="0.35">
      <c r="A392">
        <v>2</v>
      </c>
      <c r="B392">
        <v>78</v>
      </c>
      <c r="C392">
        <v>4</v>
      </c>
    </row>
    <row r="393" spans="1:3" x14ac:dyDescent="0.35">
      <c r="A393">
        <v>2</v>
      </c>
      <c r="B393">
        <v>79</v>
      </c>
      <c r="C393">
        <v>29</v>
      </c>
    </row>
    <row r="394" spans="1:3" x14ac:dyDescent="0.35">
      <c r="A394">
        <v>2</v>
      </c>
      <c r="B394">
        <v>80</v>
      </c>
      <c r="C394">
        <v>27</v>
      </c>
    </row>
    <row r="395" spans="1:3" x14ac:dyDescent="0.35">
      <c r="A395">
        <v>2</v>
      </c>
      <c r="B395">
        <v>81</v>
      </c>
      <c r="C395">
        <v>19</v>
      </c>
    </row>
    <row r="396" spans="1:3" x14ac:dyDescent="0.35">
      <c r="A396">
        <v>2</v>
      </c>
      <c r="B396">
        <v>82</v>
      </c>
      <c r="C396">
        <v>4</v>
      </c>
    </row>
    <row r="397" spans="1:3" x14ac:dyDescent="0.35">
      <c r="A397">
        <v>2</v>
      </c>
      <c r="B397">
        <v>83</v>
      </c>
      <c r="C397">
        <v>21</v>
      </c>
    </row>
    <row r="398" spans="1:3" x14ac:dyDescent="0.35">
      <c r="A398">
        <v>2</v>
      </c>
      <c r="B398">
        <v>84</v>
      </c>
      <c r="C398">
        <v>22</v>
      </c>
    </row>
    <row r="399" spans="1:3" x14ac:dyDescent="0.35">
      <c r="A399">
        <v>2</v>
      </c>
      <c r="B399">
        <v>85</v>
      </c>
      <c r="C399">
        <v>6</v>
      </c>
    </row>
    <row r="400" spans="1:3" x14ac:dyDescent="0.35">
      <c r="A400">
        <v>2</v>
      </c>
      <c r="B400">
        <v>86</v>
      </c>
      <c r="C400">
        <v>24</v>
      </c>
    </row>
    <row r="401" spans="1:3" x14ac:dyDescent="0.35">
      <c r="A401">
        <v>2</v>
      </c>
      <c r="B401">
        <v>87</v>
      </c>
      <c r="C401">
        <v>14</v>
      </c>
    </row>
    <row r="402" spans="1:3" x14ac:dyDescent="0.35">
      <c r="A402">
        <v>2</v>
      </c>
      <c r="B402">
        <v>88</v>
      </c>
      <c r="C402">
        <v>8</v>
      </c>
    </row>
    <row r="403" spans="1:3" x14ac:dyDescent="0.35">
      <c r="A403">
        <v>2</v>
      </c>
      <c r="B403">
        <v>89</v>
      </c>
      <c r="C403">
        <v>8</v>
      </c>
    </row>
    <row r="404" spans="1:3" x14ac:dyDescent="0.35">
      <c r="A404">
        <v>2</v>
      </c>
      <c r="B404">
        <v>90</v>
      </c>
      <c r="C404">
        <v>26</v>
      </c>
    </row>
    <row r="405" spans="1:3" x14ac:dyDescent="0.35">
      <c r="A405">
        <v>2</v>
      </c>
      <c r="B405">
        <v>91</v>
      </c>
      <c r="C405">
        <v>0</v>
      </c>
    </row>
    <row r="406" spans="1:3" x14ac:dyDescent="0.35">
      <c r="A406">
        <v>2</v>
      </c>
      <c r="B406">
        <v>92</v>
      </c>
      <c r="C406">
        <v>22</v>
      </c>
    </row>
    <row r="407" spans="1:3" x14ac:dyDescent="0.35">
      <c r="A407">
        <v>2</v>
      </c>
      <c r="B407">
        <v>93</v>
      </c>
      <c r="C407">
        <v>22</v>
      </c>
    </row>
    <row r="408" spans="1:3" x14ac:dyDescent="0.35">
      <c r="A408">
        <v>2</v>
      </c>
      <c r="B408">
        <v>94</v>
      </c>
      <c r="C408">
        <v>2</v>
      </c>
    </row>
    <row r="409" spans="1:3" x14ac:dyDescent="0.35">
      <c r="A409">
        <v>2</v>
      </c>
      <c r="B409">
        <v>95</v>
      </c>
      <c r="C409">
        <v>10</v>
      </c>
    </row>
    <row r="410" spans="1:3" x14ac:dyDescent="0.35">
      <c r="A410">
        <v>2</v>
      </c>
      <c r="B410">
        <v>96</v>
      </c>
      <c r="C410">
        <v>22</v>
      </c>
    </row>
    <row r="411" spans="1:3" x14ac:dyDescent="0.35">
      <c r="A411">
        <v>2</v>
      </c>
      <c r="B411">
        <v>97</v>
      </c>
      <c r="C411">
        <v>15</v>
      </c>
    </row>
    <row r="412" spans="1:3" x14ac:dyDescent="0.35">
      <c r="A412">
        <v>2</v>
      </c>
      <c r="B412">
        <v>98</v>
      </c>
      <c r="C412">
        <v>14</v>
      </c>
    </row>
    <row r="413" spans="1:3" x14ac:dyDescent="0.35">
      <c r="A413">
        <v>2</v>
      </c>
      <c r="B413">
        <v>99</v>
      </c>
      <c r="C413">
        <v>24</v>
      </c>
    </row>
    <row r="414" spans="1:3" x14ac:dyDescent="0.35">
      <c r="A414">
        <v>2</v>
      </c>
      <c r="B414">
        <v>100</v>
      </c>
      <c r="C414">
        <v>12</v>
      </c>
    </row>
    <row r="415" spans="1:3" x14ac:dyDescent="0.35">
      <c r="A415">
        <v>2</v>
      </c>
      <c r="B415">
        <v>101</v>
      </c>
      <c r="C415">
        <v>4</v>
      </c>
    </row>
    <row r="416" spans="1:3" x14ac:dyDescent="0.35">
      <c r="A416">
        <v>2</v>
      </c>
      <c r="B416">
        <v>102</v>
      </c>
      <c r="C416">
        <v>12</v>
      </c>
    </row>
    <row r="417" spans="1:3" x14ac:dyDescent="0.35">
      <c r="A417">
        <v>2</v>
      </c>
      <c r="B417">
        <v>103</v>
      </c>
      <c r="C417">
        <v>1</v>
      </c>
    </row>
    <row r="418" spans="1:3" x14ac:dyDescent="0.35">
      <c r="A418">
        <v>2</v>
      </c>
      <c r="B418">
        <v>104</v>
      </c>
      <c r="C418">
        <v>26</v>
      </c>
    </row>
    <row r="419" spans="1:3" x14ac:dyDescent="0.35">
      <c r="A419">
        <v>2</v>
      </c>
      <c r="B419">
        <v>105</v>
      </c>
      <c r="C419">
        <v>3</v>
      </c>
    </row>
    <row r="420" spans="1:3" x14ac:dyDescent="0.35">
      <c r="A420">
        <v>2</v>
      </c>
      <c r="B420">
        <v>106</v>
      </c>
      <c r="C420">
        <v>7</v>
      </c>
    </row>
    <row r="421" spans="1:3" x14ac:dyDescent="0.35">
      <c r="A421">
        <v>2</v>
      </c>
      <c r="B421">
        <v>107</v>
      </c>
      <c r="C421">
        <v>29</v>
      </c>
    </row>
    <row r="422" spans="1:3" x14ac:dyDescent="0.35">
      <c r="A422">
        <v>2</v>
      </c>
      <c r="B422">
        <v>108</v>
      </c>
      <c r="C422">
        <v>29</v>
      </c>
    </row>
    <row r="423" spans="1:3" x14ac:dyDescent="0.35">
      <c r="A423">
        <v>2</v>
      </c>
      <c r="B423">
        <v>109</v>
      </c>
      <c r="C423">
        <v>25</v>
      </c>
    </row>
    <row r="424" spans="1:3" x14ac:dyDescent="0.35">
      <c r="A424">
        <v>2</v>
      </c>
      <c r="B424">
        <v>110</v>
      </c>
      <c r="C424">
        <v>7</v>
      </c>
    </row>
    <row r="425" spans="1:3" x14ac:dyDescent="0.35">
      <c r="A425">
        <v>2</v>
      </c>
      <c r="B425">
        <v>111</v>
      </c>
      <c r="C425">
        <v>6</v>
      </c>
    </row>
    <row r="426" spans="1:3" x14ac:dyDescent="0.35">
      <c r="A426">
        <v>2</v>
      </c>
      <c r="B426">
        <v>112</v>
      </c>
      <c r="C426">
        <v>1</v>
      </c>
    </row>
    <row r="427" spans="1:3" x14ac:dyDescent="0.35">
      <c r="A427">
        <v>2</v>
      </c>
      <c r="B427">
        <v>113</v>
      </c>
      <c r="C427">
        <v>7</v>
      </c>
    </row>
    <row r="428" spans="1:3" x14ac:dyDescent="0.35">
      <c r="A428">
        <v>2</v>
      </c>
      <c r="B428">
        <v>114</v>
      </c>
      <c r="C428">
        <v>12</v>
      </c>
    </row>
    <row r="429" spans="1:3" x14ac:dyDescent="0.35">
      <c r="A429">
        <v>2</v>
      </c>
      <c r="B429">
        <v>115</v>
      </c>
      <c r="C429">
        <v>19</v>
      </c>
    </row>
    <row r="430" spans="1:3" x14ac:dyDescent="0.35">
      <c r="A430">
        <v>2</v>
      </c>
      <c r="B430">
        <v>116</v>
      </c>
      <c r="C430">
        <v>17</v>
      </c>
    </row>
    <row r="431" spans="1:3" x14ac:dyDescent="0.35">
      <c r="A431">
        <v>2</v>
      </c>
      <c r="B431">
        <v>117</v>
      </c>
      <c r="C431">
        <v>18</v>
      </c>
    </row>
    <row r="432" spans="1:3" x14ac:dyDescent="0.35">
      <c r="A432">
        <v>2</v>
      </c>
      <c r="B432">
        <v>118</v>
      </c>
      <c r="C432">
        <v>25</v>
      </c>
    </row>
    <row r="433" spans="1:3" x14ac:dyDescent="0.35">
      <c r="A433">
        <v>2</v>
      </c>
      <c r="B433">
        <v>119</v>
      </c>
      <c r="C433">
        <v>23</v>
      </c>
    </row>
    <row r="434" spans="1:3" x14ac:dyDescent="0.35">
      <c r="A434">
        <v>2</v>
      </c>
      <c r="B434">
        <v>120</v>
      </c>
      <c r="C434">
        <v>16</v>
      </c>
    </row>
    <row r="435" spans="1:3" x14ac:dyDescent="0.35">
      <c r="A435">
        <v>2</v>
      </c>
      <c r="B435">
        <v>121</v>
      </c>
      <c r="C435">
        <v>3</v>
      </c>
    </row>
    <row r="436" spans="1:3" x14ac:dyDescent="0.35">
      <c r="A436">
        <v>2</v>
      </c>
      <c r="B436">
        <v>122</v>
      </c>
      <c r="C436">
        <v>11</v>
      </c>
    </row>
    <row r="437" spans="1:3" x14ac:dyDescent="0.35">
      <c r="A437">
        <v>2</v>
      </c>
      <c r="B437">
        <v>123</v>
      </c>
      <c r="C437">
        <v>18</v>
      </c>
    </row>
    <row r="438" spans="1:3" x14ac:dyDescent="0.35">
      <c r="A438">
        <v>2</v>
      </c>
      <c r="B438">
        <v>124</v>
      </c>
      <c r="C438">
        <v>4</v>
      </c>
    </row>
    <row r="439" spans="1:3" x14ac:dyDescent="0.35">
      <c r="A439">
        <v>2</v>
      </c>
      <c r="B439">
        <v>125</v>
      </c>
      <c r="C439">
        <v>10</v>
      </c>
    </row>
    <row r="440" spans="1:3" x14ac:dyDescent="0.35">
      <c r="A440">
        <v>2</v>
      </c>
      <c r="B440">
        <v>126</v>
      </c>
      <c r="C440">
        <v>13</v>
      </c>
    </row>
    <row r="441" spans="1:3" x14ac:dyDescent="0.35">
      <c r="A441">
        <v>2</v>
      </c>
      <c r="B441">
        <v>127</v>
      </c>
      <c r="C441">
        <v>12</v>
      </c>
    </row>
    <row r="442" spans="1:3" x14ac:dyDescent="0.35">
      <c r="A442">
        <v>2</v>
      </c>
      <c r="B442">
        <v>128</v>
      </c>
      <c r="C442">
        <v>28</v>
      </c>
    </row>
    <row r="443" spans="1:3" x14ac:dyDescent="0.35">
      <c r="A443">
        <v>2</v>
      </c>
      <c r="B443">
        <v>129</v>
      </c>
      <c r="C443">
        <v>21</v>
      </c>
    </row>
    <row r="444" spans="1:3" x14ac:dyDescent="0.35">
      <c r="A444">
        <v>2</v>
      </c>
      <c r="B444">
        <v>130</v>
      </c>
      <c r="C444">
        <v>17</v>
      </c>
    </row>
    <row r="445" spans="1:3" x14ac:dyDescent="0.35">
      <c r="A445">
        <v>2</v>
      </c>
      <c r="B445">
        <v>131</v>
      </c>
      <c r="C445">
        <v>9</v>
      </c>
    </row>
    <row r="446" spans="1:3" x14ac:dyDescent="0.35">
      <c r="A446">
        <v>2</v>
      </c>
      <c r="B446">
        <v>132</v>
      </c>
      <c r="C446">
        <v>6</v>
      </c>
    </row>
    <row r="447" spans="1:3" x14ac:dyDescent="0.35">
      <c r="A447">
        <v>2</v>
      </c>
      <c r="B447">
        <v>133</v>
      </c>
      <c r="C447">
        <v>28</v>
      </c>
    </row>
    <row r="448" spans="1:3" x14ac:dyDescent="0.35">
      <c r="A448">
        <v>2</v>
      </c>
      <c r="B448">
        <v>134</v>
      </c>
      <c r="C448">
        <v>13</v>
      </c>
    </row>
    <row r="449" spans="1:3" x14ac:dyDescent="0.35">
      <c r="A449">
        <v>2</v>
      </c>
      <c r="B449">
        <v>135</v>
      </c>
      <c r="C449">
        <v>30</v>
      </c>
    </row>
    <row r="450" spans="1:3" x14ac:dyDescent="0.35">
      <c r="A450">
        <v>2</v>
      </c>
      <c r="B450">
        <v>136</v>
      </c>
      <c r="C450">
        <v>8</v>
      </c>
    </row>
    <row r="451" spans="1:3" x14ac:dyDescent="0.35">
      <c r="A451">
        <v>2</v>
      </c>
      <c r="B451">
        <v>137</v>
      </c>
      <c r="C451">
        <v>1</v>
      </c>
    </row>
    <row r="452" spans="1:3" x14ac:dyDescent="0.35">
      <c r="A452">
        <v>2</v>
      </c>
      <c r="B452">
        <v>138</v>
      </c>
      <c r="C452">
        <v>16</v>
      </c>
    </row>
    <row r="453" spans="1:3" x14ac:dyDescent="0.35">
      <c r="A453">
        <v>2</v>
      </c>
      <c r="B453">
        <v>139</v>
      </c>
      <c r="C453">
        <v>24</v>
      </c>
    </row>
    <row r="454" spans="1:3" x14ac:dyDescent="0.35">
      <c r="A454">
        <v>2</v>
      </c>
      <c r="B454">
        <v>140</v>
      </c>
      <c r="C454">
        <v>13</v>
      </c>
    </row>
    <row r="455" spans="1:3" x14ac:dyDescent="0.35">
      <c r="A455">
        <v>2</v>
      </c>
      <c r="B455">
        <v>141</v>
      </c>
      <c r="C455">
        <v>28</v>
      </c>
    </row>
    <row r="456" spans="1:3" x14ac:dyDescent="0.35">
      <c r="A456">
        <v>2</v>
      </c>
      <c r="B456">
        <v>142</v>
      </c>
      <c r="C456">
        <v>24</v>
      </c>
    </row>
    <row r="457" spans="1:3" x14ac:dyDescent="0.35">
      <c r="A457">
        <v>2</v>
      </c>
      <c r="B457">
        <v>143</v>
      </c>
      <c r="C457">
        <v>12</v>
      </c>
    </row>
    <row r="458" spans="1:3" x14ac:dyDescent="0.35">
      <c r="A458">
        <v>2</v>
      </c>
      <c r="B458">
        <v>144</v>
      </c>
      <c r="C458">
        <v>4</v>
      </c>
    </row>
    <row r="459" spans="1:3" x14ac:dyDescent="0.35">
      <c r="A459">
        <v>2</v>
      </c>
      <c r="B459">
        <v>145</v>
      </c>
      <c r="C459">
        <v>23</v>
      </c>
    </row>
    <row r="460" spans="1:3" x14ac:dyDescent="0.35">
      <c r="A460">
        <v>2</v>
      </c>
      <c r="B460">
        <v>146</v>
      </c>
      <c r="C460">
        <v>3</v>
      </c>
    </row>
    <row r="461" spans="1:3" x14ac:dyDescent="0.35">
      <c r="A461">
        <v>2</v>
      </c>
      <c r="B461">
        <v>147</v>
      </c>
      <c r="C461">
        <v>13</v>
      </c>
    </row>
    <row r="462" spans="1:3" x14ac:dyDescent="0.35">
      <c r="A462">
        <v>2</v>
      </c>
      <c r="B462">
        <v>148</v>
      </c>
      <c r="C462">
        <v>27</v>
      </c>
    </row>
    <row r="463" spans="1:3" x14ac:dyDescent="0.35">
      <c r="A463">
        <v>2</v>
      </c>
      <c r="B463">
        <v>149</v>
      </c>
      <c r="C463">
        <v>22</v>
      </c>
    </row>
    <row r="464" spans="1:3" x14ac:dyDescent="0.35">
      <c r="A464">
        <v>2</v>
      </c>
      <c r="B464">
        <v>150</v>
      </c>
      <c r="C464">
        <v>7</v>
      </c>
    </row>
    <row r="465" spans="1:3" x14ac:dyDescent="0.35">
      <c r="A465">
        <v>2</v>
      </c>
      <c r="B465">
        <v>151</v>
      </c>
      <c r="C465">
        <v>2</v>
      </c>
    </row>
    <row r="466" spans="1:3" x14ac:dyDescent="0.35">
      <c r="A466">
        <v>2</v>
      </c>
      <c r="B466">
        <v>152</v>
      </c>
      <c r="C466">
        <v>21</v>
      </c>
    </row>
    <row r="467" spans="1:3" x14ac:dyDescent="0.35">
      <c r="A467">
        <v>2</v>
      </c>
      <c r="B467">
        <v>153</v>
      </c>
      <c r="C467">
        <v>21</v>
      </c>
    </row>
    <row r="468" spans="1:3" x14ac:dyDescent="0.35">
      <c r="A468">
        <v>2</v>
      </c>
      <c r="B468">
        <v>154</v>
      </c>
      <c r="C468">
        <v>9</v>
      </c>
    </row>
    <row r="469" spans="1:3" x14ac:dyDescent="0.35">
      <c r="A469">
        <v>2</v>
      </c>
      <c r="B469">
        <v>155</v>
      </c>
      <c r="C469">
        <v>21</v>
      </c>
    </row>
    <row r="470" spans="1:3" x14ac:dyDescent="0.35">
      <c r="A470">
        <v>2</v>
      </c>
      <c r="B470">
        <v>156</v>
      </c>
      <c r="C470">
        <v>8</v>
      </c>
    </row>
    <row r="471" spans="1:3" x14ac:dyDescent="0.35">
      <c r="A471">
        <v>2</v>
      </c>
      <c r="B471">
        <v>157</v>
      </c>
      <c r="C471">
        <v>28</v>
      </c>
    </row>
    <row r="472" spans="1:3" x14ac:dyDescent="0.35">
      <c r="A472">
        <v>2</v>
      </c>
      <c r="B472">
        <v>158</v>
      </c>
      <c r="C472">
        <v>0</v>
      </c>
    </row>
    <row r="473" spans="1:3" x14ac:dyDescent="0.35">
      <c r="A473">
        <v>2</v>
      </c>
      <c r="B473">
        <v>159</v>
      </c>
      <c r="C473">
        <v>30</v>
      </c>
    </row>
    <row r="474" spans="1:3" x14ac:dyDescent="0.35">
      <c r="A474">
        <v>2</v>
      </c>
      <c r="B474">
        <v>160</v>
      </c>
      <c r="C474">
        <v>4</v>
      </c>
    </row>
    <row r="475" spans="1:3" x14ac:dyDescent="0.35">
      <c r="A475">
        <v>2</v>
      </c>
      <c r="B475">
        <v>161</v>
      </c>
      <c r="C475">
        <v>9</v>
      </c>
    </row>
    <row r="476" spans="1:3" x14ac:dyDescent="0.35">
      <c r="A476">
        <v>2</v>
      </c>
      <c r="B476">
        <v>162</v>
      </c>
      <c r="C476">
        <v>18</v>
      </c>
    </row>
    <row r="477" spans="1:3" x14ac:dyDescent="0.35">
      <c r="A477">
        <v>2</v>
      </c>
      <c r="B477">
        <v>163</v>
      </c>
      <c r="C477">
        <v>30</v>
      </c>
    </row>
    <row r="478" spans="1:3" x14ac:dyDescent="0.35">
      <c r="A478">
        <v>2</v>
      </c>
      <c r="B478">
        <v>164</v>
      </c>
      <c r="C478">
        <v>9</v>
      </c>
    </row>
    <row r="479" spans="1:3" x14ac:dyDescent="0.35">
      <c r="A479">
        <v>2</v>
      </c>
      <c r="B479">
        <v>165</v>
      </c>
      <c r="C479">
        <v>6</v>
      </c>
    </row>
    <row r="480" spans="1:3" x14ac:dyDescent="0.35">
      <c r="A480">
        <v>2</v>
      </c>
      <c r="B480">
        <v>166</v>
      </c>
      <c r="C480">
        <v>27</v>
      </c>
    </row>
    <row r="481" spans="1:3" x14ac:dyDescent="0.35">
      <c r="A481">
        <v>2</v>
      </c>
      <c r="B481">
        <v>167</v>
      </c>
      <c r="C481">
        <v>1</v>
      </c>
    </row>
    <row r="482" spans="1:3" x14ac:dyDescent="0.35">
      <c r="A482">
        <v>2</v>
      </c>
      <c r="B482">
        <v>168</v>
      </c>
      <c r="C482">
        <v>29</v>
      </c>
    </row>
    <row r="483" spans="1:3" x14ac:dyDescent="0.35">
      <c r="A483">
        <v>2</v>
      </c>
      <c r="B483">
        <v>169</v>
      </c>
      <c r="C483">
        <v>1</v>
      </c>
    </row>
    <row r="484" spans="1:3" x14ac:dyDescent="0.35">
      <c r="A484">
        <v>2</v>
      </c>
      <c r="B484">
        <v>170</v>
      </c>
      <c r="C484">
        <v>2</v>
      </c>
    </row>
    <row r="485" spans="1:3" x14ac:dyDescent="0.35">
      <c r="A485">
        <v>2</v>
      </c>
      <c r="B485">
        <v>171</v>
      </c>
      <c r="C485">
        <v>28</v>
      </c>
    </row>
    <row r="486" spans="1:3" x14ac:dyDescent="0.35">
      <c r="A486">
        <v>2</v>
      </c>
      <c r="B486">
        <v>172</v>
      </c>
      <c r="C486">
        <v>16</v>
      </c>
    </row>
    <row r="487" spans="1:3" x14ac:dyDescent="0.35">
      <c r="A487">
        <v>2</v>
      </c>
      <c r="B487">
        <v>173</v>
      </c>
      <c r="C487">
        <v>17</v>
      </c>
    </row>
    <row r="488" spans="1:3" x14ac:dyDescent="0.35">
      <c r="A488">
        <v>2</v>
      </c>
      <c r="B488">
        <v>174</v>
      </c>
      <c r="C488">
        <v>8</v>
      </c>
    </row>
    <row r="489" spans="1:3" x14ac:dyDescent="0.35">
      <c r="A489">
        <v>2</v>
      </c>
      <c r="B489">
        <v>175</v>
      </c>
      <c r="C489">
        <v>0</v>
      </c>
    </row>
    <row r="490" spans="1:3" x14ac:dyDescent="0.35">
      <c r="A490">
        <v>2</v>
      </c>
      <c r="B490">
        <v>176</v>
      </c>
      <c r="C490">
        <v>26</v>
      </c>
    </row>
    <row r="491" spans="1:3" x14ac:dyDescent="0.35">
      <c r="A491">
        <v>2</v>
      </c>
      <c r="B491">
        <v>177</v>
      </c>
      <c r="C491">
        <v>9</v>
      </c>
    </row>
    <row r="492" spans="1:3" x14ac:dyDescent="0.35">
      <c r="A492">
        <v>2</v>
      </c>
      <c r="B492">
        <v>178</v>
      </c>
      <c r="C492">
        <v>1</v>
      </c>
    </row>
    <row r="493" spans="1:3" x14ac:dyDescent="0.35">
      <c r="A493">
        <v>2</v>
      </c>
      <c r="B493">
        <v>179</v>
      </c>
      <c r="C493">
        <v>16</v>
      </c>
    </row>
    <row r="494" spans="1:3" x14ac:dyDescent="0.35">
      <c r="A494">
        <v>2</v>
      </c>
      <c r="B494">
        <v>180</v>
      </c>
      <c r="C494">
        <v>3</v>
      </c>
    </row>
    <row r="495" spans="1:3" x14ac:dyDescent="0.35">
      <c r="A495">
        <v>2</v>
      </c>
      <c r="B495">
        <v>181</v>
      </c>
      <c r="C495">
        <v>29</v>
      </c>
    </row>
    <row r="496" spans="1:3" x14ac:dyDescent="0.35">
      <c r="A496">
        <v>2</v>
      </c>
      <c r="B496">
        <v>182</v>
      </c>
      <c r="C496">
        <v>21</v>
      </c>
    </row>
    <row r="497" spans="1:3" x14ac:dyDescent="0.35">
      <c r="A497">
        <v>2</v>
      </c>
      <c r="B497">
        <v>183</v>
      </c>
      <c r="C497">
        <v>26</v>
      </c>
    </row>
    <row r="498" spans="1:3" x14ac:dyDescent="0.35">
      <c r="A498">
        <v>2</v>
      </c>
      <c r="B498">
        <v>184</v>
      </c>
      <c r="C498">
        <v>0</v>
      </c>
    </row>
    <row r="499" spans="1:3" x14ac:dyDescent="0.35">
      <c r="A499">
        <v>2</v>
      </c>
      <c r="B499">
        <v>185</v>
      </c>
      <c r="C499">
        <v>4</v>
      </c>
    </row>
    <row r="500" spans="1:3" x14ac:dyDescent="0.35">
      <c r="A500">
        <v>2</v>
      </c>
      <c r="B500">
        <v>186</v>
      </c>
      <c r="C500">
        <v>16</v>
      </c>
    </row>
    <row r="501" spans="1:3" x14ac:dyDescent="0.35">
      <c r="A501">
        <v>2</v>
      </c>
      <c r="B501">
        <v>187</v>
      </c>
      <c r="C501">
        <v>10</v>
      </c>
    </row>
    <row r="502" spans="1:3" x14ac:dyDescent="0.35">
      <c r="A502">
        <v>2</v>
      </c>
      <c r="B502">
        <v>188</v>
      </c>
      <c r="C502">
        <v>27</v>
      </c>
    </row>
    <row r="503" spans="1:3" x14ac:dyDescent="0.35">
      <c r="A503">
        <v>2</v>
      </c>
      <c r="B503">
        <v>189</v>
      </c>
      <c r="C503">
        <v>13</v>
      </c>
    </row>
    <row r="504" spans="1:3" x14ac:dyDescent="0.35">
      <c r="A504">
        <v>2</v>
      </c>
      <c r="B504">
        <v>190</v>
      </c>
      <c r="C504">
        <v>18</v>
      </c>
    </row>
    <row r="505" spans="1:3" x14ac:dyDescent="0.35">
      <c r="A505">
        <v>2</v>
      </c>
      <c r="B505">
        <v>191</v>
      </c>
      <c r="C505">
        <v>15</v>
      </c>
    </row>
    <row r="506" spans="1:3" x14ac:dyDescent="0.35">
      <c r="A506">
        <v>2</v>
      </c>
      <c r="B506">
        <v>192</v>
      </c>
      <c r="C506">
        <v>0</v>
      </c>
    </row>
    <row r="507" spans="1:3" x14ac:dyDescent="0.35">
      <c r="A507">
        <v>2</v>
      </c>
      <c r="B507">
        <v>193</v>
      </c>
      <c r="C507">
        <v>21</v>
      </c>
    </row>
    <row r="508" spans="1:3" x14ac:dyDescent="0.35">
      <c r="A508">
        <v>2</v>
      </c>
      <c r="B508">
        <v>194</v>
      </c>
      <c r="C508">
        <v>15</v>
      </c>
    </row>
    <row r="509" spans="1:3" x14ac:dyDescent="0.35">
      <c r="A509">
        <v>2</v>
      </c>
      <c r="B509">
        <v>195</v>
      </c>
      <c r="C509">
        <v>19</v>
      </c>
    </row>
    <row r="510" spans="1:3" x14ac:dyDescent="0.35">
      <c r="A510">
        <v>2</v>
      </c>
      <c r="B510">
        <v>196</v>
      </c>
      <c r="C510">
        <v>28</v>
      </c>
    </row>
    <row r="511" spans="1:3" x14ac:dyDescent="0.35">
      <c r="A511">
        <v>2</v>
      </c>
      <c r="B511">
        <v>197</v>
      </c>
      <c r="C511">
        <v>10</v>
      </c>
    </row>
    <row r="512" spans="1:3" x14ac:dyDescent="0.35">
      <c r="A512">
        <v>2</v>
      </c>
      <c r="B512">
        <v>198</v>
      </c>
      <c r="C512">
        <v>0</v>
      </c>
    </row>
    <row r="513" spans="1:3" x14ac:dyDescent="0.35">
      <c r="A513">
        <v>2</v>
      </c>
      <c r="B513">
        <v>199</v>
      </c>
      <c r="C513">
        <v>13</v>
      </c>
    </row>
    <row r="514" spans="1:3" x14ac:dyDescent="0.35">
      <c r="A514">
        <v>2</v>
      </c>
      <c r="B514">
        <v>200</v>
      </c>
      <c r="C514">
        <v>11</v>
      </c>
    </row>
    <row r="515" spans="1:3" x14ac:dyDescent="0.35">
      <c r="A515">
        <v>2</v>
      </c>
      <c r="B515">
        <v>201</v>
      </c>
      <c r="C515">
        <v>24</v>
      </c>
    </row>
    <row r="516" spans="1:3" x14ac:dyDescent="0.35">
      <c r="A516">
        <v>2</v>
      </c>
      <c r="B516">
        <v>202</v>
      </c>
      <c r="C516">
        <v>1</v>
      </c>
    </row>
    <row r="517" spans="1:3" x14ac:dyDescent="0.35">
      <c r="A517">
        <v>2</v>
      </c>
      <c r="B517">
        <v>203</v>
      </c>
      <c r="C517">
        <v>7</v>
      </c>
    </row>
    <row r="518" spans="1:3" x14ac:dyDescent="0.35">
      <c r="A518">
        <v>2</v>
      </c>
      <c r="B518">
        <v>204</v>
      </c>
      <c r="C518">
        <v>25</v>
      </c>
    </row>
    <row r="519" spans="1:3" x14ac:dyDescent="0.35">
      <c r="A519">
        <v>2</v>
      </c>
      <c r="B519">
        <v>205</v>
      </c>
      <c r="C519">
        <v>13</v>
      </c>
    </row>
    <row r="520" spans="1:3" x14ac:dyDescent="0.35">
      <c r="A520">
        <v>2</v>
      </c>
      <c r="B520">
        <v>206</v>
      </c>
      <c r="C520">
        <v>9</v>
      </c>
    </row>
    <row r="521" spans="1:3" x14ac:dyDescent="0.35">
      <c r="A521">
        <v>2</v>
      </c>
      <c r="B521">
        <v>207</v>
      </c>
      <c r="C521">
        <v>8</v>
      </c>
    </row>
    <row r="522" spans="1:3" x14ac:dyDescent="0.35">
      <c r="A522">
        <v>2</v>
      </c>
      <c r="B522">
        <v>208</v>
      </c>
      <c r="C522">
        <v>12</v>
      </c>
    </row>
    <row r="523" spans="1:3" x14ac:dyDescent="0.35">
      <c r="A523">
        <v>2</v>
      </c>
      <c r="B523">
        <v>209</v>
      </c>
      <c r="C523">
        <v>11</v>
      </c>
    </row>
    <row r="524" spans="1:3" x14ac:dyDescent="0.35">
      <c r="A524">
        <v>2</v>
      </c>
      <c r="B524">
        <v>210</v>
      </c>
      <c r="C524">
        <v>10</v>
      </c>
    </row>
    <row r="525" spans="1:3" x14ac:dyDescent="0.35">
      <c r="A525">
        <v>2</v>
      </c>
      <c r="B525">
        <v>211</v>
      </c>
      <c r="C525">
        <v>4</v>
      </c>
    </row>
    <row r="526" spans="1:3" x14ac:dyDescent="0.35">
      <c r="A526">
        <v>2</v>
      </c>
      <c r="B526">
        <v>212</v>
      </c>
      <c r="C526">
        <v>22</v>
      </c>
    </row>
    <row r="527" spans="1:3" x14ac:dyDescent="0.35">
      <c r="A527">
        <v>2</v>
      </c>
      <c r="B527">
        <v>213</v>
      </c>
      <c r="C527">
        <v>10</v>
      </c>
    </row>
    <row r="528" spans="1:3" x14ac:dyDescent="0.35">
      <c r="A528">
        <v>2</v>
      </c>
      <c r="B528">
        <v>214</v>
      </c>
      <c r="C528">
        <v>7</v>
      </c>
    </row>
    <row r="529" spans="1:3" x14ac:dyDescent="0.35">
      <c r="A529">
        <v>2</v>
      </c>
      <c r="B529">
        <v>215</v>
      </c>
      <c r="C529">
        <v>11</v>
      </c>
    </row>
    <row r="530" spans="1:3" x14ac:dyDescent="0.35">
      <c r="A530">
        <v>2</v>
      </c>
      <c r="B530">
        <v>216</v>
      </c>
      <c r="C530">
        <v>19</v>
      </c>
    </row>
    <row r="531" spans="1:3" x14ac:dyDescent="0.35">
      <c r="A531">
        <v>2</v>
      </c>
      <c r="B531">
        <v>217</v>
      </c>
      <c r="C531">
        <v>22</v>
      </c>
    </row>
    <row r="532" spans="1:3" x14ac:dyDescent="0.35">
      <c r="A532">
        <v>2</v>
      </c>
      <c r="B532">
        <v>218</v>
      </c>
      <c r="C532">
        <v>26</v>
      </c>
    </row>
    <row r="533" spans="1:3" x14ac:dyDescent="0.35">
      <c r="A533">
        <v>2</v>
      </c>
      <c r="B533">
        <v>219</v>
      </c>
      <c r="C533">
        <v>16</v>
      </c>
    </row>
    <row r="534" spans="1:3" x14ac:dyDescent="0.35">
      <c r="A534">
        <v>2</v>
      </c>
      <c r="B534">
        <v>220</v>
      </c>
      <c r="C534">
        <v>6</v>
      </c>
    </row>
    <row r="535" spans="1:3" x14ac:dyDescent="0.35">
      <c r="A535">
        <v>2</v>
      </c>
      <c r="B535">
        <v>221</v>
      </c>
      <c r="C535">
        <v>12</v>
      </c>
    </row>
    <row r="536" spans="1:3" x14ac:dyDescent="0.35">
      <c r="A536">
        <v>2</v>
      </c>
      <c r="B536">
        <v>222</v>
      </c>
      <c r="C536">
        <v>30</v>
      </c>
    </row>
    <row r="537" spans="1:3" x14ac:dyDescent="0.35">
      <c r="A537">
        <v>2</v>
      </c>
      <c r="B537">
        <v>223</v>
      </c>
      <c r="C537">
        <v>7</v>
      </c>
    </row>
    <row r="538" spans="1:3" x14ac:dyDescent="0.35">
      <c r="A538">
        <v>2</v>
      </c>
      <c r="B538">
        <v>224</v>
      </c>
      <c r="C538">
        <v>4</v>
      </c>
    </row>
    <row r="539" spans="1:3" x14ac:dyDescent="0.35">
      <c r="A539">
        <v>2</v>
      </c>
      <c r="B539">
        <v>225</v>
      </c>
      <c r="C539">
        <v>11</v>
      </c>
    </row>
    <row r="540" spans="1:3" x14ac:dyDescent="0.35">
      <c r="A540">
        <v>2</v>
      </c>
      <c r="B540">
        <v>226</v>
      </c>
      <c r="C540">
        <v>5</v>
      </c>
    </row>
    <row r="541" spans="1:3" x14ac:dyDescent="0.35">
      <c r="A541">
        <v>2</v>
      </c>
      <c r="B541">
        <v>227</v>
      </c>
      <c r="C541">
        <v>12</v>
      </c>
    </row>
    <row r="542" spans="1:3" x14ac:dyDescent="0.35">
      <c r="A542">
        <v>2</v>
      </c>
      <c r="B542">
        <v>228</v>
      </c>
      <c r="C542">
        <v>7</v>
      </c>
    </row>
    <row r="543" spans="1:3" x14ac:dyDescent="0.35">
      <c r="A543">
        <v>2</v>
      </c>
      <c r="B543">
        <v>229</v>
      </c>
      <c r="C543">
        <v>29</v>
      </c>
    </row>
    <row r="544" spans="1:3" x14ac:dyDescent="0.35">
      <c r="A544">
        <v>2</v>
      </c>
      <c r="B544">
        <v>230</v>
      </c>
      <c r="C544">
        <v>25</v>
      </c>
    </row>
    <row r="545" spans="1:3" x14ac:dyDescent="0.35">
      <c r="A545">
        <v>2</v>
      </c>
      <c r="B545">
        <v>231</v>
      </c>
      <c r="C545">
        <v>8</v>
      </c>
    </row>
    <row r="546" spans="1:3" x14ac:dyDescent="0.35">
      <c r="A546">
        <v>2</v>
      </c>
      <c r="B546">
        <v>232</v>
      </c>
      <c r="C546">
        <v>11</v>
      </c>
    </row>
    <row r="547" spans="1:3" x14ac:dyDescent="0.35">
      <c r="A547">
        <v>2</v>
      </c>
      <c r="B547">
        <v>233</v>
      </c>
      <c r="C547">
        <v>25</v>
      </c>
    </row>
    <row r="548" spans="1:3" x14ac:dyDescent="0.35">
      <c r="A548">
        <v>2</v>
      </c>
      <c r="B548">
        <v>234</v>
      </c>
      <c r="C548">
        <v>12</v>
      </c>
    </row>
    <row r="549" spans="1:3" x14ac:dyDescent="0.35">
      <c r="A549">
        <v>2</v>
      </c>
      <c r="B549">
        <v>235</v>
      </c>
      <c r="C549">
        <v>4</v>
      </c>
    </row>
    <row r="550" spans="1:3" x14ac:dyDescent="0.35">
      <c r="A550">
        <v>2</v>
      </c>
      <c r="B550">
        <v>236</v>
      </c>
      <c r="C550">
        <v>7</v>
      </c>
    </row>
    <row r="551" spans="1:3" x14ac:dyDescent="0.35">
      <c r="A551">
        <v>2</v>
      </c>
      <c r="B551">
        <v>237</v>
      </c>
      <c r="C551">
        <v>30</v>
      </c>
    </row>
    <row r="552" spans="1:3" x14ac:dyDescent="0.35">
      <c r="A552">
        <v>2</v>
      </c>
      <c r="B552">
        <v>238</v>
      </c>
      <c r="C552">
        <v>6</v>
      </c>
    </row>
    <row r="553" spans="1:3" x14ac:dyDescent="0.35">
      <c r="A553">
        <v>2</v>
      </c>
      <c r="B553">
        <v>239</v>
      </c>
      <c r="C553">
        <v>17</v>
      </c>
    </row>
    <row r="554" spans="1:3" x14ac:dyDescent="0.35">
      <c r="A554">
        <v>2</v>
      </c>
      <c r="B554">
        <v>240</v>
      </c>
      <c r="C554">
        <v>19</v>
      </c>
    </row>
    <row r="555" spans="1:3" x14ac:dyDescent="0.35">
      <c r="A555">
        <v>2</v>
      </c>
      <c r="B555">
        <v>241</v>
      </c>
      <c r="C555">
        <v>24</v>
      </c>
    </row>
    <row r="556" spans="1:3" x14ac:dyDescent="0.35">
      <c r="A556">
        <v>2</v>
      </c>
      <c r="B556">
        <v>242</v>
      </c>
      <c r="C556">
        <v>2</v>
      </c>
    </row>
    <row r="557" spans="1:3" x14ac:dyDescent="0.35">
      <c r="A557">
        <v>2</v>
      </c>
      <c r="B557">
        <v>243</v>
      </c>
      <c r="C557">
        <v>18</v>
      </c>
    </row>
    <row r="558" spans="1:3" x14ac:dyDescent="0.35">
      <c r="A558">
        <v>2</v>
      </c>
      <c r="B558">
        <v>244</v>
      </c>
      <c r="C558">
        <v>1</v>
      </c>
    </row>
    <row r="559" spans="1:3" x14ac:dyDescent="0.35">
      <c r="A559">
        <v>2</v>
      </c>
      <c r="B559">
        <v>245</v>
      </c>
      <c r="C559">
        <v>18</v>
      </c>
    </row>
    <row r="560" spans="1:3" x14ac:dyDescent="0.35">
      <c r="A560">
        <v>2</v>
      </c>
      <c r="B560">
        <v>246</v>
      </c>
      <c r="C560">
        <v>10</v>
      </c>
    </row>
    <row r="561" spans="1:3" x14ac:dyDescent="0.35">
      <c r="A561">
        <v>2</v>
      </c>
      <c r="B561">
        <v>247</v>
      </c>
      <c r="C561">
        <v>16</v>
      </c>
    </row>
    <row r="562" spans="1:3" x14ac:dyDescent="0.35">
      <c r="A562">
        <v>2</v>
      </c>
      <c r="B562">
        <v>248</v>
      </c>
      <c r="C562">
        <v>26</v>
      </c>
    </row>
    <row r="563" spans="1:3" x14ac:dyDescent="0.35">
      <c r="A563">
        <v>2</v>
      </c>
      <c r="B563">
        <v>249</v>
      </c>
      <c r="C563">
        <v>10</v>
      </c>
    </row>
    <row r="564" spans="1:3" x14ac:dyDescent="0.35">
      <c r="A564">
        <v>2</v>
      </c>
      <c r="B564">
        <v>250</v>
      </c>
      <c r="C564">
        <v>23</v>
      </c>
    </row>
    <row r="565" spans="1:3" x14ac:dyDescent="0.35">
      <c r="A565">
        <v>2</v>
      </c>
      <c r="B565">
        <v>251</v>
      </c>
      <c r="C565">
        <v>0</v>
      </c>
    </row>
    <row r="566" spans="1:3" x14ac:dyDescent="0.35">
      <c r="A566">
        <v>2</v>
      </c>
      <c r="B566">
        <v>252</v>
      </c>
      <c r="C566">
        <v>20</v>
      </c>
    </row>
    <row r="567" spans="1:3" x14ac:dyDescent="0.35">
      <c r="A567">
        <v>2</v>
      </c>
      <c r="B567">
        <v>253</v>
      </c>
      <c r="C567">
        <v>29</v>
      </c>
    </row>
    <row r="568" spans="1:3" x14ac:dyDescent="0.35">
      <c r="A568">
        <v>2</v>
      </c>
      <c r="B568">
        <v>254</v>
      </c>
      <c r="C568">
        <v>7</v>
      </c>
    </row>
    <row r="569" spans="1:3" x14ac:dyDescent="0.35">
      <c r="A569">
        <v>2</v>
      </c>
      <c r="B569">
        <v>255</v>
      </c>
      <c r="C569">
        <v>12</v>
      </c>
    </row>
    <row r="570" spans="1:3" x14ac:dyDescent="0.35">
      <c r="A570">
        <v>2</v>
      </c>
      <c r="B570">
        <v>256</v>
      </c>
      <c r="C570">
        <v>8</v>
      </c>
    </row>
    <row r="571" spans="1:3" x14ac:dyDescent="0.35">
      <c r="A571">
        <v>2</v>
      </c>
      <c r="B571">
        <v>257</v>
      </c>
      <c r="C571">
        <v>5</v>
      </c>
    </row>
    <row r="572" spans="1:3" x14ac:dyDescent="0.35">
      <c r="A572">
        <v>2</v>
      </c>
      <c r="B572">
        <v>258</v>
      </c>
      <c r="C572">
        <v>10</v>
      </c>
    </row>
    <row r="573" spans="1:3" x14ac:dyDescent="0.35">
      <c r="A573">
        <v>2</v>
      </c>
      <c r="B573">
        <v>259</v>
      </c>
      <c r="C573">
        <v>16</v>
      </c>
    </row>
    <row r="574" spans="1:3" x14ac:dyDescent="0.35">
      <c r="A574">
        <v>2</v>
      </c>
      <c r="B574">
        <v>260</v>
      </c>
      <c r="C574">
        <v>20</v>
      </c>
    </row>
    <row r="575" spans="1:3" x14ac:dyDescent="0.35">
      <c r="A575">
        <v>2</v>
      </c>
      <c r="B575">
        <v>261</v>
      </c>
      <c r="C575">
        <v>4</v>
      </c>
    </row>
    <row r="576" spans="1:3" x14ac:dyDescent="0.35">
      <c r="A576">
        <v>2</v>
      </c>
      <c r="B576">
        <v>262</v>
      </c>
      <c r="C576">
        <v>8</v>
      </c>
    </row>
    <row r="577" spans="1:3" x14ac:dyDescent="0.35">
      <c r="A577">
        <v>2</v>
      </c>
      <c r="B577">
        <v>263</v>
      </c>
      <c r="C577">
        <v>4</v>
      </c>
    </row>
    <row r="578" spans="1:3" x14ac:dyDescent="0.35">
      <c r="A578">
        <v>2</v>
      </c>
      <c r="B578">
        <v>264</v>
      </c>
      <c r="C578">
        <v>13</v>
      </c>
    </row>
    <row r="579" spans="1:3" x14ac:dyDescent="0.35">
      <c r="A579">
        <v>2</v>
      </c>
      <c r="B579">
        <v>265</v>
      </c>
      <c r="C579">
        <v>4</v>
      </c>
    </row>
    <row r="580" spans="1:3" x14ac:dyDescent="0.35">
      <c r="A580">
        <v>2</v>
      </c>
      <c r="B580">
        <v>266</v>
      </c>
      <c r="C580">
        <v>18</v>
      </c>
    </row>
    <row r="581" spans="1:3" x14ac:dyDescent="0.35">
      <c r="A581">
        <v>2</v>
      </c>
      <c r="B581">
        <v>267</v>
      </c>
      <c r="C581">
        <v>21</v>
      </c>
    </row>
    <row r="582" spans="1:3" x14ac:dyDescent="0.35">
      <c r="A582">
        <v>2</v>
      </c>
      <c r="B582">
        <v>268</v>
      </c>
      <c r="C582">
        <v>3</v>
      </c>
    </row>
    <row r="583" spans="1:3" x14ac:dyDescent="0.35">
      <c r="A583">
        <v>2</v>
      </c>
      <c r="B583">
        <v>269</v>
      </c>
      <c r="C583">
        <v>4</v>
      </c>
    </row>
    <row r="584" spans="1:3" x14ac:dyDescent="0.35">
      <c r="A584">
        <v>2</v>
      </c>
      <c r="B584">
        <v>270</v>
      </c>
      <c r="C584">
        <v>15</v>
      </c>
    </row>
    <row r="585" spans="1:3" x14ac:dyDescent="0.35">
      <c r="A585">
        <v>2</v>
      </c>
      <c r="B585">
        <v>271</v>
      </c>
      <c r="C585">
        <v>26</v>
      </c>
    </row>
    <row r="586" spans="1:3" x14ac:dyDescent="0.35">
      <c r="A586">
        <v>2</v>
      </c>
      <c r="B586">
        <v>272</v>
      </c>
      <c r="C586">
        <v>1</v>
      </c>
    </row>
    <row r="587" spans="1:3" x14ac:dyDescent="0.35">
      <c r="A587">
        <v>2</v>
      </c>
      <c r="B587">
        <v>273</v>
      </c>
      <c r="C587">
        <v>28</v>
      </c>
    </row>
    <row r="588" spans="1:3" x14ac:dyDescent="0.35">
      <c r="A588">
        <v>2</v>
      </c>
      <c r="B588">
        <v>274</v>
      </c>
      <c r="C588">
        <v>15</v>
      </c>
    </row>
    <row r="589" spans="1:3" x14ac:dyDescent="0.35">
      <c r="A589">
        <v>2</v>
      </c>
      <c r="B589">
        <v>275</v>
      </c>
      <c r="C589">
        <v>3</v>
      </c>
    </row>
    <row r="590" spans="1:3" x14ac:dyDescent="0.35">
      <c r="A590">
        <v>2</v>
      </c>
      <c r="B590">
        <v>276</v>
      </c>
      <c r="C590">
        <v>9</v>
      </c>
    </row>
    <row r="591" spans="1:3" x14ac:dyDescent="0.35">
      <c r="A591">
        <v>2</v>
      </c>
      <c r="B591">
        <v>277</v>
      </c>
      <c r="C591">
        <v>4</v>
      </c>
    </row>
    <row r="592" spans="1:3" x14ac:dyDescent="0.35">
      <c r="A592">
        <v>2</v>
      </c>
      <c r="B592">
        <v>278</v>
      </c>
      <c r="C592">
        <v>8</v>
      </c>
    </row>
    <row r="593" spans="1:3" x14ac:dyDescent="0.35">
      <c r="A593">
        <v>2</v>
      </c>
      <c r="B593">
        <v>279</v>
      </c>
      <c r="C593">
        <v>18</v>
      </c>
    </row>
    <row r="594" spans="1:3" x14ac:dyDescent="0.35">
      <c r="A594">
        <v>2</v>
      </c>
      <c r="B594">
        <v>280</v>
      </c>
      <c r="C594">
        <v>11</v>
      </c>
    </row>
    <row r="595" spans="1:3" x14ac:dyDescent="0.35">
      <c r="A595">
        <v>2</v>
      </c>
      <c r="B595">
        <v>281</v>
      </c>
      <c r="C595">
        <v>3</v>
      </c>
    </row>
    <row r="596" spans="1:3" x14ac:dyDescent="0.35">
      <c r="A596">
        <v>2</v>
      </c>
      <c r="B596">
        <v>282</v>
      </c>
      <c r="C596">
        <v>8</v>
      </c>
    </row>
    <row r="597" spans="1:3" x14ac:dyDescent="0.35">
      <c r="A597">
        <v>2</v>
      </c>
      <c r="B597">
        <v>283</v>
      </c>
      <c r="C597">
        <v>28</v>
      </c>
    </row>
    <row r="598" spans="1:3" x14ac:dyDescent="0.35">
      <c r="A598">
        <v>2</v>
      </c>
      <c r="B598">
        <v>284</v>
      </c>
      <c r="C598">
        <v>6</v>
      </c>
    </row>
    <row r="599" spans="1:3" x14ac:dyDescent="0.35">
      <c r="A599">
        <v>2</v>
      </c>
      <c r="B599">
        <v>285</v>
      </c>
      <c r="C599">
        <v>22</v>
      </c>
    </row>
    <row r="600" spans="1:3" x14ac:dyDescent="0.35">
      <c r="A600">
        <v>2</v>
      </c>
      <c r="B600">
        <v>286</v>
      </c>
      <c r="C600">
        <v>3</v>
      </c>
    </row>
    <row r="601" spans="1:3" x14ac:dyDescent="0.35">
      <c r="A601">
        <v>2</v>
      </c>
      <c r="B601">
        <v>287</v>
      </c>
      <c r="C601">
        <v>15</v>
      </c>
    </row>
    <row r="602" spans="1:3" x14ac:dyDescent="0.35">
      <c r="A602">
        <v>2</v>
      </c>
      <c r="B602">
        <v>288</v>
      </c>
      <c r="C602">
        <v>13</v>
      </c>
    </row>
    <row r="603" spans="1:3" x14ac:dyDescent="0.35">
      <c r="A603">
        <v>2</v>
      </c>
      <c r="B603">
        <v>289</v>
      </c>
      <c r="C603">
        <v>5</v>
      </c>
    </row>
    <row r="604" spans="1:3" x14ac:dyDescent="0.35">
      <c r="A604">
        <v>2</v>
      </c>
      <c r="B604">
        <v>290</v>
      </c>
      <c r="C604">
        <v>29</v>
      </c>
    </row>
    <row r="605" spans="1:3" x14ac:dyDescent="0.35">
      <c r="A605">
        <v>2</v>
      </c>
      <c r="B605">
        <v>291</v>
      </c>
      <c r="C605">
        <v>22</v>
      </c>
    </row>
    <row r="606" spans="1:3" x14ac:dyDescent="0.35">
      <c r="A606">
        <v>2</v>
      </c>
      <c r="B606">
        <v>292</v>
      </c>
      <c r="C606">
        <v>22</v>
      </c>
    </row>
    <row r="607" spans="1:3" x14ac:dyDescent="0.35">
      <c r="A607">
        <v>2</v>
      </c>
      <c r="B607">
        <v>293</v>
      </c>
      <c r="C607">
        <v>12</v>
      </c>
    </row>
    <row r="608" spans="1:3" x14ac:dyDescent="0.35">
      <c r="A608">
        <v>2</v>
      </c>
      <c r="B608">
        <v>294</v>
      </c>
      <c r="C608">
        <v>7</v>
      </c>
    </row>
    <row r="609" spans="1:3" x14ac:dyDescent="0.35">
      <c r="A609">
        <v>2</v>
      </c>
      <c r="B609">
        <v>295</v>
      </c>
      <c r="C609">
        <v>15</v>
      </c>
    </row>
    <row r="610" spans="1:3" x14ac:dyDescent="0.35">
      <c r="A610">
        <v>2</v>
      </c>
      <c r="B610">
        <v>296</v>
      </c>
      <c r="C610">
        <v>8</v>
      </c>
    </row>
    <row r="611" spans="1:3" x14ac:dyDescent="0.35">
      <c r="A611">
        <v>2</v>
      </c>
      <c r="B611">
        <v>297</v>
      </c>
      <c r="C611">
        <v>7</v>
      </c>
    </row>
    <row r="612" spans="1:3" x14ac:dyDescent="0.35">
      <c r="A612">
        <v>2</v>
      </c>
      <c r="B612">
        <v>298</v>
      </c>
      <c r="C612">
        <v>27</v>
      </c>
    </row>
    <row r="613" spans="1:3" x14ac:dyDescent="0.35">
      <c r="A613">
        <v>2</v>
      </c>
      <c r="B613">
        <v>299</v>
      </c>
      <c r="C613">
        <v>0</v>
      </c>
    </row>
    <row r="614" spans="1:3" x14ac:dyDescent="0.35">
      <c r="A614">
        <v>2</v>
      </c>
      <c r="B614">
        <v>300</v>
      </c>
      <c r="C614">
        <v>13</v>
      </c>
    </row>
    <row r="615" spans="1:3" x14ac:dyDescent="0.35">
      <c r="A615">
        <v>2</v>
      </c>
      <c r="B615">
        <v>301</v>
      </c>
      <c r="C615">
        <v>26</v>
      </c>
    </row>
    <row r="616" spans="1:3" x14ac:dyDescent="0.35">
      <c r="A616">
        <v>2</v>
      </c>
      <c r="B616">
        <v>302</v>
      </c>
      <c r="C616">
        <v>6</v>
      </c>
    </row>
    <row r="617" spans="1:3" x14ac:dyDescent="0.35">
      <c r="A617">
        <v>2</v>
      </c>
      <c r="B617">
        <v>303</v>
      </c>
      <c r="C617">
        <v>23</v>
      </c>
    </row>
    <row r="618" spans="1:3" x14ac:dyDescent="0.35">
      <c r="A618">
        <v>2</v>
      </c>
      <c r="B618">
        <v>304</v>
      </c>
      <c r="C618">
        <v>6</v>
      </c>
    </row>
    <row r="619" spans="1:3" x14ac:dyDescent="0.35">
      <c r="A619">
        <v>2</v>
      </c>
      <c r="B619">
        <v>305</v>
      </c>
      <c r="C619">
        <v>21</v>
      </c>
    </row>
    <row r="620" spans="1:3" x14ac:dyDescent="0.35">
      <c r="A620">
        <v>2</v>
      </c>
      <c r="B620">
        <v>306</v>
      </c>
      <c r="C620">
        <v>17</v>
      </c>
    </row>
    <row r="621" spans="1:3" x14ac:dyDescent="0.35">
      <c r="A621">
        <v>2</v>
      </c>
      <c r="B621">
        <v>307</v>
      </c>
      <c r="C621">
        <v>18</v>
      </c>
    </row>
    <row r="622" spans="1:3" x14ac:dyDescent="0.35">
      <c r="A622">
        <v>2</v>
      </c>
      <c r="B622">
        <v>308</v>
      </c>
      <c r="C622">
        <v>15</v>
      </c>
    </row>
    <row r="623" spans="1:3" x14ac:dyDescent="0.35">
      <c r="A623">
        <v>2</v>
      </c>
      <c r="B623">
        <v>309</v>
      </c>
      <c r="C623">
        <v>9</v>
      </c>
    </row>
    <row r="624" spans="1:3" x14ac:dyDescent="0.35">
      <c r="A624">
        <v>2</v>
      </c>
      <c r="B624">
        <v>310</v>
      </c>
      <c r="C624">
        <v>5</v>
      </c>
    </row>
    <row r="625" spans="1:3" x14ac:dyDescent="0.35">
      <c r="A625">
        <v>2</v>
      </c>
      <c r="B625">
        <v>311</v>
      </c>
      <c r="C625">
        <v>27</v>
      </c>
    </row>
    <row r="626" spans="1:3" x14ac:dyDescent="0.35">
      <c r="A626">
        <v>2</v>
      </c>
      <c r="B626">
        <v>312</v>
      </c>
      <c r="C626">
        <v>2</v>
      </c>
    </row>
    <row r="627" spans="1:3" x14ac:dyDescent="0.35">
      <c r="A627">
        <v>2</v>
      </c>
      <c r="B627">
        <v>313</v>
      </c>
      <c r="C627">
        <v>24</v>
      </c>
    </row>
    <row r="628" spans="1:3" x14ac:dyDescent="0.35">
      <c r="A628">
        <v>3</v>
      </c>
      <c r="B628">
        <v>1</v>
      </c>
      <c r="C628">
        <v>14</v>
      </c>
    </row>
    <row r="629" spans="1:3" x14ac:dyDescent="0.35">
      <c r="A629">
        <v>3</v>
      </c>
      <c r="B629">
        <v>2</v>
      </c>
      <c r="C629">
        <v>24</v>
      </c>
    </row>
    <row r="630" spans="1:3" x14ac:dyDescent="0.35">
      <c r="A630">
        <v>3</v>
      </c>
      <c r="B630">
        <v>3</v>
      </c>
      <c r="C630">
        <v>0</v>
      </c>
    </row>
    <row r="631" spans="1:3" x14ac:dyDescent="0.35">
      <c r="A631">
        <v>3</v>
      </c>
      <c r="B631">
        <v>4</v>
      </c>
      <c r="C631">
        <v>11</v>
      </c>
    </row>
    <row r="632" spans="1:3" x14ac:dyDescent="0.35">
      <c r="A632">
        <v>3</v>
      </c>
      <c r="B632">
        <v>5</v>
      </c>
      <c r="C632">
        <v>3</v>
      </c>
    </row>
    <row r="633" spans="1:3" x14ac:dyDescent="0.35">
      <c r="A633">
        <v>3</v>
      </c>
      <c r="B633">
        <v>6</v>
      </c>
      <c r="C633">
        <v>27</v>
      </c>
    </row>
    <row r="634" spans="1:3" x14ac:dyDescent="0.35">
      <c r="A634">
        <v>3</v>
      </c>
      <c r="B634">
        <v>7</v>
      </c>
      <c r="C634">
        <v>12</v>
      </c>
    </row>
    <row r="635" spans="1:3" x14ac:dyDescent="0.35">
      <c r="A635">
        <v>3</v>
      </c>
      <c r="B635">
        <v>8</v>
      </c>
      <c r="C635">
        <v>12</v>
      </c>
    </row>
    <row r="636" spans="1:3" x14ac:dyDescent="0.35">
      <c r="A636">
        <v>3</v>
      </c>
      <c r="B636">
        <v>9</v>
      </c>
      <c r="C636">
        <v>23</v>
      </c>
    </row>
    <row r="637" spans="1:3" x14ac:dyDescent="0.35">
      <c r="A637">
        <v>3</v>
      </c>
      <c r="B637">
        <v>10</v>
      </c>
      <c r="C637">
        <v>21</v>
      </c>
    </row>
    <row r="638" spans="1:3" x14ac:dyDescent="0.35">
      <c r="A638">
        <v>3</v>
      </c>
      <c r="B638">
        <v>11</v>
      </c>
      <c r="C638">
        <v>30</v>
      </c>
    </row>
    <row r="639" spans="1:3" x14ac:dyDescent="0.35">
      <c r="A639">
        <v>3</v>
      </c>
      <c r="B639">
        <v>12</v>
      </c>
      <c r="C639">
        <v>30</v>
      </c>
    </row>
    <row r="640" spans="1:3" x14ac:dyDescent="0.35">
      <c r="A640">
        <v>3</v>
      </c>
      <c r="B640">
        <v>13</v>
      </c>
      <c r="C640">
        <v>19</v>
      </c>
    </row>
    <row r="641" spans="1:3" x14ac:dyDescent="0.35">
      <c r="A641">
        <v>3</v>
      </c>
      <c r="B641">
        <v>14</v>
      </c>
      <c r="C641">
        <v>4</v>
      </c>
    </row>
    <row r="642" spans="1:3" x14ac:dyDescent="0.35">
      <c r="A642">
        <v>3</v>
      </c>
      <c r="B642">
        <v>15</v>
      </c>
      <c r="C642">
        <v>22</v>
      </c>
    </row>
    <row r="643" spans="1:3" x14ac:dyDescent="0.35">
      <c r="A643">
        <v>3</v>
      </c>
      <c r="B643">
        <v>16</v>
      </c>
      <c r="C643">
        <v>19</v>
      </c>
    </row>
    <row r="644" spans="1:3" x14ac:dyDescent="0.35">
      <c r="A644">
        <v>3</v>
      </c>
      <c r="B644">
        <v>17</v>
      </c>
      <c r="C644">
        <v>22</v>
      </c>
    </row>
    <row r="645" spans="1:3" x14ac:dyDescent="0.35">
      <c r="A645">
        <v>3</v>
      </c>
      <c r="B645">
        <v>18</v>
      </c>
      <c r="C645">
        <v>5</v>
      </c>
    </row>
    <row r="646" spans="1:3" x14ac:dyDescent="0.35">
      <c r="A646">
        <v>3</v>
      </c>
      <c r="B646">
        <v>19</v>
      </c>
      <c r="C646">
        <v>24</v>
      </c>
    </row>
    <row r="647" spans="1:3" x14ac:dyDescent="0.35">
      <c r="A647">
        <v>3</v>
      </c>
      <c r="B647">
        <v>20</v>
      </c>
      <c r="C647">
        <v>19</v>
      </c>
    </row>
    <row r="648" spans="1:3" x14ac:dyDescent="0.35">
      <c r="A648">
        <v>3</v>
      </c>
      <c r="B648">
        <v>21</v>
      </c>
      <c r="C648">
        <v>8</v>
      </c>
    </row>
    <row r="649" spans="1:3" x14ac:dyDescent="0.35">
      <c r="A649">
        <v>3</v>
      </c>
      <c r="B649">
        <v>22</v>
      </c>
      <c r="C649">
        <v>20</v>
      </c>
    </row>
    <row r="650" spans="1:3" x14ac:dyDescent="0.35">
      <c r="A650">
        <v>3</v>
      </c>
      <c r="B650">
        <v>23</v>
      </c>
      <c r="C650">
        <v>8</v>
      </c>
    </row>
    <row r="651" spans="1:3" x14ac:dyDescent="0.35">
      <c r="A651">
        <v>3</v>
      </c>
      <c r="B651">
        <v>24</v>
      </c>
      <c r="C651">
        <v>18</v>
      </c>
    </row>
    <row r="652" spans="1:3" x14ac:dyDescent="0.35">
      <c r="A652">
        <v>3</v>
      </c>
      <c r="B652">
        <v>25</v>
      </c>
      <c r="C652">
        <v>15</v>
      </c>
    </row>
    <row r="653" spans="1:3" x14ac:dyDescent="0.35">
      <c r="A653">
        <v>3</v>
      </c>
      <c r="B653">
        <v>26</v>
      </c>
      <c r="C653">
        <v>27</v>
      </c>
    </row>
    <row r="654" spans="1:3" x14ac:dyDescent="0.35">
      <c r="A654">
        <v>3</v>
      </c>
      <c r="B654">
        <v>27</v>
      </c>
      <c r="C654">
        <v>21</v>
      </c>
    </row>
    <row r="655" spans="1:3" x14ac:dyDescent="0.35">
      <c r="A655">
        <v>3</v>
      </c>
      <c r="B655">
        <v>28</v>
      </c>
      <c r="C655">
        <v>20</v>
      </c>
    </row>
    <row r="656" spans="1:3" x14ac:dyDescent="0.35">
      <c r="A656">
        <v>3</v>
      </c>
      <c r="B656">
        <v>29</v>
      </c>
      <c r="C656">
        <v>11</v>
      </c>
    </row>
    <row r="657" spans="1:3" x14ac:dyDescent="0.35">
      <c r="A657">
        <v>3</v>
      </c>
      <c r="B657">
        <v>30</v>
      </c>
      <c r="C657">
        <v>23</v>
      </c>
    </row>
    <row r="658" spans="1:3" x14ac:dyDescent="0.35">
      <c r="A658">
        <v>3</v>
      </c>
      <c r="B658">
        <v>31</v>
      </c>
      <c r="C658">
        <v>10</v>
      </c>
    </row>
    <row r="659" spans="1:3" x14ac:dyDescent="0.35">
      <c r="A659">
        <v>3</v>
      </c>
      <c r="B659">
        <v>32</v>
      </c>
      <c r="C659">
        <v>14</v>
      </c>
    </row>
    <row r="660" spans="1:3" x14ac:dyDescent="0.35">
      <c r="A660">
        <v>3</v>
      </c>
      <c r="B660">
        <v>33</v>
      </c>
      <c r="C660">
        <v>14</v>
      </c>
    </row>
    <row r="661" spans="1:3" x14ac:dyDescent="0.35">
      <c r="A661">
        <v>3</v>
      </c>
      <c r="B661">
        <v>34</v>
      </c>
      <c r="C661">
        <v>6</v>
      </c>
    </row>
    <row r="662" spans="1:3" x14ac:dyDescent="0.35">
      <c r="A662">
        <v>3</v>
      </c>
      <c r="B662">
        <v>35</v>
      </c>
      <c r="C662">
        <v>3</v>
      </c>
    </row>
    <row r="663" spans="1:3" x14ac:dyDescent="0.35">
      <c r="A663">
        <v>3</v>
      </c>
      <c r="B663">
        <v>36</v>
      </c>
      <c r="C663">
        <v>28</v>
      </c>
    </row>
    <row r="664" spans="1:3" x14ac:dyDescent="0.35">
      <c r="A664">
        <v>3</v>
      </c>
      <c r="B664">
        <v>37</v>
      </c>
      <c r="C664">
        <v>30</v>
      </c>
    </row>
    <row r="665" spans="1:3" x14ac:dyDescent="0.35">
      <c r="A665">
        <v>3</v>
      </c>
      <c r="B665">
        <v>38</v>
      </c>
      <c r="C665">
        <v>23</v>
      </c>
    </row>
    <row r="666" spans="1:3" x14ac:dyDescent="0.35">
      <c r="A666">
        <v>3</v>
      </c>
      <c r="B666">
        <v>39</v>
      </c>
      <c r="C666">
        <v>22</v>
      </c>
    </row>
    <row r="667" spans="1:3" x14ac:dyDescent="0.35">
      <c r="A667">
        <v>3</v>
      </c>
      <c r="B667">
        <v>40</v>
      </c>
      <c r="C667">
        <v>2</v>
      </c>
    </row>
    <row r="668" spans="1:3" x14ac:dyDescent="0.35">
      <c r="A668">
        <v>3</v>
      </c>
      <c r="B668">
        <v>41</v>
      </c>
      <c r="C668">
        <v>25</v>
      </c>
    </row>
    <row r="669" spans="1:3" x14ac:dyDescent="0.35">
      <c r="A669">
        <v>3</v>
      </c>
      <c r="B669">
        <v>42</v>
      </c>
      <c r="C669">
        <v>9</v>
      </c>
    </row>
    <row r="670" spans="1:3" x14ac:dyDescent="0.35">
      <c r="A670">
        <v>3</v>
      </c>
      <c r="B670">
        <v>43</v>
      </c>
      <c r="C670">
        <v>26</v>
      </c>
    </row>
    <row r="671" spans="1:3" x14ac:dyDescent="0.35">
      <c r="A671">
        <v>3</v>
      </c>
      <c r="B671">
        <v>44</v>
      </c>
      <c r="C671">
        <v>26</v>
      </c>
    </row>
    <row r="672" spans="1:3" x14ac:dyDescent="0.35">
      <c r="A672">
        <v>3</v>
      </c>
      <c r="B672">
        <v>45</v>
      </c>
      <c r="C672">
        <v>1</v>
      </c>
    </row>
    <row r="673" spans="1:3" x14ac:dyDescent="0.35">
      <c r="A673">
        <v>3</v>
      </c>
      <c r="B673">
        <v>46</v>
      </c>
      <c r="C673">
        <v>16</v>
      </c>
    </row>
    <row r="674" spans="1:3" x14ac:dyDescent="0.35">
      <c r="A674">
        <v>3</v>
      </c>
      <c r="B674">
        <v>47</v>
      </c>
      <c r="C674">
        <v>14</v>
      </c>
    </row>
    <row r="675" spans="1:3" x14ac:dyDescent="0.35">
      <c r="A675">
        <v>3</v>
      </c>
      <c r="B675">
        <v>48</v>
      </c>
      <c r="C675">
        <v>2</v>
      </c>
    </row>
    <row r="676" spans="1:3" x14ac:dyDescent="0.35">
      <c r="A676">
        <v>3</v>
      </c>
      <c r="B676">
        <v>49</v>
      </c>
      <c r="C676">
        <v>4</v>
      </c>
    </row>
    <row r="677" spans="1:3" x14ac:dyDescent="0.35">
      <c r="A677">
        <v>3</v>
      </c>
      <c r="B677">
        <v>50</v>
      </c>
      <c r="C677">
        <v>25</v>
      </c>
    </row>
    <row r="678" spans="1:3" x14ac:dyDescent="0.35">
      <c r="A678">
        <v>3</v>
      </c>
      <c r="B678">
        <v>51</v>
      </c>
      <c r="C678">
        <v>2</v>
      </c>
    </row>
    <row r="679" spans="1:3" x14ac:dyDescent="0.35">
      <c r="A679">
        <v>3</v>
      </c>
      <c r="B679">
        <v>52</v>
      </c>
      <c r="C679">
        <v>8</v>
      </c>
    </row>
    <row r="680" spans="1:3" x14ac:dyDescent="0.35">
      <c r="A680">
        <v>3</v>
      </c>
      <c r="B680">
        <v>53</v>
      </c>
      <c r="C680">
        <v>6</v>
      </c>
    </row>
    <row r="681" spans="1:3" x14ac:dyDescent="0.35">
      <c r="A681">
        <v>3</v>
      </c>
      <c r="B681">
        <v>54</v>
      </c>
      <c r="C681">
        <v>13</v>
      </c>
    </row>
    <row r="682" spans="1:3" x14ac:dyDescent="0.35">
      <c r="A682">
        <v>3</v>
      </c>
      <c r="B682">
        <v>55</v>
      </c>
      <c r="C682">
        <v>5</v>
      </c>
    </row>
    <row r="683" spans="1:3" x14ac:dyDescent="0.35">
      <c r="A683">
        <v>3</v>
      </c>
      <c r="B683">
        <v>56</v>
      </c>
      <c r="C683">
        <v>19</v>
      </c>
    </row>
    <row r="684" spans="1:3" x14ac:dyDescent="0.35">
      <c r="A684">
        <v>3</v>
      </c>
      <c r="B684">
        <v>57</v>
      </c>
      <c r="C684">
        <v>9</v>
      </c>
    </row>
    <row r="685" spans="1:3" x14ac:dyDescent="0.35">
      <c r="A685">
        <v>3</v>
      </c>
      <c r="B685">
        <v>58</v>
      </c>
      <c r="C685">
        <v>27</v>
      </c>
    </row>
    <row r="686" spans="1:3" x14ac:dyDescent="0.35">
      <c r="A686">
        <v>3</v>
      </c>
      <c r="B686">
        <v>59</v>
      </c>
      <c r="C686">
        <v>0</v>
      </c>
    </row>
    <row r="687" spans="1:3" x14ac:dyDescent="0.35">
      <c r="A687">
        <v>3</v>
      </c>
      <c r="B687">
        <v>60</v>
      </c>
      <c r="C687">
        <v>7</v>
      </c>
    </row>
    <row r="688" spans="1:3" x14ac:dyDescent="0.35">
      <c r="A688">
        <v>3</v>
      </c>
      <c r="B688">
        <v>61</v>
      </c>
      <c r="C688">
        <v>28</v>
      </c>
    </row>
    <row r="689" spans="1:3" x14ac:dyDescent="0.35">
      <c r="A689">
        <v>3</v>
      </c>
      <c r="B689">
        <v>62</v>
      </c>
      <c r="C689">
        <v>4</v>
      </c>
    </row>
    <row r="690" spans="1:3" x14ac:dyDescent="0.35">
      <c r="A690">
        <v>3</v>
      </c>
      <c r="B690">
        <v>63</v>
      </c>
      <c r="C690">
        <v>8</v>
      </c>
    </row>
    <row r="691" spans="1:3" x14ac:dyDescent="0.35">
      <c r="A691">
        <v>3</v>
      </c>
      <c r="B691">
        <v>64</v>
      </c>
      <c r="C691">
        <v>22</v>
      </c>
    </row>
    <row r="692" spans="1:3" x14ac:dyDescent="0.35">
      <c r="A692">
        <v>3</v>
      </c>
      <c r="B692">
        <v>65</v>
      </c>
      <c r="C692">
        <v>1</v>
      </c>
    </row>
    <row r="693" spans="1:3" x14ac:dyDescent="0.35">
      <c r="A693">
        <v>3</v>
      </c>
      <c r="B693">
        <v>66</v>
      </c>
      <c r="C693">
        <v>3</v>
      </c>
    </row>
    <row r="694" spans="1:3" x14ac:dyDescent="0.35">
      <c r="A694">
        <v>3</v>
      </c>
      <c r="B694">
        <v>67</v>
      </c>
      <c r="C694">
        <v>6</v>
      </c>
    </row>
    <row r="695" spans="1:3" x14ac:dyDescent="0.35">
      <c r="A695">
        <v>3</v>
      </c>
      <c r="B695">
        <v>68</v>
      </c>
      <c r="C695">
        <v>18</v>
      </c>
    </row>
    <row r="696" spans="1:3" x14ac:dyDescent="0.35">
      <c r="A696">
        <v>3</v>
      </c>
      <c r="B696">
        <v>69</v>
      </c>
      <c r="C696">
        <v>29</v>
      </c>
    </row>
    <row r="697" spans="1:3" x14ac:dyDescent="0.35">
      <c r="A697">
        <v>3</v>
      </c>
      <c r="B697">
        <v>70</v>
      </c>
      <c r="C697">
        <v>2</v>
      </c>
    </row>
    <row r="698" spans="1:3" x14ac:dyDescent="0.35">
      <c r="A698">
        <v>3</v>
      </c>
      <c r="B698">
        <v>71</v>
      </c>
      <c r="C698">
        <v>13</v>
      </c>
    </row>
    <row r="699" spans="1:3" x14ac:dyDescent="0.35">
      <c r="A699">
        <v>3</v>
      </c>
      <c r="B699">
        <v>72</v>
      </c>
      <c r="C699">
        <v>6</v>
      </c>
    </row>
    <row r="700" spans="1:3" x14ac:dyDescent="0.35">
      <c r="A700">
        <v>3</v>
      </c>
      <c r="B700">
        <v>73</v>
      </c>
      <c r="C700">
        <v>3</v>
      </c>
    </row>
    <row r="701" spans="1:3" x14ac:dyDescent="0.35">
      <c r="A701">
        <v>3</v>
      </c>
      <c r="B701">
        <v>74</v>
      </c>
      <c r="C701">
        <v>17</v>
      </c>
    </row>
    <row r="702" spans="1:3" x14ac:dyDescent="0.35">
      <c r="A702">
        <v>3</v>
      </c>
      <c r="B702">
        <v>75</v>
      </c>
      <c r="C702">
        <v>29</v>
      </c>
    </row>
    <row r="703" spans="1:3" x14ac:dyDescent="0.35">
      <c r="A703">
        <v>3</v>
      </c>
      <c r="B703">
        <v>76</v>
      </c>
      <c r="C703">
        <v>23</v>
      </c>
    </row>
    <row r="704" spans="1:3" x14ac:dyDescent="0.35">
      <c r="A704">
        <v>3</v>
      </c>
      <c r="B704">
        <v>77</v>
      </c>
      <c r="C704">
        <v>23</v>
      </c>
    </row>
    <row r="705" spans="1:3" x14ac:dyDescent="0.35">
      <c r="A705">
        <v>3</v>
      </c>
      <c r="B705">
        <v>78</v>
      </c>
      <c r="C705">
        <v>19</v>
      </c>
    </row>
    <row r="706" spans="1:3" x14ac:dyDescent="0.35">
      <c r="A706">
        <v>3</v>
      </c>
      <c r="B706">
        <v>79</v>
      </c>
      <c r="C706">
        <v>29</v>
      </c>
    </row>
    <row r="707" spans="1:3" x14ac:dyDescent="0.35">
      <c r="A707">
        <v>3</v>
      </c>
      <c r="B707">
        <v>80</v>
      </c>
      <c r="C707">
        <v>22</v>
      </c>
    </row>
    <row r="708" spans="1:3" x14ac:dyDescent="0.35">
      <c r="A708">
        <v>3</v>
      </c>
      <c r="B708">
        <v>81</v>
      </c>
      <c r="C708">
        <v>18</v>
      </c>
    </row>
    <row r="709" spans="1:3" x14ac:dyDescent="0.35">
      <c r="A709">
        <v>3</v>
      </c>
      <c r="B709">
        <v>82</v>
      </c>
      <c r="C709">
        <v>7</v>
      </c>
    </row>
    <row r="710" spans="1:3" x14ac:dyDescent="0.35">
      <c r="A710">
        <v>3</v>
      </c>
      <c r="B710">
        <v>83</v>
      </c>
      <c r="C710">
        <v>23</v>
      </c>
    </row>
    <row r="711" spans="1:3" x14ac:dyDescent="0.35">
      <c r="A711">
        <v>3</v>
      </c>
      <c r="B711">
        <v>84</v>
      </c>
      <c r="C711">
        <v>15</v>
      </c>
    </row>
    <row r="712" spans="1:3" x14ac:dyDescent="0.35">
      <c r="A712">
        <v>3</v>
      </c>
      <c r="B712">
        <v>85</v>
      </c>
      <c r="C712">
        <v>15</v>
      </c>
    </row>
    <row r="713" spans="1:3" x14ac:dyDescent="0.35">
      <c r="A713">
        <v>3</v>
      </c>
      <c r="B713">
        <v>86</v>
      </c>
      <c r="C713">
        <v>27</v>
      </c>
    </row>
    <row r="714" spans="1:3" x14ac:dyDescent="0.35">
      <c r="A714">
        <v>3</v>
      </c>
      <c r="B714">
        <v>87</v>
      </c>
      <c r="C714">
        <v>16</v>
      </c>
    </row>
    <row r="715" spans="1:3" x14ac:dyDescent="0.35">
      <c r="A715">
        <v>3</v>
      </c>
      <c r="B715">
        <v>88</v>
      </c>
      <c r="C715">
        <v>28</v>
      </c>
    </row>
    <row r="716" spans="1:3" x14ac:dyDescent="0.35">
      <c r="A716">
        <v>3</v>
      </c>
      <c r="B716">
        <v>89</v>
      </c>
      <c r="C716">
        <v>22</v>
      </c>
    </row>
    <row r="717" spans="1:3" x14ac:dyDescent="0.35">
      <c r="A717">
        <v>3</v>
      </c>
      <c r="B717">
        <v>90</v>
      </c>
      <c r="C717">
        <v>9</v>
      </c>
    </row>
    <row r="718" spans="1:3" x14ac:dyDescent="0.35">
      <c r="A718">
        <v>3</v>
      </c>
      <c r="B718">
        <v>91</v>
      </c>
      <c r="C718">
        <v>8</v>
      </c>
    </row>
    <row r="719" spans="1:3" x14ac:dyDescent="0.35">
      <c r="A719">
        <v>3</v>
      </c>
      <c r="B719">
        <v>92</v>
      </c>
      <c r="C719">
        <v>28</v>
      </c>
    </row>
    <row r="720" spans="1:3" x14ac:dyDescent="0.35">
      <c r="A720">
        <v>3</v>
      </c>
      <c r="B720">
        <v>93</v>
      </c>
      <c r="C720">
        <v>18</v>
      </c>
    </row>
    <row r="721" spans="1:3" x14ac:dyDescent="0.35">
      <c r="A721">
        <v>3</v>
      </c>
      <c r="B721">
        <v>94</v>
      </c>
      <c r="C721">
        <v>15</v>
      </c>
    </row>
    <row r="722" spans="1:3" x14ac:dyDescent="0.35">
      <c r="A722">
        <v>3</v>
      </c>
      <c r="B722">
        <v>95</v>
      </c>
      <c r="C722">
        <v>14</v>
      </c>
    </row>
    <row r="723" spans="1:3" x14ac:dyDescent="0.35">
      <c r="A723">
        <v>3</v>
      </c>
      <c r="B723">
        <v>96</v>
      </c>
      <c r="C723">
        <v>1</v>
      </c>
    </row>
    <row r="724" spans="1:3" x14ac:dyDescent="0.35">
      <c r="A724">
        <v>3</v>
      </c>
      <c r="B724">
        <v>97</v>
      </c>
      <c r="C724">
        <v>28</v>
      </c>
    </row>
    <row r="725" spans="1:3" x14ac:dyDescent="0.35">
      <c r="A725">
        <v>3</v>
      </c>
      <c r="B725">
        <v>98</v>
      </c>
      <c r="C725">
        <v>5</v>
      </c>
    </row>
    <row r="726" spans="1:3" x14ac:dyDescent="0.35">
      <c r="A726">
        <v>3</v>
      </c>
      <c r="B726">
        <v>99</v>
      </c>
      <c r="C726">
        <v>19</v>
      </c>
    </row>
    <row r="727" spans="1:3" x14ac:dyDescent="0.35">
      <c r="A727">
        <v>3</v>
      </c>
      <c r="B727">
        <v>100</v>
      </c>
      <c r="C727">
        <v>28</v>
      </c>
    </row>
    <row r="728" spans="1:3" x14ac:dyDescent="0.35">
      <c r="A728">
        <v>3</v>
      </c>
      <c r="B728">
        <v>101</v>
      </c>
      <c r="C728">
        <v>17</v>
      </c>
    </row>
    <row r="729" spans="1:3" x14ac:dyDescent="0.35">
      <c r="A729">
        <v>3</v>
      </c>
      <c r="B729">
        <v>102</v>
      </c>
      <c r="C729">
        <v>22</v>
      </c>
    </row>
    <row r="730" spans="1:3" x14ac:dyDescent="0.35">
      <c r="A730">
        <v>3</v>
      </c>
      <c r="B730">
        <v>103</v>
      </c>
      <c r="C730">
        <v>10</v>
      </c>
    </row>
    <row r="731" spans="1:3" x14ac:dyDescent="0.35">
      <c r="A731">
        <v>3</v>
      </c>
      <c r="B731">
        <v>104</v>
      </c>
      <c r="C731">
        <v>22</v>
      </c>
    </row>
    <row r="732" spans="1:3" x14ac:dyDescent="0.35">
      <c r="A732">
        <v>3</v>
      </c>
      <c r="B732">
        <v>105</v>
      </c>
      <c r="C732">
        <v>1</v>
      </c>
    </row>
    <row r="733" spans="1:3" x14ac:dyDescent="0.35">
      <c r="A733">
        <v>3</v>
      </c>
      <c r="B733">
        <v>106</v>
      </c>
      <c r="C733">
        <v>1</v>
      </c>
    </row>
    <row r="734" spans="1:3" x14ac:dyDescent="0.35">
      <c r="A734">
        <v>3</v>
      </c>
      <c r="B734">
        <v>107</v>
      </c>
      <c r="C734">
        <v>11</v>
      </c>
    </row>
    <row r="735" spans="1:3" x14ac:dyDescent="0.35">
      <c r="A735">
        <v>3</v>
      </c>
      <c r="B735">
        <v>108</v>
      </c>
      <c r="C735">
        <v>23</v>
      </c>
    </row>
    <row r="736" spans="1:3" x14ac:dyDescent="0.35">
      <c r="A736">
        <v>3</v>
      </c>
      <c r="B736">
        <v>109</v>
      </c>
      <c r="C736">
        <v>24</v>
      </c>
    </row>
    <row r="737" spans="1:3" x14ac:dyDescent="0.35">
      <c r="A737">
        <v>3</v>
      </c>
      <c r="B737">
        <v>110</v>
      </c>
      <c r="C737">
        <v>11</v>
      </c>
    </row>
    <row r="738" spans="1:3" x14ac:dyDescent="0.35">
      <c r="A738">
        <v>3</v>
      </c>
      <c r="B738">
        <v>111</v>
      </c>
      <c r="C738">
        <v>29</v>
      </c>
    </row>
    <row r="739" spans="1:3" x14ac:dyDescent="0.35">
      <c r="A739">
        <v>3</v>
      </c>
      <c r="B739">
        <v>112</v>
      </c>
      <c r="C739">
        <v>24</v>
      </c>
    </row>
    <row r="740" spans="1:3" x14ac:dyDescent="0.35">
      <c r="A740">
        <v>3</v>
      </c>
      <c r="B740">
        <v>113</v>
      </c>
      <c r="C740">
        <v>23</v>
      </c>
    </row>
    <row r="741" spans="1:3" x14ac:dyDescent="0.35">
      <c r="A741">
        <v>3</v>
      </c>
      <c r="B741">
        <v>114</v>
      </c>
      <c r="C741">
        <v>12</v>
      </c>
    </row>
    <row r="742" spans="1:3" x14ac:dyDescent="0.35">
      <c r="A742">
        <v>3</v>
      </c>
      <c r="B742">
        <v>115</v>
      </c>
      <c r="C742">
        <v>25</v>
      </c>
    </row>
    <row r="743" spans="1:3" x14ac:dyDescent="0.35">
      <c r="A743">
        <v>3</v>
      </c>
      <c r="B743">
        <v>116</v>
      </c>
      <c r="C743">
        <v>30</v>
      </c>
    </row>
    <row r="744" spans="1:3" x14ac:dyDescent="0.35">
      <c r="A744">
        <v>3</v>
      </c>
      <c r="B744">
        <v>117</v>
      </c>
      <c r="C744">
        <v>23</v>
      </c>
    </row>
    <row r="745" spans="1:3" x14ac:dyDescent="0.35">
      <c r="A745">
        <v>3</v>
      </c>
      <c r="B745">
        <v>118</v>
      </c>
      <c r="C745">
        <v>9</v>
      </c>
    </row>
    <row r="746" spans="1:3" x14ac:dyDescent="0.35">
      <c r="A746">
        <v>3</v>
      </c>
      <c r="B746">
        <v>119</v>
      </c>
      <c r="C746">
        <v>29</v>
      </c>
    </row>
    <row r="747" spans="1:3" x14ac:dyDescent="0.35">
      <c r="A747">
        <v>3</v>
      </c>
      <c r="B747">
        <v>120</v>
      </c>
      <c r="C747">
        <v>25</v>
      </c>
    </row>
    <row r="748" spans="1:3" x14ac:dyDescent="0.35">
      <c r="A748">
        <v>3</v>
      </c>
      <c r="B748">
        <v>121</v>
      </c>
      <c r="C748">
        <v>4</v>
      </c>
    </row>
    <row r="749" spans="1:3" x14ac:dyDescent="0.35">
      <c r="A749">
        <v>3</v>
      </c>
      <c r="B749">
        <v>122</v>
      </c>
      <c r="C749">
        <v>8</v>
      </c>
    </row>
    <row r="750" spans="1:3" x14ac:dyDescent="0.35">
      <c r="A750">
        <v>3</v>
      </c>
      <c r="B750">
        <v>123</v>
      </c>
      <c r="C750">
        <v>15</v>
      </c>
    </row>
    <row r="751" spans="1:3" x14ac:dyDescent="0.35">
      <c r="A751">
        <v>3</v>
      </c>
      <c r="B751">
        <v>124</v>
      </c>
      <c r="C751">
        <v>11</v>
      </c>
    </row>
    <row r="752" spans="1:3" x14ac:dyDescent="0.35">
      <c r="A752">
        <v>3</v>
      </c>
      <c r="B752">
        <v>125</v>
      </c>
      <c r="C752">
        <v>2</v>
      </c>
    </row>
    <row r="753" spans="1:3" x14ac:dyDescent="0.35">
      <c r="A753">
        <v>3</v>
      </c>
      <c r="B753">
        <v>126</v>
      </c>
      <c r="C753">
        <v>5</v>
      </c>
    </row>
    <row r="754" spans="1:3" x14ac:dyDescent="0.35">
      <c r="A754">
        <v>3</v>
      </c>
      <c r="B754">
        <v>127</v>
      </c>
      <c r="C754">
        <v>4</v>
      </c>
    </row>
    <row r="755" spans="1:3" x14ac:dyDescent="0.35">
      <c r="A755">
        <v>3</v>
      </c>
      <c r="B755">
        <v>128</v>
      </c>
      <c r="C755">
        <v>20</v>
      </c>
    </row>
    <row r="756" spans="1:3" x14ac:dyDescent="0.35">
      <c r="A756">
        <v>3</v>
      </c>
      <c r="B756">
        <v>129</v>
      </c>
      <c r="C756">
        <v>10</v>
      </c>
    </row>
    <row r="757" spans="1:3" x14ac:dyDescent="0.35">
      <c r="A757">
        <v>3</v>
      </c>
      <c r="B757">
        <v>130</v>
      </c>
      <c r="C757">
        <v>20</v>
      </c>
    </row>
    <row r="758" spans="1:3" x14ac:dyDescent="0.35">
      <c r="A758">
        <v>3</v>
      </c>
      <c r="B758">
        <v>131</v>
      </c>
      <c r="C758">
        <v>23</v>
      </c>
    </row>
    <row r="759" spans="1:3" x14ac:dyDescent="0.35">
      <c r="A759">
        <v>3</v>
      </c>
      <c r="B759">
        <v>132</v>
      </c>
      <c r="C759">
        <v>16</v>
      </c>
    </row>
    <row r="760" spans="1:3" x14ac:dyDescent="0.35">
      <c r="A760">
        <v>3</v>
      </c>
      <c r="B760">
        <v>133</v>
      </c>
      <c r="C760">
        <v>16</v>
      </c>
    </row>
    <row r="761" spans="1:3" x14ac:dyDescent="0.35">
      <c r="A761">
        <v>3</v>
      </c>
      <c r="B761">
        <v>134</v>
      </c>
      <c r="C761">
        <v>17</v>
      </c>
    </row>
    <row r="762" spans="1:3" x14ac:dyDescent="0.35">
      <c r="A762">
        <v>3</v>
      </c>
      <c r="B762">
        <v>135</v>
      </c>
      <c r="C762">
        <v>15</v>
      </c>
    </row>
    <row r="763" spans="1:3" x14ac:dyDescent="0.35">
      <c r="A763">
        <v>3</v>
      </c>
      <c r="B763">
        <v>136</v>
      </c>
      <c r="C763">
        <v>4</v>
      </c>
    </row>
    <row r="764" spans="1:3" x14ac:dyDescent="0.35">
      <c r="A764">
        <v>3</v>
      </c>
      <c r="B764">
        <v>137</v>
      </c>
      <c r="C764">
        <v>17</v>
      </c>
    </row>
    <row r="765" spans="1:3" x14ac:dyDescent="0.35">
      <c r="A765">
        <v>3</v>
      </c>
      <c r="B765">
        <v>138</v>
      </c>
      <c r="C765">
        <v>17</v>
      </c>
    </row>
    <row r="766" spans="1:3" x14ac:dyDescent="0.35">
      <c r="A766">
        <v>3</v>
      </c>
      <c r="B766">
        <v>139</v>
      </c>
      <c r="C766">
        <v>21</v>
      </c>
    </row>
    <row r="767" spans="1:3" x14ac:dyDescent="0.35">
      <c r="A767">
        <v>3</v>
      </c>
      <c r="B767">
        <v>140</v>
      </c>
      <c r="C767">
        <v>3</v>
      </c>
    </row>
    <row r="768" spans="1:3" x14ac:dyDescent="0.35">
      <c r="A768">
        <v>3</v>
      </c>
      <c r="B768">
        <v>141</v>
      </c>
      <c r="C768">
        <v>4</v>
      </c>
    </row>
    <row r="769" spans="1:3" x14ac:dyDescent="0.35">
      <c r="A769">
        <v>3</v>
      </c>
      <c r="B769">
        <v>142</v>
      </c>
      <c r="C769">
        <v>29</v>
      </c>
    </row>
    <row r="770" spans="1:3" x14ac:dyDescent="0.35">
      <c r="A770">
        <v>3</v>
      </c>
      <c r="B770">
        <v>143</v>
      </c>
      <c r="C770">
        <v>9</v>
      </c>
    </row>
    <row r="771" spans="1:3" x14ac:dyDescent="0.35">
      <c r="A771">
        <v>3</v>
      </c>
      <c r="B771">
        <v>144</v>
      </c>
      <c r="C771">
        <v>9</v>
      </c>
    </row>
    <row r="772" spans="1:3" x14ac:dyDescent="0.35">
      <c r="A772">
        <v>3</v>
      </c>
      <c r="B772">
        <v>145</v>
      </c>
      <c r="C772">
        <v>11</v>
      </c>
    </row>
    <row r="773" spans="1:3" x14ac:dyDescent="0.35">
      <c r="A773">
        <v>3</v>
      </c>
      <c r="B773">
        <v>146</v>
      </c>
      <c r="C773">
        <v>9</v>
      </c>
    </row>
    <row r="774" spans="1:3" x14ac:dyDescent="0.35">
      <c r="A774">
        <v>3</v>
      </c>
      <c r="B774">
        <v>147</v>
      </c>
      <c r="C774">
        <v>3</v>
      </c>
    </row>
    <row r="775" spans="1:3" x14ac:dyDescent="0.35">
      <c r="A775">
        <v>3</v>
      </c>
      <c r="B775">
        <v>148</v>
      </c>
      <c r="C775">
        <v>6</v>
      </c>
    </row>
    <row r="776" spans="1:3" x14ac:dyDescent="0.35">
      <c r="A776">
        <v>3</v>
      </c>
      <c r="B776">
        <v>149</v>
      </c>
      <c r="C776">
        <v>1</v>
      </c>
    </row>
    <row r="777" spans="1:3" x14ac:dyDescent="0.35">
      <c r="A777">
        <v>3</v>
      </c>
      <c r="B777">
        <v>150</v>
      </c>
      <c r="C777">
        <v>21</v>
      </c>
    </row>
    <row r="778" spans="1:3" x14ac:dyDescent="0.35">
      <c r="A778">
        <v>3</v>
      </c>
      <c r="B778">
        <v>151</v>
      </c>
      <c r="C778">
        <v>1</v>
      </c>
    </row>
    <row r="779" spans="1:3" x14ac:dyDescent="0.35">
      <c r="A779">
        <v>3</v>
      </c>
      <c r="B779">
        <v>152</v>
      </c>
      <c r="C779">
        <v>1</v>
      </c>
    </row>
    <row r="780" spans="1:3" x14ac:dyDescent="0.35">
      <c r="A780">
        <v>3</v>
      </c>
      <c r="B780">
        <v>153</v>
      </c>
      <c r="C780">
        <v>7</v>
      </c>
    </row>
    <row r="781" spans="1:3" x14ac:dyDescent="0.35">
      <c r="A781">
        <v>3</v>
      </c>
      <c r="B781">
        <v>154</v>
      </c>
      <c r="C781">
        <v>22</v>
      </c>
    </row>
    <row r="782" spans="1:3" x14ac:dyDescent="0.35">
      <c r="A782">
        <v>3</v>
      </c>
      <c r="B782">
        <v>155</v>
      </c>
      <c r="C782">
        <v>25</v>
      </c>
    </row>
    <row r="783" spans="1:3" x14ac:dyDescent="0.35">
      <c r="A783">
        <v>3</v>
      </c>
      <c r="B783">
        <v>156</v>
      </c>
      <c r="C783">
        <v>14</v>
      </c>
    </row>
    <row r="784" spans="1:3" x14ac:dyDescent="0.35">
      <c r="A784">
        <v>3</v>
      </c>
      <c r="B784">
        <v>157</v>
      </c>
      <c r="C784">
        <v>12</v>
      </c>
    </row>
    <row r="785" spans="1:3" x14ac:dyDescent="0.35">
      <c r="A785">
        <v>3</v>
      </c>
      <c r="B785">
        <v>158</v>
      </c>
      <c r="C785">
        <v>17</v>
      </c>
    </row>
    <row r="786" spans="1:3" x14ac:dyDescent="0.35">
      <c r="A786">
        <v>3</v>
      </c>
      <c r="B786">
        <v>159</v>
      </c>
      <c r="C786">
        <v>6</v>
      </c>
    </row>
    <row r="787" spans="1:3" x14ac:dyDescent="0.35">
      <c r="A787">
        <v>3</v>
      </c>
      <c r="B787">
        <v>160</v>
      </c>
      <c r="C787">
        <v>27</v>
      </c>
    </row>
    <row r="788" spans="1:3" x14ac:dyDescent="0.35">
      <c r="A788">
        <v>3</v>
      </c>
      <c r="B788">
        <v>161</v>
      </c>
      <c r="C788">
        <v>11</v>
      </c>
    </row>
    <row r="789" spans="1:3" x14ac:dyDescent="0.35">
      <c r="A789">
        <v>3</v>
      </c>
      <c r="B789">
        <v>162</v>
      </c>
      <c r="C789">
        <v>11</v>
      </c>
    </row>
    <row r="790" spans="1:3" x14ac:dyDescent="0.35">
      <c r="A790">
        <v>3</v>
      </c>
      <c r="B790">
        <v>163</v>
      </c>
      <c r="C790">
        <v>11</v>
      </c>
    </row>
    <row r="791" spans="1:3" x14ac:dyDescent="0.35">
      <c r="A791">
        <v>3</v>
      </c>
      <c r="B791">
        <v>164</v>
      </c>
      <c r="C791">
        <v>18</v>
      </c>
    </row>
    <row r="792" spans="1:3" x14ac:dyDescent="0.35">
      <c r="A792">
        <v>3</v>
      </c>
      <c r="B792">
        <v>165</v>
      </c>
      <c r="C792">
        <v>19</v>
      </c>
    </row>
    <row r="793" spans="1:3" x14ac:dyDescent="0.35">
      <c r="A793">
        <v>3</v>
      </c>
      <c r="B793">
        <v>166</v>
      </c>
      <c r="C793">
        <v>27</v>
      </c>
    </row>
    <row r="794" spans="1:3" x14ac:dyDescent="0.35">
      <c r="A794">
        <v>3</v>
      </c>
      <c r="B794">
        <v>167</v>
      </c>
      <c r="C794">
        <v>8</v>
      </c>
    </row>
    <row r="795" spans="1:3" x14ac:dyDescent="0.35">
      <c r="A795">
        <v>3</v>
      </c>
      <c r="B795">
        <v>168</v>
      </c>
      <c r="C795">
        <v>23</v>
      </c>
    </row>
    <row r="796" spans="1:3" x14ac:dyDescent="0.35">
      <c r="A796">
        <v>3</v>
      </c>
      <c r="B796">
        <v>169</v>
      </c>
      <c r="C796">
        <v>3</v>
      </c>
    </row>
    <row r="797" spans="1:3" x14ac:dyDescent="0.35">
      <c r="A797">
        <v>3</v>
      </c>
      <c r="B797">
        <v>170</v>
      </c>
      <c r="C797">
        <v>13</v>
      </c>
    </row>
    <row r="798" spans="1:3" x14ac:dyDescent="0.35">
      <c r="A798">
        <v>3</v>
      </c>
      <c r="B798">
        <v>171</v>
      </c>
      <c r="C798">
        <v>11</v>
      </c>
    </row>
    <row r="799" spans="1:3" x14ac:dyDescent="0.35">
      <c r="A799">
        <v>3</v>
      </c>
      <c r="B799">
        <v>172</v>
      </c>
      <c r="C799">
        <v>22</v>
      </c>
    </row>
    <row r="800" spans="1:3" x14ac:dyDescent="0.35">
      <c r="A800">
        <v>3</v>
      </c>
      <c r="B800">
        <v>173</v>
      </c>
      <c r="C800">
        <v>15</v>
      </c>
    </row>
    <row r="801" spans="1:3" x14ac:dyDescent="0.35">
      <c r="A801">
        <v>3</v>
      </c>
      <c r="B801">
        <v>174</v>
      </c>
      <c r="C801">
        <v>1</v>
      </c>
    </row>
    <row r="802" spans="1:3" x14ac:dyDescent="0.35">
      <c r="A802">
        <v>3</v>
      </c>
      <c r="B802">
        <v>175</v>
      </c>
      <c r="C802">
        <v>3</v>
      </c>
    </row>
    <row r="803" spans="1:3" x14ac:dyDescent="0.35">
      <c r="A803">
        <v>3</v>
      </c>
      <c r="B803">
        <v>176</v>
      </c>
      <c r="C803">
        <v>6</v>
      </c>
    </row>
    <row r="804" spans="1:3" x14ac:dyDescent="0.35">
      <c r="A804">
        <v>3</v>
      </c>
      <c r="B804">
        <v>177</v>
      </c>
      <c r="C804">
        <v>2</v>
      </c>
    </row>
    <row r="805" spans="1:3" x14ac:dyDescent="0.35">
      <c r="A805">
        <v>3</v>
      </c>
      <c r="B805">
        <v>178</v>
      </c>
      <c r="C805">
        <v>12</v>
      </c>
    </row>
    <row r="806" spans="1:3" x14ac:dyDescent="0.35">
      <c r="A806">
        <v>3</v>
      </c>
      <c r="B806">
        <v>179</v>
      </c>
      <c r="C806">
        <v>20</v>
      </c>
    </row>
    <row r="807" spans="1:3" x14ac:dyDescent="0.35">
      <c r="A807">
        <v>3</v>
      </c>
      <c r="B807">
        <v>180</v>
      </c>
      <c r="C807">
        <v>6</v>
      </c>
    </row>
    <row r="808" spans="1:3" x14ac:dyDescent="0.35">
      <c r="A808">
        <v>3</v>
      </c>
      <c r="B808">
        <v>181</v>
      </c>
      <c r="C808">
        <v>8</v>
      </c>
    </row>
    <row r="809" spans="1:3" x14ac:dyDescent="0.35">
      <c r="A809">
        <v>3</v>
      </c>
      <c r="B809">
        <v>182</v>
      </c>
      <c r="C809">
        <v>28</v>
      </c>
    </row>
    <row r="810" spans="1:3" x14ac:dyDescent="0.35">
      <c r="A810">
        <v>3</v>
      </c>
      <c r="B810">
        <v>183</v>
      </c>
      <c r="C810">
        <v>26</v>
      </c>
    </row>
    <row r="811" spans="1:3" x14ac:dyDescent="0.35">
      <c r="A811">
        <v>3</v>
      </c>
      <c r="B811">
        <v>184</v>
      </c>
      <c r="C811">
        <v>21</v>
      </c>
    </row>
    <row r="812" spans="1:3" x14ac:dyDescent="0.35">
      <c r="A812">
        <v>3</v>
      </c>
      <c r="B812">
        <v>185</v>
      </c>
      <c r="C812">
        <v>15</v>
      </c>
    </row>
    <row r="813" spans="1:3" x14ac:dyDescent="0.35">
      <c r="A813">
        <v>3</v>
      </c>
      <c r="B813">
        <v>186</v>
      </c>
      <c r="C813">
        <v>30</v>
      </c>
    </row>
    <row r="814" spans="1:3" x14ac:dyDescent="0.35">
      <c r="A814">
        <v>3</v>
      </c>
      <c r="B814">
        <v>187</v>
      </c>
      <c r="C814">
        <v>2</v>
      </c>
    </row>
    <row r="815" spans="1:3" x14ac:dyDescent="0.35">
      <c r="A815">
        <v>3</v>
      </c>
      <c r="B815">
        <v>188</v>
      </c>
      <c r="C815">
        <v>29</v>
      </c>
    </row>
    <row r="816" spans="1:3" x14ac:dyDescent="0.35">
      <c r="A816">
        <v>3</v>
      </c>
      <c r="B816">
        <v>189</v>
      </c>
      <c r="C816">
        <v>20</v>
      </c>
    </row>
    <row r="817" spans="1:3" x14ac:dyDescent="0.35">
      <c r="A817">
        <v>3</v>
      </c>
      <c r="B817">
        <v>190</v>
      </c>
      <c r="C817">
        <v>20</v>
      </c>
    </row>
    <row r="818" spans="1:3" x14ac:dyDescent="0.35">
      <c r="A818">
        <v>3</v>
      </c>
      <c r="B818">
        <v>191</v>
      </c>
      <c r="C818">
        <v>23</v>
      </c>
    </row>
    <row r="819" spans="1:3" x14ac:dyDescent="0.35">
      <c r="A819">
        <v>3</v>
      </c>
      <c r="B819">
        <v>192</v>
      </c>
      <c r="C819">
        <v>10</v>
      </c>
    </row>
    <row r="820" spans="1:3" x14ac:dyDescent="0.35">
      <c r="A820">
        <v>3</v>
      </c>
      <c r="B820">
        <v>193</v>
      </c>
      <c r="C820">
        <v>5</v>
      </c>
    </row>
    <row r="821" spans="1:3" x14ac:dyDescent="0.35">
      <c r="A821">
        <v>3</v>
      </c>
      <c r="B821">
        <v>194</v>
      </c>
      <c r="C821">
        <v>20</v>
      </c>
    </row>
    <row r="822" spans="1:3" x14ac:dyDescent="0.35">
      <c r="A822">
        <v>3</v>
      </c>
      <c r="B822">
        <v>195</v>
      </c>
      <c r="C822">
        <v>20</v>
      </c>
    </row>
    <row r="823" spans="1:3" x14ac:dyDescent="0.35">
      <c r="A823">
        <v>3</v>
      </c>
      <c r="B823">
        <v>196</v>
      </c>
      <c r="C823">
        <v>25</v>
      </c>
    </row>
    <row r="824" spans="1:3" x14ac:dyDescent="0.35">
      <c r="A824">
        <v>3</v>
      </c>
      <c r="B824">
        <v>197</v>
      </c>
      <c r="C824">
        <v>8</v>
      </c>
    </row>
    <row r="825" spans="1:3" x14ac:dyDescent="0.35">
      <c r="A825">
        <v>3</v>
      </c>
      <c r="B825">
        <v>198</v>
      </c>
      <c r="C825">
        <v>27</v>
      </c>
    </row>
    <row r="826" spans="1:3" x14ac:dyDescent="0.35">
      <c r="A826">
        <v>3</v>
      </c>
      <c r="B826">
        <v>199</v>
      </c>
      <c r="C826">
        <v>5</v>
      </c>
    </row>
    <row r="827" spans="1:3" x14ac:dyDescent="0.35">
      <c r="A827">
        <v>3</v>
      </c>
      <c r="B827">
        <v>200</v>
      </c>
      <c r="C827">
        <v>29</v>
      </c>
    </row>
    <row r="828" spans="1:3" x14ac:dyDescent="0.35">
      <c r="A828">
        <v>3</v>
      </c>
      <c r="B828">
        <v>201</v>
      </c>
      <c r="C828">
        <v>30</v>
      </c>
    </row>
    <row r="829" spans="1:3" x14ac:dyDescent="0.35">
      <c r="A829">
        <v>3</v>
      </c>
      <c r="B829">
        <v>202</v>
      </c>
      <c r="C829">
        <v>11</v>
      </c>
    </row>
    <row r="830" spans="1:3" x14ac:dyDescent="0.35">
      <c r="A830">
        <v>3</v>
      </c>
      <c r="B830">
        <v>203</v>
      </c>
      <c r="C830">
        <v>6</v>
      </c>
    </row>
    <row r="831" spans="1:3" x14ac:dyDescent="0.35">
      <c r="A831">
        <v>3</v>
      </c>
      <c r="B831">
        <v>204</v>
      </c>
      <c r="C831">
        <v>16</v>
      </c>
    </row>
    <row r="832" spans="1:3" x14ac:dyDescent="0.35">
      <c r="A832">
        <v>3</v>
      </c>
      <c r="B832">
        <v>205</v>
      </c>
      <c r="C832">
        <v>3</v>
      </c>
    </row>
    <row r="833" spans="1:3" x14ac:dyDescent="0.35">
      <c r="A833">
        <v>3</v>
      </c>
      <c r="B833">
        <v>206</v>
      </c>
      <c r="C833">
        <v>29</v>
      </c>
    </row>
    <row r="834" spans="1:3" x14ac:dyDescent="0.35">
      <c r="A834">
        <v>3</v>
      </c>
      <c r="B834">
        <v>207</v>
      </c>
      <c r="C834">
        <v>29</v>
      </c>
    </row>
    <row r="835" spans="1:3" x14ac:dyDescent="0.35">
      <c r="A835">
        <v>3</v>
      </c>
      <c r="B835">
        <v>208</v>
      </c>
      <c r="C835">
        <v>12</v>
      </c>
    </row>
    <row r="836" spans="1:3" x14ac:dyDescent="0.35">
      <c r="A836">
        <v>3</v>
      </c>
      <c r="B836">
        <v>209</v>
      </c>
      <c r="C836">
        <v>1</v>
      </c>
    </row>
    <row r="837" spans="1:3" x14ac:dyDescent="0.35">
      <c r="A837">
        <v>3</v>
      </c>
      <c r="B837">
        <v>210</v>
      </c>
      <c r="C837">
        <v>22</v>
      </c>
    </row>
    <row r="838" spans="1:3" x14ac:dyDescent="0.35">
      <c r="A838">
        <v>3</v>
      </c>
      <c r="B838">
        <v>211</v>
      </c>
      <c r="C838">
        <v>3</v>
      </c>
    </row>
    <row r="839" spans="1:3" x14ac:dyDescent="0.35">
      <c r="A839">
        <v>3</v>
      </c>
      <c r="B839">
        <v>212</v>
      </c>
      <c r="C839">
        <v>23</v>
      </c>
    </row>
    <row r="840" spans="1:3" x14ac:dyDescent="0.35">
      <c r="A840">
        <v>3</v>
      </c>
      <c r="B840">
        <v>213</v>
      </c>
      <c r="C840">
        <v>10</v>
      </c>
    </row>
    <row r="841" spans="1:3" x14ac:dyDescent="0.35">
      <c r="A841">
        <v>3</v>
      </c>
      <c r="B841">
        <v>214</v>
      </c>
      <c r="C841">
        <v>30</v>
      </c>
    </row>
    <row r="842" spans="1:3" x14ac:dyDescent="0.35">
      <c r="A842">
        <v>3</v>
      </c>
      <c r="B842">
        <v>215</v>
      </c>
      <c r="C842">
        <v>12</v>
      </c>
    </row>
    <row r="843" spans="1:3" x14ac:dyDescent="0.35">
      <c r="A843">
        <v>3</v>
      </c>
      <c r="B843">
        <v>216</v>
      </c>
      <c r="C843">
        <v>5</v>
      </c>
    </row>
    <row r="844" spans="1:3" x14ac:dyDescent="0.35">
      <c r="A844">
        <v>3</v>
      </c>
      <c r="B844">
        <v>217</v>
      </c>
      <c r="C844">
        <v>4</v>
      </c>
    </row>
    <row r="845" spans="1:3" x14ac:dyDescent="0.35">
      <c r="A845">
        <v>3</v>
      </c>
      <c r="B845">
        <v>218</v>
      </c>
      <c r="C845">
        <v>21</v>
      </c>
    </row>
    <row r="846" spans="1:3" x14ac:dyDescent="0.35">
      <c r="A846">
        <v>3</v>
      </c>
      <c r="B846">
        <v>219</v>
      </c>
      <c r="C846">
        <v>29</v>
      </c>
    </row>
    <row r="847" spans="1:3" x14ac:dyDescent="0.35">
      <c r="A847">
        <v>3</v>
      </c>
      <c r="B847">
        <v>220</v>
      </c>
      <c r="C847">
        <v>0</v>
      </c>
    </row>
    <row r="848" spans="1:3" x14ac:dyDescent="0.35">
      <c r="A848">
        <v>3</v>
      </c>
      <c r="B848">
        <v>221</v>
      </c>
      <c r="C848">
        <v>25</v>
      </c>
    </row>
    <row r="849" spans="1:3" x14ac:dyDescent="0.35">
      <c r="A849">
        <v>3</v>
      </c>
      <c r="B849">
        <v>222</v>
      </c>
      <c r="C849">
        <v>12</v>
      </c>
    </row>
    <row r="850" spans="1:3" x14ac:dyDescent="0.35">
      <c r="A850">
        <v>3</v>
      </c>
      <c r="B850">
        <v>223</v>
      </c>
      <c r="C850">
        <v>29</v>
      </c>
    </row>
    <row r="851" spans="1:3" x14ac:dyDescent="0.35">
      <c r="A851">
        <v>3</v>
      </c>
      <c r="B851">
        <v>224</v>
      </c>
      <c r="C851">
        <v>23</v>
      </c>
    </row>
    <row r="852" spans="1:3" x14ac:dyDescent="0.35">
      <c r="A852">
        <v>3</v>
      </c>
      <c r="B852">
        <v>225</v>
      </c>
      <c r="C852">
        <v>12</v>
      </c>
    </row>
    <row r="853" spans="1:3" x14ac:dyDescent="0.35">
      <c r="A853">
        <v>3</v>
      </c>
      <c r="B853">
        <v>226</v>
      </c>
      <c r="C853">
        <v>14</v>
      </c>
    </row>
    <row r="854" spans="1:3" x14ac:dyDescent="0.35">
      <c r="A854">
        <v>3</v>
      </c>
      <c r="B854">
        <v>227</v>
      </c>
      <c r="C854">
        <v>22</v>
      </c>
    </row>
    <row r="855" spans="1:3" x14ac:dyDescent="0.35">
      <c r="A855">
        <v>3</v>
      </c>
      <c r="B855">
        <v>228</v>
      </c>
      <c r="C855">
        <v>29</v>
      </c>
    </row>
    <row r="856" spans="1:3" x14ac:dyDescent="0.35">
      <c r="A856">
        <v>3</v>
      </c>
      <c r="B856">
        <v>229</v>
      </c>
      <c r="C856">
        <v>7</v>
      </c>
    </row>
    <row r="857" spans="1:3" x14ac:dyDescent="0.35">
      <c r="A857">
        <v>3</v>
      </c>
      <c r="B857">
        <v>230</v>
      </c>
      <c r="C857">
        <v>29</v>
      </c>
    </row>
    <row r="858" spans="1:3" x14ac:dyDescent="0.35">
      <c r="A858">
        <v>3</v>
      </c>
      <c r="B858">
        <v>231</v>
      </c>
      <c r="C858">
        <v>6</v>
      </c>
    </row>
    <row r="859" spans="1:3" x14ac:dyDescent="0.35">
      <c r="A859">
        <v>3</v>
      </c>
      <c r="B859">
        <v>232</v>
      </c>
      <c r="C859">
        <v>16</v>
      </c>
    </row>
    <row r="860" spans="1:3" x14ac:dyDescent="0.35">
      <c r="A860">
        <v>3</v>
      </c>
      <c r="B860">
        <v>233</v>
      </c>
      <c r="C860">
        <v>9</v>
      </c>
    </row>
    <row r="861" spans="1:3" x14ac:dyDescent="0.35">
      <c r="A861">
        <v>3</v>
      </c>
      <c r="B861">
        <v>234</v>
      </c>
      <c r="C861">
        <v>24</v>
      </c>
    </row>
    <row r="862" spans="1:3" x14ac:dyDescent="0.35">
      <c r="A862">
        <v>3</v>
      </c>
      <c r="B862">
        <v>235</v>
      </c>
      <c r="C862">
        <v>1</v>
      </c>
    </row>
    <row r="863" spans="1:3" x14ac:dyDescent="0.35">
      <c r="A863">
        <v>3</v>
      </c>
      <c r="B863">
        <v>236</v>
      </c>
      <c r="C863">
        <v>3</v>
      </c>
    </row>
    <row r="864" spans="1:3" x14ac:dyDescent="0.35">
      <c r="A864">
        <v>3</v>
      </c>
      <c r="B864">
        <v>237</v>
      </c>
      <c r="C864">
        <v>16</v>
      </c>
    </row>
    <row r="865" spans="1:3" x14ac:dyDescent="0.35">
      <c r="A865">
        <v>3</v>
      </c>
      <c r="B865">
        <v>238</v>
      </c>
      <c r="C865">
        <v>12</v>
      </c>
    </row>
    <row r="866" spans="1:3" x14ac:dyDescent="0.35">
      <c r="A866">
        <v>3</v>
      </c>
      <c r="B866">
        <v>239</v>
      </c>
      <c r="C866">
        <v>29</v>
      </c>
    </row>
    <row r="867" spans="1:3" x14ac:dyDescent="0.35">
      <c r="A867">
        <v>3</v>
      </c>
      <c r="B867">
        <v>240</v>
      </c>
      <c r="C867">
        <v>26</v>
      </c>
    </row>
    <row r="868" spans="1:3" x14ac:dyDescent="0.35">
      <c r="A868">
        <v>3</v>
      </c>
      <c r="B868">
        <v>241</v>
      </c>
      <c r="C868">
        <v>8</v>
      </c>
    </row>
    <row r="869" spans="1:3" x14ac:dyDescent="0.35">
      <c r="A869">
        <v>3</v>
      </c>
      <c r="B869">
        <v>242</v>
      </c>
      <c r="C869">
        <v>5</v>
      </c>
    </row>
    <row r="870" spans="1:3" x14ac:dyDescent="0.35">
      <c r="A870">
        <v>3</v>
      </c>
      <c r="B870">
        <v>243</v>
      </c>
      <c r="C870">
        <v>7</v>
      </c>
    </row>
    <row r="871" spans="1:3" x14ac:dyDescent="0.35">
      <c r="A871">
        <v>3</v>
      </c>
      <c r="B871">
        <v>244</v>
      </c>
      <c r="C871">
        <v>5</v>
      </c>
    </row>
    <row r="872" spans="1:3" x14ac:dyDescent="0.35">
      <c r="A872">
        <v>3</v>
      </c>
      <c r="B872">
        <v>245</v>
      </c>
      <c r="C872">
        <v>10</v>
      </c>
    </row>
    <row r="873" spans="1:3" x14ac:dyDescent="0.35">
      <c r="A873">
        <v>3</v>
      </c>
      <c r="B873">
        <v>246</v>
      </c>
      <c r="C873">
        <v>7</v>
      </c>
    </row>
    <row r="874" spans="1:3" x14ac:dyDescent="0.35">
      <c r="A874">
        <v>3</v>
      </c>
      <c r="B874">
        <v>247</v>
      </c>
      <c r="C874">
        <v>3</v>
      </c>
    </row>
    <row r="875" spans="1:3" x14ac:dyDescent="0.35">
      <c r="A875">
        <v>3</v>
      </c>
      <c r="B875">
        <v>248</v>
      </c>
      <c r="C875">
        <v>11</v>
      </c>
    </row>
    <row r="876" spans="1:3" x14ac:dyDescent="0.35">
      <c r="A876">
        <v>3</v>
      </c>
      <c r="B876">
        <v>249</v>
      </c>
      <c r="C876">
        <v>6</v>
      </c>
    </row>
    <row r="877" spans="1:3" x14ac:dyDescent="0.35">
      <c r="A877">
        <v>3</v>
      </c>
      <c r="B877">
        <v>250</v>
      </c>
      <c r="C877">
        <v>16</v>
      </c>
    </row>
    <row r="878" spans="1:3" x14ac:dyDescent="0.35">
      <c r="A878">
        <v>3</v>
      </c>
      <c r="B878">
        <v>251</v>
      </c>
      <c r="C878">
        <v>10</v>
      </c>
    </row>
    <row r="879" spans="1:3" x14ac:dyDescent="0.35">
      <c r="A879">
        <v>3</v>
      </c>
      <c r="B879">
        <v>252</v>
      </c>
      <c r="C879">
        <v>27</v>
      </c>
    </row>
    <row r="880" spans="1:3" x14ac:dyDescent="0.35">
      <c r="A880">
        <v>3</v>
      </c>
      <c r="B880">
        <v>253</v>
      </c>
      <c r="C880">
        <v>15</v>
      </c>
    </row>
    <row r="881" spans="1:3" x14ac:dyDescent="0.35">
      <c r="A881">
        <v>3</v>
      </c>
      <c r="B881">
        <v>254</v>
      </c>
      <c r="C881">
        <v>4</v>
      </c>
    </row>
    <row r="882" spans="1:3" x14ac:dyDescent="0.35">
      <c r="A882">
        <v>3</v>
      </c>
      <c r="B882">
        <v>255</v>
      </c>
      <c r="C882">
        <v>17</v>
      </c>
    </row>
    <row r="883" spans="1:3" x14ac:dyDescent="0.35">
      <c r="A883">
        <v>3</v>
      </c>
      <c r="B883">
        <v>256</v>
      </c>
      <c r="C883">
        <v>1</v>
      </c>
    </row>
    <row r="884" spans="1:3" x14ac:dyDescent="0.35">
      <c r="A884">
        <v>3</v>
      </c>
      <c r="B884">
        <v>257</v>
      </c>
      <c r="C884">
        <v>25</v>
      </c>
    </row>
    <row r="885" spans="1:3" x14ac:dyDescent="0.35">
      <c r="A885">
        <v>3</v>
      </c>
      <c r="B885">
        <v>258</v>
      </c>
      <c r="C885">
        <v>10</v>
      </c>
    </row>
    <row r="886" spans="1:3" x14ac:dyDescent="0.35">
      <c r="A886">
        <v>3</v>
      </c>
      <c r="B886">
        <v>259</v>
      </c>
      <c r="C886">
        <v>0</v>
      </c>
    </row>
    <row r="887" spans="1:3" x14ac:dyDescent="0.35">
      <c r="A887">
        <v>3</v>
      </c>
      <c r="B887">
        <v>260</v>
      </c>
      <c r="C887">
        <v>5</v>
      </c>
    </row>
    <row r="888" spans="1:3" x14ac:dyDescent="0.35">
      <c r="A888">
        <v>3</v>
      </c>
      <c r="B888">
        <v>261</v>
      </c>
      <c r="C888">
        <v>24</v>
      </c>
    </row>
    <row r="889" spans="1:3" x14ac:dyDescent="0.35">
      <c r="A889">
        <v>3</v>
      </c>
      <c r="B889">
        <v>262</v>
      </c>
      <c r="C889">
        <v>29</v>
      </c>
    </row>
    <row r="890" spans="1:3" x14ac:dyDescent="0.35">
      <c r="A890">
        <v>3</v>
      </c>
      <c r="B890">
        <v>263</v>
      </c>
      <c r="C890">
        <v>21</v>
      </c>
    </row>
    <row r="891" spans="1:3" x14ac:dyDescent="0.35">
      <c r="A891">
        <v>3</v>
      </c>
      <c r="B891">
        <v>264</v>
      </c>
      <c r="C891">
        <v>7</v>
      </c>
    </row>
    <row r="892" spans="1:3" x14ac:dyDescent="0.35">
      <c r="A892">
        <v>3</v>
      </c>
      <c r="B892">
        <v>265</v>
      </c>
      <c r="C892">
        <v>22</v>
      </c>
    </row>
    <row r="893" spans="1:3" x14ac:dyDescent="0.35">
      <c r="A893">
        <v>3</v>
      </c>
      <c r="B893">
        <v>266</v>
      </c>
      <c r="C893">
        <v>18</v>
      </c>
    </row>
    <row r="894" spans="1:3" x14ac:dyDescent="0.35">
      <c r="A894">
        <v>3</v>
      </c>
      <c r="B894">
        <v>267</v>
      </c>
      <c r="C894">
        <v>12</v>
      </c>
    </row>
    <row r="895" spans="1:3" x14ac:dyDescent="0.35">
      <c r="A895">
        <v>3</v>
      </c>
      <c r="B895">
        <v>268</v>
      </c>
      <c r="C895">
        <v>17</v>
      </c>
    </row>
    <row r="896" spans="1:3" x14ac:dyDescent="0.35">
      <c r="A896">
        <v>3</v>
      </c>
      <c r="B896">
        <v>269</v>
      </c>
      <c r="C896">
        <v>26</v>
      </c>
    </row>
    <row r="897" spans="1:3" x14ac:dyDescent="0.35">
      <c r="A897">
        <v>3</v>
      </c>
      <c r="B897">
        <v>270</v>
      </c>
      <c r="C897">
        <v>6</v>
      </c>
    </row>
    <row r="898" spans="1:3" x14ac:dyDescent="0.35">
      <c r="A898">
        <v>3</v>
      </c>
      <c r="B898">
        <v>271</v>
      </c>
      <c r="C898">
        <v>23</v>
      </c>
    </row>
    <row r="899" spans="1:3" x14ac:dyDescent="0.35">
      <c r="A899">
        <v>3</v>
      </c>
      <c r="B899">
        <v>272</v>
      </c>
      <c r="C899">
        <v>12</v>
      </c>
    </row>
    <row r="900" spans="1:3" x14ac:dyDescent="0.35">
      <c r="A900">
        <v>3</v>
      </c>
      <c r="B900">
        <v>273</v>
      </c>
      <c r="C900">
        <v>19</v>
      </c>
    </row>
    <row r="901" spans="1:3" x14ac:dyDescent="0.35">
      <c r="A901">
        <v>3</v>
      </c>
      <c r="B901">
        <v>274</v>
      </c>
      <c r="C901">
        <v>7</v>
      </c>
    </row>
    <row r="902" spans="1:3" x14ac:dyDescent="0.35">
      <c r="A902">
        <v>3</v>
      </c>
      <c r="B902">
        <v>275</v>
      </c>
      <c r="C902">
        <v>23</v>
      </c>
    </row>
    <row r="903" spans="1:3" x14ac:dyDescent="0.35">
      <c r="A903">
        <v>3</v>
      </c>
      <c r="B903">
        <v>276</v>
      </c>
      <c r="C903">
        <v>14</v>
      </c>
    </row>
    <row r="904" spans="1:3" x14ac:dyDescent="0.35">
      <c r="A904">
        <v>3</v>
      </c>
      <c r="B904">
        <v>277</v>
      </c>
      <c r="C904">
        <v>26</v>
      </c>
    </row>
    <row r="905" spans="1:3" x14ac:dyDescent="0.35">
      <c r="A905">
        <v>3</v>
      </c>
      <c r="B905">
        <v>278</v>
      </c>
      <c r="C905">
        <v>15</v>
      </c>
    </row>
    <row r="906" spans="1:3" x14ac:dyDescent="0.35">
      <c r="A906">
        <v>3</v>
      </c>
      <c r="B906">
        <v>279</v>
      </c>
      <c r="C906">
        <v>15</v>
      </c>
    </row>
    <row r="907" spans="1:3" x14ac:dyDescent="0.35">
      <c r="A907">
        <v>3</v>
      </c>
      <c r="B907">
        <v>280</v>
      </c>
      <c r="C907">
        <v>1</v>
      </c>
    </row>
    <row r="908" spans="1:3" x14ac:dyDescent="0.35">
      <c r="A908">
        <v>3</v>
      </c>
      <c r="B908">
        <v>281</v>
      </c>
      <c r="C908">
        <v>2</v>
      </c>
    </row>
    <row r="909" spans="1:3" x14ac:dyDescent="0.35">
      <c r="A909">
        <v>3</v>
      </c>
      <c r="B909">
        <v>282</v>
      </c>
      <c r="C909">
        <v>18</v>
      </c>
    </row>
    <row r="910" spans="1:3" x14ac:dyDescent="0.35">
      <c r="A910">
        <v>3</v>
      </c>
      <c r="B910">
        <v>283</v>
      </c>
      <c r="C910">
        <v>1</v>
      </c>
    </row>
    <row r="911" spans="1:3" x14ac:dyDescent="0.35">
      <c r="A911">
        <v>3</v>
      </c>
      <c r="B911">
        <v>284</v>
      </c>
      <c r="C911">
        <v>26</v>
      </c>
    </row>
    <row r="912" spans="1:3" x14ac:dyDescent="0.35">
      <c r="A912">
        <v>3</v>
      </c>
      <c r="B912">
        <v>285</v>
      </c>
      <c r="C912">
        <v>2</v>
      </c>
    </row>
    <row r="913" spans="1:3" x14ac:dyDescent="0.35">
      <c r="A913">
        <v>3</v>
      </c>
      <c r="B913">
        <v>286</v>
      </c>
      <c r="C913">
        <v>7</v>
      </c>
    </row>
    <row r="914" spans="1:3" x14ac:dyDescent="0.35">
      <c r="A914">
        <v>3</v>
      </c>
      <c r="B914">
        <v>287</v>
      </c>
      <c r="C914">
        <v>26</v>
      </c>
    </row>
    <row r="915" spans="1:3" x14ac:dyDescent="0.35">
      <c r="A915">
        <v>3</v>
      </c>
      <c r="B915">
        <v>288</v>
      </c>
      <c r="C915">
        <v>2</v>
      </c>
    </row>
    <row r="916" spans="1:3" x14ac:dyDescent="0.35">
      <c r="A916">
        <v>3</v>
      </c>
      <c r="B916">
        <v>289</v>
      </c>
      <c r="C916">
        <v>2</v>
      </c>
    </row>
    <row r="917" spans="1:3" x14ac:dyDescent="0.35">
      <c r="A917">
        <v>3</v>
      </c>
      <c r="B917">
        <v>290</v>
      </c>
      <c r="C917">
        <v>6</v>
      </c>
    </row>
    <row r="918" spans="1:3" x14ac:dyDescent="0.35">
      <c r="A918">
        <v>3</v>
      </c>
      <c r="B918">
        <v>291</v>
      </c>
      <c r="C918">
        <v>10</v>
      </c>
    </row>
    <row r="919" spans="1:3" x14ac:dyDescent="0.35">
      <c r="A919">
        <v>3</v>
      </c>
      <c r="B919">
        <v>292</v>
      </c>
      <c r="C919">
        <v>16</v>
      </c>
    </row>
    <row r="920" spans="1:3" x14ac:dyDescent="0.35">
      <c r="A920">
        <v>3</v>
      </c>
      <c r="B920">
        <v>293</v>
      </c>
      <c r="C920">
        <v>14</v>
      </c>
    </row>
    <row r="921" spans="1:3" x14ac:dyDescent="0.35">
      <c r="A921">
        <v>3</v>
      </c>
      <c r="B921">
        <v>294</v>
      </c>
      <c r="C921">
        <v>13</v>
      </c>
    </row>
    <row r="922" spans="1:3" x14ac:dyDescent="0.35">
      <c r="A922">
        <v>3</v>
      </c>
      <c r="B922">
        <v>295</v>
      </c>
      <c r="C922">
        <v>9</v>
      </c>
    </row>
    <row r="923" spans="1:3" x14ac:dyDescent="0.35">
      <c r="A923">
        <v>3</v>
      </c>
      <c r="B923">
        <v>296</v>
      </c>
      <c r="C923">
        <v>12</v>
      </c>
    </row>
    <row r="924" spans="1:3" x14ac:dyDescent="0.35">
      <c r="A924">
        <v>3</v>
      </c>
      <c r="B924">
        <v>297</v>
      </c>
      <c r="C924">
        <v>22</v>
      </c>
    </row>
    <row r="925" spans="1:3" x14ac:dyDescent="0.35">
      <c r="A925">
        <v>3</v>
      </c>
      <c r="B925">
        <v>298</v>
      </c>
      <c r="C925">
        <v>14</v>
      </c>
    </row>
    <row r="926" spans="1:3" x14ac:dyDescent="0.35">
      <c r="A926">
        <v>3</v>
      </c>
      <c r="B926">
        <v>299</v>
      </c>
      <c r="C926">
        <v>29</v>
      </c>
    </row>
    <row r="927" spans="1:3" x14ac:dyDescent="0.35">
      <c r="A927">
        <v>3</v>
      </c>
      <c r="B927">
        <v>300</v>
      </c>
      <c r="C927">
        <v>3</v>
      </c>
    </row>
    <row r="928" spans="1:3" x14ac:dyDescent="0.35">
      <c r="A928">
        <v>3</v>
      </c>
      <c r="B928">
        <v>301</v>
      </c>
      <c r="C928">
        <v>29</v>
      </c>
    </row>
    <row r="929" spans="1:3" x14ac:dyDescent="0.35">
      <c r="A929">
        <v>3</v>
      </c>
      <c r="B929">
        <v>302</v>
      </c>
      <c r="C929">
        <v>6</v>
      </c>
    </row>
    <row r="930" spans="1:3" x14ac:dyDescent="0.35">
      <c r="A930">
        <v>3</v>
      </c>
      <c r="B930">
        <v>303</v>
      </c>
      <c r="C930">
        <v>13</v>
      </c>
    </row>
    <row r="931" spans="1:3" x14ac:dyDescent="0.35">
      <c r="A931">
        <v>3</v>
      </c>
      <c r="B931">
        <v>304</v>
      </c>
      <c r="C931">
        <v>23</v>
      </c>
    </row>
    <row r="932" spans="1:3" x14ac:dyDescent="0.35">
      <c r="A932">
        <v>3</v>
      </c>
      <c r="B932">
        <v>305</v>
      </c>
      <c r="C932">
        <v>11</v>
      </c>
    </row>
    <row r="933" spans="1:3" x14ac:dyDescent="0.35">
      <c r="A933">
        <v>3</v>
      </c>
      <c r="B933">
        <v>306</v>
      </c>
      <c r="C933">
        <v>7</v>
      </c>
    </row>
    <row r="934" spans="1:3" x14ac:dyDescent="0.35">
      <c r="A934">
        <v>3</v>
      </c>
      <c r="B934">
        <v>307</v>
      </c>
      <c r="C934">
        <v>17</v>
      </c>
    </row>
    <row r="935" spans="1:3" x14ac:dyDescent="0.35">
      <c r="A935">
        <v>3</v>
      </c>
      <c r="B935">
        <v>308</v>
      </c>
      <c r="C935">
        <v>9</v>
      </c>
    </row>
    <row r="936" spans="1:3" x14ac:dyDescent="0.35">
      <c r="A936">
        <v>3</v>
      </c>
      <c r="B936">
        <v>309</v>
      </c>
      <c r="C936">
        <v>30</v>
      </c>
    </row>
    <row r="937" spans="1:3" x14ac:dyDescent="0.35">
      <c r="A937">
        <v>3</v>
      </c>
      <c r="B937">
        <v>310</v>
      </c>
      <c r="C937">
        <v>8</v>
      </c>
    </row>
    <row r="938" spans="1:3" x14ac:dyDescent="0.35">
      <c r="A938">
        <v>3</v>
      </c>
      <c r="B938">
        <v>311</v>
      </c>
      <c r="C938">
        <v>23</v>
      </c>
    </row>
    <row r="939" spans="1:3" x14ac:dyDescent="0.35">
      <c r="A939">
        <v>3</v>
      </c>
      <c r="B939">
        <v>312</v>
      </c>
      <c r="C939">
        <v>18</v>
      </c>
    </row>
    <row r="940" spans="1:3" x14ac:dyDescent="0.35">
      <c r="A940">
        <v>3</v>
      </c>
      <c r="B940">
        <v>313</v>
      </c>
      <c r="C940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B14D1D-BD36-42B8-B000-FB8254B263CD}">
  <dimension ref="A1:H4"/>
  <sheetViews>
    <sheetView workbookViewId="0">
      <selection sqref="A1:H4"/>
    </sheetView>
  </sheetViews>
  <sheetFormatPr defaultRowHeight="14.5" x14ac:dyDescent="0.35"/>
  <sheetData>
    <row r="1" spans="1:8" x14ac:dyDescent="0.35">
      <c r="A1" t="s">
        <v>320</v>
      </c>
      <c r="B1" t="s">
        <v>6031</v>
      </c>
      <c r="C1" t="s">
        <v>6032</v>
      </c>
      <c r="D1" t="s">
        <v>2296</v>
      </c>
      <c r="E1" t="s">
        <v>2297</v>
      </c>
      <c r="F1" t="s">
        <v>2298</v>
      </c>
      <c r="G1" t="s">
        <v>2299</v>
      </c>
      <c r="H1" t="s">
        <v>2300</v>
      </c>
    </row>
    <row r="2" spans="1:8" x14ac:dyDescent="0.35">
      <c r="A2">
        <v>1</v>
      </c>
      <c r="B2" t="s">
        <v>6033</v>
      </c>
      <c r="C2" t="s">
        <v>6034</v>
      </c>
      <c r="D2" t="s">
        <v>6035</v>
      </c>
      <c r="E2" t="s">
        <v>6036</v>
      </c>
      <c r="F2" t="s">
        <v>3127</v>
      </c>
      <c r="G2" t="s">
        <v>2305</v>
      </c>
      <c r="H2">
        <v>95060</v>
      </c>
    </row>
    <row r="3" spans="1:8" x14ac:dyDescent="0.35">
      <c r="A3">
        <v>2</v>
      </c>
      <c r="B3" t="s">
        <v>6037</v>
      </c>
      <c r="C3" t="s">
        <v>6038</v>
      </c>
      <c r="D3" t="s">
        <v>6039</v>
      </c>
      <c r="E3" t="s">
        <v>6040</v>
      </c>
      <c r="F3" t="s">
        <v>470</v>
      </c>
      <c r="G3" t="s">
        <v>2309</v>
      </c>
      <c r="H3">
        <v>11432</v>
      </c>
    </row>
    <row r="4" spans="1:8" x14ac:dyDescent="0.35">
      <c r="A4">
        <v>3</v>
      </c>
      <c r="B4" t="s">
        <v>6041</v>
      </c>
      <c r="C4" t="s">
        <v>6042</v>
      </c>
      <c r="D4" t="s">
        <v>6043</v>
      </c>
      <c r="E4" t="s">
        <v>6044</v>
      </c>
      <c r="F4" t="s">
        <v>3280</v>
      </c>
      <c r="G4" t="s">
        <v>2397</v>
      </c>
      <c r="H4">
        <v>75088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A57A72-7862-49FE-8773-F7F029EA5253}">
  <dimension ref="A1:H11"/>
  <sheetViews>
    <sheetView workbookViewId="0">
      <selection activeCell="K16" sqref="K16"/>
    </sheetView>
  </sheetViews>
  <sheetFormatPr defaultRowHeight="14.5" x14ac:dyDescent="0.35"/>
  <sheetData>
    <row r="1" spans="1:8" x14ac:dyDescent="0.35">
      <c r="A1" t="s">
        <v>321</v>
      </c>
      <c r="B1" t="s">
        <v>322</v>
      </c>
      <c r="C1" t="s">
        <v>323</v>
      </c>
      <c r="D1" t="s">
        <v>2296</v>
      </c>
      <c r="E1" t="s">
        <v>6032</v>
      </c>
      <c r="F1" t="s">
        <v>6055</v>
      </c>
      <c r="G1" t="s">
        <v>320</v>
      </c>
      <c r="H1" t="s">
        <v>6056</v>
      </c>
    </row>
    <row r="2" spans="1:8" x14ac:dyDescent="0.35">
      <c r="A2">
        <v>1</v>
      </c>
      <c r="B2" t="s">
        <v>6057</v>
      </c>
      <c r="C2" t="s">
        <v>1520</v>
      </c>
      <c r="D2" t="s">
        <v>6058</v>
      </c>
      <c r="E2" t="s">
        <v>6059</v>
      </c>
      <c r="F2">
        <v>1</v>
      </c>
      <c r="G2">
        <v>1</v>
      </c>
      <c r="H2" t="s">
        <v>5597</v>
      </c>
    </row>
    <row r="3" spans="1:8" x14ac:dyDescent="0.35">
      <c r="A3">
        <v>2</v>
      </c>
      <c r="B3" t="s">
        <v>6060</v>
      </c>
      <c r="C3" t="s">
        <v>1718</v>
      </c>
      <c r="D3" t="s">
        <v>6061</v>
      </c>
      <c r="E3" t="s">
        <v>6062</v>
      </c>
      <c r="F3">
        <v>1</v>
      </c>
      <c r="G3">
        <v>1</v>
      </c>
      <c r="H3">
        <v>1</v>
      </c>
    </row>
    <row r="4" spans="1:8" x14ac:dyDescent="0.35">
      <c r="A4">
        <v>3</v>
      </c>
      <c r="B4" t="s">
        <v>6063</v>
      </c>
      <c r="C4" t="s">
        <v>6064</v>
      </c>
      <c r="D4" t="s">
        <v>6065</v>
      </c>
      <c r="E4" t="s">
        <v>6066</v>
      </c>
      <c r="F4">
        <v>1</v>
      </c>
      <c r="G4">
        <v>1</v>
      </c>
      <c r="H4">
        <v>2</v>
      </c>
    </row>
    <row r="5" spans="1:8" x14ac:dyDescent="0.35">
      <c r="A5">
        <v>4</v>
      </c>
      <c r="B5" t="s">
        <v>6067</v>
      </c>
      <c r="C5" t="s">
        <v>1787</v>
      </c>
      <c r="D5" t="s">
        <v>6068</v>
      </c>
      <c r="E5" t="s">
        <v>6069</v>
      </c>
      <c r="F5">
        <v>1</v>
      </c>
      <c r="G5">
        <v>1</v>
      </c>
      <c r="H5">
        <v>2</v>
      </c>
    </row>
    <row r="6" spans="1:8" x14ac:dyDescent="0.35">
      <c r="A6">
        <v>5</v>
      </c>
      <c r="B6" t="s">
        <v>6070</v>
      </c>
      <c r="C6" t="s">
        <v>6071</v>
      </c>
      <c r="D6" t="s">
        <v>6072</v>
      </c>
      <c r="E6" t="s">
        <v>6073</v>
      </c>
      <c r="F6">
        <v>1</v>
      </c>
      <c r="G6">
        <v>2</v>
      </c>
      <c r="H6">
        <v>1</v>
      </c>
    </row>
    <row r="7" spans="1:8" x14ac:dyDescent="0.35">
      <c r="A7">
        <v>6</v>
      </c>
      <c r="B7" t="s">
        <v>6074</v>
      </c>
      <c r="C7" t="s">
        <v>6075</v>
      </c>
      <c r="D7" t="s">
        <v>6076</v>
      </c>
      <c r="E7" t="s">
        <v>6077</v>
      </c>
      <c r="F7">
        <v>1</v>
      </c>
      <c r="G7">
        <v>2</v>
      </c>
      <c r="H7">
        <v>5</v>
      </c>
    </row>
    <row r="8" spans="1:8" x14ac:dyDescent="0.35">
      <c r="A8">
        <v>7</v>
      </c>
      <c r="B8" t="s">
        <v>6078</v>
      </c>
      <c r="C8" t="s">
        <v>908</v>
      </c>
      <c r="D8" t="s">
        <v>6079</v>
      </c>
      <c r="E8" t="s">
        <v>6080</v>
      </c>
      <c r="F8">
        <v>1</v>
      </c>
      <c r="G8">
        <v>2</v>
      </c>
      <c r="H8">
        <v>5</v>
      </c>
    </row>
    <row r="9" spans="1:8" x14ac:dyDescent="0.35">
      <c r="A9">
        <v>8</v>
      </c>
      <c r="B9" t="s">
        <v>6081</v>
      </c>
      <c r="C9" t="s">
        <v>482</v>
      </c>
      <c r="D9" t="s">
        <v>6082</v>
      </c>
      <c r="E9" t="s">
        <v>6042</v>
      </c>
      <c r="F9">
        <v>1</v>
      </c>
      <c r="G9">
        <v>3</v>
      </c>
      <c r="H9">
        <v>1</v>
      </c>
    </row>
    <row r="10" spans="1:8" x14ac:dyDescent="0.35">
      <c r="A10">
        <v>9</v>
      </c>
      <c r="B10" t="s">
        <v>6083</v>
      </c>
      <c r="C10" t="s">
        <v>817</v>
      </c>
      <c r="D10" t="s">
        <v>6084</v>
      </c>
      <c r="E10" t="s">
        <v>6085</v>
      </c>
      <c r="F10">
        <v>1</v>
      </c>
      <c r="G10">
        <v>3</v>
      </c>
      <c r="H10">
        <v>7</v>
      </c>
    </row>
    <row r="11" spans="1:8" x14ac:dyDescent="0.35">
      <c r="A11">
        <v>10</v>
      </c>
      <c r="B11" t="s">
        <v>6086</v>
      </c>
      <c r="C11" t="s">
        <v>1262</v>
      </c>
      <c r="D11" t="s">
        <v>6087</v>
      </c>
      <c r="E11" t="s">
        <v>6088</v>
      </c>
      <c r="F11">
        <v>1</v>
      </c>
      <c r="G11">
        <v>3</v>
      </c>
      <c r="H11">
        <v>7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660EBA-E604-4D90-AA62-0987CC5791E0}">
  <dimension ref="A3:K233"/>
  <sheetViews>
    <sheetView workbookViewId="0">
      <selection activeCell="I10" sqref="I10"/>
    </sheetView>
  </sheetViews>
  <sheetFormatPr defaultRowHeight="14.5" x14ac:dyDescent="0.35"/>
  <cols>
    <col min="1" max="1" width="16.36328125" bestFit="1" customWidth="1"/>
    <col min="2" max="2" width="21.6328125" bestFit="1" customWidth="1"/>
    <col min="3" max="4" width="16.453125" bestFit="1" customWidth="1"/>
    <col min="6" max="6" width="47.36328125" bestFit="1" customWidth="1"/>
    <col min="7" max="7" width="16.453125" bestFit="1" customWidth="1"/>
    <col min="10" max="10" width="47.36328125" bestFit="1" customWidth="1"/>
    <col min="11" max="11" width="16.08984375" bestFit="1" customWidth="1"/>
  </cols>
  <sheetData>
    <row r="3" spans="1:11" x14ac:dyDescent="0.35">
      <c r="A3" s="9" t="s">
        <v>5564</v>
      </c>
      <c r="B3" s="9" t="s">
        <v>5560</v>
      </c>
      <c r="C3" s="9" t="s">
        <v>5561</v>
      </c>
      <c r="D3" s="9" t="s">
        <v>5562</v>
      </c>
    </row>
    <row r="4" spans="1:11" x14ac:dyDescent="0.35">
      <c r="A4" s="5" t="s">
        <v>2309</v>
      </c>
      <c r="B4" s="5">
        <v>864699</v>
      </c>
      <c r="C4" s="5">
        <v>751849</v>
      </c>
      <c r="D4" s="5">
        <v>1888517.5299999823</v>
      </c>
    </row>
    <row r="5" spans="1:11" x14ac:dyDescent="0.35">
      <c r="A5" s="5" t="s">
        <v>2305</v>
      </c>
      <c r="B5" s="5">
        <v>297779</v>
      </c>
      <c r="C5" s="5">
        <v>208714</v>
      </c>
      <c r="D5" s="5">
        <v>592231.29000000039</v>
      </c>
    </row>
    <row r="6" spans="1:11" x14ac:dyDescent="0.35">
      <c r="A6" s="5" t="s">
        <v>2397</v>
      </c>
      <c r="B6" s="5">
        <v>142442</v>
      </c>
      <c r="C6" s="5">
        <v>95924</v>
      </c>
      <c r="D6" s="5">
        <v>299592.7200000002</v>
      </c>
    </row>
    <row r="7" spans="1:11" x14ac:dyDescent="0.35">
      <c r="A7" s="9" t="s">
        <v>5563</v>
      </c>
      <c r="B7" s="9">
        <v>1304920</v>
      </c>
      <c r="C7" s="9">
        <v>1056487</v>
      </c>
      <c r="D7" s="9">
        <v>2780341.5399999828</v>
      </c>
      <c r="F7" s="22" t="s">
        <v>5569</v>
      </c>
      <c r="G7" s="22"/>
      <c r="J7" s="22" t="s">
        <v>5570</v>
      </c>
      <c r="K7" s="22"/>
    </row>
    <row r="8" spans="1:11" x14ac:dyDescent="0.35">
      <c r="F8" s="6" t="s">
        <v>306</v>
      </c>
      <c r="G8" s="6" t="s">
        <v>5567</v>
      </c>
      <c r="J8" t="s">
        <v>306</v>
      </c>
      <c r="K8" t="s">
        <v>5568</v>
      </c>
    </row>
    <row r="9" spans="1:11" x14ac:dyDescent="0.35">
      <c r="F9" s="18" t="s">
        <v>152</v>
      </c>
      <c r="G9" s="18">
        <v>23999.88</v>
      </c>
      <c r="J9" s="18" t="s">
        <v>254</v>
      </c>
      <c r="K9" s="18">
        <v>89.789999999999992</v>
      </c>
    </row>
    <row r="10" spans="1:11" x14ac:dyDescent="0.35">
      <c r="A10" s="7" t="s">
        <v>306</v>
      </c>
      <c r="B10" s="7" t="s">
        <v>5565</v>
      </c>
      <c r="C10" s="7" t="s">
        <v>5562</v>
      </c>
      <c r="F10" t="s">
        <v>52</v>
      </c>
      <c r="G10">
        <v>12999.93</v>
      </c>
      <c r="J10" t="s">
        <v>85</v>
      </c>
      <c r="K10">
        <v>109.78999999999999</v>
      </c>
    </row>
    <row r="11" spans="1:11" x14ac:dyDescent="0.35">
      <c r="A11" s="5" t="s">
        <v>304</v>
      </c>
      <c r="B11" s="5">
        <v>392</v>
      </c>
      <c r="C11" s="5">
        <v>959818.72000000288</v>
      </c>
      <c r="F11" t="s">
        <v>166</v>
      </c>
      <c r="G11">
        <v>12999.91</v>
      </c>
      <c r="J11" t="s">
        <v>84</v>
      </c>
      <c r="K11">
        <v>149.79000000000002</v>
      </c>
    </row>
    <row r="12" spans="1:11" x14ac:dyDescent="0.35">
      <c r="A12" s="5" t="s">
        <v>305</v>
      </c>
      <c r="B12" s="5">
        <v>126</v>
      </c>
      <c r="C12" s="5">
        <v>600589.78999999992</v>
      </c>
      <c r="F12" t="s">
        <v>51</v>
      </c>
      <c r="G12">
        <v>11999.93</v>
      </c>
      <c r="J12" t="s">
        <v>88</v>
      </c>
      <c r="K12">
        <v>189.79000000000002</v>
      </c>
    </row>
    <row r="13" spans="1:11" x14ac:dyDescent="0.35">
      <c r="A13" s="5" t="s">
        <v>301</v>
      </c>
      <c r="B13" s="5">
        <v>466</v>
      </c>
      <c r="C13" s="5">
        <v>366168.31000000011</v>
      </c>
      <c r="F13" t="s">
        <v>57</v>
      </c>
      <c r="G13">
        <v>10999.93</v>
      </c>
      <c r="J13" t="s">
        <v>89</v>
      </c>
      <c r="K13">
        <v>189.79000000000002</v>
      </c>
    </row>
    <row r="14" spans="1:11" x14ac:dyDescent="0.35">
      <c r="A14" s="5" t="s">
        <v>303</v>
      </c>
      <c r="B14" s="5">
        <v>71</v>
      </c>
      <c r="C14" s="5">
        <v>323652.31</v>
      </c>
      <c r="F14" t="s">
        <v>44</v>
      </c>
      <c r="G14">
        <v>10599.91</v>
      </c>
      <c r="J14" t="s">
        <v>260</v>
      </c>
      <c r="K14">
        <v>199.94</v>
      </c>
    </row>
    <row r="15" spans="1:11" x14ac:dyDescent="0.35">
      <c r="A15" s="5" t="s">
        <v>302</v>
      </c>
      <c r="B15" s="5">
        <v>83</v>
      </c>
      <c r="C15" s="5">
        <v>246588.28000000006</v>
      </c>
      <c r="F15" t="s">
        <v>48</v>
      </c>
      <c r="G15">
        <v>10599.88</v>
      </c>
      <c r="J15" t="s">
        <v>93</v>
      </c>
      <c r="K15">
        <v>209.79000000000002</v>
      </c>
    </row>
    <row r="16" spans="1:11" x14ac:dyDescent="0.35">
      <c r="A16" s="5" t="s">
        <v>300</v>
      </c>
      <c r="B16" s="5">
        <v>200</v>
      </c>
      <c r="C16" s="5">
        <v>166458.42000000001</v>
      </c>
      <c r="F16" t="s">
        <v>150</v>
      </c>
      <c r="G16">
        <v>9999.93</v>
      </c>
      <c r="J16" t="s">
        <v>91</v>
      </c>
      <c r="K16">
        <v>209.79000000000002</v>
      </c>
    </row>
    <row r="17" spans="1:11" x14ac:dyDescent="0.35">
      <c r="A17" s="5" t="s">
        <v>299</v>
      </c>
      <c r="B17" s="5">
        <v>277</v>
      </c>
      <c r="C17" s="5">
        <v>117065.70999999986</v>
      </c>
      <c r="F17" t="s">
        <v>200</v>
      </c>
      <c r="G17">
        <v>9999.93</v>
      </c>
      <c r="J17" t="s">
        <v>90</v>
      </c>
      <c r="K17">
        <v>209.89000000000001</v>
      </c>
    </row>
    <row r="18" spans="1:11" x14ac:dyDescent="0.35">
      <c r="A18" s="7" t="s">
        <v>307</v>
      </c>
      <c r="B18" s="7">
        <v>1615</v>
      </c>
      <c r="C18" s="7">
        <v>2780341.5399999851</v>
      </c>
      <c r="F18" t="s">
        <v>62</v>
      </c>
      <c r="G18">
        <v>9999.93</v>
      </c>
      <c r="J18" t="s">
        <v>262</v>
      </c>
      <c r="K18">
        <v>209.89000000000001</v>
      </c>
    </row>
    <row r="19" spans="1:11" x14ac:dyDescent="0.35">
      <c r="F19" t="s">
        <v>202</v>
      </c>
      <c r="G19">
        <v>9999.93</v>
      </c>
      <c r="J19" t="s">
        <v>94</v>
      </c>
      <c r="K19">
        <v>209.92000000000002</v>
      </c>
    </row>
    <row r="20" spans="1:11" x14ac:dyDescent="0.35">
      <c r="F20" t="s">
        <v>59</v>
      </c>
      <c r="G20">
        <v>9999.91</v>
      </c>
      <c r="J20" t="s">
        <v>95</v>
      </c>
      <c r="K20">
        <v>249.79000000000002</v>
      </c>
    </row>
    <row r="21" spans="1:11" x14ac:dyDescent="0.35">
      <c r="F21" t="s">
        <v>41</v>
      </c>
      <c r="G21">
        <v>9999.8799999999992</v>
      </c>
      <c r="J21" t="s">
        <v>255</v>
      </c>
      <c r="K21">
        <v>249.92000000000002</v>
      </c>
    </row>
    <row r="22" spans="1:11" x14ac:dyDescent="0.35">
      <c r="F22" t="s">
        <v>137</v>
      </c>
      <c r="G22">
        <v>9999.7799999999988</v>
      </c>
      <c r="J22" t="s">
        <v>67</v>
      </c>
      <c r="K22">
        <v>250.79000000000002</v>
      </c>
    </row>
    <row r="23" spans="1:11" x14ac:dyDescent="0.35">
      <c r="F23" t="s">
        <v>12</v>
      </c>
      <c r="G23">
        <v>7999.9299999999994</v>
      </c>
      <c r="J23" t="s">
        <v>68</v>
      </c>
      <c r="K23">
        <v>250.79000000000002</v>
      </c>
    </row>
    <row r="24" spans="1:11" x14ac:dyDescent="0.35">
      <c r="F24" t="s">
        <v>204</v>
      </c>
      <c r="G24">
        <v>7999.78</v>
      </c>
      <c r="J24" t="s">
        <v>18</v>
      </c>
      <c r="K24">
        <v>269.79000000000002</v>
      </c>
    </row>
    <row r="25" spans="1:11" x14ac:dyDescent="0.35">
      <c r="F25" t="s">
        <v>201</v>
      </c>
      <c r="G25">
        <v>7199.91</v>
      </c>
      <c r="J25" t="s">
        <v>19</v>
      </c>
      <c r="K25">
        <v>269.79000000000002</v>
      </c>
    </row>
    <row r="26" spans="1:11" x14ac:dyDescent="0.35">
      <c r="F26" t="s">
        <v>64</v>
      </c>
      <c r="G26">
        <v>6999.9299999999994</v>
      </c>
      <c r="J26" t="s">
        <v>287</v>
      </c>
      <c r="K26">
        <v>279.89</v>
      </c>
    </row>
    <row r="27" spans="1:11" x14ac:dyDescent="0.35">
      <c r="F27" t="s">
        <v>50</v>
      </c>
      <c r="G27">
        <v>6999.9299999999994</v>
      </c>
      <c r="J27" t="s">
        <v>272</v>
      </c>
      <c r="K27">
        <v>279.94</v>
      </c>
    </row>
    <row r="28" spans="1:11" x14ac:dyDescent="0.35">
      <c r="F28" t="s">
        <v>63</v>
      </c>
      <c r="G28">
        <v>6999.91</v>
      </c>
      <c r="J28" t="s">
        <v>26</v>
      </c>
      <c r="K28">
        <v>299.79000000000002</v>
      </c>
    </row>
    <row r="29" spans="1:11" x14ac:dyDescent="0.35">
      <c r="F29" t="s">
        <v>191</v>
      </c>
      <c r="G29">
        <v>6999.8799999999992</v>
      </c>
      <c r="J29" t="s">
        <v>77</v>
      </c>
      <c r="K29">
        <v>299.79000000000002</v>
      </c>
    </row>
    <row r="30" spans="1:11" x14ac:dyDescent="0.35">
      <c r="F30" t="s">
        <v>185</v>
      </c>
      <c r="G30">
        <v>6999.78</v>
      </c>
      <c r="J30" t="s">
        <v>99</v>
      </c>
      <c r="K30">
        <v>299.79000000000002</v>
      </c>
    </row>
    <row r="31" spans="1:11" x14ac:dyDescent="0.35">
      <c r="F31" t="s">
        <v>153</v>
      </c>
      <c r="G31">
        <v>6499.8899999999994</v>
      </c>
      <c r="J31" t="s">
        <v>87</v>
      </c>
      <c r="K31">
        <v>299.91000000000003</v>
      </c>
    </row>
    <row r="32" spans="1:11" x14ac:dyDescent="0.35">
      <c r="F32" t="s">
        <v>139</v>
      </c>
      <c r="G32">
        <v>6399.9299999999994</v>
      </c>
      <c r="J32" t="s">
        <v>270</v>
      </c>
      <c r="K32">
        <v>319.79000000000002</v>
      </c>
    </row>
    <row r="33" spans="6:11" x14ac:dyDescent="0.35">
      <c r="F33" t="s">
        <v>172</v>
      </c>
      <c r="G33">
        <v>6399.91</v>
      </c>
      <c r="J33" t="s">
        <v>273</v>
      </c>
      <c r="K33">
        <v>319.92</v>
      </c>
    </row>
    <row r="34" spans="6:11" x14ac:dyDescent="0.35">
      <c r="F34" t="s">
        <v>169</v>
      </c>
      <c r="G34">
        <v>6399.8799999999992</v>
      </c>
      <c r="J34" t="s">
        <v>267</v>
      </c>
      <c r="K34">
        <v>319.92</v>
      </c>
    </row>
    <row r="35" spans="6:11" x14ac:dyDescent="0.35">
      <c r="F35" t="s">
        <v>55</v>
      </c>
      <c r="G35">
        <v>6399.78</v>
      </c>
      <c r="J35" t="s">
        <v>222</v>
      </c>
      <c r="K35">
        <v>319.94</v>
      </c>
    </row>
    <row r="36" spans="6:11" x14ac:dyDescent="0.35">
      <c r="F36" t="s">
        <v>14</v>
      </c>
      <c r="G36">
        <v>5999.9299999999994</v>
      </c>
      <c r="J36" t="s">
        <v>216</v>
      </c>
      <c r="K36">
        <v>319.94</v>
      </c>
    </row>
    <row r="37" spans="6:11" x14ac:dyDescent="0.35">
      <c r="F37" t="s">
        <v>206</v>
      </c>
      <c r="G37">
        <v>5999.91</v>
      </c>
      <c r="J37" t="s">
        <v>86</v>
      </c>
      <c r="K37">
        <v>329.79</v>
      </c>
    </row>
    <row r="38" spans="6:11" x14ac:dyDescent="0.35">
      <c r="F38" t="s">
        <v>159</v>
      </c>
      <c r="G38">
        <v>5999.8799999999992</v>
      </c>
      <c r="J38" t="s">
        <v>101</v>
      </c>
      <c r="K38">
        <v>339.89</v>
      </c>
    </row>
    <row r="39" spans="6:11" x14ac:dyDescent="0.35">
      <c r="F39" t="s">
        <v>9</v>
      </c>
      <c r="G39">
        <v>5799.9299999999994</v>
      </c>
      <c r="J39" t="s">
        <v>66</v>
      </c>
      <c r="K39">
        <v>346.94</v>
      </c>
    </row>
    <row r="40" spans="6:11" x14ac:dyDescent="0.35">
      <c r="F40" t="s">
        <v>190</v>
      </c>
      <c r="G40">
        <v>5599.9299999999994</v>
      </c>
      <c r="J40" t="s">
        <v>96</v>
      </c>
      <c r="K40">
        <v>349.79</v>
      </c>
    </row>
    <row r="41" spans="6:11" x14ac:dyDescent="0.35">
      <c r="F41" t="s">
        <v>187</v>
      </c>
      <c r="G41">
        <v>5599.91</v>
      </c>
      <c r="J41" t="s">
        <v>97</v>
      </c>
      <c r="K41">
        <v>349.79</v>
      </c>
    </row>
    <row r="42" spans="6:11" x14ac:dyDescent="0.35">
      <c r="F42" t="s">
        <v>186</v>
      </c>
      <c r="G42">
        <v>5599.78</v>
      </c>
      <c r="J42" t="s">
        <v>92</v>
      </c>
      <c r="K42">
        <v>349.79</v>
      </c>
    </row>
    <row r="43" spans="6:11" x14ac:dyDescent="0.35">
      <c r="F43" t="s">
        <v>145</v>
      </c>
      <c r="G43">
        <v>5499.79</v>
      </c>
      <c r="J43" t="s">
        <v>282</v>
      </c>
      <c r="K43">
        <v>369.79</v>
      </c>
    </row>
    <row r="44" spans="6:11" x14ac:dyDescent="0.35">
      <c r="F44" t="s">
        <v>56</v>
      </c>
      <c r="G44">
        <v>5399.9299999999994</v>
      </c>
      <c r="J44" t="s">
        <v>286</v>
      </c>
      <c r="K44">
        <v>369.79</v>
      </c>
    </row>
    <row r="45" spans="6:11" x14ac:dyDescent="0.35">
      <c r="F45" t="s">
        <v>60</v>
      </c>
      <c r="G45">
        <v>5199.9299999999994</v>
      </c>
      <c r="J45" t="s">
        <v>38</v>
      </c>
      <c r="K45">
        <v>379.79</v>
      </c>
    </row>
    <row r="46" spans="6:11" x14ac:dyDescent="0.35">
      <c r="F46" t="s">
        <v>189</v>
      </c>
      <c r="G46">
        <v>5199.91</v>
      </c>
      <c r="J46" t="s">
        <v>109</v>
      </c>
      <c r="K46">
        <v>379.79</v>
      </c>
    </row>
    <row r="47" spans="6:11" x14ac:dyDescent="0.35">
      <c r="F47" t="s">
        <v>29</v>
      </c>
      <c r="G47">
        <v>4999.9299999999994</v>
      </c>
      <c r="J47" t="s">
        <v>80</v>
      </c>
      <c r="K47">
        <v>402.79</v>
      </c>
    </row>
    <row r="48" spans="6:11" x14ac:dyDescent="0.35">
      <c r="F48" t="s">
        <v>162</v>
      </c>
      <c r="G48">
        <v>4999.9299999999994</v>
      </c>
      <c r="J48" t="s">
        <v>72</v>
      </c>
      <c r="K48">
        <v>416.79</v>
      </c>
    </row>
    <row r="49" spans="6:11" x14ac:dyDescent="0.35">
      <c r="F49" t="s">
        <v>143</v>
      </c>
      <c r="G49">
        <v>4999.8899999999994</v>
      </c>
      <c r="J49" t="s">
        <v>106</v>
      </c>
      <c r="K49">
        <v>416.79</v>
      </c>
    </row>
    <row r="50" spans="6:11" x14ac:dyDescent="0.35">
      <c r="F50" t="s">
        <v>119</v>
      </c>
      <c r="G50">
        <v>4999.78</v>
      </c>
      <c r="J50" t="s">
        <v>70</v>
      </c>
      <c r="K50">
        <v>416.89</v>
      </c>
    </row>
    <row r="51" spans="6:11" x14ac:dyDescent="0.35">
      <c r="F51" t="s">
        <v>117</v>
      </c>
      <c r="G51">
        <v>4999.78</v>
      </c>
      <c r="J51" t="s">
        <v>22</v>
      </c>
      <c r="K51">
        <v>428.8</v>
      </c>
    </row>
    <row r="52" spans="6:11" x14ac:dyDescent="0.35">
      <c r="F52" t="s">
        <v>43</v>
      </c>
      <c r="G52">
        <v>4599.9299999999994</v>
      </c>
      <c r="J52" t="s">
        <v>225</v>
      </c>
      <c r="K52">
        <v>429.89</v>
      </c>
    </row>
    <row r="53" spans="6:11" x14ac:dyDescent="0.35">
      <c r="F53" t="s">
        <v>194</v>
      </c>
      <c r="G53">
        <v>4599.78</v>
      </c>
      <c r="J53" t="s">
        <v>75</v>
      </c>
      <c r="K53">
        <v>439.79</v>
      </c>
    </row>
    <row r="54" spans="6:11" x14ac:dyDescent="0.35">
      <c r="F54" t="s">
        <v>183</v>
      </c>
      <c r="G54">
        <v>4499.9399999999996</v>
      </c>
      <c r="J54" t="s">
        <v>23</v>
      </c>
      <c r="K54">
        <v>448.8</v>
      </c>
    </row>
    <row r="55" spans="6:11" x14ac:dyDescent="0.35">
      <c r="F55" t="s">
        <v>198</v>
      </c>
      <c r="G55">
        <v>4499.9399999999996</v>
      </c>
      <c r="J55" t="s">
        <v>24</v>
      </c>
      <c r="K55">
        <v>448.8</v>
      </c>
    </row>
    <row r="56" spans="6:11" x14ac:dyDescent="0.35">
      <c r="F56" t="s">
        <v>135</v>
      </c>
      <c r="G56">
        <v>4499.9299999999994</v>
      </c>
      <c r="J56" t="s">
        <v>69</v>
      </c>
      <c r="K56">
        <v>449.79</v>
      </c>
    </row>
    <row r="57" spans="6:11" x14ac:dyDescent="0.35">
      <c r="F57" t="s">
        <v>157</v>
      </c>
      <c r="G57">
        <v>4499.92</v>
      </c>
      <c r="J57" t="s">
        <v>290</v>
      </c>
      <c r="K57">
        <v>449.89</v>
      </c>
    </row>
    <row r="58" spans="6:11" x14ac:dyDescent="0.35">
      <c r="F58" t="s">
        <v>147</v>
      </c>
      <c r="G58">
        <v>4499.79</v>
      </c>
      <c r="J58" t="s">
        <v>105</v>
      </c>
      <c r="K58">
        <v>449.89</v>
      </c>
    </row>
    <row r="59" spans="6:11" x14ac:dyDescent="0.35">
      <c r="F59" t="s">
        <v>178</v>
      </c>
      <c r="G59">
        <v>4399.9299999999994</v>
      </c>
      <c r="J59" t="s">
        <v>265</v>
      </c>
      <c r="K59">
        <v>459.78000000000003</v>
      </c>
    </row>
    <row r="60" spans="6:11" x14ac:dyDescent="0.35">
      <c r="F60" t="s">
        <v>144</v>
      </c>
      <c r="G60">
        <v>3599.93</v>
      </c>
      <c r="J60" t="s">
        <v>266</v>
      </c>
      <c r="K60">
        <v>459.93</v>
      </c>
    </row>
    <row r="61" spans="6:11" x14ac:dyDescent="0.35">
      <c r="F61" t="s">
        <v>13</v>
      </c>
      <c r="G61">
        <v>3599.93</v>
      </c>
      <c r="J61" t="s">
        <v>11</v>
      </c>
      <c r="K61">
        <v>469.79</v>
      </c>
    </row>
    <row r="62" spans="6:11" x14ac:dyDescent="0.35">
      <c r="F62" t="s">
        <v>142</v>
      </c>
      <c r="G62">
        <v>3599.78</v>
      </c>
      <c r="J62" t="s">
        <v>34</v>
      </c>
      <c r="K62">
        <v>469.79</v>
      </c>
    </row>
    <row r="63" spans="6:11" x14ac:dyDescent="0.35">
      <c r="F63" t="s">
        <v>181</v>
      </c>
      <c r="G63">
        <v>3499.9399999999996</v>
      </c>
      <c r="J63" t="s">
        <v>124</v>
      </c>
      <c r="K63">
        <v>469.89</v>
      </c>
    </row>
    <row r="64" spans="6:11" x14ac:dyDescent="0.35">
      <c r="F64" t="s">
        <v>16</v>
      </c>
      <c r="G64">
        <v>3361.93</v>
      </c>
      <c r="J64" t="s">
        <v>33</v>
      </c>
      <c r="K64">
        <v>469.89</v>
      </c>
    </row>
    <row r="65" spans="6:11" x14ac:dyDescent="0.35">
      <c r="F65" t="s">
        <v>203</v>
      </c>
      <c r="G65">
        <v>3299.9199999999996</v>
      </c>
      <c r="J65" t="s">
        <v>35</v>
      </c>
      <c r="K65">
        <v>469.89</v>
      </c>
    </row>
    <row r="66" spans="6:11" x14ac:dyDescent="0.35">
      <c r="F66" t="s">
        <v>32</v>
      </c>
      <c r="G66">
        <v>3265.91</v>
      </c>
      <c r="J66" t="s">
        <v>107</v>
      </c>
      <c r="K66">
        <v>470.79</v>
      </c>
    </row>
    <row r="67" spans="6:11" x14ac:dyDescent="0.35">
      <c r="F67" t="s">
        <v>138</v>
      </c>
      <c r="G67">
        <v>3199.93</v>
      </c>
      <c r="J67" t="s">
        <v>108</v>
      </c>
      <c r="K67">
        <v>470.79</v>
      </c>
    </row>
    <row r="68" spans="6:11" x14ac:dyDescent="0.35">
      <c r="F68" t="s">
        <v>173</v>
      </c>
      <c r="G68">
        <v>3199.9199999999996</v>
      </c>
      <c r="J68" t="s">
        <v>227</v>
      </c>
      <c r="K68">
        <v>479.79</v>
      </c>
    </row>
    <row r="69" spans="6:11" x14ac:dyDescent="0.35">
      <c r="F69" t="s">
        <v>112</v>
      </c>
      <c r="G69">
        <v>3199.89</v>
      </c>
      <c r="J69" t="s">
        <v>103</v>
      </c>
      <c r="K69">
        <v>481.79</v>
      </c>
    </row>
    <row r="70" spans="6:11" x14ac:dyDescent="0.35">
      <c r="F70" t="s">
        <v>61</v>
      </c>
      <c r="G70">
        <v>3119.93</v>
      </c>
      <c r="J70" t="s">
        <v>100</v>
      </c>
      <c r="K70">
        <v>489.79</v>
      </c>
    </row>
    <row r="71" spans="6:11" x14ac:dyDescent="0.35">
      <c r="F71" t="s">
        <v>148</v>
      </c>
      <c r="G71">
        <v>3099.91</v>
      </c>
      <c r="J71" t="s">
        <v>65</v>
      </c>
      <c r="K71">
        <v>489.79</v>
      </c>
    </row>
    <row r="72" spans="6:11" x14ac:dyDescent="0.35">
      <c r="F72" t="s">
        <v>141</v>
      </c>
      <c r="G72">
        <v>3099.78</v>
      </c>
      <c r="J72" t="s">
        <v>98</v>
      </c>
      <c r="K72">
        <v>489.89</v>
      </c>
    </row>
    <row r="73" spans="6:11" x14ac:dyDescent="0.35">
      <c r="F73" t="s">
        <v>15</v>
      </c>
      <c r="G73">
        <v>3097.95</v>
      </c>
      <c r="J73" t="s">
        <v>110</v>
      </c>
      <c r="K73">
        <v>489.92</v>
      </c>
    </row>
    <row r="74" spans="6:11" x14ac:dyDescent="0.35">
      <c r="F74" t="s">
        <v>161</v>
      </c>
      <c r="G74">
        <v>3097.95</v>
      </c>
      <c r="J74" t="s">
        <v>271</v>
      </c>
      <c r="K74">
        <v>489.94</v>
      </c>
    </row>
    <row r="75" spans="6:11" x14ac:dyDescent="0.35">
      <c r="F75" t="s">
        <v>165</v>
      </c>
      <c r="G75">
        <v>3097.8</v>
      </c>
      <c r="J75" t="s">
        <v>27</v>
      </c>
      <c r="K75">
        <v>499.79</v>
      </c>
    </row>
    <row r="76" spans="6:11" x14ac:dyDescent="0.35">
      <c r="F76" t="s">
        <v>196</v>
      </c>
      <c r="G76">
        <v>2999.9399999999996</v>
      </c>
      <c r="J76" t="s">
        <v>20</v>
      </c>
      <c r="K76">
        <v>529.79</v>
      </c>
    </row>
    <row r="77" spans="6:11" x14ac:dyDescent="0.35">
      <c r="F77" t="s">
        <v>136</v>
      </c>
      <c r="G77">
        <v>2999.9399999999996</v>
      </c>
      <c r="J77" t="s">
        <v>104</v>
      </c>
      <c r="K77">
        <v>533.79</v>
      </c>
    </row>
    <row r="78" spans="6:11" x14ac:dyDescent="0.35">
      <c r="F78" t="s">
        <v>49</v>
      </c>
      <c r="G78">
        <v>2999.93</v>
      </c>
      <c r="J78" t="s">
        <v>208</v>
      </c>
      <c r="K78">
        <v>539.88</v>
      </c>
    </row>
    <row r="79" spans="6:11" x14ac:dyDescent="0.35">
      <c r="F79" t="s">
        <v>131</v>
      </c>
      <c r="G79">
        <v>2999.93</v>
      </c>
      <c r="J79" t="s">
        <v>45</v>
      </c>
      <c r="K79">
        <v>539.91999999999996</v>
      </c>
    </row>
    <row r="80" spans="6:11" x14ac:dyDescent="0.35">
      <c r="F80" t="s">
        <v>195</v>
      </c>
      <c r="G80">
        <v>2999.89</v>
      </c>
      <c r="J80" t="s">
        <v>17</v>
      </c>
      <c r="K80">
        <v>549.79</v>
      </c>
    </row>
    <row r="81" spans="6:11" x14ac:dyDescent="0.35">
      <c r="F81" t="s">
        <v>40</v>
      </c>
      <c r="G81">
        <v>2999.88</v>
      </c>
      <c r="J81" t="s">
        <v>39</v>
      </c>
      <c r="K81">
        <v>549.91999999999996</v>
      </c>
    </row>
    <row r="82" spans="6:11" x14ac:dyDescent="0.35">
      <c r="F82" t="s">
        <v>42</v>
      </c>
      <c r="G82">
        <v>2939.93</v>
      </c>
      <c r="J82" t="s">
        <v>102</v>
      </c>
      <c r="K82">
        <v>551.79</v>
      </c>
    </row>
    <row r="83" spans="6:11" x14ac:dyDescent="0.35">
      <c r="F83" t="s">
        <v>47</v>
      </c>
      <c r="G83">
        <v>2819.93</v>
      </c>
      <c r="J83" t="s">
        <v>276</v>
      </c>
      <c r="K83">
        <v>559.78</v>
      </c>
    </row>
    <row r="84" spans="6:11" x14ac:dyDescent="0.35">
      <c r="F84" t="s">
        <v>188</v>
      </c>
      <c r="G84">
        <v>2799.9199999999996</v>
      </c>
      <c r="J84" t="s">
        <v>288</v>
      </c>
      <c r="K84">
        <v>559.93000000000006</v>
      </c>
    </row>
    <row r="85" spans="6:11" x14ac:dyDescent="0.35">
      <c r="F85" t="s">
        <v>160</v>
      </c>
      <c r="G85">
        <v>2697.93</v>
      </c>
      <c r="J85" t="s">
        <v>239</v>
      </c>
      <c r="K85">
        <v>559.94000000000005</v>
      </c>
    </row>
    <row r="86" spans="6:11" x14ac:dyDescent="0.35">
      <c r="F86" t="s">
        <v>10</v>
      </c>
      <c r="G86">
        <v>2641.93</v>
      </c>
      <c r="J86" t="s">
        <v>76</v>
      </c>
      <c r="K86">
        <v>599.79</v>
      </c>
    </row>
    <row r="87" spans="6:11" x14ac:dyDescent="0.35">
      <c r="F87" t="s">
        <v>192</v>
      </c>
      <c r="G87">
        <v>2599.9399999999996</v>
      </c>
      <c r="J87" t="s">
        <v>21</v>
      </c>
      <c r="K87">
        <v>599.79</v>
      </c>
    </row>
    <row r="88" spans="6:11" x14ac:dyDescent="0.35">
      <c r="F88" t="s">
        <v>156</v>
      </c>
      <c r="G88">
        <v>2299.9199999999996</v>
      </c>
      <c r="J88" t="s">
        <v>242</v>
      </c>
      <c r="K88">
        <v>599.79</v>
      </c>
    </row>
    <row r="89" spans="6:11" x14ac:dyDescent="0.35">
      <c r="F89" t="s">
        <v>82</v>
      </c>
      <c r="G89">
        <v>2199.9299999999998</v>
      </c>
      <c r="J89" t="s">
        <v>25</v>
      </c>
      <c r="K89">
        <v>599.79</v>
      </c>
    </row>
    <row r="90" spans="6:11" x14ac:dyDescent="0.35">
      <c r="F90" t="s">
        <v>180</v>
      </c>
      <c r="G90">
        <v>2199.79</v>
      </c>
      <c r="J90" t="s">
        <v>243</v>
      </c>
      <c r="K90">
        <v>599.91999999999996</v>
      </c>
    </row>
    <row r="91" spans="6:11" x14ac:dyDescent="0.35">
      <c r="F91" t="s">
        <v>58</v>
      </c>
      <c r="G91">
        <v>1999.94</v>
      </c>
      <c r="J91" t="s">
        <v>73</v>
      </c>
      <c r="K91">
        <v>619.89</v>
      </c>
    </row>
    <row r="92" spans="6:11" x14ac:dyDescent="0.35">
      <c r="F92" t="s">
        <v>31</v>
      </c>
      <c r="G92">
        <v>1999.93</v>
      </c>
      <c r="J92" t="s">
        <v>285</v>
      </c>
      <c r="K92">
        <v>639.91</v>
      </c>
    </row>
    <row r="93" spans="6:11" x14ac:dyDescent="0.35">
      <c r="F93" t="s">
        <v>8</v>
      </c>
      <c r="G93">
        <v>1999.93</v>
      </c>
      <c r="J93" t="s">
        <v>79</v>
      </c>
      <c r="K93">
        <v>647.89</v>
      </c>
    </row>
    <row r="94" spans="6:11" x14ac:dyDescent="0.35">
      <c r="F94" t="s">
        <v>30</v>
      </c>
      <c r="G94">
        <v>1999.93</v>
      </c>
      <c r="J94" t="s">
        <v>71</v>
      </c>
      <c r="K94">
        <v>659.79</v>
      </c>
    </row>
    <row r="95" spans="6:11" x14ac:dyDescent="0.35">
      <c r="F95" t="s">
        <v>28</v>
      </c>
      <c r="G95">
        <v>1999.91</v>
      </c>
      <c r="J95" t="s">
        <v>83</v>
      </c>
      <c r="K95">
        <v>659.79</v>
      </c>
    </row>
    <row r="96" spans="6:11" x14ac:dyDescent="0.35">
      <c r="F96" t="s">
        <v>115</v>
      </c>
      <c r="G96">
        <v>1999.78</v>
      </c>
      <c r="J96" t="s">
        <v>240</v>
      </c>
      <c r="K96">
        <v>659.89</v>
      </c>
    </row>
    <row r="97" spans="6:11" x14ac:dyDescent="0.35">
      <c r="F97" t="s">
        <v>125</v>
      </c>
      <c r="G97">
        <v>1898.9</v>
      </c>
      <c r="J97" t="s">
        <v>237</v>
      </c>
      <c r="K97">
        <v>699.89</v>
      </c>
    </row>
    <row r="98" spans="6:11" x14ac:dyDescent="0.35">
      <c r="F98" t="s">
        <v>158</v>
      </c>
      <c r="G98">
        <v>1898.8</v>
      </c>
      <c r="J98" t="s">
        <v>244</v>
      </c>
      <c r="K98">
        <v>749.79</v>
      </c>
    </row>
    <row r="99" spans="6:11" x14ac:dyDescent="0.35">
      <c r="F99" t="s">
        <v>177</v>
      </c>
      <c r="G99">
        <v>1839.91</v>
      </c>
      <c r="J99" t="s">
        <v>7</v>
      </c>
      <c r="K99">
        <v>749.79</v>
      </c>
    </row>
    <row r="100" spans="6:11" x14ac:dyDescent="0.35">
      <c r="F100" t="s">
        <v>211</v>
      </c>
      <c r="G100">
        <v>1799.93</v>
      </c>
      <c r="J100" t="s">
        <v>74</v>
      </c>
      <c r="K100">
        <v>749.79</v>
      </c>
    </row>
    <row r="101" spans="6:11" x14ac:dyDescent="0.35">
      <c r="F101" t="s">
        <v>246</v>
      </c>
      <c r="G101">
        <v>1799.93</v>
      </c>
      <c r="J101" t="s">
        <v>245</v>
      </c>
      <c r="K101">
        <v>749.89</v>
      </c>
    </row>
    <row r="102" spans="6:11" x14ac:dyDescent="0.35">
      <c r="F102" t="s">
        <v>252</v>
      </c>
      <c r="G102">
        <v>1799.91</v>
      </c>
      <c r="J102" t="s">
        <v>234</v>
      </c>
      <c r="K102">
        <v>749.89</v>
      </c>
    </row>
    <row r="103" spans="6:11" x14ac:dyDescent="0.35">
      <c r="F103" t="s">
        <v>235</v>
      </c>
      <c r="G103">
        <v>1799.91</v>
      </c>
      <c r="J103" t="s">
        <v>163</v>
      </c>
      <c r="K103">
        <v>749.89</v>
      </c>
    </row>
    <row r="104" spans="6:11" x14ac:dyDescent="0.35">
      <c r="F104" t="s">
        <v>133</v>
      </c>
      <c r="G104">
        <v>1799.79</v>
      </c>
      <c r="J104" t="s">
        <v>210</v>
      </c>
      <c r="K104">
        <v>749.92</v>
      </c>
    </row>
    <row r="105" spans="6:11" x14ac:dyDescent="0.35">
      <c r="F105" t="s">
        <v>248</v>
      </c>
      <c r="G105">
        <v>1799.78</v>
      </c>
      <c r="J105" t="s">
        <v>233</v>
      </c>
      <c r="K105">
        <v>749.92</v>
      </c>
    </row>
    <row r="106" spans="6:11" x14ac:dyDescent="0.35">
      <c r="F106" t="s">
        <v>53</v>
      </c>
      <c r="G106">
        <v>1751.93</v>
      </c>
      <c r="J106" t="s">
        <v>236</v>
      </c>
      <c r="K106">
        <v>749.92</v>
      </c>
    </row>
    <row r="107" spans="6:11" x14ac:dyDescent="0.35">
      <c r="F107" t="s">
        <v>46</v>
      </c>
      <c r="G107">
        <v>1739.93</v>
      </c>
      <c r="J107" t="s">
        <v>54</v>
      </c>
      <c r="K107">
        <v>749.92</v>
      </c>
    </row>
    <row r="108" spans="6:11" x14ac:dyDescent="0.35">
      <c r="F108" t="s">
        <v>232</v>
      </c>
      <c r="G108">
        <v>1699.93</v>
      </c>
      <c r="J108" t="s">
        <v>81</v>
      </c>
      <c r="K108">
        <v>761.79</v>
      </c>
    </row>
    <row r="109" spans="6:11" x14ac:dyDescent="0.35">
      <c r="F109" t="s">
        <v>36</v>
      </c>
      <c r="G109">
        <v>1665.93</v>
      </c>
      <c r="J109" t="s">
        <v>78</v>
      </c>
      <c r="K109">
        <v>799.79</v>
      </c>
    </row>
    <row r="110" spans="6:11" x14ac:dyDescent="0.35">
      <c r="F110" t="s">
        <v>37</v>
      </c>
      <c r="G110">
        <v>1665.91</v>
      </c>
      <c r="J110" t="s">
        <v>251</v>
      </c>
      <c r="K110">
        <v>799.94</v>
      </c>
    </row>
    <row r="111" spans="6:11" x14ac:dyDescent="0.35">
      <c r="F111" t="s">
        <v>78</v>
      </c>
      <c r="G111">
        <v>1599.93</v>
      </c>
      <c r="J111" t="s">
        <v>36</v>
      </c>
      <c r="K111">
        <v>832.79</v>
      </c>
    </row>
    <row r="112" spans="6:11" x14ac:dyDescent="0.35">
      <c r="F112" t="s">
        <v>81</v>
      </c>
      <c r="G112">
        <v>1523.91</v>
      </c>
      <c r="J112" t="s">
        <v>37</v>
      </c>
      <c r="K112">
        <v>832.89</v>
      </c>
    </row>
    <row r="113" spans="6:11" x14ac:dyDescent="0.35">
      <c r="F113" t="s">
        <v>7</v>
      </c>
      <c r="G113">
        <v>1499.93</v>
      </c>
      <c r="J113" t="s">
        <v>224</v>
      </c>
      <c r="K113">
        <v>859.78</v>
      </c>
    </row>
    <row r="114" spans="6:11" x14ac:dyDescent="0.35">
      <c r="F114" t="s">
        <v>74</v>
      </c>
      <c r="G114">
        <v>1499.93</v>
      </c>
      <c r="J114" t="s">
        <v>46</v>
      </c>
      <c r="K114">
        <v>869.79</v>
      </c>
    </row>
    <row r="115" spans="6:11" x14ac:dyDescent="0.35">
      <c r="F115" t="s">
        <v>210</v>
      </c>
      <c r="G115">
        <v>1499.91</v>
      </c>
      <c r="J115" t="s">
        <v>53</v>
      </c>
      <c r="K115">
        <v>875.79</v>
      </c>
    </row>
    <row r="116" spans="6:11" x14ac:dyDescent="0.35">
      <c r="F116" t="s">
        <v>233</v>
      </c>
      <c r="G116">
        <v>1499.91</v>
      </c>
      <c r="J116" t="s">
        <v>252</v>
      </c>
      <c r="K116">
        <v>899.79</v>
      </c>
    </row>
    <row r="117" spans="6:11" x14ac:dyDescent="0.35">
      <c r="F117" t="s">
        <v>54</v>
      </c>
      <c r="G117">
        <v>1499.91</v>
      </c>
      <c r="J117" t="s">
        <v>247</v>
      </c>
      <c r="K117">
        <v>899.92</v>
      </c>
    </row>
    <row r="118" spans="6:11" x14ac:dyDescent="0.35">
      <c r="F118" t="s">
        <v>163</v>
      </c>
      <c r="G118">
        <v>1499.91</v>
      </c>
      <c r="J118" t="s">
        <v>212</v>
      </c>
      <c r="K118">
        <v>909.89</v>
      </c>
    </row>
    <row r="119" spans="6:11" x14ac:dyDescent="0.35">
      <c r="F119" t="s">
        <v>113</v>
      </c>
      <c r="G119">
        <v>1499.91</v>
      </c>
      <c r="J119" t="s">
        <v>176</v>
      </c>
      <c r="K119">
        <v>919.94</v>
      </c>
    </row>
    <row r="120" spans="6:11" x14ac:dyDescent="0.35">
      <c r="F120" t="s">
        <v>129</v>
      </c>
      <c r="G120">
        <v>1499.89</v>
      </c>
      <c r="J120" t="s">
        <v>116</v>
      </c>
      <c r="K120">
        <v>939.91</v>
      </c>
    </row>
    <row r="121" spans="6:11" x14ac:dyDescent="0.35">
      <c r="F121" t="s">
        <v>234</v>
      </c>
      <c r="G121">
        <v>1499.88</v>
      </c>
      <c r="J121" t="s">
        <v>220</v>
      </c>
      <c r="K121">
        <v>959.79</v>
      </c>
    </row>
    <row r="122" spans="6:11" x14ac:dyDescent="0.35">
      <c r="F122" t="s">
        <v>236</v>
      </c>
      <c r="G122">
        <v>1499.78</v>
      </c>
      <c r="J122" t="s">
        <v>155</v>
      </c>
      <c r="K122">
        <v>959.79</v>
      </c>
    </row>
    <row r="123" spans="6:11" x14ac:dyDescent="0.35">
      <c r="F123" t="s">
        <v>121</v>
      </c>
      <c r="G123">
        <v>1498.93</v>
      </c>
      <c r="J123" t="s">
        <v>31</v>
      </c>
      <c r="K123">
        <v>999.79</v>
      </c>
    </row>
    <row r="124" spans="6:11" x14ac:dyDescent="0.35">
      <c r="F124" t="s">
        <v>114</v>
      </c>
      <c r="G124">
        <v>1469.94</v>
      </c>
      <c r="J124" t="s">
        <v>8</v>
      </c>
      <c r="K124">
        <v>999.79</v>
      </c>
    </row>
    <row r="125" spans="6:11" x14ac:dyDescent="0.35">
      <c r="F125" t="s">
        <v>237</v>
      </c>
      <c r="G125">
        <v>1399.88</v>
      </c>
      <c r="J125" t="s">
        <v>30</v>
      </c>
      <c r="K125">
        <v>999.79</v>
      </c>
    </row>
    <row r="126" spans="6:11" x14ac:dyDescent="0.35">
      <c r="F126" t="s">
        <v>221</v>
      </c>
      <c r="G126">
        <v>1359.88</v>
      </c>
      <c r="J126" t="s">
        <v>28</v>
      </c>
      <c r="K126">
        <v>999.89</v>
      </c>
    </row>
    <row r="127" spans="6:11" x14ac:dyDescent="0.35">
      <c r="F127" t="s">
        <v>71</v>
      </c>
      <c r="G127">
        <v>1319.93</v>
      </c>
      <c r="J127" t="s">
        <v>226</v>
      </c>
      <c r="K127">
        <v>1059.78</v>
      </c>
    </row>
    <row r="128" spans="6:11" x14ac:dyDescent="0.35">
      <c r="F128" t="s">
        <v>83</v>
      </c>
      <c r="G128">
        <v>1319.91</v>
      </c>
      <c r="J128" t="s">
        <v>218</v>
      </c>
      <c r="K128">
        <v>1059.9100000000001</v>
      </c>
    </row>
    <row r="129" spans="6:11" x14ac:dyDescent="0.35">
      <c r="F129" t="s">
        <v>79</v>
      </c>
      <c r="G129">
        <v>1295.93</v>
      </c>
      <c r="J129" t="s">
        <v>82</v>
      </c>
      <c r="K129">
        <v>1099.79</v>
      </c>
    </row>
    <row r="130" spans="6:11" x14ac:dyDescent="0.35">
      <c r="F130" t="s">
        <v>241</v>
      </c>
      <c r="G130">
        <v>1279.93</v>
      </c>
      <c r="J130" t="s">
        <v>140</v>
      </c>
      <c r="K130">
        <v>1099.92</v>
      </c>
    </row>
    <row r="131" spans="6:11" x14ac:dyDescent="0.35">
      <c r="F131" t="s">
        <v>214</v>
      </c>
      <c r="G131">
        <v>1279.8800000000001</v>
      </c>
      <c r="J131" t="s">
        <v>111</v>
      </c>
      <c r="K131">
        <v>1159.78</v>
      </c>
    </row>
    <row r="132" spans="6:11" x14ac:dyDescent="0.35">
      <c r="F132" t="s">
        <v>249</v>
      </c>
      <c r="G132">
        <v>1259.8000000000002</v>
      </c>
      <c r="J132" t="s">
        <v>249</v>
      </c>
      <c r="K132">
        <v>1259.8000000000002</v>
      </c>
    </row>
    <row r="133" spans="6:11" x14ac:dyDescent="0.35">
      <c r="F133" t="s">
        <v>73</v>
      </c>
      <c r="G133">
        <v>1239.9100000000001</v>
      </c>
      <c r="J133" t="s">
        <v>214</v>
      </c>
      <c r="K133">
        <v>1279.78</v>
      </c>
    </row>
    <row r="134" spans="6:11" x14ac:dyDescent="0.35">
      <c r="F134" t="s">
        <v>76</v>
      </c>
      <c r="G134">
        <v>1199.93</v>
      </c>
      <c r="J134" t="s">
        <v>241</v>
      </c>
      <c r="K134">
        <v>1279.93</v>
      </c>
    </row>
    <row r="135" spans="6:11" x14ac:dyDescent="0.35">
      <c r="F135" t="s">
        <v>21</v>
      </c>
      <c r="G135">
        <v>1199.93</v>
      </c>
      <c r="J135" t="s">
        <v>10</v>
      </c>
      <c r="K135">
        <v>1320.79</v>
      </c>
    </row>
    <row r="136" spans="6:11" x14ac:dyDescent="0.35">
      <c r="F136" t="s">
        <v>25</v>
      </c>
      <c r="G136">
        <v>1199.93</v>
      </c>
      <c r="J136" t="s">
        <v>221</v>
      </c>
      <c r="K136">
        <v>1359.88</v>
      </c>
    </row>
    <row r="137" spans="6:11" x14ac:dyDescent="0.35">
      <c r="F137" t="s">
        <v>111</v>
      </c>
      <c r="G137">
        <v>1159.78</v>
      </c>
      <c r="J137" t="s">
        <v>47</v>
      </c>
      <c r="K137">
        <v>1409.79</v>
      </c>
    </row>
    <row r="138" spans="6:11" x14ac:dyDescent="0.35">
      <c r="F138" t="s">
        <v>239</v>
      </c>
      <c r="G138">
        <v>1119.93</v>
      </c>
      <c r="J138" t="s">
        <v>42</v>
      </c>
      <c r="K138">
        <v>1469.79</v>
      </c>
    </row>
    <row r="139" spans="6:11" x14ac:dyDescent="0.35">
      <c r="F139" t="s">
        <v>102</v>
      </c>
      <c r="G139">
        <v>1103.93</v>
      </c>
      <c r="J139" t="s">
        <v>114</v>
      </c>
      <c r="K139">
        <v>1469.94</v>
      </c>
    </row>
    <row r="140" spans="6:11" x14ac:dyDescent="0.35">
      <c r="F140" t="s">
        <v>17</v>
      </c>
      <c r="G140">
        <v>1099.93</v>
      </c>
      <c r="J140" t="s">
        <v>121</v>
      </c>
      <c r="K140">
        <v>1498.93</v>
      </c>
    </row>
    <row r="141" spans="6:11" x14ac:dyDescent="0.35">
      <c r="F141" t="s">
        <v>39</v>
      </c>
      <c r="G141">
        <v>1099.93</v>
      </c>
      <c r="J141" t="s">
        <v>49</v>
      </c>
      <c r="K141">
        <v>1499.79</v>
      </c>
    </row>
    <row r="142" spans="6:11" x14ac:dyDescent="0.35">
      <c r="F142" t="s">
        <v>140</v>
      </c>
      <c r="G142">
        <v>1099.92</v>
      </c>
      <c r="J142" t="s">
        <v>40</v>
      </c>
      <c r="K142">
        <v>1499.79</v>
      </c>
    </row>
    <row r="143" spans="6:11" x14ac:dyDescent="0.35">
      <c r="F143" t="s">
        <v>45</v>
      </c>
      <c r="G143">
        <v>1079.78</v>
      </c>
      <c r="J143" t="s">
        <v>129</v>
      </c>
      <c r="K143">
        <v>1499.89</v>
      </c>
    </row>
    <row r="144" spans="6:11" x14ac:dyDescent="0.35">
      <c r="F144" t="s">
        <v>104</v>
      </c>
      <c r="G144">
        <v>1067.9100000000001</v>
      </c>
      <c r="J144" t="s">
        <v>113</v>
      </c>
      <c r="K144">
        <v>1499.91</v>
      </c>
    </row>
    <row r="145" spans="6:11" x14ac:dyDescent="0.35">
      <c r="F145" t="s">
        <v>218</v>
      </c>
      <c r="G145">
        <v>1059.93</v>
      </c>
      <c r="J145" t="s">
        <v>15</v>
      </c>
      <c r="K145">
        <v>1548.8</v>
      </c>
    </row>
    <row r="146" spans="6:11" x14ac:dyDescent="0.35">
      <c r="F146" t="s">
        <v>226</v>
      </c>
      <c r="G146">
        <v>1059.93</v>
      </c>
      <c r="J146" t="s">
        <v>165</v>
      </c>
      <c r="K146">
        <v>1548.9</v>
      </c>
    </row>
    <row r="147" spans="6:11" x14ac:dyDescent="0.35">
      <c r="F147" t="s">
        <v>20</v>
      </c>
      <c r="G147">
        <v>1059.93</v>
      </c>
      <c r="J147" t="s">
        <v>141</v>
      </c>
      <c r="K147">
        <v>1549.92</v>
      </c>
    </row>
    <row r="148" spans="6:11" x14ac:dyDescent="0.35">
      <c r="F148" t="s">
        <v>27</v>
      </c>
      <c r="G148">
        <v>999.93000000000006</v>
      </c>
      <c r="J148" t="s">
        <v>148</v>
      </c>
      <c r="K148">
        <v>1549.92</v>
      </c>
    </row>
    <row r="149" spans="6:11" x14ac:dyDescent="0.35">
      <c r="F149" t="s">
        <v>98</v>
      </c>
      <c r="G149">
        <v>979.93000000000006</v>
      </c>
      <c r="J149" t="s">
        <v>61</v>
      </c>
      <c r="K149">
        <v>1559.89</v>
      </c>
    </row>
    <row r="150" spans="6:11" x14ac:dyDescent="0.35">
      <c r="F150" t="s">
        <v>65</v>
      </c>
      <c r="G150">
        <v>979.93000000000006</v>
      </c>
      <c r="J150" t="s">
        <v>32</v>
      </c>
      <c r="K150">
        <v>1632.79</v>
      </c>
    </row>
    <row r="151" spans="6:11" x14ac:dyDescent="0.35">
      <c r="F151" t="s">
        <v>100</v>
      </c>
      <c r="G151">
        <v>979.88</v>
      </c>
      <c r="J151" t="s">
        <v>16</v>
      </c>
      <c r="K151">
        <v>1680.79</v>
      </c>
    </row>
    <row r="152" spans="6:11" x14ac:dyDescent="0.35">
      <c r="F152" t="s">
        <v>103</v>
      </c>
      <c r="G152">
        <v>963.91</v>
      </c>
      <c r="J152" t="s">
        <v>232</v>
      </c>
      <c r="K152">
        <v>1699.93</v>
      </c>
    </row>
    <row r="153" spans="6:11" x14ac:dyDescent="0.35">
      <c r="F153" t="s">
        <v>220</v>
      </c>
      <c r="G153">
        <v>959.79</v>
      </c>
      <c r="J153" t="s">
        <v>248</v>
      </c>
      <c r="K153">
        <v>1799.78</v>
      </c>
    </row>
    <row r="154" spans="6:11" x14ac:dyDescent="0.35">
      <c r="F154" t="s">
        <v>155</v>
      </c>
      <c r="G154">
        <v>959.79</v>
      </c>
      <c r="J154" t="s">
        <v>211</v>
      </c>
      <c r="K154">
        <v>1799.78</v>
      </c>
    </row>
    <row r="155" spans="6:11" x14ac:dyDescent="0.35">
      <c r="F155" t="s">
        <v>108</v>
      </c>
      <c r="G155">
        <v>941.93000000000006</v>
      </c>
      <c r="J155" t="s">
        <v>133</v>
      </c>
      <c r="K155">
        <v>1799.79</v>
      </c>
    </row>
    <row r="156" spans="6:11" x14ac:dyDescent="0.35">
      <c r="F156" t="s">
        <v>107</v>
      </c>
      <c r="G156">
        <v>941.88</v>
      </c>
      <c r="J156" t="s">
        <v>13</v>
      </c>
      <c r="K156">
        <v>1799.79</v>
      </c>
    </row>
    <row r="157" spans="6:11" x14ac:dyDescent="0.35">
      <c r="F157" t="s">
        <v>11</v>
      </c>
      <c r="G157">
        <v>939.93000000000006</v>
      </c>
      <c r="J157" t="s">
        <v>246</v>
      </c>
      <c r="K157">
        <v>1799.88</v>
      </c>
    </row>
    <row r="158" spans="6:11" x14ac:dyDescent="0.35">
      <c r="F158" t="s">
        <v>35</v>
      </c>
      <c r="G158">
        <v>939.93000000000006</v>
      </c>
      <c r="J158" t="s">
        <v>235</v>
      </c>
      <c r="K158">
        <v>1799.88</v>
      </c>
    </row>
    <row r="159" spans="6:11" x14ac:dyDescent="0.35">
      <c r="F159" t="s">
        <v>116</v>
      </c>
      <c r="G159">
        <v>939.91</v>
      </c>
      <c r="J159" t="s">
        <v>177</v>
      </c>
      <c r="K159">
        <v>1839.91</v>
      </c>
    </row>
    <row r="160" spans="6:11" x14ac:dyDescent="0.35">
      <c r="F160" t="s">
        <v>124</v>
      </c>
      <c r="G160">
        <v>939.88</v>
      </c>
      <c r="J160" t="s">
        <v>158</v>
      </c>
      <c r="K160">
        <v>1898.8</v>
      </c>
    </row>
    <row r="161" spans="6:11" x14ac:dyDescent="0.35">
      <c r="F161" t="s">
        <v>34</v>
      </c>
      <c r="G161">
        <v>939.88</v>
      </c>
      <c r="J161" t="s">
        <v>125</v>
      </c>
      <c r="K161">
        <v>1898.9</v>
      </c>
    </row>
    <row r="162" spans="6:11" x14ac:dyDescent="0.35">
      <c r="F162" t="s">
        <v>33</v>
      </c>
      <c r="G162">
        <v>939.88</v>
      </c>
      <c r="J162" t="s">
        <v>115</v>
      </c>
      <c r="K162">
        <v>1999.78</v>
      </c>
    </row>
    <row r="163" spans="6:11" x14ac:dyDescent="0.35">
      <c r="F163" t="s">
        <v>176</v>
      </c>
      <c r="G163">
        <v>919.94</v>
      </c>
      <c r="J163" t="s">
        <v>58</v>
      </c>
      <c r="K163">
        <v>1999.89</v>
      </c>
    </row>
    <row r="164" spans="6:11" x14ac:dyDescent="0.35">
      <c r="F164" t="s">
        <v>212</v>
      </c>
      <c r="G164">
        <v>909.92</v>
      </c>
      <c r="J164" t="s">
        <v>180</v>
      </c>
      <c r="K164">
        <v>2199.79</v>
      </c>
    </row>
    <row r="165" spans="6:11" x14ac:dyDescent="0.35">
      <c r="F165" t="s">
        <v>69</v>
      </c>
      <c r="G165">
        <v>899.93000000000006</v>
      </c>
      <c r="J165" t="s">
        <v>194</v>
      </c>
      <c r="K165">
        <v>2299.79</v>
      </c>
    </row>
    <row r="166" spans="6:11" x14ac:dyDescent="0.35">
      <c r="F166" t="s">
        <v>105</v>
      </c>
      <c r="G166">
        <v>899.93000000000006</v>
      </c>
      <c r="J166" t="s">
        <v>156</v>
      </c>
      <c r="K166">
        <v>2299.9199999999996</v>
      </c>
    </row>
    <row r="167" spans="6:11" x14ac:dyDescent="0.35">
      <c r="F167" t="s">
        <v>247</v>
      </c>
      <c r="G167">
        <v>899.92</v>
      </c>
      <c r="J167" t="s">
        <v>43</v>
      </c>
      <c r="K167">
        <v>2299.9199999999996</v>
      </c>
    </row>
    <row r="168" spans="6:11" x14ac:dyDescent="0.35">
      <c r="F168" t="s">
        <v>23</v>
      </c>
      <c r="G168">
        <v>897.95</v>
      </c>
      <c r="J168" t="s">
        <v>29</v>
      </c>
      <c r="K168">
        <v>2499.79</v>
      </c>
    </row>
    <row r="169" spans="6:11" x14ac:dyDescent="0.35">
      <c r="F169" t="s">
        <v>24</v>
      </c>
      <c r="G169">
        <v>897.95</v>
      </c>
      <c r="J169" t="s">
        <v>192</v>
      </c>
      <c r="K169">
        <v>2599.79</v>
      </c>
    </row>
    <row r="170" spans="6:11" x14ac:dyDescent="0.35">
      <c r="F170" t="s">
        <v>75</v>
      </c>
      <c r="G170">
        <v>879.93000000000006</v>
      </c>
      <c r="J170" t="s">
        <v>60</v>
      </c>
      <c r="K170">
        <v>2599.79</v>
      </c>
    </row>
    <row r="171" spans="6:11" x14ac:dyDescent="0.35">
      <c r="F171" t="s">
        <v>225</v>
      </c>
      <c r="G171">
        <v>859.93000000000006</v>
      </c>
      <c r="J171" t="s">
        <v>189</v>
      </c>
      <c r="K171">
        <v>2599.9399999999996</v>
      </c>
    </row>
    <row r="172" spans="6:11" x14ac:dyDescent="0.35">
      <c r="F172" t="s">
        <v>224</v>
      </c>
      <c r="G172">
        <v>859.78</v>
      </c>
      <c r="J172" t="s">
        <v>160</v>
      </c>
      <c r="K172">
        <v>2697.93</v>
      </c>
    </row>
    <row r="173" spans="6:11" x14ac:dyDescent="0.35">
      <c r="F173" t="s">
        <v>22</v>
      </c>
      <c r="G173">
        <v>857.95</v>
      </c>
      <c r="J173" t="s">
        <v>56</v>
      </c>
      <c r="K173">
        <v>2699.9199999999996</v>
      </c>
    </row>
    <row r="174" spans="6:11" x14ac:dyDescent="0.35">
      <c r="F174" t="s">
        <v>72</v>
      </c>
      <c r="G174">
        <v>833.93000000000006</v>
      </c>
      <c r="J174" t="s">
        <v>188</v>
      </c>
      <c r="K174">
        <v>2799.9199999999996</v>
      </c>
    </row>
    <row r="175" spans="6:11" x14ac:dyDescent="0.35">
      <c r="F175" t="s">
        <v>70</v>
      </c>
      <c r="G175">
        <v>833.93000000000006</v>
      </c>
      <c r="J175" t="s">
        <v>9</v>
      </c>
      <c r="K175">
        <v>2899.79</v>
      </c>
    </row>
    <row r="176" spans="6:11" x14ac:dyDescent="0.35">
      <c r="F176" t="s">
        <v>106</v>
      </c>
      <c r="G176">
        <v>833.93000000000006</v>
      </c>
      <c r="J176" t="s">
        <v>195</v>
      </c>
      <c r="K176">
        <v>2999.79</v>
      </c>
    </row>
    <row r="177" spans="6:11" x14ac:dyDescent="0.35">
      <c r="F177" t="s">
        <v>80</v>
      </c>
      <c r="G177">
        <v>805.91</v>
      </c>
      <c r="J177" t="s">
        <v>14</v>
      </c>
      <c r="K177">
        <v>2999.79</v>
      </c>
    </row>
    <row r="178" spans="6:11" x14ac:dyDescent="0.35">
      <c r="F178" t="s">
        <v>251</v>
      </c>
      <c r="G178">
        <v>799.94</v>
      </c>
      <c r="J178" t="s">
        <v>196</v>
      </c>
      <c r="K178">
        <v>2999.89</v>
      </c>
    </row>
    <row r="179" spans="6:11" x14ac:dyDescent="0.35">
      <c r="F179" t="s">
        <v>109</v>
      </c>
      <c r="G179">
        <v>759.93000000000006</v>
      </c>
      <c r="J179" t="s">
        <v>131</v>
      </c>
      <c r="K179">
        <v>2999.93</v>
      </c>
    </row>
    <row r="180" spans="6:11" x14ac:dyDescent="0.35">
      <c r="F180" t="s">
        <v>38</v>
      </c>
      <c r="G180">
        <v>759.91</v>
      </c>
      <c r="J180" t="s">
        <v>136</v>
      </c>
      <c r="K180">
        <v>2999.9399999999996</v>
      </c>
    </row>
    <row r="181" spans="6:11" x14ac:dyDescent="0.35">
      <c r="F181" t="s">
        <v>245</v>
      </c>
      <c r="G181">
        <v>749.89</v>
      </c>
      <c r="J181" t="s">
        <v>161</v>
      </c>
      <c r="K181">
        <v>3097.95</v>
      </c>
    </row>
    <row r="182" spans="6:11" x14ac:dyDescent="0.35">
      <c r="F182" t="s">
        <v>244</v>
      </c>
      <c r="G182">
        <v>749.79</v>
      </c>
      <c r="J182" t="s">
        <v>138</v>
      </c>
      <c r="K182">
        <v>3199.78</v>
      </c>
    </row>
    <row r="183" spans="6:11" x14ac:dyDescent="0.35">
      <c r="F183" t="s">
        <v>282</v>
      </c>
      <c r="G183">
        <v>739.93000000000006</v>
      </c>
      <c r="J183" t="s">
        <v>55</v>
      </c>
      <c r="K183">
        <v>3199.79</v>
      </c>
    </row>
    <row r="184" spans="6:11" x14ac:dyDescent="0.35">
      <c r="F184" t="s">
        <v>96</v>
      </c>
      <c r="G184">
        <v>699.93000000000006</v>
      </c>
      <c r="J184" t="s">
        <v>112</v>
      </c>
      <c r="K184">
        <v>3199.89</v>
      </c>
    </row>
    <row r="185" spans="6:11" x14ac:dyDescent="0.35">
      <c r="F185" t="s">
        <v>92</v>
      </c>
      <c r="G185">
        <v>699.93000000000006</v>
      </c>
      <c r="J185" t="s">
        <v>172</v>
      </c>
      <c r="K185">
        <v>3199.9199999999996</v>
      </c>
    </row>
    <row r="186" spans="6:11" x14ac:dyDescent="0.35">
      <c r="F186" t="s">
        <v>97</v>
      </c>
      <c r="G186">
        <v>699.88</v>
      </c>
      <c r="J186" t="s">
        <v>173</v>
      </c>
      <c r="K186">
        <v>3199.9199999999996</v>
      </c>
    </row>
    <row r="187" spans="6:11" x14ac:dyDescent="0.35">
      <c r="F187" t="s">
        <v>66</v>
      </c>
      <c r="G187">
        <v>693.93000000000006</v>
      </c>
      <c r="J187" t="s">
        <v>169</v>
      </c>
      <c r="K187">
        <v>3199.9399999999996</v>
      </c>
    </row>
    <row r="188" spans="6:11" x14ac:dyDescent="0.35">
      <c r="F188" t="s">
        <v>101</v>
      </c>
      <c r="G188">
        <v>679.93000000000006</v>
      </c>
      <c r="J188" t="s">
        <v>203</v>
      </c>
      <c r="K188">
        <v>3299.9199999999996</v>
      </c>
    </row>
    <row r="189" spans="6:11" x14ac:dyDescent="0.35">
      <c r="F189" t="s">
        <v>240</v>
      </c>
      <c r="G189">
        <v>659.89</v>
      </c>
      <c r="J189" t="s">
        <v>64</v>
      </c>
      <c r="K189">
        <v>3499.79</v>
      </c>
    </row>
    <row r="190" spans="6:11" x14ac:dyDescent="0.35">
      <c r="F190" t="s">
        <v>86</v>
      </c>
      <c r="G190">
        <v>659.88</v>
      </c>
      <c r="J190" t="s">
        <v>191</v>
      </c>
      <c r="K190">
        <v>3499.79</v>
      </c>
    </row>
    <row r="191" spans="6:11" x14ac:dyDescent="0.35">
      <c r="F191" t="s">
        <v>222</v>
      </c>
      <c r="G191">
        <v>639.93000000000006</v>
      </c>
      <c r="J191" t="s">
        <v>63</v>
      </c>
      <c r="K191">
        <v>3499.9199999999996</v>
      </c>
    </row>
    <row r="192" spans="6:11" x14ac:dyDescent="0.35">
      <c r="F192" t="s">
        <v>285</v>
      </c>
      <c r="G192">
        <v>639.93000000000006</v>
      </c>
      <c r="J192" t="s">
        <v>185</v>
      </c>
      <c r="K192">
        <v>3499.9199999999996</v>
      </c>
    </row>
    <row r="193" spans="6:11" x14ac:dyDescent="0.35">
      <c r="F193" t="s">
        <v>243</v>
      </c>
      <c r="G193">
        <v>599.94000000000005</v>
      </c>
      <c r="J193" t="s">
        <v>50</v>
      </c>
      <c r="K193">
        <v>3499.9399999999996</v>
      </c>
    </row>
    <row r="194" spans="6:11" x14ac:dyDescent="0.35">
      <c r="F194" t="s">
        <v>26</v>
      </c>
      <c r="G194">
        <v>599.93000000000006</v>
      </c>
      <c r="J194" t="s">
        <v>181</v>
      </c>
      <c r="K194">
        <v>3499.9399999999996</v>
      </c>
    </row>
    <row r="195" spans="6:11" x14ac:dyDescent="0.35">
      <c r="F195" t="s">
        <v>77</v>
      </c>
      <c r="G195">
        <v>599.93000000000006</v>
      </c>
      <c r="J195" t="s">
        <v>142</v>
      </c>
      <c r="K195">
        <v>3599.78</v>
      </c>
    </row>
    <row r="196" spans="6:11" x14ac:dyDescent="0.35">
      <c r="F196" t="s">
        <v>99</v>
      </c>
      <c r="G196">
        <v>599.88</v>
      </c>
      <c r="J196" t="s">
        <v>201</v>
      </c>
      <c r="K196">
        <v>3599.79</v>
      </c>
    </row>
    <row r="197" spans="6:11" x14ac:dyDescent="0.35">
      <c r="F197" t="s">
        <v>242</v>
      </c>
      <c r="G197">
        <v>599.79</v>
      </c>
      <c r="J197" t="s">
        <v>144</v>
      </c>
      <c r="K197">
        <v>3599.93</v>
      </c>
    </row>
    <row r="198" spans="6:11" x14ac:dyDescent="0.35">
      <c r="F198" t="s">
        <v>287</v>
      </c>
      <c r="G198">
        <v>559.93000000000006</v>
      </c>
      <c r="J198" t="s">
        <v>12</v>
      </c>
      <c r="K198">
        <v>3999.79</v>
      </c>
    </row>
    <row r="199" spans="6:11" x14ac:dyDescent="0.35">
      <c r="F199" t="s">
        <v>288</v>
      </c>
      <c r="G199">
        <v>559.93000000000006</v>
      </c>
      <c r="J199" t="s">
        <v>204</v>
      </c>
      <c r="K199">
        <v>3999.89</v>
      </c>
    </row>
    <row r="200" spans="6:11" x14ac:dyDescent="0.35">
      <c r="F200" t="s">
        <v>276</v>
      </c>
      <c r="G200">
        <v>559.78</v>
      </c>
      <c r="J200" t="s">
        <v>178</v>
      </c>
      <c r="K200">
        <v>4399.91</v>
      </c>
    </row>
    <row r="201" spans="6:11" x14ac:dyDescent="0.35">
      <c r="F201" t="s">
        <v>208</v>
      </c>
      <c r="G201">
        <v>539.93000000000006</v>
      </c>
      <c r="J201" t="s">
        <v>147</v>
      </c>
      <c r="K201">
        <v>4499.79</v>
      </c>
    </row>
    <row r="202" spans="6:11" x14ac:dyDescent="0.35">
      <c r="F202" t="s">
        <v>18</v>
      </c>
      <c r="G202">
        <v>539.93000000000006</v>
      </c>
      <c r="J202" t="s">
        <v>157</v>
      </c>
      <c r="K202">
        <v>4499.8899999999994</v>
      </c>
    </row>
    <row r="203" spans="6:11" x14ac:dyDescent="0.35">
      <c r="F203" t="s">
        <v>19</v>
      </c>
      <c r="G203">
        <v>539.93000000000006</v>
      </c>
      <c r="J203" t="s">
        <v>135</v>
      </c>
      <c r="K203">
        <v>4499.9299999999994</v>
      </c>
    </row>
    <row r="204" spans="6:11" x14ac:dyDescent="0.35">
      <c r="F204" t="s">
        <v>67</v>
      </c>
      <c r="G204">
        <v>501.93</v>
      </c>
      <c r="J204" t="s">
        <v>183</v>
      </c>
      <c r="K204">
        <v>4499.9399999999996</v>
      </c>
    </row>
    <row r="205" spans="6:11" x14ac:dyDescent="0.35">
      <c r="F205" t="s">
        <v>68</v>
      </c>
      <c r="G205">
        <v>501.93</v>
      </c>
      <c r="J205" t="s">
        <v>198</v>
      </c>
      <c r="K205">
        <v>4499.9399999999996</v>
      </c>
    </row>
    <row r="206" spans="6:11" x14ac:dyDescent="0.35">
      <c r="F206" t="s">
        <v>95</v>
      </c>
      <c r="G206">
        <v>499.93</v>
      </c>
      <c r="J206" t="s">
        <v>119</v>
      </c>
      <c r="K206">
        <v>4999.78</v>
      </c>
    </row>
    <row r="207" spans="6:11" x14ac:dyDescent="0.35">
      <c r="F207" t="s">
        <v>271</v>
      </c>
      <c r="G207">
        <v>489.94</v>
      </c>
      <c r="J207" t="s">
        <v>117</v>
      </c>
      <c r="K207">
        <v>4999.78</v>
      </c>
    </row>
    <row r="208" spans="6:11" x14ac:dyDescent="0.35">
      <c r="F208" t="s">
        <v>110</v>
      </c>
      <c r="G208">
        <v>489.92</v>
      </c>
      <c r="J208" t="s">
        <v>143</v>
      </c>
      <c r="K208">
        <v>4999.79</v>
      </c>
    </row>
    <row r="209" spans="6:11" x14ac:dyDescent="0.35">
      <c r="F209" t="s">
        <v>227</v>
      </c>
      <c r="G209">
        <v>479.79</v>
      </c>
      <c r="J209" t="s">
        <v>59</v>
      </c>
      <c r="K209">
        <v>4999.79</v>
      </c>
    </row>
    <row r="210" spans="6:11" x14ac:dyDescent="0.35">
      <c r="F210" t="s">
        <v>266</v>
      </c>
      <c r="G210">
        <v>459.93</v>
      </c>
      <c r="J210" t="s">
        <v>150</v>
      </c>
      <c r="K210">
        <v>4999.8899999999994</v>
      </c>
    </row>
    <row r="211" spans="6:11" x14ac:dyDescent="0.35">
      <c r="F211" t="s">
        <v>265</v>
      </c>
      <c r="G211">
        <v>459.88</v>
      </c>
      <c r="J211" t="s">
        <v>41</v>
      </c>
      <c r="K211">
        <v>4999.8899999999994</v>
      </c>
    </row>
    <row r="212" spans="6:11" x14ac:dyDescent="0.35">
      <c r="F212" t="s">
        <v>290</v>
      </c>
      <c r="G212">
        <v>449.89</v>
      </c>
      <c r="J212" t="s">
        <v>62</v>
      </c>
      <c r="K212">
        <v>4999.8899999999994</v>
      </c>
    </row>
    <row r="213" spans="6:11" x14ac:dyDescent="0.35">
      <c r="F213" t="s">
        <v>94</v>
      </c>
      <c r="G213">
        <v>419.93</v>
      </c>
      <c r="J213" t="s">
        <v>162</v>
      </c>
      <c r="K213">
        <v>4999.9299999999994</v>
      </c>
    </row>
    <row r="214" spans="6:11" x14ac:dyDescent="0.35">
      <c r="F214" t="s">
        <v>93</v>
      </c>
      <c r="G214">
        <v>419.91</v>
      </c>
      <c r="J214" t="s">
        <v>200</v>
      </c>
      <c r="K214">
        <v>4999.9399999999996</v>
      </c>
    </row>
    <row r="215" spans="6:11" x14ac:dyDescent="0.35">
      <c r="F215" t="s">
        <v>90</v>
      </c>
      <c r="G215">
        <v>419.88</v>
      </c>
      <c r="J215" t="s">
        <v>44</v>
      </c>
      <c r="K215">
        <v>5299.79</v>
      </c>
    </row>
    <row r="216" spans="6:11" x14ac:dyDescent="0.35">
      <c r="F216" t="s">
        <v>91</v>
      </c>
      <c r="G216">
        <v>419.88</v>
      </c>
      <c r="J216" t="s">
        <v>48</v>
      </c>
      <c r="K216">
        <v>5299.92</v>
      </c>
    </row>
    <row r="217" spans="6:11" x14ac:dyDescent="0.35">
      <c r="F217" t="s">
        <v>89</v>
      </c>
      <c r="G217">
        <v>379.91</v>
      </c>
      <c r="J217" t="s">
        <v>145</v>
      </c>
      <c r="K217">
        <v>5499.79</v>
      </c>
    </row>
    <row r="218" spans="6:11" x14ac:dyDescent="0.35">
      <c r="F218" t="s">
        <v>88</v>
      </c>
      <c r="G218">
        <v>379.78000000000003</v>
      </c>
      <c r="J218" t="s">
        <v>57</v>
      </c>
      <c r="K218">
        <v>5499.8899999999994</v>
      </c>
    </row>
    <row r="219" spans="6:11" x14ac:dyDescent="0.35">
      <c r="F219" t="s">
        <v>286</v>
      </c>
      <c r="G219">
        <v>369.79</v>
      </c>
      <c r="J219" t="s">
        <v>186</v>
      </c>
      <c r="K219">
        <v>5599.78</v>
      </c>
    </row>
    <row r="220" spans="6:11" x14ac:dyDescent="0.35">
      <c r="F220" t="s">
        <v>216</v>
      </c>
      <c r="G220">
        <v>319.94</v>
      </c>
      <c r="J220" t="s">
        <v>187</v>
      </c>
      <c r="K220">
        <v>5599.91</v>
      </c>
    </row>
    <row r="221" spans="6:11" x14ac:dyDescent="0.35">
      <c r="F221" t="s">
        <v>273</v>
      </c>
      <c r="G221">
        <v>319.92</v>
      </c>
      <c r="J221" t="s">
        <v>190</v>
      </c>
      <c r="K221">
        <v>5599.9299999999994</v>
      </c>
    </row>
    <row r="222" spans="6:11" x14ac:dyDescent="0.35">
      <c r="F222" t="s">
        <v>267</v>
      </c>
      <c r="G222">
        <v>319.92</v>
      </c>
      <c r="J222" t="s">
        <v>51</v>
      </c>
      <c r="K222">
        <v>5999.79</v>
      </c>
    </row>
    <row r="223" spans="6:11" x14ac:dyDescent="0.35">
      <c r="F223" t="s">
        <v>270</v>
      </c>
      <c r="G223">
        <v>319.79000000000002</v>
      </c>
      <c r="J223" t="s">
        <v>159</v>
      </c>
      <c r="K223">
        <v>5999.8799999999992</v>
      </c>
    </row>
    <row r="224" spans="6:11" x14ac:dyDescent="0.35">
      <c r="F224" t="s">
        <v>84</v>
      </c>
      <c r="G224">
        <v>299.93</v>
      </c>
      <c r="J224" t="s">
        <v>206</v>
      </c>
      <c r="K224">
        <v>5999.91</v>
      </c>
    </row>
    <row r="225" spans="6:11" x14ac:dyDescent="0.35">
      <c r="F225" t="s">
        <v>87</v>
      </c>
      <c r="G225">
        <v>299.91000000000003</v>
      </c>
      <c r="J225" t="s">
        <v>139</v>
      </c>
      <c r="K225">
        <v>6399.91</v>
      </c>
    </row>
    <row r="226" spans="6:11" x14ac:dyDescent="0.35">
      <c r="F226" t="s">
        <v>272</v>
      </c>
      <c r="G226">
        <v>279.94</v>
      </c>
      <c r="J226" t="s">
        <v>153</v>
      </c>
      <c r="K226">
        <v>6499.8899999999994</v>
      </c>
    </row>
    <row r="227" spans="6:11" x14ac:dyDescent="0.35">
      <c r="F227" t="s">
        <v>255</v>
      </c>
      <c r="G227">
        <v>249.92000000000002</v>
      </c>
      <c r="J227" t="s">
        <v>52</v>
      </c>
      <c r="K227">
        <v>6499.8899999999994</v>
      </c>
    </row>
    <row r="228" spans="6:11" x14ac:dyDescent="0.35">
      <c r="F228" t="s">
        <v>85</v>
      </c>
      <c r="G228">
        <v>219.92999999999998</v>
      </c>
      <c r="J228" t="s">
        <v>137</v>
      </c>
      <c r="K228">
        <v>9999.7799999999988</v>
      </c>
    </row>
    <row r="229" spans="6:11" x14ac:dyDescent="0.35">
      <c r="F229" t="s">
        <v>262</v>
      </c>
      <c r="G229">
        <v>209.89000000000001</v>
      </c>
      <c r="J229" t="s">
        <v>202</v>
      </c>
      <c r="K229">
        <v>9999.8799999999992</v>
      </c>
    </row>
    <row r="230" spans="6:11" x14ac:dyDescent="0.35">
      <c r="F230" t="s">
        <v>260</v>
      </c>
      <c r="G230">
        <v>199.94</v>
      </c>
      <c r="J230" t="s">
        <v>152</v>
      </c>
      <c r="K230">
        <v>11999.92</v>
      </c>
    </row>
    <row r="231" spans="6:11" x14ac:dyDescent="0.35">
      <c r="F231" t="s">
        <v>254</v>
      </c>
      <c r="G231">
        <v>89.789999999999992</v>
      </c>
      <c r="J231" t="s">
        <v>166</v>
      </c>
      <c r="K231">
        <v>12999.91</v>
      </c>
    </row>
    <row r="232" spans="6:11" x14ac:dyDescent="0.35">
      <c r="F232" s="6" t="s">
        <v>5572</v>
      </c>
      <c r="G232" s="6">
        <v>23999.88</v>
      </c>
      <c r="J232" s="6" t="s">
        <v>5571</v>
      </c>
      <c r="K232" s="6">
        <v>89.789999999999992</v>
      </c>
    </row>
    <row r="233" spans="6:11" x14ac:dyDescent="0.35">
      <c r="F233" s="6" t="s">
        <v>307</v>
      </c>
      <c r="G233" s="6">
        <f>SUM(G9:G231)</f>
        <v>611190.62000000267</v>
      </c>
      <c r="J233" s="6" t="s">
        <v>307</v>
      </c>
      <c r="K233" s="6">
        <f>SUM(K9:K231)</f>
        <v>422064.57000000007</v>
      </c>
    </row>
  </sheetData>
  <autoFilter ref="J8:K8" xr:uid="{52660EBA-E604-4D90-AA62-0987CC5791E0}">
    <sortState xmlns:xlrd2="http://schemas.microsoft.com/office/spreadsheetml/2017/richdata2" ref="J9:K232">
      <sortCondition ref="K8"/>
    </sortState>
  </autoFilter>
  <mergeCells count="2">
    <mergeCell ref="F7:G7"/>
    <mergeCell ref="J7:K7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C952CD-C13F-42CC-BE17-4B58753CD28B}">
  <dimension ref="A1:V1616"/>
  <sheetViews>
    <sheetView topLeftCell="P1" workbookViewId="0">
      <selection activeCell="V1" sqref="V1"/>
    </sheetView>
  </sheetViews>
  <sheetFormatPr defaultRowHeight="14.5" x14ac:dyDescent="0.35"/>
  <cols>
    <col min="1" max="1" width="8.36328125" style="1" bestFit="1" customWidth="1"/>
    <col min="2" max="2" width="11.26953125" style="1" bestFit="1" customWidth="1"/>
    <col min="3" max="3" width="11" style="14" bestFit="1" customWidth="1"/>
    <col min="4" max="4" width="10.90625" style="14" bestFit="1" customWidth="1"/>
    <col min="5" max="5" width="13.26953125" bestFit="1" customWidth="1"/>
    <col min="6" max="6" width="32.453125" bestFit="1" customWidth="1"/>
    <col min="7" max="7" width="28.54296875" bestFit="1" customWidth="1"/>
    <col min="8" max="8" width="20" style="14" bestFit="1" customWidth="1"/>
    <col min="9" max="9" width="5.08984375" style="14" bestFit="1" customWidth="1"/>
    <col min="10" max="10" width="8.36328125" style="1" bestFit="1" customWidth="1"/>
    <col min="11" max="11" width="7.36328125" style="1" bestFit="1" customWidth="1"/>
    <col min="12" max="12" width="25" style="1" customWidth="1"/>
    <col min="13" max="13" width="16.90625" style="1" customWidth="1"/>
    <col min="14" max="14" width="7.7265625" style="1" bestFit="1" customWidth="1"/>
    <col min="15" max="15" width="7.1796875" style="1" bestFit="1" customWidth="1"/>
    <col min="16" max="16" width="8.1796875" style="1" bestFit="1" customWidth="1"/>
    <col min="17" max="17" width="8.81640625" style="1" bestFit="1" customWidth="1"/>
    <col min="18" max="18" width="8.1796875" style="17" bestFit="1" customWidth="1"/>
    <col min="19" max="19" width="10.08984375" style="1" bestFit="1" customWidth="1"/>
    <col min="20" max="20" width="47.36328125" bestFit="1" customWidth="1"/>
    <col min="21" max="21" width="16.36328125" style="14" bestFit="1" customWidth="1"/>
    <col min="22" max="22" width="10.36328125" style="10" bestFit="1" customWidth="1"/>
  </cols>
  <sheetData>
    <row r="1" spans="1:22" x14ac:dyDescent="0.35">
      <c r="A1" s="11" t="s">
        <v>312</v>
      </c>
      <c r="B1" s="11" t="s">
        <v>319</v>
      </c>
      <c r="C1" s="12" t="s">
        <v>322</v>
      </c>
      <c r="D1" s="12" t="s">
        <v>323</v>
      </c>
      <c r="E1" s="8" t="s">
        <v>2301</v>
      </c>
      <c r="F1" s="8" t="s">
        <v>2296</v>
      </c>
      <c r="G1" s="8" t="s">
        <v>2297</v>
      </c>
      <c r="H1" s="12" t="s">
        <v>2298</v>
      </c>
      <c r="I1" s="12" t="s">
        <v>2299</v>
      </c>
      <c r="J1" s="11" t="s">
        <v>2300</v>
      </c>
      <c r="K1" s="11" t="s">
        <v>313</v>
      </c>
      <c r="L1" s="11" t="s">
        <v>314</v>
      </c>
      <c r="M1" s="11" t="s">
        <v>5</v>
      </c>
      <c r="N1" s="11" t="s">
        <v>320</v>
      </c>
      <c r="O1" s="11" t="s">
        <v>321</v>
      </c>
      <c r="P1" s="11" t="s">
        <v>315</v>
      </c>
      <c r="Q1" s="20" t="s">
        <v>316</v>
      </c>
      <c r="R1" s="15" t="s">
        <v>317</v>
      </c>
      <c r="S1" s="11" t="s">
        <v>318</v>
      </c>
      <c r="T1" s="8" t="s">
        <v>308</v>
      </c>
      <c r="U1" s="12" t="s">
        <v>309</v>
      </c>
      <c r="V1" s="10" t="s">
        <v>5573</v>
      </c>
    </row>
    <row r="2" spans="1:22" x14ac:dyDescent="0.35">
      <c r="A2" s="4">
        <v>1</v>
      </c>
      <c r="B2" s="4">
        <v>259</v>
      </c>
      <c r="C2" s="13" t="s">
        <v>324</v>
      </c>
      <c r="D2" s="13" t="s">
        <v>325</v>
      </c>
      <c r="E2" s="5" t="s">
        <v>5566</v>
      </c>
      <c r="F2" s="5" t="s">
        <v>2302</v>
      </c>
      <c r="G2" s="5" t="s">
        <v>2303</v>
      </c>
      <c r="H2" s="13" t="s">
        <v>2304</v>
      </c>
      <c r="I2" s="13" t="s">
        <v>2305</v>
      </c>
      <c r="J2" s="4">
        <v>94566</v>
      </c>
      <c r="K2" s="4">
        <v>1</v>
      </c>
      <c r="L2" s="4">
        <v>20</v>
      </c>
      <c r="M2" s="4">
        <v>2016</v>
      </c>
      <c r="N2" s="4">
        <v>1</v>
      </c>
      <c r="O2" s="4">
        <v>2</v>
      </c>
      <c r="P2" s="4">
        <v>1</v>
      </c>
      <c r="Q2" s="19">
        <v>599.99</v>
      </c>
      <c r="R2" s="16">
        <v>0.2</v>
      </c>
      <c r="S2" s="16">
        <v>599.79</v>
      </c>
      <c r="T2" s="5" t="s">
        <v>25</v>
      </c>
      <c r="U2" s="13" t="s">
        <v>301</v>
      </c>
    </row>
    <row r="3" spans="1:22" x14ac:dyDescent="0.35">
      <c r="A3" s="4">
        <v>2</v>
      </c>
      <c r="B3" s="4">
        <v>1212</v>
      </c>
      <c r="C3" s="13" t="s">
        <v>326</v>
      </c>
      <c r="D3" s="13" t="s">
        <v>327</v>
      </c>
      <c r="E3" s="5" t="s">
        <v>5566</v>
      </c>
      <c r="F3" s="5" t="s">
        <v>2306</v>
      </c>
      <c r="G3" s="5" t="s">
        <v>2307</v>
      </c>
      <c r="H3" s="13" t="s">
        <v>2308</v>
      </c>
      <c r="I3" s="13" t="s">
        <v>2309</v>
      </c>
      <c r="J3" s="4">
        <v>11746</v>
      </c>
      <c r="K3" s="4">
        <v>1</v>
      </c>
      <c r="L3" s="4">
        <v>20</v>
      </c>
      <c r="M3" s="4">
        <v>2016</v>
      </c>
      <c r="N3" s="4">
        <v>2</v>
      </c>
      <c r="O3" s="4">
        <v>6</v>
      </c>
      <c r="P3" s="4">
        <v>1</v>
      </c>
      <c r="Q3" s="19">
        <v>599.99</v>
      </c>
      <c r="R3" s="16">
        <v>7.0000000000000007E-2</v>
      </c>
      <c r="S3" s="16">
        <v>599.91999999999996</v>
      </c>
      <c r="T3" s="5" t="s">
        <v>25</v>
      </c>
      <c r="U3" s="13" t="s">
        <v>301</v>
      </c>
    </row>
    <row r="4" spans="1:22" x14ac:dyDescent="0.35">
      <c r="A4" s="4">
        <v>3</v>
      </c>
      <c r="B4" s="4">
        <v>523</v>
      </c>
      <c r="C4" s="13" t="s">
        <v>328</v>
      </c>
      <c r="D4" s="13" t="s">
        <v>329</v>
      </c>
      <c r="E4" s="5" t="s">
        <v>5566</v>
      </c>
      <c r="F4" s="5" t="s">
        <v>2310</v>
      </c>
      <c r="G4" s="5" t="s">
        <v>2311</v>
      </c>
      <c r="H4" s="13" t="s">
        <v>2312</v>
      </c>
      <c r="I4" s="13" t="s">
        <v>2309</v>
      </c>
      <c r="J4" s="4">
        <v>11772</v>
      </c>
      <c r="K4" s="4">
        <v>2</v>
      </c>
      <c r="L4" s="4">
        <v>20</v>
      </c>
      <c r="M4" s="4">
        <v>2016</v>
      </c>
      <c r="N4" s="4">
        <v>2</v>
      </c>
      <c r="O4" s="4">
        <v>7</v>
      </c>
      <c r="P4" s="4">
        <v>1</v>
      </c>
      <c r="Q4" s="19">
        <v>599.99</v>
      </c>
      <c r="R4" s="16">
        <v>0.05</v>
      </c>
      <c r="S4" s="16">
        <v>599.94000000000005</v>
      </c>
      <c r="T4" s="5" t="s">
        <v>25</v>
      </c>
      <c r="U4" s="13" t="s">
        <v>301</v>
      </c>
    </row>
    <row r="5" spans="1:22" x14ac:dyDescent="0.35">
      <c r="A5" s="4">
        <v>4</v>
      </c>
      <c r="B5" s="4">
        <v>175</v>
      </c>
      <c r="C5" s="13" t="s">
        <v>330</v>
      </c>
      <c r="D5" s="13" t="s">
        <v>331</v>
      </c>
      <c r="E5" s="5" t="s">
        <v>5566</v>
      </c>
      <c r="F5" s="5" t="s">
        <v>2313</v>
      </c>
      <c r="G5" s="5" t="s">
        <v>2314</v>
      </c>
      <c r="H5" s="13" t="s">
        <v>2315</v>
      </c>
      <c r="I5" s="13" t="s">
        <v>2305</v>
      </c>
      <c r="J5" s="4">
        <v>91010</v>
      </c>
      <c r="K5" s="4">
        <v>1</v>
      </c>
      <c r="L5" s="4">
        <v>2</v>
      </c>
      <c r="M5" s="4">
        <v>2016</v>
      </c>
      <c r="N5" s="4">
        <v>1</v>
      </c>
      <c r="O5" s="4">
        <v>3</v>
      </c>
      <c r="P5" s="4">
        <v>2</v>
      </c>
      <c r="Q5" s="19">
        <v>749.99</v>
      </c>
      <c r="R5" s="16">
        <v>0.1</v>
      </c>
      <c r="S5" s="16">
        <v>1499.88</v>
      </c>
      <c r="T5" s="5" t="s">
        <v>7</v>
      </c>
      <c r="U5" s="13" t="s">
        <v>304</v>
      </c>
    </row>
    <row r="6" spans="1:22" x14ac:dyDescent="0.35">
      <c r="A6" s="4">
        <v>5</v>
      </c>
      <c r="B6" s="4">
        <v>1324</v>
      </c>
      <c r="C6" s="13" t="s">
        <v>332</v>
      </c>
      <c r="D6" s="13" t="s">
        <v>333</v>
      </c>
      <c r="E6" s="5" t="s">
        <v>5566</v>
      </c>
      <c r="F6" s="5" t="s">
        <v>2316</v>
      </c>
      <c r="G6" s="5" t="s">
        <v>2317</v>
      </c>
      <c r="H6" s="13" t="s">
        <v>2318</v>
      </c>
      <c r="I6" s="13" t="s">
        <v>2309</v>
      </c>
      <c r="J6" s="4">
        <v>13501</v>
      </c>
      <c r="K6" s="4">
        <v>3</v>
      </c>
      <c r="L6" s="4">
        <v>26</v>
      </c>
      <c r="M6" s="4">
        <v>2016</v>
      </c>
      <c r="N6" s="4">
        <v>2</v>
      </c>
      <c r="O6" s="4">
        <v>6</v>
      </c>
      <c r="P6" s="4">
        <v>1</v>
      </c>
      <c r="Q6" s="19">
        <v>599.99</v>
      </c>
      <c r="R6" s="16">
        <v>7.0000000000000007E-2</v>
      </c>
      <c r="S6" s="16">
        <v>599.91999999999996</v>
      </c>
      <c r="T6" s="5" t="s">
        <v>21</v>
      </c>
      <c r="U6" s="13" t="s">
        <v>300</v>
      </c>
    </row>
    <row r="7" spans="1:22" x14ac:dyDescent="0.35">
      <c r="A7" s="4">
        <v>6</v>
      </c>
      <c r="B7" s="4">
        <v>94</v>
      </c>
      <c r="C7" s="13" t="s">
        <v>334</v>
      </c>
      <c r="D7" s="13" t="s">
        <v>335</v>
      </c>
      <c r="E7" s="5" t="s">
        <v>5566</v>
      </c>
      <c r="F7" s="5" t="s">
        <v>2319</v>
      </c>
      <c r="G7" s="5" t="s">
        <v>2320</v>
      </c>
      <c r="H7" s="13" t="s">
        <v>2321</v>
      </c>
      <c r="I7" s="13" t="s">
        <v>2309</v>
      </c>
      <c r="J7" s="4">
        <v>13027</v>
      </c>
      <c r="K7" s="4">
        <v>3</v>
      </c>
      <c r="L7" s="4">
        <v>20</v>
      </c>
      <c r="M7" s="4">
        <v>2016</v>
      </c>
      <c r="N7" s="4">
        <v>2</v>
      </c>
      <c r="O7" s="4">
        <v>6</v>
      </c>
      <c r="P7" s="4">
        <v>1</v>
      </c>
      <c r="Q7" s="19">
        <v>599.99</v>
      </c>
      <c r="R7" s="16">
        <v>0.1</v>
      </c>
      <c r="S7" s="16">
        <v>599.89</v>
      </c>
      <c r="T7" s="5" t="s">
        <v>25</v>
      </c>
      <c r="U7" s="13" t="s">
        <v>301</v>
      </c>
    </row>
    <row r="8" spans="1:22" x14ac:dyDescent="0.35">
      <c r="A8" s="4">
        <v>7</v>
      </c>
      <c r="B8" s="4">
        <v>324</v>
      </c>
      <c r="C8" s="13" t="s">
        <v>336</v>
      </c>
      <c r="D8" s="13" t="s">
        <v>337</v>
      </c>
      <c r="E8" s="5" t="s">
        <v>5566</v>
      </c>
      <c r="F8" s="5" t="s">
        <v>2322</v>
      </c>
      <c r="G8" s="5" t="s">
        <v>2323</v>
      </c>
      <c r="H8" s="13" t="s">
        <v>2324</v>
      </c>
      <c r="I8" s="13" t="s">
        <v>2309</v>
      </c>
      <c r="J8" s="4">
        <v>11710</v>
      </c>
      <c r="K8" s="4">
        <v>3</v>
      </c>
      <c r="L8" s="4">
        <v>17</v>
      </c>
      <c r="M8" s="4">
        <v>2016</v>
      </c>
      <c r="N8" s="4">
        <v>2</v>
      </c>
      <c r="O8" s="4">
        <v>6</v>
      </c>
      <c r="P8" s="4">
        <v>2</v>
      </c>
      <c r="Q8" s="19">
        <v>429</v>
      </c>
      <c r="R8" s="16">
        <v>0.1</v>
      </c>
      <c r="S8" s="16">
        <v>857.9</v>
      </c>
      <c r="T8" s="5" t="s">
        <v>22</v>
      </c>
      <c r="U8" s="13" t="s">
        <v>301</v>
      </c>
    </row>
    <row r="9" spans="1:22" x14ac:dyDescent="0.35">
      <c r="A9" s="4">
        <v>8</v>
      </c>
      <c r="B9" s="4">
        <v>1204</v>
      </c>
      <c r="C9" s="13" t="s">
        <v>338</v>
      </c>
      <c r="D9" s="13" t="s">
        <v>339</v>
      </c>
      <c r="E9" s="5" t="s">
        <v>5566</v>
      </c>
      <c r="F9" s="5" t="s">
        <v>2325</v>
      </c>
      <c r="G9" s="5" t="s">
        <v>2326</v>
      </c>
      <c r="H9" s="13" t="s">
        <v>2327</v>
      </c>
      <c r="I9" s="13" t="s">
        <v>2309</v>
      </c>
      <c r="J9" s="4">
        <v>12866</v>
      </c>
      <c r="K9" s="4">
        <v>1</v>
      </c>
      <c r="L9" s="4">
        <v>22</v>
      </c>
      <c r="M9" s="4">
        <v>2016</v>
      </c>
      <c r="N9" s="4">
        <v>2</v>
      </c>
      <c r="O9" s="4">
        <v>7</v>
      </c>
      <c r="P9" s="4">
        <v>1</v>
      </c>
      <c r="Q9" s="19">
        <v>269.99</v>
      </c>
      <c r="R9" s="16">
        <v>0.05</v>
      </c>
      <c r="S9" s="16">
        <v>269.94</v>
      </c>
      <c r="T9" s="5" t="s">
        <v>19</v>
      </c>
      <c r="U9" s="13" t="s">
        <v>299</v>
      </c>
    </row>
    <row r="10" spans="1:22" x14ac:dyDescent="0.35">
      <c r="A10" s="4">
        <v>9</v>
      </c>
      <c r="B10" s="4">
        <v>60</v>
      </c>
      <c r="C10" s="13" t="s">
        <v>340</v>
      </c>
      <c r="D10" s="13" t="s">
        <v>341</v>
      </c>
      <c r="E10" s="5" t="s">
        <v>5566</v>
      </c>
      <c r="F10" s="5" t="s">
        <v>2328</v>
      </c>
      <c r="G10" s="5" t="s">
        <v>2329</v>
      </c>
      <c r="H10" s="13" t="s">
        <v>2330</v>
      </c>
      <c r="I10" s="13" t="s">
        <v>2305</v>
      </c>
      <c r="J10" s="4">
        <v>94070</v>
      </c>
      <c r="K10" s="4">
        <v>1</v>
      </c>
      <c r="L10" s="4">
        <v>7</v>
      </c>
      <c r="M10" s="4">
        <v>2016</v>
      </c>
      <c r="N10" s="4">
        <v>1</v>
      </c>
      <c r="O10" s="4">
        <v>2</v>
      </c>
      <c r="P10" s="4">
        <v>2</v>
      </c>
      <c r="Q10" s="19">
        <v>3999.99</v>
      </c>
      <c r="R10" s="16">
        <v>0.1</v>
      </c>
      <c r="S10" s="16">
        <v>7999.8799999999992</v>
      </c>
      <c r="T10" s="5" t="s">
        <v>12</v>
      </c>
      <c r="U10" s="13" t="s">
        <v>304</v>
      </c>
    </row>
    <row r="11" spans="1:22" x14ac:dyDescent="0.35">
      <c r="A11" s="4">
        <v>10</v>
      </c>
      <c r="B11" s="4">
        <v>442</v>
      </c>
      <c r="C11" s="13" t="s">
        <v>342</v>
      </c>
      <c r="D11" s="13" t="s">
        <v>343</v>
      </c>
      <c r="E11" s="5" t="s">
        <v>2331</v>
      </c>
      <c r="F11" s="5" t="s">
        <v>2332</v>
      </c>
      <c r="G11" s="5" t="s">
        <v>2333</v>
      </c>
      <c r="H11" s="13" t="s">
        <v>2334</v>
      </c>
      <c r="I11" s="13" t="s">
        <v>2309</v>
      </c>
      <c r="J11" s="4">
        <v>10701</v>
      </c>
      <c r="K11" s="4">
        <v>1</v>
      </c>
      <c r="L11" s="4">
        <v>14</v>
      </c>
      <c r="M11" s="4">
        <v>2016</v>
      </c>
      <c r="N11" s="4">
        <v>2</v>
      </c>
      <c r="O11" s="4">
        <v>6</v>
      </c>
      <c r="P11" s="4">
        <v>1</v>
      </c>
      <c r="Q11" s="19">
        <v>269.99</v>
      </c>
      <c r="R11" s="16">
        <v>0.1</v>
      </c>
      <c r="S11" s="16">
        <v>269.89</v>
      </c>
      <c r="T11" s="5" t="s">
        <v>19</v>
      </c>
      <c r="U11" s="13" t="s">
        <v>301</v>
      </c>
    </row>
    <row r="12" spans="1:22" x14ac:dyDescent="0.35">
      <c r="A12" s="4">
        <v>11</v>
      </c>
      <c r="B12" s="4">
        <v>1326</v>
      </c>
      <c r="C12" s="13" t="s">
        <v>344</v>
      </c>
      <c r="D12" s="13" t="s">
        <v>345</v>
      </c>
      <c r="E12" s="5" t="s">
        <v>5566</v>
      </c>
      <c r="F12" s="5" t="s">
        <v>2335</v>
      </c>
      <c r="G12" s="5" t="s">
        <v>2336</v>
      </c>
      <c r="H12" s="13" t="s">
        <v>2337</v>
      </c>
      <c r="I12" s="13" t="s">
        <v>2309</v>
      </c>
      <c r="J12" s="4">
        <v>13021</v>
      </c>
      <c r="K12" s="4">
        <v>2</v>
      </c>
      <c r="L12" s="4">
        <v>22</v>
      </c>
      <c r="M12" s="4">
        <v>2016</v>
      </c>
      <c r="N12" s="4">
        <v>2</v>
      </c>
      <c r="O12" s="4">
        <v>7</v>
      </c>
      <c r="P12" s="4">
        <v>2</v>
      </c>
      <c r="Q12" s="19">
        <v>269.99</v>
      </c>
      <c r="R12" s="16">
        <v>0.1</v>
      </c>
      <c r="S12" s="16">
        <v>539.88</v>
      </c>
      <c r="T12" s="5" t="s">
        <v>19</v>
      </c>
      <c r="U12" s="13" t="s">
        <v>299</v>
      </c>
    </row>
    <row r="13" spans="1:22" x14ac:dyDescent="0.35">
      <c r="A13" s="4">
        <v>12</v>
      </c>
      <c r="B13" s="4">
        <v>91</v>
      </c>
      <c r="C13" s="13" t="s">
        <v>346</v>
      </c>
      <c r="D13" s="13" t="s">
        <v>347</v>
      </c>
      <c r="E13" s="5" t="s">
        <v>2338</v>
      </c>
      <c r="F13" s="5" t="s">
        <v>2339</v>
      </c>
      <c r="G13" s="5" t="s">
        <v>2340</v>
      </c>
      <c r="H13" s="13" t="s">
        <v>2341</v>
      </c>
      <c r="I13" s="13" t="s">
        <v>2305</v>
      </c>
      <c r="J13" s="4">
        <v>92111</v>
      </c>
      <c r="K13" s="4">
        <v>2</v>
      </c>
      <c r="L13" s="4">
        <v>11</v>
      </c>
      <c r="M13" s="4">
        <v>2016</v>
      </c>
      <c r="N13" s="4">
        <v>1</v>
      </c>
      <c r="O13" s="4">
        <v>2</v>
      </c>
      <c r="P13" s="4">
        <v>1</v>
      </c>
      <c r="Q13" s="19">
        <v>1680.99</v>
      </c>
      <c r="R13" s="16">
        <v>0.05</v>
      </c>
      <c r="S13" s="16">
        <v>1680.94</v>
      </c>
      <c r="T13" s="5" t="s">
        <v>16</v>
      </c>
      <c r="U13" s="13" t="s">
        <v>302</v>
      </c>
    </row>
    <row r="14" spans="1:22" x14ac:dyDescent="0.35">
      <c r="A14" s="4">
        <v>13</v>
      </c>
      <c r="B14" s="4">
        <v>873</v>
      </c>
      <c r="C14" s="13" t="s">
        <v>348</v>
      </c>
      <c r="D14" s="13" t="s">
        <v>349</v>
      </c>
      <c r="E14" s="5" t="s">
        <v>5566</v>
      </c>
      <c r="F14" s="5" t="s">
        <v>2342</v>
      </c>
      <c r="G14" s="5" t="s">
        <v>2343</v>
      </c>
      <c r="H14" s="13" t="s">
        <v>2344</v>
      </c>
      <c r="I14" s="13" t="s">
        <v>2309</v>
      </c>
      <c r="J14" s="4">
        <v>14304</v>
      </c>
      <c r="K14" s="4">
        <v>3</v>
      </c>
      <c r="L14" s="4">
        <v>20</v>
      </c>
      <c r="M14" s="4">
        <v>2016</v>
      </c>
      <c r="N14" s="4">
        <v>2</v>
      </c>
      <c r="O14" s="4">
        <v>6</v>
      </c>
      <c r="P14" s="4">
        <v>2</v>
      </c>
      <c r="Q14" s="19">
        <v>599.99</v>
      </c>
      <c r="R14" s="16">
        <v>0.1</v>
      </c>
      <c r="S14" s="16">
        <v>1199.8800000000001</v>
      </c>
      <c r="T14" s="5" t="s">
        <v>25</v>
      </c>
      <c r="U14" s="13" t="s">
        <v>301</v>
      </c>
    </row>
    <row r="15" spans="1:22" x14ac:dyDescent="0.35">
      <c r="A15" s="4">
        <v>14</v>
      </c>
      <c r="B15" s="4">
        <v>258</v>
      </c>
      <c r="C15" s="13" t="s">
        <v>350</v>
      </c>
      <c r="D15" s="13" t="s">
        <v>351</v>
      </c>
      <c r="E15" s="5" t="s">
        <v>5566</v>
      </c>
      <c r="F15" s="5" t="s">
        <v>2345</v>
      </c>
      <c r="G15" s="5" t="s">
        <v>2346</v>
      </c>
      <c r="H15" s="13" t="s">
        <v>2347</v>
      </c>
      <c r="I15" s="13" t="s">
        <v>2305</v>
      </c>
      <c r="J15" s="4">
        <v>90505</v>
      </c>
      <c r="K15" s="4">
        <v>1</v>
      </c>
      <c r="L15" s="4">
        <v>6</v>
      </c>
      <c r="M15" s="4">
        <v>2016</v>
      </c>
      <c r="N15" s="4">
        <v>1</v>
      </c>
      <c r="O15" s="4">
        <v>3</v>
      </c>
      <c r="P15" s="4">
        <v>1</v>
      </c>
      <c r="Q15" s="19">
        <v>469.99</v>
      </c>
      <c r="R15" s="16">
        <v>7.0000000000000007E-2</v>
      </c>
      <c r="S15" s="16">
        <v>469.92</v>
      </c>
      <c r="T15" s="5" t="s">
        <v>11</v>
      </c>
      <c r="U15" s="13" t="s">
        <v>304</v>
      </c>
    </row>
    <row r="16" spans="1:22" x14ac:dyDescent="0.35">
      <c r="A16" s="4">
        <v>15</v>
      </c>
      <c r="B16" s="4">
        <v>450</v>
      </c>
      <c r="C16" s="13" t="s">
        <v>352</v>
      </c>
      <c r="D16" s="13" t="s">
        <v>353</v>
      </c>
      <c r="E16" s="5" t="s">
        <v>5566</v>
      </c>
      <c r="F16" s="5" t="s">
        <v>2348</v>
      </c>
      <c r="G16" s="5" t="s">
        <v>2349</v>
      </c>
      <c r="H16" s="13" t="s">
        <v>2350</v>
      </c>
      <c r="I16" s="13" t="s">
        <v>2309</v>
      </c>
      <c r="J16" s="4">
        <v>10512</v>
      </c>
      <c r="K16" s="4">
        <v>4</v>
      </c>
      <c r="L16" s="4">
        <v>23</v>
      </c>
      <c r="M16" s="4">
        <v>2016</v>
      </c>
      <c r="N16" s="4">
        <v>2</v>
      </c>
      <c r="O16" s="4">
        <v>7</v>
      </c>
      <c r="P16" s="4">
        <v>2</v>
      </c>
      <c r="Q16" s="19">
        <v>299.99</v>
      </c>
      <c r="R16" s="16">
        <v>0.2</v>
      </c>
      <c r="S16" s="16">
        <v>599.78</v>
      </c>
      <c r="T16" s="5" t="s">
        <v>26</v>
      </c>
      <c r="U16" s="13" t="s">
        <v>299</v>
      </c>
    </row>
    <row r="17" spans="1:21" x14ac:dyDescent="0.35">
      <c r="A17" s="4">
        <v>16</v>
      </c>
      <c r="B17" s="4">
        <v>552</v>
      </c>
      <c r="C17" s="13" t="s">
        <v>354</v>
      </c>
      <c r="D17" s="13" t="s">
        <v>355</v>
      </c>
      <c r="E17" s="5" t="s">
        <v>5566</v>
      </c>
      <c r="F17" s="5" t="s">
        <v>2351</v>
      </c>
      <c r="G17" s="5" t="s">
        <v>2352</v>
      </c>
      <c r="H17" s="13" t="s">
        <v>2353</v>
      </c>
      <c r="I17" s="13" t="s">
        <v>2305</v>
      </c>
      <c r="J17" s="4">
        <v>92220</v>
      </c>
      <c r="K17" s="4">
        <v>2</v>
      </c>
      <c r="L17" s="4">
        <v>21</v>
      </c>
      <c r="M17" s="4">
        <v>2016</v>
      </c>
      <c r="N17" s="4">
        <v>1</v>
      </c>
      <c r="O17" s="4">
        <v>3</v>
      </c>
      <c r="P17" s="4">
        <v>1</v>
      </c>
      <c r="Q17" s="19">
        <v>269.99</v>
      </c>
      <c r="R17" s="16">
        <v>0.05</v>
      </c>
      <c r="S17" s="16">
        <v>269.94</v>
      </c>
      <c r="T17" s="5" t="s">
        <v>18</v>
      </c>
      <c r="U17" s="13" t="s">
        <v>299</v>
      </c>
    </row>
    <row r="18" spans="1:21" x14ac:dyDescent="0.35">
      <c r="A18" s="4">
        <v>17</v>
      </c>
      <c r="B18" s="4">
        <v>1175</v>
      </c>
      <c r="C18" s="13" t="s">
        <v>356</v>
      </c>
      <c r="D18" s="13" t="s">
        <v>357</v>
      </c>
      <c r="E18" s="5" t="s">
        <v>5566</v>
      </c>
      <c r="F18" s="5" t="s">
        <v>2354</v>
      </c>
      <c r="G18" s="5" t="s">
        <v>2355</v>
      </c>
      <c r="H18" s="13" t="s">
        <v>2356</v>
      </c>
      <c r="I18" s="13" t="s">
        <v>2305</v>
      </c>
      <c r="J18" s="4">
        <v>91768</v>
      </c>
      <c r="K18" s="4">
        <v>2</v>
      </c>
      <c r="L18" s="4">
        <v>23</v>
      </c>
      <c r="M18" s="4">
        <v>2016</v>
      </c>
      <c r="N18" s="4">
        <v>1</v>
      </c>
      <c r="O18" s="4">
        <v>3</v>
      </c>
      <c r="P18" s="4">
        <v>1</v>
      </c>
      <c r="Q18" s="19">
        <v>299.99</v>
      </c>
      <c r="R18" s="16">
        <v>0.1</v>
      </c>
      <c r="S18" s="16">
        <v>299.89</v>
      </c>
      <c r="T18" s="5" t="s">
        <v>26</v>
      </c>
      <c r="U18" s="13" t="s">
        <v>299</v>
      </c>
    </row>
    <row r="19" spans="1:21" x14ac:dyDescent="0.35">
      <c r="A19" s="4">
        <v>18</v>
      </c>
      <c r="B19" s="4">
        <v>541</v>
      </c>
      <c r="C19" s="13" t="s">
        <v>358</v>
      </c>
      <c r="D19" s="13" t="s">
        <v>359</v>
      </c>
      <c r="E19" s="5" t="s">
        <v>5566</v>
      </c>
      <c r="F19" s="5" t="s">
        <v>2357</v>
      </c>
      <c r="G19" s="5" t="s">
        <v>2358</v>
      </c>
      <c r="H19" s="13" t="s">
        <v>2359</v>
      </c>
      <c r="I19" s="13" t="s">
        <v>2305</v>
      </c>
      <c r="J19" s="4">
        <v>92236</v>
      </c>
      <c r="K19" s="4">
        <v>4</v>
      </c>
      <c r="L19" s="4">
        <v>25</v>
      </c>
      <c r="M19" s="4">
        <v>2016</v>
      </c>
      <c r="N19" s="4">
        <v>1</v>
      </c>
      <c r="O19" s="4">
        <v>3</v>
      </c>
      <c r="P19" s="4">
        <v>2</v>
      </c>
      <c r="Q19" s="19">
        <v>499.99</v>
      </c>
      <c r="R19" s="16">
        <v>0.05</v>
      </c>
      <c r="S19" s="16">
        <v>999.93000000000006</v>
      </c>
      <c r="T19" s="5" t="s">
        <v>27</v>
      </c>
      <c r="U19" s="13" t="s">
        <v>300</v>
      </c>
    </row>
    <row r="20" spans="1:21" x14ac:dyDescent="0.35">
      <c r="A20" s="4">
        <v>19</v>
      </c>
      <c r="B20" s="4">
        <v>696</v>
      </c>
      <c r="C20" s="13" t="s">
        <v>360</v>
      </c>
      <c r="D20" s="13" t="s">
        <v>361</v>
      </c>
      <c r="E20" s="5" t="s">
        <v>5566</v>
      </c>
      <c r="F20" s="5" t="s">
        <v>2360</v>
      </c>
      <c r="G20" s="5" t="s">
        <v>2361</v>
      </c>
      <c r="H20" s="13" t="s">
        <v>2362</v>
      </c>
      <c r="I20" s="13" t="s">
        <v>2305</v>
      </c>
      <c r="J20" s="4">
        <v>91316</v>
      </c>
      <c r="K20" s="4">
        <v>1</v>
      </c>
      <c r="L20" s="4">
        <v>10</v>
      </c>
      <c r="M20" s="4">
        <v>2016</v>
      </c>
      <c r="N20" s="4">
        <v>1</v>
      </c>
      <c r="O20" s="4">
        <v>2</v>
      </c>
      <c r="P20" s="4">
        <v>1</v>
      </c>
      <c r="Q20" s="19">
        <v>1549</v>
      </c>
      <c r="R20" s="16">
        <v>7.0000000000000007E-2</v>
      </c>
      <c r="S20" s="16">
        <v>1548.93</v>
      </c>
      <c r="T20" s="5" t="s">
        <v>15</v>
      </c>
      <c r="U20" s="13" t="s">
        <v>302</v>
      </c>
    </row>
    <row r="21" spans="1:21" x14ac:dyDescent="0.35">
      <c r="A21" s="4">
        <v>20</v>
      </c>
      <c r="B21" s="4">
        <v>923</v>
      </c>
      <c r="C21" s="13" t="s">
        <v>362</v>
      </c>
      <c r="D21" s="13" t="s">
        <v>363</v>
      </c>
      <c r="E21" s="5" t="s">
        <v>5566</v>
      </c>
      <c r="F21" s="5" t="s">
        <v>2363</v>
      </c>
      <c r="G21" s="5" t="s">
        <v>2364</v>
      </c>
      <c r="H21" s="13" t="s">
        <v>2365</v>
      </c>
      <c r="I21" s="13" t="s">
        <v>2305</v>
      </c>
      <c r="J21" s="4">
        <v>91387</v>
      </c>
      <c r="K21" s="4">
        <v>2</v>
      </c>
      <c r="L21" s="4">
        <v>10</v>
      </c>
      <c r="M21" s="4">
        <v>2016</v>
      </c>
      <c r="N21" s="4">
        <v>1</v>
      </c>
      <c r="O21" s="4">
        <v>2</v>
      </c>
      <c r="P21" s="4">
        <v>2</v>
      </c>
      <c r="Q21" s="19">
        <v>1549</v>
      </c>
      <c r="R21" s="16">
        <v>7.0000000000000007E-2</v>
      </c>
      <c r="S21" s="16">
        <v>3097.93</v>
      </c>
      <c r="T21" s="5" t="s">
        <v>15</v>
      </c>
      <c r="U21" s="13" t="s">
        <v>302</v>
      </c>
    </row>
    <row r="22" spans="1:21" x14ac:dyDescent="0.35">
      <c r="A22" s="4">
        <v>21</v>
      </c>
      <c r="B22" s="4">
        <v>1250</v>
      </c>
      <c r="C22" s="13" t="s">
        <v>364</v>
      </c>
      <c r="D22" s="13" t="s">
        <v>365</v>
      </c>
      <c r="E22" s="5" t="s">
        <v>5566</v>
      </c>
      <c r="F22" s="5" t="s">
        <v>2366</v>
      </c>
      <c r="G22" s="5" t="s">
        <v>2367</v>
      </c>
      <c r="H22" s="13" t="s">
        <v>2368</v>
      </c>
      <c r="I22" s="13" t="s">
        <v>2309</v>
      </c>
      <c r="J22" s="4">
        <v>10550</v>
      </c>
      <c r="K22" s="4">
        <v>2</v>
      </c>
      <c r="L22" s="4">
        <v>17</v>
      </c>
      <c r="M22" s="4">
        <v>2016</v>
      </c>
      <c r="N22" s="4">
        <v>2</v>
      </c>
      <c r="O22" s="4">
        <v>6</v>
      </c>
      <c r="P22" s="4">
        <v>1</v>
      </c>
      <c r="Q22" s="19">
        <v>429</v>
      </c>
      <c r="R22" s="16">
        <v>0.1</v>
      </c>
      <c r="S22" s="16">
        <v>428.9</v>
      </c>
      <c r="T22" s="5" t="s">
        <v>22</v>
      </c>
      <c r="U22" s="13" t="s">
        <v>301</v>
      </c>
    </row>
    <row r="23" spans="1:21" x14ac:dyDescent="0.35">
      <c r="A23" s="4">
        <v>22</v>
      </c>
      <c r="B23" s="4">
        <v>1035</v>
      </c>
      <c r="C23" s="13" t="s">
        <v>366</v>
      </c>
      <c r="D23" s="13" t="s">
        <v>367</v>
      </c>
      <c r="E23" s="5" t="s">
        <v>5566</v>
      </c>
      <c r="F23" s="5" t="s">
        <v>2369</v>
      </c>
      <c r="G23" s="5" t="s">
        <v>2370</v>
      </c>
      <c r="H23" s="13" t="s">
        <v>1822</v>
      </c>
      <c r="I23" s="13" t="s">
        <v>2305</v>
      </c>
      <c r="J23" s="4">
        <v>95008</v>
      </c>
      <c r="K23" s="4">
        <v>2</v>
      </c>
      <c r="L23" s="4">
        <v>22</v>
      </c>
      <c r="M23" s="4">
        <v>2016</v>
      </c>
      <c r="N23" s="4">
        <v>1</v>
      </c>
      <c r="O23" s="4">
        <v>2</v>
      </c>
      <c r="P23" s="4">
        <v>1</v>
      </c>
      <c r="Q23" s="19">
        <v>269.99</v>
      </c>
      <c r="R23" s="16">
        <v>0.05</v>
      </c>
      <c r="S23" s="16">
        <v>269.94</v>
      </c>
      <c r="T23" s="5" t="s">
        <v>19</v>
      </c>
      <c r="U23" s="13" t="s">
        <v>299</v>
      </c>
    </row>
    <row r="24" spans="1:21" x14ac:dyDescent="0.35">
      <c r="A24" s="4">
        <v>23</v>
      </c>
      <c r="B24" s="4">
        <v>1149</v>
      </c>
      <c r="C24" s="13" t="s">
        <v>368</v>
      </c>
      <c r="D24" s="13" t="s">
        <v>369</v>
      </c>
      <c r="E24" s="5" t="s">
        <v>5566</v>
      </c>
      <c r="F24" s="5" t="s">
        <v>2371</v>
      </c>
      <c r="G24" s="5" t="s">
        <v>2372</v>
      </c>
      <c r="H24" s="13" t="s">
        <v>2373</v>
      </c>
      <c r="I24" s="13" t="s">
        <v>2305</v>
      </c>
      <c r="J24" s="4">
        <v>95050</v>
      </c>
      <c r="K24" s="4">
        <v>2</v>
      </c>
      <c r="L24" s="4">
        <v>23</v>
      </c>
      <c r="M24" s="4">
        <v>2016</v>
      </c>
      <c r="N24" s="4">
        <v>1</v>
      </c>
      <c r="O24" s="4">
        <v>2</v>
      </c>
      <c r="P24" s="4">
        <v>2</v>
      </c>
      <c r="Q24" s="19">
        <v>299.99</v>
      </c>
      <c r="R24" s="16">
        <v>0.1</v>
      </c>
      <c r="S24" s="16">
        <v>599.88</v>
      </c>
      <c r="T24" s="5" t="s">
        <v>26</v>
      </c>
      <c r="U24" s="13" t="s">
        <v>299</v>
      </c>
    </row>
    <row r="25" spans="1:21" x14ac:dyDescent="0.35">
      <c r="A25" s="4">
        <v>24</v>
      </c>
      <c r="B25" s="4">
        <v>636</v>
      </c>
      <c r="C25" s="13" t="s">
        <v>370</v>
      </c>
      <c r="D25" s="13" t="s">
        <v>371</v>
      </c>
      <c r="E25" s="5" t="s">
        <v>5566</v>
      </c>
      <c r="F25" s="5" t="s">
        <v>2374</v>
      </c>
      <c r="G25" s="5" t="s">
        <v>2375</v>
      </c>
      <c r="H25" s="13" t="s">
        <v>2376</v>
      </c>
      <c r="I25" s="13" t="s">
        <v>2309</v>
      </c>
      <c r="J25" s="4">
        <v>11001</v>
      </c>
      <c r="K25" s="4">
        <v>2</v>
      </c>
      <c r="L25" s="4">
        <v>18</v>
      </c>
      <c r="M25" s="4">
        <v>2016</v>
      </c>
      <c r="N25" s="4">
        <v>2</v>
      </c>
      <c r="O25" s="4">
        <v>7</v>
      </c>
      <c r="P25" s="4">
        <v>2</v>
      </c>
      <c r="Q25" s="19">
        <v>449</v>
      </c>
      <c r="R25" s="16">
        <v>7.0000000000000007E-2</v>
      </c>
      <c r="S25" s="16">
        <v>897.93</v>
      </c>
      <c r="T25" s="5" t="s">
        <v>23</v>
      </c>
      <c r="U25" s="13" t="s">
        <v>301</v>
      </c>
    </row>
    <row r="26" spans="1:21" x14ac:dyDescent="0.35">
      <c r="A26" s="4">
        <v>25</v>
      </c>
      <c r="B26" s="4">
        <v>657</v>
      </c>
      <c r="C26" s="13" t="s">
        <v>372</v>
      </c>
      <c r="D26" s="13" t="s">
        <v>373</v>
      </c>
      <c r="E26" s="5" t="s">
        <v>5566</v>
      </c>
      <c r="F26" s="5" t="s">
        <v>2377</v>
      </c>
      <c r="G26" s="5" t="s">
        <v>2378</v>
      </c>
      <c r="H26" s="13" t="s">
        <v>470</v>
      </c>
      <c r="I26" s="13" t="s">
        <v>2309</v>
      </c>
      <c r="J26" s="4">
        <v>11510</v>
      </c>
      <c r="K26" s="4">
        <v>1</v>
      </c>
      <c r="L26" s="4">
        <v>23</v>
      </c>
      <c r="M26" s="4">
        <v>2016</v>
      </c>
      <c r="N26" s="4">
        <v>2</v>
      </c>
      <c r="O26" s="4">
        <v>6</v>
      </c>
      <c r="P26" s="4">
        <v>2</v>
      </c>
      <c r="Q26" s="19">
        <v>299.99</v>
      </c>
      <c r="R26" s="16">
        <v>0.2</v>
      </c>
      <c r="S26" s="16">
        <v>599.78</v>
      </c>
      <c r="T26" s="5" t="s">
        <v>26</v>
      </c>
      <c r="U26" s="13" t="s">
        <v>299</v>
      </c>
    </row>
    <row r="27" spans="1:21" x14ac:dyDescent="0.35">
      <c r="A27" s="4">
        <v>26</v>
      </c>
      <c r="B27" s="4">
        <v>1280</v>
      </c>
      <c r="C27" s="13" t="s">
        <v>374</v>
      </c>
      <c r="D27" s="13" t="s">
        <v>375</v>
      </c>
      <c r="E27" s="5" t="s">
        <v>5566</v>
      </c>
      <c r="F27" s="5" t="s">
        <v>2379</v>
      </c>
      <c r="G27" s="5" t="s">
        <v>2380</v>
      </c>
      <c r="H27" s="13" t="s">
        <v>2381</v>
      </c>
      <c r="I27" s="13" t="s">
        <v>2309</v>
      </c>
      <c r="J27" s="4">
        <v>12590</v>
      </c>
      <c r="K27" s="4">
        <v>4</v>
      </c>
      <c r="L27" s="4">
        <v>21</v>
      </c>
      <c r="M27" s="4">
        <v>2016</v>
      </c>
      <c r="N27" s="4">
        <v>2</v>
      </c>
      <c r="O27" s="4">
        <v>7</v>
      </c>
      <c r="P27" s="4">
        <v>2</v>
      </c>
      <c r="Q27" s="19">
        <v>269.99</v>
      </c>
      <c r="R27" s="16">
        <v>7.0000000000000007E-2</v>
      </c>
      <c r="S27" s="16">
        <v>539.91</v>
      </c>
      <c r="T27" s="5" t="s">
        <v>18</v>
      </c>
      <c r="U27" s="13" t="s">
        <v>299</v>
      </c>
    </row>
    <row r="28" spans="1:21" x14ac:dyDescent="0.35">
      <c r="A28" s="4">
        <v>27</v>
      </c>
      <c r="B28" s="4">
        <v>57</v>
      </c>
      <c r="C28" s="13" t="s">
        <v>376</v>
      </c>
      <c r="D28" s="13" t="s">
        <v>377</v>
      </c>
      <c r="E28" s="5" t="s">
        <v>5566</v>
      </c>
      <c r="F28" s="5" t="s">
        <v>2382</v>
      </c>
      <c r="G28" s="5" t="s">
        <v>2383</v>
      </c>
      <c r="H28" s="13" t="s">
        <v>2384</v>
      </c>
      <c r="I28" s="13" t="s">
        <v>2309</v>
      </c>
      <c r="J28" s="4">
        <v>10451</v>
      </c>
      <c r="K28" s="4">
        <v>3</v>
      </c>
      <c r="L28" s="4">
        <v>26</v>
      </c>
      <c r="M28" s="4">
        <v>2016</v>
      </c>
      <c r="N28" s="4">
        <v>2</v>
      </c>
      <c r="O28" s="4">
        <v>7</v>
      </c>
      <c r="P28" s="4">
        <v>2</v>
      </c>
      <c r="Q28" s="19">
        <v>599.99</v>
      </c>
      <c r="R28" s="16">
        <v>7.0000000000000007E-2</v>
      </c>
      <c r="S28" s="16">
        <v>1199.9100000000001</v>
      </c>
      <c r="T28" s="5" t="s">
        <v>21</v>
      </c>
      <c r="U28" s="13" t="s">
        <v>300</v>
      </c>
    </row>
    <row r="29" spans="1:21" x14ac:dyDescent="0.35">
      <c r="A29" s="4">
        <v>28</v>
      </c>
      <c r="B29" s="4">
        <v>252</v>
      </c>
      <c r="C29" s="13" t="s">
        <v>378</v>
      </c>
      <c r="D29" s="13" t="s">
        <v>379</v>
      </c>
      <c r="E29" s="5" t="s">
        <v>5566</v>
      </c>
      <c r="F29" s="5" t="s">
        <v>2385</v>
      </c>
      <c r="G29" s="5" t="s">
        <v>2386</v>
      </c>
      <c r="H29" s="13" t="s">
        <v>2387</v>
      </c>
      <c r="I29" s="13" t="s">
        <v>2309</v>
      </c>
      <c r="J29" s="4">
        <v>11418</v>
      </c>
      <c r="K29" s="4">
        <v>3</v>
      </c>
      <c r="L29" s="4">
        <v>14</v>
      </c>
      <c r="M29" s="4">
        <v>2016</v>
      </c>
      <c r="N29" s="4">
        <v>2</v>
      </c>
      <c r="O29" s="4">
        <v>6</v>
      </c>
      <c r="P29" s="4">
        <v>2</v>
      </c>
      <c r="Q29" s="19">
        <v>269.99</v>
      </c>
      <c r="R29" s="16">
        <v>0.1</v>
      </c>
      <c r="S29" s="16">
        <v>539.88</v>
      </c>
      <c r="T29" s="5" t="s">
        <v>19</v>
      </c>
      <c r="U29" s="13" t="s">
        <v>301</v>
      </c>
    </row>
    <row r="30" spans="1:21" x14ac:dyDescent="0.35">
      <c r="A30" s="4">
        <v>29</v>
      </c>
      <c r="B30" s="4">
        <v>437</v>
      </c>
      <c r="C30" s="13" t="s">
        <v>336</v>
      </c>
      <c r="D30" s="13" t="s">
        <v>380</v>
      </c>
      <c r="E30" s="5" t="s">
        <v>5566</v>
      </c>
      <c r="F30" s="5" t="s">
        <v>2388</v>
      </c>
      <c r="G30" s="5" t="s">
        <v>2389</v>
      </c>
      <c r="H30" s="13" t="s">
        <v>2390</v>
      </c>
      <c r="I30" s="13" t="s">
        <v>2309</v>
      </c>
      <c r="J30" s="4">
        <v>14127</v>
      </c>
      <c r="K30" s="4">
        <v>1</v>
      </c>
      <c r="L30" s="4">
        <v>24</v>
      </c>
      <c r="M30" s="4">
        <v>2016</v>
      </c>
      <c r="N30" s="4">
        <v>2</v>
      </c>
      <c r="O30" s="4">
        <v>6</v>
      </c>
      <c r="P30" s="4">
        <v>2</v>
      </c>
      <c r="Q30" s="19">
        <v>549.99</v>
      </c>
      <c r="R30" s="16">
        <v>0.05</v>
      </c>
      <c r="S30" s="16">
        <v>1099.93</v>
      </c>
      <c r="T30" s="5" t="s">
        <v>17</v>
      </c>
      <c r="U30" s="13" t="s">
        <v>300</v>
      </c>
    </row>
    <row r="31" spans="1:21" x14ac:dyDescent="0.35">
      <c r="A31" s="4">
        <v>30</v>
      </c>
      <c r="B31" s="4">
        <v>1348</v>
      </c>
      <c r="C31" s="13" t="s">
        <v>381</v>
      </c>
      <c r="D31" s="13" t="s">
        <v>345</v>
      </c>
      <c r="E31" s="5" t="s">
        <v>5566</v>
      </c>
      <c r="F31" s="5" t="s">
        <v>2391</v>
      </c>
      <c r="G31" s="5" t="s">
        <v>2392</v>
      </c>
      <c r="H31" s="13" t="s">
        <v>2393</v>
      </c>
      <c r="I31" s="13" t="s">
        <v>2309</v>
      </c>
      <c r="J31" s="4">
        <v>11566</v>
      </c>
      <c r="K31" s="4">
        <v>1</v>
      </c>
      <c r="L31" s="4">
        <v>26</v>
      </c>
      <c r="M31" s="4">
        <v>2016</v>
      </c>
      <c r="N31" s="4">
        <v>2</v>
      </c>
      <c r="O31" s="4">
        <v>6</v>
      </c>
      <c r="P31" s="4">
        <v>1</v>
      </c>
      <c r="Q31" s="19">
        <v>599.99</v>
      </c>
      <c r="R31" s="16">
        <v>0.05</v>
      </c>
      <c r="S31" s="16">
        <v>599.94000000000005</v>
      </c>
      <c r="T31" s="5" t="s">
        <v>21</v>
      </c>
      <c r="U31" s="13" t="s">
        <v>300</v>
      </c>
    </row>
    <row r="32" spans="1:21" x14ac:dyDescent="0.35">
      <c r="A32" s="4">
        <v>31</v>
      </c>
      <c r="B32" s="4">
        <v>1238</v>
      </c>
      <c r="C32" s="13" t="s">
        <v>382</v>
      </c>
      <c r="D32" s="13" t="s">
        <v>383</v>
      </c>
      <c r="E32" s="5" t="s">
        <v>5566</v>
      </c>
      <c r="F32" s="5" t="s">
        <v>2394</v>
      </c>
      <c r="G32" s="5" t="s">
        <v>2395</v>
      </c>
      <c r="H32" s="13" t="s">
        <v>2396</v>
      </c>
      <c r="I32" s="13" t="s">
        <v>2397</v>
      </c>
      <c r="J32" s="4">
        <v>78552</v>
      </c>
      <c r="K32" s="4">
        <v>1</v>
      </c>
      <c r="L32" s="4">
        <v>11</v>
      </c>
      <c r="M32" s="4">
        <v>2016</v>
      </c>
      <c r="N32" s="4">
        <v>3</v>
      </c>
      <c r="O32" s="4">
        <v>8</v>
      </c>
      <c r="P32" s="4">
        <v>2</v>
      </c>
      <c r="Q32" s="19">
        <v>1680.99</v>
      </c>
      <c r="R32" s="16">
        <v>0.05</v>
      </c>
      <c r="S32" s="16">
        <v>3361.93</v>
      </c>
      <c r="T32" s="5" t="s">
        <v>16</v>
      </c>
      <c r="U32" s="13" t="s">
        <v>302</v>
      </c>
    </row>
    <row r="33" spans="1:21" x14ac:dyDescent="0.35">
      <c r="A33" s="4">
        <v>32</v>
      </c>
      <c r="B33" s="4">
        <v>1259</v>
      </c>
      <c r="C33" s="13" t="s">
        <v>384</v>
      </c>
      <c r="D33" s="13" t="s">
        <v>385</v>
      </c>
      <c r="E33" s="5" t="s">
        <v>5566</v>
      </c>
      <c r="F33" s="5" t="s">
        <v>2398</v>
      </c>
      <c r="G33" s="5" t="s">
        <v>2399</v>
      </c>
      <c r="H33" s="13" t="s">
        <v>2330</v>
      </c>
      <c r="I33" s="13" t="s">
        <v>2305</v>
      </c>
      <c r="J33" s="4">
        <v>94070</v>
      </c>
      <c r="K33" s="4">
        <v>3</v>
      </c>
      <c r="L33" s="4">
        <v>25</v>
      </c>
      <c r="M33" s="4">
        <v>2016</v>
      </c>
      <c r="N33" s="4">
        <v>1</v>
      </c>
      <c r="O33" s="4">
        <v>3</v>
      </c>
      <c r="P33" s="4">
        <v>2</v>
      </c>
      <c r="Q33" s="19">
        <v>499.99</v>
      </c>
      <c r="R33" s="16">
        <v>0.1</v>
      </c>
      <c r="S33" s="16">
        <v>999.88</v>
      </c>
      <c r="T33" s="5" t="s">
        <v>27</v>
      </c>
      <c r="U33" s="13" t="s">
        <v>300</v>
      </c>
    </row>
    <row r="34" spans="1:21" x14ac:dyDescent="0.35">
      <c r="A34" s="4">
        <v>33</v>
      </c>
      <c r="B34" s="4">
        <v>236</v>
      </c>
      <c r="C34" s="13" t="s">
        <v>386</v>
      </c>
      <c r="D34" s="13" t="s">
        <v>2291</v>
      </c>
      <c r="E34" s="5" t="s">
        <v>5566</v>
      </c>
      <c r="F34" s="5" t="s">
        <v>2400</v>
      </c>
      <c r="G34" s="5" t="s">
        <v>2401</v>
      </c>
      <c r="H34" s="13" t="s">
        <v>2402</v>
      </c>
      <c r="I34" s="13" t="s">
        <v>2309</v>
      </c>
      <c r="J34" s="4">
        <v>11784</v>
      </c>
      <c r="K34" s="4">
        <v>1</v>
      </c>
      <c r="L34" s="4">
        <v>23</v>
      </c>
      <c r="M34" s="4">
        <v>2016</v>
      </c>
      <c r="N34" s="4">
        <v>2</v>
      </c>
      <c r="O34" s="4">
        <v>6</v>
      </c>
      <c r="P34" s="4">
        <v>2</v>
      </c>
      <c r="Q34" s="19">
        <v>299.99</v>
      </c>
      <c r="R34" s="16">
        <v>7.0000000000000007E-2</v>
      </c>
      <c r="S34" s="16">
        <v>599.91</v>
      </c>
      <c r="T34" s="5" t="s">
        <v>26</v>
      </c>
      <c r="U34" s="13" t="s">
        <v>299</v>
      </c>
    </row>
    <row r="35" spans="1:21" x14ac:dyDescent="0.35">
      <c r="A35" s="4">
        <v>34</v>
      </c>
      <c r="B35" s="4">
        <v>80</v>
      </c>
      <c r="C35" s="13" t="s">
        <v>387</v>
      </c>
      <c r="D35" s="13" t="s">
        <v>388</v>
      </c>
      <c r="E35" s="5" t="s">
        <v>2403</v>
      </c>
      <c r="F35" s="5" t="s">
        <v>2404</v>
      </c>
      <c r="G35" s="5" t="s">
        <v>2405</v>
      </c>
      <c r="H35" s="13" t="s">
        <v>2406</v>
      </c>
      <c r="I35" s="13" t="s">
        <v>2309</v>
      </c>
      <c r="J35" s="4">
        <v>14215</v>
      </c>
      <c r="K35" s="4">
        <v>3</v>
      </c>
      <c r="L35" s="4">
        <v>17</v>
      </c>
      <c r="M35" s="4">
        <v>2016</v>
      </c>
      <c r="N35" s="4">
        <v>2</v>
      </c>
      <c r="O35" s="4">
        <v>6</v>
      </c>
      <c r="P35" s="4">
        <v>2</v>
      </c>
      <c r="Q35" s="19">
        <v>429</v>
      </c>
      <c r="R35" s="16">
        <v>0.2</v>
      </c>
      <c r="S35" s="16">
        <v>857.8</v>
      </c>
      <c r="T35" s="5" t="s">
        <v>22</v>
      </c>
      <c r="U35" s="13" t="s">
        <v>301</v>
      </c>
    </row>
    <row r="36" spans="1:21" x14ac:dyDescent="0.35">
      <c r="A36" s="4">
        <v>35</v>
      </c>
      <c r="B36" s="4">
        <v>813</v>
      </c>
      <c r="C36" s="13" t="s">
        <v>389</v>
      </c>
      <c r="D36" s="13" t="s">
        <v>390</v>
      </c>
      <c r="E36" s="5" t="s">
        <v>5566</v>
      </c>
      <c r="F36" s="5" t="s">
        <v>2407</v>
      </c>
      <c r="G36" s="5" t="s">
        <v>2408</v>
      </c>
      <c r="H36" s="13" t="s">
        <v>2409</v>
      </c>
      <c r="I36" s="13" t="s">
        <v>2309</v>
      </c>
      <c r="J36" s="4">
        <v>11552</v>
      </c>
      <c r="K36" s="4">
        <v>5</v>
      </c>
      <c r="L36" s="4">
        <v>22</v>
      </c>
      <c r="M36" s="4">
        <v>2016</v>
      </c>
      <c r="N36" s="4">
        <v>2</v>
      </c>
      <c r="O36" s="4">
        <v>7</v>
      </c>
      <c r="P36" s="4">
        <v>1</v>
      </c>
      <c r="Q36" s="19">
        <v>269.99</v>
      </c>
      <c r="R36" s="16">
        <v>7.0000000000000007E-2</v>
      </c>
      <c r="S36" s="16">
        <v>269.92</v>
      </c>
      <c r="T36" s="5" t="s">
        <v>19</v>
      </c>
      <c r="U36" s="13" t="s">
        <v>299</v>
      </c>
    </row>
    <row r="37" spans="1:21" x14ac:dyDescent="0.35">
      <c r="A37" s="4">
        <v>36</v>
      </c>
      <c r="B37" s="4">
        <v>1321</v>
      </c>
      <c r="C37" s="13" t="s">
        <v>391</v>
      </c>
      <c r="D37" s="13" t="s">
        <v>392</v>
      </c>
      <c r="E37" s="5" t="s">
        <v>5566</v>
      </c>
      <c r="F37" s="5" t="s">
        <v>2410</v>
      </c>
      <c r="G37" s="5" t="s">
        <v>2411</v>
      </c>
      <c r="H37" s="13" t="s">
        <v>2412</v>
      </c>
      <c r="I37" s="13" t="s">
        <v>2309</v>
      </c>
      <c r="J37" s="4">
        <v>11795</v>
      </c>
      <c r="K37" s="4">
        <v>1</v>
      </c>
      <c r="L37" s="4">
        <v>9</v>
      </c>
      <c r="M37" s="4">
        <v>2016</v>
      </c>
      <c r="N37" s="4">
        <v>2</v>
      </c>
      <c r="O37" s="4">
        <v>6</v>
      </c>
      <c r="P37" s="4">
        <v>1</v>
      </c>
      <c r="Q37" s="19">
        <v>2999.99</v>
      </c>
      <c r="R37" s="16">
        <v>7.0000000000000007E-2</v>
      </c>
      <c r="S37" s="16">
        <v>2999.9199999999996</v>
      </c>
      <c r="T37" s="5" t="s">
        <v>14</v>
      </c>
      <c r="U37" s="13" t="s">
        <v>303</v>
      </c>
    </row>
    <row r="38" spans="1:21" x14ac:dyDescent="0.35">
      <c r="A38" s="4">
        <v>37</v>
      </c>
      <c r="B38" s="4">
        <v>164</v>
      </c>
      <c r="C38" s="13" t="s">
        <v>393</v>
      </c>
      <c r="D38" s="13" t="s">
        <v>394</v>
      </c>
      <c r="E38" s="5" t="s">
        <v>5566</v>
      </c>
      <c r="F38" s="5" t="s">
        <v>2413</v>
      </c>
      <c r="G38" s="5" t="s">
        <v>2414</v>
      </c>
      <c r="H38" s="13" t="s">
        <v>2415</v>
      </c>
      <c r="I38" s="13" t="s">
        <v>2309</v>
      </c>
      <c r="J38" s="4">
        <v>11377</v>
      </c>
      <c r="K38" s="4">
        <v>1</v>
      </c>
      <c r="L38" s="4">
        <v>16</v>
      </c>
      <c r="M38" s="4">
        <v>2016</v>
      </c>
      <c r="N38" s="4">
        <v>2</v>
      </c>
      <c r="O38" s="4">
        <v>6</v>
      </c>
      <c r="P38" s="4">
        <v>2</v>
      </c>
      <c r="Q38" s="19">
        <v>599.99</v>
      </c>
      <c r="R38" s="16">
        <v>0.05</v>
      </c>
      <c r="S38" s="16">
        <v>1199.93</v>
      </c>
      <c r="T38" s="5" t="s">
        <v>21</v>
      </c>
      <c r="U38" s="13" t="s">
        <v>301</v>
      </c>
    </row>
    <row r="39" spans="1:21" x14ac:dyDescent="0.35">
      <c r="A39" s="4">
        <v>38</v>
      </c>
      <c r="B39" s="4">
        <v>583</v>
      </c>
      <c r="C39" s="13" t="s">
        <v>395</v>
      </c>
      <c r="D39" s="13" t="s">
        <v>396</v>
      </c>
      <c r="E39" s="5" t="s">
        <v>2416</v>
      </c>
      <c r="F39" s="5" t="s">
        <v>2417</v>
      </c>
      <c r="G39" s="5" t="s">
        <v>2418</v>
      </c>
      <c r="H39" s="13" t="s">
        <v>2419</v>
      </c>
      <c r="I39" s="13" t="s">
        <v>2309</v>
      </c>
      <c r="J39" s="4">
        <v>11561</v>
      </c>
      <c r="K39" s="4">
        <v>3</v>
      </c>
      <c r="L39" s="4">
        <v>25</v>
      </c>
      <c r="M39" s="4">
        <v>2016</v>
      </c>
      <c r="N39" s="4">
        <v>2</v>
      </c>
      <c r="O39" s="4">
        <v>7</v>
      </c>
      <c r="P39" s="4">
        <v>1</v>
      </c>
      <c r="Q39" s="19">
        <v>499.99</v>
      </c>
      <c r="R39" s="16">
        <v>0.2</v>
      </c>
      <c r="S39" s="16">
        <v>499.79</v>
      </c>
      <c r="T39" s="5" t="s">
        <v>27</v>
      </c>
      <c r="U39" s="13" t="s">
        <v>300</v>
      </c>
    </row>
    <row r="40" spans="1:21" x14ac:dyDescent="0.35">
      <c r="A40" s="4">
        <v>39</v>
      </c>
      <c r="B40" s="4">
        <v>1296</v>
      </c>
      <c r="C40" s="13" t="s">
        <v>397</v>
      </c>
      <c r="D40" s="13" t="s">
        <v>398</v>
      </c>
      <c r="E40" s="5" t="s">
        <v>5566</v>
      </c>
      <c r="F40" s="5" t="s">
        <v>2420</v>
      </c>
      <c r="G40" s="5" t="s">
        <v>2421</v>
      </c>
      <c r="H40" s="13" t="s">
        <v>2422</v>
      </c>
      <c r="I40" s="13" t="s">
        <v>2309</v>
      </c>
      <c r="J40" s="4">
        <v>11412</v>
      </c>
      <c r="K40" s="4">
        <v>1</v>
      </c>
      <c r="L40" s="4">
        <v>22</v>
      </c>
      <c r="M40" s="4">
        <v>2016</v>
      </c>
      <c r="N40" s="4">
        <v>2</v>
      </c>
      <c r="O40" s="4">
        <v>7</v>
      </c>
      <c r="P40" s="4">
        <v>2</v>
      </c>
      <c r="Q40" s="19">
        <v>269.99</v>
      </c>
      <c r="R40" s="16">
        <v>0.2</v>
      </c>
      <c r="S40" s="16">
        <v>539.78</v>
      </c>
      <c r="T40" s="5" t="s">
        <v>19</v>
      </c>
      <c r="U40" s="13" t="s">
        <v>299</v>
      </c>
    </row>
    <row r="41" spans="1:21" x14ac:dyDescent="0.35">
      <c r="A41" s="4">
        <v>40</v>
      </c>
      <c r="B41" s="4">
        <v>348</v>
      </c>
      <c r="C41" s="13" t="s">
        <v>399</v>
      </c>
      <c r="D41" s="13" t="s">
        <v>400</v>
      </c>
      <c r="E41" s="5" t="s">
        <v>5566</v>
      </c>
      <c r="F41" s="5" t="s">
        <v>2423</v>
      </c>
      <c r="G41" s="5" t="s">
        <v>2424</v>
      </c>
      <c r="H41" s="13" t="s">
        <v>2359</v>
      </c>
      <c r="I41" s="13" t="s">
        <v>2305</v>
      </c>
      <c r="J41" s="4">
        <v>92236</v>
      </c>
      <c r="K41" s="4">
        <v>1</v>
      </c>
      <c r="L41" s="4">
        <v>17</v>
      </c>
      <c r="M41" s="4">
        <v>2016</v>
      </c>
      <c r="N41" s="4">
        <v>1</v>
      </c>
      <c r="O41" s="4">
        <v>3</v>
      </c>
      <c r="P41" s="4">
        <v>1</v>
      </c>
      <c r="Q41" s="19">
        <v>429</v>
      </c>
      <c r="R41" s="16">
        <v>0.2</v>
      </c>
      <c r="S41" s="16">
        <v>428.8</v>
      </c>
      <c r="T41" s="5" t="s">
        <v>22</v>
      </c>
      <c r="U41" s="13" t="s">
        <v>301</v>
      </c>
    </row>
    <row r="42" spans="1:21" x14ac:dyDescent="0.35">
      <c r="A42" s="4">
        <v>41</v>
      </c>
      <c r="B42" s="4">
        <v>979</v>
      </c>
      <c r="C42" s="13" t="s">
        <v>401</v>
      </c>
      <c r="D42" s="13" t="s">
        <v>402</v>
      </c>
      <c r="E42" s="5" t="s">
        <v>5566</v>
      </c>
      <c r="F42" s="5" t="s">
        <v>2425</v>
      </c>
      <c r="G42" s="5" t="s">
        <v>2426</v>
      </c>
      <c r="H42" s="13" t="s">
        <v>2427</v>
      </c>
      <c r="I42" s="13" t="s">
        <v>2309</v>
      </c>
      <c r="J42" s="4">
        <v>14850</v>
      </c>
      <c r="K42" s="4">
        <v>1</v>
      </c>
      <c r="L42" s="4">
        <v>5</v>
      </c>
      <c r="M42" s="4">
        <v>2016</v>
      </c>
      <c r="N42" s="4">
        <v>2</v>
      </c>
      <c r="O42" s="4">
        <v>6</v>
      </c>
      <c r="P42" s="4">
        <v>1</v>
      </c>
      <c r="Q42" s="19">
        <v>1320.99</v>
      </c>
      <c r="R42" s="16">
        <v>0.1</v>
      </c>
      <c r="S42" s="16">
        <v>1320.89</v>
      </c>
      <c r="T42" s="5" t="s">
        <v>10</v>
      </c>
      <c r="U42" s="13" t="s">
        <v>304</v>
      </c>
    </row>
    <row r="43" spans="1:21" x14ac:dyDescent="0.35">
      <c r="A43" s="4">
        <v>42</v>
      </c>
      <c r="B43" s="4">
        <v>1095</v>
      </c>
      <c r="C43" s="13" t="s">
        <v>403</v>
      </c>
      <c r="D43" s="13" t="s">
        <v>404</v>
      </c>
      <c r="E43" s="5" t="s">
        <v>5566</v>
      </c>
      <c r="F43" s="5" t="s">
        <v>2428</v>
      </c>
      <c r="G43" s="5" t="s">
        <v>2429</v>
      </c>
      <c r="H43" s="13" t="s">
        <v>2430</v>
      </c>
      <c r="I43" s="13" t="s">
        <v>2309</v>
      </c>
      <c r="J43" s="4">
        <v>11374</v>
      </c>
      <c r="K43" s="4">
        <v>1</v>
      </c>
      <c r="L43" s="4">
        <v>19</v>
      </c>
      <c r="M43" s="4">
        <v>2016</v>
      </c>
      <c r="N43" s="4">
        <v>2</v>
      </c>
      <c r="O43" s="4">
        <v>7</v>
      </c>
      <c r="P43" s="4">
        <v>1</v>
      </c>
      <c r="Q43" s="19">
        <v>449</v>
      </c>
      <c r="R43" s="16">
        <v>0.05</v>
      </c>
      <c r="S43" s="16">
        <v>448.95</v>
      </c>
      <c r="T43" s="5" t="s">
        <v>24</v>
      </c>
      <c r="U43" s="13" t="s">
        <v>301</v>
      </c>
    </row>
    <row r="44" spans="1:21" x14ac:dyDescent="0.35">
      <c r="A44" s="4">
        <v>43</v>
      </c>
      <c r="B44" s="4">
        <v>1434</v>
      </c>
      <c r="C44" s="13" t="s">
        <v>405</v>
      </c>
      <c r="D44" s="13" t="s">
        <v>406</v>
      </c>
      <c r="E44" s="5" t="s">
        <v>5566</v>
      </c>
      <c r="F44" s="5" t="s">
        <v>2431</v>
      </c>
      <c r="G44" s="5" t="s">
        <v>2432</v>
      </c>
      <c r="H44" s="13" t="s">
        <v>2433</v>
      </c>
      <c r="I44" s="13" t="s">
        <v>2309</v>
      </c>
      <c r="J44" s="4">
        <v>13090</v>
      </c>
      <c r="K44" s="4">
        <v>1</v>
      </c>
      <c r="L44" s="4">
        <v>13</v>
      </c>
      <c r="M44" s="4">
        <v>2016</v>
      </c>
      <c r="N44" s="4">
        <v>2</v>
      </c>
      <c r="O44" s="4">
        <v>7</v>
      </c>
      <c r="P44" s="4">
        <v>2</v>
      </c>
      <c r="Q44" s="19">
        <v>269.99</v>
      </c>
      <c r="R44" s="16">
        <v>0.1</v>
      </c>
      <c r="S44" s="16">
        <v>539.88</v>
      </c>
      <c r="T44" s="5" t="s">
        <v>18</v>
      </c>
      <c r="U44" s="13" t="s">
        <v>301</v>
      </c>
    </row>
    <row r="45" spans="1:21" x14ac:dyDescent="0.35">
      <c r="A45" s="4">
        <v>44</v>
      </c>
      <c r="B45" s="4">
        <v>861</v>
      </c>
      <c r="C45" s="13" t="s">
        <v>407</v>
      </c>
      <c r="D45" s="13" t="s">
        <v>408</v>
      </c>
      <c r="E45" s="5" t="s">
        <v>5566</v>
      </c>
      <c r="F45" s="5" t="s">
        <v>2434</v>
      </c>
      <c r="G45" s="5" t="s">
        <v>2435</v>
      </c>
      <c r="H45" s="13" t="s">
        <v>2436</v>
      </c>
      <c r="I45" s="13" t="s">
        <v>2309</v>
      </c>
      <c r="J45" s="4">
        <v>12533</v>
      </c>
      <c r="K45" s="4">
        <v>1</v>
      </c>
      <c r="L45" s="4">
        <v>7</v>
      </c>
      <c r="M45" s="4">
        <v>2016</v>
      </c>
      <c r="N45" s="4">
        <v>2</v>
      </c>
      <c r="O45" s="4">
        <v>7</v>
      </c>
      <c r="P45" s="4">
        <v>1</v>
      </c>
      <c r="Q45" s="19">
        <v>3999.99</v>
      </c>
      <c r="R45" s="16">
        <v>0.1</v>
      </c>
      <c r="S45" s="16">
        <v>3999.89</v>
      </c>
      <c r="T45" s="5" t="s">
        <v>12</v>
      </c>
      <c r="U45" s="13" t="s">
        <v>304</v>
      </c>
    </row>
    <row r="46" spans="1:21" x14ac:dyDescent="0.35">
      <c r="A46" s="4">
        <v>45</v>
      </c>
      <c r="B46" s="4">
        <v>1220</v>
      </c>
      <c r="C46" s="13" t="s">
        <v>409</v>
      </c>
      <c r="D46" s="13" t="s">
        <v>410</v>
      </c>
      <c r="E46" s="5" t="s">
        <v>5566</v>
      </c>
      <c r="F46" s="5" t="s">
        <v>2437</v>
      </c>
      <c r="G46" s="5" t="s">
        <v>2438</v>
      </c>
      <c r="H46" s="13" t="s">
        <v>2308</v>
      </c>
      <c r="I46" s="13" t="s">
        <v>2309</v>
      </c>
      <c r="J46" s="4">
        <v>11746</v>
      </c>
      <c r="K46" s="4">
        <v>1</v>
      </c>
      <c r="L46" s="4">
        <v>4</v>
      </c>
      <c r="M46" s="4">
        <v>2016</v>
      </c>
      <c r="N46" s="4">
        <v>2</v>
      </c>
      <c r="O46" s="4">
        <v>7</v>
      </c>
      <c r="P46" s="4">
        <v>2</v>
      </c>
      <c r="Q46" s="19">
        <v>2899.99</v>
      </c>
      <c r="R46" s="16">
        <v>0.2</v>
      </c>
      <c r="S46" s="16">
        <v>5799.78</v>
      </c>
      <c r="T46" s="5" t="s">
        <v>9</v>
      </c>
      <c r="U46" s="13" t="s">
        <v>304</v>
      </c>
    </row>
    <row r="47" spans="1:21" x14ac:dyDescent="0.35">
      <c r="A47" s="4">
        <v>46</v>
      </c>
      <c r="B47" s="4">
        <v>746</v>
      </c>
      <c r="C47" s="13" t="s">
        <v>411</v>
      </c>
      <c r="D47" s="13" t="s">
        <v>412</v>
      </c>
      <c r="E47" s="5" t="s">
        <v>5566</v>
      </c>
      <c r="F47" s="5" t="s">
        <v>2439</v>
      </c>
      <c r="G47" s="5" t="s">
        <v>2440</v>
      </c>
      <c r="H47" s="13" t="s">
        <v>2441</v>
      </c>
      <c r="I47" s="13" t="s">
        <v>2309</v>
      </c>
      <c r="J47" s="4">
        <v>11722</v>
      </c>
      <c r="K47" s="4">
        <v>1</v>
      </c>
      <c r="L47" s="4">
        <v>17</v>
      </c>
      <c r="M47" s="4">
        <v>2016</v>
      </c>
      <c r="N47" s="4">
        <v>2</v>
      </c>
      <c r="O47" s="4">
        <v>7</v>
      </c>
      <c r="P47" s="4">
        <v>1</v>
      </c>
      <c r="Q47" s="19">
        <v>429</v>
      </c>
      <c r="R47" s="16">
        <v>0.1</v>
      </c>
      <c r="S47" s="16">
        <v>428.9</v>
      </c>
      <c r="T47" s="5" t="s">
        <v>22</v>
      </c>
      <c r="U47" s="13" t="s">
        <v>301</v>
      </c>
    </row>
    <row r="48" spans="1:21" x14ac:dyDescent="0.35">
      <c r="A48" s="4">
        <v>47</v>
      </c>
      <c r="B48" s="4">
        <v>1234</v>
      </c>
      <c r="C48" s="13" t="s">
        <v>328</v>
      </c>
      <c r="D48" s="13" t="s">
        <v>413</v>
      </c>
      <c r="E48" s="5" t="s">
        <v>5566</v>
      </c>
      <c r="F48" s="5" t="s">
        <v>2442</v>
      </c>
      <c r="G48" s="5" t="s">
        <v>2443</v>
      </c>
      <c r="H48" s="13" t="s">
        <v>2444</v>
      </c>
      <c r="I48" s="13" t="s">
        <v>2309</v>
      </c>
      <c r="J48" s="4">
        <v>10562</v>
      </c>
      <c r="K48" s="4">
        <v>1</v>
      </c>
      <c r="L48" s="4">
        <v>6</v>
      </c>
      <c r="M48" s="4">
        <v>2016</v>
      </c>
      <c r="N48" s="4">
        <v>2</v>
      </c>
      <c r="O48" s="4">
        <v>7</v>
      </c>
      <c r="P48" s="4">
        <v>1</v>
      </c>
      <c r="Q48" s="19">
        <v>469.99</v>
      </c>
      <c r="R48" s="16">
        <v>0.05</v>
      </c>
      <c r="S48" s="16">
        <v>469.94</v>
      </c>
      <c r="T48" s="5" t="s">
        <v>11</v>
      </c>
      <c r="U48" s="13" t="s">
        <v>304</v>
      </c>
    </row>
    <row r="49" spans="1:21" x14ac:dyDescent="0.35">
      <c r="A49" s="4">
        <v>48</v>
      </c>
      <c r="B49" s="4">
        <v>1012</v>
      </c>
      <c r="C49" s="13" t="s">
        <v>414</v>
      </c>
      <c r="D49" s="13" t="s">
        <v>415</v>
      </c>
      <c r="E49" s="5" t="s">
        <v>5566</v>
      </c>
      <c r="F49" s="5" t="s">
        <v>2445</v>
      </c>
      <c r="G49" s="5" t="s">
        <v>2446</v>
      </c>
      <c r="H49" s="13" t="s">
        <v>2321</v>
      </c>
      <c r="I49" s="13" t="s">
        <v>2309</v>
      </c>
      <c r="J49" s="4">
        <v>13027</v>
      </c>
      <c r="K49" s="4">
        <v>1</v>
      </c>
      <c r="L49" s="4">
        <v>11</v>
      </c>
      <c r="M49" s="4">
        <v>2016</v>
      </c>
      <c r="N49" s="4">
        <v>2</v>
      </c>
      <c r="O49" s="4">
        <v>7</v>
      </c>
      <c r="P49" s="4">
        <v>1</v>
      </c>
      <c r="Q49" s="19">
        <v>1680.99</v>
      </c>
      <c r="R49" s="16">
        <v>0.1</v>
      </c>
      <c r="S49" s="16">
        <v>1680.89</v>
      </c>
      <c r="T49" s="5" t="s">
        <v>16</v>
      </c>
      <c r="U49" s="13" t="s">
        <v>302</v>
      </c>
    </row>
    <row r="50" spans="1:21" x14ac:dyDescent="0.35">
      <c r="A50" s="4">
        <v>49</v>
      </c>
      <c r="B50" s="4">
        <v>608</v>
      </c>
      <c r="C50" s="13" t="s">
        <v>416</v>
      </c>
      <c r="D50" s="13" t="s">
        <v>417</v>
      </c>
      <c r="E50" s="5" t="s">
        <v>5566</v>
      </c>
      <c r="F50" s="5" t="s">
        <v>2447</v>
      </c>
      <c r="G50" s="5" t="s">
        <v>2448</v>
      </c>
      <c r="H50" s="13" t="s">
        <v>2449</v>
      </c>
      <c r="I50" s="13" t="s">
        <v>2309</v>
      </c>
      <c r="J50" s="4">
        <v>11967</v>
      </c>
      <c r="K50" s="4">
        <v>1</v>
      </c>
      <c r="L50" s="4">
        <v>13</v>
      </c>
      <c r="M50" s="4">
        <v>2016</v>
      </c>
      <c r="N50" s="4">
        <v>2</v>
      </c>
      <c r="O50" s="4">
        <v>6</v>
      </c>
      <c r="P50" s="4">
        <v>2</v>
      </c>
      <c r="Q50" s="19">
        <v>269.99</v>
      </c>
      <c r="R50" s="16">
        <v>7.0000000000000007E-2</v>
      </c>
      <c r="S50" s="16">
        <v>539.91</v>
      </c>
      <c r="T50" s="5" t="s">
        <v>18</v>
      </c>
      <c r="U50" s="13" t="s">
        <v>301</v>
      </c>
    </row>
    <row r="51" spans="1:21" x14ac:dyDescent="0.35">
      <c r="A51" s="4">
        <v>50</v>
      </c>
      <c r="B51" s="4">
        <v>872</v>
      </c>
      <c r="C51" s="13" t="s">
        <v>418</v>
      </c>
      <c r="D51" s="13" t="s">
        <v>419</v>
      </c>
      <c r="E51" s="5" t="s">
        <v>2450</v>
      </c>
      <c r="F51" s="5" t="s">
        <v>2451</v>
      </c>
      <c r="G51" s="5" t="s">
        <v>2452</v>
      </c>
      <c r="H51" s="13" t="s">
        <v>2453</v>
      </c>
      <c r="I51" s="13" t="s">
        <v>2397</v>
      </c>
      <c r="J51" s="4">
        <v>78418</v>
      </c>
      <c r="K51" s="4">
        <v>1</v>
      </c>
      <c r="L51" s="4">
        <v>3</v>
      </c>
      <c r="M51" s="4">
        <v>2016</v>
      </c>
      <c r="N51" s="4">
        <v>3</v>
      </c>
      <c r="O51" s="4">
        <v>8</v>
      </c>
      <c r="P51" s="4">
        <v>1</v>
      </c>
      <c r="Q51" s="19">
        <v>999.99</v>
      </c>
      <c r="R51" s="16">
        <v>0.05</v>
      </c>
      <c r="S51" s="16">
        <v>999.94</v>
      </c>
      <c r="T51" s="5" t="s">
        <v>8</v>
      </c>
      <c r="U51" s="13" t="s">
        <v>304</v>
      </c>
    </row>
    <row r="52" spans="1:21" x14ac:dyDescent="0.35">
      <c r="A52" s="4">
        <v>51</v>
      </c>
      <c r="B52" s="4">
        <v>1047</v>
      </c>
      <c r="C52" s="13" t="s">
        <v>420</v>
      </c>
      <c r="D52" s="13" t="s">
        <v>421</v>
      </c>
      <c r="E52" s="5" t="s">
        <v>5566</v>
      </c>
      <c r="F52" s="5" t="s">
        <v>2454</v>
      </c>
      <c r="G52" s="5" t="s">
        <v>2455</v>
      </c>
      <c r="H52" s="13" t="s">
        <v>2456</v>
      </c>
      <c r="I52" s="13" t="s">
        <v>2309</v>
      </c>
      <c r="J52" s="4">
        <v>11373</v>
      </c>
      <c r="K52" s="4">
        <v>1</v>
      </c>
      <c r="L52" s="4">
        <v>13</v>
      </c>
      <c r="M52" s="4">
        <v>2016</v>
      </c>
      <c r="N52" s="4">
        <v>2</v>
      </c>
      <c r="O52" s="4">
        <v>7</v>
      </c>
      <c r="P52" s="4">
        <v>1</v>
      </c>
      <c r="Q52" s="19">
        <v>269.99</v>
      </c>
      <c r="R52" s="16">
        <v>0.05</v>
      </c>
      <c r="S52" s="16">
        <v>269.94</v>
      </c>
      <c r="T52" s="5" t="s">
        <v>18</v>
      </c>
      <c r="U52" s="13" t="s">
        <v>301</v>
      </c>
    </row>
    <row r="53" spans="1:21" x14ac:dyDescent="0.35">
      <c r="A53" s="4">
        <v>52</v>
      </c>
      <c r="B53" s="4">
        <v>767</v>
      </c>
      <c r="C53" s="13" t="s">
        <v>422</v>
      </c>
      <c r="D53" s="13" t="s">
        <v>423</v>
      </c>
      <c r="E53" s="5" t="s">
        <v>2457</v>
      </c>
      <c r="F53" s="5" t="s">
        <v>2458</v>
      </c>
      <c r="G53" s="5" t="s">
        <v>2459</v>
      </c>
      <c r="H53" s="13" t="s">
        <v>2460</v>
      </c>
      <c r="I53" s="13" t="s">
        <v>2305</v>
      </c>
      <c r="J53" s="4">
        <v>92806</v>
      </c>
      <c r="K53" s="4">
        <v>1</v>
      </c>
      <c r="L53" s="4">
        <v>25</v>
      </c>
      <c r="M53" s="4">
        <v>2016</v>
      </c>
      <c r="N53" s="4">
        <v>1</v>
      </c>
      <c r="O53" s="4">
        <v>2</v>
      </c>
      <c r="P53" s="4">
        <v>1</v>
      </c>
      <c r="Q53" s="19">
        <v>499.99</v>
      </c>
      <c r="R53" s="16">
        <v>7.0000000000000007E-2</v>
      </c>
      <c r="S53" s="16">
        <v>499.92</v>
      </c>
      <c r="T53" s="5" t="s">
        <v>27</v>
      </c>
      <c r="U53" s="13" t="s">
        <v>300</v>
      </c>
    </row>
    <row r="54" spans="1:21" x14ac:dyDescent="0.35">
      <c r="A54" s="4">
        <v>53</v>
      </c>
      <c r="B54" s="4">
        <v>965</v>
      </c>
      <c r="C54" s="13" t="s">
        <v>424</v>
      </c>
      <c r="D54" s="13" t="s">
        <v>425</v>
      </c>
      <c r="E54" s="5" t="s">
        <v>5566</v>
      </c>
      <c r="F54" s="5" t="s">
        <v>2461</v>
      </c>
      <c r="G54" s="5" t="s">
        <v>2462</v>
      </c>
      <c r="H54" s="13" t="s">
        <v>2463</v>
      </c>
      <c r="I54" s="13" t="s">
        <v>2309</v>
      </c>
      <c r="J54" s="4">
        <v>11803</v>
      </c>
      <c r="K54" s="4">
        <v>1</v>
      </c>
      <c r="L54" s="4">
        <v>8</v>
      </c>
      <c r="M54" s="4">
        <v>2016</v>
      </c>
      <c r="N54" s="4">
        <v>2</v>
      </c>
      <c r="O54" s="4">
        <v>6</v>
      </c>
      <c r="P54" s="4">
        <v>2</v>
      </c>
      <c r="Q54" s="19">
        <v>1799.99</v>
      </c>
      <c r="R54" s="16">
        <v>0.2</v>
      </c>
      <c r="S54" s="16">
        <v>3599.78</v>
      </c>
      <c r="T54" s="5" t="s">
        <v>13</v>
      </c>
      <c r="U54" s="13" t="s">
        <v>304</v>
      </c>
    </row>
    <row r="55" spans="1:21" x14ac:dyDescent="0.35">
      <c r="A55" s="4">
        <v>54</v>
      </c>
      <c r="B55" s="4">
        <v>535</v>
      </c>
      <c r="C55" s="13" t="s">
        <v>426</v>
      </c>
      <c r="D55" s="13" t="s">
        <v>427</v>
      </c>
      <c r="E55" s="5" t="s">
        <v>2464</v>
      </c>
      <c r="F55" s="5" t="s">
        <v>2465</v>
      </c>
      <c r="G55" s="5" t="s">
        <v>2466</v>
      </c>
      <c r="H55" s="13" t="s">
        <v>2419</v>
      </c>
      <c r="I55" s="13" t="s">
        <v>2309</v>
      </c>
      <c r="J55" s="4">
        <v>11561</v>
      </c>
      <c r="K55" s="4">
        <v>1</v>
      </c>
      <c r="L55" s="4">
        <v>26</v>
      </c>
      <c r="M55" s="4">
        <v>2016</v>
      </c>
      <c r="N55" s="4">
        <v>2</v>
      </c>
      <c r="O55" s="4">
        <v>7</v>
      </c>
      <c r="P55" s="4">
        <v>2</v>
      </c>
      <c r="Q55" s="19">
        <v>599.99</v>
      </c>
      <c r="R55" s="16">
        <v>0.2</v>
      </c>
      <c r="S55" s="16">
        <v>1199.78</v>
      </c>
      <c r="T55" s="5" t="s">
        <v>21</v>
      </c>
      <c r="U55" s="13" t="s">
        <v>300</v>
      </c>
    </row>
    <row r="56" spans="1:21" x14ac:dyDescent="0.35">
      <c r="A56" s="4">
        <v>55</v>
      </c>
      <c r="B56" s="4">
        <v>1173</v>
      </c>
      <c r="C56" s="13" t="s">
        <v>428</v>
      </c>
      <c r="D56" s="13" t="s">
        <v>429</v>
      </c>
      <c r="E56" s="5" t="s">
        <v>5566</v>
      </c>
      <c r="F56" s="5" t="s">
        <v>2467</v>
      </c>
      <c r="G56" s="5" t="s">
        <v>2468</v>
      </c>
      <c r="H56" s="13" t="s">
        <v>2469</v>
      </c>
      <c r="I56" s="13" t="s">
        <v>2309</v>
      </c>
      <c r="J56" s="4">
        <v>11530</v>
      </c>
      <c r="K56" s="4">
        <v>1</v>
      </c>
      <c r="L56" s="4">
        <v>21</v>
      </c>
      <c r="M56" s="4">
        <v>2016</v>
      </c>
      <c r="N56" s="4">
        <v>2</v>
      </c>
      <c r="O56" s="4">
        <v>6</v>
      </c>
      <c r="P56" s="4">
        <v>1</v>
      </c>
      <c r="Q56" s="19">
        <v>269.99</v>
      </c>
      <c r="R56" s="16">
        <v>0.05</v>
      </c>
      <c r="S56" s="16">
        <v>269.94</v>
      </c>
      <c r="T56" s="5" t="s">
        <v>18</v>
      </c>
      <c r="U56" s="13" t="s">
        <v>299</v>
      </c>
    </row>
    <row r="57" spans="1:21" x14ac:dyDescent="0.35">
      <c r="A57" s="4">
        <v>56</v>
      </c>
      <c r="B57" s="4">
        <v>1241</v>
      </c>
      <c r="C57" s="13" t="s">
        <v>430</v>
      </c>
      <c r="D57" s="13" t="s">
        <v>431</v>
      </c>
      <c r="E57" s="5" t="s">
        <v>5566</v>
      </c>
      <c r="F57" s="5" t="s">
        <v>2470</v>
      </c>
      <c r="G57" s="5" t="s">
        <v>2471</v>
      </c>
      <c r="H57" s="13" t="s">
        <v>2472</v>
      </c>
      <c r="I57" s="13" t="s">
        <v>2309</v>
      </c>
      <c r="J57" s="4">
        <v>13440</v>
      </c>
      <c r="K57" s="4">
        <v>1</v>
      </c>
      <c r="L57" s="4">
        <v>20</v>
      </c>
      <c r="M57" s="4">
        <v>2016</v>
      </c>
      <c r="N57" s="4">
        <v>2</v>
      </c>
      <c r="O57" s="4">
        <v>6</v>
      </c>
      <c r="P57" s="4">
        <v>2</v>
      </c>
      <c r="Q57" s="19">
        <v>599.99</v>
      </c>
      <c r="R57" s="16">
        <v>7.0000000000000007E-2</v>
      </c>
      <c r="S57" s="16">
        <v>1199.9100000000001</v>
      </c>
      <c r="T57" s="5" t="s">
        <v>25</v>
      </c>
      <c r="U57" s="13" t="s">
        <v>301</v>
      </c>
    </row>
    <row r="58" spans="1:21" x14ac:dyDescent="0.35">
      <c r="A58" s="4">
        <v>57</v>
      </c>
      <c r="B58" s="4">
        <v>1305</v>
      </c>
      <c r="C58" s="13" t="s">
        <v>432</v>
      </c>
      <c r="D58" s="13" t="s">
        <v>433</v>
      </c>
      <c r="E58" s="5" t="s">
        <v>2473</v>
      </c>
      <c r="F58" s="5" t="s">
        <v>2474</v>
      </c>
      <c r="G58" s="5" t="s">
        <v>2475</v>
      </c>
      <c r="H58" s="13" t="s">
        <v>2476</v>
      </c>
      <c r="I58" s="13" t="s">
        <v>2309</v>
      </c>
      <c r="J58" s="4">
        <v>14606</v>
      </c>
      <c r="K58" s="4">
        <v>1</v>
      </c>
      <c r="L58" s="4">
        <v>23</v>
      </c>
      <c r="M58" s="4">
        <v>2016</v>
      </c>
      <c r="N58" s="4">
        <v>2</v>
      </c>
      <c r="O58" s="4">
        <v>7</v>
      </c>
      <c r="P58" s="4">
        <v>2</v>
      </c>
      <c r="Q58" s="19">
        <v>299.99</v>
      </c>
      <c r="R58" s="16">
        <v>0.1</v>
      </c>
      <c r="S58" s="16">
        <v>599.88</v>
      </c>
      <c r="T58" s="5" t="s">
        <v>26</v>
      </c>
      <c r="U58" s="13" t="s">
        <v>299</v>
      </c>
    </row>
    <row r="59" spans="1:21" x14ac:dyDescent="0.35">
      <c r="A59" s="4">
        <v>58</v>
      </c>
      <c r="B59" s="4">
        <v>504</v>
      </c>
      <c r="C59" s="13" t="s">
        <v>434</v>
      </c>
      <c r="D59" s="13" t="s">
        <v>435</v>
      </c>
      <c r="E59" s="5" t="s">
        <v>5566</v>
      </c>
      <c r="F59" s="5" t="s">
        <v>2477</v>
      </c>
      <c r="G59" s="5" t="s">
        <v>2478</v>
      </c>
      <c r="H59" s="13" t="s">
        <v>2479</v>
      </c>
      <c r="I59" s="13" t="s">
        <v>2309</v>
      </c>
      <c r="J59" s="4">
        <v>11010</v>
      </c>
      <c r="K59" s="4">
        <v>1</v>
      </c>
      <c r="L59" s="4">
        <v>14</v>
      </c>
      <c r="M59" s="4">
        <v>2016</v>
      </c>
      <c r="N59" s="4">
        <v>2</v>
      </c>
      <c r="O59" s="4">
        <v>6</v>
      </c>
      <c r="P59" s="4">
        <v>2</v>
      </c>
      <c r="Q59" s="19">
        <v>269.99</v>
      </c>
      <c r="R59" s="16">
        <v>0.05</v>
      </c>
      <c r="S59" s="16">
        <v>539.93000000000006</v>
      </c>
      <c r="T59" s="5" t="s">
        <v>19</v>
      </c>
      <c r="U59" s="13" t="s">
        <v>301</v>
      </c>
    </row>
    <row r="60" spans="1:21" x14ac:dyDescent="0.35">
      <c r="A60" s="4">
        <v>59</v>
      </c>
      <c r="B60" s="4">
        <v>563</v>
      </c>
      <c r="C60" s="13" t="s">
        <v>436</v>
      </c>
      <c r="D60" s="13" t="s">
        <v>437</v>
      </c>
      <c r="E60" s="5" t="s">
        <v>5566</v>
      </c>
      <c r="F60" s="5" t="s">
        <v>2480</v>
      </c>
      <c r="G60" s="5" t="s">
        <v>2481</v>
      </c>
      <c r="H60" s="13" t="s">
        <v>2387</v>
      </c>
      <c r="I60" s="13" t="s">
        <v>2309</v>
      </c>
      <c r="J60" s="4">
        <v>11418</v>
      </c>
      <c r="K60" s="4">
        <v>1</v>
      </c>
      <c r="L60" s="4">
        <v>21</v>
      </c>
      <c r="M60" s="4">
        <v>2016</v>
      </c>
      <c r="N60" s="4">
        <v>2</v>
      </c>
      <c r="O60" s="4">
        <v>7</v>
      </c>
      <c r="P60" s="4">
        <v>1</v>
      </c>
      <c r="Q60" s="19">
        <v>269.99</v>
      </c>
      <c r="R60" s="16">
        <v>0.05</v>
      </c>
      <c r="S60" s="16">
        <v>269.94</v>
      </c>
      <c r="T60" s="5" t="s">
        <v>18</v>
      </c>
      <c r="U60" s="13" t="s">
        <v>299</v>
      </c>
    </row>
    <row r="61" spans="1:21" x14ac:dyDescent="0.35">
      <c r="A61" s="4">
        <v>60</v>
      </c>
      <c r="B61" s="4">
        <v>151</v>
      </c>
      <c r="C61" s="13" t="s">
        <v>438</v>
      </c>
      <c r="D61" s="13" t="s">
        <v>439</v>
      </c>
      <c r="E61" s="5" t="s">
        <v>5566</v>
      </c>
      <c r="F61" s="5" t="s">
        <v>2482</v>
      </c>
      <c r="G61" s="5" t="s">
        <v>2483</v>
      </c>
      <c r="H61" s="13" t="s">
        <v>2484</v>
      </c>
      <c r="I61" s="13" t="s">
        <v>2305</v>
      </c>
      <c r="J61" s="4">
        <v>95301</v>
      </c>
      <c r="K61" s="4">
        <v>1</v>
      </c>
      <c r="L61" s="4">
        <v>14</v>
      </c>
      <c r="M61" s="4">
        <v>2016</v>
      </c>
      <c r="N61" s="4">
        <v>1</v>
      </c>
      <c r="O61" s="4">
        <v>3</v>
      </c>
      <c r="P61" s="4">
        <v>2</v>
      </c>
      <c r="Q61" s="19">
        <v>269.99</v>
      </c>
      <c r="R61" s="16">
        <v>0.05</v>
      </c>
      <c r="S61" s="16">
        <v>539.93000000000006</v>
      </c>
      <c r="T61" s="5" t="s">
        <v>19</v>
      </c>
      <c r="U61" s="13" t="s">
        <v>301</v>
      </c>
    </row>
    <row r="62" spans="1:21" x14ac:dyDescent="0.35">
      <c r="A62" s="4">
        <v>61</v>
      </c>
      <c r="B62" s="4">
        <v>277</v>
      </c>
      <c r="C62" s="13" t="s">
        <v>440</v>
      </c>
      <c r="D62" s="13" t="s">
        <v>441</v>
      </c>
      <c r="E62" s="5" t="s">
        <v>5566</v>
      </c>
      <c r="F62" s="5" t="s">
        <v>2485</v>
      </c>
      <c r="G62" s="5" t="s">
        <v>2486</v>
      </c>
      <c r="H62" s="13" t="s">
        <v>552</v>
      </c>
      <c r="I62" s="13" t="s">
        <v>2309</v>
      </c>
      <c r="J62" s="4">
        <v>10950</v>
      </c>
      <c r="K62" s="4">
        <v>1</v>
      </c>
      <c r="L62" s="4">
        <v>25</v>
      </c>
      <c r="M62" s="4">
        <v>2016</v>
      </c>
      <c r="N62" s="4">
        <v>2</v>
      </c>
      <c r="O62" s="4">
        <v>7</v>
      </c>
      <c r="P62" s="4">
        <v>1</v>
      </c>
      <c r="Q62" s="19">
        <v>499.99</v>
      </c>
      <c r="R62" s="16">
        <v>0.1</v>
      </c>
      <c r="S62" s="16">
        <v>499.89</v>
      </c>
      <c r="T62" s="5" t="s">
        <v>27</v>
      </c>
      <c r="U62" s="13" t="s">
        <v>300</v>
      </c>
    </row>
    <row r="63" spans="1:21" x14ac:dyDescent="0.35">
      <c r="A63" s="4">
        <v>62</v>
      </c>
      <c r="B63" s="4">
        <v>208</v>
      </c>
      <c r="C63" s="13" t="s">
        <v>442</v>
      </c>
      <c r="D63" s="13" t="s">
        <v>443</v>
      </c>
      <c r="E63" s="5" t="s">
        <v>5566</v>
      </c>
      <c r="F63" s="5" t="s">
        <v>2487</v>
      </c>
      <c r="G63" s="5" t="s">
        <v>2488</v>
      </c>
      <c r="H63" s="13" t="s">
        <v>2489</v>
      </c>
      <c r="I63" s="13" t="s">
        <v>2305</v>
      </c>
      <c r="J63" s="4">
        <v>93555</v>
      </c>
      <c r="K63" s="4">
        <v>1</v>
      </c>
      <c r="L63" s="4">
        <v>14</v>
      </c>
      <c r="M63" s="4">
        <v>2016</v>
      </c>
      <c r="N63" s="4">
        <v>1</v>
      </c>
      <c r="O63" s="4">
        <v>2</v>
      </c>
      <c r="P63" s="4">
        <v>1</v>
      </c>
      <c r="Q63" s="19">
        <v>269.99</v>
      </c>
      <c r="R63" s="16">
        <v>7.0000000000000007E-2</v>
      </c>
      <c r="S63" s="16">
        <v>269.92</v>
      </c>
      <c r="T63" s="5" t="s">
        <v>19</v>
      </c>
      <c r="U63" s="13" t="s">
        <v>301</v>
      </c>
    </row>
    <row r="64" spans="1:21" x14ac:dyDescent="0.35">
      <c r="A64" s="4">
        <v>63</v>
      </c>
      <c r="B64" s="4">
        <v>1075</v>
      </c>
      <c r="C64" s="13" t="s">
        <v>444</v>
      </c>
      <c r="D64" s="13" t="s">
        <v>445</v>
      </c>
      <c r="E64" s="5" t="s">
        <v>5566</v>
      </c>
      <c r="F64" s="5" t="s">
        <v>2490</v>
      </c>
      <c r="G64" s="5" t="s">
        <v>2491</v>
      </c>
      <c r="H64" s="13" t="s">
        <v>2308</v>
      </c>
      <c r="I64" s="13" t="s">
        <v>2309</v>
      </c>
      <c r="J64" s="4">
        <v>11746</v>
      </c>
      <c r="K64" s="4">
        <v>1</v>
      </c>
      <c r="L64" s="4">
        <v>25</v>
      </c>
      <c r="M64" s="4">
        <v>2016</v>
      </c>
      <c r="N64" s="4">
        <v>2</v>
      </c>
      <c r="O64" s="4">
        <v>7</v>
      </c>
      <c r="P64" s="4">
        <v>2</v>
      </c>
      <c r="Q64" s="19">
        <v>499.99</v>
      </c>
      <c r="R64" s="16">
        <v>0.1</v>
      </c>
      <c r="S64" s="16">
        <v>999.88</v>
      </c>
      <c r="T64" s="5" t="s">
        <v>27</v>
      </c>
      <c r="U64" s="13" t="s">
        <v>300</v>
      </c>
    </row>
    <row r="65" spans="1:21" x14ac:dyDescent="0.35">
      <c r="A65" s="4">
        <v>64</v>
      </c>
      <c r="B65" s="4">
        <v>1185</v>
      </c>
      <c r="C65" s="13" t="s">
        <v>446</v>
      </c>
      <c r="D65" s="13" t="s">
        <v>447</v>
      </c>
      <c r="E65" s="5" t="s">
        <v>5566</v>
      </c>
      <c r="F65" s="5" t="s">
        <v>2492</v>
      </c>
      <c r="G65" s="5" t="s">
        <v>2493</v>
      </c>
      <c r="H65" s="13" t="s">
        <v>2494</v>
      </c>
      <c r="I65" s="13" t="s">
        <v>2309</v>
      </c>
      <c r="J65" s="4">
        <v>12065</v>
      </c>
      <c r="K65" s="4">
        <v>1</v>
      </c>
      <c r="L65" s="4">
        <v>25</v>
      </c>
      <c r="M65" s="4">
        <v>2016</v>
      </c>
      <c r="N65" s="4">
        <v>2</v>
      </c>
      <c r="O65" s="4">
        <v>6</v>
      </c>
      <c r="P65" s="4">
        <v>2</v>
      </c>
      <c r="Q65" s="19">
        <v>499.99</v>
      </c>
      <c r="R65" s="16">
        <v>0.1</v>
      </c>
      <c r="S65" s="16">
        <v>999.88</v>
      </c>
      <c r="T65" s="5" t="s">
        <v>27</v>
      </c>
      <c r="U65" s="13" t="s">
        <v>300</v>
      </c>
    </row>
    <row r="66" spans="1:21" x14ac:dyDescent="0.35">
      <c r="A66" s="4">
        <v>65</v>
      </c>
      <c r="B66" s="4">
        <v>996</v>
      </c>
      <c r="C66" s="13" t="s">
        <v>448</v>
      </c>
      <c r="D66" s="13" t="s">
        <v>449</v>
      </c>
      <c r="E66" s="5" t="s">
        <v>5566</v>
      </c>
      <c r="F66" s="5" t="s">
        <v>2495</v>
      </c>
      <c r="G66" s="5" t="s">
        <v>2496</v>
      </c>
      <c r="H66" s="13" t="s">
        <v>2449</v>
      </c>
      <c r="I66" s="13" t="s">
        <v>2309</v>
      </c>
      <c r="J66" s="4">
        <v>11967</v>
      </c>
      <c r="K66" s="4">
        <v>1</v>
      </c>
      <c r="L66" s="4">
        <v>12</v>
      </c>
      <c r="M66" s="4">
        <v>2016</v>
      </c>
      <c r="N66" s="4">
        <v>2</v>
      </c>
      <c r="O66" s="4">
        <v>6</v>
      </c>
      <c r="P66" s="4">
        <v>1</v>
      </c>
      <c r="Q66" s="19">
        <v>549.99</v>
      </c>
      <c r="R66" s="16">
        <v>0.1</v>
      </c>
      <c r="S66" s="16">
        <v>549.89</v>
      </c>
      <c r="T66" s="5" t="s">
        <v>17</v>
      </c>
      <c r="U66" s="13" t="s">
        <v>301</v>
      </c>
    </row>
    <row r="67" spans="1:21" x14ac:dyDescent="0.35">
      <c r="A67" s="4">
        <v>66</v>
      </c>
      <c r="B67" s="4">
        <v>1253</v>
      </c>
      <c r="C67" s="13" t="s">
        <v>450</v>
      </c>
      <c r="D67" s="13" t="s">
        <v>451</v>
      </c>
      <c r="E67" s="5" t="s">
        <v>5566</v>
      </c>
      <c r="F67" s="5" t="s">
        <v>2497</v>
      </c>
      <c r="G67" s="5" t="s">
        <v>2498</v>
      </c>
      <c r="H67" s="13" t="s">
        <v>2499</v>
      </c>
      <c r="I67" s="13" t="s">
        <v>2309</v>
      </c>
      <c r="J67" s="4">
        <v>11691</v>
      </c>
      <c r="K67" s="4">
        <v>1</v>
      </c>
      <c r="L67" s="4">
        <v>2</v>
      </c>
      <c r="M67" s="4">
        <v>2016</v>
      </c>
      <c r="N67" s="4">
        <v>2</v>
      </c>
      <c r="O67" s="4">
        <v>7</v>
      </c>
      <c r="P67" s="4">
        <v>1</v>
      </c>
      <c r="Q67" s="19">
        <v>749.99</v>
      </c>
      <c r="R67" s="16">
        <v>0.2</v>
      </c>
      <c r="S67" s="16">
        <v>749.79</v>
      </c>
      <c r="T67" s="5" t="s">
        <v>7</v>
      </c>
      <c r="U67" s="13" t="s">
        <v>304</v>
      </c>
    </row>
    <row r="68" spans="1:21" x14ac:dyDescent="0.35">
      <c r="A68" s="4">
        <v>67</v>
      </c>
      <c r="B68" s="4">
        <v>526</v>
      </c>
      <c r="C68" s="13" t="s">
        <v>452</v>
      </c>
      <c r="D68" s="13" t="s">
        <v>453</v>
      </c>
      <c r="E68" s="5" t="s">
        <v>5566</v>
      </c>
      <c r="F68" s="5" t="s">
        <v>2500</v>
      </c>
      <c r="G68" s="5" t="s">
        <v>2501</v>
      </c>
      <c r="H68" s="13" t="s">
        <v>2502</v>
      </c>
      <c r="I68" s="13" t="s">
        <v>2397</v>
      </c>
      <c r="J68" s="4">
        <v>77478</v>
      </c>
      <c r="K68" s="4">
        <v>1</v>
      </c>
      <c r="L68" s="4">
        <v>23</v>
      </c>
      <c r="M68" s="4">
        <v>2016</v>
      </c>
      <c r="N68" s="4">
        <v>3</v>
      </c>
      <c r="O68" s="4">
        <v>8</v>
      </c>
      <c r="P68" s="4">
        <v>2</v>
      </c>
      <c r="Q68" s="19">
        <v>299.99</v>
      </c>
      <c r="R68" s="16">
        <v>0.2</v>
      </c>
      <c r="S68" s="16">
        <v>599.78</v>
      </c>
      <c r="T68" s="5" t="s">
        <v>26</v>
      </c>
      <c r="U68" s="13" t="s">
        <v>299</v>
      </c>
    </row>
    <row r="69" spans="1:21" x14ac:dyDescent="0.35">
      <c r="A69" s="4">
        <v>68</v>
      </c>
      <c r="B69" s="4">
        <v>381</v>
      </c>
      <c r="C69" s="13" t="s">
        <v>454</v>
      </c>
      <c r="D69" s="13" t="s">
        <v>455</v>
      </c>
      <c r="E69" s="5" t="s">
        <v>5566</v>
      </c>
      <c r="F69" s="5" t="s">
        <v>2503</v>
      </c>
      <c r="G69" s="5" t="s">
        <v>2504</v>
      </c>
      <c r="H69" s="13" t="s">
        <v>2384</v>
      </c>
      <c r="I69" s="13" t="s">
        <v>2309</v>
      </c>
      <c r="J69" s="4">
        <v>10451</v>
      </c>
      <c r="K69" s="4">
        <v>1</v>
      </c>
      <c r="L69" s="4">
        <v>13</v>
      </c>
      <c r="M69" s="4">
        <v>2016</v>
      </c>
      <c r="N69" s="4">
        <v>2</v>
      </c>
      <c r="O69" s="4">
        <v>6</v>
      </c>
      <c r="P69" s="4">
        <v>2</v>
      </c>
      <c r="Q69" s="19">
        <v>269.99</v>
      </c>
      <c r="R69" s="16">
        <v>7.0000000000000007E-2</v>
      </c>
      <c r="S69" s="16">
        <v>539.91</v>
      </c>
      <c r="T69" s="5" t="s">
        <v>18</v>
      </c>
      <c r="U69" s="13" t="s">
        <v>301</v>
      </c>
    </row>
    <row r="70" spans="1:21" x14ac:dyDescent="0.35">
      <c r="A70" s="4">
        <v>69</v>
      </c>
      <c r="B70" s="4">
        <v>1413</v>
      </c>
      <c r="C70" s="13" t="s">
        <v>456</v>
      </c>
      <c r="D70" s="13" t="s">
        <v>457</v>
      </c>
      <c r="E70" s="5" t="s">
        <v>5566</v>
      </c>
      <c r="F70" s="5" t="s">
        <v>2505</v>
      </c>
      <c r="G70" s="5" t="s">
        <v>2506</v>
      </c>
      <c r="H70" s="13" t="s">
        <v>2507</v>
      </c>
      <c r="I70" s="13" t="s">
        <v>2309</v>
      </c>
      <c r="J70" s="4">
        <v>12553</v>
      </c>
      <c r="K70" s="4">
        <v>1</v>
      </c>
      <c r="L70" s="4">
        <v>22</v>
      </c>
      <c r="M70" s="4">
        <v>2016</v>
      </c>
      <c r="N70" s="4">
        <v>2</v>
      </c>
      <c r="O70" s="4">
        <v>7</v>
      </c>
      <c r="P70" s="4">
        <v>2</v>
      </c>
      <c r="Q70" s="19">
        <v>269.99</v>
      </c>
      <c r="R70" s="16">
        <v>0.1</v>
      </c>
      <c r="S70" s="16">
        <v>539.88</v>
      </c>
      <c r="T70" s="5" t="s">
        <v>19</v>
      </c>
      <c r="U70" s="13" t="s">
        <v>299</v>
      </c>
    </row>
    <row r="71" spans="1:21" x14ac:dyDescent="0.35">
      <c r="A71" s="4">
        <v>70</v>
      </c>
      <c r="B71" s="4">
        <v>50</v>
      </c>
      <c r="C71" s="13" t="s">
        <v>458</v>
      </c>
      <c r="D71" s="13" t="s">
        <v>459</v>
      </c>
      <c r="E71" s="5" t="s">
        <v>5566</v>
      </c>
      <c r="F71" s="5" t="s">
        <v>2508</v>
      </c>
      <c r="G71" s="5" t="s">
        <v>2509</v>
      </c>
      <c r="H71" s="13" t="s">
        <v>2502</v>
      </c>
      <c r="I71" s="13" t="s">
        <v>2397</v>
      </c>
      <c r="J71" s="4">
        <v>77478</v>
      </c>
      <c r="K71" s="4">
        <v>1</v>
      </c>
      <c r="L71" s="4">
        <v>3</v>
      </c>
      <c r="M71" s="4">
        <v>2016</v>
      </c>
      <c r="N71" s="4">
        <v>3</v>
      </c>
      <c r="O71" s="4">
        <v>9</v>
      </c>
      <c r="P71" s="4">
        <v>2</v>
      </c>
      <c r="Q71" s="19">
        <v>999.99</v>
      </c>
      <c r="R71" s="16">
        <v>0.05</v>
      </c>
      <c r="S71" s="16">
        <v>1999.93</v>
      </c>
      <c r="T71" s="5" t="s">
        <v>8</v>
      </c>
      <c r="U71" s="13" t="s">
        <v>304</v>
      </c>
    </row>
    <row r="72" spans="1:21" x14ac:dyDescent="0.35">
      <c r="A72" s="4">
        <v>71</v>
      </c>
      <c r="B72" s="4">
        <v>797</v>
      </c>
      <c r="C72" s="13" t="s">
        <v>460</v>
      </c>
      <c r="D72" s="13" t="s">
        <v>461</v>
      </c>
      <c r="E72" s="5" t="s">
        <v>5566</v>
      </c>
      <c r="F72" s="5" t="s">
        <v>2510</v>
      </c>
      <c r="G72" s="5" t="s">
        <v>2511</v>
      </c>
      <c r="H72" s="13" t="s">
        <v>2512</v>
      </c>
      <c r="I72" s="13" t="s">
        <v>2309</v>
      </c>
      <c r="J72" s="4">
        <v>11361</v>
      </c>
      <c r="K72" s="4">
        <v>1</v>
      </c>
      <c r="L72" s="4">
        <v>26</v>
      </c>
      <c r="M72" s="4">
        <v>2016</v>
      </c>
      <c r="N72" s="4">
        <v>2</v>
      </c>
      <c r="O72" s="4">
        <v>7</v>
      </c>
      <c r="P72" s="4">
        <v>2</v>
      </c>
      <c r="Q72" s="19">
        <v>599.99</v>
      </c>
      <c r="R72" s="16">
        <v>0.05</v>
      </c>
      <c r="S72" s="16">
        <v>1199.93</v>
      </c>
      <c r="T72" s="5" t="s">
        <v>21</v>
      </c>
      <c r="U72" s="13" t="s">
        <v>300</v>
      </c>
    </row>
    <row r="73" spans="1:21" x14ac:dyDescent="0.35">
      <c r="A73" s="4">
        <v>72</v>
      </c>
      <c r="B73" s="4">
        <v>1386</v>
      </c>
      <c r="C73" s="13" t="s">
        <v>462</v>
      </c>
      <c r="D73" s="13" t="s">
        <v>463</v>
      </c>
      <c r="E73" s="5" t="s">
        <v>2513</v>
      </c>
      <c r="F73" s="5" t="s">
        <v>2514</v>
      </c>
      <c r="G73" s="5" t="s">
        <v>2515</v>
      </c>
      <c r="H73" s="13" t="s">
        <v>2341</v>
      </c>
      <c r="I73" s="13" t="s">
        <v>2305</v>
      </c>
      <c r="J73" s="4">
        <v>92111</v>
      </c>
      <c r="K73" s="4">
        <v>1</v>
      </c>
      <c r="L73" s="4">
        <v>17</v>
      </c>
      <c r="M73" s="4">
        <v>2016</v>
      </c>
      <c r="N73" s="4">
        <v>1</v>
      </c>
      <c r="O73" s="4">
        <v>2</v>
      </c>
      <c r="P73" s="4">
        <v>2</v>
      </c>
      <c r="Q73" s="19">
        <v>429</v>
      </c>
      <c r="R73" s="16">
        <v>7.0000000000000007E-2</v>
      </c>
      <c r="S73" s="16">
        <v>857.93</v>
      </c>
      <c r="T73" s="5" t="s">
        <v>22</v>
      </c>
      <c r="U73" s="13" t="s">
        <v>301</v>
      </c>
    </row>
    <row r="74" spans="1:21" x14ac:dyDescent="0.35">
      <c r="A74" s="4">
        <v>73</v>
      </c>
      <c r="B74" s="4">
        <v>612</v>
      </c>
      <c r="C74" s="13" t="s">
        <v>464</v>
      </c>
      <c r="D74" s="13" t="s">
        <v>465</v>
      </c>
      <c r="E74" s="5" t="s">
        <v>5566</v>
      </c>
      <c r="F74" s="5" t="s">
        <v>2516</v>
      </c>
      <c r="G74" s="5" t="s">
        <v>2517</v>
      </c>
      <c r="H74" s="13" t="s">
        <v>2518</v>
      </c>
      <c r="I74" s="13" t="s">
        <v>2309</v>
      </c>
      <c r="J74" s="4">
        <v>12020</v>
      </c>
      <c r="K74" s="4">
        <v>1</v>
      </c>
      <c r="L74" s="4">
        <v>22</v>
      </c>
      <c r="M74" s="4">
        <v>2016</v>
      </c>
      <c r="N74" s="4">
        <v>2</v>
      </c>
      <c r="O74" s="4">
        <v>7</v>
      </c>
      <c r="P74" s="4">
        <v>1</v>
      </c>
      <c r="Q74" s="19">
        <v>269.99</v>
      </c>
      <c r="R74" s="16">
        <v>7.0000000000000007E-2</v>
      </c>
      <c r="S74" s="16">
        <v>269.92</v>
      </c>
      <c r="T74" s="5" t="s">
        <v>19</v>
      </c>
      <c r="U74" s="13" t="s">
        <v>299</v>
      </c>
    </row>
    <row r="75" spans="1:21" x14ac:dyDescent="0.35">
      <c r="A75" s="4">
        <v>74</v>
      </c>
      <c r="B75" s="4">
        <v>264</v>
      </c>
      <c r="C75" s="13" t="s">
        <v>466</v>
      </c>
      <c r="D75" s="13" t="s">
        <v>361</v>
      </c>
      <c r="E75" s="5" t="s">
        <v>5566</v>
      </c>
      <c r="F75" s="5" t="s">
        <v>2519</v>
      </c>
      <c r="G75" s="5" t="s">
        <v>2520</v>
      </c>
      <c r="H75" s="13" t="s">
        <v>2469</v>
      </c>
      <c r="I75" s="13" t="s">
        <v>2309</v>
      </c>
      <c r="J75" s="4">
        <v>11530</v>
      </c>
      <c r="K75" s="4">
        <v>1</v>
      </c>
      <c r="L75" s="4">
        <v>16</v>
      </c>
      <c r="M75" s="4">
        <v>2016</v>
      </c>
      <c r="N75" s="4">
        <v>2</v>
      </c>
      <c r="O75" s="4">
        <v>7</v>
      </c>
      <c r="P75" s="4">
        <v>2</v>
      </c>
      <c r="Q75" s="19">
        <v>599.99</v>
      </c>
      <c r="R75" s="16">
        <v>0.05</v>
      </c>
      <c r="S75" s="16">
        <v>1199.93</v>
      </c>
      <c r="T75" s="5" t="s">
        <v>21</v>
      </c>
      <c r="U75" s="13" t="s">
        <v>301</v>
      </c>
    </row>
    <row r="76" spans="1:21" x14ac:dyDescent="0.35">
      <c r="A76" s="4">
        <v>75</v>
      </c>
      <c r="B76" s="4">
        <v>587</v>
      </c>
      <c r="C76" s="13" t="s">
        <v>467</v>
      </c>
      <c r="D76" s="13" t="s">
        <v>468</v>
      </c>
      <c r="E76" s="5" t="s">
        <v>5566</v>
      </c>
      <c r="F76" s="5" t="s">
        <v>2521</v>
      </c>
      <c r="G76" s="5" t="s">
        <v>2522</v>
      </c>
      <c r="H76" s="13" t="s">
        <v>2350</v>
      </c>
      <c r="I76" s="13" t="s">
        <v>2309</v>
      </c>
      <c r="J76" s="4">
        <v>10512</v>
      </c>
      <c r="K76" s="4">
        <v>1</v>
      </c>
      <c r="L76" s="4">
        <v>3</v>
      </c>
      <c r="M76" s="4">
        <v>2016</v>
      </c>
      <c r="N76" s="4">
        <v>2</v>
      </c>
      <c r="O76" s="4">
        <v>6</v>
      </c>
      <c r="P76" s="4">
        <v>1</v>
      </c>
      <c r="Q76" s="19">
        <v>999.99</v>
      </c>
      <c r="R76" s="16">
        <v>0.1</v>
      </c>
      <c r="S76" s="16">
        <v>999.89</v>
      </c>
      <c r="T76" s="5" t="s">
        <v>8</v>
      </c>
      <c r="U76" s="13" t="s">
        <v>304</v>
      </c>
    </row>
    <row r="77" spans="1:21" x14ac:dyDescent="0.35">
      <c r="A77" s="4">
        <v>76</v>
      </c>
      <c r="B77" s="4">
        <v>9</v>
      </c>
      <c r="C77" s="13" t="s">
        <v>469</v>
      </c>
      <c r="D77" s="13" t="s">
        <v>470</v>
      </c>
      <c r="E77" s="5" t="s">
        <v>5566</v>
      </c>
      <c r="F77" s="5" t="s">
        <v>2523</v>
      </c>
      <c r="G77" s="5" t="s">
        <v>2524</v>
      </c>
      <c r="H77" s="13" t="s">
        <v>2525</v>
      </c>
      <c r="I77" s="13" t="s">
        <v>2309</v>
      </c>
      <c r="J77" s="4">
        <v>11050</v>
      </c>
      <c r="K77" s="4">
        <v>1</v>
      </c>
      <c r="L77" s="4">
        <v>12</v>
      </c>
      <c r="M77" s="4">
        <v>2016</v>
      </c>
      <c r="N77" s="4">
        <v>2</v>
      </c>
      <c r="O77" s="4">
        <v>6</v>
      </c>
      <c r="P77" s="4">
        <v>1</v>
      </c>
      <c r="Q77" s="19">
        <v>549.99</v>
      </c>
      <c r="R77" s="16">
        <v>0.05</v>
      </c>
      <c r="S77" s="16">
        <v>549.94000000000005</v>
      </c>
      <c r="T77" s="5" t="s">
        <v>17</v>
      </c>
      <c r="U77" s="13" t="s">
        <v>301</v>
      </c>
    </row>
    <row r="78" spans="1:21" x14ac:dyDescent="0.35">
      <c r="A78" s="4">
        <v>77</v>
      </c>
      <c r="B78" s="4">
        <v>385</v>
      </c>
      <c r="C78" s="13" t="s">
        <v>471</v>
      </c>
      <c r="D78" s="13" t="s">
        <v>472</v>
      </c>
      <c r="E78" s="5" t="s">
        <v>5566</v>
      </c>
      <c r="F78" s="5" t="s">
        <v>2526</v>
      </c>
      <c r="G78" s="5" t="s">
        <v>2527</v>
      </c>
      <c r="H78" s="13" t="s">
        <v>2528</v>
      </c>
      <c r="I78" s="13" t="s">
        <v>2305</v>
      </c>
      <c r="J78" s="4">
        <v>91740</v>
      </c>
      <c r="K78" s="4">
        <v>1</v>
      </c>
      <c r="L78" s="4">
        <v>20</v>
      </c>
      <c r="M78" s="4">
        <v>2016</v>
      </c>
      <c r="N78" s="4">
        <v>1</v>
      </c>
      <c r="O78" s="4">
        <v>2</v>
      </c>
      <c r="P78" s="4">
        <v>1</v>
      </c>
      <c r="Q78" s="19">
        <v>599.99</v>
      </c>
      <c r="R78" s="16">
        <v>7.0000000000000007E-2</v>
      </c>
      <c r="S78" s="16">
        <v>599.91999999999996</v>
      </c>
      <c r="T78" s="5" t="s">
        <v>25</v>
      </c>
      <c r="U78" s="13" t="s">
        <v>301</v>
      </c>
    </row>
    <row r="79" spans="1:21" x14ac:dyDescent="0.35">
      <c r="A79" s="4">
        <v>78</v>
      </c>
      <c r="B79" s="4">
        <v>1182</v>
      </c>
      <c r="C79" s="13" t="s">
        <v>473</v>
      </c>
      <c r="D79" s="13" t="s">
        <v>474</v>
      </c>
      <c r="E79" s="5" t="s">
        <v>5566</v>
      </c>
      <c r="F79" s="5" t="s">
        <v>2529</v>
      </c>
      <c r="G79" s="5" t="s">
        <v>2530</v>
      </c>
      <c r="H79" s="13" t="s">
        <v>2531</v>
      </c>
      <c r="I79" s="13" t="s">
        <v>2309</v>
      </c>
      <c r="J79" s="4">
        <v>11779</v>
      </c>
      <c r="K79" s="4">
        <v>1</v>
      </c>
      <c r="L79" s="4">
        <v>17</v>
      </c>
      <c r="M79" s="4">
        <v>2016</v>
      </c>
      <c r="N79" s="4">
        <v>2</v>
      </c>
      <c r="O79" s="4">
        <v>7</v>
      </c>
      <c r="P79" s="4">
        <v>1</v>
      </c>
      <c r="Q79" s="19">
        <v>429</v>
      </c>
      <c r="R79" s="16">
        <v>7.0000000000000007E-2</v>
      </c>
      <c r="S79" s="16">
        <v>428.93</v>
      </c>
      <c r="T79" s="5" t="s">
        <v>22</v>
      </c>
      <c r="U79" s="13" t="s">
        <v>301</v>
      </c>
    </row>
    <row r="80" spans="1:21" x14ac:dyDescent="0.35">
      <c r="A80" s="4">
        <v>79</v>
      </c>
      <c r="B80" s="4">
        <v>529</v>
      </c>
      <c r="C80" s="13" t="s">
        <v>475</v>
      </c>
      <c r="D80" s="13" t="s">
        <v>476</v>
      </c>
      <c r="E80" s="5" t="s">
        <v>5566</v>
      </c>
      <c r="F80" s="5" t="s">
        <v>2532</v>
      </c>
      <c r="G80" s="5" t="s">
        <v>2533</v>
      </c>
      <c r="H80" s="13" t="s">
        <v>2534</v>
      </c>
      <c r="I80" s="13" t="s">
        <v>2305</v>
      </c>
      <c r="J80" s="4">
        <v>90403</v>
      </c>
      <c r="K80" s="4">
        <v>1</v>
      </c>
      <c r="L80" s="4">
        <v>9</v>
      </c>
      <c r="M80" s="4">
        <v>2016</v>
      </c>
      <c r="N80" s="4">
        <v>1</v>
      </c>
      <c r="O80" s="4">
        <v>3</v>
      </c>
      <c r="P80" s="4">
        <v>2</v>
      </c>
      <c r="Q80" s="19">
        <v>2999.99</v>
      </c>
      <c r="R80" s="16">
        <v>0.1</v>
      </c>
      <c r="S80" s="16">
        <v>5999.8799999999992</v>
      </c>
      <c r="T80" s="5" t="s">
        <v>14</v>
      </c>
      <c r="U80" s="13" t="s">
        <v>303</v>
      </c>
    </row>
    <row r="81" spans="1:21" x14ac:dyDescent="0.35">
      <c r="A81" s="4">
        <v>80</v>
      </c>
      <c r="B81" s="4">
        <v>397</v>
      </c>
      <c r="C81" s="13" t="s">
        <v>477</v>
      </c>
      <c r="D81" s="13" t="s">
        <v>478</v>
      </c>
      <c r="E81" s="5" t="s">
        <v>5566</v>
      </c>
      <c r="F81" s="5" t="s">
        <v>2535</v>
      </c>
      <c r="G81" s="5" t="s">
        <v>2536</v>
      </c>
      <c r="H81" s="13" t="s">
        <v>2479</v>
      </c>
      <c r="I81" s="13" t="s">
        <v>2309</v>
      </c>
      <c r="J81" s="4">
        <v>11010</v>
      </c>
      <c r="K81" s="4">
        <v>1</v>
      </c>
      <c r="L81" s="4">
        <v>26</v>
      </c>
      <c r="M81" s="4">
        <v>2016</v>
      </c>
      <c r="N81" s="4">
        <v>2</v>
      </c>
      <c r="O81" s="4">
        <v>6</v>
      </c>
      <c r="P81" s="4">
        <v>1</v>
      </c>
      <c r="Q81" s="19">
        <v>599.99</v>
      </c>
      <c r="R81" s="16">
        <v>0.1</v>
      </c>
      <c r="S81" s="16">
        <v>599.89</v>
      </c>
      <c r="T81" s="5" t="s">
        <v>21</v>
      </c>
      <c r="U81" s="13" t="s">
        <v>300</v>
      </c>
    </row>
    <row r="82" spans="1:21" x14ac:dyDescent="0.35">
      <c r="A82" s="4">
        <v>81</v>
      </c>
      <c r="B82" s="4">
        <v>521</v>
      </c>
      <c r="C82" s="13" t="s">
        <v>479</v>
      </c>
      <c r="D82" s="13" t="s">
        <v>480</v>
      </c>
      <c r="E82" s="5" t="s">
        <v>5566</v>
      </c>
      <c r="F82" s="5" t="s">
        <v>2537</v>
      </c>
      <c r="G82" s="5" t="s">
        <v>2538</v>
      </c>
      <c r="H82" s="13" t="s">
        <v>2539</v>
      </c>
      <c r="I82" s="13" t="s">
        <v>2309</v>
      </c>
      <c r="J82" s="4">
        <v>11542</v>
      </c>
      <c r="K82" s="4">
        <v>1</v>
      </c>
      <c r="L82" s="4">
        <v>10</v>
      </c>
      <c r="M82" s="4">
        <v>2016</v>
      </c>
      <c r="N82" s="4">
        <v>2</v>
      </c>
      <c r="O82" s="4">
        <v>6</v>
      </c>
      <c r="P82" s="4">
        <v>2</v>
      </c>
      <c r="Q82" s="19">
        <v>1549</v>
      </c>
      <c r="R82" s="16">
        <v>0.2</v>
      </c>
      <c r="S82" s="16">
        <v>3097.8</v>
      </c>
      <c r="T82" s="5" t="s">
        <v>15</v>
      </c>
      <c r="U82" s="13" t="s">
        <v>302</v>
      </c>
    </row>
    <row r="83" spans="1:21" x14ac:dyDescent="0.35">
      <c r="A83" s="4">
        <v>82</v>
      </c>
      <c r="B83" s="4">
        <v>1223</v>
      </c>
      <c r="C83" s="13" t="s">
        <v>481</v>
      </c>
      <c r="D83" s="13" t="s">
        <v>482</v>
      </c>
      <c r="E83" s="5" t="s">
        <v>5566</v>
      </c>
      <c r="F83" s="5" t="s">
        <v>2540</v>
      </c>
      <c r="G83" s="5" t="s">
        <v>2541</v>
      </c>
      <c r="H83" s="13" t="s">
        <v>2507</v>
      </c>
      <c r="I83" s="13" t="s">
        <v>2309</v>
      </c>
      <c r="J83" s="4">
        <v>12553</v>
      </c>
      <c r="K83" s="4">
        <v>1</v>
      </c>
      <c r="L83" s="4">
        <v>25</v>
      </c>
      <c r="M83" s="4">
        <v>2016</v>
      </c>
      <c r="N83" s="4">
        <v>2</v>
      </c>
      <c r="O83" s="4">
        <v>6</v>
      </c>
      <c r="P83" s="4">
        <v>2</v>
      </c>
      <c r="Q83" s="19">
        <v>499.99</v>
      </c>
      <c r="R83" s="16">
        <v>0.1</v>
      </c>
      <c r="S83" s="16">
        <v>999.88</v>
      </c>
      <c r="T83" s="5" t="s">
        <v>27</v>
      </c>
      <c r="U83" s="13" t="s">
        <v>300</v>
      </c>
    </row>
    <row r="84" spans="1:21" x14ac:dyDescent="0.35">
      <c r="A84" s="4">
        <v>83</v>
      </c>
      <c r="B84" s="4">
        <v>393</v>
      </c>
      <c r="C84" s="13" t="s">
        <v>483</v>
      </c>
      <c r="D84" s="13" t="s">
        <v>484</v>
      </c>
      <c r="E84" s="5" t="s">
        <v>5566</v>
      </c>
      <c r="F84" s="5" t="s">
        <v>2542</v>
      </c>
      <c r="G84" s="5" t="s">
        <v>2543</v>
      </c>
      <c r="H84" s="13" t="s">
        <v>2544</v>
      </c>
      <c r="I84" s="13" t="s">
        <v>2305</v>
      </c>
      <c r="J84" s="4">
        <v>91784</v>
      </c>
      <c r="K84" s="4">
        <v>1</v>
      </c>
      <c r="L84" s="4">
        <v>20</v>
      </c>
      <c r="M84" s="4">
        <v>2016</v>
      </c>
      <c r="N84" s="4">
        <v>1</v>
      </c>
      <c r="O84" s="4">
        <v>3</v>
      </c>
      <c r="P84" s="4">
        <v>1</v>
      </c>
      <c r="Q84" s="19">
        <v>599.99</v>
      </c>
      <c r="R84" s="16">
        <v>0.2</v>
      </c>
      <c r="S84" s="16">
        <v>599.79</v>
      </c>
      <c r="T84" s="5" t="s">
        <v>25</v>
      </c>
      <c r="U84" s="13" t="s">
        <v>301</v>
      </c>
    </row>
    <row r="85" spans="1:21" x14ac:dyDescent="0.35">
      <c r="A85" s="4">
        <v>84</v>
      </c>
      <c r="B85" s="4">
        <v>317</v>
      </c>
      <c r="C85" s="13" t="s">
        <v>485</v>
      </c>
      <c r="D85" s="13" t="s">
        <v>463</v>
      </c>
      <c r="E85" s="5" t="s">
        <v>5566</v>
      </c>
      <c r="F85" s="5" t="s">
        <v>2545</v>
      </c>
      <c r="G85" s="5" t="s">
        <v>2546</v>
      </c>
      <c r="H85" s="13" t="s">
        <v>2415</v>
      </c>
      <c r="I85" s="13" t="s">
        <v>2309</v>
      </c>
      <c r="J85" s="4">
        <v>11377</v>
      </c>
      <c r="K85" s="4">
        <v>1</v>
      </c>
      <c r="L85" s="4">
        <v>23</v>
      </c>
      <c r="M85" s="4">
        <v>2016</v>
      </c>
      <c r="N85" s="4">
        <v>2</v>
      </c>
      <c r="O85" s="4">
        <v>7</v>
      </c>
      <c r="P85" s="4">
        <v>2</v>
      </c>
      <c r="Q85" s="19">
        <v>299.99</v>
      </c>
      <c r="R85" s="16">
        <v>7.0000000000000007E-2</v>
      </c>
      <c r="S85" s="16">
        <v>599.91</v>
      </c>
      <c r="T85" s="5" t="s">
        <v>26</v>
      </c>
      <c r="U85" s="13" t="s">
        <v>299</v>
      </c>
    </row>
    <row r="86" spans="1:21" x14ac:dyDescent="0.35">
      <c r="A86" s="4">
        <v>85</v>
      </c>
      <c r="B86" s="4">
        <v>1174</v>
      </c>
      <c r="C86" s="13" t="s">
        <v>486</v>
      </c>
      <c r="D86" s="13" t="s">
        <v>487</v>
      </c>
      <c r="E86" s="5" t="s">
        <v>2547</v>
      </c>
      <c r="F86" s="5" t="s">
        <v>2548</v>
      </c>
      <c r="G86" s="5" t="s">
        <v>2549</v>
      </c>
      <c r="H86" s="13" t="s">
        <v>2334</v>
      </c>
      <c r="I86" s="13" t="s">
        <v>2309</v>
      </c>
      <c r="J86" s="4">
        <v>10701</v>
      </c>
      <c r="K86" s="4">
        <v>1</v>
      </c>
      <c r="L86" s="4">
        <v>4</v>
      </c>
      <c r="M86" s="4">
        <v>2016</v>
      </c>
      <c r="N86" s="4">
        <v>2</v>
      </c>
      <c r="O86" s="4">
        <v>7</v>
      </c>
      <c r="P86" s="4">
        <v>2</v>
      </c>
      <c r="Q86" s="19">
        <v>2899.99</v>
      </c>
      <c r="R86" s="16">
        <v>0.05</v>
      </c>
      <c r="S86" s="16">
        <v>5799.9299999999994</v>
      </c>
      <c r="T86" s="5" t="s">
        <v>9</v>
      </c>
      <c r="U86" s="13" t="s">
        <v>304</v>
      </c>
    </row>
    <row r="87" spans="1:21" x14ac:dyDescent="0.35">
      <c r="A87" s="4">
        <v>86</v>
      </c>
      <c r="B87" s="4">
        <v>276</v>
      </c>
      <c r="C87" s="13" t="s">
        <v>488</v>
      </c>
      <c r="D87" s="13" t="s">
        <v>489</v>
      </c>
      <c r="E87" s="5" t="s">
        <v>5566</v>
      </c>
      <c r="F87" s="5" t="s">
        <v>2550</v>
      </c>
      <c r="G87" s="5" t="s">
        <v>2551</v>
      </c>
      <c r="H87" s="13" t="s">
        <v>2531</v>
      </c>
      <c r="I87" s="13" t="s">
        <v>2309</v>
      </c>
      <c r="J87" s="4">
        <v>11779</v>
      </c>
      <c r="K87" s="4">
        <v>1</v>
      </c>
      <c r="L87" s="4">
        <v>9</v>
      </c>
      <c r="M87" s="4">
        <v>2016</v>
      </c>
      <c r="N87" s="4">
        <v>2</v>
      </c>
      <c r="O87" s="4">
        <v>7</v>
      </c>
      <c r="P87" s="4">
        <v>2</v>
      </c>
      <c r="Q87" s="19">
        <v>2999.99</v>
      </c>
      <c r="R87" s="16">
        <v>0.1</v>
      </c>
      <c r="S87" s="16">
        <v>5999.8799999999992</v>
      </c>
      <c r="T87" s="5" t="s">
        <v>14</v>
      </c>
      <c r="U87" s="13" t="s">
        <v>303</v>
      </c>
    </row>
    <row r="88" spans="1:21" x14ac:dyDescent="0.35">
      <c r="A88" s="4">
        <v>87</v>
      </c>
      <c r="B88" s="4">
        <v>516</v>
      </c>
      <c r="C88" s="13" t="s">
        <v>490</v>
      </c>
      <c r="D88" s="13" t="s">
        <v>491</v>
      </c>
      <c r="E88" s="5" t="s">
        <v>5566</v>
      </c>
      <c r="F88" s="5" t="s">
        <v>2552</v>
      </c>
      <c r="G88" s="5" t="s">
        <v>2553</v>
      </c>
      <c r="H88" s="13" t="s">
        <v>2554</v>
      </c>
      <c r="I88" s="13" t="s">
        <v>2309</v>
      </c>
      <c r="J88" s="4">
        <v>11201</v>
      </c>
      <c r="K88" s="4">
        <v>1</v>
      </c>
      <c r="L88" s="4">
        <v>20</v>
      </c>
      <c r="M88" s="4">
        <v>2016</v>
      </c>
      <c r="N88" s="4">
        <v>2</v>
      </c>
      <c r="O88" s="4">
        <v>6</v>
      </c>
      <c r="P88" s="4">
        <v>2</v>
      </c>
      <c r="Q88" s="19">
        <v>599.99</v>
      </c>
      <c r="R88" s="16">
        <v>0.2</v>
      </c>
      <c r="S88" s="16">
        <v>1199.78</v>
      </c>
      <c r="T88" s="5" t="s">
        <v>25</v>
      </c>
      <c r="U88" s="13" t="s">
        <v>301</v>
      </c>
    </row>
    <row r="89" spans="1:21" x14ac:dyDescent="0.35">
      <c r="A89" s="4">
        <v>88</v>
      </c>
      <c r="B89" s="4">
        <v>1069</v>
      </c>
      <c r="C89" s="13" t="s">
        <v>492</v>
      </c>
      <c r="D89" s="13" t="s">
        <v>493</v>
      </c>
      <c r="E89" s="5" t="s">
        <v>5566</v>
      </c>
      <c r="F89" s="5" t="s">
        <v>2555</v>
      </c>
      <c r="G89" s="5" t="s">
        <v>2556</v>
      </c>
      <c r="H89" s="13" t="s">
        <v>2449</v>
      </c>
      <c r="I89" s="13" t="s">
        <v>2309</v>
      </c>
      <c r="J89" s="4">
        <v>11967</v>
      </c>
      <c r="K89" s="4">
        <v>1</v>
      </c>
      <c r="L89" s="4">
        <v>10</v>
      </c>
      <c r="M89" s="4">
        <v>2016</v>
      </c>
      <c r="N89" s="4">
        <v>2</v>
      </c>
      <c r="O89" s="4">
        <v>6</v>
      </c>
      <c r="P89" s="4">
        <v>1</v>
      </c>
      <c r="Q89" s="19">
        <v>1549</v>
      </c>
      <c r="R89" s="16">
        <v>7.0000000000000007E-2</v>
      </c>
      <c r="S89" s="16">
        <v>1548.93</v>
      </c>
      <c r="T89" s="5" t="s">
        <v>15</v>
      </c>
      <c r="U89" s="13" t="s">
        <v>302</v>
      </c>
    </row>
    <row r="90" spans="1:21" x14ac:dyDescent="0.35">
      <c r="A90" s="4">
        <v>89</v>
      </c>
      <c r="B90" s="4">
        <v>668</v>
      </c>
      <c r="C90" s="13" t="s">
        <v>494</v>
      </c>
      <c r="D90" s="13" t="s">
        <v>495</v>
      </c>
      <c r="E90" s="5" t="s">
        <v>5566</v>
      </c>
      <c r="F90" s="5" t="s">
        <v>2557</v>
      </c>
      <c r="G90" s="5" t="s">
        <v>2558</v>
      </c>
      <c r="H90" s="13" t="s">
        <v>2559</v>
      </c>
      <c r="I90" s="13" t="s">
        <v>2397</v>
      </c>
      <c r="J90" s="4">
        <v>77566</v>
      </c>
      <c r="K90" s="4">
        <v>1</v>
      </c>
      <c r="L90" s="4">
        <v>5</v>
      </c>
      <c r="M90" s="4">
        <v>2016</v>
      </c>
      <c r="N90" s="4">
        <v>3</v>
      </c>
      <c r="O90" s="4">
        <v>8</v>
      </c>
      <c r="P90" s="4">
        <v>1</v>
      </c>
      <c r="Q90" s="19">
        <v>1320.99</v>
      </c>
      <c r="R90" s="16">
        <v>0.05</v>
      </c>
      <c r="S90" s="16">
        <v>1320.94</v>
      </c>
      <c r="T90" s="5" t="s">
        <v>10</v>
      </c>
      <c r="U90" s="13" t="s">
        <v>304</v>
      </c>
    </row>
    <row r="91" spans="1:21" x14ac:dyDescent="0.35">
      <c r="A91" s="4">
        <v>90</v>
      </c>
      <c r="B91" s="4">
        <v>414</v>
      </c>
      <c r="C91" s="13" t="s">
        <v>496</v>
      </c>
      <c r="D91" s="13" t="s">
        <v>497</v>
      </c>
      <c r="E91" s="5" t="s">
        <v>5566</v>
      </c>
      <c r="F91" s="5" t="s">
        <v>2560</v>
      </c>
      <c r="G91" s="5" t="s">
        <v>2561</v>
      </c>
      <c r="H91" s="13" t="s">
        <v>2427</v>
      </c>
      <c r="I91" s="13" t="s">
        <v>2309</v>
      </c>
      <c r="J91" s="4">
        <v>14850</v>
      </c>
      <c r="K91" s="4">
        <v>1</v>
      </c>
      <c r="L91" s="4">
        <v>3</v>
      </c>
      <c r="M91" s="4">
        <v>2016</v>
      </c>
      <c r="N91" s="4">
        <v>2</v>
      </c>
      <c r="O91" s="4">
        <v>7</v>
      </c>
      <c r="P91" s="4">
        <v>1</v>
      </c>
      <c r="Q91" s="19">
        <v>999.99</v>
      </c>
      <c r="R91" s="16">
        <v>0.1</v>
      </c>
      <c r="S91" s="16">
        <v>999.89</v>
      </c>
      <c r="T91" s="5" t="s">
        <v>8</v>
      </c>
      <c r="U91" s="13" t="s">
        <v>304</v>
      </c>
    </row>
    <row r="92" spans="1:21" x14ac:dyDescent="0.35">
      <c r="A92" s="4">
        <v>91</v>
      </c>
      <c r="B92" s="4">
        <v>648</v>
      </c>
      <c r="C92" s="13" t="s">
        <v>498</v>
      </c>
      <c r="D92" s="13" t="s">
        <v>499</v>
      </c>
      <c r="E92" s="5" t="s">
        <v>5566</v>
      </c>
      <c r="F92" s="5" t="s">
        <v>2562</v>
      </c>
      <c r="G92" s="5" t="s">
        <v>2563</v>
      </c>
      <c r="H92" s="13" t="s">
        <v>2564</v>
      </c>
      <c r="I92" s="13" t="s">
        <v>2305</v>
      </c>
      <c r="J92" s="4">
        <v>94806</v>
      </c>
      <c r="K92" s="4">
        <v>1</v>
      </c>
      <c r="L92" s="4">
        <v>11</v>
      </c>
      <c r="M92" s="4">
        <v>2016</v>
      </c>
      <c r="N92" s="4">
        <v>1</v>
      </c>
      <c r="O92" s="4">
        <v>2</v>
      </c>
      <c r="P92" s="4">
        <v>1</v>
      </c>
      <c r="Q92" s="19">
        <v>1680.99</v>
      </c>
      <c r="R92" s="16">
        <v>0.1</v>
      </c>
      <c r="S92" s="16">
        <v>1680.89</v>
      </c>
      <c r="T92" s="5" t="s">
        <v>16</v>
      </c>
      <c r="U92" s="13" t="s">
        <v>302</v>
      </c>
    </row>
    <row r="93" spans="1:21" x14ac:dyDescent="0.35">
      <c r="A93" s="4">
        <v>92</v>
      </c>
      <c r="B93" s="4">
        <v>1309</v>
      </c>
      <c r="C93" s="13" t="s">
        <v>500</v>
      </c>
      <c r="D93" s="13" t="s">
        <v>501</v>
      </c>
      <c r="E93" s="5" t="s">
        <v>5566</v>
      </c>
      <c r="F93" s="5" t="s">
        <v>2565</v>
      </c>
      <c r="G93" s="5" t="s">
        <v>2566</v>
      </c>
      <c r="H93" s="13" t="s">
        <v>2567</v>
      </c>
      <c r="I93" s="13" t="s">
        <v>2309</v>
      </c>
      <c r="J93" s="4">
        <v>11720</v>
      </c>
      <c r="K93" s="4">
        <v>1</v>
      </c>
      <c r="L93" s="4">
        <v>8</v>
      </c>
      <c r="M93" s="4">
        <v>2016</v>
      </c>
      <c r="N93" s="4">
        <v>2</v>
      </c>
      <c r="O93" s="4">
        <v>7</v>
      </c>
      <c r="P93" s="4">
        <v>1</v>
      </c>
      <c r="Q93" s="19">
        <v>1799.99</v>
      </c>
      <c r="R93" s="16">
        <v>0.1</v>
      </c>
      <c r="S93" s="16">
        <v>1799.89</v>
      </c>
      <c r="T93" s="5" t="s">
        <v>13</v>
      </c>
      <c r="U93" s="13" t="s">
        <v>304</v>
      </c>
    </row>
    <row r="94" spans="1:21" x14ac:dyDescent="0.35">
      <c r="A94" s="4">
        <v>93</v>
      </c>
      <c r="B94" s="4">
        <v>1328</v>
      </c>
      <c r="C94" s="13" t="s">
        <v>502</v>
      </c>
      <c r="D94" s="13" t="s">
        <v>503</v>
      </c>
      <c r="E94" s="5" t="s">
        <v>5566</v>
      </c>
      <c r="F94" s="5" t="s">
        <v>2568</v>
      </c>
      <c r="G94" s="5" t="s">
        <v>2569</v>
      </c>
      <c r="H94" s="13" t="s">
        <v>2570</v>
      </c>
      <c r="I94" s="13" t="s">
        <v>2305</v>
      </c>
      <c r="J94" s="4">
        <v>90260</v>
      </c>
      <c r="K94" s="4">
        <v>1</v>
      </c>
      <c r="L94" s="4">
        <v>22</v>
      </c>
      <c r="M94" s="4">
        <v>2016</v>
      </c>
      <c r="N94" s="4">
        <v>1</v>
      </c>
      <c r="O94" s="4">
        <v>3</v>
      </c>
      <c r="P94" s="4">
        <v>2</v>
      </c>
      <c r="Q94" s="19">
        <v>269.99</v>
      </c>
      <c r="R94" s="16">
        <v>7.0000000000000007E-2</v>
      </c>
      <c r="S94" s="16">
        <v>539.91</v>
      </c>
      <c r="T94" s="5" t="s">
        <v>19</v>
      </c>
      <c r="U94" s="13" t="s">
        <v>299</v>
      </c>
    </row>
    <row r="95" spans="1:21" x14ac:dyDescent="0.35">
      <c r="A95" s="4">
        <v>94</v>
      </c>
      <c r="B95" s="4">
        <v>929</v>
      </c>
      <c r="C95" s="13" t="s">
        <v>504</v>
      </c>
      <c r="D95" s="13" t="s">
        <v>333</v>
      </c>
      <c r="E95" s="5" t="s">
        <v>5566</v>
      </c>
      <c r="F95" s="5" t="s">
        <v>2571</v>
      </c>
      <c r="G95" s="5" t="s">
        <v>2572</v>
      </c>
      <c r="H95" s="13" t="s">
        <v>2304</v>
      </c>
      <c r="I95" s="13" t="s">
        <v>2305</v>
      </c>
      <c r="J95" s="4">
        <v>94566</v>
      </c>
      <c r="K95" s="4">
        <v>1</v>
      </c>
      <c r="L95" s="4">
        <v>12</v>
      </c>
      <c r="M95" s="4">
        <v>2016</v>
      </c>
      <c r="N95" s="4">
        <v>1</v>
      </c>
      <c r="O95" s="4">
        <v>2</v>
      </c>
      <c r="P95" s="4">
        <v>1</v>
      </c>
      <c r="Q95" s="19">
        <v>549.99</v>
      </c>
      <c r="R95" s="16">
        <v>0.05</v>
      </c>
      <c r="S95" s="16">
        <v>549.94000000000005</v>
      </c>
      <c r="T95" s="5" t="s">
        <v>17</v>
      </c>
      <c r="U95" s="13" t="s">
        <v>301</v>
      </c>
    </row>
    <row r="96" spans="1:21" x14ac:dyDescent="0.35">
      <c r="A96" s="4">
        <v>95</v>
      </c>
      <c r="B96" s="4">
        <v>218</v>
      </c>
      <c r="C96" s="13" t="s">
        <v>505</v>
      </c>
      <c r="D96" s="13" t="s">
        <v>506</v>
      </c>
      <c r="E96" s="5" t="s">
        <v>5566</v>
      </c>
      <c r="F96" s="5" t="s">
        <v>2573</v>
      </c>
      <c r="G96" s="5" t="s">
        <v>2574</v>
      </c>
      <c r="H96" s="13" t="s">
        <v>2525</v>
      </c>
      <c r="I96" s="13" t="s">
        <v>2309</v>
      </c>
      <c r="J96" s="4">
        <v>11050</v>
      </c>
      <c r="K96" s="4">
        <v>1</v>
      </c>
      <c r="L96" s="4">
        <v>10</v>
      </c>
      <c r="M96" s="4">
        <v>2016</v>
      </c>
      <c r="N96" s="4">
        <v>2</v>
      </c>
      <c r="O96" s="4">
        <v>7</v>
      </c>
      <c r="P96" s="4">
        <v>2</v>
      </c>
      <c r="Q96" s="19">
        <v>1549</v>
      </c>
      <c r="R96" s="16">
        <v>0.2</v>
      </c>
      <c r="S96" s="16">
        <v>3097.8</v>
      </c>
      <c r="T96" s="5" t="s">
        <v>15</v>
      </c>
      <c r="U96" s="13" t="s">
        <v>302</v>
      </c>
    </row>
    <row r="97" spans="1:21" x14ac:dyDescent="0.35">
      <c r="A97" s="4">
        <v>96</v>
      </c>
      <c r="B97" s="4">
        <v>1094</v>
      </c>
      <c r="C97" s="13" t="s">
        <v>507</v>
      </c>
      <c r="D97" s="13" t="s">
        <v>508</v>
      </c>
      <c r="E97" s="5" t="s">
        <v>5566</v>
      </c>
      <c r="F97" s="5" t="s">
        <v>2575</v>
      </c>
      <c r="G97" s="5" t="s">
        <v>2576</v>
      </c>
      <c r="H97" s="13" t="s">
        <v>2577</v>
      </c>
      <c r="I97" s="13" t="s">
        <v>2309</v>
      </c>
      <c r="J97" s="4">
        <v>11757</v>
      </c>
      <c r="K97" s="4">
        <v>1</v>
      </c>
      <c r="L97" s="4">
        <v>26</v>
      </c>
      <c r="M97" s="4">
        <v>2016</v>
      </c>
      <c r="N97" s="4">
        <v>2</v>
      </c>
      <c r="O97" s="4">
        <v>7</v>
      </c>
      <c r="P97" s="4">
        <v>1</v>
      </c>
      <c r="Q97" s="19">
        <v>599.99</v>
      </c>
      <c r="R97" s="16">
        <v>0.1</v>
      </c>
      <c r="S97" s="16">
        <v>599.89</v>
      </c>
      <c r="T97" s="5" t="s">
        <v>21</v>
      </c>
      <c r="U97" s="13" t="s">
        <v>300</v>
      </c>
    </row>
    <row r="98" spans="1:21" x14ac:dyDescent="0.35">
      <c r="A98" s="4">
        <v>97</v>
      </c>
      <c r="B98" s="4">
        <v>204</v>
      </c>
      <c r="C98" s="13" t="s">
        <v>509</v>
      </c>
      <c r="D98" s="13" t="s">
        <v>510</v>
      </c>
      <c r="E98" s="5" t="s">
        <v>5566</v>
      </c>
      <c r="F98" s="5" t="s">
        <v>2578</v>
      </c>
      <c r="G98" s="5" t="s">
        <v>2579</v>
      </c>
      <c r="H98" s="13" t="s">
        <v>2580</v>
      </c>
      <c r="I98" s="13" t="s">
        <v>2309</v>
      </c>
      <c r="J98" s="4">
        <v>11570</v>
      </c>
      <c r="K98" s="4">
        <v>1</v>
      </c>
      <c r="L98" s="4">
        <v>20</v>
      </c>
      <c r="M98" s="4">
        <v>2016</v>
      </c>
      <c r="N98" s="4">
        <v>2</v>
      </c>
      <c r="O98" s="4">
        <v>7</v>
      </c>
      <c r="P98" s="4">
        <v>2</v>
      </c>
      <c r="Q98" s="19">
        <v>599.99</v>
      </c>
      <c r="R98" s="16">
        <v>0.2</v>
      </c>
      <c r="S98" s="16">
        <v>1199.78</v>
      </c>
      <c r="T98" s="5" t="s">
        <v>25</v>
      </c>
      <c r="U98" s="13" t="s">
        <v>301</v>
      </c>
    </row>
    <row r="99" spans="1:21" x14ac:dyDescent="0.35">
      <c r="A99" s="4">
        <v>98</v>
      </c>
      <c r="B99" s="4">
        <v>1194</v>
      </c>
      <c r="C99" s="13" t="s">
        <v>511</v>
      </c>
      <c r="D99" s="13" t="s">
        <v>512</v>
      </c>
      <c r="E99" s="5" t="s">
        <v>5566</v>
      </c>
      <c r="F99" s="5" t="s">
        <v>2581</v>
      </c>
      <c r="G99" s="5" t="s">
        <v>2582</v>
      </c>
      <c r="H99" s="13" t="s">
        <v>2583</v>
      </c>
      <c r="I99" s="13" t="s">
        <v>2309</v>
      </c>
      <c r="J99" s="4">
        <v>14534</v>
      </c>
      <c r="K99" s="4">
        <v>1</v>
      </c>
      <c r="L99" s="4">
        <v>19</v>
      </c>
      <c r="M99" s="4">
        <v>2016</v>
      </c>
      <c r="N99" s="4">
        <v>2</v>
      </c>
      <c r="O99" s="4">
        <v>6</v>
      </c>
      <c r="P99" s="4">
        <v>1</v>
      </c>
      <c r="Q99" s="19">
        <v>449</v>
      </c>
      <c r="R99" s="16">
        <v>7.0000000000000007E-2</v>
      </c>
      <c r="S99" s="16">
        <v>448.93</v>
      </c>
      <c r="T99" s="5" t="s">
        <v>24</v>
      </c>
      <c r="U99" s="13" t="s">
        <v>301</v>
      </c>
    </row>
    <row r="100" spans="1:21" x14ac:dyDescent="0.35">
      <c r="A100" s="4">
        <v>99</v>
      </c>
      <c r="B100" s="4">
        <v>1165</v>
      </c>
      <c r="C100" s="13" t="s">
        <v>513</v>
      </c>
      <c r="D100" s="13" t="s">
        <v>514</v>
      </c>
      <c r="E100" s="5" t="s">
        <v>2584</v>
      </c>
      <c r="F100" s="5" t="s">
        <v>2585</v>
      </c>
      <c r="G100" s="5" t="s">
        <v>2586</v>
      </c>
      <c r="H100" s="13" t="s">
        <v>2587</v>
      </c>
      <c r="I100" s="13" t="s">
        <v>2397</v>
      </c>
      <c r="J100" s="4">
        <v>76110</v>
      </c>
      <c r="K100" s="4">
        <v>1</v>
      </c>
      <c r="L100" s="4">
        <v>13</v>
      </c>
      <c r="M100" s="4">
        <v>2016</v>
      </c>
      <c r="N100" s="4">
        <v>3</v>
      </c>
      <c r="O100" s="4">
        <v>9</v>
      </c>
      <c r="P100" s="4">
        <v>1</v>
      </c>
      <c r="Q100" s="19">
        <v>269.99</v>
      </c>
      <c r="R100" s="16">
        <v>0.2</v>
      </c>
      <c r="S100" s="16">
        <v>269.79000000000002</v>
      </c>
      <c r="T100" s="5" t="s">
        <v>18</v>
      </c>
      <c r="U100" s="13" t="s">
        <v>301</v>
      </c>
    </row>
    <row r="101" spans="1:21" x14ac:dyDescent="0.35">
      <c r="A101" s="4">
        <v>100</v>
      </c>
      <c r="B101" s="4">
        <v>1237</v>
      </c>
      <c r="C101" s="13" t="s">
        <v>515</v>
      </c>
      <c r="D101" s="13" t="s">
        <v>516</v>
      </c>
      <c r="E101" s="5" t="s">
        <v>5566</v>
      </c>
      <c r="F101" s="5" t="s">
        <v>2588</v>
      </c>
      <c r="G101" s="5" t="s">
        <v>2589</v>
      </c>
      <c r="H101" s="13" t="s">
        <v>2590</v>
      </c>
      <c r="I101" s="13" t="s">
        <v>2309</v>
      </c>
      <c r="J101" s="4">
        <v>11714</v>
      </c>
      <c r="K101" s="4">
        <v>1</v>
      </c>
      <c r="L101" s="4">
        <v>12</v>
      </c>
      <c r="M101" s="4">
        <v>2016</v>
      </c>
      <c r="N101" s="4">
        <v>2</v>
      </c>
      <c r="O101" s="4">
        <v>7</v>
      </c>
      <c r="P101" s="4">
        <v>2</v>
      </c>
      <c r="Q101" s="19">
        <v>549.99</v>
      </c>
      <c r="R101" s="16">
        <v>0.05</v>
      </c>
      <c r="S101" s="16">
        <v>1099.93</v>
      </c>
      <c r="T101" s="5" t="s">
        <v>17</v>
      </c>
      <c r="U101" s="13" t="s">
        <v>301</v>
      </c>
    </row>
    <row r="102" spans="1:21" x14ac:dyDescent="0.35">
      <c r="A102" s="4">
        <v>101</v>
      </c>
      <c r="B102" s="4">
        <v>271</v>
      </c>
      <c r="C102" s="13" t="s">
        <v>517</v>
      </c>
      <c r="D102" s="13" t="s">
        <v>518</v>
      </c>
      <c r="E102" s="5" t="s">
        <v>5566</v>
      </c>
      <c r="F102" s="5" t="s">
        <v>2591</v>
      </c>
      <c r="G102" s="5" t="s">
        <v>2592</v>
      </c>
      <c r="H102" s="13" t="s">
        <v>2593</v>
      </c>
      <c r="I102" s="13" t="s">
        <v>2397</v>
      </c>
      <c r="J102" s="4">
        <v>75604</v>
      </c>
      <c r="K102" s="4">
        <v>1</v>
      </c>
      <c r="L102" s="4">
        <v>12</v>
      </c>
      <c r="M102" s="4">
        <v>2016</v>
      </c>
      <c r="N102" s="4">
        <v>3</v>
      </c>
      <c r="O102" s="4">
        <v>8</v>
      </c>
      <c r="P102" s="4">
        <v>2</v>
      </c>
      <c r="Q102" s="19">
        <v>549.99</v>
      </c>
      <c r="R102" s="16">
        <v>0.2</v>
      </c>
      <c r="S102" s="16">
        <v>1099.78</v>
      </c>
      <c r="T102" s="5" t="s">
        <v>17</v>
      </c>
      <c r="U102" s="13" t="s">
        <v>301</v>
      </c>
    </row>
    <row r="103" spans="1:21" x14ac:dyDescent="0.35">
      <c r="A103" s="4">
        <v>102</v>
      </c>
      <c r="B103" s="4">
        <v>336</v>
      </c>
      <c r="C103" s="13" t="s">
        <v>519</v>
      </c>
      <c r="D103" s="13" t="s">
        <v>520</v>
      </c>
      <c r="E103" s="5" t="s">
        <v>2594</v>
      </c>
      <c r="F103" s="5" t="s">
        <v>2595</v>
      </c>
      <c r="G103" s="5" t="s">
        <v>2596</v>
      </c>
      <c r="H103" s="13" t="s">
        <v>2597</v>
      </c>
      <c r="I103" s="13" t="s">
        <v>2309</v>
      </c>
      <c r="J103" s="4">
        <v>14086</v>
      </c>
      <c r="K103" s="4">
        <v>1</v>
      </c>
      <c r="L103" s="4">
        <v>15</v>
      </c>
      <c r="M103" s="4">
        <v>2016</v>
      </c>
      <c r="N103" s="4">
        <v>2</v>
      </c>
      <c r="O103" s="4">
        <v>7</v>
      </c>
      <c r="P103" s="4">
        <v>1</v>
      </c>
      <c r="Q103" s="19">
        <v>529.99</v>
      </c>
      <c r="R103" s="16">
        <v>0.05</v>
      </c>
      <c r="S103" s="16">
        <v>529.94000000000005</v>
      </c>
      <c r="T103" s="5" t="s">
        <v>20</v>
      </c>
      <c r="U103" s="13" t="s">
        <v>301</v>
      </c>
    </row>
    <row r="104" spans="1:21" x14ac:dyDescent="0.35">
      <c r="A104" s="4">
        <v>103</v>
      </c>
      <c r="B104" s="4">
        <v>991</v>
      </c>
      <c r="C104" s="13" t="s">
        <v>521</v>
      </c>
      <c r="D104" s="13" t="s">
        <v>394</v>
      </c>
      <c r="E104" s="5" t="s">
        <v>5566</v>
      </c>
      <c r="F104" s="5" t="s">
        <v>2598</v>
      </c>
      <c r="G104" s="5" t="s">
        <v>2599</v>
      </c>
      <c r="H104" s="13" t="s">
        <v>2365</v>
      </c>
      <c r="I104" s="13" t="s">
        <v>2305</v>
      </c>
      <c r="J104" s="4">
        <v>91387</v>
      </c>
      <c r="K104" s="4">
        <v>1</v>
      </c>
      <c r="L104" s="4">
        <v>17</v>
      </c>
      <c r="M104" s="4">
        <v>2016</v>
      </c>
      <c r="N104" s="4">
        <v>1</v>
      </c>
      <c r="O104" s="4">
        <v>2</v>
      </c>
      <c r="P104" s="4">
        <v>1</v>
      </c>
      <c r="Q104" s="19">
        <v>429</v>
      </c>
      <c r="R104" s="16">
        <v>7.0000000000000007E-2</v>
      </c>
      <c r="S104" s="16">
        <v>428.93</v>
      </c>
      <c r="T104" s="5" t="s">
        <v>22</v>
      </c>
      <c r="U104" s="13" t="s">
        <v>301</v>
      </c>
    </row>
    <row r="105" spans="1:21" x14ac:dyDescent="0.35">
      <c r="A105" s="4">
        <v>104</v>
      </c>
      <c r="B105" s="4">
        <v>7</v>
      </c>
      <c r="C105" s="13" t="s">
        <v>522</v>
      </c>
      <c r="D105" s="13" t="s">
        <v>523</v>
      </c>
      <c r="E105" s="5" t="s">
        <v>2600</v>
      </c>
      <c r="F105" s="5" t="s">
        <v>2601</v>
      </c>
      <c r="G105" s="5" t="s">
        <v>2602</v>
      </c>
      <c r="H105" s="13" t="s">
        <v>2406</v>
      </c>
      <c r="I105" s="13" t="s">
        <v>2309</v>
      </c>
      <c r="J105" s="4">
        <v>14215</v>
      </c>
      <c r="K105" s="4">
        <v>1</v>
      </c>
      <c r="L105" s="4">
        <v>19</v>
      </c>
      <c r="M105" s="4">
        <v>2016</v>
      </c>
      <c r="N105" s="4">
        <v>2</v>
      </c>
      <c r="O105" s="4">
        <v>7</v>
      </c>
      <c r="P105" s="4">
        <v>2</v>
      </c>
      <c r="Q105" s="19">
        <v>449</v>
      </c>
      <c r="R105" s="16">
        <v>0.1</v>
      </c>
      <c r="S105" s="16">
        <v>897.9</v>
      </c>
      <c r="T105" s="5" t="s">
        <v>24</v>
      </c>
      <c r="U105" s="13" t="s">
        <v>301</v>
      </c>
    </row>
    <row r="106" spans="1:21" x14ac:dyDescent="0.35">
      <c r="A106" s="4">
        <v>105</v>
      </c>
      <c r="B106" s="4">
        <v>306</v>
      </c>
      <c r="C106" s="13" t="s">
        <v>524</v>
      </c>
      <c r="D106" s="13" t="s">
        <v>525</v>
      </c>
      <c r="E106" s="5" t="s">
        <v>5566</v>
      </c>
      <c r="F106" s="5" t="s">
        <v>2603</v>
      </c>
      <c r="G106" s="5" t="s">
        <v>2604</v>
      </c>
      <c r="H106" s="13" t="s">
        <v>2605</v>
      </c>
      <c r="I106" s="13" t="s">
        <v>2309</v>
      </c>
      <c r="J106" s="4">
        <v>12401</v>
      </c>
      <c r="K106" s="4">
        <v>1</v>
      </c>
      <c r="L106" s="4">
        <v>11</v>
      </c>
      <c r="M106" s="4">
        <v>2016</v>
      </c>
      <c r="N106" s="4">
        <v>2</v>
      </c>
      <c r="O106" s="4">
        <v>7</v>
      </c>
      <c r="P106" s="4">
        <v>2</v>
      </c>
      <c r="Q106" s="19">
        <v>1680.99</v>
      </c>
      <c r="R106" s="16">
        <v>0.2</v>
      </c>
      <c r="S106" s="16">
        <v>3361.78</v>
      </c>
      <c r="T106" s="5" t="s">
        <v>16</v>
      </c>
      <c r="U106" s="13" t="s">
        <v>302</v>
      </c>
    </row>
    <row r="107" spans="1:21" x14ac:dyDescent="0.35">
      <c r="A107" s="4">
        <v>106</v>
      </c>
      <c r="B107" s="4">
        <v>422</v>
      </c>
      <c r="C107" s="13" t="s">
        <v>526</v>
      </c>
      <c r="D107" s="13" t="s">
        <v>527</v>
      </c>
      <c r="E107" s="5" t="s">
        <v>5566</v>
      </c>
      <c r="F107" s="5" t="s">
        <v>2606</v>
      </c>
      <c r="G107" s="5" t="s">
        <v>2607</v>
      </c>
      <c r="H107" s="13" t="s">
        <v>2608</v>
      </c>
      <c r="I107" s="13" t="s">
        <v>2397</v>
      </c>
      <c r="J107" s="4">
        <v>77904</v>
      </c>
      <c r="K107" s="4">
        <v>1</v>
      </c>
      <c r="L107" s="4">
        <v>17</v>
      </c>
      <c r="M107" s="4">
        <v>2016</v>
      </c>
      <c r="N107" s="4">
        <v>3</v>
      </c>
      <c r="O107" s="4">
        <v>9</v>
      </c>
      <c r="P107" s="4">
        <v>1</v>
      </c>
      <c r="Q107" s="19">
        <v>429</v>
      </c>
      <c r="R107" s="16">
        <v>0.1</v>
      </c>
      <c r="S107" s="16">
        <v>428.9</v>
      </c>
      <c r="T107" s="5" t="s">
        <v>22</v>
      </c>
      <c r="U107" s="13" t="s">
        <v>301</v>
      </c>
    </row>
    <row r="108" spans="1:21" x14ac:dyDescent="0.35">
      <c r="A108" s="4">
        <v>107</v>
      </c>
      <c r="B108" s="4">
        <v>633</v>
      </c>
      <c r="C108" s="13" t="s">
        <v>528</v>
      </c>
      <c r="D108" s="13" t="s">
        <v>529</v>
      </c>
      <c r="E108" s="5" t="s">
        <v>2609</v>
      </c>
      <c r="F108" s="5" t="s">
        <v>2610</v>
      </c>
      <c r="G108" s="5" t="s">
        <v>2611</v>
      </c>
      <c r="H108" s="13" t="s">
        <v>2460</v>
      </c>
      <c r="I108" s="13" t="s">
        <v>2305</v>
      </c>
      <c r="J108" s="4">
        <v>92806</v>
      </c>
      <c r="K108" s="4">
        <v>1</v>
      </c>
      <c r="L108" s="4">
        <v>19</v>
      </c>
      <c r="M108" s="4">
        <v>2016</v>
      </c>
      <c r="N108" s="4">
        <v>1</v>
      </c>
      <c r="O108" s="4">
        <v>2</v>
      </c>
      <c r="P108" s="4">
        <v>1</v>
      </c>
      <c r="Q108" s="19">
        <v>449</v>
      </c>
      <c r="R108" s="16">
        <v>0.2</v>
      </c>
      <c r="S108" s="16">
        <v>448.8</v>
      </c>
      <c r="T108" s="5" t="s">
        <v>24</v>
      </c>
      <c r="U108" s="13" t="s">
        <v>301</v>
      </c>
    </row>
    <row r="109" spans="1:21" x14ac:dyDescent="0.35">
      <c r="A109" s="4">
        <v>108</v>
      </c>
      <c r="B109" s="4">
        <v>12</v>
      </c>
      <c r="C109" s="13" t="s">
        <v>530</v>
      </c>
      <c r="D109" s="13" t="s">
        <v>531</v>
      </c>
      <c r="E109" s="5" t="s">
        <v>2612</v>
      </c>
      <c r="F109" s="5" t="s">
        <v>2613</v>
      </c>
      <c r="G109" s="5" t="s">
        <v>2614</v>
      </c>
      <c r="H109" s="13" t="s">
        <v>2615</v>
      </c>
      <c r="I109" s="13" t="s">
        <v>2309</v>
      </c>
      <c r="J109" s="4">
        <v>11550</v>
      </c>
      <c r="K109" s="4">
        <v>1</v>
      </c>
      <c r="L109" s="4">
        <v>11</v>
      </c>
      <c r="M109" s="4">
        <v>2016</v>
      </c>
      <c r="N109" s="4">
        <v>2</v>
      </c>
      <c r="O109" s="4">
        <v>6</v>
      </c>
      <c r="P109" s="4">
        <v>1</v>
      </c>
      <c r="Q109" s="19">
        <v>1680.99</v>
      </c>
      <c r="R109" s="16">
        <v>0.1</v>
      </c>
      <c r="S109" s="16">
        <v>1680.89</v>
      </c>
      <c r="T109" s="5" t="s">
        <v>16</v>
      </c>
      <c r="U109" s="13" t="s">
        <v>302</v>
      </c>
    </row>
    <row r="110" spans="1:21" x14ac:dyDescent="0.35">
      <c r="A110" s="4">
        <v>109</v>
      </c>
      <c r="B110" s="4">
        <v>1255</v>
      </c>
      <c r="C110" s="13" t="s">
        <v>532</v>
      </c>
      <c r="D110" s="13" t="s">
        <v>533</v>
      </c>
      <c r="E110" s="5" t="s">
        <v>5566</v>
      </c>
      <c r="F110" s="5" t="s">
        <v>2616</v>
      </c>
      <c r="G110" s="5" t="s">
        <v>2617</v>
      </c>
      <c r="H110" s="13" t="s">
        <v>2427</v>
      </c>
      <c r="I110" s="13" t="s">
        <v>2309</v>
      </c>
      <c r="J110" s="4">
        <v>14850</v>
      </c>
      <c r="K110" s="4">
        <v>1</v>
      </c>
      <c r="L110" s="4">
        <v>22</v>
      </c>
      <c r="M110" s="4">
        <v>2016</v>
      </c>
      <c r="N110" s="4">
        <v>2</v>
      </c>
      <c r="O110" s="4">
        <v>6</v>
      </c>
      <c r="P110" s="4">
        <v>2</v>
      </c>
      <c r="Q110" s="19">
        <v>269.99</v>
      </c>
      <c r="R110" s="16">
        <v>0.1</v>
      </c>
      <c r="S110" s="16">
        <v>539.88</v>
      </c>
      <c r="T110" s="5" t="s">
        <v>19</v>
      </c>
      <c r="U110" s="13" t="s">
        <v>299</v>
      </c>
    </row>
    <row r="111" spans="1:21" x14ac:dyDescent="0.35">
      <c r="A111" s="4">
        <v>110</v>
      </c>
      <c r="B111" s="4">
        <v>677</v>
      </c>
      <c r="C111" s="13" t="s">
        <v>534</v>
      </c>
      <c r="D111" s="13" t="s">
        <v>535</v>
      </c>
      <c r="E111" s="5" t="s">
        <v>5566</v>
      </c>
      <c r="F111" s="5" t="s">
        <v>2618</v>
      </c>
      <c r="G111" s="5" t="s">
        <v>2619</v>
      </c>
      <c r="H111" s="13" t="s">
        <v>2620</v>
      </c>
      <c r="I111" s="13" t="s">
        <v>2397</v>
      </c>
      <c r="J111" s="4">
        <v>78023</v>
      </c>
      <c r="K111" s="4">
        <v>1</v>
      </c>
      <c r="L111" s="4">
        <v>14</v>
      </c>
      <c r="M111" s="4">
        <v>2016</v>
      </c>
      <c r="N111" s="4">
        <v>3</v>
      </c>
      <c r="O111" s="4">
        <v>9</v>
      </c>
      <c r="P111" s="4">
        <v>1</v>
      </c>
      <c r="Q111" s="19">
        <v>269.99</v>
      </c>
      <c r="R111" s="16">
        <v>0.1</v>
      </c>
      <c r="S111" s="16">
        <v>269.89</v>
      </c>
      <c r="T111" s="5" t="s">
        <v>19</v>
      </c>
      <c r="U111" s="13" t="s">
        <v>301</v>
      </c>
    </row>
    <row r="112" spans="1:21" x14ac:dyDescent="0.35">
      <c r="A112" s="4">
        <v>111</v>
      </c>
      <c r="B112" s="4">
        <v>630</v>
      </c>
      <c r="C112" s="13" t="s">
        <v>536</v>
      </c>
      <c r="D112" s="13" t="s">
        <v>537</v>
      </c>
      <c r="E112" s="5" t="s">
        <v>5566</v>
      </c>
      <c r="F112" s="5" t="s">
        <v>2621</v>
      </c>
      <c r="G112" s="5" t="s">
        <v>2622</v>
      </c>
      <c r="H112" s="13" t="s">
        <v>2623</v>
      </c>
      <c r="I112" s="13" t="s">
        <v>2309</v>
      </c>
      <c r="J112" s="4">
        <v>12010</v>
      </c>
      <c r="K112" s="4">
        <v>1</v>
      </c>
      <c r="L112" s="4">
        <v>14</v>
      </c>
      <c r="M112" s="4">
        <v>2016</v>
      </c>
      <c r="N112" s="4">
        <v>2</v>
      </c>
      <c r="O112" s="4">
        <v>6</v>
      </c>
      <c r="P112" s="4">
        <v>1</v>
      </c>
      <c r="Q112" s="19">
        <v>269.99</v>
      </c>
      <c r="R112" s="16">
        <v>0.1</v>
      </c>
      <c r="S112" s="16">
        <v>269.89</v>
      </c>
      <c r="T112" s="5" t="s">
        <v>19</v>
      </c>
      <c r="U112" s="13" t="s">
        <v>301</v>
      </c>
    </row>
    <row r="113" spans="1:21" x14ac:dyDescent="0.35">
      <c r="A113" s="4">
        <v>112</v>
      </c>
      <c r="B113" s="4">
        <v>469</v>
      </c>
      <c r="C113" s="13" t="s">
        <v>538</v>
      </c>
      <c r="D113" s="13" t="s">
        <v>539</v>
      </c>
      <c r="E113" s="5" t="s">
        <v>5566</v>
      </c>
      <c r="F113" s="5" t="s">
        <v>2624</v>
      </c>
      <c r="G113" s="5" t="s">
        <v>2625</v>
      </c>
      <c r="H113" s="13" t="s">
        <v>2387</v>
      </c>
      <c r="I113" s="13" t="s">
        <v>2309</v>
      </c>
      <c r="J113" s="4">
        <v>11418</v>
      </c>
      <c r="K113" s="4">
        <v>1</v>
      </c>
      <c r="L113" s="4">
        <v>23</v>
      </c>
      <c r="M113" s="4">
        <v>2016</v>
      </c>
      <c r="N113" s="4">
        <v>2</v>
      </c>
      <c r="O113" s="4">
        <v>6</v>
      </c>
      <c r="P113" s="4">
        <v>2</v>
      </c>
      <c r="Q113" s="19">
        <v>299.99</v>
      </c>
      <c r="R113" s="16">
        <v>0.2</v>
      </c>
      <c r="S113" s="16">
        <v>599.78</v>
      </c>
      <c r="T113" s="5" t="s">
        <v>26</v>
      </c>
      <c r="U113" s="13" t="s">
        <v>299</v>
      </c>
    </row>
    <row r="114" spans="1:21" x14ac:dyDescent="0.35">
      <c r="A114" s="4">
        <v>113</v>
      </c>
      <c r="B114" s="4">
        <v>1078</v>
      </c>
      <c r="C114" s="13" t="s">
        <v>540</v>
      </c>
      <c r="D114" s="13" t="s">
        <v>541</v>
      </c>
      <c r="E114" s="5" t="s">
        <v>5566</v>
      </c>
      <c r="F114" s="5" t="s">
        <v>2626</v>
      </c>
      <c r="G114" s="5" t="s">
        <v>2627</v>
      </c>
      <c r="H114" s="13" t="s">
        <v>2628</v>
      </c>
      <c r="I114" s="13" t="s">
        <v>2309</v>
      </c>
      <c r="J114" s="4">
        <v>11375</v>
      </c>
      <c r="K114" s="4">
        <v>1</v>
      </c>
      <c r="L114" s="4">
        <v>12</v>
      </c>
      <c r="M114" s="4">
        <v>2016</v>
      </c>
      <c r="N114" s="4">
        <v>2</v>
      </c>
      <c r="O114" s="4">
        <v>6</v>
      </c>
      <c r="P114" s="4">
        <v>2</v>
      </c>
      <c r="Q114" s="19">
        <v>549.99</v>
      </c>
      <c r="R114" s="16">
        <v>7.0000000000000007E-2</v>
      </c>
      <c r="S114" s="16">
        <v>1099.9100000000001</v>
      </c>
      <c r="T114" s="5" t="s">
        <v>17</v>
      </c>
      <c r="U114" s="13" t="s">
        <v>301</v>
      </c>
    </row>
    <row r="115" spans="1:21" x14ac:dyDescent="0.35">
      <c r="A115" s="4">
        <v>114</v>
      </c>
      <c r="B115" s="4">
        <v>1431</v>
      </c>
      <c r="C115" s="13" t="s">
        <v>440</v>
      </c>
      <c r="D115" s="13" t="s">
        <v>542</v>
      </c>
      <c r="E115" s="5" t="s">
        <v>5566</v>
      </c>
      <c r="F115" s="5" t="s">
        <v>2629</v>
      </c>
      <c r="G115" s="5" t="s">
        <v>2630</v>
      </c>
      <c r="H115" s="13" t="s">
        <v>2631</v>
      </c>
      <c r="I115" s="13" t="s">
        <v>2309</v>
      </c>
      <c r="J115" s="4">
        <v>11369</v>
      </c>
      <c r="K115" s="4">
        <v>1</v>
      </c>
      <c r="L115" s="4">
        <v>12</v>
      </c>
      <c r="M115" s="4">
        <v>2016</v>
      </c>
      <c r="N115" s="4">
        <v>2</v>
      </c>
      <c r="O115" s="4">
        <v>7</v>
      </c>
      <c r="P115" s="4">
        <v>1</v>
      </c>
      <c r="Q115" s="19">
        <v>549.99</v>
      </c>
      <c r="R115" s="16">
        <v>0.05</v>
      </c>
      <c r="S115" s="16">
        <v>549.94000000000005</v>
      </c>
      <c r="T115" s="5" t="s">
        <v>17</v>
      </c>
      <c r="U115" s="13" t="s">
        <v>301</v>
      </c>
    </row>
    <row r="116" spans="1:21" x14ac:dyDescent="0.35">
      <c r="A116" s="4">
        <v>115</v>
      </c>
      <c r="B116" s="4">
        <v>1369</v>
      </c>
      <c r="C116" s="13" t="s">
        <v>543</v>
      </c>
      <c r="D116" s="13" t="s">
        <v>544</v>
      </c>
      <c r="E116" s="5" t="s">
        <v>5566</v>
      </c>
      <c r="F116" s="5" t="s">
        <v>2632</v>
      </c>
      <c r="G116" s="5" t="s">
        <v>2633</v>
      </c>
      <c r="H116" s="13" t="s">
        <v>2449</v>
      </c>
      <c r="I116" s="13" t="s">
        <v>2309</v>
      </c>
      <c r="J116" s="4">
        <v>11967</v>
      </c>
      <c r="K116" s="4">
        <v>1</v>
      </c>
      <c r="L116" s="4">
        <v>22</v>
      </c>
      <c r="M116" s="4">
        <v>2016</v>
      </c>
      <c r="N116" s="4">
        <v>2</v>
      </c>
      <c r="O116" s="4">
        <v>7</v>
      </c>
      <c r="P116" s="4">
        <v>1</v>
      </c>
      <c r="Q116" s="19">
        <v>269.99</v>
      </c>
      <c r="R116" s="16">
        <v>0.2</v>
      </c>
      <c r="S116" s="16">
        <v>269.79000000000002</v>
      </c>
      <c r="T116" s="5" t="s">
        <v>19</v>
      </c>
      <c r="U116" s="13" t="s">
        <v>299</v>
      </c>
    </row>
    <row r="117" spans="1:21" x14ac:dyDescent="0.35">
      <c r="A117" s="4">
        <v>116</v>
      </c>
      <c r="B117" s="4">
        <v>471</v>
      </c>
      <c r="C117" s="13" t="s">
        <v>545</v>
      </c>
      <c r="D117" s="13" t="s">
        <v>546</v>
      </c>
      <c r="E117" s="5" t="s">
        <v>5566</v>
      </c>
      <c r="F117" s="5" t="s">
        <v>2634</v>
      </c>
      <c r="G117" s="5" t="s">
        <v>2635</v>
      </c>
      <c r="H117" s="13" t="s">
        <v>2636</v>
      </c>
      <c r="I117" s="13" t="s">
        <v>2309</v>
      </c>
      <c r="J117" s="4">
        <v>11520</v>
      </c>
      <c r="K117" s="4">
        <v>1</v>
      </c>
      <c r="L117" s="4">
        <v>26</v>
      </c>
      <c r="M117" s="4">
        <v>2016</v>
      </c>
      <c r="N117" s="4">
        <v>2</v>
      </c>
      <c r="O117" s="4">
        <v>7</v>
      </c>
      <c r="P117" s="4">
        <v>1</v>
      </c>
      <c r="Q117" s="19">
        <v>599.99</v>
      </c>
      <c r="R117" s="16">
        <v>0.05</v>
      </c>
      <c r="S117" s="16">
        <v>599.94000000000005</v>
      </c>
      <c r="T117" s="5" t="s">
        <v>21</v>
      </c>
      <c r="U117" s="13" t="s">
        <v>300</v>
      </c>
    </row>
    <row r="118" spans="1:21" x14ac:dyDescent="0.35">
      <c r="A118" s="4">
        <v>117</v>
      </c>
      <c r="B118" s="4">
        <v>740</v>
      </c>
      <c r="C118" s="13" t="s">
        <v>547</v>
      </c>
      <c r="D118" s="13" t="s">
        <v>548</v>
      </c>
      <c r="E118" s="5" t="s">
        <v>5566</v>
      </c>
      <c r="F118" s="5" t="s">
        <v>2637</v>
      </c>
      <c r="G118" s="5" t="s">
        <v>2638</v>
      </c>
      <c r="H118" s="13" t="s">
        <v>2567</v>
      </c>
      <c r="I118" s="13" t="s">
        <v>2309</v>
      </c>
      <c r="J118" s="4">
        <v>11720</v>
      </c>
      <c r="K118" s="4">
        <v>1</v>
      </c>
      <c r="L118" s="4">
        <v>22</v>
      </c>
      <c r="M118" s="4">
        <v>2016</v>
      </c>
      <c r="N118" s="4">
        <v>2</v>
      </c>
      <c r="O118" s="4">
        <v>6</v>
      </c>
      <c r="P118" s="4">
        <v>2</v>
      </c>
      <c r="Q118" s="19">
        <v>269.99</v>
      </c>
      <c r="R118" s="16">
        <v>0.2</v>
      </c>
      <c r="S118" s="16">
        <v>539.78</v>
      </c>
      <c r="T118" s="5" t="s">
        <v>19</v>
      </c>
      <c r="U118" s="13" t="s">
        <v>299</v>
      </c>
    </row>
    <row r="119" spans="1:21" x14ac:dyDescent="0.35">
      <c r="A119" s="4">
        <v>118</v>
      </c>
      <c r="B119" s="4">
        <v>577</v>
      </c>
      <c r="C119" s="13" t="s">
        <v>549</v>
      </c>
      <c r="D119" s="13" t="s">
        <v>550</v>
      </c>
      <c r="E119" s="5" t="s">
        <v>5566</v>
      </c>
      <c r="F119" s="5" t="s">
        <v>2639</v>
      </c>
      <c r="G119" s="5" t="s">
        <v>2640</v>
      </c>
      <c r="H119" s="13" t="s">
        <v>2641</v>
      </c>
      <c r="I119" s="13" t="s">
        <v>2305</v>
      </c>
      <c r="J119" s="4">
        <v>95677</v>
      </c>
      <c r="K119" s="4">
        <v>1</v>
      </c>
      <c r="L119" s="4">
        <v>18</v>
      </c>
      <c r="M119" s="4">
        <v>2016</v>
      </c>
      <c r="N119" s="4">
        <v>1</v>
      </c>
      <c r="O119" s="4">
        <v>2</v>
      </c>
      <c r="P119" s="4">
        <v>1</v>
      </c>
      <c r="Q119" s="19">
        <v>449</v>
      </c>
      <c r="R119" s="16">
        <v>7.0000000000000007E-2</v>
      </c>
      <c r="S119" s="16">
        <v>448.93</v>
      </c>
      <c r="T119" s="5" t="s">
        <v>23</v>
      </c>
      <c r="U119" s="13" t="s">
        <v>301</v>
      </c>
    </row>
    <row r="120" spans="1:21" x14ac:dyDescent="0.35">
      <c r="A120" s="4">
        <v>119</v>
      </c>
      <c r="B120" s="4">
        <v>925</v>
      </c>
      <c r="C120" s="13" t="s">
        <v>551</v>
      </c>
      <c r="D120" s="13" t="s">
        <v>552</v>
      </c>
      <c r="E120" s="5" t="s">
        <v>5566</v>
      </c>
      <c r="F120" s="5" t="s">
        <v>2642</v>
      </c>
      <c r="G120" s="5" t="s">
        <v>2643</v>
      </c>
      <c r="H120" s="13" t="s">
        <v>2605</v>
      </c>
      <c r="I120" s="13" t="s">
        <v>2309</v>
      </c>
      <c r="J120" s="4">
        <v>12401</v>
      </c>
      <c r="K120" s="4">
        <v>1</v>
      </c>
      <c r="L120" s="4">
        <v>25</v>
      </c>
      <c r="M120" s="4">
        <v>2016</v>
      </c>
      <c r="N120" s="4">
        <v>2</v>
      </c>
      <c r="O120" s="4">
        <v>7</v>
      </c>
      <c r="P120" s="4">
        <v>1</v>
      </c>
      <c r="Q120" s="19">
        <v>499.99</v>
      </c>
      <c r="R120" s="16">
        <v>0.05</v>
      </c>
      <c r="S120" s="16">
        <v>499.94</v>
      </c>
      <c r="T120" s="5" t="s">
        <v>27</v>
      </c>
      <c r="U120" s="13" t="s">
        <v>300</v>
      </c>
    </row>
    <row r="121" spans="1:21" x14ac:dyDescent="0.35">
      <c r="A121" s="4">
        <v>120</v>
      </c>
      <c r="B121" s="4">
        <v>327</v>
      </c>
      <c r="C121" s="13" t="s">
        <v>553</v>
      </c>
      <c r="D121" s="13" t="s">
        <v>455</v>
      </c>
      <c r="E121" s="5" t="s">
        <v>2644</v>
      </c>
      <c r="F121" s="5" t="s">
        <v>2645</v>
      </c>
      <c r="G121" s="5" t="s">
        <v>2646</v>
      </c>
      <c r="H121" s="13" t="s">
        <v>2647</v>
      </c>
      <c r="I121" s="13" t="s">
        <v>2309</v>
      </c>
      <c r="J121" s="4">
        <v>10002</v>
      </c>
      <c r="K121" s="4">
        <v>1</v>
      </c>
      <c r="L121" s="4">
        <v>13</v>
      </c>
      <c r="M121" s="4">
        <v>2016</v>
      </c>
      <c r="N121" s="4">
        <v>2</v>
      </c>
      <c r="O121" s="4">
        <v>7</v>
      </c>
      <c r="P121" s="4">
        <v>2</v>
      </c>
      <c r="Q121" s="19">
        <v>269.99</v>
      </c>
      <c r="R121" s="16">
        <v>0.05</v>
      </c>
      <c r="S121" s="16">
        <v>539.93000000000006</v>
      </c>
      <c r="T121" s="5" t="s">
        <v>18</v>
      </c>
      <c r="U121" s="13" t="s">
        <v>301</v>
      </c>
    </row>
    <row r="122" spans="1:21" x14ac:dyDescent="0.35">
      <c r="A122" s="4">
        <v>121</v>
      </c>
      <c r="B122" s="4">
        <v>755</v>
      </c>
      <c r="C122" s="13" t="s">
        <v>393</v>
      </c>
      <c r="D122" s="13" t="s">
        <v>554</v>
      </c>
      <c r="E122" s="5" t="s">
        <v>5566</v>
      </c>
      <c r="F122" s="5" t="s">
        <v>2648</v>
      </c>
      <c r="G122" s="5" t="s">
        <v>2649</v>
      </c>
      <c r="H122" s="13" t="s">
        <v>2650</v>
      </c>
      <c r="I122" s="13" t="s">
        <v>2309</v>
      </c>
      <c r="J122" s="4">
        <v>11040</v>
      </c>
      <c r="K122" s="4">
        <v>1</v>
      </c>
      <c r="L122" s="4">
        <v>5</v>
      </c>
      <c r="M122" s="4">
        <v>2016</v>
      </c>
      <c r="N122" s="4">
        <v>2</v>
      </c>
      <c r="O122" s="4">
        <v>6</v>
      </c>
      <c r="P122" s="4">
        <v>1</v>
      </c>
      <c r="Q122" s="19">
        <v>1320.99</v>
      </c>
      <c r="R122" s="16">
        <v>0.2</v>
      </c>
      <c r="S122" s="16">
        <v>1320.79</v>
      </c>
      <c r="T122" s="5" t="s">
        <v>10</v>
      </c>
      <c r="U122" s="13" t="s">
        <v>304</v>
      </c>
    </row>
    <row r="123" spans="1:21" x14ac:dyDescent="0.35">
      <c r="A123" s="4">
        <v>122</v>
      </c>
      <c r="B123" s="4">
        <v>786</v>
      </c>
      <c r="C123" s="13" t="s">
        <v>555</v>
      </c>
      <c r="D123" s="13" t="s">
        <v>556</v>
      </c>
      <c r="E123" s="5" t="s">
        <v>5566</v>
      </c>
      <c r="F123" s="5" t="s">
        <v>2651</v>
      </c>
      <c r="G123" s="5" t="s">
        <v>2652</v>
      </c>
      <c r="H123" s="13" t="s">
        <v>2653</v>
      </c>
      <c r="I123" s="13" t="s">
        <v>2309</v>
      </c>
      <c r="J123" s="4">
        <v>11419</v>
      </c>
      <c r="K123" s="4">
        <v>1</v>
      </c>
      <c r="L123" s="4">
        <v>16</v>
      </c>
      <c r="M123" s="4">
        <v>2016</v>
      </c>
      <c r="N123" s="4">
        <v>2</v>
      </c>
      <c r="O123" s="4">
        <v>6</v>
      </c>
      <c r="P123" s="4">
        <v>1</v>
      </c>
      <c r="Q123" s="19">
        <v>599.99</v>
      </c>
      <c r="R123" s="16">
        <v>0.1</v>
      </c>
      <c r="S123" s="16">
        <v>599.89</v>
      </c>
      <c r="T123" s="5" t="s">
        <v>21</v>
      </c>
      <c r="U123" s="13" t="s">
        <v>301</v>
      </c>
    </row>
    <row r="124" spans="1:21" x14ac:dyDescent="0.35">
      <c r="A124" s="4">
        <v>123</v>
      </c>
      <c r="B124" s="4">
        <v>766</v>
      </c>
      <c r="C124" s="13" t="s">
        <v>557</v>
      </c>
      <c r="D124" s="13" t="s">
        <v>558</v>
      </c>
      <c r="E124" s="5" t="s">
        <v>5566</v>
      </c>
      <c r="F124" s="5" t="s">
        <v>2654</v>
      </c>
      <c r="G124" s="5" t="s">
        <v>2655</v>
      </c>
      <c r="H124" s="13" t="s">
        <v>2656</v>
      </c>
      <c r="I124" s="13" t="s">
        <v>2309</v>
      </c>
      <c r="J124" s="4">
        <v>12302</v>
      </c>
      <c r="K124" s="4">
        <v>1</v>
      </c>
      <c r="L124" s="4">
        <v>12</v>
      </c>
      <c r="M124" s="4">
        <v>2016</v>
      </c>
      <c r="N124" s="4">
        <v>2</v>
      </c>
      <c r="O124" s="4">
        <v>6</v>
      </c>
      <c r="P124" s="4">
        <v>2</v>
      </c>
      <c r="Q124" s="19">
        <v>549.99</v>
      </c>
      <c r="R124" s="16">
        <v>0.1</v>
      </c>
      <c r="S124" s="16">
        <v>1099.8800000000001</v>
      </c>
      <c r="T124" s="5" t="s">
        <v>17</v>
      </c>
      <c r="U124" s="13" t="s">
        <v>301</v>
      </c>
    </row>
    <row r="125" spans="1:21" x14ac:dyDescent="0.35">
      <c r="A125" s="4">
        <v>124</v>
      </c>
      <c r="B125" s="4">
        <v>403</v>
      </c>
      <c r="C125" s="13" t="s">
        <v>559</v>
      </c>
      <c r="D125" s="13" t="s">
        <v>560</v>
      </c>
      <c r="E125" s="5" t="s">
        <v>5566</v>
      </c>
      <c r="F125" s="5" t="s">
        <v>2657</v>
      </c>
      <c r="G125" s="5" t="s">
        <v>2658</v>
      </c>
      <c r="H125" s="13" t="s">
        <v>2365</v>
      </c>
      <c r="I125" s="13" t="s">
        <v>2305</v>
      </c>
      <c r="J125" s="4">
        <v>91387</v>
      </c>
      <c r="K125" s="4">
        <v>1</v>
      </c>
      <c r="L125" s="4">
        <v>16</v>
      </c>
      <c r="M125" s="4">
        <v>2016</v>
      </c>
      <c r="N125" s="4">
        <v>1</v>
      </c>
      <c r="O125" s="4">
        <v>3</v>
      </c>
      <c r="P125" s="4">
        <v>1</v>
      </c>
      <c r="Q125" s="19">
        <v>599.99</v>
      </c>
      <c r="R125" s="16">
        <v>0.05</v>
      </c>
      <c r="S125" s="16">
        <v>599.94000000000005</v>
      </c>
      <c r="T125" s="5" t="s">
        <v>21</v>
      </c>
      <c r="U125" s="13" t="s">
        <v>301</v>
      </c>
    </row>
    <row r="126" spans="1:21" x14ac:dyDescent="0.35">
      <c r="A126" s="4">
        <v>125</v>
      </c>
      <c r="B126" s="4">
        <v>685</v>
      </c>
      <c r="C126" s="13" t="s">
        <v>561</v>
      </c>
      <c r="D126" s="13" t="s">
        <v>562</v>
      </c>
      <c r="E126" s="5" t="s">
        <v>5566</v>
      </c>
      <c r="F126" s="5" t="s">
        <v>2659</v>
      </c>
      <c r="G126" s="5" t="s">
        <v>2660</v>
      </c>
      <c r="H126" s="13" t="s">
        <v>2628</v>
      </c>
      <c r="I126" s="13" t="s">
        <v>2309</v>
      </c>
      <c r="J126" s="4">
        <v>11375</v>
      </c>
      <c r="K126" s="4">
        <v>1</v>
      </c>
      <c r="L126" s="4">
        <v>17</v>
      </c>
      <c r="M126" s="4">
        <v>2016</v>
      </c>
      <c r="N126" s="4">
        <v>2</v>
      </c>
      <c r="O126" s="4">
        <v>6</v>
      </c>
      <c r="P126" s="4">
        <v>1</v>
      </c>
      <c r="Q126" s="19">
        <v>429</v>
      </c>
      <c r="R126" s="16">
        <v>0.1</v>
      </c>
      <c r="S126" s="16">
        <v>428.9</v>
      </c>
      <c r="T126" s="5" t="s">
        <v>22</v>
      </c>
      <c r="U126" s="13" t="s">
        <v>301</v>
      </c>
    </row>
    <row r="127" spans="1:21" x14ac:dyDescent="0.35">
      <c r="A127" s="4">
        <v>126</v>
      </c>
      <c r="B127" s="4">
        <v>1365</v>
      </c>
      <c r="C127" s="13" t="s">
        <v>563</v>
      </c>
      <c r="D127" s="13" t="s">
        <v>564</v>
      </c>
      <c r="E127" s="5" t="s">
        <v>5566</v>
      </c>
      <c r="F127" s="5" t="s">
        <v>2661</v>
      </c>
      <c r="G127" s="5" t="s">
        <v>2662</v>
      </c>
      <c r="H127" s="13" t="s">
        <v>2663</v>
      </c>
      <c r="I127" s="13" t="s">
        <v>2309</v>
      </c>
      <c r="J127" s="4">
        <v>12804</v>
      </c>
      <c r="K127" s="4">
        <v>1</v>
      </c>
      <c r="L127" s="4">
        <v>9</v>
      </c>
      <c r="M127" s="4">
        <v>2016</v>
      </c>
      <c r="N127" s="4">
        <v>2</v>
      </c>
      <c r="O127" s="4">
        <v>7</v>
      </c>
      <c r="P127" s="4">
        <v>2</v>
      </c>
      <c r="Q127" s="19">
        <v>2999.99</v>
      </c>
      <c r="R127" s="16">
        <v>0.05</v>
      </c>
      <c r="S127" s="16">
        <v>5999.9299999999994</v>
      </c>
      <c r="T127" s="5" t="s">
        <v>14</v>
      </c>
      <c r="U127" s="13" t="s">
        <v>303</v>
      </c>
    </row>
    <row r="128" spans="1:21" x14ac:dyDescent="0.35">
      <c r="A128" s="4">
        <v>127</v>
      </c>
      <c r="B128" s="4">
        <v>484</v>
      </c>
      <c r="C128" s="13" t="s">
        <v>565</v>
      </c>
      <c r="D128" s="13" t="s">
        <v>566</v>
      </c>
      <c r="E128" s="5" t="s">
        <v>5566</v>
      </c>
      <c r="F128" s="5" t="s">
        <v>2664</v>
      </c>
      <c r="G128" s="5" t="s">
        <v>2665</v>
      </c>
      <c r="H128" s="13" t="s">
        <v>2666</v>
      </c>
      <c r="I128" s="13" t="s">
        <v>2397</v>
      </c>
      <c r="J128" s="4">
        <v>76039</v>
      </c>
      <c r="K128" s="4">
        <v>1</v>
      </c>
      <c r="L128" s="4">
        <v>17</v>
      </c>
      <c r="M128" s="4">
        <v>2016</v>
      </c>
      <c r="N128" s="4">
        <v>3</v>
      </c>
      <c r="O128" s="4">
        <v>8</v>
      </c>
      <c r="P128" s="4">
        <v>1</v>
      </c>
      <c r="Q128" s="19">
        <v>429</v>
      </c>
      <c r="R128" s="16">
        <v>7.0000000000000007E-2</v>
      </c>
      <c r="S128" s="16">
        <v>428.93</v>
      </c>
      <c r="T128" s="5" t="s">
        <v>22</v>
      </c>
      <c r="U128" s="13" t="s">
        <v>301</v>
      </c>
    </row>
    <row r="129" spans="1:21" x14ac:dyDescent="0.35">
      <c r="A129" s="4">
        <v>128</v>
      </c>
      <c r="B129" s="4">
        <v>86</v>
      </c>
      <c r="C129" s="13" t="s">
        <v>567</v>
      </c>
      <c r="D129" s="13" t="s">
        <v>482</v>
      </c>
      <c r="E129" s="5" t="s">
        <v>5566</v>
      </c>
      <c r="F129" s="5" t="s">
        <v>2667</v>
      </c>
      <c r="G129" s="5" t="s">
        <v>2668</v>
      </c>
      <c r="H129" s="13" t="s">
        <v>2669</v>
      </c>
      <c r="I129" s="13" t="s">
        <v>2309</v>
      </c>
      <c r="J129" s="4">
        <v>13126</v>
      </c>
      <c r="K129" s="4">
        <v>1</v>
      </c>
      <c r="L129" s="4">
        <v>24</v>
      </c>
      <c r="M129" s="4">
        <v>2016</v>
      </c>
      <c r="N129" s="4">
        <v>2</v>
      </c>
      <c r="O129" s="4">
        <v>6</v>
      </c>
      <c r="P129" s="4">
        <v>2</v>
      </c>
      <c r="Q129" s="19">
        <v>549.99</v>
      </c>
      <c r="R129" s="16">
        <v>0.1</v>
      </c>
      <c r="S129" s="16">
        <v>1099.8800000000001</v>
      </c>
      <c r="T129" s="5" t="s">
        <v>17</v>
      </c>
      <c r="U129" s="13" t="s">
        <v>300</v>
      </c>
    </row>
    <row r="130" spans="1:21" x14ac:dyDescent="0.35">
      <c r="A130" s="4">
        <v>129</v>
      </c>
      <c r="B130" s="4">
        <v>84</v>
      </c>
      <c r="C130" s="13" t="s">
        <v>568</v>
      </c>
      <c r="D130" s="13" t="s">
        <v>569</v>
      </c>
      <c r="E130" s="5" t="s">
        <v>5566</v>
      </c>
      <c r="F130" s="5" t="s">
        <v>2670</v>
      </c>
      <c r="G130" s="5" t="s">
        <v>2671</v>
      </c>
      <c r="H130" s="13" t="s">
        <v>2577</v>
      </c>
      <c r="I130" s="13" t="s">
        <v>2309</v>
      </c>
      <c r="J130" s="4">
        <v>11757</v>
      </c>
      <c r="K130" s="4">
        <v>1</v>
      </c>
      <c r="L130" s="4">
        <v>18</v>
      </c>
      <c r="M130" s="4">
        <v>2016</v>
      </c>
      <c r="N130" s="4">
        <v>2</v>
      </c>
      <c r="O130" s="4">
        <v>7</v>
      </c>
      <c r="P130" s="4">
        <v>1</v>
      </c>
      <c r="Q130" s="19">
        <v>449</v>
      </c>
      <c r="R130" s="16">
        <v>0.1</v>
      </c>
      <c r="S130" s="16">
        <v>448.9</v>
      </c>
      <c r="T130" s="5" t="s">
        <v>23</v>
      </c>
      <c r="U130" s="13" t="s">
        <v>301</v>
      </c>
    </row>
    <row r="131" spans="1:21" x14ac:dyDescent="0.35">
      <c r="A131" s="4">
        <v>130</v>
      </c>
      <c r="B131" s="4">
        <v>1049</v>
      </c>
      <c r="C131" s="13" t="s">
        <v>570</v>
      </c>
      <c r="D131" s="13" t="s">
        <v>571</v>
      </c>
      <c r="E131" s="5" t="s">
        <v>5566</v>
      </c>
      <c r="F131" s="5" t="s">
        <v>2672</v>
      </c>
      <c r="G131" s="5" t="s">
        <v>2673</v>
      </c>
      <c r="H131" s="13" t="s">
        <v>2494</v>
      </c>
      <c r="I131" s="13" t="s">
        <v>2309</v>
      </c>
      <c r="J131" s="4">
        <v>12065</v>
      </c>
      <c r="K131" s="4">
        <v>1</v>
      </c>
      <c r="L131" s="4">
        <v>26</v>
      </c>
      <c r="M131" s="4">
        <v>2016</v>
      </c>
      <c r="N131" s="4">
        <v>2</v>
      </c>
      <c r="O131" s="4">
        <v>6</v>
      </c>
      <c r="P131" s="4">
        <v>1</v>
      </c>
      <c r="Q131" s="19">
        <v>599.99</v>
      </c>
      <c r="R131" s="16">
        <v>0.05</v>
      </c>
      <c r="S131" s="16">
        <v>599.94000000000005</v>
      </c>
      <c r="T131" s="5" t="s">
        <v>21</v>
      </c>
      <c r="U131" s="13" t="s">
        <v>300</v>
      </c>
    </row>
    <row r="132" spans="1:21" x14ac:dyDescent="0.35">
      <c r="A132" s="4">
        <v>131</v>
      </c>
      <c r="B132" s="4">
        <v>316</v>
      </c>
      <c r="C132" s="13" t="s">
        <v>572</v>
      </c>
      <c r="D132" s="13" t="s">
        <v>573</v>
      </c>
      <c r="E132" s="5" t="s">
        <v>5566</v>
      </c>
      <c r="F132" s="5" t="s">
        <v>2674</v>
      </c>
      <c r="G132" s="5" t="s">
        <v>2675</v>
      </c>
      <c r="H132" s="13" t="s">
        <v>2666</v>
      </c>
      <c r="I132" s="13" t="s">
        <v>2397</v>
      </c>
      <c r="J132" s="4">
        <v>76039</v>
      </c>
      <c r="K132" s="4">
        <v>1</v>
      </c>
      <c r="L132" s="4">
        <v>22</v>
      </c>
      <c r="M132" s="4">
        <v>2016</v>
      </c>
      <c r="N132" s="4">
        <v>3</v>
      </c>
      <c r="O132" s="4">
        <v>8</v>
      </c>
      <c r="P132" s="4">
        <v>2</v>
      </c>
      <c r="Q132" s="19">
        <v>269.99</v>
      </c>
      <c r="R132" s="16">
        <v>0.2</v>
      </c>
      <c r="S132" s="16">
        <v>539.78</v>
      </c>
      <c r="T132" s="5" t="s">
        <v>19</v>
      </c>
      <c r="U132" s="13" t="s">
        <v>299</v>
      </c>
    </row>
    <row r="133" spans="1:21" x14ac:dyDescent="0.35">
      <c r="A133" s="4">
        <v>132</v>
      </c>
      <c r="B133" s="4">
        <v>46</v>
      </c>
      <c r="C133" s="13" t="s">
        <v>574</v>
      </c>
      <c r="D133" s="13" t="s">
        <v>413</v>
      </c>
      <c r="E133" s="5" t="s">
        <v>5566</v>
      </c>
      <c r="F133" s="5" t="s">
        <v>2676</v>
      </c>
      <c r="G133" s="5" t="s">
        <v>2677</v>
      </c>
      <c r="H133" s="13" t="s">
        <v>2362</v>
      </c>
      <c r="I133" s="13" t="s">
        <v>2305</v>
      </c>
      <c r="J133" s="4">
        <v>91316</v>
      </c>
      <c r="K133" s="4">
        <v>1</v>
      </c>
      <c r="L133" s="4">
        <v>2</v>
      </c>
      <c r="M133" s="4">
        <v>2016</v>
      </c>
      <c r="N133" s="4">
        <v>1</v>
      </c>
      <c r="O133" s="4">
        <v>3</v>
      </c>
      <c r="P133" s="4">
        <v>2</v>
      </c>
      <c r="Q133" s="19">
        <v>749.99</v>
      </c>
      <c r="R133" s="16">
        <v>0.05</v>
      </c>
      <c r="S133" s="16">
        <v>1499.93</v>
      </c>
      <c r="T133" s="5" t="s">
        <v>7</v>
      </c>
      <c r="U133" s="13" t="s">
        <v>304</v>
      </c>
    </row>
    <row r="134" spans="1:21" x14ac:dyDescent="0.35">
      <c r="A134" s="4">
        <v>133</v>
      </c>
      <c r="B134" s="4">
        <v>409</v>
      </c>
      <c r="C134" s="13" t="s">
        <v>575</v>
      </c>
      <c r="D134" s="13" t="s">
        <v>576</v>
      </c>
      <c r="E134" s="5" t="s">
        <v>5566</v>
      </c>
      <c r="F134" s="5" t="s">
        <v>2678</v>
      </c>
      <c r="G134" s="5" t="s">
        <v>2679</v>
      </c>
      <c r="H134" s="13" t="s">
        <v>2350</v>
      </c>
      <c r="I134" s="13" t="s">
        <v>2309</v>
      </c>
      <c r="J134" s="4">
        <v>10512</v>
      </c>
      <c r="K134" s="4">
        <v>1</v>
      </c>
      <c r="L134" s="4">
        <v>13</v>
      </c>
      <c r="M134" s="4">
        <v>2016</v>
      </c>
      <c r="N134" s="4">
        <v>2</v>
      </c>
      <c r="O134" s="4">
        <v>7</v>
      </c>
      <c r="P134" s="4">
        <v>2</v>
      </c>
      <c r="Q134" s="19">
        <v>269.99</v>
      </c>
      <c r="R134" s="16">
        <v>0.05</v>
      </c>
      <c r="S134" s="16">
        <v>539.93000000000006</v>
      </c>
      <c r="T134" s="5" t="s">
        <v>18</v>
      </c>
      <c r="U134" s="13" t="s">
        <v>301</v>
      </c>
    </row>
    <row r="135" spans="1:21" x14ac:dyDescent="0.35">
      <c r="A135" s="4">
        <v>134</v>
      </c>
      <c r="B135" s="4">
        <v>679</v>
      </c>
      <c r="C135" s="13" t="s">
        <v>577</v>
      </c>
      <c r="D135" s="13" t="s">
        <v>578</v>
      </c>
      <c r="E135" s="5" t="s">
        <v>5566</v>
      </c>
      <c r="F135" s="5" t="s">
        <v>2680</v>
      </c>
      <c r="G135" s="5" t="s">
        <v>2681</v>
      </c>
      <c r="H135" s="13" t="s">
        <v>2682</v>
      </c>
      <c r="I135" s="13" t="s">
        <v>2309</v>
      </c>
      <c r="J135" s="4">
        <v>11704</v>
      </c>
      <c r="K135" s="4">
        <v>1</v>
      </c>
      <c r="L135" s="4">
        <v>19</v>
      </c>
      <c r="M135" s="4">
        <v>2016</v>
      </c>
      <c r="N135" s="4">
        <v>2</v>
      </c>
      <c r="O135" s="4">
        <v>7</v>
      </c>
      <c r="P135" s="4">
        <v>2</v>
      </c>
      <c r="Q135" s="19">
        <v>449</v>
      </c>
      <c r="R135" s="16">
        <v>0.1</v>
      </c>
      <c r="S135" s="16">
        <v>897.9</v>
      </c>
      <c r="T135" s="5" t="s">
        <v>24</v>
      </c>
      <c r="U135" s="13" t="s">
        <v>301</v>
      </c>
    </row>
    <row r="136" spans="1:21" x14ac:dyDescent="0.35">
      <c r="A136" s="4">
        <v>135</v>
      </c>
      <c r="B136" s="4">
        <v>1354</v>
      </c>
      <c r="C136" s="13" t="s">
        <v>579</v>
      </c>
      <c r="D136" s="13" t="s">
        <v>580</v>
      </c>
      <c r="E136" s="5" t="s">
        <v>5566</v>
      </c>
      <c r="F136" s="5" t="s">
        <v>2683</v>
      </c>
      <c r="G136" s="5" t="s">
        <v>2684</v>
      </c>
      <c r="H136" s="13" t="s">
        <v>2656</v>
      </c>
      <c r="I136" s="13" t="s">
        <v>2309</v>
      </c>
      <c r="J136" s="4">
        <v>12302</v>
      </c>
      <c r="K136" s="4">
        <v>1</v>
      </c>
      <c r="L136" s="4">
        <v>5</v>
      </c>
      <c r="M136" s="4">
        <v>2016</v>
      </c>
      <c r="N136" s="4">
        <v>2</v>
      </c>
      <c r="O136" s="4">
        <v>7</v>
      </c>
      <c r="P136" s="4">
        <v>2</v>
      </c>
      <c r="Q136" s="19">
        <v>1320.99</v>
      </c>
      <c r="R136" s="16">
        <v>0.05</v>
      </c>
      <c r="S136" s="16">
        <v>2641.93</v>
      </c>
      <c r="T136" s="5" t="s">
        <v>10</v>
      </c>
      <c r="U136" s="13" t="s">
        <v>304</v>
      </c>
    </row>
    <row r="137" spans="1:21" x14ac:dyDescent="0.35">
      <c r="A137" s="4">
        <v>136</v>
      </c>
      <c r="B137" s="4">
        <v>1192</v>
      </c>
      <c r="C137" s="13" t="s">
        <v>581</v>
      </c>
      <c r="D137" s="13" t="s">
        <v>582</v>
      </c>
      <c r="E137" s="5" t="s">
        <v>5566</v>
      </c>
      <c r="F137" s="5" t="s">
        <v>2685</v>
      </c>
      <c r="G137" s="5" t="s">
        <v>2686</v>
      </c>
      <c r="H137" s="13" t="s">
        <v>2687</v>
      </c>
      <c r="I137" s="13" t="s">
        <v>2397</v>
      </c>
      <c r="J137" s="4">
        <v>75115</v>
      </c>
      <c r="K137" s="4">
        <v>1</v>
      </c>
      <c r="L137" s="4">
        <v>7</v>
      </c>
      <c r="M137" s="4">
        <v>2016</v>
      </c>
      <c r="N137" s="4">
        <v>3</v>
      </c>
      <c r="O137" s="4">
        <v>8</v>
      </c>
      <c r="P137" s="4">
        <v>2</v>
      </c>
      <c r="Q137" s="19">
        <v>3999.99</v>
      </c>
      <c r="R137" s="16">
        <v>0.2</v>
      </c>
      <c r="S137" s="16">
        <v>7999.78</v>
      </c>
      <c r="T137" s="5" t="s">
        <v>12</v>
      </c>
      <c r="U137" s="13" t="s">
        <v>304</v>
      </c>
    </row>
    <row r="138" spans="1:21" x14ac:dyDescent="0.35">
      <c r="A138" s="4">
        <v>137</v>
      </c>
      <c r="B138" s="4">
        <v>370</v>
      </c>
      <c r="C138" s="13" t="s">
        <v>583</v>
      </c>
      <c r="D138" s="13" t="s">
        <v>584</v>
      </c>
      <c r="E138" s="5" t="s">
        <v>5566</v>
      </c>
      <c r="F138" s="5" t="s">
        <v>2688</v>
      </c>
      <c r="G138" s="5" t="s">
        <v>2689</v>
      </c>
      <c r="H138" s="13" t="s">
        <v>2690</v>
      </c>
      <c r="I138" s="13" t="s">
        <v>2309</v>
      </c>
      <c r="J138" s="4">
        <v>11414</v>
      </c>
      <c r="K138" s="4">
        <v>1</v>
      </c>
      <c r="L138" s="4">
        <v>23</v>
      </c>
      <c r="M138" s="4">
        <v>2016</v>
      </c>
      <c r="N138" s="4">
        <v>2</v>
      </c>
      <c r="O138" s="4">
        <v>7</v>
      </c>
      <c r="P138" s="4">
        <v>1</v>
      </c>
      <c r="Q138" s="19">
        <v>299.99</v>
      </c>
      <c r="R138" s="16">
        <v>7.0000000000000007E-2</v>
      </c>
      <c r="S138" s="16">
        <v>299.92</v>
      </c>
      <c r="T138" s="5" t="s">
        <v>26</v>
      </c>
      <c r="U138" s="13" t="s">
        <v>299</v>
      </c>
    </row>
    <row r="139" spans="1:21" x14ac:dyDescent="0.35">
      <c r="A139" s="4">
        <v>138</v>
      </c>
      <c r="B139" s="4">
        <v>438</v>
      </c>
      <c r="C139" s="13" t="s">
        <v>585</v>
      </c>
      <c r="D139" s="13" t="s">
        <v>586</v>
      </c>
      <c r="E139" s="5" t="s">
        <v>5566</v>
      </c>
      <c r="F139" s="5" t="s">
        <v>2691</v>
      </c>
      <c r="G139" s="5" t="s">
        <v>2692</v>
      </c>
      <c r="H139" s="13" t="s">
        <v>2663</v>
      </c>
      <c r="I139" s="13" t="s">
        <v>2309</v>
      </c>
      <c r="J139" s="4">
        <v>12804</v>
      </c>
      <c r="K139" s="4">
        <v>1</v>
      </c>
      <c r="L139" s="4">
        <v>16</v>
      </c>
      <c r="M139" s="4">
        <v>2016</v>
      </c>
      <c r="N139" s="4">
        <v>2</v>
      </c>
      <c r="O139" s="4">
        <v>7</v>
      </c>
      <c r="P139" s="4">
        <v>2</v>
      </c>
      <c r="Q139" s="19">
        <v>599.99</v>
      </c>
      <c r="R139" s="16">
        <v>0.1</v>
      </c>
      <c r="S139" s="16">
        <v>1199.8800000000001</v>
      </c>
      <c r="T139" s="5" t="s">
        <v>21</v>
      </c>
      <c r="U139" s="13" t="s">
        <v>301</v>
      </c>
    </row>
    <row r="140" spans="1:21" x14ac:dyDescent="0.35">
      <c r="A140" s="4">
        <v>139</v>
      </c>
      <c r="B140" s="4">
        <v>710</v>
      </c>
      <c r="C140" s="13" t="s">
        <v>587</v>
      </c>
      <c r="D140" s="13" t="s">
        <v>588</v>
      </c>
      <c r="E140" s="5" t="s">
        <v>5566</v>
      </c>
      <c r="F140" s="5" t="s">
        <v>2693</v>
      </c>
      <c r="G140" s="5" t="s">
        <v>2694</v>
      </c>
      <c r="H140" s="13" t="s">
        <v>2507</v>
      </c>
      <c r="I140" s="13" t="s">
        <v>2309</v>
      </c>
      <c r="J140" s="4">
        <v>12553</v>
      </c>
      <c r="K140" s="4">
        <v>1</v>
      </c>
      <c r="L140" s="4">
        <v>19</v>
      </c>
      <c r="M140" s="4">
        <v>2016</v>
      </c>
      <c r="N140" s="4">
        <v>2</v>
      </c>
      <c r="O140" s="4">
        <v>7</v>
      </c>
      <c r="P140" s="4">
        <v>2</v>
      </c>
      <c r="Q140" s="19">
        <v>449</v>
      </c>
      <c r="R140" s="16">
        <v>7.0000000000000007E-2</v>
      </c>
      <c r="S140" s="16">
        <v>897.93</v>
      </c>
      <c r="T140" s="5" t="s">
        <v>24</v>
      </c>
      <c r="U140" s="13" t="s">
        <v>301</v>
      </c>
    </row>
    <row r="141" spans="1:21" x14ac:dyDescent="0.35">
      <c r="A141" s="4">
        <v>140</v>
      </c>
      <c r="B141" s="4">
        <v>1264</v>
      </c>
      <c r="C141" s="13" t="s">
        <v>589</v>
      </c>
      <c r="D141" s="13" t="s">
        <v>325</v>
      </c>
      <c r="E141" s="5" t="s">
        <v>2695</v>
      </c>
      <c r="F141" s="5" t="s">
        <v>2696</v>
      </c>
      <c r="G141" s="5" t="s">
        <v>2697</v>
      </c>
      <c r="H141" s="13" t="s">
        <v>2698</v>
      </c>
      <c r="I141" s="13" t="s">
        <v>2309</v>
      </c>
      <c r="J141" s="4">
        <v>11717</v>
      </c>
      <c r="K141" s="4">
        <v>1</v>
      </c>
      <c r="L141" s="4">
        <v>15</v>
      </c>
      <c r="M141" s="4">
        <v>2016</v>
      </c>
      <c r="N141" s="4">
        <v>2</v>
      </c>
      <c r="O141" s="4">
        <v>7</v>
      </c>
      <c r="P141" s="4">
        <v>1</v>
      </c>
      <c r="Q141" s="19">
        <v>529.99</v>
      </c>
      <c r="R141" s="16">
        <v>0.2</v>
      </c>
      <c r="S141" s="16">
        <v>529.79</v>
      </c>
      <c r="T141" s="5" t="s">
        <v>20</v>
      </c>
      <c r="U141" s="13" t="s">
        <v>301</v>
      </c>
    </row>
    <row r="142" spans="1:21" x14ac:dyDescent="0.35">
      <c r="A142" s="4">
        <v>141</v>
      </c>
      <c r="B142" s="4">
        <v>557</v>
      </c>
      <c r="C142" s="13" t="s">
        <v>590</v>
      </c>
      <c r="D142" s="13" t="s">
        <v>591</v>
      </c>
      <c r="E142" s="5" t="s">
        <v>5566</v>
      </c>
      <c r="F142" s="5" t="s">
        <v>2699</v>
      </c>
      <c r="G142" s="5" t="s">
        <v>2700</v>
      </c>
      <c r="H142" s="13" t="s">
        <v>2368</v>
      </c>
      <c r="I142" s="13" t="s">
        <v>2309</v>
      </c>
      <c r="J142" s="4">
        <v>10550</v>
      </c>
      <c r="K142" s="4">
        <v>1</v>
      </c>
      <c r="L142" s="4">
        <v>18</v>
      </c>
      <c r="M142" s="4">
        <v>2016</v>
      </c>
      <c r="N142" s="4">
        <v>2</v>
      </c>
      <c r="O142" s="4">
        <v>7</v>
      </c>
      <c r="P142" s="4">
        <v>1</v>
      </c>
      <c r="Q142" s="19">
        <v>449</v>
      </c>
      <c r="R142" s="16">
        <v>0.2</v>
      </c>
      <c r="S142" s="16">
        <v>448.8</v>
      </c>
      <c r="T142" s="5" t="s">
        <v>23</v>
      </c>
      <c r="U142" s="13" t="s">
        <v>301</v>
      </c>
    </row>
    <row r="143" spans="1:21" x14ac:dyDescent="0.35">
      <c r="A143" s="4">
        <v>142</v>
      </c>
      <c r="B143" s="4">
        <v>170</v>
      </c>
      <c r="C143" s="13" t="s">
        <v>592</v>
      </c>
      <c r="D143" s="13" t="s">
        <v>593</v>
      </c>
      <c r="E143" s="5" t="s">
        <v>2701</v>
      </c>
      <c r="F143" s="5" t="s">
        <v>2702</v>
      </c>
      <c r="G143" s="5" t="s">
        <v>2703</v>
      </c>
      <c r="H143" s="13" t="s">
        <v>2704</v>
      </c>
      <c r="I143" s="13" t="s">
        <v>2305</v>
      </c>
      <c r="J143" s="4">
        <v>93035</v>
      </c>
      <c r="K143" s="4">
        <v>1</v>
      </c>
      <c r="L143" s="4">
        <v>16</v>
      </c>
      <c r="M143" s="4">
        <v>2016</v>
      </c>
      <c r="N143" s="4">
        <v>1</v>
      </c>
      <c r="O143" s="4">
        <v>3</v>
      </c>
      <c r="P143" s="4">
        <v>2</v>
      </c>
      <c r="Q143" s="19">
        <v>599.99</v>
      </c>
      <c r="R143" s="16">
        <v>0.1</v>
      </c>
      <c r="S143" s="16">
        <v>1199.8800000000001</v>
      </c>
      <c r="T143" s="5" t="s">
        <v>21</v>
      </c>
      <c r="U143" s="13" t="s">
        <v>301</v>
      </c>
    </row>
    <row r="144" spans="1:21" x14ac:dyDescent="0.35">
      <c r="A144" s="4">
        <v>143</v>
      </c>
      <c r="B144" s="4">
        <v>693</v>
      </c>
      <c r="C144" s="13" t="s">
        <v>594</v>
      </c>
      <c r="D144" s="13" t="s">
        <v>595</v>
      </c>
      <c r="E144" s="5" t="s">
        <v>2705</v>
      </c>
      <c r="F144" s="5" t="s">
        <v>2706</v>
      </c>
      <c r="G144" s="5" t="s">
        <v>2707</v>
      </c>
      <c r="H144" s="13" t="s">
        <v>2615</v>
      </c>
      <c r="I144" s="13" t="s">
        <v>2309</v>
      </c>
      <c r="J144" s="4">
        <v>11550</v>
      </c>
      <c r="K144" s="4">
        <v>1</v>
      </c>
      <c r="L144" s="4">
        <v>6</v>
      </c>
      <c r="M144" s="4">
        <v>2016</v>
      </c>
      <c r="N144" s="4">
        <v>2</v>
      </c>
      <c r="O144" s="4">
        <v>7</v>
      </c>
      <c r="P144" s="4">
        <v>1</v>
      </c>
      <c r="Q144" s="19">
        <v>469.99</v>
      </c>
      <c r="R144" s="16">
        <v>0.2</v>
      </c>
      <c r="S144" s="16">
        <v>469.79</v>
      </c>
      <c r="T144" s="5" t="s">
        <v>11</v>
      </c>
      <c r="U144" s="13" t="s">
        <v>304</v>
      </c>
    </row>
    <row r="145" spans="1:21" x14ac:dyDescent="0.35">
      <c r="A145" s="4">
        <v>144</v>
      </c>
      <c r="B145" s="4">
        <v>1124</v>
      </c>
      <c r="C145" s="13" t="s">
        <v>596</v>
      </c>
      <c r="D145" s="13" t="s">
        <v>597</v>
      </c>
      <c r="E145" s="5" t="s">
        <v>5566</v>
      </c>
      <c r="F145" s="5" t="s">
        <v>2708</v>
      </c>
      <c r="G145" s="5" t="s">
        <v>2709</v>
      </c>
      <c r="H145" s="13" t="s">
        <v>2710</v>
      </c>
      <c r="I145" s="13" t="s">
        <v>2309</v>
      </c>
      <c r="J145" s="4">
        <v>11701</v>
      </c>
      <c r="K145" s="4">
        <v>1</v>
      </c>
      <c r="L145" s="4">
        <v>8</v>
      </c>
      <c r="M145" s="4">
        <v>2016</v>
      </c>
      <c r="N145" s="4">
        <v>2</v>
      </c>
      <c r="O145" s="4">
        <v>7</v>
      </c>
      <c r="P145" s="4">
        <v>2</v>
      </c>
      <c r="Q145" s="19">
        <v>1799.99</v>
      </c>
      <c r="R145" s="16">
        <v>0.05</v>
      </c>
      <c r="S145" s="16">
        <v>3599.93</v>
      </c>
      <c r="T145" s="5" t="s">
        <v>13</v>
      </c>
      <c r="U145" s="13" t="s">
        <v>304</v>
      </c>
    </row>
    <row r="146" spans="1:21" x14ac:dyDescent="0.35">
      <c r="A146" s="4">
        <v>145</v>
      </c>
      <c r="B146" s="4">
        <v>366</v>
      </c>
      <c r="C146" s="13" t="s">
        <v>598</v>
      </c>
      <c r="D146" s="13" t="s">
        <v>357</v>
      </c>
      <c r="E146" s="5" t="s">
        <v>5566</v>
      </c>
      <c r="F146" s="5" t="s">
        <v>2711</v>
      </c>
      <c r="G146" s="5" t="s">
        <v>2712</v>
      </c>
      <c r="H146" s="13" t="s">
        <v>2376</v>
      </c>
      <c r="I146" s="13" t="s">
        <v>2309</v>
      </c>
      <c r="J146" s="4">
        <v>11001</v>
      </c>
      <c r="K146" s="4">
        <v>1</v>
      </c>
      <c r="L146" s="4">
        <v>11</v>
      </c>
      <c r="M146" s="4">
        <v>2016</v>
      </c>
      <c r="N146" s="4">
        <v>2</v>
      </c>
      <c r="O146" s="4">
        <v>6</v>
      </c>
      <c r="P146" s="4">
        <v>1</v>
      </c>
      <c r="Q146" s="19">
        <v>1680.99</v>
      </c>
      <c r="R146" s="16">
        <v>0.2</v>
      </c>
      <c r="S146" s="16">
        <v>1680.79</v>
      </c>
      <c r="T146" s="5" t="s">
        <v>16</v>
      </c>
      <c r="U146" s="13" t="s">
        <v>302</v>
      </c>
    </row>
    <row r="147" spans="1:21" x14ac:dyDescent="0.35">
      <c r="A147" s="4">
        <v>146</v>
      </c>
      <c r="B147" s="4">
        <v>288</v>
      </c>
      <c r="C147" s="13" t="s">
        <v>599</v>
      </c>
      <c r="D147" s="13" t="s">
        <v>600</v>
      </c>
      <c r="E147" s="5" t="s">
        <v>5566</v>
      </c>
      <c r="F147" s="5" t="s">
        <v>2713</v>
      </c>
      <c r="G147" s="5" t="s">
        <v>2714</v>
      </c>
      <c r="H147" s="13" t="s">
        <v>2353</v>
      </c>
      <c r="I147" s="13" t="s">
        <v>2305</v>
      </c>
      <c r="J147" s="4">
        <v>92220</v>
      </c>
      <c r="K147" s="4">
        <v>1</v>
      </c>
      <c r="L147" s="4">
        <v>3</v>
      </c>
      <c r="M147" s="4">
        <v>2016</v>
      </c>
      <c r="N147" s="4">
        <v>1</v>
      </c>
      <c r="O147" s="4">
        <v>3</v>
      </c>
      <c r="P147" s="4">
        <v>2</v>
      </c>
      <c r="Q147" s="19">
        <v>999.99</v>
      </c>
      <c r="R147" s="16">
        <v>0.2</v>
      </c>
      <c r="S147" s="16">
        <v>1999.78</v>
      </c>
      <c r="T147" s="5" t="s">
        <v>8</v>
      </c>
      <c r="U147" s="13" t="s">
        <v>304</v>
      </c>
    </row>
    <row r="148" spans="1:21" x14ac:dyDescent="0.35">
      <c r="A148" s="4">
        <v>147</v>
      </c>
      <c r="B148" s="4">
        <v>55</v>
      </c>
      <c r="C148" s="13" t="s">
        <v>601</v>
      </c>
      <c r="D148" s="13" t="s">
        <v>602</v>
      </c>
      <c r="E148" s="5" t="s">
        <v>5566</v>
      </c>
      <c r="F148" s="5" t="s">
        <v>2715</v>
      </c>
      <c r="G148" s="5" t="s">
        <v>2716</v>
      </c>
      <c r="H148" s="13" t="s">
        <v>2393</v>
      </c>
      <c r="I148" s="13" t="s">
        <v>2309</v>
      </c>
      <c r="J148" s="4">
        <v>11566</v>
      </c>
      <c r="K148" s="4">
        <v>1</v>
      </c>
      <c r="L148" s="4">
        <v>26</v>
      </c>
      <c r="M148" s="4">
        <v>2016</v>
      </c>
      <c r="N148" s="4">
        <v>2</v>
      </c>
      <c r="O148" s="4">
        <v>7</v>
      </c>
      <c r="P148" s="4">
        <v>2</v>
      </c>
      <c r="Q148" s="19">
        <v>599.99</v>
      </c>
      <c r="R148" s="16">
        <v>0.2</v>
      </c>
      <c r="S148" s="16">
        <v>1199.78</v>
      </c>
      <c r="T148" s="5" t="s">
        <v>21</v>
      </c>
      <c r="U148" s="13" t="s">
        <v>300</v>
      </c>
    </row>
    <row r="149" spans="1:21" x14ac:dyDescent="0.35">
      <c r="A149" s="4">
        <v>148</v>
      </c>
      <c r="B149" s="4">
        <v>714</v>
      </c>
      <c r="C149" s="13" t="s">
        <v>603</v>
      </c>
      <c r="D149" s="13" t="s">
        <v>604</v>
      </c>
      <c r="E149" s="5" t="s">
        <v>5566</v>
      </c>
      <c r="F149" s="5" t="s">
        <v>2717</v>
      </c>
      <c r="G149" s="5" t="s">
        <v>2718</v>
      </c>
      <c r="H149" s="13" t="s">
        <v>2384</v>
      </c>
      <c r="I149" s="13" t="s">
        <v>2309</v>
      </c>
      <c r="J149" s="4">
        <v>10451</v>
      </c>
      <c r="K149" s="4">
        <v>1</v>
      </c>
      <c r="L149" s="4">
        <v>14</v>
      </c>
      <c r="M149" s="4">
        <v>2016</v>
      </c>
      <c r="N149" s="4">
        <v>2</v>
      </c>
      <c r="O149" s="4">
        <v>6</v>
      </c>
      <c r="P149" s="4">
        <v>1</v>
      </c>
      <c r="Q149" s="19">
        <v>269.99</v>
      </c>
      <c r="R149" s="16">
        <v>0.05</v>
      </c>
      <c r="S149" s="16">
        <v>269.94</v>
      </c>
      <c r="T149" s="5" t="s">
        <v>19</v>
      </c>
      <c r="U149" s="13" t="s">
        <v>301</v>
      </c>
    </row>
    <row r="150" spans="1:21" x14ac:dyDescent="0.35">
      <c r="A150" s="4">
        <v>149</v>
      </c>
      <c r="B150" s="4">
        <v>763</v>
      </c>
      <c r="C150" s="13" t="s">
        <v>605</v>
      </c>
      <c r="D150" s="13" t="s">
        <v>544</v>
      </c>
      <c r="E150" s="5" t="s">
        <v>5566</v>
      </c>
      <c r="F150" s="5" t="s">
        <v>2719</v>
      </c>
      <c r="G150" s="5" t="s">
        <v>2720</v>
      </c>
      <c r="H150" s="13" t="s">
        <v>2456</v>
      </c>
      <c r="I150" s="13" t="s">
        <v>2309</v>
      </c>
      <c r="J150" s="4">
        <v>11373</v>
      </c>
      <c r="K150" s="4">
        <v>1</v>
      </c>
      <c r="L150" s="4">
        <v>12</v>
      </c>
      <c r="M150" s="4">
        <v>2016</v>
      </c>
      <c r="N150" s="4">
        <v>2</v>
      </c>
      <c r="O150" s="4">
        <v>6</v>
      </c>
      <c r="P150" s="4">
        <v>2</v>
      </c>
      <c r="Q150" s="19">
        <v>549.99</v>
      </c>
      <c r="R150" s="16">
        <v>7.0000000000000007E-2</v>
      </c>
      <c r="S150" s="16">
        <v>1099.9100000000001</v>
      </c>
      <c r="T150" s="5" t="s">
        <v>17</v>
      </c>
      <c r="U150" s="13" t="s">
        <v>301</v>
      </c>
    </row>
    <row r="151" spans="1:21" x14ac:dyDescent="0.35">
      <c r="A151" s="4">
        <v>150</v>
      </c>
      <c r="B151" s="4">
        <v>332</v>
      </c>
      <c r="C151" s="13" t="s">
        <v>606</v>
      </c>
      <c r="D151" s="13" t="s">
        <v>339</v>
      </c>
      <c r="E151" s="5" t="s">
        <v>5566</v>
      </c>
      <c r="F151" s="5" t="s">
        <v>2721</v>
      </c>
      <c r="G151" s="5" t="s">
        <v>2722</v>
      </c>
      <c r="H151" s="13" t="s">
        <v>2365</v>
      </c>
      <c r="I151" s="13" t="s">
        <v>2305</v>
      </c>
      <c r="J151" s="4">
        <v>91387</v>
      </c>
      <c r="K151" s="4">
        <v>1</v>
      </c>
      <c r="L151" s="4">
        <v>7</v>
      </c>
      <c r="M151" s="4">
        <v>2016</v>
      </c>
      <c r="N151" s="4">
        <v>1</v>
      </c>
      <c r="O151" s="4">
        <v>2</v>
      </c>
      <c r="P151" s="4">
        <v>1</v>
      </c>
      <c r="Q151" s="19">
        <v>3999.99</v>
      </c>
      <c r="R151" s="16">
        <v>0.1</v>
      </c>
      <c r="S151" s="16">
        <v>3999.89</v>
      </c>
      <c r="T151" s="5" t="s">
        <v>12</v>
      </c>
      <c r="U151" s="13" t="s">
        <v>304</v>
      </c>
    </row>
    <row r="152" spans="1:21" x14ac:dyDescent="0.35">
      <c r="A152" s="4">
        <v>151</v>
      </c>
      <c r="B152" s="4">
        <v>926</v>
      </c>
      <c r="C152" s="13" t="s">
        <v>607</v>
      </c>
      <c r="D152" s="13" t="s">
        <v>608</v>
      </c>
      <c r="E152" s="5" t="s">
        <v>2723</v>
      </c>
      <c r="F152" s="5" t="s">
        <v>2724</v>
      </c>
      <c r="G152" s="5" t="s">
        <v>2725</v>
      </c>
      <c r="H152" s="13" t="s">
        <v>2726</v>
      </c>
      <c r="I152" s="13" t="s">
        <v>2305</v>
      </c>
      <c r="J152" s="4">
        <v>93306</v>
      </c>
      <c r="K152" s="4">
        <v>1</v>
      </c>
      <c r="L152" s="4">
        <v>17</v>
      </c>
      <c r="M152" s="4">
        <v>2016</v>
      </c>
      <c r="N152" s="4">
        <v>1</v>
      </c>
      <c r="O152" s="4">
        <v>2</v>
      </c>
      <c r="P152" s="4">
        <v>1</v>
      </c>
      <c r="Q152" s="19">
        <v>429</v>
      </c>
      <c r="R152" s="16">
        <v>0.1</v>
      </c>
      <c r="S152" s="16">
        <v>428.9</v>
      </c>
      <c r="T152" s="5" t="s">
        <v>22</v>
      </c>
      <c r="U152" s="13" t="s">
        <v>301</v>
      </c>
    </row>
    <row r="153" spans="1:21" x14ac:dyDescent="0.35">
      <c r="A153" s="4">
        <v>152</v>
      </c>
      <c r="B153" s="4">
        <v>76</v>
      </c>
      <c r="C153" s="13" t="s">
        <v>609</v>
      </c>
      <c r="D153" s="13" t="s">
        <v>610</v>
      </c>
      <c r="E153" s="5" t="s">
        <v>5566</v>
      </c>
      <c r="F153" s="5" t="s">
        <v>2727</v>
      </c>
      <c r="G153" s="5" t="s">
        <v>2728</v>
      </c>
      <c r="H153" s="13" t="s">
        <v>2729</v>
      </c>
      <c r="I153" s="13" t="s">
        <v>2309</v>
      </c>
      <c r="J153" s="4">
        <v>11776</v>
      </c>
      <c r="K153" s="4">
        <v>1</v>
      </c>
      <c r="L153" s="4">
        <v>6</v>
      </c>
      <c r="M153" s="4">
        <v>2016</v>
      </c>
      <c r="N153" s="4">
        <v>2</v>
      </c>
      <c r="O153" s="4">
        <v>6</v>
      </c>
      <c r="P153" s="4">
        <v>2</v>
      </c>
      <c r="Q153" s="19">
        <v>469.99</v>
      </c>
      <c r="R153" s="16">
        <v>0.2</v>
      </c>
      <c r="S153" s="16">
        <v>939.78</v>
      </c>
      <c r="T153" s="5" t="s">
        <v>11</v>
      </c>
      <c r="U153" s="13" t="s">
        <v>304</v>
      </c>
    </row>
    <row r="154" spans="1:21" x14ac:dyDescent="0.35">
      <c r="A154" s="4">
        <v>153</v>
      </c>
      <c r="B154" s="4">
        <v>498</v>
      </c>
      <c r="C154" s="13" t="s">
        <v>611</v>
      </c>
      <c r="D154" s="13" t="s">
        <v>612</v>
      </c>
      <c r="E154" s="5" t="s">
        <v>5566</v>
      </c>
      <c r="F154" s="5" t="s">
        <v>2730</v>
      </c>
      <c r="G154" s="5" t="s">
        <v>2731</v>
      </c>
      <c r="H154" s="13" t="s">
        <v>2732</v>
      </c>
      <c r="I154" s="13" t="s">
        <v>2309</v>
      </c>
      <c r="J154" s="4">
        <v>14120</v>
      </c>
      <c r="K154" s="4">
        <v>1</v>
      </c>
      <c r="L154" s="4">
        <v>16</v>
      </c>
      <c r="M154" s="4">
        <v>2016</v>
      </c>
      <c r="N154" s="4">
        <v>2</v>
      </c>
      <c r="O154" s="4">
        <v>6</v>
      </c>
      <c r="P154" s="4">
        <v>1</v>
      </c>
      <c r="Q154" s="19">
        <v>599.99</v>
      </c>
      <c r="R154" s="16">
        <v>7.0000000000000007E-2</v>
      </c>
      <c r="S154" s="16">
        <v>599.91999999999996</v>
      </c>
      <c r="T154" s="5" t="s">
        <v>21</v>
      </c>
      <c r="U154" s="13" t="s">
        <v>301</v>
      </c>
    </row>
    <row r="155" spans="1:21" x14ac:dyDescent="0.35">
      <c r="A155" s="4">
        <v>154</v>
      </c>
      <c r="B155" s="4">
        <v>1286</v>
      </c>
      <c r="C155" s="13" t="s">
        <v>613</v>
      </c>
      <c r="D155" s="13" t="s">
        <v>614</v>
      </c>
      <c r="E155" s="5" t="s">
        <v>5566</v>
      </c>
      <c r="F155" s="5" t="s">
        <v>2733</v>
      </c>
      <c r="G155" s="5" t="s">
        <v>2734</v>
      </c>
      <c r="H155" s="13" t="s">
        <v>2304</v>
      </c>
      <c r="I155" s="13" t="s">
        <v>2305</v>
      </c>
      <c r="J155" s="4">
        <v>94566</v>
      </c>
      <c r="K155" s="4">
        <v>1</v>
      </c>
      <c r="L155" s="4">
        <v>12</v>
      </c>
      <c r="M155" s="4">
        <v>2016</v>
      </c>
      <c r="N155" s="4">
        <v>1</v>
      </c>
      <c r="O155" s="4">
        <v>2</v>
      </c>
      <c r="P155" s="4">
        <v>1</v>
      </c>
      <c r="Q155" s="19">
        <v>549.99</v>
      </c>
      <c r="R155" s="16">
        <v>0.1</v>
      </c>
      <c r="S155" s="16">
        <v>549.89</v>
      </c>
      <c r="T155" s="5" t="s">
        <v>17</v>
      </c>
      <c r="U155" s="13" t="s">
        <v>301</v>
      </c>
    </row>
    <row r="156" spans="1:21" x14ac:dyDescent="0.35">
      <c r="A156" s="4">
        <v>155</v>
      </c>
      <c r="B156" s="4">
        <v>371</v>
      </c>
      <c r="C156" s="13" t="s">
        <v>615</v>
      </c>
      <c r="D156" s="13" t="s">
        <v>616</v>
      </c>
      <c r="E156" s="5" t="s">
        <v>5566</v>
      </c>
      <c r="F156" s="5" t="s">
        <v>2735</v>
      </c>
      <c r="G156" s="5" t="s">
        <v>2736</v>
      </c>
      <c r="H156" s="13" t="s">
        <v>2737</v>
      </c>
      <c r="I156" s="13" t="s">
        <v>2309</v>
      </c>
      <c r="J156" s="4">
        <v>11422</v>
      </c>
      <c r="K156" s="4">
        <v>1</v>
      </c>
      <c r="L156" s="4">
        <v>8</v>
      </c>
      <c r="M156" s="4">
        <v>2016</v>
      </c>
      <c r="N156" s="4">
        <v>2</v>
      </c>
      <c r="O156" s="4">
        <v>6</v>
      </c>
      <c r="P156" s="4">
        <v>1</v>
      </c>
      <c r="Q156" s="19">
        <v>1799.99</v>
      </c>
      <c r="R156" s="16">
        <v>0.1</v>
      </c>
      <c r="S156" s="16">
        <v>1799.89</v>
      </c>
      <c r="T156" s="5" t="s">
        <v>13</v>
      </c>
      <c r="U156" s="13" t="s">
        <v>304</v>
      </c>
    </row>
    <row r="157" spans="1:21" x14ac:dyDescent="0.35">
      <c r="A157" s="4">
        <v>156</v>
      </c>
      <c r="B157" s="4">
        <v>357</v>
      </c>
      <c r="C157" s="13" t="s">
        <v>617</v>
      </c>
      <c r="D157" s="13" t="s">
        <v>618</v>
      </c>
      <c r="E157" s="5" t="s">
        <v>2738</v>
      </c>
      <c r="F157" s="5" t="s">
        <v>2739</v>
      </c>
      <c r="G157" s="5" t="s">
        <v>2740</v>
      </c>
      <c r="H157" s="13" t="s">
        <v>2741</v>
      </c>
      <c r="I157" s="13" t="s">
        <v>2305</v>
      </c>
      <c r="J157" s="4">
        <v>95127</v>
      </c>
      <c r="K157" s="4">
        <v>1</v>
      </c>
      <c r="L157" s="4">
        <v>18</v>
      </c>
      <c r="M157" s="4">
        <v>2016</v>
      </c>
      <c r="N157" s="4">
        <v>1</v>
      </c>
      <c r="O157" s="4">
        <v>3</v>
      </c>
      <c r="P157" s="4">
        <v>2</v>
      </c>
      <c r="Q157" s="19">
        <v>449</v>
      </c>
      <c r="R157" s="16">
        <v>0.2</v>
      </c>
      <c r="S157" s="16">
        <v>897.8</v>
      </c>
      <c r="T157" s="5" t="s">
        <v>23</v>
      </c>
      <c r="U157" s="13" t="s">
        <v>301</v>
      </c>
    </row>
    <row r="158" spans="1:21" x14ac:dyDescent="0.35">
      <c r="A158" s="4">
        <v>157</v>
      </c>
      <c r="B158" s="4">
        <v>43</v>
      </c>
      <c r="C158" s="13" t="s">
        <v>619</v>
      </c>
      <c r="D158" s="13" t="s">
        <v>620</v>
      </c>
      <c r="E158" s="5" t="s">
        <v>2742</v>
      </c>
      <c r="F158" s="5" t="s">
        <v>2743</v>
      </c>
      <c r="G158" s="5" t="s">
        <v>2744</v>
      </c>
      <c r="H158" s="13" t="s">
        <v>1262</v>
      </c>
      <c r="I158" s="13" t="s">
        <v>2397</v>
      </c>
      <c r="J158" s="4">
        <v>77016</v>
      </c>
      <c r="K158" s="4">
        <v>1</v>
      </c>
      <c r="L158" s="4">
        <v>4</v>
      </c>
      <c r="M158" s="4">
        <v>2016</v>
      </c>
      <c r="N158" s="4">
        <v>3</v>
      </c>
      <c r="O158" s="4">
        <v>8</v>
      </c>
      <c r="P158" s="4">
        <v>1</v>
      </c>
      <c r="Q158" s="19">
        <v>2899.99</v>
      </c>
      <c r="R158" s="16">
        <v>0.1</v>
      </c>
      <c r="S158" s="16">
        <v>2899.89</v>
      </c>
      <c r="T158" s="5" t="s">
        <v>9</v>
      </c>
      <c r="U158" s="13" t="s">
        <v>304</v>
      </c>
    </row>
    <row r="159" spans="1:21" x14ac:dyDescent="0.35">
      <c r="A159" s="4">
        <v>158</v>
      </c>
      <c r="B159" s="4">
        <v>117</v>
      </c>
      <c r="C159" s="13" t="s">
        <v>621</v>
      </c>
      <c r="D159" s="13" t="s">
        <v>351</v>
      </c>
      <c r="E159" s="5" t="s">
        <v>5566</v>
      </c>
      <c r="F159" s="5" t="s">
        <v>2745</v>
      </c>
      <c r="G159" s="5" t="s">
        <v>2746</v>
      </c>
      <c r="H159" s="13" t="s">
        <v>2502</v>
      </c>
      <c r="I159" s="13" t="s">
        <v>2397</v>
      </c>
      <c r="J159" s="4">
        <v>77478</v>
      </c>
      <c r="K159" s="4">
        <v>1</v>
      </c>
      <c r="L159" s="4">
        <v>24</v>
      </c>
      <c r="M159" s="4">
        <v>2016</v>
      </c>
      <c r="N159" s="4">
        <v>3</v>
      </c>
      <c r="O159" s="4">
        <v>9</v>
      </c>
      <c r="P159" s="4">
        <v>1</v>
      </c>
      <c r="Q159" s="19">
        <v>549.99</v>
      </c>
      <c r="R159" s="16">
        <v>0.1</v>
      </c>
      <c r="S159" s="16">
        <v>549.89</v>
      </c>
      <c r="T159" s="5" t="s">
        <v>17</v>
      </c>
      <c r="U159" s="13" t="s">
        <v>300</v>
      </c>
    </row>
    <row r="160" spans="1:21" x14ac:dyDescent="0.35">
      <c r="A160" s="4">
        <v>159</v>
      </c>
      <c r="B160" s="4">
        <v>32</v>
      </c>
      <c r="C160" s="13" t="s">
        <v>622</v>
      </c>
      <c r="D160" s="13" t="s">
        <v>623</v>
      </c>
      <c r="E160" s="5" t="s">
        <v>5566</v>
      </c>
      <c r="F160" s="5" t="s">
        <v>2747</v>
      </c>
      <c r="G160" s="5" t="s">
        <v>2748</v>
      </c>
      <c r="H160" s="13" t="s">
        <v>2749</v>
      </c>
      <c r="I160" s="13" t="s">
        <v>2305</v>
      </c>
      <c r="J160" s="4">
        <v>92831</v>
      </c>
      <c r="K160" s="4">
        <v>1</v>
      </c>
      <c r="L160" s="4">
        <v>13</v>
      </c>
      <c r="M160" s="4">
        <v>2016</v>
      </c>
      <c r="N160" s="4">
        <v>1</v>
      </c>
      <c r="O160" s="4">
        <v>2</v>
      </c>
      <c r="P160" s="4">
        <v>1</v>
      </c>
      <c r="Q160" s="19">
        <v>269.99</v>
      </c>
      <c r="R160" s="16">
        <v>0.2</v>
      </c>
      <c r="S160" s="16">
        <v>269.79000000000002</v>
      </c>
      <c r="T160" s="5" t="s">
        <v>18</v>
      </c>
      <c r="U160" s="13" t="s">
        <v>301</v>
      </c>
    </row>
    <row r="161" spans="1:21" x14ac:dyDescent="0.35">
      <c r="A161" s="4">
        <v>160</v>
      </c>
      <c r="B161" s="4">
        <v>205</v>
      </c>
      <c r="C161" s="13" t="s">
        <v>624</v>
      </c>
      <c r="D161" s="13" t="s">
        <v>625</v>
      </c>
      <c r="E161" s="5" t="s">
        <v>5566</v>
      </c>
      <c r="F161" s="5" t="s">
        <v>2750</v>
      </c>
      <c r="G161" s="5" t="s">
        <v>2751</v>
      </c>
      <c r="H161" s="13" t="s">
        <v>2752</v>
      </c>
      <c r="I161" s="13" t="s">
        <v>2309</v>
      </c>
      <c r="J161" s="4">
        <v>11432</v>
      </c>
      <c r="K161" s="4">
        <v>1</v>
      </c>
      <c r="L161" s="4">
        <v>21</v>
      </c>
      <c r="M161" s="4">
        <v>2016</v>
      </c>
      <c r="N161" s="4">
        <v>2</v>
      </c>
      <c r="O161" s="4">
        <v>7</v>
      </c>
      <c r="P161" s="4">
        <v>1</v>
      </c>
      <c r="Q161" s="19">
        <v>269.99</v>
      </c>
      <c r="R161" s="16">
        <v>7.0000000000000007E-2</v>
      </c>
      <c r="S161" s="16">
        <v>269.92</v>
      </c>
      <c r="T161" s="5" t="s">
        <v>18</v>
      </c>
      <c r="U161" s="13" t="s">
        <v>299</v>
      </c>
    </row>
    <row r="162" spans="1:21" x14ac:dyDescent="0.35">
      <c r="A162" s="4">
        <v>161</v>
      </c>
      <c r="B162" s="4">
        <v>251</v>
      </c>
      <c r="C162" s="13" t="s">
        <v>626</v>
      </c>
      <c r="D162" s="13" t="s">
        <v>627</v>
      </c>
      <c r="E162" s="5" t="s">
        <v>5566</v>
      </c>
      <c r="F162" s="5" t="s">
        <v>2753</v>
      </c>
      <c r="G162" s="5" t="s">
        <v>2754</v>
      </c>
      <c r="H162" s="13" t="s">
        <v>2518</v>
      </c>
      <c r="I162" s="13" t="s">
        <v>2309</v>
      </c>
      <c r="J162" s="4">
        <v>12020</v>
      </c>
      <c r="K162" s="4">
        <v>1</v>
      </c>
      <c r="L162" s="4">
        <v>24</v>
      </c>
      <c r="M162" s="4">
        <v>2016</v>
      </c>
      <c r="N162" s="4">
        <v>2</v>
      </c>
      <c r="O162" s="4">
        <v>7</v>
      </c>
      <c r="P162" s="4">
        <v>2</v>
      </c>
      <c r="Q162" s="19">
        <v>549.99</v>
      </c>
      <c r="R162" s="16">
        <v>7.0000000000000007E-2</v>
      </c>
      <c r="S162" s="16">
        <v>1099.9100000000001</v>
      </c>
      <c r="T162" s="5" t="s">
        <v>17</v>
      </c>
      <c r="U162" s="13" t="s">
        <v>300</v>
      </c>
    </row>
    <row r="163" spans="1:21" x14ac:dyDescent="0.35">
      <c r="A163" s="4">
        <v>162</v>
      </c>
      <c r="B163" s="4">
        <v>31</v>
      </c>
      <c r="C163" s="13" t="s">
        <v>628</v>
      </c>
      <c r="D163" s="13" t="s">
        <v>629</v>
      </c>
      <c r="E163" s="5" t="s">
        <v>2755</v>
      </c>
      <c r="F163" s="5" t="s">
        <v>2756</v>
      </c>
      <c r="G163" s="5" t="s">
        <v>2757</v>
      </c>
      <c r="H163" s="13" t="s">
        <v>2758</v>
      </c>
      <c r="I163" s="13" t="s">
        <v>2305</v>
      </c>
      <c r="J163" s="4">
        <v>94603</v>
      </c>
      <c r="K163" s="4">
        <v>1</v>
      </c>
      <c r="L163" s="4">
        <v>18</v>
      </c>
      <c r="M163" s="4">
        <v>2016</v>
      </c>
      <c r="N163" s="4">
        <v>1</v>
      </c>
      <c r="O163" s="4">
        <v>3</v>
      </c>
      <c r="P163" s="4">
        <v>1</v>
      </c>
      <c r="Q163" s="19">
        <v>449</v>
      </c>
      <c r="R163" s="16">
        <v>7.0000000000000007E-2</v>
      </c>
      <c r="S163" s="16">
        <v>448.93</v>
      </c>
      <c r="T163" s="5" t="s">
        <v>23</v>
      </c>
      <c r="U163" s="13" t="s">
        <v>301</v>
      </c>
    </row>
    <row r="164" spans="1:21" x14ac:dyDescent="0.35">
      <c r="A164" s="4">
        <v>163</v>
      </c>
      <c r="B164" s="4">
        <v>1325</v>
      </c>
      <c r="C164" s="13" t="s">
        <v>630</v>
      </c>
      <c r="D164" s="13" t="s">
        <v>631</v>
      </c>
      <c r="E164" s="5" t="s">
        <v>5566</v>
      </c>
      <c r="F164" s="5" t="s">
        <v>2759</v>
      </c>
      <c r="G164" s="5" t="s">
        <v>2760</v>
      </c>
      <c r="H164" s="13" t="s">
        <v>2669</v>
      </c>
      <c r="I164" s="13" t="s">
        <v>2309</v>
      </c>
      <c r="J164" s="4">
        <v>13126</v>
      </c>
      <c r="K164" s="4">
        <v>1</v>
      </c>
      <c r="L164" s="4">
        <v>12</v>
      </c>
      <c r="M164" s="4">
        <v>2016</v>
      </c>
      <c r="N164" s="4">
        <v>2</v>
      </c>
      <c r="O164" s="4">
        <v>7</v>
      </c>
      <c r="P164" s="4">
        <v>1</v>
      </c>
      <c r="Q164" s="19">
        <v>549.99</v>
      </c>
      <c r="R164" s="16">
        <v>0.1</v>
      </c>
      <c r="S164" s="16">
        <v>549.89</v>
      </c>
      <c r="T164" s="5" t="s">
        <v>17</v>
      </c>
      <c r="U164" s="13" t="s">
        <v>301</v>
      </c>
    </row>
    <row r="165" spans="1:21" x14ac:dyDescent="0.35">
      <c r="A165" s="4">
        <v>164</v>
      </c>
      <c r="B165" s="4">
        <v>610</v>
      </c>
      <c r="C165" s="13" t="s">
        <v>632</v>
      </c>
      <c r="D165" s="13" t="s">
        <v>633</v>
      </c>
      <c r="E165" s="5" t="s">
        <v>5566</v>
      </c>
      <c r="F165" s="5" t="s">
        <v>2761</v>
      </c>
      <c r="G165" s="5" t="s">
        <v>2762</v>
      </c>
      <c r="H165" s="13" t="s">
        <v>2763</v>
      </c>
      <c r="I165" s="13" t="s">
        <v>2309</v>
      </c>
      <c r="J165" s="4">
        <v>11372</v>
      </c>
      <c r="K165" s="4">
        <v>1</v>
      </c>
      <c r="L165" s="4">
        <v>4</v>
      </c>
      <c r="M165" s="4">
        <v>2016</v>
      </c>
      <c r="N165" s="4">
        <v>2</v>
      </c>
      <c r="O165" s="4">
        <v>7</v>
      </c>
      <c r="P165" s="4">
        <v>2</v>
      </c>
      <c r="Q165" s="19">
        <v>2899.99</v>
      </c>
      <c r="R165" s="16">
        <v>0.05</v>
      </c>
      <c r="S165" s="16">
        <v>5799.9299999999994</v>
      </c>
      <c r="T165" s="5" t="s">
        <v>9</v>
      </c>
      <c r="U165" s="13" t="s">
        <v>304</v>
      </c>
    </row>
    <row r="166" spans="1:21" x14ac:dyDescent="0.35">
      <c r="A166" s="4">
        <v>165</v>
      </c>
      <c r="B166" s="4">
        <v>574</v>
      </c>
      <c r="C166" s="13" t="s">
        <v>634</v>
      </c>
      <c r="D166" s="13" t="s">
        <v>635</v>
      </c>
      <c r="E166" s="5" t="s">
        <v>5566</v>
      </c>
      <c r="F166" s="5" t="s">
        <v>2764</v>
      </c>
      <c r="G166" s="5" t="s">
        <v>2765</v>
      </c>
      <c r="H166" s="13" t="s">
        <v>2362</v>
      </c>
      <c r="I166" s="13" t="s">
        <v>2305</v>
      </c>
      <c r="J166" s="4">
        <v>91316</v>
      </c>
      <c r="K166" s="4">
        <v>1</v>
      </c>
      <c r="L166" s="4">
        <v>4</v>
      </c>
      <c r="M166" s="4">
        <v>2016</v>
      </c>
      <c r="N166" s="4">
        <v>1</v>
      </c>
      <c r="O166" s="4">
        <v>3</v>
      </c>
      <c r="P166" s="4">
        <v>2</v>
      </c>
      <c r="Q166" s="19">
        <v>2899.99</v>
      </c>
      <c r="R166" s="16">
        <v>0.05</v>
      </c>
      <c r="S166" s="16">
        <v>5799.9299999999994</v>
      </c>
      <c r="T166" s="5" t="s">
        <v>9</v>
      </c>
      <c r="U166" s="13" t="s">
        <v>304</v>
      </c>
    </row>
    <row r="167" spans="1:21" x14ac:dyDescent="0.35">
      <c r="A167" s="4">
        <v>166</v>
      </c>
      <c r="B167" s="4">
        <v>338</v>
      </c>
      <c r="C167" s="13" t="s">
        <v>636</v>
      </c>
      <c r="D167" s="13" t="s">
        <v>637</v>
      </c>
      <c r="E167" s="5" t="s">
        <v>5566</v>
      </c>
      <c r="F167" s="5" t="s">
        <v>2766</v>
      </c>
      <c r="G167" s="5" t="s">
        <v>2767</v>
      </c>
      <c r="H167" s="13" t="s">
        <v>2628</v>
      </c>
      <c r="I167" s="13" t="s">
        <v>2309</v>
      </c>
      <c r="J167" s="4">
        <v>11375</v>
      </c>
      <c r="K167" s="4">
        <v>1</v>
      </c>
      <c r="L167" s="4">
        <v>10</v>
      </c>
      <c r="M167" s="4">
        <v>2016</v>
      </c>
      <c r="N167" s="4">
        <v>2</v>
      </c>
      <c r="O167" s="4">
        <v>6</v>
      </c>
      <c r="P167" s="4">
        <v>2</v>
      </c>
      <c r="Q167" s="19">
        <v>1549</v>
      </c>
      <c r="R167" s="16">
        <v>0.1</v>
      </c>
      <c r="S167" s="16">
        <v>3097.9</v>
      </c>
      <c r="T167" s="5" t="s">
        <v>15</v>
      </c>
      <c r="U167" s="13" t="s">
        <v>302</v>
      </c>
    </row>
    <row r="168" spans="1:21" x14ac:dyDescent="0.35">
      <c r="A168" s="4">
        <v>167</v>
      </c>
      <c r="B168" s="4">
        <v>1034</v>
      </c>
      <c r="C168" s="13" t="s">
        <v>638</v>
      </c>
      <c r="D168" s="13" t="s">
        <v>639</v>
      </c>
      <c r="E168" s="5" t="s">
        <v>5566</v>
      </c>
      <c r="F168" s="5" t="s">
        <v>2768</v>
      </c>
      <c r="G168" s="5" t="s">
        <v>2769</v>
      </c>
      <c r="H168" s="13" t="s">
        <v>2567</v>
      </c>
      <c r="I168" s="13" t="s">
        <v>2309</v>
      </c>
      <c r="J168" s="4">
        <v>11720</v>
      </c>
      <c r="K168" s="4">
        <v>1</v>
      </c>
      <c r="L168" s="4">
        <v>12</v>
      </c>
      <c r="M168" s="4">
        <v>2016</v>
      </c>
      <c r="N168" s="4">
        <v>2</v>
      </c>
      <c r="O168" s="4">
        <v>7</v>
      </c>
      <c r="P168" s="4">
        <v>1</v>
      </c>
      <c r="Q168" s="19">
        <v>549.99</v>
      </c>
      <c r="R168" s="16">
        <v>0.05</v>
      </c>
      <c r="S168" s="16">
        <v>549.94000000000005</v>
      </c>
      <c r="T168" s="5" t="s">
        <v>17</v>
      </c>
      <c r="U168" s="13" t="s">
        <v>301</v>
      </c>
    </row>
    <row r="169" spans="1:21" x14ac:dyDescent="0.35">
      <c r="A169" s="4">
        <v>168</v>
      </c>
      <c r="B169" s="4">
        <v>1147</v>
      </c>
      <c r="C169" s="13" t="s">
        <v>640</v>
      </c>
      <c r="D169" s="13" t="s">
        <v>641</v>
      </c>
      <c r="E169" s="5" t="s">
        <v>5566</v>
      </c>
      <c r="F169" s="5" t="s">
        <v>2770</v>
      </c>
      <c r="G169" s="5" t="s">
        <v>2771</v>
      </c>
      <c r="H169" s="13" t="s">
        <v>2534</v>
      </c>
      <c r="I169" s="13" t="s">
        <v>2305</v>
      </c>
      <c r="J169" s="4">
        <v>90403</v>
      </c>
      <c r="K169" s="4">
        <v>1</v>
      </c>
      <c r="L169" s="4">
        <v>6</v>
      </c>
      <c r="M169" s="4">
        <v>2016</v>
      </c>
      <c r="N169" s="4">
        <v>1</v>
      </c>
      <c r="O169" s="4">
        <v>3</v>
      </c>
      <c r="P169" s="4">
        <v>1</v>
      </c>
      <c r="Q169" s="19">
        <v>469.99</v>
      </c>
      <c r="R169" s="16">
        <v>0.1</v>
      </c>
      <c r="S169" s="16">
        <v>469.89</v>
      </c>
      <c r="T169" s="5" t="s">
        <v>11</v>
      </c>
      <c r="U169" s="13" t="s">
        <v>304</v>
      </c>
    </row>
    <row r="170" spans="1:21" x14ac:dyDescent="0.35">
      <c r="A170" s="4">
        <v>169</v>
      </c>
      <c r="B170" s="4">
        <v>99</v>
      </c>
      <c r="C170" s="13" t="s">
        <v>642</v>
      </c>
      <c r="D170" s="13" t="s">
        <v>643</v>
      </c>
      <c r="E170" s="5" t="s">
        <v>5566</v>
      </c>
      <c r="F170" s="5" t="s">
        <v>2772</v>
      </c>
      <c r="G170" s="5" t="s">
        <v>2773</v>
      </c>
      <c r="H170" s="13" t="s">
        <v>552</v>
      </c>
      <c r="I170" s="13" t="s">
        <v>2309</v>
      </c>
      <c r="J170" s="4">
        <v>10950</v>
      </c>
      <c r="K170" s="4">
        <v>1</v>
      </c>
      <c r="L170" s="4">
        <v>20</v>
      </c>
      <c r="M170" s="4">
        <v>2016</v>
      </c>
      <c r="N170" s="4">
        <v>2</v>
      </c>
      <c r="O170" s="4">
        <v>7</v>
      </c>
      <c r="P170" s="4">
        <v>2</v>
      </c>
      <c r="Q170" s="19">
        <v>599.99</v>
      </c>
      <c r="R170" s="16">
        <v>0.1</v>
      </c>
      <c r="S170" s="16">
        <v>1199.8800000000001</v>
      </c>
      <c r="T170" s="5" t="s">
        <v>25</v>
      </c>
      <c r="U170" s="13" t="s">
        <v>301</v>
      </c>
    </row>
    <row r="171" spans="1:21" x14ac:dyDescent="0.35">
      <c r="A171" s="4">
        <v>170</v>
      </c>
      <c r="B171" s="4">
        <v>1200</v>
      </c>
      <c r="C171" s="13" t="s">
        <v>644</v>
      </c>
      <c r="D171" s="13" t="s">
        <v>645</v>
      </c>
      <c r="E171" s="5" t="s">
        <v>5566</v>
      </c>
      <c r="F171" s="5" t="s">
        <v>2774</v>
      </c>
      <c r="G171" s="5" t="s">
        <v>2775</v>
      </c>
      <c r="H171" s="13" t="s">
        <v>2525</v>
      </c>
      <c r="I171" s="13" t="s">
        <v>2309</v>
      </c>
      <c r="J171" s="4">
        <v>11050</v>
      </c>
      <c r="K171" s="4">
        <v>1</v>
      </c>
      <c r="L171" s="4">
        <v>12</v>
      </c>
      <c r="M171" s="4">
        <v>2016</v>
      </c>
      <c r="N171" s="4">
        <v>2</v>
      </c>
      <c r="O171" s="4">
        <v>7</v>
      </c>
      <c r="P171" s="4">
        <v>2</v>
      </c>
      <c r="Q171" s="19">
        <v>549.99</v>
      </c>
      <c r="R171" s="16">
        <v>0.1</v>
      </c>
      <c r="S171" s="16">
        <v>1099.8800000000001</v>
      </c>
      <c r="T171" s="5" t="s">
        <v>17</v>
      </c>
      <c r="U171" s="13" t="s">
        <v>301</v>
      </c>
    </row>
    <row r="172" spans="1:21" x14ac:dyDescent="0.35">
      <c r="A172" s="4">
        <v>171</v>
      </c>
      <c r="B172" s="4">
        <v>237</v>
      </c>
      <c r="C172" s="13" t="s">
        <v>646</v>
      </c>
      <c r="D172" s="13" t="s">
        <v>647</v>
      </c>
      <c r="E172" s="5" t="s">
        <v>5566</v>
      </c>
      <c r="F172" s="5" t="s">
        <v>2776</v>
      </c>
      <c r="G172" s="5" t="s">
        <v>2777</v>
      </c>
      <c r="H172" s="13" t="s">
        <v>2353</v>
      </c>
      <c r="I172" s="13" t="s">
        <v>2305</v>
      </c>
      <c r="J172" s="4">
        <v>92220</v>
      </c>
      <c r="K172" s="4">
        <v>1</v>
      </c>
      <c r="L172" s="4">
        <v>8</v>
      </c>
      <c r="M172" s="4">
        <v>2016</v>
      </c>
      <c r="N172" s="4">
        <v>1</v>
      </c>
      <c r="O172" s="4">
        <v>3</v>
      </c>
      <c r="P172" s="4">
        <v>1</v>
      </c>
      <c r="Q172" s="19">
        <v>1799.99</v>
      </c>
      <c r="R172" s="16">
        <v>0.05</v>
      </c>
      <c r="S172" s="16">
        <v>1799.94</v>
      </c>
      <c r="T172" s="5" t="s">
        <v>13</v>
      </c>
      <c r="U172" s="13" t="s">
        <v>304</v>
      </c>
    </row>
    <row r="173" spans="1:21" x14ac:dyDescent="0.35">
      <c r="A173" s="4">
        <v>172</v>
      </c>
      <c r="B173" s="4">
        <v>1079</v>
      </c>
      <c r="C173" s="13" t="s">
        <v>648</v>
      </c>
      <c r="D173" s="13" t="s">
        <v>333</v>
      </c>
      <c r="E173" s="5" t="s">
        <v>5566</v>
      </c>
      <c r="F173" s="5" t="s">
        <v>2778</v>
      </c>
      <c r="G173" s="5" t="s">
        <v>2779</v>
      </c>
      <c r="H173" s="13" t="s">
        <v>2376</v>
      </c>
      <c r="I173" s="13" t="s">
        <v>2309</v>
      </c>
      <c r="J173" s="4">
        <v>11001</v>
      </c>
      <c r="K173" s="4">
        <v>1</v>
      </c>
      <c r="L173" s="4">
        <v>23</v>
      </c>
      <c r="M173" s="4">
        <v>2016</v>
      </c>
      <c r="N173" s="4">
        <v>2</v>
      </c>
      <c r="O173" s="4">
        <v>7</v>
      </c>
      <c r="P173" s="4">
        <v>1</v>
      </c>
      <c r="Q173" s="19">
        <v>299.99</v>
      </c>
      <c r="R173" s="16">
        <v>7.0000000000000007E-2</v>
      </c>
      <c r="S173" s="16">
        <v>299.92</v>
      </c>
      <c r="T173" s="5" t="s">
        <v>26</v>
      </c>
      <c r="U173" s="13" t="s">
        <v>299</v>
      </c>
    </row>
    <row r="174" spans="1:21" x14ac:dyDescent="0.35">
      <c r="A174" s="4">
        <v>173</v>
      </c>
      <c r="B174" s="4">
        <v>117</v>
      </c>
      <c r="C174" s="13" t="s">
        <v>621</v>
      </c>
      <c r="D174" s="13" t="s">
        <v>351</v>
      </c>
      <c r="E174" s="5" t="s">
        <v>5566</v>
      </c>
      <c r="F174" s="5" t="s">
        <v>2745</v>
      </c>
      <c r="G174" s="5" t="s">
        <v>2746</v>
      </c>
      <c r="H174" s="13" t="s">
        <v>2502</v>
      </c>
      <c r="I174" s="13" t="s">
        <v>2397</v>
      </c>
      <c r="J174" s="4">
        <v>77478</v>
      </c>
      <c r="K174" s="4">
        <v>1</v>
      </c>
      <c r="L174" s="4">
        <v>14</v>
      </c>
      <c r="M174" s="4">
        <v>2016</v>
      </c>
      <c r="N174" s="4">
        <v>3</v>
      </c>
      <c r="O174" s="4">
        <v>8</v>
      </c>
      <c r="P174" s="4">
        <v>1</v>
      </c>
      <c r="Q174" s="19">
        <v>269.99</v>
      </c>
      <c r="R174" s="16">
        <v>0.05</v>
      </c>
      <c r="S174" s="16">
        <v>269.94</v>
      </c>
      <c r="T174" s="5" t="s">
        <v>19</v>
      </c>
      <c r="U174" s="13" t="s">
        <v>301</v>
      </c>
    </row>
    <row r="175" spans="1:21" x14ac:dyDescent="0.35">
      <c r="A175" s="4">
        <v>174</v>
      </c>
      <c r="B175" s="4">
        <v>1361</v>
      </c>
      <c r="C175" s="13" t="s">
        <v>649</v>
      </c>
      <c r="D175" s="13" t="s">
        <v>650</v>
      </c>
      <c r="E175" s="5" t="s">
        <v>5566</v>
      </c>
      <c r="F175" s="5" t="s">
        <v>2780</v>
      </c>
      <c r="G175" s="5" t="s">
        <v>2781</v>
      </c>
      <c r="H175" s="13" t="s">
        <v>2782</v>
      </c>
      <c r="I175" s="13" t="s">
        <v>2309</v>
      </c>
      <c r="J175" s="4">
        <v>11590</v>
      </c>
      <c r="K175" s="4">
        <v>1</v>
      </c>
      <c r="L175" s="4">
        <v>22</v>
      </c>
      <c r="M175" s="4">
        <v>2016</v>
      </c>
      <c r="N175" s="4">
        <v>2</v>
      </c>
      <c r="O175" s="4">
        <v>7</v>
      </c>
      <c r="P175" s="4">
        <v>2</v>
      </c>
      <c r="Q175" s="19">
        <v>269.99</v>
      </c>
      <c r="R175" s="16">
        <v>0.2</v>
      </c>
      <c r="S175" s="16">
        <v>539.78</v>
      </c>
      <c r="T175" s="5" t="s">
        <v>19</v>
      </c>
      <c r="U175" s="13" t="s">
        <v>299</v>
      </c>
    </row>
    <row r="176" spans="1:21" x14ac:dyDescent="0.35">
      <c r="A176" s="4">
        <v>175</v>
      </c>
      <c r="B176" s="4">
        <v>951</v>
      </c>
      <c r="C176" s="13" t="s">
        <v>651</v>
      </c>
      <c r="D176" s="13" t="s">
        <v>652</v>
      </c>
      <c r="E176" s="5" t="s">
        <v>5566</v>
      </c>
      <c r="F176" s="5" t="s">
        <v>2783</v>
      </c>
      <c r="G176" s="5" t="s">
        <v>2784</v>
      </c>
      <c r="H176" s="13" t="s">
        <v>2785</v>
      </c>
      <c r="I176" s="13" t="s">
        <v>2309</v>
      </c>
      <c r="J176" s="4">
        <v>10583</v>
      </c>
      <c r="K176" s="4">
        <v>1</v>
      </c>
      <c r="L176" s="4">
        <v>5</v>
      </c>
      <c r="M176" s="4">
        <v>2016</v>
      </c>
      <c r="N176" s="4">
        <v>2</v>
      </c>
      <c r="O176" s="4">
        <v>6</v>
      </c>
      <c r="P176" s="4">
        <v>1</v>
      </c>
      <c r="Q176" s="19">
        <v>1320.99</v>
      </c>
      <c r="R176" s="16">
        <v>0.1</v>
      </c>
      <c r="S176" s="16">
        <v>1320.89</v>
      </c>
      <c r="T176" s="5" t="s">
        <v>10</v>
      </c>
      <c r="U176" s="13" t="s">
        <v>304</v>
      </c>
    </row>
    <row r="177" spans="1:21" x14ac:dyDescent="0.35">
      <c r="A177" s="4">
        <v>176</v>
      </c>
      <c r="B177" s="4">
        <v>643</v>
      </c>
      <c r="C177" s="13" t="s">
        <v>653</v>
      </c>
      <c r="D177" s="13" t="s">
        <v>654</v>
      </c>
      <c r="E177" s="5" t="s">
        <v>5566</v>
      </c>
      <c r="F177" s="5" t="s">
        <v>2786</v>
      </c>
      <c r="G177" s="5" t="s">
        <v>2787</v>
      </c>
      <c r="H177" s="13" t="s">
        <v>2376</v>
      </c>
      <c r="I177" s="13" t="s">
        <v>2309</v>
      </c>
      <c r="J177" s="4">
        <v>11001</v>
      </c>
      <c r="K177" s="4">
        <v>1</v>
      </c>
      <c r="L177" s="4">
        <v>2</v>
      </c>
      <c r="M177" s="4">
        <v>2016</v>
      </c>
      <c r="N177" s="4">
        <v>2</v>
      </c>
      <c r="O177" s="4">
        <v>7</v>
      </c>
      <c r="P177" s="4">
        <v>2</v>
      </c>
      <c r="Q177" s="19">
        <v>749.99</v>
      </c>
      <c r="R177" s="16">
        <v>7.0000000000000007E-2</v>
      </c>
      <c r="S177" s="16">
        <v>1499.91</v>
      </c>
      <c r="T177" s="5" t="s">
        <v>7</v>
      </c>
      <c r="U177" s="13" t="s">
        <v>304</v>
      </c>
    </row>
    <row r="178" spans="1:21" x14ac:dyDescent="0.35">
      <c r="A178" s="4">
        <v>177</v>
      </c>
      <c r="B178" s="4">
        <v>121</v>
      </c>
      <c r="C178" s="13" t="s">
        <v>655</v>
      </c>
      <c r="D178" s="13" t="s">
        <v>656</v>
      </c>
      <c r="E178" s="5" t="s">
        <v>5566</v>
      </c>
      <c r="F178" s="5" t="s">
        <v>2788</v>
      </c>
      <c r="G178" s="5" t="s">
        <v>2789</v>
      </c>
      <c r="H178" s="13" t="s">
        <v>2790</v>
      </c>
      <c r="I178" s="13" t="s">
        <v>2305</v>
      </c>
      <c r="J178" s="4">
        <v>90274</v>
      </c>
      <c r="K178" s="4">
        <v>1</v>
      </c>
      <c r="L178" s="4">
        <v>20</v>
      </c>
      <c r="M178" s="4">
        <v>2016</v>
      </c>
      <c r="N178" s="4">
        <v>1</v>
      </c>
      <c r="O178" s="4">
        <v>2</v>
      </c>
      <c r="P178" s="4">
        <v>2</v>
      </c>
      <c r="Q178" s="19">
        <v>599.99</v>
      </c>
      <c r="R178" s="16">
        <v>0.1</v>
      </c>
      <c r="S178" s="16">
        <v>1199.8800000000001</v>
      </c>
      <c r="T178" s="5" t="s">
        <v>25</v>
      </c>
      <c r="U178" s="13" t="s">
        <v>301</v>
      </c>
    </row>
    <row r="179" spans="1:21" x14ac:dyDescent="0.35">
      <c r="A179" s="4">
        <v>178</v>
      </c>
      <c r="B179" s="4">
        <v>756</v>
      </c>
      <c r="C179" s="13" t="s">
        <v>657</v>
      </c>
      <c r="D179" s="13" t="s">
        <v>658</v>
      </c>
      <c r="E179" s="5" t="s">
        <v>5566</v>
      </c>
      <c r="F179" s="5" t="s">
        <v>2791</v>
      </c>
      <c r="G179" s="5" t="s">
        <v>2792</v>
      </c>
      <c r="H179" s="13" t="s">
        <v>2682</v>
      </c>
      <c r="I179" s="13" t="s">
        <v>2309</v>
      </c>
      <c r="J179" s="4">
        <v>11704</v>
      </c>
      <c r="K179" s="4">
        <v>1</v>
      </c>
      <c r="L179" s="4">
        <v>10</v>
      </c>
      <c r="M179" s="4">
        <v>2016</v>
      </c>
      <c r="N179" s="4">
        <v>2</v>
      </c>
      <c r="O179" s="4">
        <v>6</v>
      </c>
      <c r="P179" s="4">
        <v>2</v>
      </c>
      <c r="Q179" s="19">
        <v>1549</v>
      </c>
      <c r="R179" s="16">
        <v>0.2</v>
      </c>
      <c r="S179" s="16">
        <v>3097.8</v>
      </c>
      <c r="T179" s="5" t="s">
        <v>15</v>
      </c>
      <c r="U179" s="13" t="s">
        <v>302</v>
      </c>
    </row>
    <row r="180" spans="1:21" x14ac:dyDescent="0.35">
      <c r="A180" s="4">
        <v>179</v>
      </c>
      <c r="B180" s="4">
        <v>616</v>
      </c>
      <c r="C180" s="13" t="s">
        <v>659</v>
      </c>
      <c r="D180" s="13" t="s">
        <v>660</v>
      </c>
      <c r="E180" s="5" t="s">
        <v>5566</v>
      </c>
      <c r="F180" s="5" t="s">
        <v>2793</v>
      </c>
      <c r="G180" s="5" t="s">
        <v>2794</v>
      </c>
      <c r="H180" s="13" t="s">
        <v>2327</v>
      </c>
      <c r="I180" s="13" t="s">
        <v>2309</v>
      </c>
      <c r="J180" s="4">
        <v>12866</v>
      </c>
      <c r="K180" s="4">
        <v>1</v>
      </c>
      <c r="L180" s="4">
        <v>13</v>
      </c>
      <c r="M180" s="4">
        <v>2016</v>
      </c>
      <c r="N180" s="4">
        <v>2</v>
      </c>
      <c r="O180" s="4">
        <v>6</v>
      </c>
      <c r="P180" s="4">
        <v>2</v>
      </c>
      <c r="Q180" s="19">
        <v>269.99</v>
      </c>
      <c r="R180" s="16">
        <v>0.05</v>
      </c>
      <c r="S180" s="16">
        <v>539.93000000000006</v>
      </c>
      <c r="T180" s="5" t="s">
        <v>18</v>
      </c>
      <c r="U180" s="13" t="s">
        <v>301</v>
      </c>
    </row>
    <row r="181" spans="1:21" x14ac:dyDescent="0.35">
      <c r="A181" s="4">
        <v>180</v>
      </c>
      <c r="B181" s="4">
        <v>918</v>
      </c>
      <c r="C181" s="13" t="s">
        <v>661</v>
      </c>
      <c r="D181" s="13" t="s">
        <v>662</v>
      </c>
      <c r="E181" s="5" t="s">
        <v>5566</v>
      </c>
      <c r="F181" s="5" t="s">
        <v>2795</v>
      </c>
      <c r="G181" s="5" t="s">
        <v>2796</v>
      </c>
      <c r="H181" s="13" t="s">
        <v>2797</v>
      </c>
      <c r="I181" s="13" t="s">
        <v>2309</v>
      </c>
      <c r="J181" s="4">
        <v>11787</v>
      </c>
      <c r="K181" s="4">
        <v>1</v>
      </c>
      <c r="L181" s="4">
        <v>16</v>
      </c>
      <c r="M181" s="4">
        <v>2016</v>
      </c>
      <c r="N181" s="4">
        <v>2</v>
      </c>
      <c r="O181" s="4">
        <v>7</v>
      </c>
      <c r="P181" s="4">
        <v>1</v>
      </c>
      <c r="Q181" s="19">
        <v>599.99</v>
      </c>
      <c r="R181" s="16">
        <v>7.0000000000000007E-2</v>
      </c>
      <c r="S181" s="16">
        <v>599.91999999999996</v>
      </c>
      <c r="T181" s="5" t="s">
        <v>21</v>
      </c>
      <c r="U181" s="13" t="s">
        <v>301</v>
      </c>
    </row>
    <row r="182" spans="1:21" x14ac:dyDescent="0.35">
      <c r="A182" s="4">
        <v>181</v>
      </c>
      <c r="B182" s="4">
        <v>459</v>
      </c>
      <c r="C182" s="13" t="s">
        <v>663</v>
      </c>
      <c r="D182" s="13" t="s">
        <v>664</v>
      </c>
      <c r="E182" s="5" t="s">
        <v>2798</v>
      </c>
      <c r="F182" s="5" t="s">
        <v>2799</v>
      </c>
      <c r="G182" s="5" t="s">
        <v>2800</v>
      </c>
      <c r="H182" s="13" t="s">
        <v>2726</v>
      </c>
      <c r="I182" s="13" t="s">
        <v>2305</v>
      </c>
      <c r="J182" s="4">
        <v>93306</v>
      </c>
      <c r="K182" s="4">
        <v>1</v>
      </c>
      <c r="L182" s="4">
        <v>10</v>
      </c>
      <c r="M182" s="4">
        <v>2016</v>
      </c>
      <c r="N182" s="4">
        <v>1</v>
      </c>
      <c r="O182" s="4">
        <v>3</v>
      </c>
      <c r="P182" s="4">
        <v>1</v>
      </c>
      <c r="Q182" s="19">
        <v>1549</v>
      </c>
      <c r="R182" s="16">
        <v>0.05</v>
      </c>
      <c r="S182" s="16">
        <v>1548.95</v>
      </c>
      <c r="T182" s="5" t="s">
        <v>15</v>
      </c>
      <c r="U182" s="13" t="s">
        <v>302</v>
      </c>
    </row>
    <row r="183" spans="1:21" x14ac:dyDescent="0.35">
      <c r="A183" s="4">
        <v>182</v>
      </c>
      <c r="B183" s="4">
        <v>854</v>
      </c>
      <c r="C183" s="13" t="s">
        <v>665</v>
      </c>
      <c r="D183" s="13" t="s">
        <v>666</v>
      </c>
      <c r="E183" s="5" t="s">
        <v>2801</v>
      </c>
      <c r="F183" s="5" t="s">
        <v>2802</v>
      </c>
      <c r="G183" s="5" t="s">
        <v>2803</v>
      </c>
      <c r="H183" s="13" t="s">
        <v>2647</v>
      </c>
      <c r="I183" s="13" t="s">
        <v>2309</v>
      </c>
      <c r="J183" s="4">
        <v>10002</v>
      </c>
      <c r="K183" s="4">
        <v>1</v>
      </c>
      <c r="L183" s="4">
        <v>25</v>
      </c>
      <c r="M183" s="4">
        <v>2016</v>
      </c>
      <c r="N183" s="4">
        <v>2</v>
      </c>
      <c r="O183" s="4">
        <v>6</v>
      </c>
      <c r="P183" s="4">
        <v>2</v>
      </c>
      <c r="Q183" s="19">
        <v>499.99</v>
      </c>
      <c r="R183" s="16">
        <v>0.05</v>
      </c>
      <c r="S183" s="16">
        <v>999.93000000000006</v>
      </c>
      <c r="T183" s="5" t="s">
        <v>27</v>
      </c>
      <c r="U183" s="13" t="s">
        <v>300</v>
      </c>
    </row>
    <row r="184" spans="1:21" x14ac:dyDescent="0.35">
      <c r="A184" s="4">
        <v>183</v>
      </c>
      <c r="B184" s="4">
        <v>22</v>
      </c>
      <c r="C184" s="13" t="s">
        <v>667</v>
      </c>
      <c r="D184" s="13" t="s">
        <v>668</v>
      </c>
      <c r="E184" s="5" t="s">
        <v>5566</v>
      </c>
      <c r="F184" s="5" t="s">
        <v>2804</v>
      </c>
      <c r="G184" s="5" t="s">
        <v>2805</v>
      </c>
      <c r="H184" s="13" t="s">
        <v>2806</v>
      </c>
      <c r="I184" s="13" t="s">
        <v>2309</v>
      </c>
      <c r="J184" s="4">
        <v>11731</v>
      </c>
      <c r="K184" s="4">
        <v>1</v>
      </c>
      <c r="L184" s="4">
        <v>11</v>
      </c>
      <c r="M184" s="4">
        <v>2016</v>
      </c>
      <c r="N184" s="4">
        <v>2</v>
      </c>
      <c r="O184" s="4">
        <v>7</v>
      </c>
      <c r="P184" s="4">
        <v>2</v>
      </c>
      <c r="Q184" s="19">
        <v>1680.99</v>
      </c>
      <c r="R184" s="16">
        <v>0.2</v>
      </c>
      <c r="S184" s="16">
        <v>3361.78</v>
      </c>
      <c r="T184" s="5" t="s">
        <v>16</v>
      </c>
      <c r="U184" s="13" t="s">
        <v>302</v>
      </c>
    </row>
    <row r="185" spans="1:21" x14ac:dyDescent="0.35">
      <c r="A185" s="4">
        <v>184</v>
      </c>
      <c r="B185" s="4">
        <v>134</v>
      </c>
      <c r="C185" s="13" t="s">
        <v>669</v>
      </c>
      <c r="D185" s="13" t="s">
        <v>670</v>
      </c>
      <c r="E185" s="5" t="s">
        <v>2807</v>
      </c>
      <c r="F185" s="5" t="s">
        <v>2808</v>
      </c>
      <c r="G185" s="5" t="s">
        <v>2809</v>
      </c>
      <c r="H185" s="13" t="s">
        <v>2615</v>
      </c>
      <c r="I185" s="13" t="s">
        <v>2309</v>
      </c>
      <c r="J185" s="4">
        <v>11550</v>
      </c>
      <c r="K185" s="4">
        <v>1</v>
      </c>
      <c r="L185" s="4">
        <v>4</v>
      </c>
      <c r="M185" s="4">
        <v>2016</v>
      </c>
      <c r="N185" s="4">
        <v>2</v>
      </c>
      <c r="O185" s="4">
        <v>7</v>
      </c>
      <c r="P185" s="4">
        <v>1</v>
      </c>
      <c r="Q185" s="19">
        <v>2899.99</v>
      </c>
      <c r="R185" s="16">
        <v>0.2</v>
      </c>
      <c r="S185" s="16">
        <v>2899.79</v>
      </c>
      <c r="T185" s="5" t="s">
        <v>9</v>
      </c>
      <c r="U185" s="13" t="s">
        <v>304</v>
      </c>
    </row>
    <row r="186" spans="1:21" x14ac:dyDescent="0.35">
      <c r="A186" s="4">
        <v>185</v>
      </c>
      <c r="B186" s="4">
        <v>24</v>
      </c>
      <c r="C186" s="13" t="s">
        <v>403</v>
      </c>
      <c r="D186" s="13" t="s">
        <v>671</v>
      </c>
      <c r="E186" s="5" t="s">
        <v>5566</v>
      </c>
      <c r="F186" s="5" t="s">
        <v>2810</v>
      </c>
      <c r="G186" s="5" t="s">
        <v>2811</v>
      </c>
      <c r="H186" s="13" t="s">
        <v>2484</v>
      </c>
      <c r="I186" s="13" t="s">
        <v>2305</v>
      </c>
      <c r="J186" s="4">
        <v>95301</v>
      </c>
      <c r="K186" s="4">
        <v>1</v>
      </c>
      <c r="L186" s="4">
        <v>20</v>
      </c>
      <c r="M186" s="4">
        <v>2016</v>
      </c>
      <c r="N186" s="4">
        <v>1</v>
      </c>
      <c r="O186" s="4">
        <v>2</v>
      </c>
      <c r="P186" s="4">
        <v>1</v>
      </c>
      <c r="Q186" s="19">
        <v>599.99</v>
      </c>
      <c r="R186" s="16">
        <v>0.1</v>
      </c>
      <c r="S186" s="16">
        <v>599.89</v>
      </c>
      <c r="T186" s="5" t="s">
        <v>25</v>
      </c>
      <c r="U186" s="13" t="s">
        <v>301</v>
      </c>
    </row>
    <row r="187" spans="1:21" x14ac:dyDescent="0.35">
      <c r="A187" s="4">
        <v>186</v>
      </c>
      <c r="B187" s="4">
        <v>1127</v>
      </c>
      <c r="C187" s="13" t="s">
        <v>672</v>
      </c>
      <c r="D187" s="13" t="s">
        <v>673</v>
      </c>
      <c r="E187" s="5" t="s">
        <v>5566</v>
      </c>
      <c r="F187" s="5" t="s">
        <v>2812</v>
      </c>
      <c r="G187" s="5" t="s">
        <v>2813</v>
      </c>
      <c r="H187" s="13" t="s">
        <v>2663</v>
      </c>
      <c r="I187" s="13" t="s">
        <v>2309</v>
      </c>
      <c r="J187" s="4">
        <v>12804</v>
      </c>
      <c r="K187" s="4">
        <v>1</v>
      </c>
      <c r="L187" s="4">
        <v>4</v>
      </c>
      <c r="M187" s="4">
        <v>2016</v>
      </c>
      <c r="N187" s="4">
        <v>2</v>
      </c>
      <c r="O187" s="4">
        <v>6</v>
      </c>
      <c r="P187" s="4">
        <v>1</v>
      </c>
      <c r="Q187" s="19">
        <v>2899.99</v>
      </c>
      <c r="R187" s="16">
        <v>0.1</v>
      </c>
      <c r="S187" s="16">
        <v>2899.89</v>
      </c>
      <c r="T187" s="5" t="s">
        <v>9</v>
      </c>
      <c r="U187" s="13" t="s">
        <v>304</v>
      </c>
    </row>
    <row r="188" spans="1:21" x14ac:dyDescent="0.35">
      <c r="A188" s="4">
        <v>187</v>
      </c>
      <c r="B188" s="4">
        <v>183</v>
      </c>
      <c r="C188" s="13" t="s">
        <v>674</v>
      </c>
      <c r="D188" s="13" t="s">
        <v>675</v>
      </c>
      <c r="E188" s="5" t="s">
        <v>5566</v>
      </c>
      <c r="F188" s="5" t="s">
        <v>2814</v>
      </c>
      <c r="G188" s="5" t="s">
        <v>2815</v>
      </c>
      <c r="H188" s="13" t="s">
        <v>2376</v>
      </c>
      <c r="I188" s="13" t="s">
        <v>2309</v>
      </c>
      <c r="J188" s="4">
        <v>11001</v>
      </c>
      <c r="K188" s="4">
        <v>1</v>
      </c>
      <c r="L188" s="4">
        <v>5</v>
      </c>
      <c r="M188" s="4">
        <v>2016</v>
      </c>
      <c r="N188" s="4">
        <v>2</v>
      </c>
      <c r="O188" s="4">
        <v>6</v>
      </c>
      <c r="P188" s="4">
        <v>1</v>
      </c>
      <c r="Q188" s="19">
        <v>1320.99</v>
      </c>
      <c r="R188" s="16">
        <v>0.05</v>
      </c>
      <c r="S188" s="16">
        <v>1320.94</v>
      </c>
      <c r="T188" s="5" t="s">
        <v>10</v>
      </c>
      <c r="U188" s="13" t="s">
        <v>304</v>
      </c>
    </row>
    <row r="189" spans="1:21" x14ac:dyDescent="0.35">
      <c r="A189" s="4">
        <v>188</v>
      </c>
      <c r="B189" s="4">
        <v>390</v>
      </c>
      <c r="C189" s="13" t="s">
        <v>676</v>
      </c>
      <c r="D189" s="13" t="s">
        <v>677</v>
      </c>
      <c r="E189" s="5" t="s">
        <v>5566</v>
      </c>
      <c r="F189" s="5" t="s">
        <v>2816</v>
      </c>
      <c r="G189" s="5" t="s">
        <v>2817</v>
      </c>
      <c r="H189" s="13" t="s">
        <v>2531</v>
      </c>
      <c r="I189" s="13" t="s">
        <v>2309</v>
      </c>
      <c r="J189" s="4">
        <v>11779</v>
      </c>
      <c r="K189" s="4">
        <v>1</v>
      </c>
      <c r="L189" s="4">
        <v>7</v>
      </c>
      <c r="M189" s="4">
        <v>2016</v>
      </c>
      <c r="N189" s="4">
        <v>2</v>
      </c>
      <c r="O189" s="4">
        <v>6</v>
      </c>
      <c r="P189" s="4">
        <v>2</v>
      </c>
      <c r="Q189" s="19">
        <v>3999.99</v>
      </c>
      <c r="R189" s="16">
        <v>7.0000000000000007E-2</v>
      </c>
      <c r="S189" s="16">
        <v>7999.91</v>
      </c>
      <c r="T189" s="5" t="s">
        <v>12</v>
      </c>
      <c r="U189" s="13" t="s">
        <v>304</v>
      </c>
    </row>
    <row r="190" spans="1:21" x14ac:dyDescent="0.35">
      <c r="A190" s="4">
        <v>189</v>
      </c>
      <c r="B190" s="4">
        <v>1288</v>
      </c>
      <c r="C190" s="13" t="s">
        <v>678</v>
      </c>
      <c r="D190" s="13" t="s">
        <v>679</v>
      </c>
      <c r="E190" s="5" t="s">
        <v>5566</v>
      </c>
      <c r="F190" s="5" t="s">
        <v>2818</v>
      </c>
      <c r="G190" s="5" t="s">
        <v>2819</v>
      </c>
      <c r="H190" s="13" t="s">
        <v>2570</v>
      </c>
      <c r="I190" s="13" t="s">
        <v>2305</v>
      </c>
      <c r="J190" s="4">
        <v>90260</v>
      </c>
      <c r="K190" s="4">
        <v>1</v>
      </c>
      <c r="L190" s="4">
        <v>16</v>
      </c>
      <c r="M190" s="4">
        <v>2016</v>
      </c>
      <c r="N190" s="4">
        <v>1</v>
      </c>
      <c r="O190" s="4">
        <v>2</v>
      </c>
      <c r="P190" s="4">
        <v>2</v>
      </c>
      <c r="Q190" s="19">
        <v>599.99</v>
      </c>
      <c r="R190" s="16">
        <v>0.2</v>
      </c>
      <c r="S190" s="16">
        <v>1199.78</v>
      </c>
      <c r="T190" s="5" t="s">
        <v>21</v>
      </c>
      <c r="U190" s="13" t="s">
        <v>301</v>
      </c>
    </row>
    <row r="191" spans="1:21" x14ac:dyDescent="0.35">
      <c r="A191" s="4">
        <v>190</v>
      </c>
      <c r="B191" s="4">
        <v>98</v>
      </c>
      <c r="C191" s="13" t="s">
        <v>680</v>
      </c>
      <c r="D191" s="13" t="s">
        <v>681</v>
      </c>
      <c r="E191" s="5" t="s">
        <v>5566</v>
      </c>
      <c r="F191" s="5" t="s">
        <v>2820</v>
      </c>
      <c r="G191" s="5" t="s">
        <v>2821</v>
      </c>
      <c r="H191" s="13" t="s">
        <v>2822</v>
      </c>
      <c r="I191" s="13" t="s">
        <v>2309</v>
      </c>
      <c r="J191" s="4">
        <v>12901</v>
      </c>
      <c r="K191" s="4">
        <v>1</v>
      </c>
      <c r="L191" s="4">
        <v>24</v>
      </c>
      <c r="M191" s="4">
        <v>2016</v>
      </c>
      <c r="N191" s="4">
        <v>2</v>
      </c>
      <c r="O191" s="4">
        <v>6</v>
      </c>
      <c r="P191" s="4">
        <v>1</v>
      </c>
      <c r="Q191" s="19">
        <v>549.99</v>
      </c>
      <c r="R191" s="16">
        <v>0.05</v>
      </c>
      <c r="S191" s="16">
        <v>549.94000000000005</v>
      </c>
      <c r="T191" s="5" t="s">
        <v>17</v>
      </c>
      <c r="U191" s="13" t="s">
        <v>300</v>
      </c>
    </row>
    <row r="192" spans="1:21" x14ac:dyDescent="0.35">
      <c r="A192" s="4">
        <v>191</v>
      </c>
      <c r="B192" s="4">
        <v>919</v>
      </c>
      <c r="C192" s="13" t="s">
        <v>682</v>
      </c>
      <c r="D192" s="13" t="s">
        <v>683</v>
      </c>
      <c r="E192" s="5" t="s">
        <v>5566</v>
      </c>
      <c r="F192" s="5" t="s">
        <v>2823</v>
      </c>
      <c r="G192" s="5" t="s">
        <v>2824</v>
      </c>
      <c r="H192" s="13" t="s">
        <v>2347</v>
      </c>
      <c r="I192" s="13" t="s">
        <v>2305</v>
      </c>
      <c r="J192" s="4">
        <v>90505</v>
      </c>
      <c r="K192" s="4">
        <v>1</v>
      </c>
      <c r="L192" s="4">
        <v>25</v>
      </c>
      <c r="M192" s="4">
        <v>2016</v>
      </c>
      <c r="N192" s="4">
        <v>1</v>
      </c>
      <c r="O192" s="4">
        <v>2</v>
      </c>
      <c r="P192" s="4">
        <v>1</v>
      </c>
      <c r="Q192" s="19">
        <v>499.99</v>
      </c>
      <c r="R192" s="16">
        <v>0.05</v>
      </c>
      <c r="S192" s="16">
        <v>499.94</v>
      </c>
      <c r="T192" s="5" t="s">
        <v>27</v>
      </c>
      <c r="U192" s="13" t="s">
        <v>300</v>
      </c>
    </row>
    <row r="193" spans="1:21" x14ac:dyDescent="0.35">
      <c r="A193" s="4">
        <v>192</v>
      </c>
      <c r="B193" s="4">
        <v>728</v>
      </c>
      <c r="C193" s="13" t="s">
        <v>684</v>
      </c>
      <c r="D193" s="13" t="s">
        <v>685</v>
      </c>
      <c r="E193" s="5" t="s">
        <v>5566</v>
      </c>
      <c r="F193" s="5" t="s">
        <v>2825</v>
      </c>
      <c r="G193" s="5" t="s">
        <v>2826</v>
      </c>
      <c r="H193" s="13" t="s">
        <v>2390</v>
      </c>
      <c r="I193" s="13" t="s">
        <v>2309</v>
      </c>
      <c r="J193" s="4">
        <v>14127</v>
      </c>
      <c r="K193" s="4">
        <v>1</v>
      </c>
      <c r="L193" s="4">
        <v>8</v>
      </c>
      <c r="M193" s="4">
        <v>2016</v>
      </c>
      <c r="N193" s="4">
        <v>2</v>
      </c>
      <c r="O193" s="4">
        <v>7</v>
      </c>
      <c r="P193" s="4">
        <v>2</v>
      </c>
      <c r="Q193" s="19">
        <v>1799.99</v>
      </c>
      <c r="R193" s="16">
        <v>0.1</v>
      </c>
      <c r="S193" s="16">
        <v>3599.88</v>
      </c>
      <c r="T193" s="5" t="s">
        <v>13</v>
      </c>
      <c r="U193" s="13" t="s">
        <v>304</v>
      </c>
    </row>
    <row r="194" spans="1:21" x14ac:dyDescent="0.35">
      <c r="A194" s="4">
        <v>193</v>
      </c>
      <c r="B194" s="4">
        <v>1366</v>
      </c>
      <c r="C194" s="13" t="s">
        <v>686</v>
      </c>
      <c r="D194" s="13" t="s">
        <v>687</v>
      </c>
      <c r="E194" s="5" t="s">
        <v>5566</v>
      </c>
      <c r="F194" s="5" t="s">
        <v>2827</v>
      </c>
      <c r="G194" s="5" t="s">
        <v>2828</v>
      </c>
      <c r="H194" s="13" t="s">
        <v>1822</v>
      </c>
      <c r="I194" s="13" t="s">
        <v>2305</v>
      </c>
      <c r="J194" s="4">
        <v>95008</v>
      </c>
      <c r="K194" s="4">
        <v>1</v>
      </c>
      <c r="L194" s="4">
        <v>12</v>
      </c>
      <c r="M194" s="4">
        <v>2016</v>
      </c>
      <c r="N194" s="4">
        <v>1</v>
      </c>
      <c r="O194" s="4">
        <v>3</v>
      </c>
      <c r="P194" s="4">
        <v>2</v>
      </c>
      <c r="Q194" s="19">
        <v>549.99</v>
      </c>
      <c r="R194" s="16">
        <v>0.1</v>
      </c>
      <c r="S194" s="16">
        <v>1099.8800000000001</v>
      </c>
      <c r="T194" s="5" t="s">
        <v>17</v>
      </c>
      <c r="U194" s="13" t="s">
        <v>301</v>
      </c>
    </row>
    <row r="195" spans="1:21" x14ac:dyDescent="0.35">
      <c r="A195" s="4">
        <v>194</v>
      </c>
      <c r="B195" s="4">
        <v>558</v>
      </c>
      <c r="C195" s="13" t="s">
        <v>688</v>
      </c>
      <c r="D195" s="13" t="s">
        <v>689</v>
      </c>
      <c r="E195" s="5" t="s">
        <v>5566</v>
      </c>
      <c r="F195" s="5" t="s">
        <v>2829</v>
      </c>
      <c r="G195" s="5" t="s">
        <v>2830</v>
      </c>
      <c r="H195" s="13" t="s">
        <v>552</v>
      </c>
      <c r="I195" s="13" t="s">
        <v>2309</v>
      </c>
      <c r="J195" s="4">
        <v>10950</v>
      </c>
      <c r="K195" s="4">
        <v>1</v>
      </c>
      <c r="L195" s="4">
        <v>21</v>
      </c>
      <c r="M195" s="4">
        <v>2016</v>
      </c>
      <c r="N195" s="4">
        <v>2</v>
      </c>
      <c r="O195" s="4">
        <v>7</v>
      </c>
      <c r="P195" s="4">
        <v>2</v>
      </c>
      <c r="Q195" s="19">
        <v>269.99</v>
      </c>
      <c r="R195" s="16">
        <v>0.2</v>
      </c>
      <c r="S195" s="16">
        <v>539.78</v>
      </c>
      <c r="T195" s="5" t="s">
        <v>18</v>
      </c>
      <c r="U195" s="13" t="s">
        <v>299</v>
      </c>
    </row>
    <row r="196" spans="1:21" x14ac:dyDescent="0.35">
      <c r="A196" s="4">
        <v>195</v>
      </c>
      <c r="B196" s="4">
        <v>727</v>
      </c>
      <c r="C196" s="13" t="s">
        <v>690</v>
      </c>
      <c r="D196" s="13" t="s">
        <v>691</v>
      </c>
      <c r="E196" s="5" t="s">
        <v>5566</v>
      </c>
      <c r="F196" s="5" t="s">
        <v>2831</v>
      </c>
      <c r="G196" s="5" t="s">
        <v>2832</v>
      </c>
      <c r="H196" s="13" t="s">
        <v>2785</v>
      </c>
      <c r="I196" s="13" t="s">
        <v>2309</v>
      </c>
      <c r="J196" s="4">
        <v>10583</v>
      </c>
      <c r="K196" s="4">
        <v>1</v>
      </c>
      <c r="L196" s="4">
        <v>18</v>
      </c>
      <c r="M196" s="4">
        <v>2016</v>
      </c>
      <c r="N196" s="4">
        <v>2</v>
      </c>
      <c r="O196" s="4">
        <v>7</v>
      </c>
      <c r="P196" s="4">
        <v>1</v>
      </c>
      <c r="Q196" s="19">
        <v>449</v>
      </c>
      <c r="R196" s="16">
        <v>0.2</v>
      </c>
      <c r="S196" s="16">
        <v>448.8</v>
      </c>
      <c r="T196" s="5" t="s">
        <v>23</v>
      </c>
      <c r="U196" s="13" t="s">
        <v>301</v>
      </c>
    </row>
    <row r="197" spans="1:21" x14ac:dyDescent="0.35">
      <c r="A197" s="4">
        <v>196</v>
      </c>
      <c r="B197" s="4">
        <v>1247</v>
      </c>
      <c r="C197" s="13" t="s">
        <v>692</v>
      </c>
      <c r="D197" s="13" t="s">
        <v>693</v>
      </c>
      <c r="E197" s="5" t="s">
        <v>5566</v>
      </c>
      <c r="F197" s="5" t="s">
        <v>2833</v>
      </c>
      <c r="G197" s="5" t="s">
        <v>2834</v>
      </c>
      <c r="H197" s="13" t="s">
        <v>2835</v>
      </c>
      <c r="I197" s="13" t="s">
        <v>2309</v>
      </c>
      <c r="J197" s="4">
        <v>11758</v>
      </c>
      <c r="K197" s="4">
        <v>1</v>
      </c>
      <c r="L197" s="4">
        <v>6</v>
      </c>
      <c r="M197" s="4">
        <v>2016</v>
      </c>
      <c r="N197" s="4">
        <v>2</v>
      </c>
      <c r="O197" s="4">
        <v>6</v>
      </c>
      <c r="P197" s="4">
        <v>1</v>
      </c>
      <c r="Q197" s="19">
        <v>469.99</v>
      </c>
      <c r="R197" s="16">
        <v>0.05</v>
      </c>
      <c r="S197" s="16">
        <v>469.94</v>
      </c>
      <c r="T197" s="5" t="s">
        <v>11</v>
      </c>
      <c r="U197" s="13" t="s">
        <v>304</v>
      </c>
    </row>
    <row r="198" spans="1:21" x14ac:dyDescent="0.35">
      <c r="A198" s="4">
        <v>197</v>
      </c>
      <c r="B198" s="4">
        <v>127</v>
      </c>
      <c r="C198" s="13" t="s">
        <v>694</v>
      </c>
      <c r="D198" s="13" t="s">
        <v>695</v>
      </c>
      <c r="E198" s="5" t="s">
        <v>5566</v>
      </c>
      <c r="F198" s="5" t="s">
        <v>2836</v>
      </c>
      <c r="G198" s="5" t="s">
        <v>2837</v>
      </c>
      <c r="H198" s="13" t="s">
        <v>2838</v>
      </c>
      <c r="I198" s="13" t="s">
        <v>2309</v>
      </c>
      <c r="J198" s="4">
        <v>11378</v>
      </c>
      <c r="K198" s="4">
        <v>1</v>
      </c>
      <c r="L198" s="4">
        <v>4</v>
      </c>
      <c r="M198" s="4">
        <v>2016</v>
      </c>
      <c r="N198" s="4">
        <v>2</v>
      </c>
      <c r="O198" s="4">
        <v>7</v>
      </c>
      <c r="P198" s="4">
        <v>2</v>
      </c>
      <c r="Q198" s="19">
        <v>2899.99</v>
      </c>
      <c r="R198" s="16">
        <v>0.2</v>
      </c>
      <c r="S198" s="16">
        <v>5799.78</v>
      </c>
      <c r="T198" s="5" t="s">
        <v>9</v>
      </c>
      <c r="U198" s="13" t="s">
        <v>304</v>
      </c>
    </row>
    <row r="199" spans="1:21" x14ac:dyDescent="0.35">
      <c r="A199" s="4">
        <v>198</v>
      </c>
      <c r="B199" s="4">
        <v>640</v>
      </c>
      <c r="C199" s="13" t="s">
        <v>696</v>
      </c>
      <c r="D199" s="13" t="s">
        <v>697</v>
      </c>
      <c r="E199" s="5" t="s">
        <v>2839</v>
      </c>
      <c r="F199" s="5" t="s">
        <v>2840</v>
      </c>
      <c r="G199" s="5" t="s">
        <v>2841</v>
      </c>
      <c r="H199" s="13" t="s">
        <v>2842</v>
      </c>
      <c r="I199" s="13" t="s">
        <v>2309</v>
      </c>
      <c r="J199" s="4">
        <v>10956</v>
      </c>
      <c r="K199" s="4">
        <v>1</v>
      </c>
      <c r="L199" s="4">
        <v>6</v>
      </c>
      <c r="M199" s="4">
        <v>2016</v>
      </c>
      <c r="N199" s="4">
        <v>2</v>
      </c>
      <c r="O199" s="4">
        <v>6</v>
      </c>
      <c r="P199" s="4">
        <v>2</v>
      </c>
      <c r="Q199" s="19">
        <v>469.99</v>
      </c>
      <c r="R199" s="16">
        <v>0.05</v>
      </c>
      <c r="S199" s="16">
        <v>939.93000000000006</v>
      </c>
      <c r="T199" s="5" t="s">
        <v>11</v>
      </c>
      <c r="U199" s="13" t="s">
        <v>304</v>
      </c>
    </row>
    <row r="200" spans="1:21" x14ac:dyDescent="0.35">
      <c r="A200" s="4">
        <v>199</v>
      </c>
      <c r="B200" s="4">
        <v>760</v>
      </c>
      <c r="C200" s="13" t="s">
        <v>698</v>
      </c>
      <c r="D200" s="13" t="s">
        <v>699</v>
      </c>
      <c r="E200" s="5" t="s">
        <v>5566</v>
      </c>
      <c r="F200" s="5" t="s">
        <v>2843</v>
      </c>
      <c r="G200" s="5" t="s">
        <v>2844</v>
      </c>
      <c r="H200" s="13" t="s">
        <v>2710</v>
      </c>
      <c r="I200" s="13" t="s">
        <v>2309</v>
      </c>
      <c r="J200" s="4">
        <v>11701</v>
      </c>
      <c r="K200" s="4">
        <v>1</v>
      </c>
      <c r="L200" s="4">
        <v>25</v>
      </c>
      <c r="M200" s="4">
        <v>2016</v>
      </c>
      <c r="N200" s="4">
        <v>2</v>
      </c>
      <c r="O200" s="4">
        <v>7</v>
      </c>
      <c r="P200" s="4">
        <v>2</v>
      </c>
      <c r="Q200" s="19">
        <v>499.99</v>
      </c>
      <c r="R200" s="16">
        <v>0.05</v>
      </c>
      <c r="S200" s="16">
        <v>999.93000000000006</v>
      </c>
      <c r="T200" s="5" t="s">
        <v>27</v>
      </c>
      <c r="U200" s="13" t="s">
        <v>300</v>
      </c>
    </row>
    <row r="201" spans="1:21" x14ac:dyDescent="0.35">
      <c r="A201" s="4">
        <v>200</v>
      </c>
      <c r="B201" s="4">
        <v>1074</v>
      </c>
      <c r="C201" s="13" t="s">
        <v>700</v>
      </c>
      <c r="D201" s="13" t="s">
        <v>602</v>
      </c>
      <c r="E201" s="5" t="s">
        <v>5566</v>
      </c>
      <c r="F201" s="5" t="s">
        <v>2845</v>
      </c>
      <c r="G201" s="5" t="s">
        <v>2846</v>
      </c>
      <c r="H201" s="13" t="s">
        <v>2376</v>
      </c>
      <c r="I201" s="13" t="s">
        <v>2309</v>
      </c>
      <c r="J201" s="4">
        <v>11001</v>
      </c>
      <c r="K201" s="4">
        <v>1</v>
      </c>
      <c r="L201" s="4">
        <v>23</v>
      </c>
      <c r="M201" s="4">
        <v>2016</v>
      </c>
      <c r="N201" s="4">
        <v>2</v>
      </c>
      <c r="O201" s="4">
        <v>6</v>
      </c>
      <c r="P201" s="4">
        <v>2</v>
      </c>
      <c r="Q201" s="19">
        <v>299.99</v>
      </c>
      <c r="R201" s="16">
        <v>0.05</v>
      </c>
      <c r="S201" s="16">
        <v>599.93000000000006</v>
      </c>
      <c r="T201" s="5" t="s">
        <v>26</v>
      </c>
      <c r="U201" s="13" t="s">
        <v>299</v>
      </c>
    </row>
    <row r="202" spans="1:21" x14ac:dyDescent="0.35">
      <c r="A202" s="4">
        <v>201</v>
      </c>
      <c r="B202" s="4">
        <v>280</v>
      </c>
      <c r="C202" s="13" t="s">
        <v>701</v>
      </c>
      <c r="D202" s="13" t="s">
        <v>419</v>
      </c>
      <c r="E202" s="5" t="s">
        <v>5566</v>
      </c>
      <c r="F202" s="5" t="s">
        <v>2847</v>
      </c>
      <c r="G202" s="5" t="s">
        <v>2848</v>
      </c>
      <c r="H202" s="13" t="s">
        <v>2849</v>
      </c>
      <c r="I202" s="13" t="s">
        <v>2397</v>
      </c>
      <c r="J202" s="4">
        <v>76901</v>
      </c>
      <c r="K202" s="4">
        <v>1</v>
      </c>
      <c r="L202" s="4">
        <v>24</v>
      </c>
      <c r="M202" s="4">
        <v>2016</v>
      </c>
      <c r="N202" s="4">
        <v>3</v>
      </c>
      <c r="O202" s="4">
        <v>9</v>
      </c>
      <c r="P202" s="4">
        <v>1</v>
      </c>
      <c r="Q202" s="19">
        <v>549.99</v>
      </c>
      <c r="R202" s="16">
        <v>0.05</v>
      </c>
      <c r="S202" s="16">
        <v>549.94000000000005</v>
      </c>
      <c r="T202" s="5" t="s">
        <v>17</v>
      </c>
      <c r="U202" s="13" t="s">
        <v>300</v>
      </c>
    </row>
    <row r="203" spans="1:21" x14ac:dyDescent="0.35">
      <c r="A203" s="4">
        <v>202</v>
      </c>
      <c r="B203" s="4">
        <v>600</v>
      </c>
      <c r="C203" s="13" t="s">
        <v>702</v>
      </c>
      <c r="D203" s="13" t="s">
        <v>703</v>
      </c>
      <c r="E203" s="5" t="s">
        <v>2850</v>
      </c>
      <c r="F203" s="5" t="s">
        <v>2851</v>
      </c>
      <c r="G203" s="5" t="s">
        <v>2852</v>
      </c>
      <c r="H203" s="13" t="s">
        <v>2341</v>
      </c>
      <c r="I203" s="13" t="s">
        <v>2305</v>
      </c>
      <c r="J203" s="4">
        <v>92111</v>
      </c>
      <c r="K203" s="4">
        <v>1</v>
      </c>
      <c r="L203" s="4">
        <v>8</v>
      </c>
      <c r="M203" s="4">
        <v>2016</v>
      </c>
      <c r="N203" s="4">
        <v>1</v>
      </c>
      <c r="O203" s="4">
        <v>2</v>
      </c>
      <c r="P203" s="4">
        <v>1</v>
      </c>
      <c r="Q203" s="19">
        <v>1799.99</v>
      </c>
      <c r="R203" s="16">
        <v>7.0000000000000007E-2</v>
      </c>
      <c r="S203" s="16">
        <v>1799.92</v>
      </c>
      <c r="T203" s="5" t="s">
        <v>13</v>
      </c>
      <c r="U203" s="13" t="s">
        <v>304</v>
      </c>
    </row>
    <row r="204" spans="1:21" x14ac:dyDescent="0.35">
      <c r="A204" s="4">
        <v>203</v>
      </c>
      <c r="B204" s="4">
        <v>1102</v>
      </c>
      <c r="C204" s="13" t="s">
        <v>704</v>
      </c>
      <c r="D204" s="13" t="s">
        <v>465</v>
      </c>
      <c r="E204" s="5" t="s">
        <v>2853</v>
      </c>
      <c r="F204" s="5" t="s">
        <v>2854</v>
      </c>
      <c r="G204" s="5" t="s">
        <v>2855</v>
      </c>
      <c r="H204" s="13" t="s">
        <v>2587</v>
      </c>
      <c r="I204" s="13" t="s">
        <v>2397</v>
      </c>
      <c r="J204" s="4">
        <v>76110</v>
      </c>
      <c r="K204" s="4">
        <v>1</v>
      </c>
      <c r="L204" s="4">
        <v>26</v>
      </c>
      <c r="M204" s="4">
        <v>2016</v>
      </c>
      <c r="N204" s="4">
        <v>3</v>
      </c>
      <c r="O204" s="4">
        <v>9</v>
      </c>
      <c r="P204" s="4">
        <v>1</v>
      </c>
      <c r="Q204" s="19">
        <v>599.99</v>
      </c>
      <c r="R204" s="16">
        <v>0.05</v>
      </c>
      <c r="S204" s="16">
        <v>599.94000000000005</v>
      </c>
      <c r="T204" s="5" t="s">
        <v>21</v>
      </c>
      <c r="U204" s="13" t="s">
        <v>300</v>
      </c>
    </row>
    <row r="205" spans="1:21" x14ac:dyDescent="0.35">
      <c r="A205" s="4">
        <v>204</v>
      </c>
      <c r="B205" s="4">
        <v>591</v>
      </c>
      <c r="C205" s="13" t="s">
        <v>705</v>
      </c>
      <c r="D205" s="13" t="s">
        <v>706</v>
      </c>
      <c r="E205" s="5" t="s">
        <v>5566</v>
      </c>
      <c r="F205" s="5" t="s">
        <v>2856</v>
      </c>
      <c r="G205" s="5" t="s">
        <v>2857</v>
      </c>
      <c r="H205" s="13" t="s">
        <v>2858</v>
      </c>
      <c r="I205" s="13" t="s">
        <v>2309</v>
      </c>
      <c r="J205" s="4">
        <v>11801</v>
      </c>
      <c r="K205" s="4">
        <v>1</v>
      </c>
      <c r="L205" s="4">
        <v>6</v>
      </c>
      <c r="M205" s="4">
        <v>2016</v>
      </c>
      <c r="N205" s="4">
        <v>2</v>
      </c>
      <c r="O205" s="4">
        <v>7</v>
      </c>
      <c r="P205" s="4">
        <v>2</v>
      </c>
      <c r="Q205" s="19">
        <v>469.99</v>
      </c>
      <c r="R205" s="16">
        <v>7.0000000000000007E-2</v>
      </c>
      <c r="S205" s="16">
        <v>939.91</v>
      </c>
      <c r="T205" s="5" t="s">
        <v>11</v>
      </c>
      <c r="U205" s="13" t="s">
        <v>304</v>
      </c>
    </row>
    <row r="206" spans="1:21" x14ac:dyDescent="0.35">
      <c r="A206" s="4">
        <v>205</v>
      </c>
      <c r="B206" s="4">
        <v>635</v>
      </c>
      <c r="C206" s="13" t="s">
        <v>707</v>
      </c>
      <c r="D206" s="13" t="s">
        <v>708</v>
      </c>
      <c r="E206" s="5" t="s">
        <v>5566</v>
      </c>
      <c r="F206" s="5" t="s">
        <v>2859</v>
      </c>
      <c r="G206" s="5" t="s">
        <v>2860</v>
      </c>
      <c r="H206" s="13" t="s">
        <v>2393</v>
      </c>
      <c r="I206" s="13" t="s">
        <v>2309</v>
      </c>
      <c r="J206" s="4">
        <v>11566</v>
      </c>
      <c r="K206" s="4">
        <v>1</v>
      </c>
      <c r="L206" s="4">
        <v>22</v>
      </c>
      <c r="M206" s="4">
        <v>2016</v>
      </c>
      <c r="N206" s="4">
        <v>2</v>
      </c>
      <c r="O206" s="4">
        <v>6</v>
      </c>
      <c r="P206" s="4">
        <v>2</v>
      </c>
      <c r="Q206" s="19">
        <v>269.99</v>
      </c>
      <c r="R206" s="16">
        <v>0.05</v>
      </c>
      <c r="S206" s="16">
        <v>539.93000000000006</v>
      </c>
      <c r="T206" s="5" t="s">
        <v>19</v>
      </c>
      <c r="U206" s="13" t="s">
        <v>299</v>
      </c>
    </row>
    <row r="207" spans="1:21" x14ac:dyDescent="0.35">
      <c r="A207" s="4">
        <v>206</v>
      </c>
      <c r="B207" s="4">
        <v>743</v>
      </c>
      <c r="C207" s="13" t="s">
        <v>709</v>
      </c>
      <c r="D207" s="13" t="s">
        <v>404</v>
      </c>
      <c r="E207" s="5" t="s">
        <v>5566</v>
      </c>
      <c r="F207" s="5" t="s">
        <v>2861</v>
      </c>
      <c r="G207" s="5" t="s">
        <v>2862</v>
      </c>
      <c r="H207" s="13" t="s">
        <v>2593</v>
      </c>
      <c r="I207" s="13" t="s">
        <v>2397</v>
      </c>
      <c r="J207" s="4">
        <v>75604</v>
      </c>
      <c r="K207" s="4">
        <v>1</v>
      </c>
      <c r="L207" s="4">
        <v>25</v>
      </c>
      <c r="M207" s="4">
        <v>2016</v>
      </c>
      <c r="N207" s="4">
        <v>3</v>
      </c>
      <c r="O207" s="4">
        <v>9</v>
      </c>
      <c r="P207" s="4">
        <v>1</v>
      </c>
      <c r="Q207" s="19">
        <v>499.99</v>
      </c>
      <c r="R207" s="16">
        <v>0.05</v>
      </c>
      <c r="S207" s="16">
        <v>499.94</v>
      </c>
      <c r="T207" s="5" t="s">
        <v>27</v>
      </c>
      <c r="U207" s="13" t="s">
        <v>300</v>
      </c>
    </row>
    <row r="208" spans="1:21" x14ac:dyDescent="0.35">
      <c r="A208" s="4">
        <v>207</v>
      </c>
      <c r="B208" s="4">
        <v>105</v>
      </c>
      <c r="C208" s="13" t="s">
        <v>710</v>
      </c>
      <c r="D208" s="13" t="s">
        <v>711</v>
      </c>
      <c r="E208" s="5" t="s">
        <v>5566</v>
      </c>
      <c r="F208" s="5" t="s">
        <v>2863</v>
      </c>
      <c r="G208" s="5" t="s">
        <v>2864</v>
      </c>
      <c r="H208" s="13" t="s">
        <v>2865</v>
      </c>
      <c r="I208" s="13" t="s">
        <v>2309</v>
      </c>
      <c r="J208" s="4">
        <v>11421</v>
      </c>
      <c r="K208" s="4">
        <v>1</v>
      </c>
      <c r="L208" s="4">
        <v>12</v>
      </c>
      <c r="M208" s="4">
        <v>2016</v>
      </c>
      <c r="N208" s="4">
        <v>2</v>
      </c>
      <c r="O208" s="4">
        <v>7</v>
      </c>
      <c r="P208" s="4">
        <v>2</v>
      </c>
      <c r="Q208" s="19">
        <v>549.99</v>
      </c>
      <c r="R208" s="16">
        <v>0.2</v>
      </c>
      <c r="S208" s="16">
        <v>1099.78</v>
      </c>
      <c r="T208" s="5" t="s">
        <v>17</v>
      </c>
      <c r="U208" s="13" t="s">
        <v>301</v>
      </c>
    </row>
    <row r="209" spans="1:21" x14ac:dyDescent="0.35">
      <c r="A209" s="4">
        <v>208</v>
      </c>
      <c r="B209" s="4">
        <v>815</v>
      </c>
      <c r="C209" s="13" t="s">
        <v>712</v>
      </c>
      <c r="D209" s="13" t="s">
        <v>713</v>
      </c>
      <c r="E209" s="5" t="s">
        <v>5566</v>
      </c>
      <c r="F209" s="5" t="s">
        <v>2866</v>
      </c>
      <c r="G209" s="5" t="s">
        <v>2867</v>
      </c>
      <c r="H209" s="13" t="s">
        <v>2858</v>
      </c>
      <c r="I209" s="13" t="s">
        <v>2309</v>
      </c>
      <c r="J209" s="4">
        <v>11801</v>
      </c>
      <c r="K209" s="4">
        <v>1</v>
      </c>
      <c r="L209" s="4">
        <v>6</v>
      </c>
      <c r="M209" s="4">
        <v>2016</v>
      </c>
      <c r="N209" s="4">
        <v>2</v>
      </c>
      <c r="O209" s="4">
        <v>7</v>
      </c>
      <c r="P209" s="4">
        <v>2</v>
      </c>
      <c r="Q209" s="19">
        <v>469.99</v>
      </c>
      <c r="R209" s="16">
        <v>0.05</v>
      </c>
      <c r="S209" s="16">
        <v>939.93000000000006</v>
      </c>
      <c r="T209" s="5" t="s">
        <v>11</v>
      </c>
      <c r="U209" s="13" t="s">
        <v>304</v>
      </c>
    </row>
    <row r="210" spans="1:21" x14ac:dyDescent="0.35">
      <c r="A210" s="4">
        <v>209</v>
      </c>
      <c r="B210" s="4">
        <v>514</v>
      </c>
      <c r="C210" s="13" t="s">
        <v>714</v>
      </c>
      <c r="D210" s="13" t="s">
        <v>715</v>
      </c>
      <c r="E210" s="5" t="s">
        <v>5566</v>
      </c>
      <c r="F210" s="5" t="s">
        <v>2868</v>
      </c>
      <c r="G210" s="5" t="s">
        <v>2869</v>
      </c>
      <c r="H210" s="13" t="s">
        <v>918</v>
      </c>
      <c r="I210" s="13" t="s">
        <v>2309</v>
      </c>
      <c r="J210" s="4">
        <v>11423</v>
      </c>
      <c r="K210" s="4">
        <v>1</v>
      </c>
      <c r="L210" s="4">
        <v>13</v>
      </c>
      <c r="M210" s="4">
        <v>2016</v>
      </c>
      <c r="N210" s="4">
        <v>2</v>
      </c>
      <c r="O210" s="4">
        <v>6</v>
      </c>
      <c r="P210" s="4">
        <v>1</v>
      </c>
      <c r="Q210" s="19">
        <v>269.99</v>
      </c>
      <c r="R210" s="16">
        <v>0.1</v>
      </c>
      <c r="S210" s="16">
        <v>269.89</v>
      </c>
      <c r="T210" s="5" t="s">
        <v>18</v>
      </c>
      <c r="U210" s="13" t="s">
        <v>301</v>
      </c>
    </row>
    <row r="211" spans="1:21" x14ac:dyDescent="0.35">
      <c r="A211" s="4">
        <v>210</v>
      </c>
      <c r="B211" s="4">
        <v>943</v>
      </c>
      <c r="C211" s="13" t="s">
        <v>716</v>
      </c>
      <c r="D211" s="13" t="s">
        <v>717</v>
      </c>
      <c r="E211" s="5" t="s">
        <v>5566</v>
      </c>
      <c r="F211" s="5" t="s">
        <v>2870</v>
      </c>
      <c r="G211" s="5" t="s">
        <v>2871</v>
      </c>
      <c r="H211" s="13" t="s">
        <v>2785</v>
      </c>
      <c r="I211" s="13" t="s">
        <v>2309</v>
      </c>
      <c r="J211" s="4">
        <v>10583</v>
      </c>
      <c r="K211" s="4">
        <v>1</v>
      </c>
      <c r="L211" s="4">
        <v>14</v>
      </c>
      <c r="M211" s="4">
        <v>2016</v>
      </c>
      <c r="N211" s="4">
        <v>2</v>
      </c>
      <c r="O211" s="4">
        <v>6</v>
      </c>
      <c r="P211" s="4">
        <v>1</v>
      </c>
      <c r="Q211" s="19">
        <v>269.99</v>
      </c>
      <c r="R211" s="16">
        <v>7.0000000000000007E-2</v>
      </c>
      <c r="S211" s="16">
        <v>269.92</v>
      </c>
      <c r="T211" s="5" t="s">
        <v>19</v>
      </c>
      <c r="U211" s="13" t="s">
        <v>301</v>
      </c>
    </row>
    <row r="212" spans="1:21" x14ac:dyDescent="0.35">
      <c r="A212" s="4">
        <v>211</v>
      </c>
      <c r="B212" s="4">
        <v>1140</v>
      </c>
      <c r="C212" s="13" t="s">
        <v>718</v>
      </c>
      <c r="D212" s="13" t="s">
        <v>719</v>
      </c>
      <c r="E212" s="5" t="s">
        <v>5566</v>
      </c>
      <c r="F212" s="5" t="s">
        <v>2872</v>
      </c>
      <c r="G212" s="5" t="s">
        <v>2873</v>
      </c>
      <c r="H212" s="13" t="s">
        <v>2433</v>
      </c>
      <c r="I212" s="13" t="s">
        <v>2309</v>
      </c>
      <c r="J212" s="4">
        <v>13090</v>
      </c>
      <c r="K212" s="4">
        <v>1</v>
      </c>
      <c r="L212" s="4">
        <v>10</v>
      </c>
      <c r="M212" s="4">
        <v>2016</v>
      </c>
      <c r="N212" s="4">
        <v>2</v>
      </c>
      <c r="O212" s="4">
        <v>6</v>
      </c>
      <c r="P212" s="4">
        <v>1</v>
      </c>
      <c r="Q212" s="19">
        <v>1549</v>
      </c>
      <c r="R212" s="16">
        <v>7.0000000000000007E-2</v>
      </c>
      <c r="S212" s="16">
        <v>1548.93</v>
      </c>
      <c r="T212" s="5" t="s">
        <v>15</v>
      </c>
      <c r="U212" s="13" t="s">
        <v>302</v>
      </c>
    </row>
    <row r="213" spans="1:21" x14ac:dyDescent="0.35">
      <c r="A213" s="4">
        <v>212</v>
      </c>
      <c r="B213" s="4">
        <v>1373</v>
      </c>
      <c r="C213" s="13" t="s">
        <v>720</v>
      </c>
      <c r="D213" s="13" t="s">
        <v>721</v>
      </c>
      <c r="E213" s="5" t="s">
        <v>5566</v>
      </c>
      <c r="F213" s="5" t="s">
        <v>2874</v>
      </c>
      <c r="G213" s="5" t="s">
        <v>2875</v>
      </c>
      <c r="H213" s="13" t="s">
        <v>2682</v>
      </c>
      <c r="I213" s="13" t="s">
        <v>2309</v>
      </c>
      <c r="J213" s="4">
        <v>11704</v>
      </c>
      <c r="K213" s="4">
        <v>1</v>
      </c>
      <c r="L213" s="4">
        <v>16</v>
      </c>
      <c r="M213" s="4">
        <v>2016</v>
      </c>
      <c r="N213" s="4">
        <v>2</v>
      </c>
      <c r="O213" s="4">
        <v>6</v>
      </c>
      <c r="P213" s="4">
        <v>2</v>
      </c>
      <c r="Q213" s="19">
        <v>599.99</v>
      </c>
      <c r="R213" s="16">
        <v>7.0000000000000007E-2</v>
      </c>
      <c r="S213" s="16">
        <v>1199.9100000000001</v>
      </c>
      <c r="T213" s="5" t="s">
        <v>21</v>
      </c>
      <c r="U213" s="13" t="s">
        <v>301</v>
      </c>
    </row>
    <row r="214" spans="1:21" x14ac:dyDescent="0.35">
      <c r="A214" s="4">
        <v>213</v>
      </c>
      <c r="B214" s="4">
        <v>788</v>
      </c>
      <c r="C214" s="13" t="s">
        <v>722</v>
      </c>
      <c r="D214" s="13" t="s">
        <v>697</v>
      </c>
      <c r="E214" s="5" t="s">
        <v>5566</v>
      </c>
      <c r="F214" s="5" t="s">
        <v>2876</v>
      </c>
      <c r="G214" s="5" t="s">
        <v>2877</v>
      </c>
      <c r="H214" s="13" t="s">
        <v>2878</v>
      </c>
      <c r="I214" s="13" t="s">
        <v>2397</v>
      </c>
      <c r="J214" s="4">
        <v>76522</v>
      </c>
      <c r="K214" s="4">
        <v>1</v>
      </c>
      <c r="L214" s="4">
        <v>13</v>
      </c>
      <c r="M214" s="4">
        <v>2016</v>
      </c>
      <c r="N214" s="4">
        <v>3</v>
      </c>
      <c r="O214" s="4">
        <v>8</v>
      </c>
      <c r="P214" s="4">
        <v>1</v>
      </c>
      <c r="Q214" s="19">
        <v>269.99</v>
      </c>
      <c r="R214" s="16">
        <v>0.1</v>
      </c>
      <c r="S214" s="16">
        <v>269.89</v>
      </c>
      <c r="T214" s="5" t="s">
        <v>18</v>
      </c>
      <c r="U214" s="13" t="s">
        <v>301</v>
      </c>
    </row>
    <row r="215" spans="1:21" x14ac:dyDescent="0.35">
      <c r="A215" s="4">
        <v>214</v>
      </c>
      <c r="B215" s="4">
        <v>363</v>
      </c>
      <c r="C215" s="13" t="s">
        <v>723</v>
      </c>
      <c r="D215" s="13" t="s">
        <v>724</v>
      </c>
      <c r="E215" s="5" t="s">
        <v>5566</v>
      </c>
      <c r="F215" s="5" t="s">
        <v>2879</v>
      </c>
      <c r="G215" s="5" t="s">
        <v>2880</v>
      </c>
      <c r="H215" s="13" t="s">
        <v>2518</v>
      </c>
      <c r="I215" s="13" t="s">
        <v>2309</v>
      </c>
      <c r="J215" s="4">
        <v>12020</v>
      </c>
      <c r="K215" s="4">
        <v>1</v>
      </c>
      <c r="L215" s="4">
        <v>21</v>
      </c>
      <c r="M215" s="4">
        <v>2016</v>
      </c>
      <c r="N215" s="4">
        <v>2</v>
      </c>
      <c r="O215" s="4">
        <v>6</v>
      </c>
      <c r="P215" s="4">
        <v>1</v>
      </c>
      <c r="Q215" s="19">
        <v>269.99</v>
      </c>
      <c r="R215" s="16">
        <v>0.1</v>
      </c>
      <c r="S215" s="16">
        <v>269.89</v>
      </c>
      <c r="T215" s="5" t="s">
        <v>18</v>
      </c>
      <c r="U215" s="13" t="s">
        <v>299</v>
      </c>
    </row>
    <row r="216" spans="1:21" x14ac:dyDescent="0.35">
      <c r="A216" s="4">
        <v>215</v>
      </c>
      <c r="B216" s="4">
        <v>1420</v>
      </c>
      <c r="C216" s="13" t="s">
        <v>725</v>
      </c>
      <c r="D216" s="13" t="s">
        <v>726</v>
      </c>
      <c r="E216" s="5" t="s">
        <v>5566</v>
      </c>
      <c r="F216" s="5" t="s">
        <v>2881</v>
      </c>
      <c r="G216" s="5" t="s">
        <v>2882</v>
      </c>
      <c r="H216" s="13" t="s">
        <v>2368</v>
      </c>
      <c r="I216" s="13" t="s">
        <v>2309</v>
      </c>
      <c r="J216" s="4">
        <v>10550</v>
      </c>
      <c r="K216" s="4">
        <v>1</v>
      </c>
      <c r="L216" s="4">
        <v>19</v>
      </c>
      <c r="M216" s="4">
        <v>2016</v>
      </c>
      <c r="N216" s="4">
        <v>2</v>
      </c>
      <c r="O216" s="4">
        <v>7</v>
      </c>
      <c r="P216" s="4">
        <v>1</v>
      </c>
      <c r="Q216" s="19">
        <v>449</v>
      </c>
      <c r="R216" s="16">
        <v>7.0000000000000007E-2</v>
      </c>
      <c r="S216" s="16">
        <v>448.93</v>
      </c>
      <c r="T216" s="5" t="s">
        <v>24</v>
      </c>
      <c r="U216" s="13" t="s">
        <v>301</v>
      </c>
    </row>
    <row r="217" spans="1:21" x14ac:dyDescent="0.35">
      <c r="A217" s="4">
        <v>216</v>
      </c>
      <c r="B217" s="4">
        <v>267</v>
      </c>
      <c r="C217" s="13" t="s">
        <v>727</v>
      </c>
      <c r="D217" s="13" t="s">
        <v>728</v>
      </c>
      <c r="E217" s="5" t="s">
        <v>5566</v>
      </c>
      <c r="F217" s="5" t="s">
        <v>2883</v>
      </c>
      <c r="G217" s="5" t="s">
        <v>2884</v>
      </c>
      <c r="H217" s="13" t="s">
        <v>2885</v>
      </c>
      <c r="I217" s="13" t="s">
        <v>2305</v>
      </c>
      <c r="J217" s="4">
        <v>92307</v>
      </c>
      <c r="K217" s="4">
        <v>1</v>
      </c>
      <c r="L217" s="4">
        <v>22</v>
      </c>
      <c r="M217" s="4">
        <v>2016</v>
      </c>
      <c r="N217" s="4">
        <v>1</v>
      </c>
      <c r="O217" s="4">
        <v>3</v>
      </c>
      <c r="P217" s="4">
        <v>2</v>
      </c>
      <c r="Q217" s="19">
        <v>269.99</v>
      </c>
      <c r="R217" s="16">
        <v>0.1</v>
      </c>
      <c r="S217" s="16">
        <v>539.88</v>
      </c>
      <c r="T217" s="5" t="s">
        <v>19</v>
      </c>
      <c r="U217" s="13" t="s">
        <v>299</v>
      </c>
    </row>
    <row r="218" spans="1:21" x14ac:dyDescent="0.35">
      <c r="A218" s="4">
        <v>217</v>
      </c>
      <c r="B218" s="4">
        <v>716</v>
      </c>
      <c r="C218" s="13" t="s">
        <v>729</v>
      </c>
      <c r="D218" s="13" t="s">
        <v>673</v>
      </c>
      <c r="E218" s="5" t="s">
        <v>5566</v>
      </c>
      <c r="F218" s="5" t="s">
        <v>2886</v>
      </c>
      <c r="G218" s="5" t="s">
        <v>2887</v>
      </c>
      <c r="H218" s="13" t="s">
        <v>2888</v>
      </c>
      <c r="I218" s="13" t="s">
        <v>2309</v>
      </c>
      <c r="J218" s="4">
        <v>11727</v>
      </c>
      <c r="K218" s="4">
        <v>1</v>
      </c>
      <c r="L218" s="4">
        <v>18</v>
      </c>
      <c r="M218" s="4">
        <v>2016</v>
      </c>
      <c r="N218" s="4">
        <v>2</v>
      </c>
      <c r="O218" s="4">
        <v>7</v>
      </c>
      <c r="P218" s="4">
        <v>1</v>
      </c>
      <c r="Q218" s="19">
        <v>449</v>
      </c>
      <c r="R218" s="16">
        <v>0.1</v>
      </c>
      <c r="S218" s="16">
        <v>448.9</v>
      </c>
      <c r="T218" s="5" t="s">
        <v>23</v>
      </c>
      <c r="U218" s="13" t="s">
        <v>301</v>
      </c>
    </row>
    <row r="219" spans="1:21" x14ac:dyDescent="0.35">
      <c r="A219" s="4">
        <v>218</v>
      </c>
      <c r="B219" s="4">
        <v>1179</v>
      </c>
      <c r="C219" s="13" t="s">
        <v>730</v>
      </c>
      <c r="D219" s="13" t="s">
        <v>731</v>
      </c>
      <c r="E219" s="5" t="s">
        <v>5566</v>
      </c>
      <c r="F219" s="5" t="s">
        <v>2889</v>
      </c>
      <c r="G219" s="5" t="s">
        <v>2890</v>
      </c>
      <c r="H219" s="13" t="s">
        <v>2554</v>
      </c>
      <c r="I219" s="13" t="s">
        <v>2309</v>
      </c>
      <c r="J219" s="4">
        <v>11201</v>
      </c>
      <c r="K219" s="4">
        <v>1</v>
      </c>
      <c r="L219" s="4">
        <v>2</v>
      </c>
      <c r="M219" s="4">
        <v>2016</v>
      </c>
      <c r="N219" s="4">
        <v>2</v>
      </c>
      <c r="O219" s="4">
        <v>7</v>
      </c>
      <c r="P219" s="4">
        <v>2</v>
      </c>
      <c r="Q219" s="19">
        <v>749.99</v>
      </c>
      <c r="R219" s="16">
        <v>0.1</v>
      </c>
      <c r="S219" s="16">
        <v>1499.88</v>
      </c>
      <c r="T219" s="5" t="s">
        <v>7</v>
      </c>
      <c r="U219" s="13" t="s">
        <v>304</v>
      </c>
    </row>
    <row r="220" spans="1:21" x14ac:dyDescent="0.35">
      <c r="A220" s="4">
        <v>219</v>
      </c>
      <c r="B220" s="4">
        <v>1338</v>
      </c>
      <c r="C220" s="13" t="s">
        <v>732</v>
      </c>
      <c r="D220" s="13" t="s">
        <v>733</v>
      </c>
      <c r="E220" s="5" t="s">
        <v>5566</v>
      </c>
      <c r="F220" s="5" t="s">
        <v>2891</v>
      </c>
      <c r="G220" s="5" t="s">
        <v>2892</v>
      </c>
      <c r="H220" s="13" t="s">
        <v>2531</v>
      </c>
      <c r="I220" s="13" t="s">
        <v>2309</v>
      </c>
      <c r="J220" s="4">
        <v>11779</v>
      </c>
      <c r="K220" s="4">
        <v>1</v>
      </c>
      <c r="L220" s="4">
        <v>26</v>
      </c>
      <c r="M220" s="4">
        <v>2016</v>
      </c>
      <c r="N220" s="4">
        <v>2</v>
      </c>
      <c r="O220" s="4">
        <v>6</v>
      </c>
      <c r="P220" s="4">
        <v>1</v>
      </c>
      <c r="Q220" s="19">
        <v>599.99</v>
      </c>
      <c r="R220" s="16">
        <v>0.05</v>
      </c>
      <c r="S220" s="16">
        <v>599.94000000000005</v>
      </c>
      <c r="T220" s="5" t="s">
        <v>21</v>
      </c>
      <c r="U220" s="13" t="s">
        <v>300</v>
      </c>
    </row>
    <row r="221" spans="1:21" x14ac:dyDescent="0.35">
      <c r="A221" s="4">
        <v>220</v>
      </c>
      <c r="B221" s="4">
        <v>1358</v>
      </c>
      <c r="C221" s="13" t="s">
        <v>726</v>
      </c>
      <c r="D221" s="13" t="s">
        <v>734</v>
      </c>
      <c r="E221" s="5" t="s">
        <v>5566</v>
      </c>
      <c r="F221" s="5" t="s">
        <v>2893</v>
      </c>
      <c r="G221" s="5" t="s">
        <v>2894</v>
      </c>
      <c r="H221" s="13" t="s">
        <v>2390</v>
      </c>
      <c r="I221" s="13" t="s">
        <v>2309</v>
      </c>
      <c r="J221" s="4">
        <v>14127</v>
      </c>
      <c r="K221" s="4">
        <v>1</v>
      </c>
      <c r="L221" s="4">
        <v>6</v>
      </c>
      <c r="M221" s="4">
        <v>2016</v>
      </c>
      <c r="N221" s="4">
        <v>2</v>
      </c>
      <c r="O221" s="4">
        <v>6</v>
      </c>
      <c r="P221" s="4">
        <v>2</v>
      </c>
      <c r="Q221" s="19">
        <v>469.99</v>
      </c>
      <c r="R221" s="16">
        <v>0.05</v>
      </c>
      <c r="S221" s="16">
        <v>939.93000000000006</v>
      </c>
      <c r="T221" s="5" t="s">
        <v>11</v>
      </c>
      <c r="U221" s="13" t="s">
        <v>304</v>
      </c>
    </row>
    <row r="222" spans="1:21" x14ac:dyDescent="0.35">
      <c r="A222" s="4">
        <v>221</v>
      </c>
      <c r="B222" s="4">
        <v>1218</v>
      </c>
      <c r="C222" s="13" t="s">
        <v>735</v>
      </c>
      <c r="D222" s="13" t="s">
        <v>736</v>
      </c>
      <c r="E222" s="5" t="s">
        <v>2895</v>
      </c>
      <c r="F222" s="5" t="s">
        <v>2896</v>
      </c>
      <c r="G222" s="5" t="s">
        <v>2897</v>
      </c>
      <c r="H222" s="13" t="s">
        <v>2758</v>
      </c>
      <c r="I222" s="13" t="s">
        <v>2305</v>
      </c>
      <c r="J222" s="4">
        <v>94603</v>
      </c>
      <c r="K222" s="4">
        <v>1</v>
      </c>
      <c r="L222" s="4">
        <v>11</v>
      </c>
      <c r="M222" s="4">
        <v>2016</v>
      </c>
      <c r="N222" s="4">
        <v>1</v>
      </c>
      <c r="O222" s="4">
        <v>2</v>
      </c>
      <c r="P222" s="4">
        <v>2</v>
      </c>
      <c r="Q222" s="19">
        <v>1680.99</v>
      </c>
      <c r="R222" s="16">
        <v>7.0000000000000007E-2</v>
      </c>
      <c r="S222" s="16">
        <v>3361.91</v>
      </c>
      <c r="T222" s="5" t="s">
        <v>16</v>
      </c>
      <c r="U222" s="13" t="s">
        <v>302</v>
      </c>
    </row>
    <row r="223" spans="1:21" x14ac:dyDescent="0.35">
      <c r="A223" s="4">
        <v>222</v>
      </c>
      <c r="B223" s="4">
        <v>51</v>
      </c>
      <c r="C223" s="13" t="s">
        <v>737</v>
      </c>
      <c r="D223" s="13" t="s">
        <v>738</v>
      </c>
      <c r="E223" s="5" t="s">
        <v>5566</v>
      </c>
      <c r="F223" s="5" t="s">
        <v>2898</v>
      </c>
      <c r="G223" s="5" t="s">
        <v>2899</v>
      </c>
      <c r="H223" s="13" t="s">
        <v>2393</v>
      </c>
      <c r="I223" s="13" t="s">
        <v>2309</v>
      </c>
      <c r="J223" s="4">
        <v>11566</v>
      </c>
      <c r="K223" s="4">
        <v>1</v>
      </c>
      <c r="L223" s="4">
        <v>10</v>
      </c>
      <c r="M223" s="4">
        <v>2016</v>
      </c>
      <c r="N223" s="4">
        <v>2</v>
      </c>
      <c r="O223" s="4">
        <v>6</v>
      </c>
      <c r="P223" s="4">
        <v>1</v>
      </c>
      <c r="Q223" s="19">
        <v>1549</v>
      </c>
      <c r="R223" s="16">
        <v>0.1</v>
      </c>
      <c r="S223" s="16">
        <v>1548.9</v>
      </c>
      <c r="T223" s="5" t="s">
        <v>15</v>
      </c>
      <c r="U223" s="13" t="s">
        <v>302</v>
      </c>
    </row>
    <row r="224" spans="1:21" x14ac:dyDescent="0.35">
      <c r="A224" s="4">
        <v>223</v>
      </c>
      <c r="B224" s="4">
        <v>1368</v>
      </c>
      <c r="C224" s="13" t="s">
        <v>739</v>
      </c>
      <c r="D224" s="13" t="s">
        <v>740</v>
      </c>
      <c r="E224" s="5" t="s">
        <v>5566</v>
      </c>
      <c r="F224" s="5" t="s">
        <v>2900</v>
      </c>
      <c r="G224" s="5" t="s">
        <v>2901</v>
      </c>
      <c r="H224" s="13" t="s">
        <v>2518</v>
      </c>
      <c r="I224" s="13" t="s">
        <v>2309</v>
      </c>
      <c r="J224" s="4">
        <v>12020</v>
      </c>
      <c r="K224" s="4">
        <v>1</v>
      </c>
      <c r="L224" s="4">
        <v>7</v>
      </c>
      <c r="M224" s="4">
        <v>2016</v>
      </c>
      <c r="N224" s="4">
        <v>2</v>
      </c>
      <c r="O224" s="4">
        <v>7</v>
      </c>
      <c r="P224" s="4">
        <v>2</v>
      </c>
      <c r="Q224" s="19">
        <v>3999.99</v>
      </c>
      <c r="R224" s="16">
        <v>0.05</v>
      </c>
      <c r="S224" s="16">
        <v>7999.9299999999994</v>
      </c>
      <c r="T224" s="5" t="s">
        <v>12</v>
      </c>
      <c r="U224" s="13" t="s">
        <v>304</v>
      </c>
    </row>
    <row r="225" spans="1:21" x14ac:dyDescent="0.35">
      <c r="A225" s="4">
        <v>224</v>
      </c>
      <c r="B225" s="4">
        <v>157</v>
      </c>
      <c r="C225" s="13" t="s">
        <v>741</v>
      </c>
      <c r="D225" s="13" t="s">
        <v>627</v>
      </c>
      <c r="E225" s="5" t="s">
        <v>5566</v>
      </c>
      <c r="F225" s="5" t="s">
        <v>2902</v>
      </c>
      <c r="G225" s="5" t="s">
        <v>2903</v>
      </c>
      <c r="H225" s="13" t="s">
        <v>2353</v>
      </c>
      <c r="I225" s="13" t="s">
        <v>2305</v>
      </c>
      <c r="J225" s="4">
        <v>92220</v>
      </c>
      <c r="K225" s="4">
        <v>1</v>
      </c>
      <c r="L225" s="4">
        <v>6</v>
      </c>
      <c r="M225" s="4">
        <v>2016</v>
      </c>
      <c r="N225" s="4">
        <v>1</v>
      </c>
      <c r="O225" s="4">
        <v>3</v>
      </c>
      <c r="P225" s="4">
        <v>1</v>
      </c>
      <c r="Q225" s="19">
        <v>469.99</v>
      </c>
      <c r="R225" s="16">
        <v>7.0000000000000007E-2</v>
      </c>
      <c r="S225" s="16">
        <v>469.92</v>
      </c>
      <c r="T225" s="5" t="s">
        <v>11</v>
      </c>
      <c r="U225" s="13" t="s">
        <v>304</v>
      </c>
    </row>
    <row r="226" spans="1:21" x14ac:dyDescent="0.35">
      <c r="A226" s="4">
        <v>225</v>
      </c>
      <c r="B226" s="4">
        <v>307</v>
      </c>
      <c r="C226" s="13" t="s">
        <v>742</v>
      </c>
      <c r="D226" s="13" t="s">
        <v>743</v>
      </c>
      <c r="E226" s="5" t="s">
        <v>5566</v>
      </c>
      <c r="F226" s="5" t="s">
        <v>2904</v>
      </c>
      <c r="G226" s="5" t="s">
        <v>2905</v>
      </c>
      <c r="H226" s="13" t="s">
        <v>2528</v>
      </c>
      <c r="I226" s="13" t="s">
        <v>2305</v>
      </c>
      <c r="J226" s="4">
        <v>91740</v>
      </c>
      <c r="K226" s="4">
        <v>1</v>
      </c>
      <c r="L226" s="4">
        <v>21</v>
      </c>
      <c r="M226" s="4">
        <v>2016</v>
      </c>
      <c r="N226" s="4">
        <v>1</v>
      </c>
      <c r="O226" s="4">
        <v>3</v>
      </c>
      <c r="P226" s="4">
        <v>1</v>
      </c>
      <c r="Q226" s="19">
        <v>269.99</v>
      </c>
      <c r="R226" s="16">
        <v>0.1</v>
      </c>
      <c r="S226" s="16">
        <v>269.89</v>
      </c>
      <c r="T226" s="5" t="s">
        <v>18</v>
      </c>
      <c r="U226" s="13" t="s">
        <v>299</v>
      </c>
    </row>
    <row r="227" spans="1:21" x14ac:dyDescent="0.35">
      <c r="A227" s="4">
        <v>226</v>
      </c>
      <c r="B227" s="4">
        <v>501</v>
      </c>
      <c r="C227" s="13" t="s">
        <v>744</v>
      </c>
      <c r="D227" s="13" t="s">
        <v>499</v>
      </c>
      <c r="E227" s="5" t="s">
        <v>2906</v>
      </c>
      <c r="F227" s="5" t="s">
        <v>2907</v>
      </c>
      <c r="G227" s="5" t="s">
        <v>2908</v>
      </c>
      <c r="H227" s="13" t="s">
        <v>2460</v>
      </c>
      <c r="I227" s="13" t="s">
        <v>2305</v>
      </c>
      <c r="J227" s="4">
        <v>92806</v>
      </c>
      <c r="K227" s="4">
        <v>1</v>
      </c>
      <c r="L227" s="4">
        <v>2</v>
      </c>
      <c r="M227" s="4">
        <v>2016</v>
      </c>
      <c r="N227" s="4">
        <v>1</v>
      </c>
      <c r="O227" s="4">
        <v>2</v>
      </c>
      <c r="P227" s="4">
        <v>1</v>
      </c>
      <c r="Q227" s="19">
        <v>749.99</v>
      </c>
      <c r="R227" s="16">
        <v>0.05</v>
      </c>
      <c r="S227" s="16">
        <v>749.94</v>
      </c>
      <c r="T227" s="5" t="s">
        <v>7</v>
      </c>
      <c r="U227" s="13" t="s">
        <v>304</v>
      </c>
    </row>
    <row r="228" spans="1:21" x14ac:dyDescent="0.35">
      <c r="A228" s="4">
        <v>227</v>
      </c>
      <c r="B228" s="4">
        <v>489</v>
      </c>
      <c r="C228" s="13" t="s">
        <v>745</v>
      </c>
      <c r="D228" s="13" t="s">
        <v>746</v>
      </c>
      <c r="E228" s="5" t="s">
        <v>5566</v>
      </c>
      <c r="F228" s="5" t="s">
        <v>2909</v>
      </c>
      <c r="G228" s="5" t="s">
        <v>2910</v>
      </c>
      <c r="H228" s="13" t="s">
        <v>2327</v>
      </c>
      <c r="I228" s="13" t="s">
        <v>2309</v>
      </c>
      <c r="J228" s="4">
        <v>12866</v>
      </c>
      <c r="K228" s="4">
        <v>1</v>
      </c>
      <c r="L228" s="4">
        <v>3</v>
      </c>
      <c r="M228" s="4">
        <v>2016</v>
      </c>
      <c r="N228" s="4">
        <v>2</v>
      </c>
      <c r="O228" s="4">
        <v>7</v>
      </c>
      <c r="P228" s="4">
        <v>2</v>
      </c>
      <c r="Q228" s="19">
        <v>999.99</v>
      </c>
      <c r="R228" s="16">
        <v>0.05</v>
      </c>
      <c r="S228" s="16">
        <v>1999.93</v>
      </c>
      <c r="T228" s="5" t="s">
        <v>8</v>
      </c>
      <c r="U228" s="13" t="s">
        <v>304</v>
      </c>
    </row>
    <row r="229" spans="1:21" x14ac:dyDescent="0.35">
      <c r="A229" s="4">
        <v>228</v>
      </c>
      <c r="B229" s="4">
        <v>615</v>
      </c>
      <c r="C229" s="13" t="s">
        <v>747</v>
      </c>
      <c r="D229" s="13" t="s">
        <v>748</v>
      </c>
      <c r="E229" s="5" t="s">
        <v>5566</v>
      </c>
      <c r="F229" s="5" t="s">
        <v>2911</v>
      </c>
      <c r="G229" s="5" t="s">
        <v>2912</v>
      </c>
      <c r="H229" s="13" t="s">
        <v>2913</v>
      </c>
      <c r="I229" s="13" t="s">
        <v>2309</v>
      </c>
      <c r="J229" s="4">
        <v>11365</v>
      </c>
      <c r="K229" s="4">
        <v>1</v>
      </c>
      <c r="L229" s="4">
        <v>25</v>
      </c>
      <c r="M229" s="4">
        <v>2016</v>
      </c>
      <c r="N229" s="4">
        <v>2</v>
      </c>
      <c r="O229" s="4">
        <v>7</v>
      </c>
      <c r="P229" s="4">
        <v>1</v>
      </c>
      <c r="Q229" s="19">
        <v>499.99</v>
      </c>
      <c r="R229" s="16">
        <v>0.2</v>
      </c>
      <c r="S229" s="16">
        <v>499.79</v>
      </c>
      <c r="T229" s="5" t="s">
        <v>27</v>
      </c>
      <c r="U229" s="13" t="s">
        <v>300</v>
      </c>
    </row>
    <row r="230" spans="1:21" x14ac:dyDescent="0.35">
      <c r="A230" s="4">
        <v>229</v>
      </c>
      <c r="B230" s="4">
        <v>742</v>
      </c>
      <c r="C230" s="13" t="s">
        <v>749</v>
      </c>
      <c r="D230" s="13" t="s">
        <v>713</v>
      </c>
      <c r="E230" s="5" t="s">
        <v>5566</v>
      </c>
      <c r="F230" s="5" t="s">
        <v>2914</v>
      </c>
      <c r="G230" s="5" t="s">
        <v>2915</v>
      </c>
      <c r="H230" s="13" t="s">
        <v>2368</v>
      </c>
      <c r="I230" s="13" t="s">
        <v>2309</v>
      </c>
      <c r="J230" s="4">
        <v>10550</v>
      </c>
      <c r="K230" s="4">
        <v>1</v>
      </c>
      <c r="L230" s="4">
        <v>25</v>
      </c>
      <c r="M230" s="4">
        <v>2016</v>
      </c>
      <c r="N230" s="4">
        <v>2</v>
      </c>
      <c r="O230" s="4">
        <v>6</v>
      </c>
      <c r="P230" s="4">
        <v>2</v>
      </c>
      <c r="Q230" s="19">
        <v>499.99</v>
      </c>
      <c r="R230" s="16">
        <v>0.2</v>
      </c>
      <c r="S230" s="16">
        <v>999.78</v>
      </c>
      <c r="T230" s="5" t="s">
        <v>27</v>
      </c>
      <c r="U230" s="13" t="s">
        <v>300</v>
      </c>
    </row>
    <row r="231" spans="1:21" x14ac:dyDescent="0.35">
      <c r="A231" s="4">
        <v>230</v>
      </c>
      <c r="B231" s="4">
        <v>1167</v>
      </c>
      <c r="C231" s="13" t="s">
        <v>750</v>
      </c>
      <c r="D231" s="13" t="s">
        <v>620</v>
      </c>
      <c r="E231" s="5" t="s">
        <v>5566</v>
      </c>
      <c r="F231" s="5" t="s">
        <v>2916</v>
      </c>
      <c r="G231" s="5" t="s">
        <v>2917</v>
      </c>
      <c r="H231" s="13" t="s">
        <v>2918</v>
      </c>
      <c r="I231" s="13" t="s">
        <v>2309</v>
      </c>
      <c r="J231" s="4">
        <v>10954</v>
      </c>
      <c r="K231" s="4">
        <v>1</v>
      </c>
      <c r="L231" s="4">
        <v>11</v>
      </c>
      <c r="M231" s="4">
        <v>2016</v>
      </c>
      <c r="N231" s="4">
        <v>2</v>
      </c>
      <c r="O231" s="4">
        <v>6</v>
      </c>
      <c r="P231" s="4">
        <v>2</v>
      </c>
      <c r="Q231" s="19">
        <v>1680.99</v>
      </c>
      <c r="R231" s="16">
        <v>7.0000000000000007E-2</v>
      </c>
      <c r="S231" s="16">
        <v>3361.91</v>
      </c>
      <c r="T231" s="5" t="s">
        <v>16</v>
      </c>
      <c r="U231" s="13" t="s">
        <v>302</v>
      </c>
    </row>
    <row r="232" spans="1:21" x14ac:dyDescent="0.35">
      <c r="A232" s="4">
        <v>231</v>
      </c>
      <c r="B232" s="4">
        <v>1257</v>
      </c>
      <c r="C232" s="13" t="s">
        <v>751</v>
      </c>
      <c r="D232" s="13" t="s">
        <v>752</v>
      </c>
      <c r="E232" s="5" t="s">
        <v>5566</v>
      </c>
      <c r="F232" s="5" t="s">
        <v>2919</v>
      </c>
      <c r="G232" s="5" t="s">
        <v>2920</v>
      </c>
      <c r="H232" s="13" t="s">
        <v>1457</v>
      </c>
      <c r="I232" s="13" t="s">
        <v>2309</v>
      </c>
      <c r="J232" s="4">
        <v>14580</v>
      </c>
      <c r="K232" s="4">
        <v>1</v>
      </c>
      <c r="L232" s="4">
        <v>8</v>
      </c>
      <c r="M232" s="4">
        <v>2016</v>
      </c>
      <c r="N232" s="4">
        <v>2</v>
      </c>
      <c r="O232" s="4">
        <v>6</v>
      </c>
      <c r="P232" s="4">
        <v>2</v>
      </c>
      <c r="Q232" s="19">
        <v>1799.99</v>
      </c>
      <c r="R232" s="16">
        <v>7.0000000000000007E-2</v>
      </c>
      <c r="S232" s="16">
        <v>3599.91</v>
      </c>
      <c r="T232" s="5" t="s">
        <v>13</v>
      </c>
      <c r="U232" s="13" t="s">
        <v>304</v>
      </c>
    </row>
    <row r="233" spans="1:21" x14ac:dyDescent="0.35">
      <c r="A233" s="4">
        <v>232</v>
      </c>
      <c r="B233" s="4">
        <v>1360</v>
      </c>
      <c r="C233" s="13" t="s">
        <v>753</v>
      </c>
      <c r="D233" s="13" t="s">
        <v>397</v>
      </c>
      <c r="E233" s="5" t="s">
        <v>5566</v>
      </c>
      <c r="F233" s="5" t="s">
        <v>2921</v>
      </c>
      <c r="G233" s="5" t="s">
        <v>2922</v>
      </c>
      <c r="H233" s="13" t="s">
        <v>2544</v>
      </c>
      <c r="I233" s="13" t="s">
        <v>2305</v>
      </c>
      <c r="J233" s="4">
        <v>91784</v>
      </c>
      <c r="K233" s="4">
        <v>1</v>
      </c>
      <c r="L233" s="4">
        <v>18</v>
      </c>
      <c r="M233" s="4">
        <v>2016</v>
      </c>
      <c r="N233" s="4">
        <v>1</v>
      </c>
      <c r="O233" s="4">
        <v>3</v>
      </c>
      <c r="P233" s="4">
        <v>1</v>
      </c>
      <c r="Q233" s="19">
        <v>449</v>
      </c>
      <c r="R233" s="16">
        <v>7.0000000000000007E-2</v>
      </c>
      <c r="S233" s="16">
        <v>448.93</v>
      </c>
      <c r="T233" s="5" t="s">
        <v>23</v>
      </c>
      <c r="U233" s="13" t="s">
        <v>301</v>
      </c>
    </row>
    <row r="234" spans="1:21" x14ac:dyDescent="0.35">
      <c r="A234" s="4">
        <v>233</v>
      </c>
      <c r="B234" s="4">
        <v>737</v>
      </c>
      <c r="C234" s="13" t="s">
        <v>754</v>
      </c>
      <c r="D234" s="13" t="s">
        <v>755</v>
      </c>
      <c r="E234" s="5" t="s">
        <v>5566</v>
      </c>
      <c r="F234" s="5" t="s">
        <v>2923</v>
      </c>
      <c r="G234" s="5" t="s">
        <v>2924</v>
      </c>
      <c r="H234" s="13" t="s">
        <v>2337</v>
      </c>
      <c r="I234" s="13" t="s">
        <v>2309</v>
      </c>
      <c r="J234" s="4">
        <v>13021</v>
      </c>
      <c r="K234" s="4">
        <v>1</v>
      </c>
      <c r="L234" s="4">
        <v>14</v>
      </c>
      <c r="M234" s="4">
        <v>2016</v>
      </c>
      <c r="N234" s="4">
        <v>2</v>
      </c>
      <c r="O234" s="4">
        <v>6</v>
      </c>
      <c r="P234" s="4">
        <v>1</v>
      </c>
      <c r="Q234" s="19">
        <v>269.99</v>
      </c>
      <c r="R234" s="16">
        <v>0.1</v>
      </c>
      <c r="S234" s="16">
        <v>269.89</v>
      </c>
      <c r="T234" s="5" t="s">
        <v>19</v>
      </c>
      <c r="U234" s="13" t="s">
        <v>301</v>
      </c>
    </row>
    <row r="235" spans="1:21" x14ac:dyDescent="0.35">
      <c r="A235" s="4">
        <v>234</v>
      </c>
      <c r="B235" s="4">
        <v>1435</v>
      </c>
      <c r="C235" s="13" t="s">
        <v>756</v>
      </c>
      <c r="D235" s="13" t="s">
        <v>757</v>
      </c>
      <c r="E235" s="5" t="s">
        <v>5566</v>
      </c>
      <c r="F235" s="5" t="s">
        <v>2925</v>
      </c>
      <c r="G235" s="5" t="s">
        <v>2926</v>
      </c>
      <c r="H235" s="13" t="s">
        <v>2785</v>
      </c>
      <c r="I235" s="13" t="s">
        <v>2309</v>
      </c>
      <c r="J235" s="4">
        <v>10583</v>
      </c>
      <c r="K235" s="4">
        <v>1</v>
      </c>
      <c r="L235" s="4">
        <v>11</v>
      </c>
      <c r="M235" s="4">
        <v>2016</v>
      </c>
      <c r="N235" s="4">
        <v>2</v>
      </c>
      <c r="O235" s="4">
        <v>6</v>
      </c>
      <c r="P235" s="4">
        <v>2</v>
      </c>
      <c r="Q235" s="19">
        <v>1680.99</v>
      </c>
      <c r="R235" s="16">
        <v>0.2</v>
      </c>
      <c r="S235" s="16">
        <v>3361.78</v>
      </c>
      <c r="T235" s="5" t="s">
        <v>16</v>
      </c>
      <c r="U235" s="13" t="s">
        <v>302</v>
      </c>
    </row>
    <row r="236" spans="1:21" x14ac:dyDescent="0.35">
      <c r="A236" s="4">
        <v>235</v>
      </c>
      <c r="B236" s="4">
        <v>649</v>
      </c>
      <c r="C236" s="13" t="s">
        <v>758</v>
      </c>
      <c r="D236" s="13" t="s">
        <v>759</v>
      </c>
      <c r="E236" s="5" t="s">
        <v>5566</v>
      </c>
      <c r="F236" s="5" t="s">
        <v>2927</v>
      </c>
      <c r="G236" s="5" t="s">
        <v>2928</v>
      </c>
      <c r="H236" s="13" t="s">
        <v>2531</v>
      </c>
      <c r="I236" s="13" t="s">
        <v>2309</v>
      </c>
      <c r="J236" s="4">
        <v>11779</v>
      </c>
      <c r="K236" s="4">
        <v>1</v>
      </c>
      <c r="L236" s="4">
        <v>6</v>
      </c>
      <c r="M236" s="4">
        <v>2016</v>
      </c>
      <c r="N236" s="4">
        <v>2</v>
      </c>
      <c r="O236" s="4">
        <v>6</v>
      </c>
      <c r="P236" s="4">
        <v>1</v>
      </c>
      <c r="Q236" s="19">
        <v>469.99</v>
      </c>
      <c r="R236" s="16">
        <v>7.0000000000000007E-2</v>
      </c>
      <c r="S236" s="16">
        <v>469.92</v>
      </c>
      <c r="T236" s="5" t="s">
        <v>11</v>
      </c>
      <c r="U236" s="13" t="s">
        <v>304</v>
      </c>
    </row>
    <row r="237" spans="1:21" x14ac:dyDescent="0.35">
      <c r="A237" s="4">
        <v>236</v>
      </c>
      <c r="B237" s="4">
        <v>206</v>
      </c>
      <c r="C237" s="13" t="s">
        <v>760</v>
      </c>
      <c r="D237" s="13" t="s">
        <v>761</v>
      </c>
      <c r="E237" s="5" t="s">
        <v>5566</v>
      </c>
      <c r="F237" s="5" t="s">
        <v>2929</v>
      </c>
      <c r="G237" s="5" t="s">
        <v>2930</v>
      </c>
      <c r="H237" s="13" t="s">
        <v>2554</v>
      </c>
      <c r="I237" s="13" t="s">
        <v>2309</v>
      </c>
      <c r="J237" s="4">
        <v>11201</v>
      </c>
      <c r="K237" s="4">
        <v>1</v>
      </c>
      <c r="L237" s="4">
        <v>3</v>
      </c>
      <c r="M237" s="4">
        <v>2016</v>
      </c>
      <c r="N237" s="4">
        <v>2</v>
      </c>
      <c r="O237" s="4">
        <v>6</v>
      </c>
      <c r="P237" s="4">
        <v>2</v>
      </c>
      <c r="Q237" s="19">
        <v>999.99</v>
      </c>
      <c r="R237" s="16">
        <v>7.0000000000000007E-2</v>
      </c>
      <c r="S237" s="16">
        <v>1999.91</v>
      </c>
      <c r="T237" s="5" t="s">
        <v>8</v>
      </c>
      <c r="U237" s="13" t="s">
        <v>304</v>
      </c>
    </row>
    <row r="238" spans="1:21" x14ac:dyDescent="0.35">
      <c r="A238" s="4">
        <v>237</v>
      </c>
      <c r="B238" s="4">
        <v>1351</v>
      </c>
      <c r="C238" s="13" t="s">
        <v>762</v>
      </c>
      <c r="D238" s="13" t="s">
        <v>763</v>
      </c>
      <c r="E238" s="5" t="s">
        <v>5566</v>
      </c>
      <c r="F238" s="5" t="s">
        <v>2931</v>
      </c>
      <c r="G238" s="5" t="s">
        <v>2932</v>
      </c>
      <c r="H238" s="13" t="s">
        <v>2933</v>
      </c>
      <c r="I238" s="13" t="s">
        <v>2309</v>
      </c>
      <c r="J238" s="4">
        <v>14701</v>
      </c>
      <c r="K238" s="4">
        <v>1</v>
      </c>
      <c r="L238" s="4">
        <v>15</v>
      </c>
      <c r="M238" s="4">
        <v>2016</v>
      </c>
      <c r="N238" s="4">
        <v>2</v>
      </c>
      <c r="O238" s="4">
        <v>7</v>
      </c>
      <c r="P238" s="4">
        <v>1</v>
      </c>
      <c r="Q238" s="19">
        <v>529.99</v>
      </c>
      <c r="R238" s="16">
        <v>0.2</v>
      </c>
      <c r="S238" s="16">
        <v>529.79</v>
      </c>
      <c r="T238" s="5" t="s">
        <v>20</v>
      </c>
      <c r="U238" s="13" t="s">
        <v>301</v>
      </c>
    </row>
    <row r="239" spans="1:21" x14ac:dyDescent="0.35">
      <c r="A239" s="4">
        <v>238</v>
      </c>
      <c r="B239" s="4">
        <v>1350</v>
      </c>
      <c r="C239" s="13" t="s">
        <v>764</v>
      </c>
      <c r="D239" s="13" t="s">
        <v>765</v>
      </c>
      <c r="E239" s="5" t="s">
        <v>5566</v>
      </c>
      <c r="F239" s="5" t="s">
        <v>2934</v>
      </c>
      <c r="G239" s="5" t="s">
        <v>2935</v>
      </c>
      <c r="H239" s="13" t="s">
        <v>2737</v>
      </c>
      <c r="I239" s="13" t="s">
        <v>2309</v>
      </c>
      <c r="J239" s="4">
        <v>11422</v>
      </c>
      <c r="K239" s="4">
        <v>1</v>
      </c>
      <c r="L239" s="4">
        <v>20</v>
      </c>
      <c r="M239" s="4">
        <v>2016</v>
      </c>
      <c r="N239" s="4">
        <v>2</v>
      </c>
      <c r="O239" s="4">
        <v>6</v>
      </c>
      <c r="P239" s="4">
        <v>2</v>
      </c>
      <c r="Q239" s="19">
        <v>599.99</v>
      </c>
      <c r="R239" s="16">
        <v>0.2</v>
      </c>
      <c r="S239" s="16">
        <v>1199.78</v>
      </c>
      <c r="T239" s="5" t="s">
        <v>25</v>
      </c>
      <c r="U239" s="13" t="s">
        <v>301</v>
      </c>
    </row>
    <row r="240" spans="1:21" x14ac:dyDescent="0.35">
      <c r="A240" s="4">
        <v>239</v>
      </c>
      <c r="B240" s="4">
        <v>13</v>
      </c>
      <c r="C240" s="13" t="s">
        <v>766</v>
      </c>
      <c r="D240" s="13" t="s">
        <v>767</v>
      </c>
      <c r="E240" s="5" t="s">
        <v>5566</v>
      </c>
      <c r="F240" s="5" t="s">
        <v>2936</v>
      </c>
      <c r="G240" s="5" t="s">
        <v>2937</v>
      </c>
      <c r="H240" s="13" t="s">
        <v>2593</v>
      </c>
      <c r="I240" s="13" t="s">
        <v>2397</v>
      </c>
      <c r="J240" s="4">
        <v>75604</v>
      </c>
      <c r="K240" s="4">
        <v>1</v>
      </c>
      <c r="L240" s="4">
        <v>16</v>
      </c>
      <c r="M240" s="4">
        <v>2016</v>
      </c>
      <c r="N240" s="4">
        <v>3</v>
      </c>
      <c r="O240" s="4">
        <v>9</v>
      </c>
      <c r="P240" s="4">
        <v>2</v>
      </c>
      <c r="Q240" s="19">
        <v>599.99</v>
      </c>
      <c r="R240" s="16">
        <v>0.1</v>
      </c>
      <c r="S240" s="16">
        <v>1199.8800000000001</v>
      </c>
      <c r="T240" s="5" t="s">
        <v>21</v>
      </c>
      <c r="U240" s="13" t="s">
        <v>301</v>
      </c>
    </row>
    <row r="241" spans="1:21" x14ac:dyDescent="0.35">
      <c r="A241" s="4">
        <v>240</v>
      </c>
      <c r="B241" s="4">
        <v>65</v>
      </c>
      <c r="C241" s="13" t="s">
        <v>768</v>
      </c>
      <c r="D241" s="13" t="s">
        <v>769</v>
      </c>
      <c r="E241" s="5" t="s">
        <v>5566</v>
      </c>
      <c r="F241" s="5" t="s">
        <v>2938</v>
      </c>
      <c r="G241" s="5" t="s">
        <v>2939</v>
      </c>
      <c r="H241" s="13" t="s">
        <v>2472</v>
      </c>
      <c r="I241" s="13" t="s">
        <v>2309</v>
      </c>
      <c r="J241" s="4">
        <v>13440</v>
      </c>
      <c r="K241" s="4">
        <v>1</v>
      </c>
      <c r="L241" s="4">
        <v>9</v>
      </c>
      <c r="M241" s="4">
        <v>2016</v>
      </c>
      <c r="N241" s="4">
        <v>2</v>
      </c>
      <c r="O241" s="4">
        <v>6</v>
      </c>
      <c r="P241" s="4">
        <v>1</v>
      </c>
      <c r="Q241" s="19">
        <v>2999.99</v>
      </c>
      <c r="R241" s="16">
        <v>7.0000000000000007E-2</v>
      </c>
      <c r="S241" s="16">
        <v>2999.9199999999996</v>
      </c>
      <c r="T241" s="5" t="s">
        <v>14</v>
      </c>
      <c r="U241" s="13" t="s">
        <v>303</v>
      </c>
    </row>
    <row r="242" spans="1:21" x14ac:dyDescent="0.35">
      <c r="A242" s="4">
        <v>241</v>
      </c>
      <c r="B242" s="4">
        <v>1082</v>
      </c>
      <c r="C242" s="13" t="s">
        <v>770</v>
      </c>
      <c r="D242" s="13" t="s">
        <v>771</v>
      </c>
      <c r="E242" s="5" t="s">
        <v>2940</v>
      </c>
      <c r="F242" s="5" t="s">
        <v>2941</v>
      </c>
      <c r="G242" s="5" t="s">
        <v>2942</v>
      </c>
      <c r="H242" s="13" t="s">
        <v>2419</v>
      </c>
      <c r="I242" s="13" t="s">
        <v>2309</v>
      </c>
      <c r="J242" s="4">
        <v>11561</v>
      </c>
      <c r="K242" s="4">
        <v>1</v>
      </c>
      <c r="L242" s="4">
        <v>7</v>
      </c>
      <c r="M242" s="4">
        <v>2016</v>
      </c>
      <c r="N242" s="4">
        <v>2</v>
      </c>
      <c r="O242" s="4">
        <v>7</v>
      </c>
      <c r="P242" s="4">
        <v>1</v>
      </c>
      <c r="Q242" s="19">
        <v>3999.99</v>
      </c>
      <c r="R242" s="16">
        <v>0.2</v>
      </c>
      <c r="S242" s="16">
        <v>3999.79</v>
      </c>
      <c r="T242" s="5" t="s">
        <v>12</v>
      </c>
      <c r="U242" s="13" t="s">
        <v>304</v>
      </c>
    </row>
    <row r="243" spans="1:21" x14ac:dyDescent="0.35">
      <c r="A243" s="4">
        <v>242</v>
      </c>
      <c r="B243" s="4">
        <v>1168</v>
      </c>
      <c r="C243" s="13" t="s">
        <v>772</v>
      </c>
      <c r="D243" s="13" t="s">
        <v>773</v>
      </c>
      <c r="E243" s="5" t="s">
        <v>5566</v>
      </c>
      <c r="F243" s="5" t="s">
        <v>2943</v>
      </c>
      <c r="G243" s="5" t="s">
        <v>2944</v>
      </c>
      <c r="H243" s="13" t="s">
        <v>2945</v>
      </c>
      <c r="I243" s="13" t="s">
        <v>2309</v>
      </c>
      <c r="J243" s="4">
        <v>11104</v>
      </c>
      <c r="K243" s="4">
        <v>1</v>
      </c>
      <c r="L243" s="4">
        <v>3</v>
      </c>
      <c r="M243" s="4">
        <v>2016</v>
      </c>
      <c r="N243" s="4">
        <v>2</v>
      </c>
      <c r="O243" s="4">
        <v>7</v>
      </c>
      <c r="P243" s="4">
        <v>1</v>
      </c>
      <c r="Q243" s="19">
        <v>999.99</v>
      </c>
      <c r="R243" s="16">
        <v>0.2</v>
      </c>
      <c r="S243" s="16">
        <v>999.79</v>
      </c>
      <c r="T243" s="5" t="s">
        <v>8</v>
      </c>
      <c r="U243" s="13" t="s">
        <v>304</v>
      </c>
    </row>
    <row r="244" spans="1:21" x14ac:dyDescent="0.35">
      <c r="A244" s="4">
        <v>243</v>
      </c>
      <c r="B244" s="4">
        <v>802</v>
      </c>
      <c r="C244" s="13" t="s">
        <v>774</v>
      </c>
      <c r="D244" s="13" t="s">
        <v>775</v>
      </c>
      <c r="E244" s="5" t="s">
        <v>5566</v>
      </c>
      <c r="F244" s="5" t="s">
        <v>2946</v>
      </c>
      <c r="G244" s="5" t="s">
        <v>2947</v>
      </c>
      <c r="H244" s="13" t="s">
        <v>2593</v>
      </c>
      <c r="I244" s="13" t="s">
        <v>2397</v>
      </c>
      <c r="J244" s="4">
        <v>75604</v>
      </c>
      <c r="K244" s="4">
        <v>1</v>
      </c>
      <c r="L244" s="4">
        <v>25</v>
      </c>
      <c r="M244" s="4">
        <v>2016</v>
      </c>
      <c r="N244" s="4">
        <v>3</v>
      </c>
      <c r="O244" s="4">
        <v>8</v>
      </c>
      <c r="P244" s="4">
        <v>2</v>
      </c>
      <c r="Q244" s="19">
        <v>499.99</v>
      </c>
      <c r="R244" s="16">
        <v>0.05</v>
      </c>
      <c r="S244" s="16">
        <v>999.93000000000006</v>
      </c>
      <c r="T244" s="5" t="s">
        <v>27</v>
      </c>
      <c r="U244" s="13" t="s">
        <v>300</v>
      </c>
    </row>
    <row r="245" spans="1:21" x14ac:dyDescent="0.35">
      <c r="A245" s="4">
        <v>244</v>
      </c>
      <c r="B245" s="4">
        <v>956</v>
      </c>
      <c r="C245" s="13" t="s">
        <v>776</v>
      </c>
      <c r="D245" s="13" t="s">
        <v>777</v>
      </c>
      <c r="E245" s="5" t="s">
        <v>5566</v>
      </c>
      <c r="F245" s="5" t="s">
        <v>2948</v>
      </c>
      <c r="G245" s="5" t="s">
        <v>2949</v>
      </c>
      <c r="H245" s="13" t="s">
        <v>2950</v>
      </c>
      <c r="I245" s="13" t="s">
        <v>2309</v>
      </c>
      <c r="J245" s="4">
        <v>11735</v>
      </c>
      <c r="K245" s="4">
        <v>1</v>
      </c>
      <c r="L245" s="4">
        <v>19</v>
      </c>
      <c r="M245" s="4">
        <v>2016</v>
      </c>
      <c r="N245" s="4">
        <v>2</v>
      </c>
      <c r="O245" s="4">
        <v>6</v>
      </c>
      <c r="P245" s="4">
        <v>1</v>
      </c>
      <c r="Q245" s="19">
        <v>449</v>
      </c>
      <c r="R245" s="16">
        <v>7.0000000000000007E-2</v>
      </c>
      <c r="S245" s="16">
        <v>448.93</v>
      </c>
      <c r="T245" s="5" t="s">
        <v>24</v>
      </c>
      <c r="U245" s="13" t="s">
        <v>301</v>
      </c>
    </row>
    <row r="246" spans="1:21" x14ac:dyDescent="0.35">
      <c r="A246" s="4">
        <v>245</v>
      </c>
      <c r="B246" s="4">
        <v>223</v>
      </c>
      <c r="C246" s="13" t="s">
        <v>778</v>
      </c>
      <c r="D246" s="13" t="s">
        <v>779</v>
      </c>
      <c r="E246" s="5" t="s">
        <v>5566</v>
      </c>
      <c r="F246" s="5" t="s">
        <v>2951</v>
      </c>
      <c r="G246" s="5" t="s">
        <v>2952</v>
      </c>
      <c r="H246" s="13" t="s">
        <v>2312</v>
      </c>
      <c r="I246" s="13" t="s">
        <v>2309</v>
      </c>
      <c r="J246" s="4">
        <v>11772</v>
      </c>
      <c r="K246" s="4">
        <v>1</v>
      </c>
      <c r="L246" s="4">
        <v>10</v>
      </c>
      <c r="M246" s="4">
        <v>2016</v>
      </c>
      <c r="N246" s="4">
        <v>2</v>
      </c>
      <c r="O246" s="4">
        <v>7</v>
      </c>
      <c r="P246" s="4">
        <v>2</v>
      </c>
      <c r="Q246" s="19">
        <v>1549</v>
      </c>
      <c r="R246" s="16">
        <v>0.05</v>
      </c>
      <c r="S246" s="16">
        <v>3097.95</v>
      </c>
      <c r="T246" s="5" t="s">
        <v>15</v>
      </c>
      <c r="U246" s="13" t="s">
        <v>302</v>
      </c>
    </row>
    <row r="247" spans="1:21" x14ac:dyDescent="0.35">
      <c r="A247" s="4">
        <v>246</v>
      </c>
      <c r="B247" s="4">
        <v>17</v>
      </c>
      <c r="C247" s="13" t="s">
        <v>780</v>
      </c>
      <c r="D247" s="13" t="s">
        <v>781</v>
      </c>
      <c r="E247" s="5" t="s">
        <v>5566</v>
      </c>
      <c r="F247" s="5" t="s">
        <v>2953</v>
      </c>
      <c r="G247" s="5" t="s">
        <v>2954</v>
      </c>
      <c r="H247" s="13" t="s">
        <v>2785</v>
      </c>
      <c r="I247" s="13" t="s">
        <v>2309</v>
      </c>
      <c r="J247" s="4">
        <v>10583</v>
      </c>
      <c r="K247" s="4">
        <v>1</v>
      </c>
      <c r="L247" s="4">
        <v>17</v>
      </c>
      <c r="M247" s="4">
        <v>2016</v>
      </c>
      <c r="N247" s="4">
        <v>2</v>
      </c>
      <c r="O247" s="4">
        <v>6</v>
      </c>
      <c r="P247" s="4">
        <v>2</v>
      </c>
      <c r="Q247" s="19">
        <v>429</v>
      </c>
      <c r="R247" s="16">
        <v>0.2</v>
      </c>
      <c r="S247" s="16">
        <v>857.8</v>
      </c>
      <c r="T247" s="5" t="s">
        <v>22</v>
      </c>
      <c r="U247" s="13" t="s">
        <v>301</v>
      </c>
    </row>
    <row r="248" spans="1:21" x14ac:dyDescent="0.35">
      <c r="A248" s="4">
        <v>247</v>
      </c>
      <c r="B248" s="4">
        <v>928</v>
      </c>
      <c r="C248" s="13" t="s">
        <v>782</v>
      </c>
      <c r="D248" s="13" t="s">
        <v>783</v>
      </c>
      <c r="E248" s="5" t="s">
        <v>5566</v>
      </c>
      <c r="F248" s="5" t="s">
        <v>2955</v>
      </c>
      <c r="G248" s="5" t="s">
        <v>2956</v>
      </c>
      <c r="H248" s="13" t="s">
        <v>2534</v>
      </c>
      <c r="I248" s="13" t="s">
        <v>2305</v>
      </c>
      <c r="J248" s="4">
        <v>90403</v>
      </c>
      <c r="K248" s="4">
        <v>1</v>
      </c>
      <c r="L248" s="4">
        <v>25</v>
      </c>
      <c r="M248" s="4">
        <v>2016</v>
      </c>
      <c r="N248" s="4">
        <v>1</v>
      </c>
      <c r="O248" s="4">
        <v>3</v>
      </c>
      <c r="P248" s="4">
        <v>1</v>
      </c>
      <c r="Q248" s="19">
        <v>499.99</v>
      </c>
      <c r="R248" s="16">
        <v>7.0000000000000007E-2</v>
      </c>
      <c r="S248" s="16">
        <v>499.92</v>
      </c>
      <c r="T248" s="5" t="s">
        <v>27</v>
      </c>
      <c r="U248" s="13" t="s">
        <v>300</v>
      </c>
    </row>
    <row r="249" spans="1:21" x14ac:dyDescent="0.35">
      <c r="A249" s="4">
        <v>248</v>
      </c>
      <c r="B249" s="4">
        <v>1376</v>
      </c>
      <c r="C249" s="13" t="s">
        <v>784</v>
      </c>
      <c r="D249" s="13" t="s">
        <v>785</v>
      </c>
      <c r="E249" s="5" t="s">
        <v>5566</v>
      </c>
      <c r="F249" s="5" t="s">
        <v>2957</v>
      </c>
      <c r="G249" s="5" t="s">
        <v>2958</v>
      </c>
      <c r="H249" s="13" t="s">
        <v>2525</v>
      </c>
      <c r="I249" s="13" t="s">
        <v>2309</v>
      </c>
      <c r="J249" s="4">
        <v>11050</v>
      </c>
      <c r="K249" s="4">
        <v>1</v>
      </c>
      <c r="L249" s="4">
        <v>13</v>
      </c>
      <c r="M249" s="4">
        <v>2016</v>
      </c>
      <c r="N249" s="4">
        <v>2</v>
      </c>
      <c r="O249" s="4">
        <v>7</v>
      </c>
      <c r="P249" s="4">
        <v>1</v>
      </c>
      <c r="Q249" s="19">
        <v>269.99</v>
      </c>
      <c r="R249" s="16">
        <v>0.1</v>
      </c>
      <c r="S249" s="16">
        <v>269.89</v>
      </c>
      <c r="T249" s="5" t="s">
        <v>18</v>
      </c>
      <c r="U249" s="13" t="s">
        <v>301</v>
      </c>
    </row>
    <row r="250" spans="1:21" x14ac:dyDescent="0.35">
      <c r="A250" s="4">
        <v>249</v>
      </c>
      <c r="B250" s="4">
        <v>145</v>
      </c>
      <c r="C250" s="13" t="s">
        <v>786</v>
      </c>
      <c r="D250" s="13" t="s">
        <v>787</v>
      </c>
      <c r="E250" s="5" t="s">
        <v>5566</v>
      </c>
      <c r="F250" s="5" t="s">
        <v>2959</v>
      </c>
      <c r="G250" s="5" t="s">
        <v>2960</v>
      </c>
      <c r="H250" s="13" t="s">
        <v>2961</v>
      </c>
      <c r="I250" s="13" t="s">
        <v>2309</v>
      </c>
      <c r="J250" s="4">
        <v>10301</v>
      </c>
      <c r="K250" s="4">
        <v>1</v>
      </c>
      <c r="L250" s="4">
        <v>7</v>
      </c>
      <c r="M250" s="4">
        <v>2016</v>
      </c>
      <c r="N250" s="4">
        <v>2</v>
      </c>
      <c r="O250" s="4">
        <v>6</v>
      </c>
      <c r="P250" s="4">
        <v>2</v>
      </c>
      <c r="Q250" s="19">
        <v>3999.99</v>
      </c>
      <c r="R250" s="16">
        <v>0.05</v>
      </c>
      <c r="S250" s="16">
        <v>7999.9299999999994</v>
      </c>
      <c r="T250" s="5" t="s">
        <v>12</v>
      </c>
      <c r="U250" s="13" t="s">
        <v>304</v>
      </c>
    </row>
    <row r="251" spans="1:21" x14ac:dyDescent="0.35">
      <c r="A251" s="4">
        <v>250</v>
      </c>
      <c r="B251" s="4">
        <v>150</v>
      </c>
      <c r="C251" s="13" t="s">
        <v>788</v>
      </c>
      <c r="D251" s="13" t="s">
        <v>353</v>
      </c>
      <c r="E251" s="5" t="s">
        <v>5566</v>
      </c>
      <c r="F251" s="5" t="s">
        <v>2962</v>
      </c>
      <c r="G251" s="5" t="s">
        <v>2963</v>
      </c>
      <c r="H251" s="13" t="s">
        <v>2964</v>
      </c>
      <c r="I251" s="13" t="s">
        <v>2309</v>
      </c>
      <c r="J251" s="4">
        <v>11743</v>
      </c>
      <c r="K251" s="4">
        <v>1</v>
      </c>
      <c r="L251" s="4">
        <v>17</v>
      </c>
      <c r="M251" s="4">
        <v>2016</v>
      </c>
      <c r="N251" s="4">
        <v>2</v>
      </c>
      <c r="O251" s="4">
        <v>7</v>
      </c>
      <c r="P251" s="4">
        <v>2</v>
      </c>
      <c r="Q251" s="19">
        <v>429</v>
      </c>
      <c r="R251" s="16">
        <v>0.05</v>
      </c>
      <c r="S251" s="16">
        <v>857.95</v>
      </c>
      <c r="T251" s="5" t="s">
        <v>22</v>
      </c>
      <c r="U251" s="13" t="s">
        <v>301</v>
      </c>
    </row>
    <row r="252" spans="1:21" x14ac:dyDescent="0.35">
      <c r="A252" s="4">
        <v>251</v>
      </c>
      <c r="B252" s="4">
        <v>851</v>
      </c>
      <c r="C252" s="13" t="s">
        <v>789</v>
      </c>
      <c r="D252" s="13" t="s">
        <v>790</v>
      </c>
      <c r="E252" s="5" t="s">
        <v>5566</v>
      </c>
      <c r="F252" s="5" t="s">
        <v>2965</v>
      </c>
      <c r="G252" s="5" t="s">
        <v>2966</v>
      </c>
      <c r="H252" s="13" t="s">
        <v>2650</v>
      </c>
      <c r="I252" s="13" t="s">
        <v>2309</v>
      </c>
      <c r="J252" s="4">
        <v>11040</v>
      </c>
      <c r="K252" s="4">
        <v>1</v>
      </c>
      <c r="L252" s="4">
        <v>23</v>
      </c>
      <c r="M252" s="4">
        <v>2016</v>
      </c>
      <c r="N252" s="4">
        <v>2</v>
      </c>
      <c r="O252" s="4">
        <v>7</v>
      </c>
      <c r="P252" s="4">
        <v>2</v>
      </c>
      <c r="Q252" s="19">
        <v>299.99</v>
      </c>
      <c r="R252" s="16">
        <v>0.2</v>
      </c>
      <c r="S252" s="16">
        <v>599.78</v>
      </c>
      <c r="T252" s="5" t="s">
        <v>26</v>
      </c>
      <c r="U252" s="13" t="s">
        <v>299</v>
      </c>
    </row>
    <row r="253" spans="1:21" x14ac:dyDescent="0.35">
      <c r="A253" s="4">
        <v>252</v>
      </c>
      <c r="B253" s="4">
        <v>66</v>
      </c>
      <c r="C253" s="13" t="s">
        <v>676</v>
      </c>
      <c r="D253" s="13" t="s">
        <v>791</v>
      </c>
      <c r="E253" s="5" t="s">
        <v>5566</v>
      </c>
      <c r="F253" s="5" t="s">
        <v>2967</v>
      </c>
      <c r="G253" s="5" t="s">
        <v>2968</v>
      </c>
      <c r="H253" s="13" t="s">
        <v>902</v>
      </c>
      <c r="I253" s="13" t="s">
        <v>2397</v>
      </c>
      <c r="J253" s="4">
        <v>75043</v>
      </c>
      <c r="K253" s="4">
        <v>1</v>
      </c>
      <c r="L253" s="4">
        <v>11</v>
      </c>
      <c r="M253" s="4">
        <v>2016</v>
      </c>
      <c r="N253" s="4">
        <v>3</v>
      </c>
      <c r="O253" s="4">
        <v>8</v>
      </c>
      <c r="P253" s="4">
        <v>2</v>
      </c>
      <c r="Q253" s="19">
        <v>1680.99</v>
      </c>
      <c r="R253" s="16">
        <v>0.1</v>
      </c>
      <c r="S253" s="16">
        <v>3361.88</v>
      </c>
      <c r="T253" s="5" t="s">
        <v>16</v>
      </c>
      <c r="U253" s="13" t="s">
        <v>302</v>
      </c>
    </row>
    <row r="254" spans="1:21" x14ac:dyDescent="0.35">
      <c r="A254" s="4">
        <v>253</v>
      </c>
      <c r="B254" s="4">
        <v>1267</v>
      </c>
      <c r="C254" s="13" t="s">
        <v>792</v>
      </c>
      <c r="D254" s="13" t="s">
        <v>379</v>
      </c>
      <c r="E254" s="5" t="s">
        <v>5566</v>
      </c>
      <c r="F254" s="5" t="s">
        <v>2969</v>
      </c>
      <c r="G254" s="5" t="s">
        <v>2970</v>
      </c>
      <c r="H254" s="13" t="s">
        <v>2531</v>
      </c>
      <c r="I254" s="13" t="s">
        <v>2309</v>
      </c>
      <c r="J254" s="4">
        <v>11779</v>
      </c>
      <c r="K254" s="4">
        <v>1</v>
      </c>
      <c r="L254" s="4">
        <v>11</v>
      </c>
      <c r="M254" s="4">
        <v>2016</v>
      </c>
      <c r="N254" s="4">
        <v>2</v>
      </c>
      <c r="O254" s="4">
        <v>6</v>
      </c>
      <c r="P254" s="4">
        <v>2</v>
      </c>
      <c r="Q254" s="19">
        <v>1680.99</v>
      </c>
      <c r="R254" s="16">
        <v>7.0000000000000007E-2</v>
      </c>
      <c r="S254" s="16">
        <v>3361.91</v>
      </c>
      <c r="T254" s="5" t="s">
        <v>16</v>
      </c>
      <c r="U254" s="13" t="s">
        <v>302</v>
      </c>
    </row>
    <row r="255" spans="1:21" x14ac:dyDescent="0.35">
      <c r="A255" s="4">
        <v>254</v>
      </c>
      <c r="B255" s="4">
        <v>510</v>
      </c>
      <c r="C255" s="13" t="s">
        <v>793</v>
      </c>
      <c r="D255" s="13" t="s">
        <v>439</v>
      </c>
      <c r="E255" s="5" t="s">
        <v>5566</v>
      </c>
      <c r="F255" s="5" t="s">
        <v>2971</v>
      </c>
      <c r="G255" s="5" t="s">
        <v>2972</v>
      </c>
      <c r="H255" s="13" t="s">
        <v>2653</v>
      </c>
      <c r="I255" s="13" t="s">
        <v>2309</v>
      </c>
      <c r="J255" s="4">
        <v>11419</v>
      </c>
      <c r="K255" s="4">
        <v>1</v>
      </c>
      <c r="L255" s="4">
        <v>6</v>
      </c>
      <c r="M255" s="4">
        <v>2016</v>
      </c>
      <c r="N255" s="4">
        <v>2</v>
      </c>
      <c r="O255" s="4">
        <v>7</v>
      </c>
      <c r="P255" s="4">
        <v>2</v>
      </c>
      <c r="Q255" s="19">
        <v>469.99</v>
      </c>
      <c r="R255" s="16">
        <v>7.0000000000000007E-2</v>
      </c>
      <c r="S255" s="16">
        <v>939.91</v>
      </c>
      <c r="T255" s="5" t="s">
        <v>11</v>
      </c>
      <c r="U255" s="13" t="s">
        <v>304</v>
      </c>
    </row>
    <row r="256" spans="1:21" x14ac:dyDescent="0.35">
      <c r="A256" s="4">
        <v>255</v>
      </c>
      <c r="B256" s="4">
        <v>801</v>
      </c>
      <c r="C256" s="13" t="s">
        <v>456</v>
      </c>
      <c r="D256" s="13" t="s">
        <v>794</v>
      </c>
      <c r="E256" s="5" t="s">
        <v>5566</v>
      </c>
      <c r="F256" s="5" t="s">
        <v>2973</v>
      </c>
      <c r="G256" s="5" t="s">
        <v>2974</v>
      </c>
      <c r="H256" s="13" t="s">
        <v>2436</v>
      </c>
      <c r="I256" s="13" t="s">
        <v>2309</v>
      </c>
      <c r="J256" s="4">
        <v>12533</v>
      </c>
      <c r="K256" s="4">
        <v>1</v>
      </c>
      <c r="L256" s="4">
        <v>5</v>
      </c>
      <c r="M256" s="4">
        <v>2016</v>
      </c>
      <c r="N256" s="4">
        <v>2</v>
      </c>
      <c r="O256" s="4">
        <v>7</v>
      </c>
      <c r="P256" s="4">
        <v>2</v>
      </c>
      <c r="Q256" s="19">
        <v>1320.99</v>
      </c>
      <c r="R256" s="16">
        <v>0.1</v>
      </c>
      <c r="S256" s="16">
        <v>2641.88</v>
      </c>
      <c r="T256" s="5" t="s">
        <v>10</v>
      </c>
      <c r="U256" s="13" t="s">
        <v>304</v>
      </c>
    </row>
    <row r="257" spans="1:21" x14ac:dyDescent="0.35">
      <c r="A257" s="4">
        <v>256</v>
      </c>
      <c r="B257" s="4">
        <v>26</v>
      </c>
      <c r="C257" s="13" t="s">
        <v>795</v>
      </c>
      <c r="D257" s="13" t="s">
        <v>796</v>
      </c>
      <c r="E257" s="5" t="s">
        <v>2975</v>
      </c>
      <c r="F257" s="5" t="s">
        <v>2976</v>
      </c>
      <c r="G257" s="5" t="s">
        <v>2977</v>
      </c>
      <c r="H257" s="13" t="s">
        <v>2419</v>
      </c>
      <c r="I257" s="13" t="s">
        <v>2309</v>
      </c>
      <c r="J257" s="4">
        <v>11561</v>
      </c>
      <c r="K257" s="4">
        <v>1</v>
      </c>
      <c r="L257" s="4">
        <v>11</v>
      </c>
      <c r="M257" s="4">
        <v>2016</v>
      </c>
      <c r="N257" s="4">
        <v>2</v>
      </c>
      <c r="O257" s="4">
        <v>7</v>
      </c>
      <c r="P257" s="4">
        <v>1</v>
      </c>
      <c r="Q257" s="19">
        <v>1680.99</v>
      </c>
      <c r="R257" s="16">
        <v>0.1</v>
      </c>
      <c r="S257" s="16">
        <v>1680.89</v>
      </c>
      <c r="T257" s="5" t="s">
        <v>16</v>
      </c>
      <c r="U257" s="13" t="s">
        <v>302</v>
      </c>
    </row>
    <row r="258" spans="1:21" x14ac:dyDescent="0.35">
      <c r="A258" s="4">
        <v>257</v>
      </c>
      <c r="B258" s="4">
        <v>1314</v>
      </c>
      <c r="C258" s="13" t="s">
        <v>797</v>
      </c>
      <c r="D258" s="13" t="s">
        <v>798</v>
      </c>
      <c r="E258" s="5" t="s">
        <v>5566</v>
      </c>
      <c r="F258" s="5" t="s">
        <v>2978</v>
      </c>
      <c r="G258" s="5" t="s">
        <v>2979</v>
      </c>
      <c r="H258" s="13" t="s">
        <v>2980</v>
      </c>
      <c r="I258" s="13" t="s">
        <v>2305</v>
      </c>
      <c r="J258" s="4">
        <v>91762</v>
      </c>
      <c r="K258" s="4">
        <v>1</v>
      </c>
      <c r="L258" s="4">
        <v>8</v>
      </c>
      <c r="M258" s="4">
        <v>2016</v>
      </c>
      <c r="N258" s="4">
        <v>1</v>
      </c>
      <c r="O258" s="4">
        <v>3</v>
      </c>
      <c r="P258" s="4">
        <v>2</v>
      </c>
      <c r="Q258" s="19">
        <v>1799.99</v>
      </c>
      <c r="R258" s="16">
        <v>7.0000000000000007E-2</v>
      </c>
      <c r="S258" s="16">
        <v>3599.91</v>
      </c>
      <c r="T258" s="5" t="s">
        <v>13</v>
      </c>
      <c r="U258" s="13" t="s">
        <v>304</v>
      </c>
    </row>
    <row r="259" spans="1:21" x14ac:dyDescent="0.35">
      <c r="A259" s="4">
        <v>258</v>
      </c>
      <c r="B259" s="4">
        <v>107</v>
      </c>
      <c r="C259" s="13" t="s">
        <v>799</v>
      </c>
      <c r="D259" s="13" t="s">
        <v>800</v>
      </c>
      <c r="E259" s="5" t="s">
        <v>5566</v>
      </c>
      <c r="F259" s="5" t="s">
        <v>2981</v>
      </c>
      <c r="G259" s="5" t="s">
        <v>2982</v>
      </c>
      <c r="H259" s="13" t="s">
        <v>2441</v>
      </c>
      <c r="I259" s="13" t="s">
        <v>2309</v>
      </c>
      <c r="J259" s="4">
        <v>11722</v>
      </c>
      <c r="K259" s="4">
        <v>1</v>
      </c>
      <c r="L259" s="4">
        <v>8</v>
      </c>
      <c r="M259" s="4">
        <v>2016</v>
      </c>
      <c r="N259" s="4">
        <v>2</v>
      </c>
      <c r="O259" s="4">
        <v>7</v>
      </c>
      <c r="P259" s="4">
        <v>2</v>
      </c>
      <c r="Q259" s="19">
        <v>1799.99</v>
      </c>
      <c r="R259" s="16">
        <v>0.05</v>
      </c>
      <c r="S259" s="16">
        <v>3599.93</v>
      </c>
      <c r="T259" s="5" t="s">
        <v>13</v>
      </c>
      <c r="U259" s="13" t="s">
        <v>304</v>
      </c>
    </row>
    <row r="260" spans="1:21" x14ac:dyDescent="0.35">
      <c r="A260" s="4">
        <v>259</v>
      </c>
      <c r="B260" s="4">
        <v>413</v>
      </c>
      <c r="C260" s="13" t="s">
        <v>801</v>
      </c>
      <c r="D260" s="13" t="s">
        <v>802</v>
      </c>
      <c r="E260" s="5" t="s">
        <v>5566</v>
      </c>
      <c r="F260" s="5" t="s">
        <v>2983</v>
      </c>
      <c r="G260" s="5" t="s">
        <v>2984</v>
      </c>
      <c r="H260" s="13" t="s">
        <v>470</v>
      </c>
      <c r="I260" s="13" t="s">
        <v>2309</v>
      </c>
      <c r="J260" s="4">
        <v>11510</v>
      </c>
      <c r="K260" s="4">
        <v>1</v>
      </c>
      <c r="L260" s="4">
        <v>26</v>
      </c>
      <c r="M260" s="4">
        <v>2016</v>
      </c>
      <c r="N260" s="4">
        <v>2</v>
      </c>
      <c r="O260" s="4">
        <v>7</v>
      </c>
      <c r="P260" s="4">
        <v>1</v>
      </c>
      <c r="Q260" s="19">
        <v>599.99</v>
      </c>
      <c r="R260" s="16">
        <v>0.05</v>
      </c>
      <c r="S260" s="16">
        <v>599.94000000000005</v>
      </c>
      <c r="T260" s="5" t="s">
        <v>21</v>
      </c>
      <c r="U260" s="13" t="s">
        <v>300</v>
      </c>
    </row>
    <row r="261" spans="1:21" x14ac:dyDescent="0.35">
      <c r="A261" s="4">
        <v>260</v>
      </c>
      <c r="B261" s="4">
        <v>632</v>
      </c>
      <c r="C261" s="13" t="s">
        <v>803</v>
      </c>
      <c r="D261" s="13" t="s">
        <v>687</v>
      </c>
      <c r="E261" s="5" t="s">
        <v>5566</v>
      </c>
      <c r="F261" s="5" t="s">
        <v>2985</v>
      </c>
      <c r="G261" s="5" t="s">
        <v>2986</v>
      </c>
      <c r="H261" s="13" t="s">
        <v>2479</v>
      </c>
      <c r="I261" s="13" t="s">
        <v>2309</v>
      </c>
      <c r="J261" s="4">
        <v>11010</v>
      </c>
      <c r="K261" s="4">
        <v>1</v>
      </c>
      <c r="L261" s="4">
        <v>23</v>
      </c>
      <c r="M261" s="4">
        <v>2016</v>
      </c>
      <c r="N261" s="4">
        <v>2</v>
      </c>
      <c r="O261" s="4">
        <v>6</v>
      </c>
      <c r="P261" s="4">
        <v>2</v>
      </c>
      <c r="Q261" s="19">
        <v>299.99</v>
      </c>
      <c r="R261" s="16">
        <v>0.2</v>
      </c>
      <c r="S261" s="16">
        <v>599.78</v>
      </c>
      <c r="T261" s="5" t="s">
        <v>26</v>
      </c>
      <c r="U261" s="13" t="s">
        <v>299</v>
      </c>
    </row>
    <row r="262" spans="1:21" x14ac:dyDescent="0.35">
      <c r="A262" s="4">
        <v>261</v>
      </c>
      <c r="B262" s="4">
        <v>1045</v>
      </c>
      <c r="C262" s="13" t="s">
        <v>804</v>
      </c>
      <c r="D262" s="13" t="s">
        <v>805</v>
      </c>
      <c r="E262" s="5" t="s">
        <v>5566</v>
      </c>
      <c r="F262" s="5" t="s">
        <v>2987</v>
      </c>
      <c r="G262" s="5" t="s">
        <v>2988</v>
      </c>
      <c r="H262" s="13" t="s">
        <v>2989</v>
      </c>
      <c r="I262" s="13" t="s">
        <v>2305</v>
      </c>
      <c r="J262" s="4">
        <v>92083</v>
      </c>
      <c r="K262" s="4">
        <v>1</v>
      </c>
      <c r="L262" s="4">
        <v>16</v>
      </c>
      <c r="M262" s="4">
        <v>2016</v>
      </c>
      <c r="N262" s="4">
        <v>1</v>
      </c>
      <c r="O262" s="4">
        <v>2</v>
      </c>
      <c r="P262" s="4">
        <v>2</v>
      </c>
      <c r="Q262" s="19">
        <v>599.99</v>
      </c>
      <c r="R262" s="16">
        <v>0.05</v>
      </c>
      <c r="S262" s="16">
        <v>1199.93</v>
      </c>
      <c r="T262" s="5" t="s">
        <v>21</v>
      </c>
      <c r="U262" s="13" t="s">
        <v>301</v>
      </c>
    </row>
    <row r="263" spans="1:21" x14ac:dyDescent="0.35">
      <c r="A263" s="4">
        <v>262</v>
      </c>
      <c r="B263" s="4">
        <v>579</v>
      </c>
      <c r="C263" s="13" t="s">
        <v>806</v>
      </c>
      <c r="D263" s="13" t="s">
        <v>394</v>
      </c>
      <c r="E263" s="5" t="s">
        <v>5566</v>
      </c>
      <c r="F263" s="5" t="s">
        <v>2990</v>
      </c>
      <c r="G263" s="5" t="s">
        <v>2991</v>
      </c>
      <c r="H263" s="13" t="s">
        <v>2396</v>
      </c>
      <c r="I263" s="13" t="s">
        <v>2397</v>
      </c>
      <c r="J263" s="4">
        <v>78552</v>
      </c>
      <c r="K263" s="4">
        <v>1</v>
      </c>
      <c r="L263" s="4">
        <v>2</v>
      </c>
      <c r="M263" s="4">
        <v>2016</v>
      </c>
      <c r="N263" s="4">
        <v>3</v>
      </c>
      <c r="O263" s="4">
        <v>9</v>
      </c>
      <c r="P263" s="4">
        <v>1</v>
      </c>
      <c r="Q263" s="19">
        <v>749.99</v>
      </c>
      <c r="R263" s="16">
        <v>7.0000000000000007E-2</v>
      </c>
      <c r="S263" s="16">
        <v>749.92</v>
      </c>
      <c r="T263" s="5" t="s">
        <v>7</v>
      </c>
      <c r="U263" s="13" t="s">
        <v>304</v>
      </c>
    </row>
    <row r="264" spans="1:21" x14ac:dyDescent="0.35">
      <c r="A264" s="4">
        <v>263</v>
      </c>
      <c r="B264" s="4">
        <v>1322</v>
      </c>
      <c r="C264" s="13" t="s">
        <v>807</v>
      </c>
      <c r="D264" s="13" t="s">
        <v>808</v>
      </c>
      <c r="E264" s="5" t="s">
        <v>5566</v>
      </c>
      <c r="F264" s="5" t="s">
        <v>2992</v>
      </c>
      <c r="G264" s="5" t="s">
        <v>2993</v>
      </c>
      <c r="H264" s="13" t="s">
        <v>2479</v>
      </c>
      <c r="I264" s="13" t="s">
        <v>2309</v>
      </c>
      <c r="J264" s="4">
        <v>11010</v>
      </c>
      <c r="K264" s="4">
        <v>1</v>
      </c>
      <c r="L264" s="4">
        <v>9</v>
      </c>
      <c r="M264" s="4">
        <v>2016</v>
      </c>
      <c r="N264" s="4">
        <v>2</v>
      </c>
      <c r="O264" s="4">
        <v>6</v>
      </c>
      <c r="P264" s="4">
        <v>1</v>
      </c>
      <c r="Q264" s="19">
        <v>2999.99</v>
      </c>
      <c r="R264" s="16">
        <v>7.0000000000000007E-2</v>
      </c>
      <c r="S264" s="16">
        <v>2999.9199999999996</v>
      </c>
      <c r="T264" s="5" t="s">
        <v>14</v>
      </c>
      <c r="U264" s="13" t="s">
        <v>303</v>
      </c>
    </row>
    <row r="265" spans="1:21" x14ac:dyDescent="0.35">
      <c r="A265" s="4">
        <v>264</v>
      </c>
      <c r="B265" s="4">
        <v>5</v>
      </c>
      <c r="C265" s="13" t="s">
        <v>809</v>
      </c>
      <c r="D265" s="13" t="s">
        <v>810</v>
      </c>
      <c r="E265" s="5" t="s">
        <v>2994</v>
      </c>
      <c r="F265" s="5" t="s">
        <v>2995</v>
      </c>
      <c r="G265" s="5" t="s">
        <v>2996</v>
      </c>
      <c r="H265" s="13" t="s">
        <v>2997</v>
      </c>
      <c r="I265" s="13" t="s">
        <v>2305</v>
      </c>
      <c r="J265" s="4">
        <v>95820</v>
      </c>
      <c r="K265" s="4">
        <v>1</v>
      </c>
      <c r="L265" s="4">
        <v>10</v>
      </c>
      <c r="M265" s="4">
        <v>2016</v>
      </c>
      <c r="N265" s="4">
        <v>1</v>
      </c>
      <c r="O265" s="4">
        <v>3</v>
      </c>
      <c r="P265" s="4">
        <v>1</v>
      </c>
      <c r="Q265" s="19">
        <v>1549</v>
      </c>
      <c r="R265" s="16">
        <v>0.2</v>
      </c>
      <c r="S265" s="16">
        <v>1548.8</v>
      </c>
      <c r="T265" s="5" t="s">
        <v>15</v>
      </c>
      <c r="U265" s="13" t="s">
        <v>302</v>
      </c>
    </row>
    <row r="266" spans="1:21" x14ac:dyDescent="0.35">
      <c r="A266" s="4">
        <v>265</v>
      </c>
      <c r="B266" s="4">
        <v>682</v>
      </c>
      <c r="C266" s="13" t="s">
        <v>811</v>
      </c>
      <c r="D266" s="13" t="s">
        <v>812</v>
      </c>
      <c r="E266" s="5" t="s">
        <v>5566</v>
      </c>
      <c r="F266" s="5" t="s">
        <v>2998</v>
      </c>
      <c r="G266" s="5" t="s">
        <v>2999</v>
      </c>
      <c r="H266" s="13" t="s">
        <v>2390</v>
      </c>
      <c r="I266" s="13" t="s">
        <v>2309</v>
      </c>
      <c r="J266" s="4">
        <v>14127</v>
      </c>
      <c r="K266" s="4">
        <v>1</v>
      </c>
      <c r="L266" s="4">
        <v>9</v>
      </c>
      <c r="M266" s="4">
        <v>2016</v>
      </c>
      <c r="N266" s="4">
        <v>2</v>
      </c>
      <c r="O266" s="4">
        <v>7</v>
      </c>
      <c r="P266" s="4">
        <v>2</v>
      </c>
      <c r="Q266" s="19">
        <v>2999.99</v>
      </c>
      <c r="R266" s="16">
        <v>0.2</v>
      </c>
      <c r="S266" s="16">
        <v>5999.78</v>
      </c>
      <c r="T266" s="5" t="s">
        <v>14</v>
      </c>
      <c r="U266" s="13" t="s">
        <v>303</v>
      </c>
    </row>
    <row r="267" spans="1:21" x14ac:dyDescent="0.35">
      <c r="A267" s="4">
        <v>266</v>
      </c>
      <c r="B267" s="4">
        <v>933</v>
      </c>
      <c r="C267" s="13" t="s">
        <v>813</v>
      </c>
      <c r="D267" s="13" t="s">
        <v>814</v>
      </c>
      <c r="E267" s="5" t="s">
        <v>5566</v>
      </c>
      <c r="F267" s="5" t="s">
        <v>3000</v>
      </c>
      <c r="G267" s="5" t="s">
        <v>3001</v>
      </c>
      <c r="H267" s="13" t="s">
        <v>2690</v>
      </c>
      <c r="I267" s="13" t="s">
        <v>2309</v>
      </c>
      <c r="J267" s="4">
        <v>11414</v>
      </c>
      <c r="K267" s="4">
        <v>1</v>
      </c>
      <c r="L267" s="4">
        <v>6</v>
      </c>
      <c r="M267" s="4">
        <v>2016</v>
      </c>
      <c r="N267" s="4">
        <v>2</v>
      </c>
      <c r="O267" s="4">
        <v>7</v>
      </c>
      <c r="P267" s="4">
        <v>2</v>
      </c>
      <c r="Q267" s="19">
        <v>469.99</v>
      </c>
      <c r="R267" s="16">
        <v>7.0000000000000007E-2</v>
      </c>
      <c r="S267" s="16">
        <v>939.91</v>
      </c>
      <c r="T267" s="5" t="s">
        <v>11</v>
      </c>
      <c r="U267" s="13" t="s">
        <v>304</v>
      </c>
    </row>
    <row r="268" spans="1:21" x14ac:dyDescent="0.35">
      <c r="A268" s="4">
        <v>267</v>
      </c>
      <c r="B268" s="4">
        <v>282</v>
      </c>
      <c r="C268" s="13" t="s">
        <v>815</v>
      </c>
      <c r="D268" s="13" t="s">
        <v>816</v>
      </c>
      <c r="E268" s="5" t="s">
        <v>5566</v>
      </c>
      <c r="F268" s="5" t="s">
        <v>3002</v>
      </c>
      <c r="G268" s="5" t="s">
        <v>3003</v>
      </c>
      <c r="H268" s="13" t="s">
        <v>3004</v>
      </c>
      <c r="I268" s="13" t="s">
        <v>2305</v>
      </c>
      <c r="J268" s="4">
        <v>94580</v>
      </c>
      <c r="K268" s="4">
        <v>1</v>
      </c>
      <c r="L268" s="4">
        <v>22</v>
      </c>
      <c r="M268" s="4">
        <v>2016</v>
      </c>
      <c r="N268" s="4">
        <v>1</v>
      </c>
      <c r="O268" s="4">
        <v>3</v>
      </c>
      <c r="P268" s="4">
        <v>2</v>
      </c>
      <c r="Q268" s="19">
        <v>269.99</v>
      </c>
      <c r="R268" s="16">
        <v>0.2</v>
      </c>
      <c r="S268" s="16">
        <v>539.78</v>
      </c>
      <c r="T268" s="5" t="s">
        <v>19</v>
      </c>
      <c r="U268" s="13" t="s">
        <v>299</v>
      </c>
    </row>
    <row r="269" spans="1:21" x14ac:dyDescent="0.35">
      <c r="A269" s="4">
        <v>268</v>
      </c>
      <c r="B269" s="4">
        <v>540</v>
      </c>
      <c r="C269" s="13" t="s">
        <v>659</v>
      </c>
      <c r="D269" s="13" t="s">
        <v>815</v>
      </c>
      <c r="E269" s="5" t="s">
        <v>5566</v>
      </c>
      <c r="F269" s="5" t="s">
        <v>3005</v>
      </c>
      <c r="G269" s="5" t="s">
        <v>3006</v>
      </c>
      <c r="H269" s="13" t="s">
        <v>2980</v>
      </c>
      <c r="I269" s="13" t="s">
        <v>2305</v>
      </c>
      <c r="J269" s="4">
        <v>91762</v>
      </c>
      <c r="K269" s="4">
        <v>1</v>
      </c>
      <c r="L269" s="4">
        <v>7</v>
      </c>
      <c r="M269" s="4">
        <v>2016</v>
      </c>
      <c r="N269" s="4">
        <v>1</v>
      </c>
      <c r="O269" s="4">
        <v>3</v>
      </c>
      <c r="P269" s="4">
        <v>1</v>
      </c>
      <c r="Q269" s="19">
        <v>3999.99</v>
      </c>
      <c r="R269" s="16">
        <v>0.05</v>
      </c>
      <c r="S269" s="16">
        <v>3999.9399999999996</v>
      </c>
      <c r="T269" s="5" t="s">
        <v>12</v>
      </c>
      <c r="U269" s="13" t="s">
        <v>304</v>
      </c>
    </row>
    <row r="270" spans="1:21" x14ac:dyDescent="0.35">
      <c r="A270" s="4">
        <v>269</v>
      </c>
      <c r="B270" s="4">
        <v>764</v>
      </c>
      <c r="C270" s="13" t="s">
        <v>817</v>
      </c>
      <c r="D270" s="13" t="s">
        <v>818</v>
      </c>
      <c r="E270" s="5" t="s">
        <v>5566</v>
      </c>
      <c r="F270" s="5" t="s">
        <v>3007</v>
      </c>
      <c r="G270" s="5" t="s">
        <v>3008</v>
      </c>
      <c r="H270" s="13" t="s">
        <v>2402</v>
      </c>
      <c r="I270" s="13" t="s">
        <v>2309</v>
      </c>
      <c r="J270" s="4">
        <v>11784</v>
      </c>
      <c r="K270" s="4">
        <v>1</v>
      </c>
      <c r="L270" s="4">
        <v>5</v>
      </c>
      <c r="M270" s="4">
        <v>2016</v>
      </c>
      <c r="N270" s="4">
        <v>2</v>
      </c>
      <c r="O270" s="4">
        <v>6</v>
      </c>
      <c r="P270" s="4">
        <v>1</v>
      </c>
      <c r="Q270" s="19">
        <v>1320.99</v>
      </c>
      <c r="R270" s="16">
        <v>7.0000000000000007E-2</v>
      </c>
      <c r="S270" s="16">
        <v>1320.92</v>
      </c>
      <c r="T270" s="5" t="s">
        <v>10</v>
      </c>
      <c r="U270" s="13" t="s">
        <v>304</v>
      </c>
    </row>
    <row r="271" spans="1:21" x14ac:dyDescent="0.35">
      <c r="A271" s="4">
        <v>270</v>
      </c>
      <c r="B271" s="4">
        <v>879</v>
      </c>
      <c r="C271" s="13" t="s">
        <v>819</v>
      </c>
      <c r="D271" s="13" t="s">
        <v>820</v>
      </c>
      <c r="E271" s="5" t="s">
        <v>5566</v>
      </c>
      <c r="F271" s="5" t="s">
        <v>3009</v>
      </c>
      <c r="G271" s="5" t="s">
        <v>3010</v>
      </c>
      <c r="H271" s="13" t="s">
        <v>2469</v>
      </c>
      <c r="I271" s="13" t="s">
        <v>2309</v>
      </c>
      <c r="J271" s="4">
        <v>11530</v>
      </c>
      <c r="K271" s="4">
        <v>1</v>
      </c>
      <c r="L271" s="4">
        <v>25</v>
      </c>
      <c r="M271" s="4">
        <v>2016</v>
      </c>
      <c r="N271" s="4">
        <v>2</v>
      </c>
      <c r="O271" s="4">
        <v>7</v>
      </c>
      <c r="P271" s="4">
        <v>2</v>
      </c>
      <c r="Q271" s="19">
        <v>499.99</v>
      </c>
      <c r="R271" s="16">
        <v>0.2</v>
      </c>
      <c r="S271" s="16">
        <v>999.78</v>
      </c>
      <c r="T271" s="5" t="s">
        <v>27</v>
      </c>
      <c r="U271" s="13" t="s">
        <v>300</v>
      </c>
    </row>
    <row r="272" spans="1:21" x14ac:dyDescent="0.35">
      <c r="A272" s="4">
        <v>271</v>
      </c>
      <c r="B272" s="4">
        <v>350</v>
      </c>
      <c r="C272" s="13" t="s">
        <v>821</v>
      </c>
      <c r="D272" s="13" t="s">
        <v>341</v>
      </c>
      <c r="E272" s="5" t="s">
        <v>5566</v>
      </c>
      <c r="F272" s="5" t="s">
        <v>3011</v>
      </c>
      <c r="G272" s="5" t="s">
        <v>3012</v>
      </c>
      <c r="H272" s="13" t="s">
        <v>3013</v>
      </c>
      <c r="I272" s="13" t="s">
        <v>2309</v>
      </c>
      <c r="J272" s="4">
        <v>11706</v>
      </c>
      <c r="K272" s="4">
        <v>1</v>
      </c>
      <c r="L272" s="4">
        <v>11</v>
      </c>
      <c r="M272" s="4">
        <v>2016</v>
      </c>
      <c r="N272" s="4">
        <v>2</v>
      </c>
      <c r="O272" s="4">
        <v>7</v>
      </c>
      <c r="P272" s="4">
        <v>2</v>
      </c>
      <c r="Q272" s="19">
        <v>1680.99</v>
      </c>
      <c r="R272" s="16">
        <v>7.0000000000000007E-2</v>
      </c>
      <c r="S272" s="16">
        <v>3361.91</v>
      </c>
      <c r="T272" s="5" t="s">
        <v>16</v>
      </c>
      <c r="U272" s="13" t="s">
        <v>302</v>
      </c>
    </row>
    <row r="273" spans="1:21" x14ac:dyDescent="0.35">
      <c r="A273" s="4">
        <v>272</v>
      </c>
      <c r="B273" s="4">
        <v>497</v>
      </c>
      <c r="C273" s="13" t="s">
        <v>587</v>
      </c>
      <c r="D273" s="13" t="s">
        <v>757</v>
      </c>
      <c r="E273" s="5" t="s">
        <v>5566</v>
      </c>
      <c r="F273" s="5" t="s">
        <v>3014</v>
      </c>
      <c r="G273" s="5" t="s">
        <v>3015</v>
      </c>
      <c r="H273" s="13" t="s">
        <v>2918</v>
      </c>
      <c r="I273" s="13" t="s">
        <v>2309</v>
      </c>
      <c r="J273" s="4">
        <v>10954</v>
      </c>
      <c r="K273" s="4">
        <v>1</v>
      </c>
      <c r="L273" s="4">
        <v>2</v>
      </c>
      <c r="M273" s="4">
        <v>2016</v>
      </c>
      <c r="N273" s="4">
        <v>2</v>
      </c>
      <c r="O273" s="4">
        <v>7</v>
      </c>
      <c r="P273" s="4">
        <v>2</v>
      </c>
      <c r="Q273" s="19">
        <v>749.99</v>
      </c>
      <c r="R273" s="16">
        <v>7.0000000000000007E-2</v>
      </c>
      <c r="S273" s="16">
        <v>1499.91</v>
      </c>
      <c r="T273" s="5" t="s">
        <v>7</v>
      </c>
      <c r="U273" s="13" t="s">
        <v>304</v>
      </c>
    </row>
    <row r="274" spans="1:21" x14ac:dyDescent="0.35">
      <c r="A274" s="4">
        <v>273</v>
      </c>
      <c r="B274" s="4">
        <v>1340</v>
      </c>
      <c r="C274" s="13" t="s">
        <v>822</v>
      </c>
      <c r="D274" s="13" t="s">
        <v>823</v>
      </c>
      <c r="E274" s="5" t="s">
        <v>5566</v>
      </c>
      <c r="F274" s="5" t="s">
        <v>3016</v>
      </c>
      <c r="G274" s="5" t="s">
        <v>3017</v>
      </c>
      <c r="H274" s="13" t="s">
        <v>3018</v>
      </c>
      <c r="I274" s="13" t="s">
        <v>2309</v>
      </c>
      <c r="J274" s="4">
        <v>11357</v>
      </c>
      <c r="K274" s="4">
        <v>1</v>
      </c>
      <c r="L274" s="4">
        <v>21</v>
      </c>
      <c r="M274" s="4">
        <v>2016</v>
      </c>
      <c r="N274" s="4">
        <v>2</v>
      </c>
      <c r="O274" s="4">
        <v>7</v>
      </c>
      <c r="P274" s="4">
        <v>1</v>
      </c>
      <c r="Q274" s="19">
        <v>269.99</v>
      </c>
      <c r="R274" s="16">
        <v>0.1</v>
      </c>
      <c r="S274" s="16">
        <v>269.89</v>
      </c>
      <c r="T274" s="5" t="s">
        <v>18</v>
      </c>
      <c r="U274" s="13" t="s">
        <v>299</v>
      </c>
    </row>
    <row r="275" spans="1:21" x14ac:dyDescent="0.35">
      <c r="A275" s="4">
        <v>274</v>
      </c>
      <c r="B275" s="4">
        <v>411</v>
      </c>
      <c r="C275" s="13" t="s">
        <v>824</v>
      </c>
      <c r="D275" s="13" t="s">
        <v>825</v>
      </c>
      <c r="E275" s="5" t="s">
        <v>3019</v>
      </c>
      <c r="F275" s="5" t="s">
        <v>3020</v>
      </c>
      <c r="G275" s="5" t="s">
        <v>3021</v>
      </c>
      <c r="H275" s="13" t="s">
        <v>2647</v>
      </c>
      <c r="I275" s="13" t="s">
        <v>2309</v>
      </c>
      <c r="J275" s="4">
        <v>10002</v>
      </c>
      <c r="K275" s="4">
        <v>1</v>
      </c>
      <c r="L275" s="4">
        <v>11</v>
      </c>
      <c r="M275" s="4">
        <v>2016</v>
      </c>
      <c r="N275" s="4">
        <v>2</v>
      </c>
      <c r="O275" s="4">
        <v>7</v>
      </c>
      <c r="P275" s="4">
        <v>2</v>
      </c>
      <c r="Q275" s="19">
        <v>1680.99</v>
      </c>
      <c r="R275" s="16">
        <v>0.05</v>
      </c>
      <c r="S275" s="16">
        <v>3361.93</v>
      </c>
      <c r="T275" s="5" t="s">
        <v>16</v>
      </c>
      <c r="U275" s="13" t="s">
        <v>302</v>
      </c>
    </row>
    <row r="276" spans="1:21" x14ac:dyDescent="0.35">
      <c r="A276" s="4">
        <v>275</v>
      </c>
      <c r="B276" s="4">
        <v>1341</v>
      </c>
      <c r="C276" s="13" t="s">
        <v>826</v>
      </c>
      <c r="D276" s="13" t="s">
        <v>827</v>
      </c>
      <c r="E276" s="5" t="s">
        <v>5566</v>
      </c>
      <c r="F276" s="5" t="s">
        <v>3022</v>
      </c>
      <c r="G276" s="5" t="s">
        <v>3023</v>
      </c>
      <c r="H276" s="13" t="s">
        <v>2469</v>
      </c>
      <c r="I276" s="13" t="s">
        <v>2309</v>
      </c>
      <c r="J276" s="4">
        <v>11530</v>
      </c>
      <c r="K276" s="4">
        <v>1</v>
      </c>
      <c r="L276" s="4">
        <v>18</v>
      </c>
      <c r="M276" s="4">
        <v>2016</v>
      </c>
      <c r="N276" s="4">
        <v>2</v>
      </c>
      <c r="O276" s="4">
        <v>7</v>
      </c>
      <c r="P276" s="4">
        <v>1</v>
      </c>
      <c r="Q276" s="19">
        <v>449</v>
      </c>
      <c r="R276" s="16">
        <v>0.05</v>
      </c>
      <c r="S276" s="16">
        <v>448.95</v>
      </c>
      <c r="T276" s="5" t="s">
        <v>23</v>
      </c>
      <c r="U276" s="13" t="s">
        <v>301</v>
      </c>
    </row>
    <row r="277" spans="1:21" x14ac:dyDescent="0.35">
      <c r="A277" s="4">
        <v>276</v>
      </c>
      <c r="B277" s="4">
        <v>1227</v>
      </c>
      <c r="C277" s="13" t="s">
        <v>828</v>
      </c>
      <c r="D277" s="13" t="s">
        <v>829</v>
      </c>
      <c r="E277" s="5" t="s">
        <v>3024</v>
      </c>
      <c r="F277" s="5" t="s">
        <v>3025</v>
      </c>
      <c r="G277" s="5" t="s">
        <v>3026</v>
      </c>
      <c r="H277" s="13" t="s">
        <v>3027</v>
      </c>
      <c r="I277" s="13" t="s">
        <v>2309</v>
      </c>
      <c r="J277" s="4">
        <v>12180</v>
      </c>
      <c r="K277" s="4">
        <v>1</v>
      </c>
      <c r="L277" s="4">
        <v>3</v>
      </c>
      <c r="M277" s="4">
        <v>2016</v>
      </c>
      <c r="N277" s="4">
        <v>2</v>
      </c>
      <c r="O277" s="4">
        <v>6</v>
      </c>
      <c r="P277" s="4">
        <v>2</v>
      </c>
      <c r="Q277" s="19">
        <v>999.99</v>
      </c>
      <c r="R277" s="16">
        <v>0.2</v>
      </c>
      <c r="S277" s="16">
        <v>1999.78</v>
      </c>
      <c r="T277" s="5" t="s">
        <v>8</v>
      </c>
      <c r="U277" s="13" t="s">
        <v>304</v>
      </c>
    </row>
    <row r="278" spans="1:21" x14ac:dyDescent="0.35">
      <c r="A278" s="4">
        <v>277</v>
      </c>
      <c r="B278" s="4">
        <v>546</v>
      </c>
      <c r="C278" s="13" t="s">
        <v>830</v>
      </c>
      <c r="D278" s="13" t="s">
        <v>831</v>
      </c>
      <c r="E278" s="5" t="s">
        <v>3028</v>
      </c>
      <c r="F278" s="5" t="s">
        <v>3029</v>
      </c>
      <c r="G278" s="5" t="s">
        <v>3030</v>
      </c>
      <c r="H278" s="13" t="s">
        <v>2698</v>
      </c>
      <c r="I278" s="13" t="s">
        <v>2309</v>
      </c>
      <c r="J278" s="4">
        <v>11717</v>
      </c>
      <c r="K278" s="4">
        <v>1</v>
      </c>
      <c r="L278" s="4">
        <v>20</v>
      </c>
      <c r="M278" s="4">
        <v>2016</v>
      </c>
      <c r="N278" s="4">
        <v>2</v>
      </c>
      <c r="O278" s="4">
        <v>7</v>
      </c>
      <c r="P278" s="4">
        <v>2</v>
      </c>
      <c r="Q278" s="19">
        <v>599.99</v>
      </c>
      <c r="R278" s="16">
        <v>0.2</v>
      </c>
      <c r="S278" s="16">
        <v>1199.78</v>
      </c>
      <c r="T278" s="5" t="s">
        <v>25</v>
      </c>
      <c r="U278" s="13" t="s">
        <v>301</v>
      </c>
    </row>
    <row r="279" spans="1:21" x14ac:dyDescent="0.35">
      <c r="A279" s="4">
        <v>278</v>
      </c>
      <c r="B279" s="4">
        <v>1301</v>
      </c>
      <c r="C279" s="13" t="s">
        <v>832</v>
      </c>
      <c r="D279" s="13" t="s">
        <v>833</v>
      </c>
      <c r="E279" s="5" t="s">
        <v>5566</v>
      </c>
      <c r="F279" s="5" t="s">
        <v>3031</v>
      </c>
      <c r="G279" s="5" t="s">
        <v>3032</v>
      </c>
      <c r="H279" s="13" t="s">
        <v>2570</v>
      </c>
      <c r="I279" s="13" t="s">
        <v>2305</v>
      </c>
      <c r="J279" s="4">
        <v>90260</v>
      </c>
      <c r="K279" s="4">
        <v>1</v>
      </c>
      <c r="L279" s="4">
        <v>16</v>
      </c>
      <c r="M279" s="4">
        <v>2016</v>
      </c>
      <c r="N279" s="4">
        <v>1</v>
      </c>
      <c r="O279" s="4">
        <v>3</v>
      </c>
      <c r="P279" s="4">
        <v>1</v>
      </c>
      <c r="Q279" s="19">
        <v>599.99</v>
      </c>
      <c r="R279" s="16">
        <v>0.2</v>
      </c>
      <c r="S279" s="16">
        <v>599.79</v>
      </c>
      <c r="T279" s="5" t="s">
        <v>21</v>
      </c>
      <c r="U279" s="13" t="s">
        <v>301</v>
      </c>
    </row>
    <row r="280" spans="1:21" x14ac:dyDescent="0.35">
      <c r="A280" s="4">
        <v>279</v>
      </c>
      <c r="B280" s="4">
        <v>378</v>
      </c>
      <c r="C280" s="13" t="s">
        <v>834</v>
      </c>
      <c r="D280" s="13" t="s">
        <v>2292</v>
      </c>
      <c r="E280" s="5" t="s">
        <v>5566</v>
      </c>
      <c r="F280" s="5" t="s">
        <v>3033</v>
      </c>
      <c r="G280" s="5" t="s">
        <v>3034</v>
      </c>
      <c r="H280" s="13" t="s">
        <v>2368</v>
      </c>
      <c r="I280" s="13" t="s">
        <v>2309</v>
      </c>
      <c r="J280" s="4">
        <v>10550</v>
      </c>
      <c r="K280" s="4">
        <v>1</v>
      </c>
      <c r="L280" s="4">
        <v>25</v>
      </c>
      <c r="M280" s="4">
        <v>2016</v>
      </c>
      <c r="N280" s="4">
        <v>2</v>
      </c>
      <c r="O280" s="4">
        <v>6</v>
      </c>
      <c r="P280" s="4">
        <v>1</v>
      </c>
      <c r="Q280" s="19">
        <v>499.99</v>
      </c>
      <c r="R280" s="16">
        <v>7.0000000000000007E-2</v>
      </c>
      <c r="S280" s="16">
        <v>499.92</v>
      </c>
      <c r="T280" s="5" t="s">
        <v>27</v>
      </c>
      <c r="U280" s="13" t="s">
        <v>300</v>
      </c>
    </row>
    <row r="281" spans="1:21" x14ac:dyDescent="0.35">
      <c r="A281" s="4">
        <v>280</v>
      </c>
      <c r="B281" s="4">
        <v>638</v>
      </c>
      <c r="C281" s="13" t="s">
        <v>835</v>
      </c>
      <c r="D281" s="13" t="s">
        <v>339</v>
      </c>
      <c r="E281" s="5" t="s">
        <v>5566</v>
      </c>
      <c r="F281" s="5" t="s">
        <v>3035</v>
      </c>
      <c r="G281" s="5" t="s">
        <v>3036</v>
      </c>
      <c r="H281" s="13" t="s">
        <v>3037</v>
      </c>
      <c r="I281" s="13" t="s">
        <v>2309</v>
      </c>
      <c r="J281" s="4">
        <v>12601</v>
      </c>
      <c r="K281" s="4">
        <v>1</v>
      </c>
      <c r="L281" s="4">
        <v>25</v>
      </c>
      <c r="M281" s="4">
        <v>2016</v>
      </c>
      <c r="N281" s="4">
        <v>2</v>
      </c>
      <c r="O281" s="4">
        <v>7</v>
      </c>
      <c r="P281" s="4">
        <v>1</v>
      </c>
      <c r="Q281" s="19">
        <v>499.99</v>
      </c>
      <c r="R281" s="16">
        <v>7.0000000000000007E-2</v>
      </c>
      <c r="S281" s="16">
        <v>499.92</v>
      </c>
      <c r="T281" s="5" t="s">
        <v>27</v>
      </c>
      <c r="U281" s="13" t="s">
        <v>300</v>
      </c>
    </row>
    <row r="282" spans="1:21" x14ac:dyDescent="0.35">
      <c r="A282" s="4">
        <v>281</v>
      </c>
      <c r="B282" s="4">
        <v>800</v>
      </c>
      <c r="C282" s="13" t="s">
        <v>836</v>
      </c>
      <c r="D282" s="13" t="s">
        <v>837</v>
      </c>
      <c r="E282" s="5" t="s">
        <v>5566</v>
      </c>
      <c r="F282" s="5" t="s">
        <v>3038</v>
      </c>
      <c r="G282" s="5" t="s">
        <v>3039</v>
      </c>
      <c r="H282" s="13" t="s">
        <v>2583</v>
      </c>
      <c r="I282" s="13" t="s">
        <v>2309</v>
      </c>
      <c r="J282" s="4">
        <v>14534</v>
      </c>
      <c r="K282" s="4">
        <v>1</v>
      </c>
      <c r="L282" s="4">
        <v>22</v>
      </c>
      <c r="M282" s="4">
        <v>2016</v>
      </c>
      <c r="N282" s="4">
        <v>2</v>
      </c>
      <c r="O282" s="4">
        <v>7</v>
      </c>
      <c r="P282" s="4">
        <v>1</v>
      </c>
      <c r="Q282" s="19">
        <v>269.99</v>
      </c>
      <c r="R282" s="16">
        <v>7.0000000000000007E-2</v>
      </c>
      <c r="S282" s="16">
        <v>269.92</v>
      </c>
      <c r="T282" s="5" t="s">
        <v>19</v>
      </c>
      <c r="U282" s="13" t="s">
        <v>299</v>
      </c>
    </row>
    <row r="283" spans="1:21" x14ac:dyDescent="0.35">
      <c r="A283" s="4">
        <v>282</v>
      </c>
      <c r="B283" s="4">
        <v>159</v>
      </c>
      <c r="C283" s="13" t="s">
        <v>838</v>
      </c>
      <c r="D283" s="13" t="s">
        <v>839</v>
      </c>
      <c r="E283" s="5" t="s">
        <v>5566</v>
      </c>
      <c r="F283" s="5" t="s">
        <v>3040</v>
      </c>
      <c r="G283" s="5" t="s">
        <v>3041</v>
      </c>
      <c r="H283" s="13" t="s">
        <v>902</v>
      </c>
      <c r="I283" s="13" t="s">
        <v>2397</v>
      </c>
      <c r="J283" s="4">
        <v>75043</v>
      </c>
      <c r="K283" s="4">
        <v>1</v>
      </c>
      <c r="L283" s="4">
        <v>20</v>
      </c>
      <c r="M283" s="4">
        <v>2016</v>
      </c>
      <c r="N283" s="4">
        <v>3</v>
      </c>
      <c r="O283" s="4">
        <v>9</v>
      </c>
      <c r="P283" s="4">
        <v>1</v>
      </c>
      <c r="Q283" s="19">
        <v>599.99</v>
      </c>
      <c r="R283" s="16">
        <v>7.0000000000000007E-2</v>
      </c>
      <c r="S283" s="16">
        <v>599.91999999999996</v>
      </c>
      <c r="T283" s="5" t="s">
        <v>25</v>
      </c>
      <c r="U283" s="13" t="s">
        <v>301</v>
      </c>
    </row>
    <row r="284" spans="1:21" x14ac:dyDescent="0.35">
      <c r="A284" s="4">
        <v>283</v>
      </c>
      <c r="B284" s="4">
        <v>181</v>
      </c>
      <c r="C284" s="13" t="s">
        <v>840</v>
      </c>
      <c r="D284" s="13" t="s">
        <v>363</v>
      </c>
      <c r="E284" s="5" t="s">
        <v>5566</v>
      </c>
      <c r="F284" s="5" t="s">
        <v>3042</v>
      </c>
      <c r="G284" s="5" t="s">
        <v>3043</v>
      </c>
      <c r="H284" s="13" t="s">
        <v>3044</v>
      </c>
      <c r="I284" s="13" t="s">
        <v>2305</v>
      </c>
      <c r="J284" s="4">
        <v>90278</v>
      </c>
      <c r="K284" s="4">
        <v>1</v>
      </c>
      <c r="L284" s="4">
        <v>9</v>
      </c>
      <c r="M284" s="4">
        <v>2016</v>
      </c>
      <c r="N284" s="4">
        <v>1</v>
      </c>
      <c r="O284" s="4">
        <v>2</v>
      </c>
      <c r="P284" s="4">
        <v>1</v>
      </c>
      <c r="Q284" s="19">
        <v>2999.99</v>
      </c>
      <c r="R284" s="16">
        <v>0.05</v>
      </c>
      <c r="S284" s="16">
        <v>2999.9399999999996</v>
      </c>
      <c r="T284" s="5" t="s">
        <v>14</v>
      </c>
      <c r="U284" s="13" t="s">
        <v>303</v>
      </c>
    </row>
    <row r="285" spans="1:21" x14ac:dyDescent="0.35">
      <c r="A285" s="4">
        <v>284</v>
      </c>
      <c r="B285" s="4">
        <v>1356</v>
      </c>
      <c r="C285" s="13" t="s">
        <v>841</v>
      </c>
      <c r="D285" s="13" t="s">
        <v>842</v>
      </c>
      <c r="E285" s="5" t="s">
        <v>5566</v>
      </c>
      <c r="F285" s="5" t="s">
        <v>3045</v>
      </c>
      <c r="G285" s="5" t="s">
        <v>3046</v>
      </c>
      <c r="H285" s="13" t="s">
        <v>2312</v>
      </c>
      <c r="I285" s="13" t="s">
        <v>2309</v>
      </c>
      <c r="J285" s="4">
        <v>11772</v>
      </c>
      <c r="K285" s="4">
        <v>1</v>
      </c>
      <c r="L285" s="4">
        <v>24</v>
      </c>
      <c r="M285" s="4">
        <v>2016</v>
      </c>
      <c r="N285" s="4">
        <v>2</v>
      </c>
      <c r="O285" s="4">
        <v>7</v>
      </c>
      <c r="P285" s="4">
        <v>2</v>
      </c>
      <c r="Q285" s="19">
        <v>549.99</v>
      </c>
      <c r="R285" s="16">
        <v>0.2</v>
      </c>
      <c r="S285" s="16">
        <v>1099.78</v>
      </c>
      <c r="T285" s="5" t="s">
        <v>17</v>
      </c>
      <c r="U285" s="13" t="s">
        <v>300</v>
      </c>
    </row>
    <row r="286" spans="1:21" x14ac:dyDescent="0.35">
      <c r="A286" s="4">
        <v>285</v>
      </c>
      <c r="B286" s="4">
        <v>319</v>
      </c>
      <c r="C286" s="13" t="s">
        <v>843</v>
      </c>
      <c r="D286" s="13" t="s">
        <v>844</v>
      </c>
      <c r="E286" s="5" t="s">
        <v>5566</v>
      </c>
      <c r="F286" s="5" t="s">
        <v>3047</v>
      </c>
      <c r="G286" s="5" t="s">
        <v>3048</v>
      </c>
      <c r="H286" s="13" t="s">
        <v>2885</v>
      </c>
      <c r="I286" s="13" t="s">
        <v>2305</v>
      </c>
      <c r="J286" s="4">
        <v>92307</v>
      </c>
      <c r="K286" s="4">
        <v>1</v>
      </c>
      <c r="L286" s="4">
        <v>16</v>
      </c>
      <c r="M286" s="4">
        <v>2016</v>
      </c>
      <c r="N286" s="4">
        <v>1</v>
      </c>
      <c r="O286" s="4">
        <v>2</v>
      </c>
      <c r="P286" s="4">
        <v>2</v>
      </c>
      <c r="Q286" s="19">
        <v>599.99</v>
      </c>
      <c r="R286" s="16">
        <v>0.05</v>
      </c>
      <c r="S286" s="16">
        <v>1199.93</v>
      </c>
      <c r="T286" s="5" t="s">
        <v>21</v>
      </c>
      <c r="U286" s="13" t="s">
        <v>301</v>
      </c>
    </row>
    <row r="287" spans="1:21" x14ac:dyDescent="0.35">
      <c r="A287" s="4">
        <v>286</v>
      </c>
      <c r="B287" s="4">
        <v>59</v>
      </c>
      <c r="C287" s="13" t="s">
        <v>522</v>
      </c>
      <c r="D287" s="13" t="s">
        <v>845</v>
      </c>
      <c r="E287" s="5" t="s">
        <v>5566</v>
      </c>
      <c r="F287" s="5" t="s">
        <v>3049</v>
      </c>
      <c r="G287" s="5" t="s">
        <v>3050</v>
      </c>
      <c r="H287" s="13" t="s">
        <v>2580</v>
      </c>
      <c r="I287" s="13" t="s">
        <v>2309</v>
      </c>
      <c r="J287" s="4">
        <v>11570</v>
      </c>
      <c r="K287" s="4">
        <v>1</v>
      </c>
      <c r="L287" s="4">
        <v>26</v>
      </c>
      <c r="M287" s="4">
        <v>2016</v>
      </c>
      <c r="N287" s="4">
        <v>2</v>
      </c>
      <c r="O287" s="4">
        <v>6</v>
      </c>
      <c r="P287" s="4">
        <v>2</v>
      </c>
      <c r="Q287" s="19">
        <v>599.99</v>
      </c>
      <c r="R287" s="16">
        <v>0.2</v>
      </c>
      <c r="S287" s="16">
        <v>1199.78</v>
      </c>
      <c r="T287" s="5" t="s">
        <v>21</v>
      </c>
      <c r="U287" s="13" t="s">
        <v>300</v>
      </c>
    </row>
    <row r="288" spans="1:21" x14ac:dyDescent="0.35">
      <c r="A288" s="4">
        <v>287</v>
      </c>
      <c r="B288" s="4">
        <v>133</v>
      </c>
      <c r="C288" s="13" t="s">
        <v>846</v>
      </c>
      <c r="D288" s="13" t="s">
        <v>463</v>
      </c>
      <c r="E288" s="5" t="s">
        <v>5566</v>
      </c>
      <c r="F288" s="5" t="s">
        <v>3051</v>
      </c>
      <c r="G288" s="5" t="s">
        <v>3052</v>
      </c>
      <c r="H288" s="13" t="s">
        <v>2888</v>
      </c>
      <c r="I288" s="13" t="s">
        <v>2309</v>
      </c>
      <c r="J288" s="4">
        <v>11727</v>
      </c>
      <c r="K288" s="4">
        <v>1</v>
      </c>
      <c r="L288" s="4">
        <v>5</v>
      </c>
      <c r="M288" s="4">
        <v>2016</v>
      </c>
      <c r="N288" s="4">
        <v>2</v>
      </c>
      <c r="O288" s="4">
        <v>6</v>
      </c>
      <c r="P288" s="4">
        <v>1</v>
      </c>
      <c r="Q288" s="19">
        <v>1320.99</v>
      </c>
      <c r="R288" s="16">
        <v>0.2</v>
      </c>
      <c r="S288" s="16">
        <v>1320.79</v>
      </c>
      <c r="T288" s="5" t="s">
        <v>10</v>
      </c>
      <c r="U288" s="13" t="s">
        <v>304</v>
      </c>
    </row>
    <row r="289" spans="1:21" x14ac:dyDescent="0.35">
      <c r="A289" s="4">
        <v>288</v>
      </c>
      <c r="B289" s="4">
        <v>780</v>
      </c>
      <c r="C289" s="13" t="s">
        <v>847</v>
      </c>
      <c r="D289" s="13" t="s">
        <v>392</v>
      </c>
      <c r="E289" s="5" t="s">
        <v>5566</v>
      </c>
      <c r="F289" s="5" t="s">
        <v>3053</v>
      </c>
      <c r="G289" s="5" t="s">
        <v>3054</v>
      </c>
      <c r="H289" s="13" t="s">
        <v>2393</v>
      </c>
      <c r="I289" s="13" t="s">
        <v>2309</v>
      </c>
      <c r="J289" s="4">
        <v>11566</v>
      </c>
      <c r="K289" s="4">
        <v>1</v>
      </c>
      <c r="L289" s="4">
        <v>4</v>
      </c>
      <c r="M289" s="4">
        <v>2016</v>
      </c>
      <c r="N289" s="4">
        <v>2</v>
      </c>
      <c r="O289" s="4">
        <v>6</v>
      </c>
      <c r="P289" s="4">
        <v>1</v>
      </c>
      <c r="Q289" s="19">
        <v>2899.99</v>
      </c>
      <c r="R289" s="16">
        <v>0.2</v>
      </c>
      <c r="S289" s="16">
        <v>2899.79</v>
      </c>
      <c r="T289" s="5" t="s">
        <v>9</v>
      </c>
      <c r="U289" s="13" t="s">
        <v>304</v>
      </c>
    </row>
    <row r="290" spans="1:21" x14ac:dyDescent="0.35">
      <c r="A290" s="4">
        <v>289</v>
      </c>
      <c r="B290" s="4">
        <v>849</v>
      </c>
      <c r="C290" s="13" t="s">
        <v>848</v>
      </c>
      <c r="D290" s="13" t="s">
        <v>849</v>
      </c>
      <c r="E290" s="5" t="s">
        <v>5566</v>
      </c>
      <c r="F290" s="5" t="s">
        <v>3055</v>
      </c>
      <c r="G290" s="5" t="s">
        <v>3056</v>
      </c>
      <c r="H290" s="13" t="s">
        <v>3057</v>
      </c>
      <c r="I290" s="13" t="s">
        <v>2309</v>
      </c>
      <c r="J290" s="4">
        <v>11791</v>
      </c>
      <c r="K290" s="4">
        <v>1</v>
      </c>
      <c r="L290" s="4">
        <v>13</v>
      </c>
      <c r="M290" s="4">
        <v>2016</v>
      </c>
      <c r="N290" s="4">
        <v>2</v>
      </c>
      <c r="O290" s="4">
        <v>6</v>
      </c>
      <c r="P290" s="4">
        <v>1</v>
      </c>
      <c r="Q290" s="19">
        <v>269.99</v>
      </c>
      <c r="R290" s="16">
        <v>7.0000000000000007E-2</v>
      </c>
      <c r="S290" s="16">
        <v>269.92</v>
      </c>
      <c r="T290" s="5" t="s">
        <v>18</v>
      </c>
      <c r="U290" s="13" t="s">
        <v>301</v>
      </c>
    </row>
    <row r="291" spans="1:21" x14ac:dyDescent="0.35">
      <c r="A291" s="4">
        <v>290</v>
      </c>
      <c r="B291" s="4">
        <v>202</v>
      </c>
      <c r="C291" s="13" t="s">
        <v>850</v>
      </c>
      <c r="D291" s="13" t="s">
        <v>576</v>
      </c>
      <c r="E291" s="5" t="s">
        <v>3058</v>
      </c>
      <c r="F291" s="5" t="s">
        <v>3059</v>
      </c>
      <c r="G291" s="5" t="s">
        <v>3060</v>
      </c>
      <c r="H291" s="13" t="s">
        <v>2597</v>
      </c>
      <c r="I291" s="13" t="s">
        <v>2309</v>
      </c>
      <c r="J291" s="4">
        <v>14086</v>
      </c>
      <c r="K291" s="4">
        <v>1</v>
      </c>
      <c r="L291" s="4">
        <v>2</v>
      </c>
      <c r="M291" s="4">
        <v>2016</v>
      </c>
      <c r="N291" s="4">
        <v>2</v>
      </c>
      <c r="O291" s="4">
        <v>6</v>
      </c>
      <c r="P291" s="4">
        <v>2</v>
      </c>
      <c r="Q291" s="19">
        <v>749.99</v>
      </c>
      <c r="R291" s="16">
        <v>7.0000000000000007E-2</v>
      </c>
      <c r="S291" s="16">
        <v>1499.91</v>
      </c>
      <c r="T291" s="5" t="s">
        <v>7</v>
      </c>
      <c r="U291" s="13" t="s">
        <v>304</v>
      </c>
    </row>
    <row r="292" spans="1:21" x14ac:dyDescent="0.35">
      <c r="A292" s="4">
        <v>291</v>
      </c>
      <c r="B292" s="4">
        <v>158</v>
      </c>
      <c r="C292" s="13" t="s">
        <v>342</v>
      </c>
      <c r="D292" s="13" t="s">
        <v>851</v>
      </c>
      <c r="E292" s="5" t="s">
        <v>5566</v>
      </c>
      <c r="F292" s="5" t="s">
        <v>3061</v>
      </c>
      <c r="G292" s="5" t="s">
        <v>3062</v>
      </c>
      <c r="H292" s="13" t="s">
        <v>3063</v>
      </c>
      <c r="I292" s="13" t="s">
        <v>2309</v>
      </c>
      <c r="J292" s="4">
        <v>10977</v>
      </c>
      <c r="K292" s="4">
        <v>1</v>
      </c>
      <c r="L292" s="4">
        <v>6</v>
      </c>
      <c r="M292" s="4">
        <v>2016</v>
      </c>
      <c r="N292" s="4">
        <v>2</v>
      </c>
      <c r="O292" s="4">
        <v>6</v>
      </c>
      <c r="P292" s="4">
        <v>2</v>
      </c>
      <c r="Q292" s="19">
        <v>469.99</v>
      </c>
      <c r="R292" s="16">
        <v>0.05</v>
      </c>
      <c r="S292" s="16">
        <v>939.93000000000006</v>
      </c>
      <c r="T292" s="5" t="s">
        <v>11</v>
      </c>
      <c r="U292" s="13" t="s">
        <v>304</v>
      </c>
    </row>
    <row r="293" spans="1:21" x14ac:dyDescent="0.35">
      <c r="A293" s="4">
        <v>292</v>
      </c>
      <c r="B293" s="4">
        <v>360</v>
      </c>
      <c r="C293" s="13" t="s">
        <v>852</v>
      </c>
      <c r="D293" s="13" t="s">
        <v>853</v>
      </c>
      <c r="E293" s="5" t="s">
        <v>3064</v>
      </c>
      <c r="F293" s="5" t="s">
        <v>3065</v>
      </c>
      <c r="G293" s="5" t="s">
        <v>3066</v>
      </c>
      <c r="H293" s="13" t="s">
        <v>1262</v>
      </c>
      <c r="I293" s="13" t="s">
        <v>2397</v>
      </c>
      <c r="J293" s="4">
        <v>77016</v>
      </c>
      <c r="K293" s="4">
        <v>1</v>
      </c>
      <c r="L293" s="4">
        <v>18</v>
      </c>
      <c r="M293" s="4">
        <v>2016</v>
      </c>
      <c r="N293" s="4">
        <v>3</v>
      </c>
      <c r="O293" s="4">
        <v>9</v>
      </c>
      <c r="P293" s="4">
        <v>2</v>
      </c>
      <c r="Q293" s="19">
        <v>449</v>
      </c>
      <c r="R293" s="16">
        <v>0.1</v>
      </c>
      <c r="S293" s="16">
        <v>897.9</v>
      </c>
      <c r="T293" s="5" t="s">
        <v>23</v>
      </c>
      <c r="U293" s="13" t="s">
        <v>301</v>
      </c>
    </row>
    <row r="294" spans="1:21" x14ac:dyDescent="0.35">
      <c r="A294" s="4">
        <v>293</v>
      </c>
      <c r="B294" s="4">
        <v>573</v>
      </c>
      <c r="C294" s="13" t="s">
        <v>854</v>
      </c>
      <c r="D294" s="13" t="s">
        <v>341</v>
      </c>
      <c r="E294" s="5" t="s">
        <v>3067</v>
      </c>
      <c r="F294" s="5" t="s">
        <v>3068</v>
      </c>
      <c r="G294" s="5" t="s">
        <v>3069</v>
      </c>
      <c r="H294" s="13" t="s">
        <v>3027</v>
      </c>
      <c r="I294" s="13" t="s">
        <v>2309</v>
      </c>
      <c r="J294" s="4">
        <v>12180</v>
      </c>
      <c r="K294" s="4">
        <v>1</v>
      </c>
      <c r="L294" s="4">
        <v>19</v>
      </c>
      <c r="M294" s="4">
        <v>2016</v>
      </c>
      <c r="N294" s="4">
        <v>2</v>
      </c>
      <c r="O294" s="4">
        <v>7</v>
      </c>
      <c r="P294" s="4">
        <v>2</v>
      </c>
      <c r="Q294" s="19">
        <v>449</v>
      </c>
      <c r="R294" s="16">
        <v>0.05</v>
      </c>
      <c r="S294" s="16">
        <v>897.95</v>
      </c>
      <c r="T294" s="5" t="s">
        <v>24</v>
      </c>
      <c r="U294" s="13" t="s">
        <v>301</v>
      </c>
    </row>
    <row r="295" spans="1:21" x14ac:dyDescent="0.35">
      <c r="A295" s="4">
        <v>294</v>
      </c>
      <c r="B295" s="4">
        <v>732</v>
      </c>
      <c r="C295" s="13" t="s">
        <v>855</v>
      </c>
      <c r="D295" s="13" t="s">
        <v>856</v>
      </c>
      <c r="E295" s="5" t="s">
        <v>5566</v>
      </c>
      <c r="F295" s="5" t="s">
        <v>3070</v>
      </c>
      <c r="G295" s="5" t="s">
        <v>3071</v>
      </c>
      <c r="H295" s="13" t="s">
        <v>2318</v>
      </c>
      <c r="I295" s="13" t="s">
        <v>2309</v>
      </c>
      <c r="J295" s="4">
        <v>13501</v>
      </c>
      <c r="K295" s="4">
        <v>1</v>
      </c>
      <c r="L295" s="4">
        <v>18</v>
      </c>
      <c r="M295" s="4">
        <v>2016</v>
      </c>
      <c r="N295" s="4">
        <v>2</v>
      </c>
      <c r="O295" s="4">
        <v>7</v>
      </c>
      <c r="P295" s="4">
        <v>1</v>
      </c>
      <c r="Q295" s="19">
        <v>449</v>
      </c>
      <c r="R295" s="16">
        <v>0.2</v>
      </c>
      <c r="S295" s="16">
        <v>448.8</v>
      </c>
      <c r="T295" s="5" t="s">
        <v>23</v>
      </c>
      <c r="U295" s="13" t="s">
        <v>301</v>
      </c>
    </row>
    <row r="296" spans="1:21" x14ac:dyDescent="0.35">
      <c r="A296" s="4">
        <v>295</v>
      </c>
      <c r="B296" s="4">
        <v>1130</v>
      </c>
      <c r="C296" s="13" t="s">
        <v>857</v>
      </c>
      <c r="D296" s="13" t="s">
        <v>652</v>
      </c>
      <c r="E296" s="5" t="s">
        <v>5566</v>
      </c>
      <c r="F296" s="5" t="s">
        <v>3072</v>
      </c>
      <c r="G296" s="5" t="s">
        <v>3073</v>
      </c>
      <c r="H296" s="13" t="s">
        <v>3074</v>
      </c>
      <c r="I296" s="13" t="s">
        <v>2309</v>
      </c>
      <c r="J296" s="4">
        <v>11003</v>
      </c>
      <c r="K296" s="4">
        <v>1</v>
      </c>
      <c r="L296" s="4">
        <v>22</v>
      </c>
      <c r="M296" s="4">
        <v>2016</v>
      </c>
      <c r="N296" s="4">
        <v>2</v>
      </c>
      <c r="O296" s="4">
        <v>7</v>
      </c>
      <c r="P296" s="4">
        <v>2</v>
      </c>
      <c r="Q296" s="19">
        <v>269.99</v>
      </c>
      <c r="R296" s="16">
        <v>7.0000000000000007E-2</v>
      </c>
      <c r="S296" s="16">
        <v>539.91</v>
      </c>
      <c r="T296" s="5" t="s">
        <v>19</v>
      </c>
      <c r="U296" s="13" t="s">
        <v>299</v>
      </c>
    </row>
    <row r="297" spans="1:21" x14ac:dyDescent="0.35">
      <c r="A297" s="4">
        <v>296</v>
      </c>
      <c r="B297" s="4">
        <v>1245</v>
      </c>
      <c r="C297" s="13" t="s">
        <v>858</v>
      </c>
      <c r="D297" s="13" t="s">
        <v>859</v>
      </c>
      <c r="E297" s="5" t="s">
        <v>3075</v>
      </c>
      <c r="F297" s="5" t="s">
        <v>3076</v>
      </c>
      <c r="G297" s="5" t="s">
        <v>3077</v>
      </c>
      <c r="H297" s="13" t="s">
        <v>2419</v>
      </c>
      <c r="I297" s="13" t="s">
        <v>2309</v>
      </c>
      <c r="J297" s="4">
        <v>11561</v>
      </c>
      <c r="K297" s="4">
        <v>1</v>
      </c>
      <c r="L297" s="4">
        <v>25</v>
      </c>
      <c r="M297" s="4">
        <v>2016</v>
      </c>
      <c r="N297" s="4">
        <v>2</v>
      </c>
      <c r="O297" s="4">
        <v>6</v>
      </c>
      <c r="P297" s="4">
        <v>2</v>
      </c>
      <c r="Q297" s="19">
        <v>499.99</v>
      </c>
      <c r="R297" s="16">
        <v>7.0000000000000007E-2</v>
      </c>
      <c r="S297" s="16">
        <v>999.91</v>
      </c>
      <c r="T297" s="5" t="s">
        <v>27</v>
      </c>
      <c r="U297" s="13" t="s">
        <v>300</v>
      </c>
    </row>
    <row r="298" spans="1:21" x14ac:dyDescent="0.35">
      <c r="A298" s="4">
        <v>297</v>
      </c>
      <c r="B298" s="4">
        <v>1425</v>
      </c>
      <c r="C298" s="13" t="s">
        <v>860</v>
      </c>
      <c r="D298" s="13" t="s">
        <v>861</v>
      </c>
      <c r="E298" s="5" t="s">
        <v>5566</v>
      </c>
      <c r="F298" s="5" t="s">
        <v>3078</v>
      </c>
      <c r="G298" s="5" t="s">
        <v>3079</v>
      </c>
      <c r="H298" s="13" t="s">
        <v>2449</v>
      </c>
      <c r="I298" s="13" t="s">
        <v>2309</v>
      </c>
      <c r="J298" s="4">
        <v>11967</v>
      </c>
      <c r="K298" s="4">
        <v>1</v>
      </c>
      <c r="L298" s="4">
        <v>4</v>
      </c>
      <c r="M298" s="4">
        <v>2016</v>
      </c>
      <c r="N298" s="4">
        <v>2</v>
      </c>
      <c r="O298" s="4">
        <v>7</v>
      </c>
      <c r="P298" s="4">
        <v>2</v>
      </c>
      <c r="Q298" s="19">
        <v>2899.99</v>
      </c>
      <c r="R298" s="16">
        <v>0.2</v>
      </c>
      <c r="S298" s="16">
        <v>5799.78</v>
      </c>
      <c r="T298" s="5" t="s">
        <v>9</v>
      </c>
      <c r="U298" s="13" t="s">
        <v>304</v>
      </c>
    </row>
    <row r="299" spans="1:21" x14ac:dyDescent="0.35">
      <c r="A299" s="4">
        <v>298</v>
      </c>
      <c r="B299" s="4">
        <v>885</v>
      </c>
      <c r="C299" s="13" t="s">
        <v>862</v>
      </c>
      <c r="D299" s="13" t="s">
        <v>863</v>
      </c>
      <c r="E299" s="5" t="s">
        <v>5566</v>
      </c>
      <c r="F299" s="5" t="s">
        <v>3080</v>
      </c>
      <c r="G299" s="5" t="s">
        <v>3081</v>
      </c>
      <c r="H299" s="13" t="s">
        <v>2593</v>
      </c>
      <c r="I299" s="13" t="s">
        <v>2397</v>
      </c>
      <c r="J299" s="4">
        <v>75604</v>
      </c>
      <c r="K299" s="4">
        <v>1</v>
      </c>
      <c r="L299" s="4">
        <v>23</v>
      </c>
      <c r="M299" s="4">
        <v>2016</v>
      </c>
      <c r="N299" s="4">
        <v>3</v>
      </c>
      <c r="O299" s="4">
        <v>9</v>
      </c>
      <c r="P299" s="4">
        <v>1</v>
      </c>
      <c r="Q299" s="19">
        <v>299.99</v>
      </c>
      <c r="R299" s="16">
        <v>0.2</v>
      </c>
      <c r="S299" s="16">
        <v>299.79000000000002</v>
      </c>
      <c r="T299" s="5" t="s">
        <v>26</v>
      </c>
      <c r="U299" s="13" t="s">
        <v>299</v>
      </c>
    </row>
    <row r="300" spans="1:21" x14ac:dyDescent="0.35">
      <c r="A300" s="4">
        <v>299</v>
      </c>
      <c r="B300" s="4">
        <v>281</v>
      </c>
      <c r="C300" s="13" t="s">
        <v>864</v>
      </c>
      <c r="D300" s="13" t="s">
        <v>865</v>
      </c>
      <c r="E300" s="5" t="s">
        <v>5566</v>
      </c>
      <c r="F300" s="5" t="s">
        <v>3082</v>
      </c>
      <c r="G300" s="5" t="s">
        <v>3083</v>
      </c>
      <c r="H300" s="13" t="s">
        <v>3084</v>
      </c>
      <c r="I300" s="13" t="s">
        <v>2309</v>
      </c>
      <c r="J300" s="4">
        <v>11417</v>
      </c>
      <c r="K300" s="4">
        <v>1</v>
      </c>
      <c r="L300" s="4">
        <v>11</v>
      </c>
      <c r="M300" s="4">
        <v>2016</v>
      </c>
      <c r="N300" s="4">
        <v>2</v>
      </c>
      <c r="O300" s="4">
        <v>6</v>
      </c>
      <c r="P300" s="4">
        <v>2</v>
      </c>
      <c r="Q300" s="19">
        <v>1680.99</v>
      </c>
      <c r="R300" s="16">
        <v>0.05</v>
      </c>
      <c r="S300" s="16">
        <v>3361.93</v>
      </c>
      <c r="T300" s="5" t="s">
        <v>16</v>
      </c>
      <c r="U300" s="13" t="s">
        <v>302</v>
      </c>
    </row>
    <row r="301" spans="1:21" x14ac:dyDescent="0.35">
      <c r="A301" s="4">
        <v>300</v>
      </c>
      <c r="B301" s="4">
        <v>1205</v>
      </c>
      <c r="C301" s="13" t="s">
        <v>866</v>
      </c>
      <c r="D301" s="13" t="s">
        <v>867</v>
      </c>
      <c r="E301" s="5" t="s">
        <v>5566</v>
      </c>
      <c r="F301" s="5" t="s">
        <v>3085</v>
      </c>
      <c r="G301" s="5" t="s">
        <v>3086</v>
      </c>
      <c r="H301" s="13" t="s">
        <v>2368</v>
      </c>
      <c r="I301" s="13" t="s">
        <v>2309</v>
      </c>
      <c r="J301" s="4">
        <v>10550</v>
      </c>
      <c r="K301" s="4">
        <v>1</v>
      </c>
      <c r="L301" s="4">
        <v>16</v>
      </c>
      <c r="M301" s="4">
        <v>2016</v>
      </c>
      <c r="N301" s="4">
        <v>2</v>
      </c>
      <c r="O301" s="4">
        <v>6</v>
      </c>
      <c r="P301" s="4">
        <v>2</v>
      </c>
      <c r="Q301" s="19">
        <v>599.99</v>
      </c>
      <c r="R301" s="16">
        <v>0.1</v>
      </c>
      <c r="S301" s="16">
        <v>1199.8800000000001</v>
      </c>
      <c r="T301" s="5" t="s">
        <v>21</v>
      </c>
      <c r="U301" s="13" t="s">
        <v>301</v>
      </c>
    </row>
    <row r="302" spans="1:21" x14ac:dyDescent="0.35">
      <c r="A302" s="4">
        <v>301</v>
      </c>
      <c r="B302" s="4">
        <v>17</v>
      </c>
      <c r="C302" s="13" t="s">
        <v>780</v>
      </c>
      <c r="D302" s="13" t="s">
        <v>781</v>
      </c>
      <c r="E302" s="5" t="s">
        <v>5566</v>
      </c>
      <c r="F302" s="5" t="s">
        <v>2953</v>
      </c>
      <c r="G302" s="5" t="s">
        <v>2954</v>
      </c>
      <c r="H302" s="13" t="s">
        <v>2785</v>
      </c>
      <c r="I302" s="13" t="s">
        <v>2309</v>
      </c>
      <c r="J302" s="4">
        <v>10583</v>
      </c>
      <c r="K302" s="4">
        <v>1</v>
      </c>
      <c r="L302" s="4">
        <v>6</v>
      </c>
      <c r="M302" s="4">
        <v>2016</v>
      </c>
      <c r="N302" s="4">
        <v>2</v>
      </c>
      <c r="O302" s="4">
        <v>6</v>
      </c>
      <c r="P302" s="4">
        <v>1</v>
      </c>
      <c r="Q302" s="19">
        <v>469.99</v>
      </c>
      <c r="R302" s="16">
        <v>0.05</v>
      </c>
      <c r="S302" s="16">
        <v>469.94</v>
      </c>
      <c r="T302" s="5" t="s">
        <v>11</v>
      </c>
      <c r="U302" s="13" t="s">
        <v>304</v>
      </c>
    </row>
    <row r="303" spans="1:21" x14ac:dyDescent="0.35">
      <c r="A303" s="4">
        <v>302</v>
      </c>
      <c r="B303" s="4">
        <v>1375</v>
      </c>
      <c r="C303" s="13" t="s">
        <v>868</v>
      </c>
      <c r="D303" s="13" t="s">
        <v>869</v>
      </c>
      <c r="E303" s="5" t="s">
        <v>5566</v>
      </c>
      <c r="F303" s="5" t="s">
        <v>3087</v>
      </c>
      <c r="G303" s="5" t="s">
        <v>3088</v>
      </c>
      <c r="H303" s="13" t="s">
        <v>2752</v>
      </c>
      <c r="I303" s="13" t="s">
        <v>2309</v>
      </c>
      <c r="J303" s="4">
        <v>11432</v>
      </c>
      <c r="K303" s="4">
        <v>1</v>
      </c>
      <c r="L303" s="4">
        <v>24</v>
      </c>
      <c r="M303" s="4">
        <v>2016</v>
      </c>
      <c r="N303" s="4">
        <v>2</v>
      </c>
      <c r="O303" s="4">
        <v>6</v>
      </c>
      <c r="P303" s="4">
        <v>2</v>
      </c>
      <c r="Q303" s="19">
        <v>549.99</v>
      </c>
      <c r="R303" s="16">
        <v>0.2</v>
      </c>
      <c r="S303" s="16">
        <v>1099.78</v>
      </c>
      <c r="T303" s="5" t="s">
        <v>17</v>
      </c>
      <c r="U303" s="13" t="s">
        <v>300</v>
      </c>
    </row>
    <row r="304" spans="1:21" x14ac:dyDescent="0.35">
      <c r="A304" s="4">
        <v>303</v>
      </c>
      <c r="B304" s="4">
        <v>36</v>
      </c>
      <c r="C304" s="13" t="s">
        <v>870</v>
      </c>
      <c r="D304" s="13" t="s">
        <v>871</v>
      </c>
      <c r="E304" s="5" t="s">
        <v>5566</v>
      </c>
      <c r="F304" s="5" t="s">
        <v>3089</v>
      </c>
      <c r="G304" s="5" t="s">
        <v>3090</v>
      </c>
      <c r="H304" s="13" t="s">
        <v>2433</v>
      </c>
      <c r="I304" s="13" t="s">
        <v>2309</v>
      </c>
      <c r="J304" s="4">
        <v>13090</v>
      </c>
      <c r="K304" s="4">
        <v>1</v>
      </c>
      <c r="L304" s="4">
        <v>8</v>
      </c>
      <c r="M304" s="4">
        <v>2016</v>
      </c>
      <c r="N304" s="4">
        <v>2</v>
      </c>
      <c r="O304" s="4">
        <v>7</v>
      </c>
      <c r="P304" s="4">
        <v>2</v>
      </c>
      <c r="Q304" s="19">
        <v>1799.99</v>
      </c>
      <c r="R304" s="16">
        <v>0.05</v>
      </c>
      <c r="S304" s="16">
        <v>3599.93</v>
      </c>
      <c r="T304" s="5" t="s">
        <v>13</v>
      </c>
      <c r="U304" s="13" t="s">
        <v>304</v>
      </c>
    </row>
    <row r="305" spans="1:21" x14ac:dyDescent="0.35">
      <c r="A305" s="4">
        <v>304</v>
      </c>
      <c r="B305" s="4">
        <v>230</v>
      </c>
      <c r="C305" s="13" t="s">
        <v>565</v>
      </c>
      <c r="D305" s="13" t="s">
        <v>872</v>
      </c>
      <c r="E305" s="5" t="s">
        <v>5566</v>
      </c>
      <c r="F305" s="5" t="s">
        <v>3091</v>
      </c>
      <c r="G305" s="5" t="s">
        <v>3092</v>
      </c>
      <c r="H305" s="13" t="s">
        <v>3093</v>
      </c>
      <c r="I305" s="13" t="s">
        <v>2309</v>
      </c>
      <c r="J305" s="4">
        <v>11729</v>
      </c>
      <c r="K305" s="4">
        <v>1</v>
      </c>
      <c r="L305" s="4">
        <v>10</v>
      </c>
      <c r="M305" s="4">
        <v>2016</v>
      </c>
      <c r="N305" s="4">
        <v>2</v>
      </c>
      <c r="O305" s="4">
        <v>6</v>
      </c>
      <c r="P305" s="4">
        <v>1</v>
      </c>
      <c r="Q305" s="19">
        <v>1549</v>
      </c>
      <c r="R305" s="16">
        <v>0.05</v>
      </c>
      <c r="S305" s="16">
        <v>1548.95</v>
      </c>
      <c r="T305" s="5" t="s">
        <v>15</v>
      </c>
      <c r="U305" s="13" t="s">
        <v>302</v>
      </c>
    </row>
    <row r="306" spans="1:21" x14ac:dyDescent="0.35">
      <c r="A306" s="4">
        <v>305</v>
      </c>
      <c r="B306" s="4">
        <v>705</v>
      </c>
      <c r="C306" s="13" t="s">
        <v>873</v>
      </c>
      <c r="D306" s="13" t="s">
        <v>874</v>
      </c>
      <c r="E306" s="5" t="s">
        <v>5566</v>
      </c>
      <c r="F306" s="5" t="s">
        <v>3094</v>
      </c>
      <c r="G306" s="5" t="s">
        <v>3095</v>
      </c>
      <c r="H306" s="13" t="s">
        <v>2964</v>
      </c>
      <c r="I306" s="13" t="s">
        <v>2309</v>
      </c>
      <c r="J306" s="4">
        <v>11743</v>
      </c>
      <c r="K306" s="4">
        <v>1</v>
      </c>
      <c r="L306" s="4">
        <v>10</v>
      </c>
      <c r="M306" s="4">
        <v>2016</v>
      </c>
      <c r="N306" s="4">
        <v>2</v>
      </c>
      <c r="O306" s="4">
        <v>7</v>
      </c>
      <c r="P306" s="4">
        <v>1</v>
      </c>
      <c r="Q306" s="19">
        <v>1549</v>
      </c>
      <c r="R306" s="16">
        <v>7.0000000000000007E-2</v>
      </c>
      <c r="S306" s="16">
        <v>1548.93</v>
      </c>
      <c r="T306" s="5" t="s">
        <v>15</v>
      </c>
      <c r="U306" s="13" t="s">
        <v>302</v>
      </c>
    </row>
    <row r="307" spans="1:21" x14ac:dyDescent="0.35">
      <c r="A307" s="4">
        <v>306</v>
      </c>
      <c r="B307" s="4">
        <v>424</v>
      </c>
      <c r="C307" s="13" t="s">
        <v>875</v>
      </c>
      <c r="D307" s="13" t="s">
        <v>876</v>
      </c>
      <c r="E307" s="5" t="s">
        <v>5566</v>
      </c>
      <c r="F307" s="5" t="s">
        <v>3096</v>
      </c>
      <c r="G307" s="5" t="s">
        <v>3097</v>
      </c>
      <c r="H307" s="13" t="s">
        <v>2318</v>
      </c>
      <c r="I307" s="13" t="s">
        <v>2309</v>
      </c>
      <c r="J307" s="4">
        <v>13501</v>
      </c>
      <c r="K307" s="4">
        <v>1</v>
      </c>
      <c r="L307" s="4">
        <v>10</v>
      </c>
      <c r="M307" s="4">
        <v>2016</v>
      </c>
      <c r="N307" s="4">
        <v>2</v>
      </c>
      <c r="O307" s="4">
        <v>7</v>
      </c>
      <c r="P307" s="4">
        <v>1</v>
      </c>
      <c r="Q307" s="19">
        <v>1549</v>
      </c>
      <c r="R307" s="16">
        <v>0.2</v>
      </c>
      <c r="S307" s="16">
        <v>1548.8</v>
      </c>
      <c r="T307" s="5" t="s">
        <v>15</v>
      </c>
      <c r="U307" s="13" t="s">
        <v>302</v>
      </c>
    </row>
    <row r="308" spans="1:21" x14ac:dyDescent="0.35">
      <c r="A308" s="4">
        <v>307</v>
      </c>
      <c r="B308" s="4">
        <v>695</v>
      </c>
      <c r="C308" s="13" t="s">
        <v>821</v>
      </c>
      <c r="D308" s="13" t="s">
        <v>877</v>
      </c>
      <c r="E308" s="5" t="s">
        <v>5566</v>
      </c>
      <c r="F308" s="5" t="s">
        <v>3098</v>
      </c>
      <c r="G308" s="5" t="s">
        <v>3099</v>
      </c>
      <c r="H308" s="13" t="s">
        <v>2449</v>
      </c>
      <c r="I308" s="13" t="s">
        <v>2309</v>
      </c>
      <c r="J308" s="4">
        <v>11967</v>
      </c>
      <c r="K308" s="4">
        <v>1</v>
      </c>
      <c r="L308" s="4">
        <v>15</v>
      </c>
      <c r="M308" s="4">
        <v>2016</v>
      </c>
      <c r="N308" s="4">
        <v>2</v>
      </c>
      <c r="O308" s="4">
        <v>6</v>
      </c>
      <c r="P308" s="4">
        <v>2</v>
      </c>
      <c r="Q308" s="19">
        <v>529.99</v>
      </c>
      <c r="R308" s="16">
        <v>0.05</v>
      </c>
      <c r="S308" s="16">
        <v>1059.93</v>
      </c>
      <c r="T308" s="5" t="s">
        <v>20</v>
      </c>
      <c r="U308" s="13" t="s">
        <v>301</v>
      </c>
    </row>
    <row r="309" spans="1:21" x14ac:dyDescent="0.35">
      <c r="A309" s="4">
        <v>308</v>
      </c>
      <c r="B309" s="4">
        <v>156</v>
      </c>
      <c r="C309" s="13" t="s">
        <v>878</v>
      </c>
      <c r="D309" s="13" t="s">
        <v>736</v>
      </c>
      <c r="E309" s="5" t="s">
        <v>5566</v>
      </c>
      <c r="F309" s="5" t="s">
        <v>3100</v>
      </c>
      <c r="G309" s="5" t="s">
        <v>3101</v>
      </c>
      <c r="H309" s="13" t="s">
        <v>2412</v>
      </c>
      <c r="I309" s="13" t="s">
        <v>2309</v>
      </c>
      <c r="J309" s="4">
        <v>11795</v>
      </c>
      <c r="K309" s="4">
        <v>1</v>
      </c>
      <c r="L309" s="4">
        <v>7</v>
      </c>
      <c r="M309" s="4">
        <v>2016</v>
      </c>
      <c r="N309" s="4">
        <v>2</v>
      </c>
      <c r="O309" s="4">
        <v>6</v>
      </c>
      <c r="P309" s="4">
        <v>1</v>
      </c>
      <c r="Q309" s="19">
        <v>3999.99</v>
      </c>
      <c r="R309" s="16">
        <v>0.1</v>
      </c>
      <c r="S309" s="16">
        <v>3999.89</v>
      </c>
      <c r="T309" s="5" t="s">
        <v>12</v>
      </c>
      <c r="U309" s="13" t="s">
        <v>304</v>
      </c>
    </row>
    <row r="310" spans="1:21" x14ac:dyDescent="0.35">
      <c r="A310" s="4">
        <v>309</v>
      </c>
      <c r="B310" s="4">
        <v>211</v>
      </c>
      <c r="C310" s="13" t="s">
        <v>879</v>
      </c>
      <c r="D310" s="13" t="s">
        <v>880</v>
      </c>
      <c r="E310" s="5" t="s">
        <v>5566</v>
      </c>
      <c r="F310" s="5" t="s">
        <v>3102</v>
      </c>
      <c r="G310" s="5" t="s">
        <v>3103</v>
      </c>
      <c r="H310" s="13" t="s">
        <v>2785</v>
      </c>
      <c r="I310" s="13" t="s">
        <v>2309</v>
      </c>
      <c r="J310" s="4">
        <v>10583</v>
      </c>
      <c r="K310" s="4">
        <v>1</v>
      </c>
      <c r="L310" s="4">
        <v>3</v>
      </c>
      <c r="M310" s="4">
        <v>2016</v>
      </c>
      <c r="N310" s="4">
        <v>2</v>
      </c>
      <c r="O310" s="4">
        <v>6</v>
      </c>
      <c r="P310" s="4">
        <v>1</v>
      </c>
      <c r="Q310" s="19">
        <v>999.99</v>
      </c>
      <c r="R310" s="16">
        <v>0.05</v>
      </c>
      <c r="S310" s="16">
        <v>999.94</v>
      </c>
      <c r="T310" s="5" t="s">
        <v>8</v>
      </c>
      <c r="U310" s="13" t="s">
        <v>304</v>
      </c>
    </row>
    <row r="311" spans="1:21" x14ac:dyDescent="0.35">
      <c r="A311" s="4">
        <v>310</v>
      </c>
      <c r="B311" s="4">
        <v>627</v>
      </c>
      <c r="C311" s="13" t="s">
        <v>881</v>
      </c>
      <c r="D311" s="13" t="s">
        <v>394</v>
      </c>
      <c r="E311" s="5" t="s">
        <v>5566</v>
      </c>
      <c r="F311" s="5" t="s">
        <v>3104</v>
      </c>
      <c r="G311" s="5" t="s">
        <v>3105</v>
      </c>
      <c r="H311" s="13" t="s">
        <v>2315</v>
      </c>
      <c r="I311" s="13" t="s">
        <v>2305</v>
      </c>
      <c r="J311" s="4">
        <v>91010</v>
      </c>
      <c r="K311" s="4">
        <v>1</v>
      </c>
      <c r="L311" s="4">
        <v>7</v>
      </c>
      <c r="M311" s="4">
        <v>2016</v>
      </c>
      <c r="N311" s="4">
        <v>1</v>
      </c>
      <c r="O311" s="4">
        <v>2</v>
      </c>
      <c r="P311" s="4">
        <v>2</v>
      </c>
      <c r="Q311" s="19">
        <v>3999.99</v>
      </c>
      <c r="R311" s="16">
        <v>7.0000000000000007E-2</v>
      </c>
      <c r="S311" s="16">
        <v>7999.91</v>
      </c>
      <c r="T311" s="5" t="s">
        <v>12</v>
      </c>
      <c r="U311" s="13" t="s">
        <v>304</v>
      </c>
    </row>
    <row r="312" spans="1:21" x14ac:dyDescent="0.35">
      <c r="A312" s="4">
        <v>311</v>
      </c>
      <c r="B312" s="4">
        <v>1400</v>
      </c>
      <c r="C312" s="13" t="s">
        <v>882</v>
      </c>
      <c r="D312" s="13" t="s">
        <v>673</v>
      </c>
      <c r="E312" s="5" t="s">
        <v>5566</v>
      </c>
      <c r="F312" s="5" t="s">
        <v>3106</v>
      </c>
      <c r="G312" s="5" t="s">
        <v>3107</v>
      </c>
      <c r="H312" s="13" t="s">
        <v>2865</v>
      </c>
      <c r="I312" s="13" t="s">
        <v>2309</v>
      </c>
      <c r="J312" s="4">
        <v>11421</v>
      </c>
      <c r="K312" s="4">
        <v>1</v>
      </c>
      <c r="L312" s="4">
        <v>17</v>
      </c>
      <c r="M312" s="4">
        <v>2016</v>
      </c>
      <c r="N312" s="4">
        <v>2</v>
      </c>
      <c r="O312" s="4">
        <v>6</v>
      </c>
      <c r="P312" s="4">
        <v>2</v>
      </c>
      <c r="Q312" s="19">
        <v>429</v>
      </c>
      <c r="R312" s="16">
        <v>0.05</v>
      </c>
      <c r="S312" s="16">
        <v>857.95</v>
      </c>
      <c r="T312" s="5" t="s">
        <v>22</v>
      </c>
      <c r="U312" s="13" t="s">
        <v>301</v>
      </c>
    </row>
    <row r="313" spans="1:21" x14ac:dyDescent="0.35">
      <c r="A313" s="4">
        <v>312</v>
      </c>
      <c r="B313" s="4">
        <v>299</v>
      </c>
      <c r="C313" s="13" t="s">
        <v>883</v>
      </c>
      <c r="D313" s="13" t="s">
        <v>884</v>
      </c>
      <c r="E313" s="5" t="s">
        <v>5566</v>
      </c>
      <c r="F313" s="5" t="s">
        <v>3108</v>
      </c>
      <c r="G313" s="5" t="s">
        <v>3109</v>
      </c>
      <c r="H313" s="13" t="s">
        <v>3013</v>
      </c>
      <c r="I313" s="13" t="s">
        <v>2309</v>
      </c>
      <c r="J313" s="4">
        <v>11706</v>
      </c>
      <c r="K313" s="4">
        <v>1</v>
      </c>
      <c r="L313" s="4">
        <v>24</v>
      </c>
      <c r="M313" s="4">
        <v>2016</v>
      </c>
      <c r="N313" s="4">
        <v>2</v>
      </c>
      <c r="O313" s="4">
        <v>6</v>
      </c>
      <c r="P313" s="4">
        <v>2</v>
      </c>
      <c r="Q313" s="19">
        <v>549.99</v>
      </c>
      <c r="R313" s="16">
        <v>0.05</v>
      </c>
      <c r="S313" s="16">
        <v>1099.93</v>
      </c>
      <c r="T313" s="5" t="s">
        <v>17</v>
      </c>
      <c r="U313" s="13" t="s">
        <v>300</v>
      </c>
    </row>
    <row r="314" spans="1:21" x14ac:dyDescent="0.35">
      <c r="A314" s="4">
        <v>313</v>
      </c>
      <c r="B314" s="4">
        <v>565</v>
      </c>
      <c r="C314" s="13" t="s">
        <v>885</v>
      </c>
      <c r="D314" s="13" t="s">
        <v>886</v>
      </c>
      <c r="E314" s="5" t="s">
        <v>5566</v>
      </c>
      <c r="F314" s="5" t="s">
        <v>3110</v>
      </c>
      <c r="G314" s="5" t="s">
        <v>3111</v>
      </c>
      <c r="H314" s="13" t="s">
        <v>2849</v>
      </c>
      <c r="I314" s="13" t="s">
        <v>2397</v>
      </c>
      <c r="J314" s="4">
        <v>76901</v>
      </c>
      <c r="K314" s="4">
        <v>1</v>
      </c>
      <c r="L314" s="4">
        <v>4</v>
      </c>
      <c r="M314" s="4">
        <v>2016</v>
      </c>
      <c r="N314" s="4">
        <v>3</v>
      </c>
      <c r="O314" s="4">
        <v>9</v>
      </c>
      <c r="P314" s="4">
        <v>1</v>
      </c>
      <c r="Q314" s="19">
        <v>2899.99</v>
      </c>
      <c r="R314" s="16">
        <v>7.0000000000000007E-2</v>
      </c>
      <c r="S314" s="16">
        <v>2899.9199999999996</v>
      </c>
      <c r="T314" s="5" t="s">
        <v>9</v>
      </c>
      <c r="U314" s="13" t="s">
        <v>304</v>
      </c>
    </row>
    <row r="315" spans="1:21" x14ac:dyDescent="0.35">
      <c r="A315" s="4">
        <v>314</v>
      </c>
      <c r="B315" s="4">
        <v>1019</v>
      </c>
      <c r="C315" s="13" t="s">
        <v>887</v>
      </c>
      <c r="D315" s="13" t="s">
        <v>586</v>
      </c>
      <c r="E315" s="5" t="s">
        <v>5566</v>
      </c>
      <c r="F315" s="5" t="s">
        <v>3112</v>
      </c>
      <c r="G315" s="5" t="s">
        <v>3113</v>
      </c>
      <c r="H315" s="13" t="s">
        <v>2456</v>
      </c>
      <c r="I315" s="13" t="s">
        <v>2309</v>
      </c>
      <c r="J315" s="4">
        <v>11373</v>
      </c>
      <c r="K315" s="4">
        <v>1</v>
      </c>
      <c r="L315" s="4">
        <v>5</v>
      </c>
      <c r="M315" s="4">
        <v>2016</v>
      </c>
      <c r="N315" s="4">
        <v>2</v>
      </c>
      <c r="O315" s="4">
        <v>7</v>
      </c>
      <c r="P315" s="4">
        <v>1</v>
      </c>
      <c r="Q315" s="19">
        <v>1320.99</v>
      </c>
      <c r="R315" s="16">
        <v>7.0000000000000007E-2</v>
      </c>
      <c r="S315" s="16">
        <v>1320.92</v>
      </c>
      <c r="T315" s="5" t="s">
        <v>10</v>
      </c>
      <c r="U315" s="13" t="s">
        <v>304</v>
      </c>
    </row>
    <row r="316" spans="1:21" x14ac:dyDescent="0.35">
      <c r="A316" s="4">
        <v>315</v>
      </c>
      <c r="B316" s="4">
        <v>1263</v>
      </c>
      <c r="C316" s="13" t="s">
        <v>888</v>
      </c>
      <c r="D316" s="13" t="s">
        <v>889</v>
      </c>
      <c r="E316" s="5" t="s">
        <v>5566</v>
      </c>
      <c r="F316" s="5" t="s">
        <v>3114</v>
      </c>
      <c r="G316" s="5" t="s">
        <v>3115</v>
      </c>
      <c r="H316" s="13" t="s">
        <v>2650</v>
      </c>
      <c r="I316" s="13" t="s">
        <v>2309</v>
      </c>
      <c r="J316" s="4">
        <v>11040</v>
      </c>
      <c r="K316" s="4">
        <v>1</v>
      </c>
      <c r="L316" s="4">
        <v>11</v>
      </c>
      <c r="M316" s="4">
        <v>2016</v>
      </c>
      <c r="N316" s="4">
        <v>2</v>
      </c>
      <c r="O316" s="4">
        <v>6</v>
      </c>
      <c r="P316" s="4">
        <v>1</v>
      </c>
      <c r="Q316" s="19">
        <v>1680.99</v>
      </c>
      <c r="R316" s="16">
        <v>0.2</v>
      </c>
      <c r="S316" s="16">
        <v>1680.79</v>
      </c>
      <c r="T316" s="5" t="s">
        <v>16</v>
      </c>
      <c r="U316" s="13" t="s">
        <v>302</v>
      </c>
    </row>
    <row r="317" spans="1:21" x14ac:dyDescent="0.35">
      <c r="A317" s="4">
        <v>316</v>
      </c>
      <c r="B317" s="4">
        <v>670</v>
      </c>
      <c r="C317" s="13" t="s">
        <v>890</v>
      </c>
      <c r="D317" s="13" t="s">
        <v>734</v>
      </c>
      <c r="E317" s="5" t="s">
        <v>5566</v>
      </c>
      <c r="F317" s="5" t="s">
        <v>3116</v>
      </c>
      <c r="G317" s="5" t="s">
        <v>3117</v>
      </c>
      <c r="H317" s="13" t="s">
        <v>2433</v>
      </c>
      <c r="I317" s="13" t="s">
        <v>2309</v>
      </c>
      <c r="J317" s="4">
        <v>13090</v>
      </c>
      <c r="K317" s="4">
        <v>1</v>
      </c>
      <c r="L317" s="4">
        <v>2</v>
      </c>
      <c r="M317" s="4">
        <v>2016</v>
      </c>
      <c r="N317" s="4">
        <v>2</v>
      </c>
      <c r="O317" s="4">
        <v>7</v>
      </c>
      <c r="P317" s="4">
        <v>2</v>
      </c>
      <c r="Q317" s="19">
        <v>749.99</v>
      </c>
      <c r="R317" s="16">
        <v>0.2</v>
      </c>
      <c r="S317" s="16">
        <v>1499.78</v>
      </c>
      <c r="T317" s="5" t="s">
        <v>7</v>
      </c>
      <c r="U317" s="13" t="s">
        <v>304</v>
      </c>
    </row>
    <row r="318" spans="1:21" x14ac:dyDescent="0.35">
      <c r="A318" s="4">
        <v>317</v>
      </c>
      <c r="B318" s="4">
        <v>795</v>
      </c>
      <c r="C318" s="13" t="s">
        <v>891</v>
      </c>
      <c r="D318" s="13" t="s">
        <v>892</v>
      </c>
      <c r="E318" s="5" t="s">
        <v>5566</v>
      </c>
      <c r="F318" s="5" t="s">
        <v>3118</v>
      </c>
      <c r="G318" s="5" t="s">
        <v>3119</v>
      </c>
      <c r="H318" s="13" t="s">
        <v>2479</v>
      </c>
      <c r="I318" s="13" t="s">
        <v>2309</v>
      </c>
      <c r="J318" s="4">
        <v>11010</v>
      </c>
      <c r="K318" s="4">
        <v>1</v>
      </c>
      <c r="L318" s="4">
        <v>10</v>
      </c>
      <c r="M318" s="4">
        <v>2016</v>
      </c>
      <c r="N318" s="4">
        <v>2</v>
      </c>
      <c r="O318" s="4">
        <v>7</v>
      </c>
      <c r="P318" s="4">
        <v>1</v>
      </c>
      <c r="Q318" s="19">
        <v>1549</v>
      </c>
      <c r="R318" s="16">
        <v>0.2</v>
      </c>
      <c r="S318" s="16">
        <v>1548.8</v>
      </c>
      <c r="T318" s="5" t="s">
        <v>15</v>
      </c>
      <c r="U318" s="13" t="s">
        <v>302</v>
      </c>
    </row>
    <row r="319" spans="1:21" x14ac:dyDescent="0.35">
      <c r="A319" s="4">
        <v>318</v>
      </c>
      <c r="B319" s="4">
        <v>1141</v>
      </c>
      <c r="C319" s="13" t="s">
        <v>893</v>
      </c>
      <c r="D319" s="13" t="s">
        <v>425</v>
      </c>
      <c r="E319" s="5" t="s">
        <v>5566</v>
      </c>
      <c r="F319" s="5" t="s">
        <v>3120</v>
      </c>
      <c r="G319" s="5" t="s">
        <v>3121</v>
      </c>
      <c r="H319" s="13" t="s">
        <v>3122</v>
      </c>
      <c r="I319" s="13" t="s">
        <v>2309</v>
      </c>
      <c r="J319" s="4">
        <v>12550</v>
      </c>
      <c r="K319" s="4">
        <v>1</v>
      </c>
      <c r="L319" s="4">
        <v>13</v>
      </c>
      <c r="M319" s="4">
        <v>2016</v>
      </c>
      <c r="N319" s="4">
        <v>2</v>
      </c>
      <c r="O319" s="4">
        <v>7</v>
      </c>
      <c r="P319" s="4">
        <v>2</v>
      </c>
      <c r="Q319" s="19">
        <v>269.99</v>
      </c>
      <c r="R319" s="16">
        <v>0.1</v>
      </c>
      <c r="S319" s="16">
        <v>539.88</v>
      </c>
      <c r="T319" s="5" t="s">
        <v>18</v>
      </c>
      <c r="U319" s="13" t="s">
        <v>301</v>
      </c>
    </row>
    <row r="320" spans="1:21" x14ac:dyDescent="0.35">
      <c r="A320" s="4">
        <v>319</v>
      </c>
      <c r="B320" s="4">
        <v>941</v>
      </c>
      <c r="C320" s="13" t="s">
        <v>894</v>
      </c>
      <c r="D320" s="13" t="s">
        <v>895</v>
      </c>
      <c r="E320" s="5" t="s">
        <v>5566</v>
      </c>
      <c r="F320" s="5" t="s">
        <v>3123</v>
      </c>
      <c r="G320" s="5" t="s">
        <v>3124</v>
      </c>
      <c r="H320" s="13" t="s">
        <v>2441</v>
      </c>
      <c r="I320" s="13" t="s">
        <v>2309</v>
      </c>
      <c r="J320" s="4">
        <v>11722</v>
      </c>
      <c r="K320" s="4">
        <v>1</v>
      </c>
      <c r="L320" s="4">
        <v>11</v>
      </c>
      <c r="M320" s="4">
        <v>2016</v>
      </c>
      <c r="N320" s="4">
        <v>2</v>
      </c>
      <c r="O320" s="4">
        <v>6</v>
      </c>
      <c r="P320" s="4">
        <v>1</v>
      </c>
      <c r="Q320" s="19">
        <v>1680.99</v>
      </c>
      <c r="R320" s="16">
        <v>7.0000000000000007E-2</v>
      </c>
      <c r="S320" s="16">
        <v>1680.92</v>
      </c>
      <c r="T320" s="5" t="s">
        <v>16</v>
      </c>
      <c r="U320" s="13" t="s">
        <v>302</v>
      </c>
    </row>
    <row r="321" spans="1:21" x14ac:dyDescent="0.35">
      <c r="A321" s="4">
        <v>320</v>
      </c>
      <c r="B321" s="4">
        <v>1428</v>
      </c>
      <c r="C321" s="13" t="s">
        <v>741</v>
      </c>
      <c r="D321" s="13" t="s">
        <v>896</v>
      </c>
      <c r="E321" s="5" t="s">
        <v>5566</v>
      </c>
      <c r="F321" s="5" t="s">
        <v>3125</v>
      </c>
      <c r="G321" s="5" t="s">
        <v>3126</v>
      </c>
      <c r="H321" s="13" t="s">
        <v>3127</v>
      </c>
      <c r="I321" s="13" t="s">
        <v>2305</v>
      </c>
      <c r="J321" s="4">
        <v>95060</v>
      </c>
      <c r="K321" s="4">
        <v>1</v>
      </c>
      <c r="L321" s="4">
        <v>2</v>
      </c>
      <c r="M321" s="4">
        <v>2016</v>
      </c>
      <c r="N321" s="4">
        <v>1</v>
      </c>
      <c r="O321" s="4">
        <v>2</v>
      </c>
      <c r="P321" s="4">
        <v>1</v>
      </c>
      <c r="Q321" s="19">
        <v>749.99</v>
      </c>
      <c r="R321" s="16">
        <v>0.1</v>
      </c>
      <c r="S321" s="16">
        <v>749.89</v>
      </c>
      <c r="T321" s="5" t="s">
        <v>7</v>
      </c>
      <c r="U321" s="13" t="s">
        <v>304</v>
      </c>
    </row>
    <row r="322" spans="1:21" x14ac:dyDescent="0.35">
      <c r="A322" s="4">
        <v>321</v>
      </c>
      <c r="B322" s="4">
        <v>568</v>
      </c>
      <c r="C322" s="13" t="s">
        <v>897</v>
      </c>
      <c r="D322" s="13" t="s">
        <v>898</v>
      </c>
      <c r="E322" s="5" t="s">
        <v>5566</v>
      </c>
      <c r="F322" s="5" t="s">
        <v>3128</v>
      </c>
      <c r="G322" s="5" t="s">
        <v>3129</v>
      </c>
      <c r="H322" s="13" t="s">
        <v>2412</v>
      </c>
      <c r="I322" s="13" t="s">
        <v>2309</v>
      </c>
      <c r="J322" s="4">
        <v>11795</v>
      </c>
      <c r="K322" s="4">
        <v>1</v>
      </c>
      <c r="L322" s="4">
        <v>4</v>
      </c>
      <c r="M322" s="4">
        <v>2016</v>
      </c>
      <c r="N322" s="4">
        <v>2</v>
      </c>
      <c r="O322" s="4">
        <v>6</v>
      </c>
      <c r="P322" s="4">
        <v>2</v>
      </c>
      <c r="Q322" s="19">
        <v>2899.99</v>
      </c>
      <c r="R322" s="16">
        <v>0.2</v>
      </c>
      <c r="S322" s="16">
        <v>5799.78</v>
      </c>
      <c r="T322" s="5" t="s">
        <v>9</v>
      </c>
      <c r="U322" s="13" t="s">
        <v>304</v>
      </c>
    </row>
    <row r="323" spans="1:21" x14ac:dyDescent="0.35">
      <c r="A323" s="4">
        <v>322</v>
      </c>
      <c r="B323" s="4">
        <v>924</v>
      </c>
      <c r="C323" s="13" t="s">
        <v>354</v>
      </c>
      <c r="D323" s="13" t="s">
        <v>899</v>
      </c>
      <c r="E323" s="5" t="s">
        <v>5566</v>
      </c>
      <c r="F323" s="5" t="s">
        <v>3130</v>
      </c>
      <c r="G323" s="5" t="s">
        <v>3131</v>
      </c>
      <c r="H323" s="13" t="s">
        <v>2507</v>
      </c>
      <c r="I323" s="13" t="s">
        <v>2309</v>
      </c>
      <c r="J323" s="4">
        <v>12553</v>
      </c>
      <c r="K323" s="4">
        <v>1</v>
      </c>
      <c r="L323" s="4">
        <v>13</v>
      </c>
      <c r="M323" s="4">
        <v>2016</v>
      </c>
      <c r="N323" s="4">
        <v>2</v>
      </c>
      <c r="O323" s="4">
        <v>6</v>
      </c>
      <c r="P323" s="4">
        <v>2</v>
      </c>
      <c r="Q323" s="19">
        <v>269.99</v>
      </c>
      <c r="R323" s="16">
        <v>0.2</v>
      </c>
      <c r="S323" s="16">
        <v>539.78</v>
      </c>
      <c r="T323" s="5" t="s">
        <v>18</v>
      </c>
      <c r="U323" s="13" t="s">
        <v>301</v>
      </c>
    </row>
    <row r="324" spans="1:21" x14ac:dyDescent="0.35">
      <c r="A324" s="4">
        <v>323</v>
      </c>
      <c r="B324" s="4">
        <v>1243</v>
      </c>
      <c r="C324" s="13" t="s">
        <v>900</v>
      </c>
      <c r="D324" s="13" t="s">
        <v>901</v>
      </c>
      <c r="E324" s="5" t="s">
        <v>5566</v>
      </c>
      <c r="F324" s="5" t="s">
        <v>3132</v>
      </c>
      <c r="G324" s="5" t="s">
        <v>3133</v>
      </c>
      <c r="H324" s="13" t="s">
        <v>2376</v>
      </c>
      <c r="I324" s="13" t="s">
        <v>2309</v>
      </c>
      <c r="J324" s="4">
        <v>11001</v>
      </c>
      <c r="K324" s="4">
        <v>1</v>
      </c>
      <c r="L324" s="4">
        <v>13</v>
      </c>
      <c r="M324" s="4">
        <v>2016</v>
      </c>
      <c r="N324" s="4">
        <v>2</v>
      </c>
      <c r="O324" s="4">
        <v>6</v>
      </c>
      <c r="P324" s="4">
        <v>2</v>
      </c>
      <c r="Q324" s="19">
        <v>269.99</v>
      </c>
      <c r="R324" s="16">
        <v>7.0000000000000007E-2</v>
      </c>
      <c r="S324" s="16">
        <v>539.91</v>
      </c>
      <c r="T324" s="5" t="s">
        <v>18</v>
      </c>
      <c r="U324" s="13" t="s">
        <v>301</v>
      </c>
    </row>
    <row r="325" spans="1:21" x14ac:dyDescent="0.35">
      <c r="A325" s="4">
        <v>324</v>
      </c>
      <c r="B325" s="4">
        <v>480</v>
      </c>
      <c r="C325" s="13" t="s">
        <v>902</v>
      </c>
      <c r="D325" s="13" t="s">
        <v>903</v>
      </c>
      <c r="E325" s="5" t="s">
        <v>5566</v>
      </c>
      <c r="F325" s="5" t="s">
        <v>3134</v>
      </c>
      <c r="G325" s="5" t="s">
        <v>3135</v>
      </c>
      <c r="H325" s="13" t="s">
        <v>2623</v>
      </c>
      <c r="I325" s="13" t="s">
        <v>2309</v>
      </c>
      <c r="J325" s="4">
        <v>12010</v>
      </c>
      <c r="K325" s="4">
        <v>1</v>
      </c>
      <c r="L325" s="4">
        <v>2</v>
      </c>
      <c r="M325" s="4">
        <v>2016</v>
      </c>
      <c r="N325" s="4">
        <v>2</v>
      </c>
      <c r="O325" s="4">
        <v>6</v>
      </c>
      <c r="P325" s="4">
        <v>2</v>
      </c>
      <c r="Q325" s="19">
        <v>749.99</v>
      </c>
      <c r="R325" s="16">
        <v>0.1</v>
      </c>
      <c r="S325" s="16">
        <v>1499.88</v>
      </c>
      <c r="T325" s="5" t="s">
        <v>7</v>
      </c>
      <c r="U325" s="13" t="s">
        <v>304</v>
      </c>
    </row>
    <row r="326" spans="1:21" x14ac:dyDescent="0.35">
      <c r="A326" s="4">
        <v>325</v>
      </c>
      <c r="B326" s="4">
        <v>848</v>
      </c>
      <c r="C326" s="13" t="s">
        <v>904</v>
      </c>
      <c r="D326" s="13" t="s">
        <v>905</v>
      </c>
      <c r="E326" s="5" t="s">
        <v>5566</v>
      </c>
      <c r="F326" s="5" t="s">
        <v>3136</v>
      </c>
      <c r="G326" s="5" t="s">
        <v>3137</v>
      </c>
      <c r="H326" s="13" t="s">
        <v>2456</v>
      </c>
      <c r="I326" s="13" t="s">
        <v>2309</v>
      </c>
      <c r="J326" s="4">
        <v>11373</v>
      </c>
      <c r="K326" s="4">
        <v>1</v>
      </c>
      <c r="L326" s="4">
        <v>7</v>
      </c>
      <c r="M326" s="4">
        <v>2016</v>
      </c>
      <c r="N326" s="4">
        <v>2</v>
      </c>
      <c r="O326" s="4">
        <v>6</v>
      </c>
      <c r="P326" s="4">
        <v>1</v>
      </c>
      <c r="Q326" s="19">
        <v>3999.99</v>
      </c>
      <c r="R326" s="16">
        <v>0.05</v>
      </c>
      <c r="S326" s="16">
        <v>3999.9399999999996</v>
      </c>
      <c r="T326" s="5" t="s">
        <v>12</v>
      </c>
      <c r="U326" s="13" t="s">
        <v>304</v>
      </c>
    </row>
    <row r="327" spans="1:21" x14ac:dyDescent="0.35">
      <c r="A327" s="4">
        <v>326</v>
      </c>
      <c r="B327" s="4">
        <v>1337</v>
      </c>
      <c r="C327" s="13" t="s">
        <v>906</v>
      </c>
      <c r="D327" s="13" t="s">
        <v>546</v>
      </c>
      <c r="E327" s="5" t="s">
        <v>5566</v>
      </c>
      <c r="F327" s="5" t="s">
        <v>3138</v>
      </c>
      <c r="G327" s="5" t="s">
        <v>3139</v>
      </c>
      <c r="H327" s="13" t="s">
        <v>2593</v>
      </c>
      <c r="I327" s="13" t="s">
        <v>2397</v>
      </c>
      <c r="J327" s="4">
        <v>75604</v>
      </c>
      <c r="K327" s="4">
        <v>1</v>
      </c>
      <c r="L327" s="4">
        <v>12</v>
      </c>
      <c r="M327" s="4">
        <v>2016</v>
      </c>
      <c r="N327" s="4">
        <v>3</v>
      </c>
      <c r="O327" s="4">
        <v>9</v>
      </c>
      <c r="P327" s="4">
        <v>1</v>
      </c>
      <c r="Q327" s="19">
        <v>549.99</v>
      </c>
      <c r="R327" s="16">
        <v>0.1</v>
      </c>
      <c r="S327" s="16">
        <v>549.89</v>
      </c>
      <c r="T327" s="5" t="s">
        <v>17</v>
      </c>
      <c r="U327" s="13" t="s">
        <v>301</v>
      </c>
    </row>
    <row r="328" spans="1:21" x14ac:dyDescent="0.35">
      <c r="A328" s="4">
        <v>327</v>
      </c>
      <c r="B328" s="4">
        <v>83</v>
      </c>
      <c r="C328" s="13" t="s">
        <v>907</v>
      </c>
      <c r="D328" s="13" t="s">
        <v>908</v>
      </c>
      <c r="E328" s="5" t="s">
        <v>5566</v>
      </c>
      <c r="F328" s="5" t="s">
        <v>3140</v>
      </c>
      <c r="G328" s="5" t="s">
        <v>3141</v>
      </c>
      <c r="H328" s="13" t="s">
        <v>2785</v>
      </c>
      <c r="I328" s="13" t="s">
        <v>2309</v>
      </c>
      <c r="J328" s="4">
        <v>10583</v>
      </c>
      <c r="K328" s="4">
        <v>1</v>
      </c>
      <c r="L328" s="4">
        <v>12</v>
      </c>
      <c r="M328" s="4">
        <v>2016</v>
      </c>
      <c r="N328" s="4">
        <v>2</v>
      </c>
      <c r="O328" s="4">
        <v>6</v>
      </c>
      <c r="P328" s="4">
        <v>2</v>
      </c>
      <c r="Q328" s="19">
        <v>549.99</v>
      </c>
      <c r="R328" s="16">
        <v>7.0000000000000007E-2</v>
      </c>
      <c r="S328" s="16">
        <v>1099.9100000000001</v>
      </c>
      <c r="T328" s="5" t="s">
        <v>17</v>
      </c>
      <c r="U328" s="13" t="s">
        <v>301</v>
      </c>
    </row>
    <row r="329" spans="1:21" x14ac:dyDescent="0.35">
      <c r="A329" s="4">
        <v>328</v>
      </c>
      <c r="B329" s="4">
        <v>528</v>
      </c>
      <c r="C329" s="13" t="s">
        <v>909</v>
      </c>
      <c r="D329" s="13" t="s">
        <v>910</v>
      </c>
      <c r="E329" s="5" t="s">
        <v>3142</v>
      </c>
      <c r="F329" s="5" t="s">
        <v>3143</v>
      </c>
      <c r="G329" s="5" t="s">
        <v>3144</v>
      </c>
      <c r="H329" s="13" t="s">
        <v>2842</v>
      </c>
      <c r="I329" s="13" t="s">
        <v>2309</v>
      </c>
      <c r="J329" s="4">
        <v>10956</v>
      </c>
      <c r="K329" s="4">
        <v>1</v>
      </c>
      <c r="L329" s="4">
        <v>6</v>
      </c>
      <c r="M329" s="4">
        <v>2016</v>
      </c>
      <c r="N329" s="4">
        <v>2</v>
      </c>
      <c r="O329" s="4">
        <v>6</v>
      </c>
      <c r="P329" s="4">
        <v>2</v>
      </c>
      <c r="Q329" s="19">
        <v>469.99</v>
      </c>
      <c r="R329" s="16">
        <v>0.1</v>
      </c>
      <c r="S329" s="16">
        <v>939.88</v>
      </c>
      <c r="T329" s="5" t="s">
        <v>11</v>
      </c>
      <c r="U329" s="13" t="s">
        <v>304</v>
      </c>
    </row>
    <row r="330" spans="1:21" x14ac:dyDescent="0.35">
      <c r="A330" s="4">
        <v>329</v>
      </c>
      <c r="B330" s="4">
        <v>274</v>
      </c>
      <c r="C330" s="13" t="s">
        <v>911</v>
      </c>
      <c r="D330" s="13" t="s">
        <v>912</v>
      </c>
      <c r="E330" s="5" t="s">
        <v>5566</v>
      </c>
      <c r="F330" s="5" t="s">
        <v>3145</v>
      </c>
      <c r="G330" s="5" t="s">
        <v>3146</v>
      </c>
      <c r="H330" s="13" t="s">
        <v>2436</v>
      </c>
      <c r="I330" s="13" t="s">
        <v>2309</v>
      </c>
      <c r="J330" s="4">
        <v>12533</v>
      </c>
      <c r="K330" s="4">
        <v>1</v>
      </c>
      <c r="L330" s="4">
        <v>14</v>
      </c>
      <c r="M330" s="4">
        <v>2016</v>
      </c>
      <c r="N330" s="4">
        <v>2</v>
      </c>
      <c r="O330" s="4">
        <v>6</v>
      </c>
      <c r="P330" s="4">
        <v>2</v>
      </c>
      <c r="Q330" s="19">
        <v>269.99</v>
      </c>
      <c r="R330" s="16">
        <v>7.0000000000000007E-2</v>
      </c>
      <c r="S330" s="16">
        <v>539.91</v>
      </c>
      <c r="T330" s="5" t="s">
        <v>19</v>
      </c>
      <c r="U330" s="13" t="s">
        <v>301</v>
      </c>
    </row>
    <row r="331" spans="1:21" x14ac:dyDescent="0.35">
      <c r="A331" s="4">
        <v>330</v>
      </c>
      <c r="B331" s="4">
        <v>622</v>
      </c>
      <c r="C331" s="13" t="s">
        <v>464</v>
      </c>
      <c r="D331" s="13" t="s">
        <v>363</v>
      </c>
      <c r="E331" s="5" t="s">
        <v>5566</v>
      </c>
      <c r="F331" s="5" t="s">
        <v>3147</v>
      </c>
      <c r="G331" s="5" t="s">
        <v>3148</v>
      </c>
      <c r="H331" s="13" t="s">
        <v>2494</v>
      </c>
      <c r="I331" s="13" t="s">
        <v>2309</v>
      </c>
      <c r="J331" s="4">
        <v>12065</v>
      </c>
      <c r="K331" s="4">
        <v>1</v>
      </c>
      <c r="L331" s="4">
        <v>21</v>
      </c>
      <c r="M331" s="4">
        <v>2016</v>
      </c>
      <c r="N331" s="4">
        <v>2</v>
      </c>
      <c r="O331" s="4">
        <v>6</v>
      </c>
      <c r="P331" s="4">
        <v>2</v>
      </c>
      <c r="Q331" s="19">
        <v>269.99</v>
      </c>
      <c r="R331" s="16">
        <v>0.05</v>
      </c>
      <c r="S331" s="16">
        <v>539.93000000000006</v>
      </c>
      <c r="T331" s="5" t="s">
        <v>18</v>
      </c>
      <c r="U331" s="13" t="s">
        <v>299</v>
      </c>
    </row>
    <row r="332" spans="1:21" x14ac:dyDescent="0.35">
      <c r="A332" s="4">
        <v>331</v>
      </c>
      <c r="B332" s="4">
        <v>642</v>
      </c>
      <c r="C332" s="13" t="s">
        <v>913</v>
      </c>
      <c r="D332" s="13" t="s">
        <v>658</v>
      </c>
      <c r="E332" s="5" t="s">
        <v>5566</v>
      </c>
      <c r="F332" s="5" t="s">
        <v>3149</v>
      </c>
      <c r="G332" s="5" t="s">
        <v>3150</v>
      </c>
      <c r="H332" s="13" t="s">
        <v>1457</v>
      </c>
      <c r="I332" s="13" t="s">
        <v>2309</v>
      </c>
      <c r="J332" s="4">
        <v>14580</v>
      </c>
      <c r="K332" s="4">
        <v>1</v>
      </c>
      <c r="L332" s="4">
        <v>17</v>
      </c>
      <c r="M332" s="4">
        <v>2016</v>
      </c>
      <c r="N332" s="4">
        <v>2</v>
      </c>
      <c r="O332" s="4">
        <v>6</v>
      </c>
      <c r="P332" s="4">
        <v>2</v>
      </c>
      <c r="Q332" s="19">
        <v>429</v>
      </c>
      <c r="R332" s="16">
        <v>0.1</v>
      </c>
      <c r="S332" s="16">
        <v>857.9</v>
      </c>
      <c r="T332" s="5" t="s">
        <v>22</v>
      </c>
      <c r="U332" s="13" t="s">
        <v>301</v>
      </c>
    </row>
    <row r="333" spans="1:21" x14ac:dyDescent="0.35">
      <c r="A333" s="4">
        <v>332</v>
      </c>
      <c r="B333" s="4">
        <v>659</v>
      </c>
      <c r="C333" s="13" t="s">
        <v>914</v>
      </c>
      <c r="D333" s="13" t="s">
        <v>915</v>
      </c>
      <c r="E333" s="5" t="s">
        <v>5566</v>
      </c>
      <c r="F333" s="5" t="s">
        <v>3151</v>
      </c>
      <c r="G333" s="5" t="s">
        <v>3152</v>
      </c>
      <c r="H333" s="13" t="s">
        <v>3153</v>
      </c>
      <c r="I333" s="13" t="s">
        <v>2309</v>
      </c>
      <c r="J333" s="4">
        <v>10573</v>
      </c>
      <c r="K333" s="4">
        <v>1</v>
      </c>
      <c r="L333" s="4">
        <v>18</v>
      </c>
      <c r="M333" s="4">
        <v>2016</v>
      </c>
      <c r="N333" s="4">
        <v>2</v>
      </c>
      <c r="O333" s="4">
        <v>7</v>
      </c>
      <c r="P333" s="4">
        <v>2</v>
      </c>
      <c r="Q333" s="19">
        <v>449</v>
      </c>
      <c r="R333" s="16">
        <v>0.05</v>
      </c>
      <c r="S333" s="16">
        <v>897.95</v>
      </c>
      <c r="T333" s="5" t="s">
        <v>23</v>
      </c>
      <c r="U333" s="13" t="s">
        <v>301</v>
      </c>
    </row>
    <row r="334" spans="1:21" x14ac:dyDescent="0.35">
      <c r="A334" s="4">
        <v>333</v>
      </c>
      <c r="B334" s="4">
        <v>779</v>
      </c>
      <c r="C334" s="13" t="s">
        <v>916</v>
      </c>
      <c r="D334" s="13" t="s">
        <v>917</v>
      </c>
      <c r="E334" s="5" t="s">
        <v>5566</v>
      </c>
      <c r="F334" s="5" t="s">
        <v>3154</v>
      </c>
      <c r="G334" s="5" t="s">
        <v>3155</v>
      </c>
      <c r="H334" s="13" t="s">
        <v>3156</v>
      </c>
      <c r="I334" s="13" t="s">
        <v>2309</v>
      </c>
      <c r="J334" s="4">
        <v>11102</v>
      </c>
      <c r="K334" s="4">
        <v>1</v>
      </c>
      <c r="L334" s="4">
        <v>18</v>
      </c>
      <c r="M334" s="4">
        <v>2016</v>
      </c>
      <c r="N334" s="4">
        <v>2</v>
      </c>
      <c r="O334" s="4">
        <v>6</v>
      </c>
      <c r="P334" s="4">
        <v>2</v>
      </c>
      <c r="Q334" s="19">
        <v>449</v>
      </c>
      <c r="R334" s="16">
        <v>7.0000000000000007E-2</v>
      </c>
      <c r="S334" s="16">
        <v>897.93</v>
      </c>
      <c r="T334" s="5" t="s">
        <v>23</v>
      </c>
      <c r="U334" s="13" t="s">
        <v>301</v>
      </c>
    </row>
    <row r="335" spans="1:21" x14ac:dyDescent="0.35">
      <c r="A335" s="4">
        <v>334</v>
      </c>
      <c r="B335" s="4">
        <v>1112</v>
      </c>
      <c r="C335" s="13" t="s">
        <v>918</v>
      </c>
      <c r="D335" s="13" t="s">
        <v>919</v>
      </c>
      <c r="E335" s="5" t="s">
        <v>5566</v>
      </c>
      <c r="F335" s="5" t="s">
        <v>3157</v>
      </c>
      <c r="G335" s="5" t="s">
        <v>3158</v>
      </c>
      <c r="H335" s="13" t="s">
        <v>2835</v>
      </c>
      <c r="I335" s="13" t="s">
        <v>2309</v>
      </c>
      <c r="J335" s="4">
        <v>11758</v>
      </c>
      <c r="K335" s="4">
        <v>1</v>
      </c>
      <c r="L335" s="4">
        <v>16</v>
      </c>
      <c r="M335" s="4">
        <v>2016</v>
      </c>
      <c r="N335" s="4">
        <v>2</v>
      </c>
      <c r="O335" s="4">
        <v>7</v>
      </c>
      <c r="P335" s="4">
        <v>2</v>
      </c>
      <c r="Q335" s="19">
        <v>599.99</v>
      </c>
      <c r="R335" s="16">
        <v>0.2</v>
      </c>
      <c r="S335" s="16">
        <v>1199.78</v>
      </c>
      <c r="T335" s="5" t="s">
        <v>21</v>
      </c>
      <c r="U335" s="13" t="s">
        <v>301</v>
      </c>
    </row>
    <row r="336" spans="1:21" x14ac:dyDescent="0.35">
      <c r="A336" s="4">
        <v>335</v>
      </c>
      <c r="B336" s="4">
        <v>1193</v>
      </c>
      <c r="C336" s="13" t="s">
        <v>920</v>
      </c>
      <c r="D336" s="13" t="s">
        <v>921</v>
      </c>
      <c r="E336" s="5" t="s">
        <v>5566</v>
      </c>
      <c r="F336" s="5" t="s">
        <v>3159</v>
      </c>
      <c r="G336" s="5" t="s">
        <v>3160</v>
      </c>
      <c r="H336" s="13" t="s">
        <v>3161</v>
      </c>
      <c r="I336" s="13" t="s">
        <v>2309</v>
      </c>
      <c r="J336" s="4">
        <v>11420</v>
      </c>
      <c r="K336" s="4">
        <v>1</v>
      </c>
      <c r="L336" s="4">
        <v>6</v>
      </c>
      <c r="M336" s="4">
        <v>2016</v>
      </c>
      <c r="N336" s="4">
        <v>2</v>
      </c>
      <c r="O336" s="4">
        <v>6</v>
      </c>
      <c r="P336" s="4">
        <v>1</v>
      </c>
      <c r="Q336" s="19">
        <v>469.99</v>
      </c>
      <c r="R336" s="16">
        <v>0.1</v>
      </c>
      <c r="S336" s="16">
        <v>469.89</v>
      </c>
      <c r="T336" s="5" t="s">
        <v>11</v>
      </c>
      <c r="U336" s="13" t="s">
        <v>304</v>
      </c>
    </row>
    <row r="337" spans="1:21" x14ac:dyDescent="0.35">
      <c r="A337" s="4">
        <v>336</v>
      </c>
      <c r="B337" s="4">
        <v>1030</v>
      </c>
      <c r="C337" s="13" t="s">
        <v>922</v>
      </c>
      <c r="D337" s="13" t="s">
        <v>923</v>
      </c>
      <c r="E337" s="5" t="s">
        <v>5566</v>
      </c>
      <c r="F337" s="5" t="s">
        <v>3162</v>
      </c>
      <c r="G337" s="5" t="s">
        <v>3163</v>
      </c>
      <c r="H337" s="13" t="s">
        <v>2554</v>
      </c>
      <c r="I337" s="13" t="s">
        <v>2309</v>
      </c>
      <c r="J337" s="4">
        <v>11201</v>
      </c>
      <c r="K337" s="4">
        <v>1</v>
      </c>
      <c r="L337" s="4">
        <v>4</v>
      </c>
      <c r="M337" s="4">
        <v>2016</v>
      </c>
      <c r="N337" s="4">
        <v>2</v>
      </c>
      <c r="O337" s="4">
        <v>7</v>
      </c>
      <c r="P337" s="4">
        <v>1</v>
      </c>
      <c r="Q337" s="19">
        <v>2899.99</v>
      </c>
      <c r="R337" s="16">
        <v>0.1</v>
      </c>
      <c r="S337" s="16">
        <v>2899.89</v>
      </c>
      <c r="T337" s="5" t="s">
        <v>9</v>
      </c>
      <c r="U337" s="13" t="s">
        <v>304</v>
      </c>
    </row>
    <row r="338" spans="1:21" x14ac:dyDescent="0.35">
      <c r="A338" s="4">
        <v>337</v>
      </c>
      <c r="B338" s="4">
        <v>1252</v>
      </c>
      <c r="C338" s="13" t="s">
        <v>634</v>
      </c>
      <c r="D338" s="13" t="s">
        <v>924</v>
      </c>
      <c r="E338" s="5" t="s">
        <v>5566</v>
      </c>
      <c r="F338" s="5" t="s">
        <v>3164</v>
      </c>
      <c r="G338" s="5" t="s">
        <v>3165</v>
      </c>
      <c r="H338" s="13" t="s">
        <v>2463</v>
      </c>
      <c r="I338" s="13" t="s">
        <v>2309</v>
      </c>
      <c r="J338" s="4">
        <v>11803</v>
      </c>
      <c r="K338" s="4">
        <v>1</v>
      </c>
      <c r="L338" s="4">
        <v>18</v>
      </c>
      <c r="M338" s="4">
        <v>2016</v>
      </c>
      <c r="N338" s="4">
        <v>2</v>
      </c>
      <c r="O338" s="4">
        <v>7</v>
      </c>
      <c r="P338" s="4">
        <v>1</v>
      </c>
      <c r="Q338" s="19">
        <v>449</v>
      </c>
      <c r="R338" s="16">
        <v>0.05</v>
      </c>
      <c r="S338" s="16">
        <v>448.95</v>
      </c>
      <c r="T338" s="5" t="s">
        <v>23</v>
      </c>
      <c r="U338" s="13" t="s">
        <v>301</v>
      </c>
    </row>
    <row r="339" spans="1:21" x14ac:dyDescent="0.35">
      <c r="A339" s="4">
        <v>338</v>
      </c>
      <c r="B339" s="4">
        <v>1333</v>
      </c>
      <c r="C339" s="13" t="s">
        <v>925</v>
      </c>
      <c r="D339" s="13" t="s">
        <v>445</v>
      </c>
      <c r="E339" s="5" t="s">
        <v>5566</v>
      </c>
      <c r="F339" s="5" t="s">
        <v>3166</v>
      </c>
      <c r="G339" s="5" t="s">
        <v>3167</v>
      </c>
      <c r="H339" s="13" t="s">
        <v>2534</v>
      </c>
      <c r="I339" s="13" t="s">
        <v>2305</v>
      </c>
      <c r="J339" s="4">
        <v>90403</v>
      </c>
      <c r="K339" s="4">
        <v>1</v>
      </c>
      <c r="L339" s="4">
        <v>6</v>
      </c>
      <c r="M339" s="4">
        <v>2016</v>
      </c>
      <c r="N339" s="4">
        <v>1</v>
      </c>
      <c r="O339" s="4">
        <v>3</v>
      </c>
      <c r="P339" s="4">
        <v>2</v>
      </c>
      <c r="Q339" s="19">
        <v>469.99</v>
      </c>
      <c r="R339" s="16">
        <v>7.0000000000000007E-2</v>
      </c>
      <c r="S339" s="16">
        <v>939.91</v>
      </c>
      <c r="T339" s="5" t="s">
        <v>11</v>
      </c>
      <c r="U339" s="13" t="s">
        <v>304</v>
      </c>
    </row>
    <row r="340" spans="1:21" x14ac:dyDescent="0.35">
      <c r="A340" s="4">
        <v>339</v>
      </c>
      <c r="B340" s="4">
        <v>1110</v>
      </c>
      <c r="C340" s="13" t="s">
        <v>926</v>
      </c>
      <c r="D340" s="13" t="s">
        <v>736</v>
      </c>
      <c r="E340" s="5" t="s">
        <v>5566</v>
      </c>
      <c r="F340" s="5" t="s">
        <v>3168</v>
      </c>
      <c r="G340" s="5" t="s">
        <v>3169</v>
      </c>
      <c r="H340" s="13" t="s">
        <v>2409</v>
      </c>
      <c r="I340" s="13" t="s">
        <v>2309</v>
      </c>
      <c r="J340" s="4">
        <v>11552</v>
      </c>
      <c r="K340" s="4">
        <v>1</v>
      </c>
      <c r="L340" s="4">
        <v>13</v>
      </c>
      <c r="M340" s="4">
        <v>2016</v>
      </c>
      <c r="N340" s="4">
        <v>2</v>
      </c>
      <c r="O340" s="4">
        <v>7</v>
      </c>
      <c r="P340" s="4">
        <v>1</v>
      </c>
      <c r="Q340" s="19">
        <v>269.99</v>
      </c>
      <c r="R340" s="16">
        <v>0.1</v>
      </c>
      <c r="S340" s="16">
        <v>269.89</v>
      </c>
      <c r="T340" s="5" t="s">
        <v>18</v>
      </c>
      <c r="U340" s="13" t="s">
        <v>301</v>
      </c>
    </row>
    <row r="341" spans="1:21" x14ac:dyDescent="0.35">
      <c r="A341" s="4">
        <v>340</v>
      </c>
      <c r="B341" s="4">
        <v>963</v>
      </c>
      <c r="C341" s="13" t="s">
        <v>927</v>
      </c>
      <c r="D341" s="13" t="s">
        <v>928</v>
      </c>
      <c r="E341" s="5" t="s">
        <v>5566</v>
      </c>
      <c r="F341" s="5" t="s">
        <v>3170</v>
      </c>
      <c r="G341" s="5" t="s">
        <v>3171</v>
      </c>
      <c r="H341" s="13" t="s">
        <v>2472</v>
      </c>
      <c r="I341" s="13" t="s">
        <v>2309</v>
      </c>
      <c r="J341" s="4">
        <v>13440</v>
      </c>
      <c r="K341" s="4">
        <v>1</v>
      </c>
      <c r="L341" s="4">
        <v>11</v>
      </c>
      <c r="M341" s="4">
        <v>2016</v>
      </c>
      <c r="N341" s="4">
        <v>2</v>
      </c>
      <c r="O341" s="4">
        <v>7</v>
      </c>
      <c r="P341" s="4">
        <v>1</v>
      </c>
      <c r="Q341" s="19">
        <v>1680.99</v>
      </c>
      <c r="R341" s="16">
        <v>0.05</v>
      </c>
      <c r="S341" s="16">
        <v>1680.94</v>
      </c>
      <c r="T341" s="5" t="s">
        <v>16</v>
      </c>
      <c r="U341" s="13" t="s">
        <v>302</v>
      </c>
    </row>
    <row r="342" spans="1:21" x14ac:dyDescent="0.35">
      <c r="A342" s="4">
        <v>341</v>
      </c>
      <c r="B342" s="4">
        <v>1357</v>
      </c>
      <c r="C342" s="13" t="s">
        <v>929</v>
      </c>
      <c r="D342" s="13" t="s">
        <v>461</v>
      </c>
      <c r="E342" s="5" t="s">
        <v>3172</v>
      </c>
      <c r="F342" s="5" t="s">
        <v>3173</v>
      </c>
      <c r="G342" s="5" t="s">
        <v>3174</v>
      </c>
      <c r="H342" s="13" t="s">
        <v>3175</v>
      </c>
      <c r="I342" s="13" t="s">
        <v>2305</v>
      </c>
      <c r="J342" s="4">
        <v>93706</v>
      </c>
      <c r="K342" s="4">
        <v>1</v>
      </c>
      <c r="L342" s="4">
        <v>23</v>
      </c>
      <c r="M342" s="4">
        <v>2016</v>
      </c>
      <c r="N342" s="4">
        <v>1</v>
      </c>
      <c r="O342" s="4">
        <v>3</v>
      </c>
      <c r="P342" s="4">
        <v>2</v>
      </c>
      <c r="Q342" s="19">
        <v>299.99</v>
      </c>
      <c r="R342" s="16">
        <v>0.05</v>
      </c>
      <c r="S342" s="16">
        <v>599.93000000000006</v>
      </c>
      <c r="T342" s="5" t="s">
        <v>26</v>
      </c>
      <c r="U342" s="13" t="s">
        <v>299</v>
      </c>
    </row>
    <row r="343" spans="1:21" x14ac:dyDescent="0.35">
      <c r="A343" s="4">
        <v>342</v>
      </c>
      <c r="B343" s="4">
        <v>806</v>
      </c>
      <c r="C343" s="13" t="s">
        <v>827</v>
      </c>
      <c r="D343" s="13" t="s">
        <v>930</v>
      </c>
      <c r="E343" s="5" t="s">
        <v>5566</v>
      </c>
      <c r="F343" s="5" t="s">
        <v>3176</v>
      </c>
      <c r="G343" s="5" t="s">
        <v>3177</v>
      </c>
      <c r="H343" s="13" t="s">
        <v>2961</v>
      </c>
      <c r="I343" s="13" t="s">
        <v>2309</v>
      </c>
      <c r="J343" s="4">
        <v>10301</v>
      </c>
      <c r="K343" s="4">
        <v>1</v>
      </c>
      <c r="L343" s="4">
        <v>26</v>
      </c>
      <c r="M343" s="4">
        <v>2016</v>
      </c>
      <c r="N343" s="4">
        <v>2</v>
      </c>
      <c r="O343" s="4">
        <v>7</v>
      </c>
      <c r="P343" s="4">
        <v>1</v>
      </c>
      <c r="Q343" s="19">
        <v>599.99</v>
      </c>
      <c r="R343" s="16">
        <v>7.0000000000000007E-2</v>
      </c>
      <c r="S343" s="16">
        <v>599.91999999999996</v>
      </c>
      <c r="T343" s="5" t="s">
        <v>21</v>
      </c>
      <c r="U343" s="13" t="s">
        <v>300</v>
      </c>
    </row>
    <row r="344" spans="1:21" x14ac:dyDescent="0.35">
      <c r="A344" s="4">
        <v>343</v>
      </c>
      <c r="B344" s="4">
        <v>961</v>
      </c>
      <c r="C344" s="13" t="s">
        <v>931</v>
      </c>
      <c r="D344" s="13" t="s">
        <v>478</v>
      </c>
      <c r="E344" s="5" t="s">
        <v>5566</v>
      </c>
      <c r="F344" s="5" t="s">
        <v>3178</v>
      </c>
      <c r="G344" s="5" t="s">
        <v>3179</v>
      </c>
      <c r="H344" s="13" t="s">
        <v>2605</v>
      </c>
      <c r="I344" s="13" t="s">
        <v>2309</v>
      </c>
      <c r="J344" s="4">
        <v>12401</v>
      </c>
      <c r="K344" s="4">
        <v>1</v>
      </c>
      <c r="L344" s="4">
        <v>20</v>
      </c>
      <c r="M344" s="4">
        <v>2016</v>
      </c>
      <c r="N344" s="4">
        <v>2</v>
      </c>
      <c r="O344" s="4">
        <v>7</v>
      </c>
      <c r="P344" s="4">
        <v>2</v>
      </c>
      <c r="Q344" s="19">
        <v>599.99</v>
      </c>
      <c r="R344" s="16">
        <v>0.2</v>
      </c>
      <c r="S344" s="16">
        <v>1199.78</v>
      </c>
      <c r="T344" s="5" t="s">
        <v>25</v>
      </c>
      <c r="U344" s="13" t="s">
        <v>301</v>
      </c>
    </row>
    <row r="345" spans="1:21" x14ac:dyDescent="0.35">
      <c r="A345" s="4">
        <v>344</v>
      </c>
      <c r="B345" s="4">
        <v>750</v>
      </c>
      <c r="C345" s="13" t="s">
        <v>496</v>
      </c>
      <c r="D345" s="13" t="s">
        <v>932</v>
      </c>
      <c r="E345" s="5" t="s">
        <v>5566</v>
      </c>
      <c r="F345" s="5" t="s">
        <v>3180</v>
      </c>
      <c r="G345" s="5" t="s">
        <v>3181</v>
      </c>
      <c r="H345" s="13" t="s">
        <v>3182</v>
      </c>
      <c r="I345" s="13" t="s">
        <v>2309</v>
      </c>
      <c r="J345" s="4">
        <v>10952</v>
      </c>
      <c r="K345" s="4">
        <v>1</v>
      </c>
      <c r="L345" s="4">
        <v>22</v>
      </c>
      <c r="M345" s="4">
        <v>2016</v>
      </c>
      <c r="N345" s="4">
        <v>2</v>
      </c>
      <c r="O345" s="4">
        <v>6</v>
      </c>
      <c r="P345" s="4">
        <v>1</v>
      </c>
      <c r="Q345" s="19">
        <v>269.99</v>
      </c>
      <c r="R345" s="16">
        <v>0.05</v>
      </c>
      <c r="S345" s="16">
        <v>269.94</v>
      </c>
      <c r="T345" s="5" t="s">
        <v>19</v>
      </c>
      <c r="U345" s="13" t="s">
        <v>299</v>
      </c>
    </row>
    <row r="346" spans="1:21" x14ac:dyDescent="0.35">
      <c r="A346" s="4">
        <v>345</v>
      </c>
      <c r="B346" s="4">
        <v>1299</v>
      </c>
      <c r="C346" s="13" t="s">
        <v>933</v>
      </c>
      <c r="D346" s="13" t="s">
        <v>802</v>
      </c>
      <c r="E346" s="5" t="s">
        <v>5566</v>
      </c>
      <c r="F346" s="5" t="s">
        <v>3183</v>
      </c>
      <c r="G346" s="5" t="s">
        <v>3184</v>
      </c>
      <c r="H346" s="13" t="s">
        <v>3185</v>
      </c>
      <c r="I346" s="13" t="s">
        <v>2309</v>
      </c>
      <c r="J346" s="4">
        <v>10598</v>
      </c>
      <c r="K346" s="4">
        <v>1</v>
      </c>
      <c r="L346" s="4">
        <v>18</v>
      </c>
      <c r="M346" s="4">
        <v>2016</v>
      </c>
      <c r="N346" s="4">
        <v>2</v>
      </c>
      <c r="O346" s="4">
        <v>6</v>
      </c>
      <c r="P346" s="4">
        <v>2</v>
      </c>
      <c r="Q346" s="19">
        <v>449</v>
      </c>
      <c r="R346" s="16">
        <v>0.1</v>
      </c>
      <c r="S346" s="16">
        <v>897.9</v>
      </c>
      <c r="T346" s="5" t="s">
        <v>23</v>
      </c>
      <c r="U346" s="13" t="s">
        <v>301</v>
      </c>
    </row>
    <row r="347" spans="1:21" x14ac:dyDescent="0.35">
      <c r="A347" s="4">
        <v>346</v>
      </c>
      <c r="B347" s="4">
        <v>584</v>
      </c>
      <c r="C347" s="13" t="s">
        <v>934</v>
      </c>
      <c r="D347" s="13" t="s">
        <v>357</v>
      </c>
      <c r="E347" s="5" t="s">
        <v>3186</v>
      </c>
      <c r="F347" s="5" t="s">
        <v>3187</v>
      </c>
      <c r="G347" s="5" t="s">
        <v>3188</v>
      </c>
      <c r="H347" s="13" t="s">
        <v>3189</v>
      </c>
      <c r="I347" s="13" t="s">
        <v>2397</v>
      </c>
      <c r="J347" s="4">
        <v>79930</v>
      </c>
      <c r="K347" s="4">
        <v>1</v>
      </c>
      <c r="L347" s="4">
        <v>13</v>
      </c>
      <c r="M347" s="4">
        <v>2016</v>
      </c>
      <c r="N347" s="4">
        <v>3</v>
      </c>
      <c r="O347" s="4">
        <v>9</v>
      </c>
      <c r="P347" s="4">
        <v>1</v>
      </c>
      <c r="Q347" s="19">
        <v>269.99</v>
      </c>
      <c r="R347" s="16">
        <v>7.0000000000000007E-2</v>
      </c>
      <c r="S347" s="16">
        <v>269.92</v>
      </c>
      <c r="T347" s="5" t="s">
        <v>18</v>
      </c>
      <c r="U347" s="13" t="s">
        <v>301</v>
      </c>
    </row>
    <row r="348" spans="1:21" x14ac:dyDescent="0.35">
      <c r="A348" s="4">
        <v>347</v>
      </c>
      <c r="B348" s="4">
        <v>1004</v>
      </c>
      <c r="C348" s="13" t="s">
        <v>935</v>
      </c>
      <c r="D348" s="13" t="s">
        <v>936</v>
      </c>
      <c r="E348" s="5" t="s">
        <v>5566</v>
      </c>
      <c r="F348" s="5" t="s">
        <v>3190</v>
      </c>
      <c r="G348" s="5" t="s">
        <v>3191</v>
      </c>
      <c r="H348" s="13" t="s">
        <v>2631</v>
      </c>
      <c r="I348" s="13" t="s">
        <v>2309</v>
      </c>
      <c r="J348" s="4">
        <v>11369</v>
      </c>
      <c r="K348" s="4">
        <v>1</v>
      </c>
      <c r="L348" s="4">
        <v>23</v>
      </c>
      <c r="M348" s="4">
        <v>2016</v>
      </c>
      <c r="N348" s="4">
        <v>2</v>
      </c>
      <c r="O348" s="4">
        <v>6</v>
      </c>
      <c r="P348" s="4">
        <v>1</v>
      </c>
      <c r="Q348" s="19">
        <v>299.99</v>
      </c>
      <c r="R348" s="16">
        <v>7.0000000000000007E-2</v>
      </c>
      <c r="S348" s="16">
        <v>299.92</v>
      </c>
      <c r="T348" s="5" t="s">
        <v>26</v>
      </c>
      <c r="U348" s="13" t="s">
        <v>299</v>
      </c>
    </row>
    <row r="349" spans="1:21" x14ac:dyDescent="0.35">
      <c r="A349" s="4">
        <v>348</v>
      </c>
      <c r="B349" s="4">
        <v>907</v>
      </c>
      <c r="C349" s="13" t="s">
        <v>937</v>
      </c>
      <c r="D349" s="13" t="s">
        <v>938</v>
      </c>
      <c r="E349" s="5" t="s">
        <v>5566</v>
      </c>
      <c r="F349" s="5" t="s">
        <v>3192</v>
      </c>
      <c r="G349" s="5" t="s">
        <v>3193</v>
      </c>
      <c r="H349" s="13" t="s">
        <v>2593</v>
      </c>
      <c r="I349" s="13" t="s">
        <v>2397</v>
      </c>
      <c r="J349" s="4">
        <v>75604</v>
      </c>
      <c r="K349" s="4">
        <v>1</v>
      </c>
      <c r="L349" s="4">
        <v>5</v>
      </c>
      <c r="M349" s="4">
        <v>2016</v>
      </c>
      <c r="N349" s="4">
        <v>3</v>
      </c>
      <c r="O349" s="4">
        <v>9</v>
      </c>
      <c r="P349" s="4">
        <v>2</v>
      </c>
      <c r="Q349" s="19">
        <v>1320.99</v>
      </c>
      <c r="R349" s="16">
        <v>0.05</v>
      </c>
      <c r="S349" s="16">
        <v>2641.93</v>
      </c>
      <c r="T349" s="5" t="s">
        <v>10</v>
      </c>
      <c r="U349" s="13" t="s">
        <v>304</v>
      </c>
    </row>
    <row r="350" spans="1:21" x14ac:dyDescent="0.35">
      <c r="A350" s="4">
        <v>349</v>
      </c>
      <c r="B350" s="4">
        <v>30</v>
      </c>
      <c r="C350" s="13" t="s">
        <v>420</v>
      </c>
      <c r="D350" s="13" t="s">
        <v>939</v>
      </c>
      <c r="E350" s="5" t="s">
        <v>5566</v>
      </c>
      <c r="F350" s="5" t="s">
        <v>3194</v>
      </c>
      <c r="G350" s="5" t="s">
        <v>3195</v>
      </c>
      <c r="H350" s="13" t="s">
        <v>2347</v>
      </c>
      <c r="I350" s="13" t="s">
        <v>2305</v>
      </c>
      <c r="J350" s="4">
        <v>90505</v>
      </c>
      <c r="K350" s="4">
        <v>1</v>
      </c>
      <c r="L350" s="4">
        <v>20</v>
      </c>
      <c r="M350" s="4">
        <v>2016</v>
      </c>
      <c r="N350" s="4">
        <v>1</v>
      </c>
      <c r="O350" s="4">
        <v>3</v>
      </c>
      <c r="P350" s="4">
        <v>2</v>
      </c>
      <c r="Q350" s="19">
        <v>599.99</v>
      </c>
      <c r="R350" s="16">
        <v>0.2</v>
      </c>
      <c r="S350" s="16">
        <v>1199.78</v>
      </c>
      <c r="T350" s="5" t="s">
        <v>25</v>
      </c>
      <c r="U350" s="13" t="s">
        <v>301</v>
      </c>
    </row>
    <row r="351" spans="1:21" x14ac:dyDescent="0.35">
      <c r="A351" s="4">
        <v>350</v>
      </c>
      <c r="B351" s="4">
        <v>31</v>
      </c>
      <c r="C351" s="13" t="s">
        <v>628</v>
      </c>
      <c r="D351" s="13" t="s">
        <v>629</v>
      </c>
      <c r="E351" s="5" t="s">
        <v>2755</v>
      </c>
      <c r="F351" s="5" t="s">
        <v>2756</v>
      </c>
      <c r="G351" s="5" t="s">
        <v>2757</v>
      </c>
      <c r="H351" s="13" t="s">
        <v>2758</v>
      </c>
      <c r="I351" s="13" t="s">
        <v>2305</v>
      </c>
      <c r="J351" s="4">
        <v>94603</v>
      </c>
      <c r="K351" s="4">
        <v>1</v>
      </c>
      <c r="L351" s="4">
        <v>6</v>
      </c>
      <c r="M351" s="4">
        <v>2016</v>
      </c>
      <c r="N351" s="4">
        <v>1</v>
      </c>
      <c r="O351" s="4">
        <v>3</v>
      </c>
      <c r="P351" s="4">
        <v>2</v>
      </c>
      <c r="Q351" s="19">
        <v>469.99</v>
      </c>
      <c r="R351" s="16">
        <v>0.05</v>
      </c>
      <c r="S351" s="16">
        <v>939.93000000000006</v>
      </c>
      <c r="T351" s="5" t="s">
        <v>11</v>
      </c>
      <c r="U351" s="13" t="s">
        <v>304</v>
      </c>
    </row>
    <row r="352" spans="1:21" x14ac:dyDescent="0.35">
      <c r="A352" s="4">
        <v>351</v>
      </c>
      <c r="B352" s="4">
        <v>1307</v>
      </c>
      <c r="C352" s="13" t="s">
        <v>940</v>
      </c>
      <c r="D352" s="13" t="s">
        <v>915</v>
      </c>
      <c r="E352" s="5" t="s">
        <v>5566</v>
      </c>
      <c r="F352" s="5" t="s">
        <v>3196</v>
      </c>
      <c r="G352" s="5" t="s">
        <v>3197</v>
      </c>
      <c r="H352" s="13" t="s">
        <v>3198</v>
      </c>
      <c r="I352" s="13" t="s">
        <v>2305</v>
      </c>
      <c r="J352" s="4">
        <v>93635</v>
      </c>
      <c r="K352" s="4">
        <v>1</v>
      </c>
      <c r="L352" s="4">
        <v>4</v>
      </c>
      <c r="M352" s="4">
        <v>2016</v>
      </c>
      <c r="N352" s="4">
        <v>1</v>
      </c>
      <c r="O352" s="4">
        <v>2</v>
      </c>
      <c r="P352" s="4">
        <v>2</v>
      </c>
      <c r="Q352" s="19">
        <v>2899.99</v>
      </c>
      <c r="R352" s="16">
        <v>0.05</v>
      </c>
      <c r="S352" s="16">
        <v>5799.9299999999994</v>
      </c>
      <c r="T352" s="5" t="s">
        <v>9</v>
      </c>
      <c r="U352" s="13" t="s">
        <v>304</v>
      </c>
    </row>
    <row r="353" spans="1:21" x14ac:dyDescent="0.35">
      <c r="A353" s="4">
        <v>352</v>
      </c>
      <c r="B353" s="4">
        <v>16</v>
      </c>
      <c r="C353" s="13" t="s">
        <v>941</v>
      </c>
      <c r="D353" s="13" t="s">
        <v>942</v>
      </c>
      <c r="E353" s="5" t="s">
        <v>3199</v>
      </c>
      <c r="F353" s="5" t="s">
        <v>3200</v>
      </c>
      <c r="G353" s="5" t="s">
        <v>3201</v>
      </c>
      <c r="H353" s="13" t="s">
        <v>2647</v>
      </c>
      <c r="I353" s="13" t="s">
        <v>2309</v>
      </c>
      <c r="J353" s="4">
        <v>10002</v>
      </c>
      <c r="K353" s="4">
        <v>1</v>
      </c>
      <c r="L353" s="4">
        <v>11</v>
      </c>
      <c r="M353" s="4">
        <v>2016</v>
      </c>
      <c r="N353" s="4">
        <v>2</v>
      </c>
      <c r="O353" s="4">
        <v>7</v>
      </c>
      <c r="P353" s="4">
        <v>1</v>
      </c>
      <c r="Q353" s="19">
        <v>1680.99</v>
      </c>
      <c r="R353" s="16">
        <v>0.2</v>
      </c>
      <c r="S353" s="16">
        <v>1680.79</v>
      </c>
      <c r="T353" s="5" t="s">
        <v>16</v>
      </c>
      <c r="U353" s="13" t="s">
        <v>302</v>
      </c>
    </row>
    <row r="354" spans="1:21" x14ac:dyDescent="0.35">
      <c r="A354" s="4">
        <v>353</v>
      </c>
      <c r="B354" s="4">
        <v>1387</v>
      </c>
      <c r="C354" s="13" t="s">
        <v>943</v>
      </c>
      <c r="D354" s="13" t="s">
        <v>944</v>
      </c>
      <c r="E354" s="5" t="s">
        <v>5566</v>
      </c>
      <c r="F354" s="5" t="s">
        <v>3202</v>
      </c>
      <c r="G354" s="5" t="s">
        <v>3203</v>
      </c>
      <c r="H354" s="13" t="s">
        <v>3204</v>
      </c>
      <c r="I354" s="13" t="s">
        <v>2309</v>
      </c>
      <c r="J354" s="4">
        <v>14424</v>
      </c>
      <c r="K354" s="4">
        <v>1</v>
      </c>
      <c r="L354" s="4">
        <v>2</v>
      </c>
      <c r="M354" s="4">
        <v>2016</v>
      </c>
      <c r="N354" s="4">
        <v>2</v>
      </c>
      <c r="O354" s="4">
        <v>7</v>
      </c>
      <c r="P354" s="4">
        <v>2</v>
      </c>
      <c r="Q354" s="19">
        <v>749.99</v>
      </c>
      <c r="R354" s="16">
        <v>0.2</v>
      </c>
      <c r="S354" s="16">
        <v>1499.78</v>
      </c>
      <c r="T354" s="5" t="s">
        <v>7</v>
      </c>
      <c r="U354" s="13" t="s">
        <v>304</v>
      </c>
    </row>
    <row r="355" spans="1:21" x14ac:dyDescent="0.35">
      <c r="A355" s="4">
        <v>354</v>
      </c>
      <c r="B355" s="4">
        <v>551</v>
      </c>
      <c r="C355" s="13" t="s">
        <v>945</v>
      </c>
      <c r="D355" s="13" t="s">
        <v>946</v>
      </c>
      <c r="E355" s="5" t="s">
        <v>3205</v>
      </c>
      <c r="F355" s="5" t="s">
        <v>3206</v>
      </c>
      <c r="G355" s="5" t="s">
        <v>3207</v>
      </c>
      <c r="H355" s="13" t="s">
        <v>2587</v>
      </c>
      <c r="I355" s="13" t="s">
        <v>2397</v>
      </c>
      <c r="J355" s="4">
        <v>76110</v>
      </c>
      <c r="K355" s="4">
        <v>1</v>
      </c>
      <c r="L355" s="4">
        <v>21</v>
      </c>
      <c r="M355" s="4">
        <v>2016</v>
      </c>
      <c r="N355" s="4">
        <v>3</v>
      </c>
      <c r="O355" s="4">
        <v>8</v>
      </c>
      <c r="P355" s="4">
        <v>1</v>
      </c>
      <c r="Q355" s="19">
        <v>269.99</v>
      </c>
      <c r="R355" s="16">
        <v>0.2</v>
      </c>
      <c r="S355" s="16">
        <v>269.79000000000002</v>
      </c>
      <c r="T355" s="5" t="s">
        <v>18</v>
      </c>
      <c r="U355" s="13" t="s">
        <v>299</v>
      </c>
    </row>
    <row r="356" spans="1:21" x14ac:dyDescent="0.35">
      <c r="A356" s="4">
        <v>355</v>
      </c>
      <c r="B356" s="4">
        <v>1011</v>
      </c>
      <c r="C356" s="13" t="s">
        <v>729</v>
      </c>
      <c r="D356" s="13" t="s">
        <v>947</v>
      </c>
      <c r="E356" s="5" t="s">
        <v>5566</v>
      </c>
      <c r="F356" s="5" t="s">
        <v>3208</v>
      </c>
      <c r="G356" s="5" t="s">
        <v>3209</v>
      </c>
      <c r="H356" s="13" t="s">
        <v>902</v>
      </c>
      <c r="I356" s="13" t="s">
        <v>2397</v>
      </c>
      <c r="J356" s="4">
        <v>75043</v>
      </c>
      <c r="K356" s="4">
        <v>1</v>
      </c>
      <c r="L356" s="4">
        <v>16</v>
      </c>
      <c r="M356" s="4">
        <v>2016</v>
      </c>
      <c r="N356" s="4">
        <v>3</v>
      </c>
      <c r="O356" s="4">
        <v>8</v>
      </c>
      <c r="P356" s="4">
        <v>1</v>
      </c>
      <c r="Q356" s="19">
        <v>599.99</v>
      </c>
      <c r="R356" s="16">
        <v>0.1</v>
      </c>
      <c r="S356" s="16">
        <v>599.89</v>
      </c>
      <c r="T356" s="5" t="s">
        <v>21</v>
      </c>
      <c r="U356" s="13" t="s">
        <v>301</v>
      </c>
    </row>
    <row r="357" spans="1:21" x14ac:dyDescent="0.35">
      <c r="A357" s="4">
        <v>356</v>
      </c>
      <c r="B357" s="4">
        <v>1189</v>
      </c>
      <c r="C357" s="13" t="s">
        <v>948</v>
      </c>
      <c r="D357" s="13" t="s">
        <v>650</v>
      </c>
      <c r="E357" s="5" t="s">
        <v>5566</v>
      </c>
      <c r="F357" s="5" t="s">
        <v>3210</v>
      </c>
      <c r="G357" s="5" t="s">
        <v>3211</v>
      </c>
      <c r="H357" s="13" t="s">
        <v>3212</v>
      </c>
      <c r="I357" s="13" t="s">
        <v>2309</v>
      </c>
      <c r="J357" s="4">
        <v>11553</v>
      </c>
      <c r="K357" s="4">
        <v>1</v>
      </c>
      <c r="L357" s="4">
        <v>23</v>
      </c>
      <c r="M357" s="4">
        <v>2016</v>
      </c>
      <c r="N357" s="4">
        <v>2</v>
      </c>
      <c r="O357" s="4">
        <v>6</v>
      </c>
      <c r="P357" s="4">
        <v>2</v>
      </c>
      <c r="Q357" s="19">
        <v>299.99</v>
      </c>
      <c r="R357" s="16">
        <v>0.05</v>
      </c>
      <c r="S357" s="16">
        <v>599.93000000000006</v>
      </c>
      <c r="T357" s="5" t="s">
        <v>26</v>
      </c>
      <c r="U357" s="13" t="s">
        <v>299</v>
      </c>
    </row>
    <row r="358" spans="1:21" x14ac:dyDescent="0.35">
      <c r="A358" s="4">
        <v>357</v>
      </c>
      <c r="B358" s="4">
        <v>14</v>
      </c>
      <c r="C358" s="13" t="s">
        <v>949</v>
      </c>
      <c r="D358" s="13" t="s">
        <v>564</v>
      </c>
      <c r="E358" s="5" t="s">
        <v>5566</v>
      </c>
      <c r="F358" s="5" t="s">
        <v>3213</v>
      </c>
      <c r="G358" s="5" t="s">
        <v>3214</v>
      </c>
      <c r="H358" s="13" t="s">
        <v>3215</v>
      </c>
      <c r="I358" s="13" t="s">
        <v>2397</v>
      </c>
      <c r="J358" s="4">
        <v>75126</v>
      </c>
      <c r="K358" s="4">
        <v>1</v>
      </c>
      <c r="L358" s="4">
        <v>17</v>
      </c>
      <c r="M358" s="4">
        <v>2016</v>
      </c>
      <c r="N358" s="4">
        <v>3</v>
      </c>
      <c r="O358" s="4">
        <v>8</v>
      </c>
      <c r="P358" s="4">
        <v>2</v>
      </c>
      <c r="Q358" s="19">
        <v>429</v>
      </c>
      <c r="R358" s="16">
        <v>0.05</v>
      </c>
      <c r="S358" s="16">
        <v>857.95</v>
      </c>
      <c r="T358" s="5" t="s">
        <v>22</v>
      </c>
      <c r="U358" s="13" t="s">
        <v>301</v>
      </c>
    </row>
    <row r="359" spans="1:21" x14ac:dyDescent="0.35">
      <c r="A359" s="4">
        <v>358</v>
      </c>
      <c r="B359" s="4">
        <v>1042</v>
      </c>
      <c r="C359" s="13" t="s">
        <v>950</v>
      </c>
      <c r="D359" s="13" t="s">
        <v>523</v>
      </c>
      <c r="E359" s="5" t="s">
        <v>5566</v>
      </c>
      <c r="F359" s="5" t="s">
        <v>3216</v>
      </c>
      <c r="G359" s="5" t="s">
        <v>3217</v>
      </c>
      <c r="H359" s="13" t="s">
        <v>3074</v>
      </c>
      <c r="I359" s="13" t="s">
        <v>2309</v>
      </c>
      <c r="J359" s="4">
        <v>11003</v>
      </c>
      <c r="K359" s="4">
        <v>1</v>
      </c>
      <c r="L359" s="4">
        <v>21</v>
      </c>
      <c r="M359" s="4">
        <v>2016</v>
      </c>
      <c r="N359" s="4">
        <v>2</v>
      </c>
      <c r="O359" s="4">
        <v>7</v>
      </c>
      <c r="P359" s="4">
        <v>2</v>
      </c>
      <c r="Q359" s="19">
        <v>269.99</v>
      </c>
      <c r="R359" s="16">
        <v>0.1</v>
      </c>
      <c r="S359" s="16">
        <v>539.88</v>
      </c>
      <c r="T359" s="5" t="s">
        <v>18</v>
      </c>
      <c r="U359" s="13" t="s">
        <v>299</v>
      </c>
    </row>
    <row r="360" spans="1:21" x14ac:dyDescent="0.35">
      <c r="A360" s="4">
        <v>359</v>
      </c>
      <c r="B360" s="4">
        <v>441</v>
      </c>
      <c r="C360" s="13" t="s">
        <v>951</v>
      </c>
      <c r="D360" s="13" t="s">
        <v>952</v>
      </c>
      <c r="E360" s="5" t="s">
        <v>5566</v>
      </c>
      <c r="F360" s="5" t="s">
        <v>3218</v>
      </c>
      <c r="G360" s="5" t="s">
        <v>3219</v>
      </c>
      <c r="H360" s="13" t="s">
        <v>2525</v>
      </c>
      <c r="I360" s="13" t="s">
        <v>2309</v>
      </c>
      <c r="J360" s="4">
        <v>11050</v>
      </c>
      <c r="K360" s="4">
        <v>1</v>
      </c>
      <c r="L360" s="4">
        <v>15</v>
      </c>
      <c r="M360" s="4">
        <v>2016</v>
      </c>
      <c r="N360" s="4">
        <v>2</v>
      </c>
      <c r="O360" s="4">
        <v>7</v>
      </c>
      <c r="P360" s="4">
        <v>2</v>
      </c>
      <c r="Q360" s="19">
        <v>529.99</v>
      </c>
      <c r="R360" s="16">
        <v>7.0000000000000007E-2</v>
      </c>
      <c r="S360" s="16">
        <v>1059.9100000000001</v>
      </c>
      <c r="T360" s="5" t="s">
        <v>20</v>
      </c>
      <c r="U360" s="13" t="s">
        <v>301</v>
      </c>
    </row>
    <row r="361" spans="1:21" x14ac:dyDescent="0.35">
      <c r="A361" s="4">
        <v>360</v>
      </c>
      <c r="B361" s="4">
        <v>1300</v>
      </c>
      <c r="C361" s="13" t="s">
        <v>953</v>
      </c>
      <c r="D361" s="13" t="s">
        <v>735</v>
      </c>
      <c r="E361" s="5" t="s">
        <v>5566</v>
      </c>
      <c r="F361" s="5" t="s">
        <v>3220</v>
      </c>
      <c r="G361" s="5" t="s">
        <v>3221</v>
      </c>
      <c r="H361" s="13" t="s">
        <v>2933</v>
      </c>
      <c r="I361" s="13" t="s">
        <v>2309</v>
      </c>
      <c r="J361" s="4">
        <v>14701</v>
      </c>
      <c r="K361" s="4">
        <v>1</v>
      </c>
      <c r="L361" s="4">
        <v>26</v>
      </c>
      <c r="M361" s="4">
        <v>2016</v>
      </c>
      <c r="N361" s="4">
        <v>2</v>
      </c>
      <c r="O361" s="4">
        <v>6</v>
      </c>
      <c r="P361" s="4">
        <v>1</v>
      </c>
      <c r="Q361" s="19">
        <v>599.99</v>
      </c>
      <c r="R361" s="16">
        <v>0.05</v>
      </c>
      <c r="S361" s="16">
        <v>599.94000000000005</v>
      </c>
      <c r="T361" s="5" t="s">
        <v>21</v>
      </c>
      <c r="U361" s="13" t="s">
        <v>300</v>
      </c>
    </row>
    <row r="362" spans="1:21" x14ac:dyDescent="0.35">
      <c r="A362" s="4">
        <v>361</v>
      </c>
      <c r="B362" s="4">
        <v>994</v>
      </c>
      <c r="C362" s="13" t="s">
        <v>954</v>
      </c>
      <c r="D362" s="13" t="s">
        <v>796</v>
      </c>
      <c r="E362" s="5" t="s">
        <v>5566</v>
      </c>
      <c r="F362" s="5" t="s">
        <v>3222</v>
      </c>
      <c r="G362" s="5" t="s">
        <v>3223</v>
      </c>
      <c r="H362" s="13" t="s">
        <v>3185</v>
      </c>
      <c r="I362" s="13" t="s">
        <v>2309</v>
      </c>
      <c r="J362" s="4">
        <v>10598</v>
      </c>
      <c r="K362" s="4">
        <v>1</v>
      </c>
      <c r="L362" s="4">
        <v>24</v>
      </c>
      <c r="M362" s="4">
        <v>2016</v>
      </c>
      <c r="N362" s="4">
        <v>2</v>
      </c>
      <c r="O362" s="4">
        <v>6</v>
      </c>
      <c r="P362" s="4">
        <v>2</v>
      </c>
      <c r="Q362" s="19">
        <v>549.99</v>
      </c>
      <c r="R362" s="16">
        <v>0.05</v>
      </c>
      <c r="S362" s="16">
        <v>1099.93</v>
      </c>
      <c r="T362" s="5" t="s">
        <v>17</v>
      </c>
      <c r="U362" s="13" t="s">
        <v>300</v>
      </c>
    </row>
    <row r="363" spans="1:21" x14ac:dyDescent="0.35">
      <c r="A363" s="4">
        <v>362</v>
      </c>
      <c r="B363" s="4">
        <v>187</v>
      </c>
      <c r="C363" s="13" t="s">
        <v>955</v>
      </c>
      <c r="D363" s="13" t="s">
        <v>337</v>
      </c>
      <c r="E363" s="5" t="s">
        <v>5566</v>
      </c>
      <c r="F363" s="5" t="s">
        <v>3224</v>
      </c>
      <c r="G363" s="5" t="s">
        <v>3225</v>
      </c>
      <c r="H363" s="13" t="s">
        <v>2885</v>
      </c>
      <c r="I363" s="13" t="s">
        <v>2305</v>
      </c>
      <c r="J363" s="4">
        <v>92307</v>
      </c>
      <c r="K363" s="4">
        <v>1</v>
      </c>
      <c r="L363" s="4">
        <v>2</v>
      </c>
      <c r="M363" s="4">
        <v>2016</v>
      </c>
      <c r="N363" s="4">
        <v>1</v>
      </c>
      <c r="O363" s="4">
        <v>2</v>
      </c>
      <c r="P363" s="4">
        <v>1</v>
      </c>
      <c r="Q363" s="19">
        <v>749.99</v>
      </c>
      <c r="R363" s="16">
        <v>7.0000000000000007E-2</v>
      </c>
      <c r="S363" s="16">
        <v>749.92</v>
      </c>
      <c r="T363" s="5" t="s">
        <v>7</v>
      </c>
      <c r="U363" s="13" t="s">
        <v>304</v>
      </c>
    </row>
    <row r="364" spans="1:21" x14ac:dyDescent="0.35">
      <c r="A364" s="4">
        <v>363</v>
      </c>
      <c r="B364" s="4">
        <v>834</v>
      </c>
      <c r="C364" s="13" t="s">
        <v>956</v>
      </c>
      <c r="D364" s="13" t="s">
        <v>905</v>
      </c>
      <c r="E364" s="5" t="s">
        <v>5566</v>
      </c>
      <c r="F364" s="5" t="s">
        <v>3226</v>
      </c>
      <c r="G364" s="5" t="s">
        <v>3227</v>
      </c>
      <c r="H364" s="13" t="s">
        <v>2666</v>
      </c>
      <c r="I364" s="13" t="s">
        <v>2397</v>
      </c>
      <c r="J364" s="4">
        <v>76039</v>
      </c>
      <c r="K364" s="4">
        <v>1</v>
      </c>
      <c r="L364" s="4">
        <v>21</v>
      </c>
      <c r="M364" s="4">
        <v>2016</v>
      </c>
      <c r="N364" s="4">
        <v>3</v>
      </c>
      <c r="O364" s="4">
        <v>8</v>
      </c>
      <c r="P364" s="4">
        <v>2</v>
      </c>
      <c r="Q364" s="19">
        <v>269.99</v>
      </c>
      <c r="R364" s="16">
        <v>0.1</v>
      </c>
      <c r="S364" s="16">
        <v>539.88</v>
      </c>
      <c r="T364" s="5" t="s">
        <v>18</v>
      </c>
      <c r="U364" s="13" t="s">
        <v>299</v>
      </c>
    </row>
    <row r="365" spans="1:21" x14ac:dyDescent="0.35">
      <c r="A365" s="4">
        <v>364</v>
      </c>
      <c r="B365" s="4">
        <v>373</v>
      </c>
      <c r="C365" s="13" t="s">
        <v>957</v>
      </c>
      <c r="D365" s="13" t="s">
        <v>958</v>
      </c>
      <c r="E365" s="5" t="s">
        <v>5566</v>
      </c>
      <c r="F365" s="5" t="s">
        <v>3228</v>
      </c>
      <c r="G365" s="5" t="s">
        <v>3229</v>
      </c>
      <c r="H365" s="13" t="s">
        <v>2318</v>
      </c>
      <c r="I365" s="13" t="s">
        <v>2309</v>
      </c>
      <c r="J365" s="4">
        <v>13501</v>
      </c>
      <c r="K365" s="4">
        <v>1</v>
      </c>
      <c r="L365" s="4">
        <v>25</v>
      </c>
      <c r="M365" s="4">
        <v>2016</v>
      </c>
      <c r="N365" s="4">
        <v>2</v>
      </c>
      <c r="O365" s="4">
        <v>6</v>
      </c>
      <c r="P365" s="4">
        <v>2</v>
      </c>
      <c r="Q365" s="19">
        <v>499.99</v>
      </c>
      <c r="R365" s="16">
        <v>0.05</v>
      </c>
      <c r="S365" s="16">
        <v>999.93000000000006</v>
      </c>
      <c r="T365" s="5" t="s">
        <v>27</v>
      </c>
      <c r="U365" s="13" t="s">
        <v>300</v>
      </c>
    </row>
    <row r="366" spans="1:21" x14ac:dyDescent="0.35">
      <c r="A366" s="4">
        <v>365</v>
      </c>
      <c r="B366" s="4">
        <v>981</v>
      </c>
      <c r="C366" s="13" t="s">
        <v>959</v>
      </c>
      <c r="D366" s="13" t="s">
        <v>960</v>
      </c>
      <c r="E366" s="5" t="s">
        <v>3230</v>
      </c>
      <c r="F366" s="5" t="s">
        <v>3231</v>
      </c>
      <c r="G366" s="5" t="s">
        <v>3232</v>
      </c>
      <c r="H366" s="13" t="s">
        <v>2419</v>
      </c>
      <c r="I366" s="13" t="s">
        <v>2309</v>
      </c>
      <c r="J366" s="4">
        <v>11561</v>
      </c>
      <c r="K366" s="4">
        <v>1</v>
      </c>
      <c r="L366" s="4">
        <v>24</v>
      </c>
      <c r="M366" s="4">
        <v>2016</v>
      </c>
      <c r="N366" s="4">
        <v>2</v>
      </c>
      <c r="O366" s="4">
        <v>6</v>
      </c>
      <c r="P366" s="4">
        <v>2</v>
      </c>
      <c r="Q366" s="19">
        <v>549.99</v>
      </c>
      <c r="R366" s="16">
        <v>7.0000000000000007E-2</v>
      </c>
      <c r="S366" s="16">
        <v>1099.9100000000001</v>
      </c>
      <c r="T366" s="5" t="s">
        <v>17</v>
      </c>
      <c r="U366" s="13" t="s">
        <v>300</v>
      </c>
    </row>
    <row r="367" spans="1:21" x14ac:dyDescent="0.35">
      <c r="A367" s="4">
        <v>366</v>
      </c>
      <c r="B367" s="4">
        <v>1054</v>
      </c>
      <c r="C367" s="13" t="s">
        <v>961</v>
      </c>
      <c r="D367" s="13" t="s">
        <v>962</v>
      </c>
      <c r="E367" s="5" t="s">
        <v>5566</v>
      </c>
      <c r="F367" s="5" t="s">
        <v>3233</v>
      </c>
      <c r="G367" s="5" t="s">
        <v>3234</v>
      </c>
      <c r="H367" s="13" t="s">
        <v>902</v>
      </c>
      <c r="I367" s="13" t="s">
        <v>2397</v>
      </c>
      <c r="J367" s="4">
        <v>75043</v>
      </c>
      <c r="K367" s="4">
        <v>1</v>
      </c>
      <c r="L367" s="4">
        <v>21</v>
      </c>
      <c r="M367" s="4">
        <v>2016</v>
      </c>
      <c r="N367" s="4">
        <v>3</v>
      </c>
      <c r="O367" s="4">
        <v>9</v>
      </c>
      <c r="P367" s="4">
        <v>1</v>
      </c>
      <c r="Q367" s="19">
        <v>269.99</v>
      </c>
      <c r="R367" s="16">
        <v>0.1</v>
      </c>
      <c r="S367" s="16">
        <v>269.89</v>
      </c>
      <c r="T367" s="5" t="s">
        <v>18</v>
      </c>
      <c r="U367" s="13" t="s">
        <v>299</v>
      </c>
    </row>
    <row r="368" spans="1:21" x14ac:dyDescent="0.35">
      <c r="A368" s="4">
        <v>367</v>
      </c>
      <c r="B368" s="4">
        <v>527</v>
      </c>
      <c r="C368" s="13" t="s">
        <v>963</v>
      </c>
      <c r="D368" s="13" t="s">
        <v>964</v>
      </c>
      <c r="E368" s="5" t="s">
        <v>5566</v>
      </c>
      <c r="F368" s="5" t="s">
        <v>3235</v>
      </c>
      <c r="G368" s="5" t="s">
        <v>3236</v>
      </c>
      <c r="H368" s="13" t="s">
        <v>2888</v>
      </c>
      <c r="I368" s="13" t="s">
        <v>2309</v>
      </c>
      <c r="J368" s="4">
        <v>11727</v>
      </c>
      <c r="K368" s="4">
        <v>1</v>
      </c>
      <c r="L368" s="4">
        <v>26</v>
      </c>
      <c r="M368" s="4">
        <v>2016</v>
      </c>
      <c r="N368" s="4">
        <v>2</v>
      </c>
      <c r="O368" s="4">
        <v>7</v>
      </c>
      <c r="P368" s="4">
        <v>2</v>
      </c>
      <c r="Q368" s="19">
        <v>599.99</v>
      </c>
      <c r="R368" s="16">
        <v>0.1</v>
      </c>
      <c r="S368" s="16">
        <v>1199.8800000000001</v>
      </c>
      <c r="T368" s="5" t="s">
        <v>21</v>
      </c>
      <c r="U368" s="13" t="s">
        <v>300</v>
      </c>
    </row>
    <row r="369" spans="1:21" x14ac:dyDescent="0.35">
      <c r="A369" s="4">
        <v>368</v>
      </c>
      <c r="B369" s="4">
        <v>995</v>
      </c>
      <c r="C369" s="13" t="s">
        <v>965</v>
      </c>
      <c r="D369" s="13" t="s">
        <v>932</v>
      </c>
      <c r="E369" s="5" t="s">
        <v>5566</v>
      </c>
      <c r="F369" s="5" t="s">
        <v>3237</v>
      </c>
      <c r="G369" s="5" t="s">
        <v>3238</v>
      </c>
      <c r="H369" s="13" t="s">
        <v>3204</v>
      </c>
      <c r="I369" s="13" t="s">
        <v>2309</v>
      </c>
      <c r="J369" s="4">
        <v>14424</v>
      </c>
      <c r="K369" s="4">
        <v>1</v>
      </c>
      <c r="L369" s="4">
        <v>5</v>
      </c>
      <c r="M369" s="4">
        <v>2016</v>
      </c>
      <c r="N369" s="4">
        <v>2</v>
      </c>
      <c r="O369" s="4">
        <v>7</v>
      </c>
      <c r="P369" s="4">
        <v>1</v>
      </c>
      <c r="Q369" s="19">
        <v>1320.99</v>
      </c>
      <c r="R369" s="16">
        <v>0.2</v>
      </c>
      <c r="S369" s="16">
        <v>1320.79</v>
      </c>
      <c r="T369" s="5" t="s">
        <v>10</v>
      </c>
      <c r="U369" s="13" t="s">
        <v>304</v>
      </c>
    </row>
    <row r="370" spans="1:21" x14ac:dyDescent="0.35">
      <c r="A370" s="4">
        <v>369</v>
      </c>
      <c r="B370" s="4">
        <v>1285</v>
      </c>
      <c r="C370" s="13" t="s">
        <v>966</v>
      </c>
      <c r="D370" s="13" t="s">
        <v>445</v>
      </c>
      <c r="E370" s="5" t="s">
        <v>5566</v>
      </c>
      <c r="F370" s="5" t="s">
        <v>3239</v>
      </c>
      <c r="G370" s="5" t="s">
        <v>3240</v>
      </c>
      <c r="H370" s="13" t="s">
        <v>2528</v>
      </c>
      <c r="I370" s="13" t="s">
        <v>2305</v>
      </c>
      <c r="J370" s="4">
        <v>91740</v>
      </c>
      <c r="K370" s="4">
        <v>1</v>
      </c>
      <c r="L370" s="4">
        <v>10</v>
      </c>
      <c r="M370" s="4">
        <v>2016</v>
      </c>
      <c r="N370" s="4">
        <v>1</v>
      </c>
      <c r="O370" s="4">
        <v>3</v>
      </c>
      <c r="P370" s="4">
        <v>2</v>
      </c>
      <c r="Q370" s="19">
        <v>1549</v>
      </c>
      <c r="R370" s="16">
        <v>7.0000000000000007E-2</v>
      </c>
      <c r="S370" s="16">
        <v>3097.93</v>
      </c>
      <c r="T370" s="5" t="s">
        <v>15</v>
      </c>
      <c r="U370" s="13" t="s">
        <v>302</v>
      </c>
    </row>
    <row r="371" spans="1:21" x14ac:dyDescent="0.35">
      <c r="A371" s="4">
        <v>370</v>
      </c>
      <c r="B371" s="4">
        <v>758</v>
      </c>
      <c r="C371" s="13" t="s">
        <v>967</v>
      </c>
      <c r="D371" s="13" t="s">
        <v>968</v>
      </c>
      <c r="E371" s="5" t="s">
        <v>5566</v>
      </c>
      <c r="F371" s="5" t="s">
        <v>3241</v>
      </c>
      <c r="G371" s="5" t="s">
        <v>3242</v>
      </c>
      <c r="H371" s="13" t="s">
        <v>2663</v>
      </c>
      <c r="I371" s="13" t="s">
        <v>2309</v>
      </c>
      <c r="J371" s="4">
        <v>12804</v>
      </c>
      <c r="K371" s="4">
        <v>1</v>
      </c>
      <c r="L371" s="4">
        <v>25</v>
      </c>
      <c r="M371" s="4">
        <v>2016</v>
      </c>
      <c r="N371" s="4">
        <v>2</v>
      </c>
      <c r="O371" s="4">
        <v>7</v>
      </c>
      <c r="P371" s="4">
        <v>2</v>
      </c>
      <c r="Q371" s="19">
        <v>499.99</v>
      </c>
      <c r="R371" s="16">
        <v>0.05</v>
      </c>
      <c r="S371" s="16">
        <v>999.93000000000006</v>
      </c>
      <c r="T371" s="5" t="s">
        <v>27</v>
      </c>
      <c r="U371" s="13" t="s">
        <v>300</v>
      </c>
    </row>
    <row r="372" spans="1:21" x14ac:dyDescent="0.35">
      <c r="A372" s="4">
        <v>371</v>
      </c>
      <c r="B372" s="4">
        <v>891</v>
      </c>
      <c r="C372" s="13" t="s">
        <v>969</v>
      </c>
      <c r="D372" s="13" t="s">
        <v>970</v>
      </c>
      <c r="E372" s="5" t="s">
        <v>5566</v>
      </c>
      <c r="F372" s="5" t="s">
        <v>3243</v>
      </c>
      <c r="G372" s="5" t="s">
        <v>3244</v>
      </c>
      <c r="H372" s="13" t="s">
        <v>3182</v>
      </c>
      <c r="I372" s="13" t="s">
        <v>2309</v>
      </c>
      <c r="J372" s="4">
        <v>10952</v>
      </c>
      <c r="K372" s="4">
        <v>1</v>
      </c>
      <c r="L372" s="4">
        <v>14</v>
      </c>
      <c r="M372" s="4">
        <v>2016</v>
      </c>
      <c r="N372" s="4">
        <v>2</v>
      </c>
      <c r="O372" s="4">
        <v>7</v>
      </c>
      <c r="P372" s="4">
        <v>1</v>
      </c>
      <c r="Q372" s="19">
        <v>269.99</v>
      </c>
      <c r="R372" s="16">
        <v>0.2</v>
      </c>
      <c r="S372" s="16">
        <v>269.79000000000002</v>
      </c>
      <c r="T372" s="5" t="s">
        <v>19</v>
      </c>
      <c r="U372" s="13" t="s">
        <v>301</v>
      </c>
    </row>
    <row r="373" spans="1:21" x14ac:dyDescent="0.35">
      <c r="A373" s="4">
        <v>372</v>
      </c>
      <c r="B373" s="4">
        <v>132</v>
      </c>
      <c r="C373" s="13" t="s">
        <v>566</v>
      </c>
      <c r="D373" s="13" t="s">
        <v>899</v>
      </c>
      <c r="E373" s="5" t="s">
        <v>5566</v>
      </c>
      <c r="F373" s="5" t="s">
        <v>3245</v>
      </c>
      <c r="G373" s="5" t="s">
        <v>3246</v>
      </c>
      <c r="H373" s="13" t="s">
        <v>3247</v>
      </c>
      <c r="I373" s="13" t="s">
        <v>2309</v>
      </c>
      <c r="J373" s="4">
        <v>14075</v>
      </c>
      <c r="K373" s="4">
        <v>1</v>
      </c>
      <c r="L373" s="4">
        <v>11</v>
      </c>
      <c r="M373" s="4">
        <v>2016</v>
      </c>
      <c r="N373" s="4">
        <v>2</v>
      </c>
      <c r="O373" s="4">
        <v>6</v>
      </c>
      <c r="P373" s="4">
        <v>1</v>
      </c>
      <c r="Q373" s="19">
        <v>1680.99</v>
      </c>
      <c r="R373" s="16">
        <v>0.05</v>
      </c>
      <c r="S373" s="16">
        <v>1680.94</v>
      </c>
      <c r="T373" s="5" t="s">
        <v>16</v>
      </c>
      <c r="U373" s="13" t="s">
        <v>302</v>
      </c>
    </row>
    <row r="374" spans="1:21" x14ac:dyDescent="0.35">
      <c r="A374" s="4">
        <v>373</v>
      </c>
      <c r="B374" s="4">
        <v>337</v>
      </c>
      <c r="C374" s="13" t="s">
        <v>971</v>
      </c>
      <c r="D374" s="13" t="s">
        <v>972</v>
      </c>
      <c r="E374" s="5" t="s">
        <v>5566</v>
      </c>
      <c r="F374" s="5" t="s">
        <v>3248</v>
      </c>
      <c r="G374" s="5" t="s">
        <v>3249</v>
      </c>
      <c r="H374" s="13" t="s">
        <v>3161</v>
      </c>
      <c r="I374" s="13" t="s">
        <v>2309</v>
      </c>
      <c r="J374" s="4">
        <v>11420</v>
      </c>
      <c r="K374" s="4">
        <v>1</v>
      </c>
      <c r="L374" s="4">
        <v>8</v>
      </c>
      <c r="M374" s="4">
        <v>2016</v>
      </c>
      <c r="N374" s="4">
        <v>2</v>
      </c>
      <c r="O374" s="4">
        <v>7</v>
      </c>
      <c r="P374" s="4">
        <v>2</v>
      </c>
      <c r="Q374" s="19">
        <v>1799.99</v>
      </c>
      <c r="R374" s="16">
        <v>0.05</v>
      </c>
      <c r="S374" s="16">
        <v>3599.93</v>
      </c>
      <c r="T374" s="5" t="s">
        <v>13</v>
      </c>
      <c r="U374" s="13" t="s">
        <v>304</v>
      </c>
    </row>
    <row r="375" spans="1:21" x14ac:dyDescent="0.35">
      <c r="A375" s="4">
        <v>374</v>
      </c>
      <c r="B375" s="4">
        <v>1313</v>
      </c>
      <c r="C375" s="13" t="s">
        <v>973</v>
      </c>
      <c r="D375" s="13" t="s">
        <v>974</v>
      </c>
      <c r="E375" s="5" t="s">
        <v>5566</v>
      </c>
      <c r="F375" s="5" t="s">
        <v>3250</v>
      </c>
      <c r="G375" s="5" t="s">
        <v>3251</v>
      </c>
      <c r="H375" s="13" t="s">
        <v>2315</v>
      </c>
      <c r="I375" s="13" t="s">
        <v>2305</v>
      </c>
      <c r="J375" s="4">
        <v>91010</v>
      </c>
      <c r="K375" s="4">
        <v>1</v>
      </c>
      <c r="L375" s="4">
        <v>10</v>
      </c>
      <c r="M375" s="4">
        <v>2016</v>
      </c>
      <c r="N375" s="4">
        <v>1</v>
      </c>
      <c r="O375" s="4">
        <v>2</v>
      </c>
      <c r="P375" s="4">
        <v>1</v>
      </c>
      <c r="Q375" s="19">
        <v>1549</v>
      </c>
      <c r="R375" s="16">
        <v>0.1</v>
      </c>
      <c r="S375" s="16">
        <v>1548.9</v>
      </c>
      <c r="T375" s="5" t="s">
        <v>15</v>
      </c>
      <c r="U375" s="13" t="s">
        <v>302</v>
      </c>
    </row>
    <row r="376" spans="1:21" x14ac:dyDescent="0.35">
      <c r="A376" s="4">
        <v>375</v>
      </c>
      <c r="B376" s="4">
        <v>536</v>
      </c>
      <c r="C376" s="13" t="s">
        <v>975</v>
      </c>
      <c r="D376" s="13" t="s">
        <v>976</v>
      </c>
      <c r="E376" s="5" t="s">
        <v>5566</v>
      </c>
      <c r="F376" s="5" t="s">
        <v>3252</v>
      </c>
      <c r="G376" s="5" t="s">
        <v>3253</v>
      </c>
      <c r="H376" s="13" t="s">
        <v>2390</v>
      </c>
      <c r="I376" s="13" t="s">
        <v>2309</v>
      </c>
      <c r="J376" s="4">
        <v>14127</v>
      </c>
      <c r="K376" s="4">
        <v>1</v>
      </c>
      <c r="L376" s="4">
        <v>21</v>
      </c>
      <c r="M376" s="4">
        <v>2016</v>
      </c>
      <c r="N376" s="4">
        <v>2</v>
      </c>
      <c r="O376" s="4">
        <v>7</v>
      </c>
      <c r="P376" s="4">
        <v>2</v>
      </c>
      <c r="Q376" s="19">
        <v>269.99</v>
      </c>
      <c r="R376" s="16">
        <v>0.05</v>
      </c>
      <c r="S376" s="16">
        <v>539.93000000000006</v>
      </c>
      <c r="T376" s="5" t="s">
        <v>18</v>
      </c>
      <c r="U376" s="13" t="s">
        <v>299</v>
      </c>
    </row>
    <row r="377" spans="1:21" x14ac:dyDescent="0.35">
      <c r="A377" s="4">
        <v>376</v>
      </c>
      <c r="B377" s="4">
        <v>825</v>
      </c>
      <c r="C377" s="13" t="s">
        <v>661</v>
      </c>
      <c r="D377" s="13" t="s">
        <v>977</v>
      </c>
      <c r="E377" s="5" t="s">
        <v>5566</v>
      </c>
      <c r="F377" s="5" t="s">
        <v>3254</v>
      </c>
      <c r="G377" s="5" t="s">
        <v>3255</v>
      </c>
      <c r="H377" s="13" t="s">
        <v>2858</v>
      </c>
      <c r="I377" s="13" t="s">
        <v>2309</v>
      </c>
      <c r="J377" s="4">
        <v>11801</v>
      </c>
      <c r="K377" s="4">
        <v>1</v>
      </c>
      <c r="L377" s="4">
        <v>2</v>
      </c>
      <c r="M377" s="4">
        <v>2016</v>
      </c>
      <c r="N377" s="4">
        <v>2</v>
      </c>
      <c r="O377" s="4">
        <v>6</v>
      </c>
      <c r="P377" s="4">
        <v>2</v>
      </c>
      <c r="Q377" s="19">
        <v>749.99</v>
      </c>
      <c r="R377" s="16">
        <v>7.0000000000000007E-2</v>
      </c>
      <c r="S377" s="16">
        <v>1499.91</v>
      </c>
      <c r="T377" s="5" t="s">
        <v>7</v>
      </c>
      <c r="U377" s="13" t="s">
        <v>304</v>
      </c>
    </row>
    <row r="378" spans="1:21" x14ac:dyDescent="0.35">
      <c r="A378" s="4">
        <v>377</v>
      </c>
      <c r="B378" s="4">
        <v>1355</v>
      </c>
      <c r="C378" s="13" t="s">
        <v>830</v>
      </c>
      <c r="D378" s="13" t="s">
        <v>369</v>
      </c>
      <c r="E378" s="5" t="s">
        <v>5566</v>
      </c>
      <c r="F378" s="5" t="s">
        <v>3256</v>
      </c>
      <c r="G378" s="5" t="s">
        <v>3257</v>
      </c>
      <c r="H378" s="13" t="s">
        <v>3258</v>
      </c>
      <c r="I378" s="13" t="s">
        <v>2309</v>
      </c>
      <c r="J378" s="4">
        <v>11756</v>
      </c>
      <c r="K378" s="4">
        <v>1</v>
      </c>
      <c r="L378" s="4">
        <v>8</v>
      </c>
      <c r="M378" s="4">
        <v>2016</v>
      </c>
      <c r="N378" s="4">
        <v>2</v>
      </c>
      <c r="O378" s="4">
        <v>6</v>
      </c>
      <c r="P378" s="4">
        <v>1</v>
      </c>
      <c r="Q378" s="19">
        <v>1799.99</v>
      </c>
      <c r="R378" s="16">
        <v>0.05</v>
      </c>
      <c r="S378" s="16">
        <v>1799.94</v>
      </c>
      <c r="T378" s="5" t="s">
        <v>13</v>
      </c>
      <c r="U378" s="13" t="s">
        <v>304</v>
      </c>
    </row>
    <row r="379" spans="1:21" x14ac:dyDescent="0.35">
      <c r="A379" s="4">
        <v>378</v>
      </c>
      <c r="B379" s="4">
        <v>475</v>
      </c>
      <c r="C379" s="13" t="s">
        <v>978</v>
      </c>
      <c r="D379" s="13" t="s">
        <v>647</v>
      </c>
      <c r="E379" s="5" t="s">
        <v>5566</v>
      </c>
      <c r="F379" s="5" t="s">
        <v>3259</v>
      </c>
      <c r="G379" s="5" t="s">
        <v>3260</v>
      </c>
      <c r="H379" s="13" t="s">
        <v>2608</v>
      </c>
      <c r="I379" s="13" t="s">
        <v>2397</v>
      </c>
      <c r="J379" s="4">
        <v>77904</v>
      </c>
      <c r="K379" s="4">
        <v>1</v>
      </c>
      <c r="L379" s="4">
        <v>26</v>
      </c>
      <c r="M379" s="4">
        <v>2016</v>
      </c>
      <c r="N379" s="4">
        <v>3</v>
      </c>
      <c r="O379" s="4">
        <v>9</v>
      </c>
      <c r="P379" s="4">
        <v>2</v>
      </c>
      <c r="Q379" s="19">
        <v>599.99</v>
      </c>
      <c r="R379" s="16">
        <v>0.05</v>
      </c>
      <c r="S379" s="16">
        <v>1199.93</v>
      </c>
      <c r="T379" s="5" t="s">
        <v>21</v>
      </c>
      <c r="U379" s="13" t="s">
        <v>300</v>
      </c>
    </row>
    <row r="380" spans="1:21" x14ac:dyDescent="0.35">
      <c r="A380" s="4">
        <v>379</v>
      </c>
      <c r="B380" s="4">
        <v>954</v>
      </c>
      <c r="C380" s="13" t="s">
        <v>979</v>
      </c>
      <c r="D380" s="13" t="s">
        <v>980</v>
      </c>
      <c r="E380" s="5" t="s">
        <v>5566</v>
      </c>
      <c r="F380" s="5" t="s">
        <v>3261</v>
      </c>
      <c r="G380" s="5" t="s">
        <v>3262</v>
      </c>
      <c r="H380" s="13" t="s">
        <v>2858</v>
      </c>
      <c r="I380" s="13" t="s">
        <v>2309</v>
      </c>
      <c r="J380" s="4">
        <v>11801</v>
      </c>
      <c r="K380" s="4">
        <v>1</v>
      </c>
      <c r="L380" s="4">
        <v>9</v>
      </c>
      <c r="M380" s="4">
        <v>2016</v>
      </c>
      <c r="N380" s="4">
        <v>2</v>
      </c>
      <c r="O380" s="4">
        <v>7</v>
      </c>
      <c r="P380" s="4">
        <v>1</v>
      </c>
      <c r="Q380" s="19">
        <v>2999.99</v>
      </c>
      <c r="R380" s="16">
        <v>7.0000000000000007E-2</v>
      </c>
      <c r="S380" s="16">
        <v>2999.9199999999996</v>
      </c>
      <c r="T380" s="5" t="s">
        <v>14</v>
      </c>
      <c r="U380" s="13" t="s">
        <v>303</v>
      </c>
    </row>
    <row r="381" spans="1:21" x14ac:dyDescent="0.35">
      <c r="A381" s="4">
        <v>380</v>
      </c>
      <c r="B381" s="4">
        <v>1156</v>
      </c>
      <c r="C381" s="13" t="s">
        <v>605</v>
      </c>
      <c r="D381" s="13" t="s">
        <v>981</v>
      </c>
      <c r="E381" s="5" t="s">
        <v>5566</v>
      </c>
      <c r="F381" s="5" t="s">
        <v>3263</v>
      </c>
      <c r="G381" s="5" t="s">
        <v>3264</v>
      </c>
      <c r="H381" s="13" t="s">
        <v>2690</v>
      </c>
      <c r="I381" s="13" t="s">
        <v>2309</v>
      </c>
      <c r="J381" s="4">
        <v>11414</v>
      </c>
      <c r="K381" s="4">
        <v>1</v>
      </c>
      <c r="L381" s="4">
        <v>16</v>
      </c>
      <c r="M381" s="4">
        <v>2016</v>
      </c>
      <c r="N381" s="4">
        <v>2</v>
      </c>
      <c r="O381" s="4">
        <v>7</v>
      </c>
      <c r="P381" s="4">
        <v>1</v>
      </c>
      <c r="Q381" s="19">
        <v>599.99</v>
      </c>
      <c r="R381" s="16">
        <v>0.05</v>
      </c>
      <c r="S381" s="16">
        <v>599.94000000000005</v>
      </c>
      <c r="T381" s="5" t="s">
        <v>21</v>
      </c>
      <c r="U381" s="13" t="s">
        <v>301</v>
      </c>
    </row>
    <row r="382" spans="1:21" x14ac:dyDescent="0.35">
      <c r="A382" s="4">
        <v>381</v>
      </c>
      <c r="B382" s="4">
        <v>1297</v>
      </c>
      <c r="C382" s="13" t="s">
        <v>982</v>
      </c>
      <c r="D382" s="13" t="s">
        <v>983</v>
      </c>
      <c r="E382" s="5" t="s">
        <v>5566</v>
      </c>
      <c r="F382" s="5" t="s">
        <v>3265</v>
      </c>
      <c r="G382" s="5" t="s">
        <v>3266</v>
      </c>
      <c r="H382" s="13" t="s">
        <v>3267</v>
      </c>
      <c r="I382" s="13" t="s">
        <v>2309</v>
      </c>
      <c r="J382" s="4">
        <v>10801</v>
      </c>
      <c r="K382" s="4">
        <v>1</v>
      </c>
      <c r="L382" s="4">
        <v>21</v>
      </c>
      <c r="M382" s="4">
        <v>2016</v>
      </c>
      <c r="N382" s="4">
        <v>2</v>
      </c>
      <c r="O382" s="4">
        <v>7</v>
      </c>
      <c r="P382" s="4">
        <v>2</v>
      </c>
      <c r="Q382" s="19">
        <v>269.99</v>
      </c>
      <c r="R382" s="16">
        <v>7.0000000000000007E-2</v>
      </c>
      <c r="S382" s="16">
        <v>539.91</v>
      </c>
      <c r="T382" s="5" t="s">
        <v>18</v>
      </c>
      <c r="U382" s="13" t="s">
        <v>299</v>
      </c>
    </row>
    <row r="383" spans="1:21" x14ac:dyDescent="0.35">
      <c r="A383" s="4">
        <v>382</v>
      </c>
      <c r="B383" s="4">
        <v>199</v>
      </c>
      <c r="C383" s="13" t="s">
        <v>984</v>
      </c>
      <c r="D383" s="13" t="s">
        <v>985</v>
      </c>
      <c r="E383" s="5" t="s">
        <v>5566</v>
      </c>
      <c r="F383" s="5" t="s">
        <v>3268</v>
      </c>
      <c r="G383" s="5" t="s">
        <v>3269</v>
      </c>
      <c r="H383" s="13" t="s">
        <v>2507</v>
      </c>
      <c r="I383" s="13" t="s">
        <v>2309</v>
      </c>
      <c r="J383" s="4">
        <v>12553</v>
      </c>
      <c r="K383" s="4">
        <v>1</v>
      </c>
      <c r="L383" s="4">
        <v>8</v>
      </c>
      <c r="M383" s="4">
        <v>2016</v>
      </c>
      <c r="N383" s="4">
        <v>2</v>
      </c>
      <c r="O383" s="4">
        <v>6</v>
      </c>
      <c r="P383" s="4">
        <v>1</v>
      </c>
      <c r="Q383" s="19">
        <v>1799.99</v>
      </c>
      <c r="R383" s="16">
        <v>0.1</v>
      </c>
      <c r="S383" s="16">
        <v>1799.89</v>
      </c>
      <c r="T383" s="5" t="s">
        <v>13</v>
      </c>
      <c r="U383" s="13" t="s">
        <v>304</v>
      </c>
    </row>
    <row r="384" spans="1:21" x14ac:dyDescent="0.35">
      <c r="A384" s="4">
        <v>383</v>
      </c>
      <c r="B384" s="4">
        <v>331</v>
      </c>
      <c r="C384" s="13" t="s">
        <v>986</v>
      </c>
      <c r="D384" s="13" t="s">
        <v>987</v>
      </c>
      <c r="E384" s="5" t="s">
        <v>5566</v>
      </c>
      <c r="F384" s="5" t="s">
        <v>3270</v>
      </c>
      <c r="G384" s="5" t="s">
        <v>3271</v>
      </c>
      <c r="H384" s="13" t="s">
        <v>3013</v>
      </c>
      <c r="I384" s="13" t="s">
        <v>2309</v>
      </c>
      <c r="J384" s="4">
        <v>11706</v>
      </c>
      <c r="K384" s="4">
        <v>1</v>
      </c>
      <c r="L384" s="4">
        <v>19</v>
      </c>
      <c r="M384" s="4">
        <v>2016</v>
      </c>
      <c r="N384" s="4">
        <v>2</v>
      </c>
      <c r="O384" s="4">
        <v>7</v>
      </c>
      <c r="P384" s="4">
        <v>1</v>
      </c>
      <c r="Q384" s="19">
        <v>449</v>
      </c>
      <c r="R384" s="16">
        <v>7.0000000000000007E-2</v>
      </c>
      <c r="S384" s="16">
        <v>448.93</v>
      </c>
      <c r="T384" s="5" t="s">
        <v>24</v>
      </c>
      <c r="U384" s="13" t="s">
        <v>301</v>
      </c>
    </row>
    <row r="385" spans="1:21" x14ac:dyDescent="0.35">
      <c r="A385" s="4">
        <v>384</v>
      </c>
      <c r="B385" s="4">
        <v>410</v>
      </c>
      <c r="C385" s="13" t="s">
        <v>988</v>
      </c>
      <c r="D385" s="13" t="s">
        <v>989</v>
      </c>
      <c r="E385" s="5" t="s">
        <v>5566</v>
      </c>
      <c r="F385" s="5" t="s">
        <v>3272</v>
      </c>
      <c r="G385" s="5" t="s">
        <v>3273</v>
      </c>
      <c r="H385" s="13" t="s">
        <v>2324</v>
      </c>
      <c r="I385" s="13" t="s">
        <v>2309</v>
      </c>
      <c r="J385" s="4">
        <v>11710</v>
      </c>
      <c r="K385" s="4">
        <v>1</v>
      </c>
      <c r="L385" s="4">
        <v>20</v>
      </c>
      <c r="M385" s="4">
        <v>2016</v>
      </c>
      <c r="N385" s="4">
        <v>2</v>
      </c>
      <c r="O385" s="4">
        <v>7</v>
      </c>
      <c r="P385" s="4">
        <v>1</v>
      </c>
      <c r="Q385" s="19">
        <v>599.99</v>
      </c>
      <c r="R385" s="16">
        <v>0.1</v>
      </c>
      <c r="S385" s="16">
        <v>599.89</v>
      </c>
      <c r="T385" s="5" t="s">
        <v>25</v>
      </c>
      <c r="U385" s="13" t="s">
        <v>301</v>
      </c>
    </row>
    <row r="386" spans="1:21" x14ac:dyDescent="0.35">
      <c r="A386" s="4">
        <v>385</v>
      </c>
      <c r="B386" s="4">
        <v>1274</v>
      </c>
      <c r="C386" s="13" t="s">
        <v>990</v>
      </c>
      <c r="D386" s="13" t="s">
        <v>923</v>
      </c>
      <c r="E386" s="5" t="s">
        <v>5566</v>
      </c>
      <c r="F386" s="5" t="s">
        <v>3274</v>
      </c>
      <c r="G386" s="5" t="s">
        <v>3275</v>
      </c>
      <c r="H386" s="13" t="s">
        <v>3122</v>
      </c>
      <c r="I386" s="13" t="s">
        <v>2309</v>
      </c>
      <c r="J386" s="4">
        <v>12550</v>
      </c>
      <c r="K386" s="4">
        <v>1</v>
      </c>
      <c r="L386" s="4">
        <v>21</v>
      </c>
      <c r="M386" s="4">
        <v>2016</v>
      </c>
      <c r="N386" s="4">
        <v>2</v>
      </c>
      <c r="O386" s="4">
        <v>7</v>
      </c>
      <c r="P386" s="4">
        <v>1</v>
      </c>
      <c r="Q386" s="19">
        <v>269.99</v>
      </c>
      <c r="R386" s="16">
        <v>7.0000000000000007E-2</v>
      </c>
      <c r="S386" s="16">
        <v>269.92</v>
      </c>
      <c r="T386" s="5" t="s">
        <v>18</v>
      </c>
      <c r="U386" s="13" t="s">
        <v>299</v>
      </c>
    </row>
    <row r="387" spans="1:21" x14ac:dyDescent="0.35">
      <c r="A387" s="4">
        <v>386</v>
      </c>
      <c r="B387" s="4">
        <v>1362</v>
      </c>
      <c r="C387" s="13" t="s">
        <v>991</v>
      </c>
      <c r="D387" s="13" t="s">
        <v>947</v>
      </c>
      <c r="E387" s="5" t="s">
        <v>5566</v>
      </c>
      <c r="F387" s="5" t="s">
        <v>3276</v>
      </c>
      <c r="G387" s="5" t="s">
        <v>3277</v>
      </c>
      <c r="H387" s="13" t="s">
        <v>2390</v>
      </c>
      <c r="I387" s="13" t="s">
        <v>2309</v>
      </c>
      <c r="J387" s="4">
        <v>14127</v>
      </c>
      <c r="K387" s="4">
        <v>1</v>
      </c>
      <c r="L387" s="4">
        <v>8</v>
      </c>
      <c r="M387" s="4">
        <v>2016</v>
      </c>
      <c r="N387" s="4">
        <v>2</v>
      </c>
      <c r="O387" s="4">
        <v>6</v>
      </c>
      <c r="P387" s="4">
        <v>1</v>
      </c>
      <c r="Q387" s="19">
        <v>1799.99</v>
      </c>
      <c r="R387" s="16">
        <v>0.2</v>
      </c>
      <c r="S387" s="16">
        <v>1799.79</v>
      </c>
      <c r="T387" s="5" t="s">
        <v>13</v>
      </c>
      <c r="U387" s="13" t="s">
        <v>304</v>
      </c>
    </row>
    <row r="388" spans="1:21" x14ac:dyDescent="0.35">
      <c r="A388" s="4">
        <v>387</v>
      </c>
      <c r="B388" s="4">
        <v>451</v>
      </c>
      <c r="C388" s="13" t="s">
        <v>992</v>
      </c>
      <c r="D388" s="13" t="s">
        <v>993</v>
      </c>
      <c r="E388" s="5" t="s">
        <v>5566</v>
      </c>
      <c r="F388" s="5" t="s">
        <v>3278</v>
      </c>
      <c r="G388" s="5" t="s">
        <v>3279</v>
      </c>
      <c r="H388" s="13" t="s">
        <v>3280</v>
      </c>
      <c r="I388" s="13" t="s">
        <v>2397</v>
      </c>
      <c r="J388" s="4">
        <v>75088</v>
      </c>
      <c r="K388" s="4">
        <v>1</v>
      </c>
      <c r="L388" s="4">
        <v>18</v>
      </c>
      <c r="M388" s="4">
        <v>2016</v>
      </c>
      <c r="N388" s="4">
        <v>3</v>
      </c>
      <c r="O388" s="4">
        <v>8</v>
      </c>
      <c r="P388" s="4">
        <v>1</v>
      </c>
      <c r="Q388" s="19">
        <v>449</v>
      </c>
      <c r="R388" s="16">
        <v>0.2</v>
      </c>
      <c r="S388" s="16">
        <v>448.8</v>
      </c>
      <c r="T388" s="5" t="s">
        <v>23</v>
      </c>
      <c r="U388" s="13" t="s">
        <v>301</v>
      </c>
    </row>
    <row r="389" spans="1:21" x14ac:dyDescent="0.35">
      <c r="A389" s="4">
        <v>388</v>
      </c>
      <c r="B389" s="4">
        <v>1080</v>
      </c>
      <c r="C389" s="13" t="s">
        <v>994</v>
      </c>
      <c r="D389" s="13" t="s">
        <v>995</v>
      </c>
      <c r="E389" s="5" t="s">
        <v>5566</v>
      </c>
      <c r="F389" s="5" t="s">
        <v>3281</v>
      </c>
      <c r="G389" s="5" t="s">
        <v>3282</v>
      </c>
      <c r="H389" s="13" t="s">
        <v>2593</v>
      </c>
      <c r="I389" s="13" t="s">
        <v>2397</v>
      </c>
      <c r="J389" s="4">
        <v>75604</v>
      </c>
      <c r="K389" s="4">
        <v>1</v>
      </c>
      <c r="L389" s="4">
        <v>19</v>
      </c>
      <c r="M389" s="4">
        <v>2016</v>
      </c>
      <c r="N389" s="4">
        <v>3</v>
      </c>
      <c r="O389" s="4">
        <v>8</v>
      </c>
      <c r="P389" s="4">
        <v>2</v>
      </c>
      <c r="Q389" s="19">
        <v>449</v>
      </c>
      <c r="R389" s="16">
        <v>0.2</v>
      </c>
      <c r="S389" s="16">
        <v>897.8</v>
      </c>
      <c r="T389" s="5" t="s">
        <v>24</v>
      </c>
      <c r="U389" s="13" t="s">
        <v>301</v>
      </c>
    </row>
    <row r="390" spans="1:21" x14ac:dyDescent="0.35">
      <c r="A390" s="4">
        <v>389</v>
      </c>
      <c r="B390" s="4">
        <v>53</v>
      </c>
      <c r="C390" s="13" t="s">
        <v>996</v>
      </c>
      <c r="D390" s="13" t="s">
        <v>997</v>
      </c>
      <c r="E390" s="5" t="s">
        <v>5566</v>
      </c>
      <c r="F390" s="5" t="s">
        <v>3283</v>
      </c>
      <c r="G390" s="5" t="s">
        <v>3284</v>
      </c>
      <c r="H390" s="13" t="s">
        <v>2528</v>
      </c>
      <c r="I390" s="13" t="s">
        <v>2305</v>
      </c>
      <c r="J390" s="4">
        <v>91740</v>
      </c>
      <c r="K390" s="4">
        <v>1</v>
      </c>
      <c r="L390" s="4">
        <v>2</v>
      </c>
      <c r="M390" s="4">
        <v>2016</v>
      </c>
      <c r="N390" s="4">
        <v>1</v>
      </c>
      <c r="O390" s="4">
        <v>3</v>
      </c>
      <c r="P390" s="4">
        <v>1</v>
      </c>
      <c r="Q390" s="19">
        <v>749.99</v>
      </c>
      <c r="R390" s="16">
        <v>7.0000000000000007E-2</v>
      </c>
      <c r="S390" s="16">
        <v>749.92</v>
      </c>
      <c r="T390" s="5" t="s">
        <v>7</v>
      </c>
      <c r="U390" s="13" t="s">
        <v>304</v>
      </c>
    </row>
    <row r="391" spans="1:21" x14ac:dyDescent="0.35">
      <c r="A391" s="4">
        <v>390</v>
      </c>
      <c r="B391" s="4">
        <v>576</v>
      </c>
      <c r="C391" s="13" t="s">
        <v>926</v>
      </c>
      <c r="D391" s="13" t="s">
        <v>845</v>
      </c>
      <c r="E391" s="5" t="s">
        <v>3285</v>
      </c>
      <c r="F391" s="5" t="s">
        <v>3286</v>
      </c>
      <c r="G391" s="5" t="s">
        <v>3287</v>
      </c>
      <c r="H391" s="13" t="s">
        <v>3189</v>
      </c>
      <c r="I391" s="13" t="s">
        <v>2397</v>
      </c>
      <c r="J391" s="4">
        <v>79930</v>
      </c>
      <c r="K391" s="4">
        <v>1</v>
      </c>
      <c r="L391" s="4">
        <v>23</v>
      </c>
      <c r="M391" s="4">
        <v>2016</v>
      </c>
      <c r="N391" s="4">
        <v>3</v>
      </c>
      <c r="O391" s="4">
        <v>9</v>
      </c>
      <c r="P391" s="4">
        <v>1</v>
      </c>
      <c r="Q391" s="19">
        <v>299.99</v>
      </c>
      <c r="R391" s="16">
        <v>0.05</v>
      </c>
      <c r="S391" s="16">
        <v>299.94</v>
      </c>
      <c r="T391" s="5" t="s">
        <v>26</v>
      </c>
      <c r="U391" s="13" t="s">
        <v>299</v>
      </c>
    </row>
    <row r="392" spans="1:21" x14ac:dyDescent="0.35">
      <c r="A392" s="4">
        <v>391</v>
      </c>
      <c r="B392" s="4">
        <v>61</v>
      </c>
      <c r="C392" s="13" t="s">
        <v>998</v>
      </c>
      <c r="D392" s="13" t="s">
        <v>999</v>
      </c>
      <c r="E392" s="5" t="s">
        <v>5566</v>
      </c>
      <c r="F392" s="5" t="s">
        <v>3288</v>
      </c>
      <c r="G392" s="5" t="s">
        <v>3289</v>
      </c>
      <c r="H392" s="13" t="s">
        <v>2849</v>
      </c>
      <c r="I392" s="13" t="s">
        <v>2397</v>
      </c>
      <c r="J392" s="4">
        <v>76901</v>
      </c>
      <c r="K392" s="4">
        <v>1</v>
      </c>
      <c r="L392" s="4">
        <v>8</v>
      </c>
      <c r="M392" s="4">
        <v>2016</v>
      </c>
      <c r="N392" s="4">
        <v>3</v>
      </c>
      <c r="O392" s="4">
        <v>9</v>
      </c>
      <c r="P392" s="4">
        <v>1</v>
      </c>
      <c r="Q392" s="19">
        <v>1799.99</v>
      </c>
      <c r="R392" s="16">
        <v>7.0000000000000007E-2</v>
      </c>
      <c r="S392" s="16">
        <v>1799.92</v>
      </c>
      <c r="T392" s="5" t="s">
        <v>13</v>
      </c>
      <c r="U392" s="13" t="s">
        <v>304</v>
      </c>
    </row>
    <row r="393" spans="1:21" x14ac:dyDescent="0.35">
      <c r="A393" s="4">
        <v>392</v>
      </c>
      <c r="B393" s="4">
        <v>176</v>
      </c>
      <c r="C393" s="13" t="s">
        <v>1000</v>
      </c>
      <c r="D393" s="13" t="s">
        <v>785</v>
      </c>
      <c r="E393" s="5" t="s">
        <v>5566</v>
      </c>
      <c r="F393" s="5" t="s">
        <v>3290</v>
      </c>
      <c r="G393" s="5" t="s">
        <v>3291</v>
      </c>
      <c r="H393" s="13" t="s">
        <v>3292</v>
      </c>
      <c r="I393" s="13" t="s">
        <v>2305</v>
      </c>
      <c r="J393" s="4">
        <v>91733</v>
      </c>
      <c r="K393" s="4">
        <v>1</v>
      </c>
      <c r="L393" s="4">
        <v>14</v>
      </c>
      <c r="M393" s="4">
        <v>2016</v>
      </c>
      <c r="N393" s="4">
        <v>1</v>
      </c>
      <c r="O393" s="4">
        <v>3</v>
      </c>
      <c r="P393" s="4">
        <v>2</v>
      </c>
      <c r="Q393" s="19">
        <v>269.99</v>
      </c>
      <c r="R393" s="16">
        <v>0.1</v>
      </c>
      <c r="S393" s="16">
        <v>539.88</v>
      </c>
      <c r="T393" s="5" t="s">
        <v>19</v>
      </c>
      <c r="U393" s="13" t="s">
        <v>301</v>
      </c>
    </row>
    <row r="394" spans="1:21" x14ac:dyDescent="0.35">
      <c r="A394" s="4">
        <v>393</v>
      </c>
      <c r="B394" s="4">
        <v>368</v>
      </c>
      <c r="C394" s="13" t="s">
        <v>1001</v>
      </c>
      <c r="D394" s="13" t="s">
        <v>1002</v>
      </c>
      <c r="E394" s="5" t="s">
        <v>5566</v>
      </c>
      <c r="F394" s="5" t="s">
        <v>3293</v>
      </c>
      <c r="G394" s="5" t="s">
        <v>3294</v>
      </c>
      <c r="H394" s="13" t="s">
        <v>2628</v>
      </c>
      <c r="I394" s="13" t="s">
        <v>2309</v>
      </c>
      <c r="J394" s="4">
        <v>11375</v>
      </c>
      <c r="K394" s="4">
        <v>1</v>
      </c>
      <c r="L394" s="4">
        <v>6</v>
      </c>
      <c r="M394" s="4">
        <v>2016</v>
      </c>
      <c r="N394" s="4">
        <v>2</v>
      </c>
      <c r="O394" s="4">
        <v>6</v>
      </c>
      <c r="P394" s="4">
        <v>2</v>
      </c>
      <c r="Q394" s="19">
        <v>469.99</v>
      </c>
      <c r="R394" s="16">
        <v>0.2</v>
      </c>
      <c r="S394" s="16">
        <v>939.78</v>
      </c>
      <c r="T394" s="5" t="s">
        <v>11</v>
      </c>
      <c r="U394" s="13" t="s">
        <v>304</v>
      </c>
    </row>
    <row r="395" spans="1:21" x14ac:dyDescent="0.35">
      <c r="A395" s="4">
        <v>394</v>
      </c>
      <c r="B395" s="4">
        <v>522</v>
      </c>
      <c r="C395" s="13" t="s">
        <v>1003</v>
      </c>
      <c r="D395" s="13" t="s">
        <v>1004</v>
      </c>
      <c r="E395" s="5" t="s">
        <v>3295</v>
      </c>
      <c r="F395" s="5" t="s">
        <v>3296</v>
      </c>
      <c r="G395" s="5" t="s">
        <v>3297</v>
      </c>
      <c r="H395" s="13" t="s">
        <v>2758</v>
      </c>
      <c r="I395" s="13" t="s">
        <v>2305</v>
      </c>
      <c r="J395" s="4">
        <v>94603</v>
      </c>
      <c r="K395" s="4">
        <v>1</v>
      </c>
      <c r="L395" s="4">
        <v>23</v>
      </c>
      <c r="M395" s="4">
        <v>2016</v>
      </c>
      <c r="N395" s="4">
        <v>1</v>
      </c>
      <c r="O395" s="4">
        <v>3</v>
      </c>
      <c r="P395" s="4">
        <v>1</v>
      </c>
      <c r="Q395" s="19">
        <v>299.99</v>
      </c>
      <c r="R395" s="16">
        <v>0.05</v>
      </c>
      <c r="S395" s="16">
        <v>299.94</v>
      </c>
      <c r="T395" s="5" t="s">
        <v>26</v>
      </c>
      <c r="U395" s="13" t="s">
        <v>299</v>
      </c>
    </row>
    <row r="396" spans="1:21" x14ac:dyDescent="0.35">
      <c r="A396" s="4">
        <v>395</v>
      </c>
      <c r="B396" s="4">
        <v>144</v>
      </c>
      <c r="C396" s="13" t="s">
        <v>1005</v>
      </c>
      <c r="D396" s="13" t="s">
        <v>1006</v>
      </c>
      <c r="E396" s="5" t="s">
        <v>5566</v>
      </c>
      <c r="F396" s="5" t="s">
        <v>3298</v>
      </c>
      <c r="G396" s="5" t="s">
        <v>3299</v>
      </c>
      <c r="H396" s="13" t="s">
        <v>3153</v>
      </c>
      <c r="I396" s="13" t="s">
        <v>2309</v>
      </c>
      <c r="J396" s="4">
        <v>10573</v>
      </c>
      <c r="K396" s="4">
        <v>1</v>
      </c>
      <c r="L396" s="4">
        <v>14</v>
      </c>
      <c r="M396" s="4">
        <v>2016</v>
      </c>
      <c r="N396" s="4">
        <v>2</v>
      </c>
      <c r="O396" s="4">
        <v>6</v>
      </c>
      <c r="P396" s="4">
        <v>1</v>
      </c>
      <c r="Q396" s="19">
        <v>269.99</v>
      </c>
      <c r="R396" s="16">
        <v>0.05</v>
      </c>
      <c r="S396" s="16">
        <v>269.94</v>
      </c>
      <c r="T396" s="5" t="s">
        <v>19</v>
      </c>
      <c r="U396" s="13" t="s">
        <v>301</v>
      </c>
    </row>
    <row r="397" spans="1:21" x14ac:dyDescent="0.35">
      <c r="A397" s="4">
        <v>396</v>
      </c>
      <c r="B397" s="4">
        <v>542</v>
      </c>
      <c r="C397" s="13" t="s">
        <v>1007</v>
      </c>
      <c r="D397" s="13" t="s">
        <v>1008</v>
      </c>
      <c r="E397" s="5" t="s">
        <v>5566</v>
      </c>
      <c r="F397" s="5" t="s">
        <v>3300</v>
      </c>
      <c r="G397" s="5" t="s">
        <v>3301</v>
      </c>
      <c r="H397" s="13" t="s">
        <v>2531</v>
      </c>
      <c r="I397" s="13" t="s">
        <v>2309</v>
      </c>
      <c r="J397" s="4">
        <v>11779</v>
      </c>
      <c r="K397" s="4">
        <v>1</v>
      </c>
      <c r="L397" s="4">
        <v>12</v>
      </c>
      <c r="M397" s="4">
        <v>2016</v>
      </c>
      <c r="N397" s="4">
        <v>2</v>
      </c>
      <c r="O397" s="4">
        <v>6</v>
      </c>
      <c r="P397" s="4">
        <v>1</v>
      </c>
      <c r="Q397" s="19">
        <v>549.99</v>
      </c>
      <c r="R397" s="16">
        <v>0.1</v>
      </c>
      <c r="S397" s="16">
        <v>549.89</v>
      </c>
      <c r="T397" s="5" t="s">
        <v>17</v>
      </c>
      <c r="U397" s="13" t="s">
        <v>301</v>
      </c>
    </row>
    <row r="398" spans="1:21" x14ac:dyDescent="0.35">
      <c r="A398" s="4">
        <v>397</v>
      </c>
      <c r="B398" s="4">
        <v>1437</v>
      </c>
      <c r="C398" s="13" t="s">
        <v>1009</v>
      </c>
      <c r="D398" s="13" t="s">
        <v>1010</v>
      </c>
      <c r="E398" s="5" t="s">
        <v>5566</v>
      </c>
      <c r="F398" s="5" t="s">
        <v>3302</v>
      </c>
      <c r="G398" s="5" t="s">
        <v>3303</v>
      </c>
      <c r="H398" s="13" t="s">
        <v>2580</v>
      </c>
      <c r="I398" s="13" t="s">
        <v>2309</v>
      </c>
      <c r="J398" s="4">
        <v>11570</v>
      </c>
      <c r="K398" s="4">
        <v>1</v>
      </c>
      <c r="L398" s="4">
        <v>7</v>
      </c>
      <c r="M398" s="4">
        <v>2016</v>
      </c>
      <c r="N398" s="4">
        <v>2</v>
      </c>
      <c r="O398" s="4">
        <v>7</v>
      </c>
      <c r="P398" s="4">
        <v>1</v>
      </c>
      <c r="Q398" s="19">
        <v>3999.99</v>
      </c>
      <c r="R398" s="16">
        <v>0.05</v>
      </c>
      <c r="S398" s="16">
        <v>3999.9399999999996</v>
      </c>
      <c r="T398" s="5" t="s">
        <v>12</v>
      </c>
      <c r="U398" s="13" t="s">
        <v>304</v>
      </c>
    </row>
    <row r="399" spans="1:21" x14ac:dyDescent="0.35">
      <c r="A399" s="4">
        <v>398</v>
      </c>
      <c r="B399" s="4">
        <v>447</v>
      </c>
      <c r="C399" s="13" t="s">
        <v>1011</v>
      </c>
      <c r="D399" s="13" t="s">
        <v>1012</v>
      </c>
      <c r="E399" s="5" t="s">
        <v>5566</v>
      </c>
      <c r="F399" s="5" t="s">
        <v>3304</v>
      </c>
      <c r="G399" s="5" t="s">
        <v>3305</v>
      </c>
      <c r="H399" s="13" t="s">
        <v>2989</v>
      </c>
      <c r="I399" s="13" t="s">
        <v>2305</v>
      </c>
      <c r="J399" s="4">
        <v>92083</v>
      </c>
      <c r="K399" s="4">
        <v>1</v>
      </c>
      <c r="L399" s="4">
        <v>8</v>
      </c>
      <c r="M399" s="4">
        <v>2016</v>
      </c>
      <c r="N399" s="4">
        <v>1</v>
      </c>
      <c r="O399" s="4">
        <v>2</v>
      </c>
      <c r="P399" s="4">
        <v>2</v>
      </c>
      <c r="Q399" s="19">
        <v>1799.99</v>
      </c>
      <c r="R399" s="16">
        <v>0.05</v>
      </c>
      <c r="S399" s="16">
        <v>3599.93</v>
      </c>
      <c r="T399" s="5" t="s">
        <v>13</v>
      </c>
      <c r="U399" s="13" t="s">
        <v>304</v>
      </c>
    </row>
    <row r="400" spans="1:21" x14ac:dyDescent="0.35">
      <c r="A400" s="4">
        <v>399</v>
      </c>
      <c r="B400" s="4">
        <v>1001</v>
      </c>
      <c r="C400" s="13" t="s">
        <v>1013</v>
      </c>
      <c r="D400" s="13" t="s">
        <v>1014</v>
      </c>
      <c r="E400" s="5" t="s">
        <v>3306</v>
      </c>
      <c r="F400" s="5" t="s">
        <v>3307</v>
      </c>
      <c r="G400" s="5" t="s">
        <v>3308</v>
      </c>
      <c r="H400" s="13" t="s">
        <v>2698</v>
      </c>
      <c r="I400" s="13" t="s">
        <v>2309</v>
      </c>
      <c r="J400" s="4">
        <v>11717</v>
      </c>
      <c r="K400" s="4">
        <v>1</v>
      </c>
      <c r="L400" s="4">
        <v>25</v>
      </c>
      <c r="M400" s="4">
        <v>2016</v>
      </c>
      <c r="N400" s="4">
        <v>2</v>
      </c>
      <c r="O400" s="4">
        <v>7</v>
      </c>
      <c r="P400" s="4">
        <v>1</v>
      </c>
      <c r="Q400" s="19">
        <v>499.99</v>
      </c>
      <c r="R400" s="16">
        <v>0.05</v>
      </c>
      <c r="S400" s="16">
        <v>499.94</v>
      </c>
      <c r="T400" s="5" t="s">
        <v>27</v>
      </c>
      <c r="U400" s="13" t="s">
        <v>300</v>
      </c>
    </row>
    <row r="401" spans="1:21" x14ac:dyDescent="0.35">
      <c r="A401" s="4">
        <v>400</v>
      </c>
      <c r="B401" s="4">
        <v>1295</v>
      </c>
      <c r="C401" s="13" t="s">
        <v>1015</v>
      </c>
      <c r="D401" s="13" t="s">
        <v>1016</v>
      </c>
      <c r="E401" s="5" t="s">
        <v>5566</v>
      </c>
      <c r="F401" s="5" t="s">
        <v>3309</v>
      </c>
      <c r="G401" s="5" t="s">
        <v>3310</v>
      </c>
      <c r="H401" s="13" t="s">
        <v>2732</v>
      </c>
      <c r="I401" s="13" t="s">
        <v>2309</v>
      </c>
      <c r="J401" s="4">
        <v>14120</v>
      </c>
      <c r="K401" s="4">
        <v>1</v>
      </c>
      <c r="L401" s="4">
        <v>24</v>
      </c>
      <c r="M401" s="4">
        <v>2016</v>
      </c>
      <c r="N401" s="4">
        <v>2</v>
      </c>
      <c r="O401" s="4">
        <v>6</v>
      </c>
      <c r="P401" s="4">
        <v>2</v>
      </c>
      <c r="Q401" s="19">
        <v>549.99</v>
      </c>
      <c r="R401" s="16">
        <v>7.0000000000000007E-2</v>
      </c>
      <c r="S401" s="16">
        <v>1099.9100000000001</v>
      </c>
      <c r="T401" s="5" t="s">
        <v>17</v>
      </c>
      <c r="U401" s="13" t="s">
        <v>300</v>
      </c>
    </row>
    <row r="402" spans="1:21" x14ac:dyDescent="0.35">
      <c r="A402" s="4">
        <v>401</v>
      </c>
      <c r="B402" s="4">
        <v>103</v>
      </c>
      <c r="C402" s="13" t="s">
        <v>1017</v>
      </c>
      <c r="D402" s="13" t="s">
        <v>1018</v>
      </c>
      <c r="E402" s="5" t="s">
        <v>5566</v>
      </c>
      <c r="F402" s="5" t="s">
        <v>3311</v>
      </c>
      <c r="G402" s="5" t="s">
        <v>3312</v>
      </c>
      <c r="H402" s="13" t="s">
        <v>3057</v>
      </c>
      <c r="I402" s="13" t="s">
        <v>2309</v>
      </c>
      <c r="J402" s="4">
        <v>11791</v>
      </c>
      <c r="K402" s="4">
        <v>1</v>
      </c>
      <c r="L402" s="4">
        <v>23</v>
      </c>
      <c r="M402" s="4">
        <v>2016</v>
      </c>
      <c r="N402" s="4">
        <v>2</v>
      </c>
      <c r="O402" s="4">
        <v>6</v>
      </c>
      <c r="P402" s="4">
        <v>1</v>
      </c>
      <c r="Q402" s="19">
        <v>299.99</v>
      </c>
      <c r="R402" s="16">
        <v>0.2</v>
      </c>
      <c r="S402" s="16">
        <v>299.79000000000002</v>
      </c>
      <c r="T402" s="5" t="s">
        <v>26</v>
      </c>
      <c r="U402" s="13" t="s">
        <v>299</v>
      </c>
    </row>
    <row r="403" spans="1:21" x14ac:dyDescent="0.35">
      <c r="A403" s="4">
        <v>402</v>
      </c>
      <c r="B403" s="4">
        <v>1335</v>
      </c>
      <c r="C403" s="13" t="s">
        <v>1019</v>
      </c>
      <c r="D403" s="13" t="s">
        <v>1020</v>
      </c>
      <c r="E403" s="5" t="s">
        <v>5566</v>
      </c>
      <c r="F403" s="5" t="s">
        <v>3313</v>
      </c>
      <c r="G403" s="5" t="s">
        <v>3314</v>
      </c>
      <c r="H403" s="13" t="s">
        <v>2737</v>
      </c>
      <c r="I403" s="13" t="s">
        <v>2309</v>
      </c>
      <c r="J403" s="4">
        <v>11422</v>
      </c>
      <c r="K403" s="4">
        <v>1</v>
      </c>
      <c r="L403" s="4">
        <v>6</v>
      </c>
      <c r="M403" s="4">
        <v>2016</v>
      </c>
      <c r="N403" s="4">
        <v>2</v>
      </c>
      <c r="O403" s="4">
        <v>6</v>
      </c>
      <c r="P403" s="4">
        <v>2</v>
      </c>
      <c r="Q403" s="19">
        <v>469.99</v>
      </c>
      <c r="R403" s="16">
        <v>7.0000000000000007E-2</v>
      </c>
      <c r="S403" s="16">
        <v>939.91</v>
      </c>
      <c r="T403" s="5" t="s">
        <v>11</v>
      </c>
      <c r="U403" s="13" t="s">
        <v>304</v>
      </c>
    </row>
    <row r="404" spans="1:21" x14ac:dyDescent="0.35">
      <c r="A404" s="4">
        <v>403</v>
      </c>
      <c r="B404" s="4">
        <v>578</v>
      </c>
      <c r="C404" s="13" t="s">
        <v>1021</v>
      </c>
      <c r="D404" s="13" t="s">
        <v>1022</v>
      </c>
      <c r="E404" s="5" t="s">
        <v>5566</v>
      </c>
      <c r="F404" s="5" t="s">
        <v>3315</v>
      </c>
      <c r="G404" s="5" t="s">
        <v>3316</v>
      </c>
      <c r="H404" s="13" t="s">
        <v>3004</v>
      </c>
      <c r="I404" s="13" t="s">
        <v>2305</v>
      </c>
      <c r="J404" s="4">
        <v>94580</v>
      </c>
      <c r="K404" s="4">
        <v>1</v>
      </c>
      <c r="L404" s="4">
        <v>12</v>
      </c>
      <c r="M404" s="4">
        <v>2016</v>
      </c>
      <c r="N404" s="4">
        <v>1</v>
      </c>
      <c r="O404" s="4">
        <v>3</v>
      </c>
      <c r="P404" s="4">
        <v>2</v>
      </c>
      <c r="Q404" s="19">
        <v>549.99</v>
      </c>
      <c r="R404" s="16">
        <v>0.1</v>
      </c>
      <c r="S404" s="16">
        <v>1099.8800000000001</v>
      </c>
      <c r="T404" s="5" t="s">
        <v>17</v>
      </c>
      <c r="U404" s="13" t="s">
        <v>301</v>
      </c>
    </row>
    <row r="405" spans="1:21" x14ac:dyDescent="0.35">
      <c r="A405" s="4">
        <v>404</v>
      </c>
      <c r="B405" s="4">
        <v>396</v>
      </c>
      <c r="C405" s="13" t="s">
        <v>1023</v>
      </c>
      <c r="D405" s="13" t="s">
        <v>1024</v>
      </c>
      <c r="E405" s="5" t="s">
        <v>5566</v>
      </c>
      <c r="F405" s="5" t="s">
        <v>3317</v>
      </c>
      <c r="G405" s="5" t="s">
        <v>3318</v>
      </c>
      <c r="H405" s="13" t="s">
        <v>2344</v>
      </c>
      <c r="I405" s="13" t="s">
        <v>2309</v>
      </c>
      <c r="J405" s="4">
        <v>14304</v>
      </c>
      <c r="K405" s="4">
        <v>1</v>
      </c>
      <c r="L405" s="4">
        <v>9</v>
      </c>
      <c r="M405" s="4">
        <v>2016</v>
      </c>
      <c r="N405" s="4">
        <v>2</v>
      </c>
      <c r="O405" s="4">
        <v>7</v>
      </c>
      <c r="P405" s="4">
        <v>1</v>
      </c>
      <c r="Q405" s="19">
        <v>2999.99</v>
      </c>
      <c r="R405" s="16">
        <v>7.0000000000000007E-2</v>
      </c>
      <c r="S405" s="16">
        <v>2999.9199999999996</v>
      </c>
      <c r="T405" s="5" t="s">
        <v>14</v>
      </c>
      <c r="U405" s="13" t="s">
        <v>303</v>
      </c>
    </row>
    <row r="406" spans="1:21" x14ac:dyDescent="0.35">
      <c r="A406" s="4">
        <v>405</v>
      </c>
      <c r="B406" s="4">
        <v>603</v>
      </c>
      <c r="C406" s="13" t="s">
        <v>1025</v>
      </c>
      <c r="D406" s="13" t="s">
        <v>964</v>
      </c>
      <c r="E406" s="5" t="s">
        <v>5566</v>
      </c>
      <c r="F406" s="5" t="s">
        <v>3319</v>
      </c>
      <c r="G406" s="5" t="s">
        <v>3320</v>
      </c>
      <c r="H406" s="13" t="s">
        <v>2650</v>
      </c>
      <c r="I406" s="13" t="s">
        <v>2309</v>
      </c>
      <c r="J406" s="4">
        <v>11040</v>
      </c>
      <c r="K406" s="4">
        <v>1</v>
      </c>
      <c r="L406" s="4">
        <v>3</v>
      </c>
      <c r="M406" s="4">
        <v>2016</v>
      </c>
      <c r="N406" s="4">
        <v>2</v>
      </c>
      <c r="O406" s="4">
        <v>6</v>
      </c>
      <c r="P406" s="4">
        <v>2</v>
      </c>
      <c r="Q406" s="19">
        <v>999.99</v>
      </c>
      <c r="R406" s="16">
        <v>0.2</v>
      </c>
      <c r="S406" s="16">
        <v>1999.78</v>
      </c>
      <c r="T406" s="5" t="s">
        <v>8</v>
      </c>
      <c r="U406" s="13" t="s">
        <v>304</v>
      </c>
    </row>
    <row r="407" spans="1:21" x14ac:dyDescent="0.35">
      <c r="A407" s="4">
        <v>406</v>
      </c>
      <c r="B407" s="4">
        <v>1380</v>
      </c>
      <c r="C407" s="13" t="s">
        <v>1026</v>
      </c>
      <c r="D407" s="13" t="s">
        <v>1020</v>
      </c>
      <c r="E407" s="5" t="s">
        <v>5566</v>
      </c>
      <c r="F407" s="5" t="s">
        <v>3321</v>
      </c>
      <c r="G407" s="5" t="s">
        <v>3322</v>
      </c>
      <c r="H407" s="13" t="s">
        <v>3212</v>
      </c>
      <c r="I407" s="13" t="s">
        <v>2309</v>
      </c>
      <c r="J407" s="4">
        <v>11553</v>
      </c>
      <c r="K407" s="4">
        <v>1</v>
      </c>
      <c r="L407" s="4">
        <v>4</v>
      </c>
      <c r="M407" s="4">
        <v>2016</v>
      </c>
      <c r="N407" s="4">
        <v>2</v>
      </c>
      <c r="O407" s="4">
        <v>7</v>
      </c>
      <c r="P407" s="4">
        <v>1</v>
      </c>
      <c r="Q407" s="19">
        <v>2899.99</v>
      </c>
      <c r="R407" s="16">
        <v>0.2</v>
      </c>
      <c r="S407" s="16">
        <v>2899.79</v>
      </c>
      <c r="T407" s="5" t="s">
        <v>9</v>
      </c>
      <c r="U407" s="13" t="s">
        <v>304</v>
      </c>
    </row>
    <row r="408" spans="1:21" x14ac:dyDescent="0.35">
      <c r="A408" s="4">
        <v>407</v>
      </c>
      <c r="B408" s="4">
        <v>77</v>
      </c>
      <c r="C408" s="13" t="s">
        <v>1027</v>
      </c>
      <c r="D408" s="13" t="s">
        <v>1028</v>
      </c>
      <c r="E408" s="5" t="s">
        <v>5566</v>
      </c>
      <c r="F408" s="5" t="s">
        <v>3323</v>
      </c>
      <c r="G408" s="5" t="s">
        <v>3324</v>
      </c>
      <c r="H408" s="13" t="s">
        <v>1639</v>
      </c>
      <c r="I408" s="13" t="s">
        <v>2397</v>
      </c>
      <c r="J408" s="4">
        <v>75080</v>
      </c>
      <c r="K408" s="4">
        <v>1</v>
      </c>
      <c r="L408" s="4">
        <v>20</v>
      </c>
      <c r="M408" s="4">
        <v>2016</v>
      </c>
      <c r="N408" s="4">
        <v>3</v>
      </c>
      <c r="O408" s="4">
        <v>8</v>
      </c>
      <c r="P408" s="4">
        <v>1</v>
      </c>
      <c r="Q408" s="19">
        <v>599.99</v>
      </c>
      <c r="R408" s="16">
        <v>0.2</v>
      </c>
      <c r="S408" s="16">
        <v>599.79</v>
      </c>
      <c r="T408" s="5" t="s">
        <v>25</v>
      </c>
      <c r="U408" s="13" t="s">
        <v>301</v>
      </c>
    </row>
    <row r="409" spans="1:21" x14ac:dyDescent="0.35">
      <c r="A409" s="4">
        <v>408</v>
      </c>
      <c r="B409" s="4">
        <v>1071</v>
      </c>
      <c r="C409" s="13" t="s">
        <v>1029</v>
      </c>
      <c r="D409" s="13" t="s">
        <v>1030</v>
      </c>
      <c r="E409" s="5" t="s">
        <v>5566</v>
      </c>
      <c r="F409" s="5" t="s">
        <v>3325</v>
      </c>
      <c r="G409" s="5" t="s">
        <v>3326</v>
      </c>
      <c r="H409" s="13" t="s">
        <v>2356</v>
      </c>
      <c r="I409" s="13" t="s">
        <v>2305</v>
      </c>
      <c r="J409" s="4">
        <v>91768</v>
      </c>
      <c r="K409" s="4">
        <v>1</v>
      </c>
      <c r="L409" s="4">
        <v>18</v>
      </c>
      <c r="M409" s="4">
        <v>2016</v>
      </c>
      <c r="N409" s="4">
        <v>1</v>
      </c>
      <c r="O409" s="4">
        <v>2</v>
      </c>
      <c r="P409" s="4">
        <v>1</v>
      </c>
      <c r="Q409" s="19">
        <v>449</v>
      </c>
      <c r="R409" s="16">
        <v>0.2</v>
      </c>
      <c r="S409" s="16">
        <v>448.8</v>
      </c>
      <c r="T409" s="5" t="s">
        <v>23</v>
      </c>
      <c r="U409" s="13" t="s">
        <v>301</v>
      </c>
    </row>
    <row r="410" spans="1:21" x14ac:dyDescent="0.35">
      <c r="A410" s="4">
        <v>409</v>
      </c>
      <c r="B410" s="4">
        <v>416</v>
      </c>
      <c r="C410" s="13" t="s">
        <v>515</v>
      </c>
      <c r="D410" s="13" t="s">
        <v>1031</v>
      </c>
      <c r="E410" s="5" t="s">
        <v>3327</v>
      </c>
      <c r="F410" s="5" t="s">
        <v>3328</v>
      </c>
      <c r="G410" s="5" t="s">
        <v>3329</v>
      </c>
      <c r="H410" s="13" t="s">
        <v>2615</v>
      </c>
      <c r="I410" s="13" t="s">
        <v>2309</v>
      </c>
      <c r="J410" s="4">
        <v>11550</v>
      </c>
      <c r="K410" s="4">
        <v>1</v>
      </c>
      <c r="L410" s="4">
        <v>15</v>
      </c>
      <c r="M410" s="4">
        <v>2016</v>
      </c>
      <c r="N410" s="4">
        <v>2</v>
      </c>
      <c r="O410" s="4">
        <v>7</v>
      </c>
      <c r="P410" s="4">
        <v>1</v>
      </c>
      <c r="Q410" s="19">
        <v>529.99</v>
      </c>
      <c r="R410" s="16">
        <v>7.0000000000000007E-2</v>
      </c>
      <c r="S410" s="16">
        <v>529.91999999999996</v>
      </c>
      <c r="T410" s="5" t="s">
        <v>20</v>
      </c>
      <c r="U410" s="13" t="s">
        <v>301</v>
      </c>
    </row>
    <row r="411" spans="1:21" x14ac:dyDescent="0.35">
      <c r="A411" s="4">
        <v>410</v>
      </c>
      <c r="B411" s="4">
        <v>1151</v>
      </c>
      <c r="C411" s="13" t="s">
        <v>1032</v>
      </c>
      <c r="D411" s="13" t="s">
        <v>827</v>
      </c>
      <c r="E411" s="5" t="s">
        <v>5566</v>
      </c>
      <c r="F411" s="5" t="s">
        <v>3330</v>
      </c>
      <c r="G411" s="5" t="s">
        <v>3331</v>
      </c>
      <c r="H411" s="13" t="s">
        <v>2567</v>
      </c>
      <c r="I411" s="13" t="s">
        <v>2309</v>
      </c>
      <c r="J411" s="4">
        <v>11720</v>
      </c>
      <c r="K411" s="4">
        <v>1</v>
      </c>
      <c r="L411" s="4">
        <v>25</v>
      </c>
      <c r="M411" s="4">
        <v>2016</v>
      </c>
      <c r="N411" s="4">
        <v>2</v>
      </c>
      <c r="O411" s="4">
        <v>6</v>
      </c>
      <c r="P411" s="4">
        <v>1</v>
      </c>
      <c r="Q411" s="19">
        <v>499.99</v>
      </c>
      <c r="R411" s="16">
        <v>0.1</v>
      </c>
      <c r="S411" s="16">
        <v>499.89</v>
      </c>
      <c r="T411" s="5" t="s">
        <v>27</v>
      </c>
      <c r="U411" s="13" t="s">
        <v>300</v>
      </c>
    </row>
    <row r="412" spans="1:21" x14ac:dyDescent="0.35">
      <c r="A412" s="4">
        <v>411</v>
      </c>
      <c r="B412" s="4">
        <v>261</v>
      </c>
      <c r="C412" s="13" t="s">
        <v>1033</v>
      </c>
      <c r="D412" s="13" t="s">
        <v>1034</v>
      </c>
      <c r="E412" s="5" t="s">
        <v>5566</v>
      </c>
      <c r="F412" s="5" t="s">
        <v>3332</v>
      </c>
      <c r="G412" s="5" t="s">
        <v>3333</v>
      </c>
      <c r="H412" s="13" t="s">
        <v>2749</v>
      </c>
      <c r="I412" s="13" t="s">
        <v>2305</v>
      </c>
      <c r="J412" s="4">
        <v>92831</v>
      </c>
      <c r="K412" s="4">
        <v>1</v>
      </c>
      <c r="L412" s="4">
        <v>2</v>
      </c>
      <c r="M412" s="4">
        <v>2016</v>
      </c>
      <c r="N412" s="4">
        <v>1</v>
      </c>
      <c r="O412" s="4">
        <v>3</v>
      </c>
      <c r="P412" s="4">
        <v>1</v>
      </c>
      <c r="Q412" s="19">
        <v>749.99</v>
      </c>
      <c r="R412" s="16">
        <v>7.0000000000000007E-2</v>
      </c>
      <c r="S412" s="16">
        <v>749.92</v>
      </c>
      <c r="T412" s="5" t="s">
        <v>7</v>
      </c>
      <c r="U412" s="13" t="s">
        <v>304</v>
      </c>
    </row>
    <row r="413" spans="1:21" x14ac:dyDescent="0.35">
      <c r="A413" s="4">
        <v>412</v>
      </c>
      <c r="B413" s="4">
        <v>1202</v>
      </c>
      <c r="C413" s="13" t="s">
        <v>1035</v>
      </c>
      <c r="D413" s="13" t="s">
        <v>1036</v>
      </c>
      <c r="E413" s="5" t="s">
        <v>5566</v>
      </c>
      <c r="F413" s="5" t="s">
        <v>3334</v>
      </c>
      <c r="G413" s="5" t="s">
        <v>3335</v>
      </c>
      <c r="H413" s="13" t="s">
        <v>2353</v>
      </c>
      <c r="I413" s="13" t="s">
        <v>2305</v>
      </c>
      <c r="J413" s="4">
        <v>92220</v>
      </c>
      <c r="K413" s="4">
        <v>1</v>
      </c>
      <c r="L413" s="4">
        <v>7</v>
      </c>
      <c r="M413" s="4">
        <v>2016</v>
      </c>
      <c r="N413" s="4">
        <v>1</v>
      </c>
      <c r="O413" s="4">
        <v>3</v>
      </c>
      <c r="P413" s="4">
        <v>1</v>
      </c>
      <c r="Q413" s="19">
        <v>3999.99</v>
      </c>
      <c r="R413" s="16">
        <v>0.1</v>
      </c>
      <c r="S413" s="16">
        <v>3999.89</v>
      </c>
      <c r="T413" s="5" t="s">
        <v>12</v>
      </c>
      <c r="U413" s="13" t="s">
        <v>304</v>
      </c>
    </row>
    <row r="414" spans="1:21" x14ac:dyDescent="0.35">
      <c r="A414" s="4">
        <v>413</v>
      </c>
      <c r="B414" s="4">
        <v>717</v>
      </c>
      <c r="C414" s="13" t="s">
        <v>1037</v>
      </c>
      <c r="D414" s="13" t="s">
        <v>1038</v>
      </c>
      <c r="E414" s="5" t="s">
        <v>5566</v>
      </c>
      <c r="F414" s="5" t="s">
        <v>3336</v>
      </c>
      <c r="G414" s="5" t="s">
        <v>3337</v>
      </c>
      <c r="H414" s="13" t="s">
        <v>2463</v>
      </c>
      <c r="I414" s="13" t="s">
        <v>2309</v>
      </c>
      <c r="J414" s="4">
        <v>11803</v>
      </c>
      <c r="K414" s="4">
        <v>1</v>
      </c>
      <c r="L414" s="4">
        <v>8</v>
      </c>
      <c r="M414" s="4">
        <v>2016</v>
      </c>
      <c r="N414" s="4">
        <v>2</v>
      </c>
      <c r="O414" s="4">
        <v>6</v>
      </c>
      <c r="P414" s="4">
        <v>2</v>
      </c>
      <c r="Q414" s="19">
        <v>1799.99</v>
      </c>
      <c r="R414" s="16">
        <v>0.05</v>
      </c>
      <c r="S414" s="16">
        <v>3599.93</v>
      </c>
      <c r="T414" s="5" t="s">
        <v>13</v>
      </c>
      <c r="U414" s="13" t="s">
        <v>304</v>
      </c>
    </row>
    <row r="415" spans="1:21" x14ac:dyDescent="0.35">
      <c r="A415" s="4">
        <v>414</v>
      </c>
      <c r="B415" s="4">
        <v>917</v>
      </c>
      <c r="C415" s="13" t="s">
        <v>1039</v>
      </c>
      <c r="D415" s="13" t="s">
        <v>771</v>
      </c>
      <c r="E415" s="5" t="s">
        <v>3338</v>
      </c>
      <c r="F415" s="5" t="s">
        <v>3339</v>
      </c>
      <c r="G415" s="5" t="s">
        <v>3340</v>
      </c>
      <c r="H415" s="13" t="s">
        <v>3027</v>
      </c>
      <c r="I415" s="13" t="s">
        <v>2309</v>
      </c>
      <c r="J415" s="4">
        <v>12180</v>
      </c>
      <c r="K415" s="4">
        <v>1</v>
      </c>
      <c r="L415" s="4">
        <v>4</v>
      </c>
      <c r="M415" s="4">
        <v>2016</v>
      </c>
      <c r="N415" s="4">
        <v>2</v>
      </c>
      <c r="O415" s="4">
        <v>7</v>
      </c>
      <c r="P415" s="4">
        <v>2</v>
      </c>
      <c r="Q415" s="19">
        <v>2899.99</v>
      </c>
      <c r="R415" s="16">
        <v>0.1</v>
      </c>
      <c r="S415" s="16">
        <v>5799.8799999999992</v>
      </c>
      <c r="T415" s="5" t="s">
        <v>9</v>
      </c>
      <c r="U415" s="13" t="s">
        <v>304</v>
      </c>
    </row>
    <row r="416" spans="1:21" x14ac:dyDescent="0.35">
      <c r="A416" s="4">
        <v>415</v>
      </c>
      <c r="B416" s="4">
        <v>1265</v>
      </c>
      <c r="C416" s="13" t="s">
        <v>1040</v>
      </c>
      <c r="D416" s="13" t="s">
        <v>1041</v>
      </c>
      <c r="E416" s="5" t="s">
        <v>5566</v>
      </c>
      <c r="F416" s="5" t="s">
        <v>3341</v>
      </c>
      <c r="G416" s="5" t="s">
        <v>3342</v>
      </c>
      <c r="H416" s="13" t="s">
        <v>3343</v>
      </c>
      <c r="I416" s="13" t="s">
        <v>2309</v>
      </c>
      <c r="J416" s="4">
        <v>13760</v>
      </c>
      <c r="K416" s="4">
        <v>1</v>
      </c>
      <c r="L416" s="4">
        <v>3</v>
      </c>
      <c r="M416" s="4">
        <v>2016</v>
      </c>
      <c r="N416" s="4">
        <v>2</v>
      </c>
      <c r="O416" s="4">
        <v>7</v>
      </c>
      <c r="P416" s="4">
        <v>1</v>
      </c>
      <c r="Q416" s="19">
        <v>999.99</v>
      </c>
      <c r="R416" s="16">
        <v>7.0000000000000007E-2</v>
      </c>
      <c r="S416" s="16">
        <v>999.92</v>
      </c>
      <c r="T416" s="5" t="s">
        <v>8</v>
      </c>
      <c r="U416" s="13" t="s">
        <v>304</v>
      </c>
    </row>
    <row r="417" spans="1:21" x14ac:dyDescent="0.35">
      <c r="A417" s="4">
        <v>416</v>
      </c>
      <c r="B417" s="4">
        <v>1377</v>
      </c>
      <c r="C417" s="13" t="s">
        <v>1042</v>
      </c>
      <c r="D417" s="13" t="s">
        <v>1043</v>
      </c>
      <c r="E417" s="5" t="s">
        <v>3344</v>
      </c>
      <c r="F417" s="5" t="s">
        <v>3345</v>
      </c>
      <c r="G417" s="5" t="s">
        <v>3346</v>
      </c>
      <c r="H417" s="13" t="s">
        <v>2476</v>
      </c>
      <c r="I417" s="13" t="s">
        <v>2309</v>
      </c>
      <c r="J417" s="4">
        <v>14606</v>
      </c>
      <c r="K417" s="4">
        <v>1</v>
      </c>
      <c r="L417" s="4">
        <v>22</v>
      </c>
      <c r="M417" s="4">
        <v>2016</v>
      </c>
      <c r="N417" s="4">
        <v>2</v>
      </c>
      <c r="O417" s="4">
        <v>7</v>
      </c>
      <c r="P417" s="4">
        <v>1</v>
      </c>
      <c r="Q417" s="19">
        <v>269.99</v>
      </c>
      <c r="R417" s="16">
        <v>7.0000000000000007E-2</v>
      </c>
      <c r="S417" s="16">
        <v>269.92</v>
      </c>
      <c r="T417" s="5" t="s">
        <v>19</v>
      </c>
      <c r="U417" s="13" t="s">
        <v>299</v>
      </c>
    </row>
    <row r="418" spans="1:21" x14ac:dyDescent="0.35">
      <c r="A418" s="4">
        <v>417</v>
      </c>
      <c r="B418" s="4">
        <v>359</v>
      </c>
      <c r="C418" s="13" t="s">
        <v>1044</v>
      </c>
      <c r="D418" s="13" t="s">
        <v>1002</v>
      </c>
      <c r="E418" s="5" t="s">
        <v>5566</v>
      </c>
      <c r="F418" s="5" t="s">
        <v>3347</v>
      </c>
      <c r="G418" s="5" t="s">
        <v>3348</v>
      </c>
      <c r="H418" s="13" t="s">
        <v>2356</v>
      </c>
      <c r="I418" s="13" t="s">
        <v>2305</v>
      </c>
      <c r="J418" s="4">
        <v>91768</v>
      </c>
      <c r="K418" s="4">
        <v>1</v>
      </c>
      <c r="L418" s="4">
        <v>26</v>
      </c>
      <c r="M418" s="4">
        <v>2016</v>
      </c>
      <c r="N418" s="4">
        <v>1</v>
      </c>
      <c r="O418" s="4">
        <v>3</v>
      </c>
      <c r="P418" s="4">
        <v>2</v>
      </c>
      <c r="Q418" s="19">
        <v>599.99</v>
      </c>
      <c r="R418" s="16">
        <v>7.0000000000000007E-2</v>
      </c>
      <c r="S418" s="16">
        <v>1199.9100000000001</v>
      </c>
      <c r="T418" s="5" t="s">
        <v>21</v>
      </c>
      <c r="U418" s="13" t="s">
        <v>300</v>
      </c>
    </row>
    <row r="419" spans="1:21" x14ac:dyDescent="0.35">
      <c r="A419" s="4">
        <v>418</v>
      </c>
      <c r="B419" s="4">
        <v>88</v>
      </c>
      <c r="C419" s="13" t="s">
        <v>1045</v>
      </c>
      <c r="D419" s="13" t="s">
        <v>662</v>
      </c>
      <c r="E419" s="5" t="s">
        <v>5566</v>
      </c>
      <c r="F419" s="5" t="s">
        <v>3349</v>
      </c>
      <c r="G419" s="5" t="s">
        <v>3350</v>
      </c>
      <c r="H419" s="13" t="s">
        <v>918</v>
      </c>
      <c r="I419" s="13" t="s">
        <v>2309</v>
      </c>
      <c r="J419" s="4">
        <v>11423</v>
      </c>
      <c r="K419" s="4">
        <v>1</v>
      </c>
      <c r="L419" s="4">
        <v>12</v>
      </c>
      <c r="M419" s="4">
        <v>2016</v>
      </c>
      <c r="N419" s="4">
        <v>2</v>
      </c>
      <c r="O419" s="4">
        <v>6</v>
      </c>
      <c r="P419" s="4">
        <v>1</v>
      </c>
      <c r="Q419" s="19">
        <v>549.99</v>
      </c>
      <c r="R419" s="16">
        <v>0.05</v>
      </c>
      <c r="S419" s="16">
        <v>549.94000000000005</v>
      </c>
      <c r="T419" s="5" t="s">
        <v>17</v>
      </c>
      <c r="U419" s="13" t="s">
        <v>301</v>
      </c>
    </row>
    <row r="420" spans="1:21" x14ac:dyDescent="0.35">
      <c r="A420" s="4">
        <v>419</v>
      </c>
      <c r="B420" s="4">
        <v>14</v>
      </c>
      <c r="C420" s="13" t="s">
        <v>949</v>
      </c>
      <c r="D420" s="13" t="s">
        <v>564</v>
      </c>
      <c r="E420" s="5" t="s">
        <v>5566</v>
      </c>
      <c r="F420" s="5" t="s">
        <v>3213</v>
      </c>
      <c r="G420" s="5" t="s">
        <v>3214</v>
      </c>
      <c r="H420" s="13" t="s">
        <v>3215</v>
      </c>
      <c r="I420" s="13" t="s">
        <v>2397</v>
      </c>
      <c r="J420" s="4">
        <v>75126</v>
      </c>
      <c r="K420" s="4">
        <v>1</v>
      </c>
      <c r="L420" s="4">
        <v>9</v>
      </c>
      <c r="M420" s="4">
        <v>2016</v>
      </c>
      <c r="N420" s="4">
        <v>3</v>
      </c>
      <c r="O420" s="4">
        <v>8</v>
      </c>
      <c r="P420" s="4">
        <v>1</v>
      </c>
      <c r="Q420" s="19">
        <v>2999.99</v>
      </c>
      <c r="R420" s="16">
        <v>0.05</v>
      </c>
      <c r="S420" s="16">
        <v>2999.9399999999996</v>
      </c>
      <c r="T420" s="5" t="s">
        <v>14</v>
      </c>
      <c r="U420" s="13" t="s">
        <v>303</v>
      </c>
    </row>
    <row r="421" spans="1:21" x14ac:dyDescent="0.35">
      <c r="A421" s="4">
        <v>420</v>
      </c>
      <c r="B421" s="4">
        <v>72</v>
      </c>
      <c r="C421" s="13" t="s">
        <v>1046</v>
      </c>
      <c r="D421" s="13" t="s">
        <v>1047</v>
      </c>
      <c r="E421" s="5" t="s">
        <v>5566</v>
      </c>
      <c r="F421" s="5" t="s">
        <v>3351</v>
      </c>
      <c r="G421" s="5" t="s">
        <v>3352</v>
      </c>
      <c r="H421" s="13" t="s">
        <v>3292</v>
      </c>
      <c r="I421" s="13" t="s">
        <v>2305</v>
      </c>
      <c r="J421" s="4">
        <v>91733</v>
      </c>
      <c r="K421" s="4">
        <v>1</v>
      </c>
      <c r="L421" s="4">
        <v>17</v>
      </c>
      <c r="M421" s="4">
        <v>2016</v>
      </c>
      <c r="N421" s="4">
        <v>1</v>
      </c>
      <c r="O421" s="4">
        <v>3</v>
      </c>
      <c r="P421" s="4">
        <v>2</v>
      </c>
      <c r="Q421" s="19">
        <v>429</v>
      </c>
      <c r="R421" s="16">
        <v>0.2</v>
      </c>
      <c r="S421" s="16">
        <v>857.8</v>
      </c>
      <c r="T421" s="5" t="s">
        <v>22</v>
      </c>
      <c r="U421" s="13" t="s">
        <v>301</v>
      </c>
    </row>
    <row r="422" spans="1:21" x14ac:dyDescent="0.35">
      <c r="A422" s="4">
        <v>421</v>
      </c>
      <c r="B422" s="4">
        <v>240</v>
      </c>
      <c r="C422" s="13" t="s">
        <v>1048</v>
      </c>
      <c r="D422" s="13" t="s">
        <v>529</v>
      </c>
      <c r="E422" s="5" t="s">
        <v>5566</v>
      </c>
      <c r="F422" s="5" t="s">
        <v>3353</v>
      </c>
      <c r="G422" s="5" t="s">
        <v>3354</v>
      </c>
      <c r="H422" s="13" t="s">
        <v>2353</v>
      </c>
      <c r="I422" s="13" t="s">
        <v>2305</v>
      </c>
      <c r="J422" s="4">
        <v>92220</v>
      </c>
      <c r="K422" s="4">
        <v>1</v>
      </c>
      <c r="L422" s="4">
        <v>6</v>
      </c>
      <c r="M422" s="4">
        <v>2016</v>
      </c>
      <c r="N422" s="4">
        <v>1</v>
      </c>
      <c r="O422" s="4">
        <v>3</v>
      </c>
      <c r="P422" s="4">
        <v>2</v>
      </c>
      <c r="Q422" s="19">
        <v>469.99</v>
      </c>
      <c r="R422" s="16">
        <v>7.0000000000000007E-2</v>
      </c>
      <c r="S422" s="16">
        <v>939.91</v>
      </c>
      <c r="T422" s="5" t="s">
        <v>11</v>
      </c>
      <c r="U422" s="13" t="s">
        <v>304</v>
      </c>
    </row>
    <row r="423" spans="1:21" x14ac:dyDescent="0.35">
      <c r="A423" s="4">
        <v>422</v>
      </c>
      <c r="B423" s="4">
        <v>398</v>
      </c>
      <c r="C423" s="13" t="s">
        <v>1049</v>
      </c>
      <c r="D423" s="13" t="s">
        <v>1050</v>
      </c>
      <c r="E423" s="5" t="s">
        <v>5566</v>
      </c>
      <c r="F423" s="5" t="s">
        <v>3355</v>
      </c>
      <c r="G423" s="5" t="s">
        <v>3356</v>
      </c>
      <c r="H423" s="13" t="s">
        <v>2945</v>
      </c>
      <c r="I423" s="13" t="s">
        <v>2309</v>
      </c>
      <c r="J423" s="4">
        <v>11104</v>
      </c>
      <c r="K423" s="4">
        <v>1</v>
      </c>
      <c r="L423" s="4">
        <v>20</v>
      </c>
      <c r="M423" s="4">
        <v>2016</v>
      </c>
      <c r="N423" s="4">
        <v>2</v>
      </c>
      <c r="O423" s="4">
        <v>6</v>
      </c>
      <c r="P423" s="4">
        <v>2</v>
      </c>
      <c r="Q423" s="19">
        <v>599.99</v>
      </c>
      <c r="R423" s="16">
        <v>0.05</v>
      </c>
      <c r="S423" s="16">
        <v>1199.93</v>
      </c>
      <c r="T423" s="5" t="s">
        <v>25</v>
      </c>
      <c r="U423" s="13" t="s">
        <v>301</v>
      </c>
    </row>
    <row r="424" spans="1:21" x14ac:dyDescent="0.35">
      <c r="A424" s="4">
        <v>423</v>
      </c>
      <c r="B424" s="4">
        <v>1397</v>
      </c>
      <c r="C424" s="13" t="s">
        <v>1051</v>
      </c>
      <c r="D424" s="13" t="s">
        <v>1052</v>
      </c>
      <c r="E424" s="5" t="s">
        <v>5566</v>
      </c>
      <c r="F424" s="5" t="s">
        <v>3357</v>
      </c>
      <c r="G424" s="5" t="s">
        <v>3358</v>
      </c>
      <c r="H424" s="13" t="s">
        <v>1457</v>
      </c>
      <c r="I424" s="13" t="s">
        <v>2309</v>
      </c>
      <c r="J424" s="4">
        <v>14580</v>
      </c>
      <c r="K424" s="4">
        <v>1</v>
      </c>
      <c r="L424" s="4">
        <v>8</v>
      </c>
      <c r="M424" s="4">
        <v>2016</v>
      </c>
      <c r="N424" s="4">
        <v>2</v>
      </c>
      <c r="O424" s="4">
        <v>7</v>
      </c>
      <c r="P424" s="4">
        <v>2</v>
      </c>
      <c r="Q424" s="19">
        <v>1799.99</v>
      </c>
      <c r="R424" s="16">
        <v>0.05</v>
      </c>
      <c r="S424" s="16">
        <v>3599.93</v>
      </c>
      <c r="T424" s="5" t="s">
        <v>13</v>
      </c>
      <c r="U424" s="13" t="s">
        <v>304</v>
      </c>
    </row>
    <row r="425" spans="1:21" x14ac:dyDescent="0.35">
      <c r="A425" s="4">
        <v>424</v>
      </c>
      <c r="B425" s="4">
        <v>67</v>
      </c>
      <c r="C425" s="13" t="s">
        <v>1053</v>
      </c>
      <c r="D425" s="13" t="s">
        <v>548</v>
      </c>
      <c r="E425" s="5" t="s">
        <v>3359</v>
      </c>
      <c r="F425" s="5" t="s">
        <v>3360</v>
      </c>
      <c r="G425" s="5" t="s">
        <v>3361</v>
      </c>
      <c r="H425" s="13" t="s">
        <v>2997</v>
      </c>
      <c r="I425" s="13" t="s">
        <v>2305</v>
      </c>
      <c r="J425" s="4">
        <v>95820</v>
      </c>
      <c r="K425" s="4">
        <v>1</v>
      </c>
      <c r="L425" s="4">
        <v>22</v>
      </c>
      <c r="M425" s="4">
        <v>2016</v>
      </c>
      <c r="N425" s="4">
        <v>1</v>
      </c>
      <c r="O425" s="4">
        <v>3</v>
      </c>
      <c r="P425" s="4">
        <v>1</v>
      </c>
      <c r="Q425" s="19">
        <v>269.99</v>
      </c>
      <c r="R425" s="16">
        <v>0.1</v>
      </c>
      <c r="S425" s="16">
        <v>269.89</v>
      </c>
      <c r="T425" s="5" t="s">
        <v>19</v>
      </c>
      <c r="U425" s="13" t="s">
        <v>299</v>
      </c>
    </row>
    <row r="426" spans="1:21" x14ac:dyDescent="0.35">
      <c r="A426" s="4">
        <v>425</v>
      </c>
      <c r="B426" s="4">
        <v>843</v>
      </c>
      <c r="C426" s="13" t="s">
        <v>1054</v>
      </c>
      <c r="D426" s="13" t="s">
        <v>1055</v>
      </c>
      <c r="E426" s="5" t="s">
        <v>5566</v>
      </c>
      <c r="F426" s="5" t="s">
        <v>3362</v>
      </c>
      <c r="G426" s="5" t="s">
        <v>3363</v>
      </c>
      <c r="H426" s="13" t="s">
        <v>2822</v>
      </c>
      <c r="I426" s="13" t="s">
        <v>2309</v>
      </c>
      <c r="J426" s="4">
        <v>12901</v>
      </c>
      <c r="K426" s="4">
        <v>1</v>
      </c>
      <c r="L426" s="4">
        <v>6</v>
      </c>
      <c r="M426" s="4">
        <v>2016</v>
      </c>
      <c r="N426" s="4">
        <v>2</v>
      </c>
      <c r="O426" s="4">
        <v>6</v>
      </c>
      <c r="P426" s="4">
        <v>1</v>
      </c>
      <c r="Q426" s="19">
        <v>469.99</v>
      </c>
      <c r="R426" s="16">
        <v>0.1</v>
      </c>
      <c r="S426" s="16">
        <v>469.89</v>
      </c>
      <c r="T426" s="5" t="s">
        <v>11</v>
      </c>
      <c r="U426" s="13" t="s">
        <v>304</v>
      </c>
    </row>
    <row r="427" spans="1:21" x14ac:dyDescent="0.35">
      <c r="A427" s="4">
        <v>426</v>
      </c>
      <c r="B427" s="4">
        <v>944</v>
      </c>
      <c r="C427" s="13" t="s">
        <v>1056</v>
      </c>
      <c r="D427" s="13" t="s">
        <v>435</v>
      </c>
      <c r="E427" s="5" t="s">
        <v>5566</v>
      </c>
      <c r="F427" s="5" t="s">
        <v>3364</v>
      </c>
      <c r="G427" s="5" t="s">
        <v>3365</v>
      </c>
      <c r="H427" s="13" t="s">
        <v>2785</v>
      </c>
      <c r="I427" s="13" t="s">
        <v>2309</v>
      </c>
      <c r="J427" s="4">
        <v>10583</v>
      </c>
      <c r="K427" s="4">
        <v>1</v>
      </c>
      <c r="L427" s="4">
        <v>10</v>
      </c>
      <c r="M427" s="4">
        <v>2016</v>
      </c>
      <c r="N427" s="4">
        <v>2</v>
      </c>
      <c r="O427" s="4">
        <v>6</v>
      </c>
      <c r="P427" s="4">
        <v>1</v>
      </c>
      <c r="Q427" s="19">
        <v>1549</v>
      </c>
      <c r="R427" s="16">
        <v>0.1</v>
      </c>
      <c r="S427" s="16">
        <v>1548.9</v>
      </c>
      <c r="T427" s="5" t="s">
        <v>15</v>
      </c>
      <c r="U427" s="13" t="s">
        <v>302</v>
      </c>
    </row>
    <row r="428" spans="1:21" x14ac:dyDescent="0.35">
      <c r="A428" s="4">
        <v>427</v>
      </c>
      <c r="B428" s="4">
        <v>434</v>
      </c>
      <c r="C428" s="13" t="s">
        <v>1057</v>
      </c>
      <c r="D428" s="13" t="s">
        <v>1058</v>
      </c>
      <c r="E428" s="5" t="s">
        <v>5566</v>
      </c>
      <c r="F428" s="5" t="s">
        <v>3366</v>
      </c>
      <c r="G428" s="5" t="s">
        <v>3367</v>
      </c>
      <c r="H428" s="13" t="s">
        <v>2315</v>
      </c>
      <c r="I428" s="13" t="s">
        <v>2305</v>
      </c>
      <c r="J428" s="4">
        <v>91010</v>
      </c>
      <c r="K428" s="4">
        <v>1</v>
      </c>
      <c r="L428" s="4">
        <v>12</v>
      </c>
      <c r="M428" s="4">
        <v>2016</v>
      </c>
      <c r="N428" s="4">
        <v>1</v>
      </c>
      <c r="O428" s="4">
        <v>2</v>
      </c>
      <c r="P428" s="4">
        <v>2</v>
      </c>
      <c r="Q428" s="19">
        <v>549.99</v>
      </c>
      <c r="R428" s="16">
        <v>7.0000000000000007E-2</v>
      </c>
      <c r="S428" s="16">
        <v>1099.9100000000001</v>
      </c>
      <c r="T428" s="5" t="s">
        <v>17</v>
      </c>
      <c r="U428" s="13" t="s">
        <v>301</v>
      </c>
    </row>
    <row r="429" spans="1:21" x14ac:dyDescent="0.35">
      <c r="A429" s="4">
        <v>428</v>
      </c>
      <c r="B429" s="4">
        <v>1039</v>
      </c>
      <c r="C429" s="13" t="s">
        <v>1059</v>
      </c>
      <c r="D429" s="13" t="s">
        <v>421</v>
      </c>
      <c r="E429" s="5" t="s">
        <v>5566</v>
      </c>
      <c r="F429" s="5" t="s">
        <v>3368</v>
      </c>
      <c r="G429" s="5" t="s">
        <v>3369</v>
      </c>
      <c r="H429" s="13" t="s">
        <v>2433</v>
      </c>
      <c r="I429" s="13" t="s">
        <v>2309</v>
      </c>
      <c r="J429" s="4">
        <v>13090</v>
      </c>
      <c r="K429" s="4">
        <v>1</v>
      </c>
      <c r="L429" s="4">
        <v>5</v>
      </c>
      <c r="M429" s="4">
        <v>2016</v>
      </c>
      <c r="N429" s="4">
        <v>2</v>
      </c>
      <c r="O429" s="4">
        <v>6</v>
      </c>
      <c r="P429" s="4">
        <v>2</v>
      </c>
      <c r="Q429" s="19">
        <v>1320.99</v>
      </c>
      <c r="R429" s="16">
        <v>0.2</v>
      </c>
      <c r="S429" s="16">
        <v>2641.78</v>
      </c>
      <c r="T429" s="5" t="s">
        <v>10</v>
      </c>
      <c r="U429" s="13" t="s">
        <v>304</v>
      </c>
    </row>
    <row r="430" spans="1:21" x14ac:dyDescent="0.35">
      <c r="A430" s="4">
        <v>429</v>
      </c>
      <c r="B430" s="4">
        <v>153</v>
      </c>
      <c r="C430" s="13" t="s">
        <v>1060</v>
      </c>
      <c r="D430" s="13" t="s">
        <v>721</v>
      </c>
      <c r="E430" s="5" t="s">
        <v>5566</v>
      </c>
      <c r="F430" s="5" t="s">
        <v>3370</v>
      </c>
      <c r="G430" s="5" t="s">
        <v>3371</v>
      </c>
      <c r="H430" s="13" t="s">
        <v>2849</v>
      </c>
      <c r="I430" s="13" t="s">
        <v>2397</v>
      </c>
      <c r="J430" s="4">
        <v>76901</v>
      </c>
      <c r="K430" s="4">
        <v>1</v>
      </c>
      <c r="L430" s="4">
        <v>11</v>
      </c>
      <c r="M430" s="4">
        <v>2016</v>
      </c>
      <c r="N430" s="4">
        <v>3</v>
      </c>
      <c r="O430" s="4">
        <v>8</v>
      </c>
      <c r="P430" s="4">
        <v>1</v>
      </c>
      <c r="Q430" s="19">
        <v>1680.99</v>
      </c>
      <c r="R430" s="16">
        <v>0.2</v>
      </c>
      <c r="S430" s="16">
        <v>1680.79</v>
      </c>
      <c r="T430" s="5" t="s">
        <v>16</v>
      </c>
      <c r="U430" s="13" t="s">
        <v>302</v>
      </c>
    </row>
    <row r="431" spans="1:21" x14ac:dyDescent="0.35">
      <c r="A431" s="4">
        <v>430</v>
      </c>
      <c r="B431" s="4">
        <v>272</v>
      </c>
      <c r="C431" s="13" t="s">
        <v>1061</v>
      </c>
      <c r="D431" s="13" t="s">
        <v>1062</v>
      </c>
      <c r="E431" s="5" t="s">
        <v>5566</v>
      </c>
      <c r="F431" s="5" t="s">
        <v>3372</v>
      </c>
      <c r="G431" s="5" t="s">
        <v>3373</v>
      </c>
      <c r="H431" s="13" t="s">
        <v>2752</v>
      </c>
      <c r="I431" s="13" t="s">
        <v>2309</v>
      </c>
      <c r="J431" s="4">
        <v>11432</v>
      </c>
      <c r="K431" s="4">
        <v>1</v>
      </c>
      <c r="L431" s="4">
        <v>22</v>
      </c>
      <c r="M431" s="4">
        <v>2016</v>
      </c>
      <c r="N431" s="4">
        <v>2</v>
      </c>
      <c r="O431" s="4">
        <v>6</v>
      </c>
      <c r="P431" s="4">
        <v>2</v>
      </c>
      <c r="Q431" s="19">
        <v>269.99</v>
      </c>
      <c r="R431" s="16">
        <v>0.1</v>
      </c>
      <c r="S431" s="16">
        <v>539.88</v>
      </c>
      <c r="T431" s="5" t="s">
        <v>19</v>
      </c>
      <c r="U431" s="13" t="s">
        <v>299</v>
      </c>
    </row>
    <row r="432" spans="1:21" x14ac:dyDescent="0.35">
      <c r="A432" s="4">
        <v>431</v>
      </c>
      <c r="B432" s="4">
        <v>1217</v>
      </c>
      <c r="C432" s="13" t="s">
        <v>1063</v>
      </c>
      <c r="D432" s="13" t="s">
        <v>817</v>
      </c>
      <c r="E432" s="5" t="s">
        <v>3374</v>
      </c>
      <c r="F432" s="5" t="s">
        <v>3375</v>
      </c>
      <c r="G432" s="5" t="s">
        <v>3376</v>
      </c>
      <c r="H432" s="13" t="s">
        <v>2334</v>
      </c>
      <c r="I432" s="13" t="s">
        <v>2309</v>
      </c>
      <c r="J432" s="4">
        <v>10701</v>
      </c>
      <c r="K432" s="4">
        <v>1</v>
      </c>
      <c r="L432" s="4">
        <v>14</v>
      </c>
      <c r="M432" s="4">
        <v>2016</v>
      </c>
      <c r="N432" s="4">
        <v>2</v>
      </c>
      <c r="O432" s="4">
        <v>6</v>
      </c>
      <c r="P432" s="4">
        <v>2</v>
      </c>
      <c r="Q432" s="19">
        <v>269.99</v>
      </c>
      <c r="R432" s="16">
        <v>0.2</v>
      </c>
      <c r="S432" s="16">
        <v>539.78</v>
      </c>
      <c r="T432" s="5" t="s">
        <v>19</v>
      </c>
      <c r="U432" s="13" t="s">
        <v>301</v>
      </c>
    </row>
    <row r="433" spans="1:21" x14ac:dyDescent="0.35">
      <c r="A433" s="4">
        <v>432</v>
      </c>
      <c r="B433" s="4">
        <v>169</v>
      </c>
      <c r="C433" s="13" t="s">
        <v>1064</v>
      </c>
      <c r="D433" s="13" t="s">
        <v>1065</v>
      </c>
      <c r="E433" s="5" t="s">
        <v>5566</v>
      </c>
      <c r="F433" s="5" t="s">
        <v>3377</v>
      </c>
      <c r="G433" s="5" t="s">
        <v>3378</v>
      </c>
      <c r="H433" s="13" t="s">
        <v>2790</v>
      </c>
      <c r="I433" s="13" t="s">
        <v>2305</v>
      </c>
      <c r="J433" s="4">
        <v>90274</v>
      </c>
      <c r="K433" s="4">
        <v>1</v>
      </c>
      <c r="L433" s="4">
        <v>10</v>
      </c>
      <c r="M433" s="4">
        <v>2016</v>
      </c>
      <c r="N433" s="4">
        <v>1</v>
      </c>
      <c r="O433" s="4">
        <v>2</v>
      </c>
      <c r="P433" s="4">
        <v>2</v>
      </c>
      <c r="Q433" s="19">
        <v>1549</v>
      </c>
      <c r="R433" s="16">
        <v>0.2</v>
      </c>
      <c r="S433" s="16">
        <v>3097.8</v>
      </c>
      <c r="T433" s="5" t="s">
        <v>15</v>
      </c>
      <c r="U433" s="13" t="s">
        <v>302</v>
      </c>
    </row>
    <row r="434" spans="1:21" x14ac:dyDescent="0.35">
      <c r="A434" s="4">
        <v>433</v>
      </c>
      <c r="B434" s="4">
        <v>1062</v>
      </c>
      <c r="C434" s="13" t="s">
        <v>1066</v>
      </c>
      <c r="D434" s="13" t="s">
        <v>1067</v>
      </c>
      <c r="E434" s="5" t="s">
        <v>5566</v>
      </c>
      <c r="F434" s="5" t="s">
        <v>3379</v>
      </c>
      <c r="G434" s="5" t="s">
        <v>3380</v>
      </c>
      <c r="H434" s="13" t="s">
        <v>2350</v>
      </c>
      <c r="I434" s="13" t="s">
        <v>2309</v>
      </c>
      <c r="J434" s="4">
        <v>10512</v>
      </c>
      <c r="K434" s="4">
        <v>1</v>
      </c>
      <c r="L434" s="4">
        <v>6</v>
      </c>
      <c r="M434" s="4">
        <v>2016</v>
      </c>
      <c r="N434" s="4">
        <v>2</v>
      </c>
      <c r="O434" s="4">
        <v>6</v>
      </c>
      <c r="P434" s="4">
        <v>1</v>
      </c>
      <c r="Q434" s="19">
        <v>469.99</v>
      </c>
      <c r="R434" s="16">
        <v>0.1</v>
      </c>
      <c r="S434" s="16">
        <v>469.89</v>
      </c>
      <c r="T434" s="5" t="s">
        <v>11</v>
      </c>
      <c r="U434" s="13" t="s">
        <v>304</v>
      </c>
    </row>
    <row r="435" spans="1:21" x14ac:dyDescent="0.35">
      <c r="A435" s="4">
        <v>434</v>
      </c>
      <c r="B435" s="4">
        <v>726</v>
      </c>
      <c r="C435" s="13" t="s">
        <v>1068</v>
      </c>
      <c r="D435" s="13" t="s">
        <v>736</v>
      </c>
      <c r="E435" s="5" t="s">
        <v>5566</v>
      </c>
      <c r="F435" s="5" t="s">
        <v>3381</v>
      </c>
      <c r="G435" s="5" t="s">
        <v>3382</v>
      </c>
      <c r="H435" s="13" t="s">
        <v>2729</v>
      </c>
      <c r="I435" s="13" t="s">
        <v>2309</v>
      </c>
      <c r="J435" s="4">
        <v>11776</v>
      </c>
      <c r="K435" s="4">
        <v>1</v>
      </c>
      <c r="L435" s="4">
        <v>21</v>
      </c>
      <c r="M435" s="4">
        <v>2016</v>
      </c>
      <c r="N435" s="4">
        <v>2</v>
      </c>
      <c r="O435" s="4">
        <v>6</v>
      </c>
      <c r="P435" s="4">
        <v>1</v>
      </c>
      <c r="Q435" s="19">
        <v>269.99</v>
      </c>
      <c r="R435" s="16">
        <v>0.05</v>
      </c>
      <c r="S435" s="16">
        <v>269.94</v>
      </c>
      <c r="T435" s="5" t="s">
        <v>18</v>
      </c>
      <c r="U435" s="13" t="s">
        <v>299</v>
      </c>
    </row>
    <row r="436" spans="1:21" x14ac:dyDescent="0.35">
      <c r="A436" s="4">
        <v>435</v>
      </c>
      <c r="B436" s="4">
        <v>77</v>
      </c>
      <c r="C436" s="13" t="s">
        <v>1027</v>
      </c>
      <c r="D436" s="13" t="s">
        <v>1028</v>
      </c>
      <c r="E436" s="5" t="s">
        <v>5566</v>
      </c>
      <c r="F436" s="5" t="s">
        <v>3323</v>
      </c>
      <c r="G436" s="5" t="s">
        <v>3324</v>
      </c>
      <c r="H436" s="13" t="s">
        <v>1639</v>
      </c>
      <c r="I436" s="13" t="s">
        <v>2397</v>
      </c>
      <c r="J436" s="4">
        <v>75080</v>
      </c>
      <c r="K436" s="4">
        <v>1</v>
      </c>
      <c r="L436" s="4">
        <v>22</v>
      </c>
      <c r="M436" s="4">
        <v>2016</v>
      </c>
      <c r="N436" s="4">
        <v>3</v>
      </c>
      <c r="O436" s="4">
        <v>9</v>
      </c>
      <c r="P436" s="4">
        <v>1</v>
      </c>
      <c r="Q436" s="19">
        <v>269.99</v>
      </c>
      <c r="R436" s="16">
        <v>0.05</v>
      </c>
      <c r="S436" s="16">
        <v>269.94</v>
      </c>
      <c r="T436" s="5" t="s">
        <v>19</v>
      </c>
      <c r="U436" s="13" t="s">
        <v>299</v>
      </c>
    </row>
    <row r="437" spans="1:21" x14ac:dyDescent="0.35">
      <c r="A437" s="4">
        <v>436</v>
      </c>
      <c r="B437" s="4">
        <v>791</v>
      </c>
      <c r="C437" s="13" t="s">
        <v>1069</v>
      </c>
      <c r="D437" s="13" t="s">
        <v>1070</v>
      </c>
      <c r="E437" s="5" t="s">
        <v>5566</v>
      </c>
      <c r="F437" s="5" t="s">
        <v>3383</v>
      </c>
      <c r="G437" s="5" t="s">
        <v>3384</v>
      </c>
      <c r="H437" s="13" t="s">
        <v>2518</v>
      </c>
      <c r="I437" s="13" t="s">
        <v>2309</v>
      </c>
      <c r="J437" s="4">
        <v>12020</v>
      </c>
      <c r="K437" s="4">
        <v>1</v>
      </c>
      <c r="L437" s="4">
        <v>3</v>
      </c>
      <c r="M437" s="4">
        <v>2016</v>
      </c>
      <c r="N437" s="4">
        <v>2</v>
      </c>
      <c r="O437" s="4">
        <v>7</v>
      </c>
      <c r="P437" s="4">
        <v>1</v>
      </c>
      <c r="Q437" s="19">
        <v>999.99</v>
      </c>
      <c r="R437" s="16">
        <v>0.05</v>
      </c>
      <c r="S437" s="16">
        <v>999.94</v>
      </c>
      <c r="T437" s="5" t="s">
        <v>8</v>
      </c>
      <c r="U437" s="13" t="s">
        <v>304</v>
      </c>
    </row>
    <row r="438" spans="1:21" x14ac:dyDescent="0.35">
      <c r="A438" s="4">
        <v>437</v>
      </c>
      <c r="B438" s="4">
        <v>1085</v>
      </c>
      <c r="C438" s="13" t="s">
        <v>1071</v>
      </c>
      <c r="D438" s="13" t="s">
        <v>1072</v>
      </c>
      <c r="E438" s="5" t="s">
        <v>5566</v>
      </c>
      <c r="F438" s="5" t="s">
        <v>3385</v>
      </c>
      <c r="G438" s="5" t="s">
        <v>3386</v>
      </c>
      <c r="H438" s="13" t="s">
        <v>2441</v>
      </c>
      <c r="I438" s="13" t="s">
        <v>2309</v>
      </c>
      <c r="J438" s="4">
        <v>11722</v>
      </c>
      <c r="K438" s="4">
        <v>1</v>
      </c>
      <c r="L438" s="4">
        <v>3</v>
      </c>
      <c r="M438" s="4">
        <v>2016</v>
      </c>
      <c r="N438" s="4">
        <v>2</v>
      </c>
      <c r="O438" s="4">
        <v>7</v>
      </c>
      <c r="P438" s="4">
        <v>1</v>
      </c>
      <c r="Q438" s="19">
        <v>999.99</v>
      </c>
      <c r="R438" s="16">
        <v>0.05</v>
      </c>
      <c r="S438" s="16">
        <v>999.94</v>
      </c>
      <c r="T438" s="5" t="s">
        <v>8</v>
      </c>
      <c r="U438" s="13" t="s">
        <v>304</v>
      </c>
    </row>
    <row r="439" spans="1:21" x14ac:dyDescent="0.35">
      <c r="A439" s="4">
        <v>438</v>
      </c>
      <c r="B439" s="4">
        <v>314</v>
      </c>
      <c r="C439" s="13" t="s">
        <v>1073</v>
      </c>
      <c r="D439" s="13" t="s">
        <v>1074</v>
      </c>
      <c r="E439" s="5" t="s">
        <v>5566</v>
      </c>
      <c r="F439" s="5" t="s">
        <v>3387</v>
      </c>
      <c r="G439" s="5" t="s">
        <v>3388</v>
      </c>
      <c r="H439" s="13" t="s">
        <v>3280</v>
      </c>
      <c r="I439" s="13" t="s">
        <v>2397</v>
      </c>
      <c r="J439" s="4">
        <v>75088</v>
      </c>
      <c r="K439" s="4">
        <v>1</v>
      </c>
      <c r="L439" s="4">
        <v>4</v>
      </c>
      <c r="M439" s="4">
        <v>2016</v>
      </c>
      <c r="N439" s="4">
        <v>3</v>
      </c>
      <c r="O439" s="4">
        <v>8</v>
      </c>
      <c r="P439" s="4">
        <v>1</v>
      </c>
      <c r="Q439" s="19">
        <v>2899.99</v>
      </c>
      <c r="R439" s="16">
        <v>7.0000000000000007E-2</v>
      </c>
      <c r="S439" s="16">
        <v>2899.9199999999996</v>
      </c>
      <c r="T439" s="5" t="s">
        <v>9</v>
      </c>
      <c r="U439" s="13" t="s">
        <v>304</v>
      </c>
    </row>
    <row r="440" spans="1:21" x14ac:dyDescent="0.35">
      <c r="A440" s="4">
        <v>439</v>
      </c>
      <c r="B440" s="4">
        <v>149</v>
      </c>
      <c r="C440" s="13" t="s">
        <v>1075</v>
      </c>
      <c r="D440" s="13" t="s">
        <v>1076</v>
      </c>
      <c r="E440" s="5" t="s">
        <v>5566</v>
      </c>
      <c r="F440" s="5" t="s">
        <v>3389</v>
      </c>
      <c r="G440" s="5" t="s">
        <v>3390</v>
      </c>
      <c r="H440" s="13" t="s">
        <v>3063</v>
      </c>
      <c r="I440" s="13" t="s">
        <v>2309</v>
      </c>
      <c r="J440" s="4">
        <v>10977</v>
      </c>
      <c r="K440" s="4">
        <v>1</v>
      </c>
      <c r="L440" s="4">
        <v>6</v>
      </c>
      <c r="M440" s="4">
        <v>2016</v>
      </c>
      <c r="N440" s="4">
        <v>2</v>
      </c>
      <c r="O440" s="4">
        <v>6</v>
      </c>
      <c r="P440" s="4">
        <v>2</v>
      </c>
      <c r="Q440" s="19">
        <v>469.99</v>
      </c>
      <c r="R440" s="16">
        <v>7.0000000000000007E-2</v>
      </c>
      <c r="S440" s="16">
        <v>939.91</v>
      </c>
      <c r="T440" s="5" t="s">
        <v>11</v>
      </c>
      <c r="U440" s="13" t="s">
        <v>304</v>
      </c>
    </row>
    <row r="441" spans="1:21" x14ac:dyDescent="0.35">
      <c r="A441" s="4">
        <v>440</v>
      </c>
      <c r="B441" s="4">
        <v>882</v>
      </c>
      <c r="C441" s="13" t="s">
        <v>1077</v>
      </c>
      <c r="D441" s="13" t="s">
        <v>874</v>
      </c>
      <c r="E441" s="5" t="s">
        <v>5566</v>
      </c>
      <c r="F441" s="5" t="s">
        <v>3391</v>
      </c>
      <c r="G441" s="5" t="s">
        <v>3392</v>
      </c>
      <c r="H441" s="13" t="s">
        <v>2518</v>
      </c>
      <c r="I441" s="13" t="s">
        <v>2309</v>
      </c>
      <c r="J441" s="4">
        <v>12020</v>
      </c>
      <c r="K441" s="4">
        <v>1</v>
      </c>
      <c r="L441" s="4">
        <v>19</v>
      </c>
      <c r="M441" s="4">
        <v>2016</v>
      </c>
      <c r="N441" s="4">
        <v>2</v>
      </c>
      <c r="O441" s="4">
        <v>7</v>
      </c>
      <c r="P441" s="4">
        <v>2</v>
      </c>
      <c r="Q441" s="19">
        <v>449</v>
      </c>
      <c r="R441" s="16">
        <v>7.0000000000000007E-2</v>
      </c>
      <c r="S441" s="16">
        <v>897.93</v>
      </c>
      <c r="T441" s="5" t="s">
        <v>24</v>
      </c>
      <c r="U441" s="13" t="s">
        <v>301</v>
      </c>
    </row>
    <row r="442" spans="1:21" x14ac:dyDescent="0.35">
      <c r="A442" s="4">
        <v>441</v>
      </c>
      <c r="B442" s="4">
        <v>704</v>
      </c>
      <c r="C442" s="13" t="s">
        <v>1078</v>
      </c>
      <c r="D442" s="13" t="s">
        <v>541</v>
      </c>
      <c r="E442" s="5" t="s">
        <v>3393</v>
      </c>
      <c r="F442" s="5" t="s">
        <v>3394</v>
      </c>
      <c r="G442" s="5" t="s">
        <v>3395</v>
      </c>
      <c r="H442" s="13" t="s">
        <v>2726</v>
      </c>
      <c r="I442" s="13" t="s">
        <v>2305</v>
      </c>
      <c r="J442" s="4">
        <v>93306</v>
      </c>
      <c r="K442" s="4">
        <v>1</v>
      </c>
      <c r="L442" s="4">
        <v>12</v>
      </c>
      <c r="M442" s="4">
        <v>2016</v>
      </c>
      <c r="N442" s="4">
        <v>1</v>
      </c>
      <c r="O442" s="4">
        <v>2</v>
      </c>
      <c r="P442" s="4">
        <v>1</v>
      </c>
      <c r="Q442" s="19">
        <v>549.99</v>
      </c>
      <c r="R442" s="16">
        <v>7.0000000000000007E-2</v>
      </c>
      <c r="S442" s="16">
        <v>549.91999999999996</v>
      </c>
      <c r="T442" s="5" t="s">
        <v>17</v>
      </c>
      <c r="U442" s="13" t="s">
        <v>301</v>
      </c>
    </row>
    <row r="443" spans="1:21" x14ac:dyDescent="0.35">
      <c r="A443" s="4">
        <v>442</v>
      </c>
      <c r="B443" s="4">
        <v>667</v>
      </c>
      <c r="C443" s="13" t="s">
        <v>1079</v>
      </c>
      <c r="D443" s="13" t="s">
        <v>798</v>
      </c>
      <c r="E443" s="5" t="s">
        <v>5566</v>
      </c>
      <c r="F443" s="5" t="s">
        <v>3396</v>
      </c>
      <c r="G443" s="5" t="s">
        <v>3397</v>
      </c>
      <c r="H443" s="13" t="s">
        <v>2387</v>
      </c>
      <c r="I443" s="13" t="s">
        <v>2309</v>
      </c>
      <c r="J443" s="4">
        <v>11418</v>
      </c>
      <c r="K443" s="4">
        <v>1</v>
      </c>
      <c r="L443" s="4">
        <v>16</v>
      </c>
      <c r="M443" s="4">
        <v>2016</v>
      </c>
      <c r="N443" s="4">
        <v>2</v>
      </c>
      <c r="O443" s="4">
        <v>7</v>
      </c>
      <c r="P443" s="4">
        <v>2</v>
      </c>
      <c r="Q443" s="19">
        <v>599.99</v>
      </c>
      <c r="R443" s="16">
        <v>7.0000000000000007E-2</v>
      </c>
      <c r="S443" s="16">
        <v>1199.9100000000001</v>
      </c>
      <c r="T443" s="5" t="s">
        <v>21</v>
      </c>
      <c r="U443" s="13" t="s">
        <v>301</v>
      </c>
    </row>
    <row r="444" spans="1:21" x14ac:dyDescent="0.35">
      <c r="A444" s="4">
        <v>443</v>
      </c>
      <c r="B444" s="4">
        <v>1371</v>
      </c>
      <c r="C444" s="13" t="s">
        <v>1080</v>
      </c>
      <c r="D444" s="13" t="s">
        <v>1081</v>
      </c>
      <c r="E444" s="5" t="s">
        <v>5566</v>
      </c>
      <c r="F444" s="5" t="s">
        <v>3398</v>
      </c>
      <c r="G444" s="5" t="s">
        <v>3399</v>
      </c>
      <c r="H444" s="13" t="s">
        <v>2650</v>
      </c>
      <c r="I444" s="13" t="s">
        <v>2309</v>
      </c>
      <c r="J444" s="4">
        <v>11040</v>
      </c>
      <c r="K444" s="4">
        <v>1</v>
      </c>
      <c r="L444" s="4">
        <v>5</v>
      </c>
      <c r="M444" s="4">
        <v>2016</v>
      </c>
      <c r="N444" s="4">
        <v>2</v>
      </c>
      <c r="O444" s="4">
        <v>6</v>
      </c>
      <c r="P444" s="4">
        <v>1</v>
      </c>
      <c r="Q444" s="19">
        <v>1320.99</v>
      </c>
      <c r="R444" s="16">
        <v>0.05</v>
      </c>
      <c r="S444" s="16">
        <v>1320.94</v>
      </c>
      <c r="T444" s="5" t="s">
        <v>10</v>
      </c>
      <c r="U444" s="13" t="s">
        <v>304</v>
      </c>
    </row>
    <row r="445" spans="1:21" x14ac:dyDescent="0.35">
      <c r="A445" s="4">
        <v>444</v>
      </c>
      <c r="B445" s="4">
        <v>30</v>
      </c>
      <c r="C445" s="13" t="s">
        <v>420</v>
      </c>
      <c r="D445" s="13" t="s">
        <v>939</v>
      </c>
      <c r="E445" s="5" t="s">
        <v>5566</v>
      </c>
      <c r="F445" s="5" t="s">
        <v>3194</v>
      </c>
      <c r="G445" s="5" t="s">
        <v>3195</v>
      </c>
      <c r="H445" s="13" t="s">
        <v>2347</v>
      </c>
      <c r="I445" s="13" t="s">
        <v>2305</v>
      </c>
      <c r="J445" s="4">
        <v>90505</v>
      </c>
      <c r="K445" s="4">
        <v>1</v>
      </c>
      <c r="L445" s="4">
        <v>22</v>
      </c>
      <c r="M445" s="4">
        <v>2016</v>
      </c>
      <c r="N445" s="4">
        <v>1</v>
      </c>
      <c r="O445" s="4">
        <v>2</v>
      </c>
      <c r="P445" s="4">
        <v>1</v>
      </c>
      <c r="Q445" s="19">
        <v>269.99</v>
      </c>
      <c r="R445" s="16">
        <v>7.0000000000000007E-2</v>
      </c>
      <c r="S445" s="16">
        <v>269.92</v>
      </c>
      <c r="T445" s="5" t="s">
        <v>19</v>
      </c>
      <c r="U445" s="13" t="s">
        <v>299</v>
      </c>
    </row>
    <row r="446" spans="1:21" x14ac:dyDescent="0.35">
      <c r="A446" s="4">
        <v>445</v>
      </c>
      <c r="B446" s="4">
        <v>362</v>
      </c>
      <c r="C446" s="13" t="s">
        <v>840</v>
      </c>
      <c r="D446" s="13" t="s">
        <v>1082</v>
      </c>
      <c r="E446" s="5" t="s">
        <v>5566</v>
      </c>
      <c r="F446" s="5" t="s">
        <v>3400</v>
      </c>
      <c r="G446" s="5" t="s">
        <v>3401</v>
      </c>
      <c r="H446" s="13" t="s">
        <v>2605</v>
      </c>
      <c r="I446" s="13" t="s">
        <v>2309</v>
      </c>
      <c r="J446" s="4">
        <v>12401</v>
      </c>
      <c r="K446" s="4">
        <v>1</v>
      </c>
      <c r="L446" s="4">
        <v>7</v>
      </c>
      <c r="M446" s="4">
        <v>2016</v>
      </c>
      <c r="N446" s="4">
        <v>2</v>
      </c>
      <c r="O446" s="4">
        <v>6</v>
      </c>
      <c r="P446" s="4">
        <v>1</v>
      </c>
      <c r="Q446" s="19">
        <v>3999.99</v>
      </c>
      <c r="R446" s="16">
        <v>0.2</v>
      </c>
      <c r="S446" s="16">
        <v>3999.79</v>
      </c>
      <c r="T446" s="5" t="s">
        <v>12</v>
      </c>
      <c r="U446" s="13" t="s">
        <v>304</v>
      </c>
    </row>
    <row r="447" spans="1:21" x14ac:dyDescent="0.35">
      <c r="A447" s="4">
        <v>446</v>
      </c>
      <c r="B447" s="4">
        <v>399</v>
      </c>
      <c r="C447" s="13" t="s">
        <v>1083</v>
      </c>
      <c r="D447" s="13" t="s">
        <v>331</v>
      </c>
      <c r="E447" s="5" t="s">
        <v>5566</v>
      </c>
      <c r="F447" s="5" t="s">
        <v>3402</v>
      </c>
      <c r="G447" s="5" t="s">
        <v>3403</v>
      </c>
      <c r="H447" s="13" t="s">
        <v>2605</v>
      </c>
      <c r="I447" s="13" t="s">
        <v>2309</v>
      </c>
      <c r="J447" s="4">
        <v>12401</v>
      </c>
      <c r="K447" s="4">
        <v>1</v>
      </c>
      <c r="L447" s="4">
        <v>22</v>
      </c>
      <c r="M447" s="4">
        <v>2016</v>
      </c>
      <c r="N447" s="4">
        <v>2</v>
      </c>
      <c r="O447" s="4">
        <v>7</v>
      </c>
      <c r="P447" s="4">
        <v>1</v>
      </c>
      <c r="Q447" s="19">
        <v>269.99</v>
      </c>
      <c r="R447" s="16">
        <v>0.2</v>
      </c>
      <c r="S447" s="16">
        <v>269.79000000000002</v>
      </c>
      <c r="T447" s="5" t="s">
        <v>19</v>
      </c>
      <c r="U447" s="13" t="s">
        <v>299</v>
      </c>
    </row>
    <row r="448" spans="1:21" x14ac:dyDescent="0.35">
      <c r="A448" s="4">
        <v>447</v>
      </c>
      <c r="B448" s="4">
        <v>808</v>
      </c>
      <c r="C448" s="13" t="s">
        <v>1084</v>
      </c>
      <c r="D448" s="13" t="s">
        <v>829</v>
      </c>
      <c r="E448" s="5" t="s">
        <v>5566</v>
      </c>
      <c r="F448" s="5" t="s">
        <v>3404</v>
      </c>
      <c r="G448" s="5" t="s">
        <v>3405</v>
      </c>
      <c r="H448" s="13" t="s">
        <v>3280</v>
      </c>
      <c r="I448" s="13" t="s">
        <v>2397</v>
      </c>
      <c r="J448" s="4">
        <v>75088</v>
      </c>
      <c r="K448" s="4">
        <v>1</v>
      </c>
      <c r="L448" s="4">
        <v>4</v>
      </c>
      <c r="M448" s="4">
        <v>2016</v>
      </c>
      <c r="N448" s="4">
        <v>3</v>
      </c>
      <c r="O448" s="4">
        <v>8</v>
      </c>
      <c r="P448" s="4">
        <v>2</v>
      </c>
      <c r="Q448" s="19">
        <v>2899.99</v>
      </c>
      <c r="R448" s="16">
        <v>0.05</v>
      </c>
      <c r="S448" s="16">
        <v>5799.9299999999994</v>
      </c>
      <c r="T448" s="5" t="s">
        <v>9</v>
      </c>
      <c r="U448" s="13" t="s">
        <v>304</v>
      </c>
    </row>
    <row r="449" spans="1:21" x14ac:dyDescent="0.35">
      <c r="A449" s="4">
        <v>448</v>
      </c>
      <c r="B449" s="4">
        <v>101</v>
      </c>
      <c r="C449" s="13" t="s">
        <v>1085</v>
      </c>
      <c r="D449" s="13" t="s">
        <v>1086</v>
      </c>
      <c r="E449" s="5" t="s">
        <v>5566</v>
      </c>
      <c r="F449" s="5" t="s">
        <v>3406</v>
      </c>
      <c r="G449" s="5" t="s">
        <v>3407</v>
      </c>
      <c r="H449" s="13" t="s">
        <v>2785</v>
      </c>
      <c r="I449" s="13" t="s">
        <v>2309</v>
      </c>
      <c r="J449" s="4">
        <v>10583</v>
      </c>
      <c r="K449" s="4">
        <v>1</v>
      </c>
      <c r="L449" s="4">
        <v>13</v>
      </c>
      <c r="M449" s="4">
        <v>2016</v>
      </c>
      <c r="N449" s="4">
        <v>2</v>
      </c>
      <c r="O449" s="4">
        <v>6</v>
      </c>
      <c r="P449" s="4">
        <v>2</v>
      </c>
      <c r="Q449" s="19">
        <v>269.99</v>
      </c>
      <c r="R449" s="16">
        <v>0.05</v>
      </c>
      <c r="S449" s="16">
        <v>539.93000000000006</v>
      </c>
      <c r="T449" s="5" t="s">
        <v>18</v>
      </c>
      <c r="U449" s="13" t="s">
        <v>301</v>
      </c>
    </row>
    <row r="450" spans="1:21" x14ac:dyDescent="0.35">
      <c r="A450" s="4">
        <v>449</v>
      </c>
      <c r="B450" s="4">
        <v>492</v>
      </c>
      <c r="C450" s="13" t="s">
        <v>1087</v>
      </c>
      <c r="D450" s="13" t="s">
        <v>604</v>
      </c>
      <c r="E450" s="5" t="s">
        <v>5566</v>
      </c>
      <c r="F450" s="5" t="s">
        <v>3408</v>
      </c>
      <c r="G450" s="5" t="s">
        <v>3409</v>
      </c>
      <c r="H450" s="13" t="s">
        <v>3410</v>
      </c>
      <c r="I450" s="13" t="s">
        <v>2309</v>
      </c>
      <c r="J450" s="4">
        <v>11368</v>
      </c>
      <c r="K450" s="4">
        <v>1</v>
      </c>
      <c r="L450" s="4">
        <v>17</v>
      </c>
      <c r="M450" s="4">
        <v>2016</v>
      </c>
      <c r="N450" s="4">
        <v>2</v>
      </c>
      <c r="O450" s="4">
        <v>7</v>
      </c>
      <c r="P450" s="4">
        <v>2</v>
      </c>
      <c r="Q450" s="19">
        <v>429</v>
      </c>
      <c r="R450" s="16">
        <v>0.05</v>
      </c>
      <c r="S450" s="16">
        <v>857.95</v>
      </c>
      <c r="T450" s="5" t="s">
        <v>22</v>
      </c>
      <c r="U450" s="13" t="s">
        <v>301</v>
      </c>
    </row>
    <row r="451" spans="1:21" x14ac:dyDescent="0.35">
      <c r="A451" s="4">
        <v>450</v>
      </c>
      <c r="B451" s="4">
        <v>575</v>
      </c>
      <c r="C451" s="13" t="s">
        <v>1088</v>
      </c>
      <c r="D451" s="13" t="s">
        <v>1089</v>
      </c>
      <c r="E451" s="5" t="s">
        <v>5566</v>
      </c>
      <c r="F451" s="5" t="s">
        <v>3411</v>
      </c>
      <c r="G451" s="5" t="s">
        <v>3412</v>
      </c>
      <c r="H451" s="13" t="s">
        <v>2752</v>
      </c>
      <c r="I451" s="13" t="s">
        <v>2309</v>
      </c>
      <c r="J451" s="4">
        <v>11432</v>
      </c>
      <c r="K451" s="4">
        <v>1</v>
      </c>
      <c r="L451" s="4">
        <v>24</v>
      </c>
      <c r="M451" s="4">
        <v>2016</v>
      </c>
      <c r="N451" s="4">
        <v>2</v>
      </c>
      <c r="O451" s="4">
        <v>7</v>
      </c>
      <c r="P451" s="4">
        <v>1</v>
      </c>
      <c r="Q451" s="19">
        <v>549.99</v>
      </c>
      <c r="R451" s="16">
        <v>0.05</v>
      </c>
      <c r="S451" s="16">
        <v>549.94000000000005</v>
      </c>
      <c r="T451" s="5" t="s">
        <v>17</v>
      </c>
      <c r="U451" s="13" t="s">
        <v>300</v>
      </c>
    </row>
    <row r="452" spans="1:21" x14ac:dyDescent="0.35">
      <c r="A452" s="4">
        <v>451</v>
      </c>
      <c r="B452" s="4">
        <v>1146</v>
      </c>
      <c r="C452" s="13" t="s">
        <v>1090</v>
      </c>
      <c r="D452" s="13" t="s">
        <v>433</v>
      </c>
      <c r="E452" s="5" t="s">
        <v>5566</v>
      </c>
      <c r="F452" s="5" t="s">
        <v>3413</v>
      </c>
      <c r="G452" s="5" t="s">
        <v>3414</v>
      </c>
      <c r="H452" s="13" t="s">
        <v>2422</v>
      </c>
      <c r="I452" s="13" t="s">
        <v>2309</v>
      </c>
      <c r="J452" s="4">
        <v>11412</v>
      </c>
      <c r="K452" s="4">
        <v>1</v>
      </c>
      <c r="L452" s="4">
        <v>14</v>
      </c>
      <c r="M452" s="4">
        <v>2016</v>
      </c>
      <c r="N452" s="4">
        <v>2</v>
      </c>
      <c r="O452" s="4">
        <v>7</v>
      </c>
      <c r="P452" s="4">
        <v>2</v>
      </c>
      <c r="Q452" s="19">
        <v>269.99</v>
      </c>
      <c r="R452" s="16">
        <v>0.05</v>
      </c>
      <c r="S452" s="16">
        <v>539.93000000000006</v>
      </c>
      <c r="T452" s="5" t="s">
        <v>19</v>
      </c>
      <c r="U452" s="13" t="s">
        <v>301</v>
      </c>
    </row>
    <row r="453" spans="1:21" x14ac:dyDescent="0.35">
      <c r="A453" s="4">
        <v>452</v>
      </c>
      <c r="B453" s="4">
        <v>997</v>
      </c>
      <c r="C453" s="13" t="s">
        <v>473</v>
      </c>
      <c r="D453" s="13" t="s">
        <v>390</v>
      </c>
      <c r="E453" s="5" t="s">
        <v>5566</v>
      </c>
      <c r="F453" s="5" t="s">
        <v>3415</v>
      </c>
      <c r="G453" s="5" t="s">
        <v>3416</v>
      </c>
      <c r="H453" s="13" t="s">
        <v>470</v>
      </c>
      <c r="I453" s="13" t="s">
        <v>2309</v>
      </c>
      <c r="J453" s="4">
        <v>11510</v>
      </c>
      <c r="K453" s="4">
        <v>1</v>
      </c>
      <c r="L453" s="4">
        <v>11</v>
      </c>
      <c r="M453" s="4">
        <v>2016</v>
      </c>
      <c r="N453" s="4">
        <v>2</v>
      </c>
      <c r="O453" s="4">
        <v>7</v>
      </c>
      <c r="P453" s="4">
        <v>1</v>
      </c>
      <c r="Q453" s="19">
        <v>1680.99</v>
      </c>
      <c r="R453" s="16">
        <v>0.05</v>
      </c>
      <c r="S453" s="16">
        <v>1680.94</v>
      </c>
      <c r="T453" s="5" t="s">
        <v>16</v>
      </c>
      <c r="U453" s="13" t="s">
        <v>302</v>
      </c>
    </row>
    <row r="454" spans="1:21" x14ac:dyDescent="0.35">
      <c r="A454" s="4">
        <v>453</v>
      </c>
      <c r="B454" s="4">
        <v>1028</v>
      </c>
      <c r="C454" s="13" t="s">
        <v>1091</v>
      </c>
      <c r="D454" s="13" t="s">
        <v>1092</v>
      </c>
      <c r="E454" s="5" t="s">
        <v>5566</v>
      </c>
      <c r="F454" s="5" t="s">
        <v>3417</v>
      </c>
      <c r="G454" s="5" t="s">
        <v>3418</v>
      </c>
      <c r="H454" s="13" t="s">
        <v>3204</v>
      </c>
      <c r="I454" s="13" t="s">
        <v>2309</v>
      </c>
      <c r="J454" s="4">
        <v>14424</v>
      </c>
      <c r="K454" s="4">
        <v>1</v>
      </c>
      <c r="L454" s="4">
        <v>23</v>
      </c>
      <c r="M454" s="4">
        <v>2016</v>
      </c>
      <c r="N454" s="4">
        <v>2</v>
      </c>
      <c r="O454" s="4">
        <v>7</v>
      </c>
      <c r="P454" s="4">
        <v>1</v>
      </c>
      <c r="Q454" s="19">
        <v>299.99</v>
      </c>
      <c r="R454" s="16">
        <v>0.05</v>
      </c>
      <c r="S454" s="16">
        <v>299.94</v>
      </c>
      <c r="T454" s="5" t="s">
        <v>26</v>
      </c>
      <c r="U454" s="13" t="s">
        <v>299</v>
      </c>
    </row>
    <row r="455" spans="1:21" x14ac:dyDescent="0.35">
      <c r="A455" s="4">
        <v>454</v>
      </c>
      <c r="B455" s="4">
        <v>988</v>
      </c>
      <c r="C455" s="13" t="s">
        <v>1093</v>
      </c>
      <c r="D455" s="13" t="s">
        <v>706</v>
      </c>
      <c r="E455" s="5" t="s">
        <v>5566</v>
      </c>
      <c r="F455" s="5" t="s">
        <v>3419</v>
      </c>
      <c r="G455" s="5" t="s">
        <v>3420</v>
      </c>
      <c r="H455" s="13" t="s">
        <v>3057</v>
      </c>
      <c r="I455" s="13" t="s">
        <v>2309</v>
      </c>
      <c r="J455" s="4">
        <v>11791</v>
      </c>
      <c r="K455" s="4">
        <v>1</v>
      </c>
      <c r="L455" s="4">
        <v>25</v>
      </c>
      <c r="M455" s="4">
        <v>2016</v>
      </c>
      <c r="N455" s="4">
        <v>2</v>
      </c>
      <c r="O455" s="4">
        <v>6</v>
      </c>
      <c r="P455" s="4">
        <v>2</v>
      </c>
      <c r="Q455" s="19">
        <v>499.99</v>
      </c>
      <c r="R455" s="16">
        <v>7.0000000000000007E-2</v>
      </c>
      <c r="S455" s="16">
        <v>999.91</v>
      </c>
      <c r="T455" s="5" t="s">
        <v>27</v>
      </c>
      <c r="U455" s="13" t="s">
        <v>300</v>
      </c>
    </row>
    <row r="456" spans="1:21" x14ac:dyDescent="0.35">
      <c r="A456" s="4">
        <v>455</v>
      </c>
      <c r="B456" s="4">
        <v>1055</v>
      </c>
      <c r="C456" s="13" t="s">
        <v>1094</v>
      </c>
      <c r="D456" s="13" t="s">
        <v>1095</v>
      </c>
      <c r="E456" s="5" t="s">
        <v>5566</v>
      </c>
      <c r="F456" s="5" t="s">
        <v>3421</v>
      </c>
      <c r="G456" s="5" t="s">
        <v>3422</v>
      </c>
      <c r="H456" s="13" t="s">
        <v>2838</v>
      </c>
      <c r="I456" s="13" t="s">
        <v>2309</v>
      </c>
      <c r="J456" s="4">
        <v>11378</v>
      </c>
      <c r="K456" s="4">
        <v>1</v>
      </c>
      <c r="L456" s="4">
        <v>9</v>
      </c>
      <c r="M456" s="4">
        <v>2016</v>
      </c>
      <c r="N456" s="4">
        <v>2</v>
      </c>
      <c r="O456" s="4">
        <v>7</v>
      </c>
      <c r="P456" s="4">
        <v>1</v>
      </c>
      <c r="Q456" s="19">
        <v>2999.99</v>
      </c>
      <c r="R456" s="16">
        <v>0.05</v>
      </c>
      <c r="S456" s="16">
        <v>2999.9399999999996</v>
      </c>
      <c r="T456" s="5" t="s">
        <v>14</v>
      </c>
      <c r="U456" s="13" t="s">
        <v>303</v>
      </c>
    </row>
    <row r="457" spans="1:21" x14ac:dyDescent="0.35">
      <c r="A457" s="4">
        <v>456</v>
      </c>
      <c r="B457" s="4">
        <v>1061</v>
      </c>
      <c r="C457" s="13" t="s">
        <v>1096</v>
      </c>
      <c r="D457" s="13" t="s">
        <v>380</v>
      </c>
      <c r="E457" s="5" t="s">
        <v>5566</v>
      </c>
      <c r="F457" s="5" t="s">
        <v>3423</v>
      </c>
      <c r="G457" s="5" t="s">
        <v>3424</v>
      </c>
      <c r="H457" s="13" t="s">
        <v>2666</v>
      </c>
      <c r="I457" s="13" t="s">
        <v>2397</v>
      </c>
      <c r="J457" s="4">
        <v>76039</v>
      </c>
      <c r="K457" s="4">
        <v>1</v>
      </c>
      <c r="L457" s="4">
        <v>17</v>
      </c>
      <c r="M457" s="4">
        <v>2016</v>
      </c>
      <c r="N457" s="4">
        <v>3</v>
      </c>
      <c r="O457" s="4">
        <v>9</v>
      </c>
      <c r="P457" s="4">
        <v>2</v>
      </c>
      <c r="Q457" s="19">
        <v>429</v>
      </c>
      <c r="R457" s="16">
        <v>7.0000000000000007E-2</v>
      </c>
      <c r="S457" s="16">
        <v>857.93</v>
      </c>
      <c r="T457" s="5" t="s">
        <v>22</v>
      </c>
      <c r="U457" s="13" t="s">
        <v>301</v>
      </c>
    </row>
    <row r="458" spans="1:21" x14ac:dyDescent="0.35">
      <c r="A458" s="4">
        <v>457</v>
      </c>
      <c r="B458" s="4">
        <v>1349</v>
      </c>
      <c r="C458" s="13" t="s">
        <v>1097</v>
      </c>
      <c r="D458" s="13" t="s">
        <v>1098</v>
      </c>
      <c r="E458" s="5" t="s">
        <v>5566</v>
      </c>
      <c r="F458" s="5" t="s">
        <v>3425</v>
      </c>
      <c r="G458" s="5" t="s">
        <v>3426</v>
      </c>
      <c r="H458" s="13" t="s">
        <v>2362</v>
      </c>
      <c r="I458" s="13" t="s">
        <v>2305</v>
      </c>
      <c r="J458" s="4">
        <v>91316</v>
      </c>
      <c r="K458" s="4">
        <v>1</v>
      </c>
      <c r="L458" s="4">
        <v>24</v>
      </c>
      <c r="M458" s="4">
        <v>2016</v>
      </c>
      <c r="N458" s="4">
        <v>1</v>
      </c>
      <c r="O458" s="4">
        <v>3</v>
      </c>
      <c r="P458" s="4">
        <v>2</v>
      </c>
      <c r="Q458" s="19">
        <v>549.99</v>
      </c>
      <c r="R458" s="16">
        <v>7.0000000000000007E-2</v>
      </c>
      <c r="S458" s="16">
        <v>1099.9100000000001</v>
      </c>
      <c r="T458" s="5" t="s">
        <v>17</v>
      </c>
      <c r="U458" s="13" t="s">
        <v>300</v>
      </c>
    </row>
    <row r="459" spans="1:21" x14ac:dyDescent="0.35">
      <c r="A459" s="4">
        <v>458</v>
      </c>
      <c r="B459" s="4">
        <v>197</v>
      </c>
      <c r="C459" s="13" t="s">
        <v>1099</v>
      </c>
      <c r="D459" s="13" t="s">
        <v>2291</v>
      </c>
      <c r="E459" s="5" t="s">
        <v>5566</v>
      </c>
      <c r="F459" s="5" t="s">
        <v>3427</v>
      </c>
      <c r="G459" s="5" t="s">
        <v>3428</v>
      </c>
      <c r="H459" s="13" t="s">
        <v>2430</v>
      </c>
      <c r="I459" s="13" t="s">
        <v>2309</v>
      </c>
      <c r="J459" s="4">
        <v>11374</v>
      </c>
      <c r="K459" s="4">
        <v>1</v>
      </c>
      <c r="L459" s="4">
        <v>2</v>
      </c>
      <c r="M459" s="4">
        <v>2016</v>
      </c>
      <c r="N459" s="4">
        <v>2</v>
      </c>
      <c r="O459" s="4">
        <v>6</v>
      </c>
      <c r="P459" s="4">
        <v>1</v>
      </c>
      <c r="Q459" s="19">
        <v>749.99</v>
      </c>
      <c r="R459" s="16">
        <v>0.2</v>
      </c>
      <c r="S459" s="16">
        <v>749.79</v>
      </c>
      <c r="T459" s="5" t="s">
        <v>7</v>
      </c>
      <c r="U459" s="13" t="s">
        <v>304</v>
      </c>
    </row>
    <row r="460" spans="1:21" x14ac:dyDescent="0.35">
      <c r="A460" s="4">
        <v>459</v>
      </c>
      <c r="B460" s="4">
        <v>874</v>
      </c>
      <c r="C460" s="13" t="s">
        <v>1100</v>
      </c>
      <c r="D460" s="13" t="s">
        <v>1101</v>
      </c>
      <c r="E460" s="5" t="s">
        <v>5566</v>
      </c>
      <c r="F460" s="5" t="s">
        <v>3429</v>
      </c>
      <c r="G460" s="5" t="s">
        <v>3430</v>
      </c>
      <c r="H460" s="13" t="s">
        <v>2822</v>
      </c>
      <c r="I460" s="13" t="s">
        <v>2309</v>
      </c>
      <c r="J460" s="4">
        <v>12901</v>
      </c>
      <c r="K460" s="4">
        <v>1</v>
      </c>
      <c r="L460" s="4">
        <v>11</v>
      </c>
      <c r="M460" s="4">
        <v>2016</v>
      </c>
      <c r="N460" s="4">
        <v>2</v>
      </c>
      <c r="O460" s="4">
        <v>6</v>
      </c>
      <c r="P460" s="4">
        <v>1</v>
      </c>
      <c r="Q460" s="19">
        <v>1680.99</v>
      </c>
      <c r="R460" s="16">
        <v>0.2</v>
      </c>
      <c r="S460" s="16">
        <v>1680.79</v>
      </c>
      <c r="T460" s="5" t="s">
        <v>16</v>
      </c>
      <c r="U460" s="13" t="s">
        <v>302</v>
      </c>
    </row>
    <row r="461" spans="1:21" x14ac:dyDescent="0.35">
      <c r="A461" s="4">
        <v>460</v>
      </c>
      <c r="B461" s="4">
        <v>691</v>
      </c>
      <c r="C461" s="13" t="s">
        <v>1102</v>
      </c>
      <c r="D461" s="13" t="s">
        <v>1103</v>
      </c>
      <c r="E461" s="5" t="s">
        <v>3431</v>
      </c>
      <c r="F461" s="5" t="s">
        <v>3432</v>
      </c>
      <c r="G461" s="5" t="s">
        <v>3433</v>
      </c>
      <c r="H461" s="13" t="s">
        <v>1262</v>
      </c>
      <c r="I461" s="13" t="s">
        <v>2397</v>
      </c>
      <c r="J461" s="4">
        <v>77016</v>
      </c>
      <c r="K461" s="4">
        <v>1</v>
      </c>
      <c r="L461" s="4">
        <v>19</v>
      </c>
      <c r="M461" s="4">
        <v>2016</v>
      </c>
      <c r="N461" s="4">
        <v>3</v>
      </c>
      <c r="O461" s="4">
        <v>8</v>
      </c>
      <c r="P461" s="4">
        <v>1</v>
      </c>
      <c r="Q461" s="19">
        <v>449</v>
      </c>
      <c r="R461" s="16">
        <v>0.05</v>
      </c>
      <c r="S461" s="16">
        <v>448.95</v>
      </c>
      <c r="T461" s="5" t="s">
        <v>24</v>
      </c>
      <c r="U461" s="13" t="s">
        <v>301</v>
      </c>
    </row>
    <row r="462" spans="1:21" x14ac:dyDescent="0.35">
      <c r="A462" s="4">
        <v>461</v>
      </c>
      <c r="B462" s="4">
        <v>853</v>
      </c>
      <c r="C462" s="13" t="s">
        <v>1104</v>
      </c>
      <c r="D462" s="13" t="s">
        <v>1105</v>
      </c>
      <c r="E462" s="5" t="s">
        <v>5566</v>
      </c>
      <c r="F462" s="5" t="s">
        <v>3434</v>
      </c>
      <c r="G462" s="5" t="s">
        <v>3435</v>
      </c>
      <c r="H462" s="13" t="s">
        <v>2605</v>
      </c>
      <c r="I462" s="13" t="s">
        <v>2309</v>
      </c>
      <c r="J462" s="4">
        <v>12401</v>
      </c>
      <c r="K462" s="4">
        <v>1</v>
      </c>
      <c r="L462" s="4">
        <v>16</v>
      </c>
      <c r="M462" s="4">
        <v>2016</v>
      </c>
      <c r="N462" s="4">
        <v>2</v>
      </c>
      <c r="O462" s="4">
        <v>7</v>
      </c>
      <c r="P462" s="4">
        <v>1</v>
      </c>
      <c r="Q462" s="19">
        <v>599.99</v>
      </c>
      <c r="R462" s="16">
        <v>7.0000000000000007E-2</v>
      </c>
      <c r="S462" s="16">
        <v>599.91999999999996</v>
      </c>
      <c r="T462" s="5" t="s">
        <v>21</v>
      </c>
      <c r="U462" s="13" t="s">
        <v>301</v>
      </c>
    </row>
    <row r="463" spans="1:21" x14ac:dyDescent="0.35">
      <c r="A463" s="4">
        <v>462</v>
      </c>
      <c r="B463" s="4">
        <v>852</v>
      </c>
      <c r="C463" s="13" t="s">
        <v>1106</v>
      </c>
      <c r="D463" s="13" t="s">
        <v>604</v>
      </c>
      <c r="E463" s="5" t="s">
        <v>5566</v>
      </c>
      <c r="F463" s="5" t="s">
        <v>3436</v>
      </c>
      <c r="G463" s="5" t="s">
        <v>3437</v>
      </c>
      <c r="H463" s="13" t="s">
        <v>2636</v>
      </c>
      <c r="I463" s="13" t="s">
        <v>2309</v>
      </c>
      <c r="J463" s="4">
        <v>11520</v>
      </c>
      <c r="K463" s="4">
        <v>1</v>
      </c>
      <c r="L463" s="4">
        <v>12</v>
      </c>
      <c r="M463" s="4">
        <v>2016</v>
      </c>
      <c r="N463" s="4">
        <v>2</v>
      </c>
      <c r="O463" s="4">
        <v>6</v>
      </c>
      <c r="P463" s="4">
        <v>2</v>
      </c>
      <c r="Q463" s="19">
        <v>549.99</v>
      </c>
      <c r="R463" s="16">
        <v>0.1</v>
      </c>
      <c r="S463" s="16">
        <v>1099.8800000000001</v>
      </c>
      <c r="T463" s="5" t="s">
        <v>17</v>
      </c>
      <c r="U463" s="13" t="s">
        <v>301</v>
      </c>
    </row>
    <row r="464" spans="1:21" x14ac:dyDescent="0.35">
      <c r="A464" s="4">
        <v>463</v>
      </c>
      <c r="B464" s="4">
        <v>964</v>
      </c>
      <c r="C464" s="13" t="s">
        <v>1107</v>
      </c>
      <c r="D464" s="13" t="s">
        <v>1108</v>
      </c>
      <c r="E464" s="5" t="s">
        <v>3438</v>
      </c>
      <c r="F464" s="5" t="s">
        <v>3439</v>
      </c>
      <c r="G464" s="5" t="s">
        <v>3440</v>
      </c>
      <c r="H464" s="13" t="s">
        <v>2453</v>
      </c>
      <c r="I464" s="13" t="s">
        <v>2397</v>
      </c>
      <c r="J464" s="4">
        <v>78418</v>
      </c>
      <c r="K464" s="4">
        <v>1</v>
      </c>
      <c r="L464" s="4">
        <v>13</v>
      </c>
      <c r="M464" s="4">
        <v>2016</v>
      </c>
      <c r="N464" s="4">
        <v>3</v>
      </c>
      <c r="O464" s="4">
        <v>8</v>
      </c>
      <c r="P464" s="4">
        <v>2</v>
      </c>
      <c r="Q464" s="19">
        <v>269.99</v>
      </c>
      <c r="R464" s="16">
        <v>7.0000000000000007E-2</v>
      </c>
      <c r="S464" s="16">
        <v>539.91</v>
      </c>
      <c r="T464" s="5" t="s">
        <v>18</v>
      </c>
      <c r="U464" s="13" t="s">
        <v>301</v>
      </c>
    </row>
    <row r="465" spans="1:21" x14ac:dyDescent="0.35">
      <c r="A465" s="4">
        <v>464</v>
      </c>
      <c r="B465" s="4">
        <v>74</v>
      </c>
      <c r="C465" s="13" t="s">
        <v>1109</v>
      </c>
      <c r="D465" s="13" t="s">
        <v>1110</v>
      </c>
      <c r="E465" s="5" t="s">
        <v>5566</v>
      </c>
      <c r="F465" s="5" t="s">
        <v>3441</v>
      </c>
      <c r="G465" s="5" t="s">
        <v>3442</v>
      </c>
      <c r="H465" s="13" t="s">
        <v>2732</v>
      </c>
      <c r="I465" s="13" t="s">
        <v>2309</v>
      </c>
      <c r="J465" s="4">
        <v>14120</v>
      </c>
      <c r="K465" s="4">
        <v>1</v>
      </c>
      <c r="L465" s="4">
        <v>7</v>
      </c>
      <c r="M465" s="4">
        <v>2016</v>
      </c>
      <c r="N465" s="4">
        <v>2</v>
      </c>
      <c r="O465" s="4">
        <v>7</v>
      </c>
      <c r="P465" s="4">
        <v>1</v>
      </c>
      <c r="Q465" s="19">
        <v>3999.99</v>
      </c>
      <c r="R465" s="16">
        <v>0.1</v>
      </c>
      <c r="S465" s="16">
        <v>3999.89</v>
      </c>
      <c r="T465" s="5" t="s">
        <v>12</v>
      </c>
      <c r="U465" s="13" t="s">
        <v>304</v>
      </c>
    </row>
    <row r="466" spans="1:21" x14ac:dyDescent="0.35">
      <c r="A466" s="4">
        <v>465</v>
      </c>
      <c r="B466" s="4">
        <v>1198</v>
      </c>
      <c r="C466" s="13" t="s">
        <v>1111</v>
      </c>
      <c r="D466" s="13" t="s">
        <v>512</v>
      </c>
      <c r="E466" s="5" t="s">
        <v>5566</v>
      </c>
      <c r="F466" s="5" t="s">
        <v>3443</v>
      </c>
      <c r="G466" s="5" t="s">
        <v>3444</v>
      </c>
      <c r="H466" s="13" t="s">
        <v>2554</v>
      </c>
      <c r="I466" s="13" t="s">
        <v>2309</v>
      </c>
      <c r="J466" s="4">
        <v>11201</v>
      </c>
      <c r="K466" s="4">
        <v>1</v>
      </c>
      <c r="L466" s="4">
        <v>6</v>
      </c>
      <c r="M466" s="4">
        <v>2016</v>
      </c>
      <c r="N466" s="4">
        <v>2</v>
      </c>
      <c r="O466" s="4">
        <v>6</v>
      </c>
      <c r="P466" s="4">
        <v>2</v>
      </c>
      <c r="Q466" s="19">
        <v>469.99</v>
      </c>
      <c r="R466" s="16">
        <v>0.1</v>
      </c>
      <c r="S466" s="16">
        <v>939.88</v>
      </c>
      <c r="T466" s="5" t="s">
        <v>11</v>
      </c>
      <c r="U466" s="13" t="s">
        <v>304</v>
      </c>
    </row>
    <row r="467" spans="1:21" x14ac:dyDescent="0.35">
      <c r="A467" s="4">
        <v>466</v>
      </c>
      <c r="B467" s="4">
        <v>1440</v>
      </c>
      <c r="C467" s="13" t="s">
        <v>1112</v>
      </c>
      <c r="D467" s="13" t="s">
        <v>924</v>
      </c>
      <c r="E467" s="5" t="s">
        <v>5566</v>
      </c>
      <c r="F467" s="5" t="s">
        <v>3445</v>
      </c>
      <c r="G467" s="5" t="s">
        <v>3446</v>
      </c>
      <c r="H467" s="13" t="s">
        <v>3447</v>
      </c>
      <c r="I467" s="13" t="s">
        <v>2309</v>
      </c>
      <c r="J467" s="4">
        <v>11364</v>
      </c>
      <c r="K467" s="4">
        <v>1</v>
      </c>
      <c r="L467" s="4">
        <v>19</v>
      </c>
      <c r="M467" s="4">
        <v>2016</v>
      </c>
      <c r="N467" s="4">
        <v>2</v>
      </c>
      <c r="O467" s="4">
        <v>7</v>
      </c>
      <c r="P467" s="4">
        <v>2</v>
      </c>
      <c r="Q467" s="19">
        <v>449</v>
      </c>
      <c r="R467" s="16">
        <v>0.2</v>
      </c>
      <c r="S467" s="16">
        <v>897.8</v>
      </c>
      <c r="T467" s="5" t="s">
        <v>24</v>
      </c>
      <c r="U467" s="13" t="s">
        <v>301</v>
      </c>
    </row>
    <row r="468" spans="1:21" x14ac:dyDescent="0.35">
      <c r="A468" s="4">
        <v>467</v>
      </c>
      <c r="B468" s="4">
        <v>555</v>
      </c>
      <c r="C468" s="13" t="s">
        <v>1113</v>
      </c>
      <c r="D468" s="13" t="s">
        <v>773</v>
      </c>
      <c r="E468" s="5" t="s">
        <v>5566</v>
      </c>
      <c r="F468" s="5" t="s">
        <v>3448</v>
      </c>
      <c r="G468" s="5" t="s">
        <v>3449</v>
      </c>
      <c r="H468" s="13" t="s">
        <v>3215</v>
      </c>
      <c r="I468" s="13" t="s">
        <v>2397</v>
      </c>
      <c r="J468" s="4">
        <v>75126</v>
      </c>
      <c r="K468" s="4">
        <v>1</v>
      </c>
      <c r="L468" s="4">
        <v>19</v>
      </c>
      <c r="M468" s="4">
        <v>2016</v>
      </c>
      <c r="N468" s="4">
        <v>3</v>
      </c>
      <c r="O468" s="4">
        <v>8</v>
      </c>
      <c r="P468" s="4">
        <v>1</v>
      </c>
      <c r="Q468" s="19">
        <v>449</v>
      </c>
      <c r="R468" s="16">
        <v>7.0000000000000007E-2</v>
      </c>
      <c r="S468" s="16">
        <v>448.93</v>
      </c>
      <c r="T468" s="5" t="s">
        <v>24</v>
      </c>
      <c r="U468" s="13" t="s">
        <v>301</v>
      </c>
    </row>
    <row r="469" spans="1:21" x14ac:dyDescent="0.35">
      <c r="A469" s="4">
        <v>468</v>
      </c>
      <c r="B469" s="4">
        <v>1261</v>
      </c>
      <c r="C469" s="13" t="s">
        <v>1114</v>
      </c>
      <c r="D469" s="13" t="s">
        <v>558</v>
      </c>
      <c r="E469" s="5" t="s">
        <v>5566</v>
      </c>
      <c r="F469" s="5" t="s">
        <v>3450</v>
      </c>
      <c r="G469" s="5" t="s">
        <v>3451</v>
      </c>
      <c r="H469" s="13" t="s">
        <v>2564</v>
      </c>
      <c r="I469" s="13" t="s">
        <v>2305</v>
      </c>
      <c r="J469" s="4">
        <v>94806</v>
      </c>
      <c r="K469" s="4">
        <v>1</v>
      </c>
      <c r="L469" s="4">
        <v>19</v>
      </c>
      <c r="M469" s="4">
        <v>2016</v>
      </c>
      <c r="N469" s="4">
        <v>1</v>
      </c>
      <c r="O469" s="4">
        <v>3</v>
      </c>
      <c r="P469" s="4">
        <v>1</v>
      </c>
      <c r="Q469" s="19">
        <v>449</v>
      </c>
      <c r="R469" s="16">
        <v>0.1</v>
      </c>
      <c r="S469" s="16">
        <v>448.9</v>
      </c>
      <c r="T469" s="5" t="s">
        <v>24</v>
      </c>
      <c r="U469" s="13" t="s">
        <v>301</v>
      </c>
    </row>
    <row r="470" spans="1:21" x14ac:dyDescent="0.35">
      <c r="A470" s="4">
        <v>469</v>
      </c>
      <c r="B470" s="4">
        <v>1089</v>
      </c>
      <c r="C470" s="13" t="s">
        <v>1115</v>
      </c>
      <c r="D470" s="13" t="s">
        <v>1116</v>
      </c>
      <c r="E470" s="5" t="s">
        <v>5566</v>
      </c>
      <c r="F470" s="5" t="s">
        <v>3452</v>
      </c>
      <c r="G470" s="5" t="s">
        <v>3453</v>
      </c>
      <c r="H470" s="13" t="s">
        <v>2390</v>
      </c>
      <c r="I470" s="13" t="s">
        <v>2309</v>
      </c>
      <c r="J470" s="4">
        <v>14127</v>
      </c>
      <c r="K470" s="4">
        <v>1</v>
      </c>
      <c r="L470" s="4">
        <v>8</v>
      </c>
      <c r="M470" s="4">
        <v>2016</v>
      </c>
      <c r="N470" s="4">
        <v>2</v>
      </c>
      <c r="O470" s="4">
        <v>7</v>
      </c>
      <c r="P470" s="4">
        <v>2</v>
      </c>
      <c r="Q470" s="19">
        <v>1799.99</v>
      </c>
      <c r="R470" s="16">
        <v>0.1</v>
      </c>
      <c r="S470" s="16">
        <v>3599.88</v>
      </c>
      <c r="T470" s="5" t="s">
        <v>13</v>
      </c>
      <c r="U470" s="13" t="s">
        <v>304</v>
      </c>
    </row>
    <row r="471" spans="1:21" x14ac:dyDescent="0.35">
      <c r="A471" s="4">
        <v>470</v>
      </c>
      <c r="B471" s="4">
        <v>641</v>
      </c>
      <c r="C471" s="13" t="s">
        <v>1117</v>
      </c>
      <c r="D471" s="13" t="s">
        <v>518</v>
      </c>
      <c r="E471" s="5" t="s">
        <v>5566</v>
      </c>
      <c r="F471" s="5" t="s">
        <v>3454</v>
      </c>
      <c r="G471" s="5" t="s">
        <v>3455</v>
      </c>
      <c r="H471" s="13" t="s">
        <v>2528</v>
      </c>
      <c r="I471" s="13" t="s">
        <v>2305</v>
      </c>
      <c r="J471" s="4">
        <v>91740</v>
      </c>
      <c r="K471" s="4">
        <v>1</v>
      </c>
      <c r="L471" s="4">
        <v>18</v>
      </c>
      <c r="M471" s="4">
        <v>2016</v>
      </c>
      <c r="N471" s="4">
        <v>1</v>
      </c>
      <c r="O471" s="4">
        <v>3</v>
      </c>
      <c r="P471" s="4">
        <v>1</v>
      </c>
      <c r="Q471" s="19">
        <v>449</v>
      </c>
      <c r="R471" s="16">
        <v>0.05</v>
      </c>
      <c r="S471" s="16">
        <v>448.95</v>
      </c>
      <c r="T471" s="5" t="s">
        <v>23</v>
      </c>
      <c r="U471" s="13" t="s">
        <v>301</v>
      </c>
    </row>
    <row r="472" spans="1:21" x14ac:dyDescent="0.35">
      <c r="A472" s="4">
        <v>471</v>
      </c>
      <c r="B472" s="4">
        <v>697</v>
      </c>
      <c r="C472" s="13" t="s">
        <v>342</v>
      </c>
      <c r="D472" s="13" t="s">
        <v>1118</v>
      </c>
      <c r="E472" s="5" t="s">
        <v>3456</v>
      </c>
      <c r="F472" s="5" t="s">
        <v>3457</v>
      </c>
      <c r="G472" s="5" t="s">
        <v>3458</v>
      </c>
      <c r="H472" s="13" t="s">
        <v>2341</v>
      </c>
      <c r="I472" s="13" t="s">
        <v>2305</v>
      </c>
      <c r="J472" s="4">
        <v>92111</v>
      </c>
      <c r="K472" s="4">
        <v>1</v>
      </c>
      <c r="L472" s="4">
        <v>14</v>
      </c>
      <c r="M472" s="4">
        <v>2016</v>
      </c>
      <c r="N472" s="4">
        <v>1</v>
      </c>
      <c r="O472" s="4">
        <v>3</v>
      </c>
      <c r="P472" s="4">
        <v>1</v>
      </c>
      <c r="Q472" s="19">
        <v>269.99</v>
      </c>
      <c r="R472" s="16">
        <v>0.2</v>
      </c>
      <c r="S472" s="16">
        <v>269.79000000000002</v>
      </c>
      <c r="T472" s="5" t="s">
        <v>19</v>
      </c>
      <c r="U472" s="13" t="s">
        <v>301</v>
      </c>
    </row>
    <row r="473" spans="1:21" x14ac:dyDescent="0.35">
      <c r="A473" s="4">
        <v>472</v>
      </c>
      <c r="B473" s="4">
        <v>468</v>
      </c>
      <c r="C473" s="13" t="s">
        <v>1119</v>
      </c>
      <c r="D473" s="13" t="s">
        <v>1120</v>
      </c>
      <c r="E473" s="5" t="s">
        <v>5566</v>
      </c>
      <c r="F473" s="5" t="s">
        <v>3459</v>
      </c>
      <c r="G473" s="5" t="s">
        <v>3460</v>
      </c>
      <c r="H473" s="13" t="s">
        <v>2577</v>
      </c>
      <c r="I473" s="13" t="s">
        <v>2309</v>
      </c>
      <c r="J473" s="4">
        <v>11757</v>
      </c>
      <c r="K473" s="4">
        <v>1</v>
      </c>
      <c r="L473" s="4">
        <v>15</v>
      </c>
      <c r="M473" s="4">
        <v>2016</v>
      </c>
      <c r="N473" s="4">
        <v>2</v>
      </c>
      <c r="O473" s="4">
        <v>7</v>
      </c>
      <c r="P473" s="4">
        <v>1</v>
      </c>
      <c r="Q473" s="19">
        <v>529.99</v>
      </c>
      <c r="R473" s="16">
        <v>0.1</v>
      </c>
      <c r="S473" s="16">
        <v>529.89</v>
      </c>
      <c r="T473" s="5" t="s">
        <v>20</v>
      </c>
      <c r="U473" s="13" t="s">
        <v>301</v>
      </c>
    </row>
    <row r="474" spans="1:21" x14ac:dyDescent="0.35">
      <c r="A474" s="4">
        <v>473</v>
      </c>
      <c r="B474" s="4">
        <v>549</v>
      </c>
      <c r="C474" s="13" t="s">
        <v>1121</v>
      </c>
      <c r="D474" s="13" t="s">
        <v>423</v>
      </c>
      <c r="E474" s="5" t="s">
        <v>3461</v>
      </c>
      <c r="F474" s="5" t="s">
        <v>3462</v>
      </c>
      <c r="G474" s="5" t="s">
        <v>3463</v>
      </c>
      <c r="H474" s="13" t="s">
        <v>2419</v>
      </c>
      <c r="I474" s="13" t="s">
        <v>2309</v>
      </c>
      <c r="J474" s="4">
        <v>11561</v>
      </c>
      <c r="K474" s="4">
        <v>1</v>
      </c>
      <c r="L474" s="4">
        <v>26</v>
      </c>
      <c r="M474" s="4">
        <v>2016</v>
      </c>
      <c r="N474" s="4">
        <v>2</v>
      </c>
      <c r="O474" s="4">
        <v>7</v>
      </c>
      <c r="P474" s="4">
        <v>1</v>
      </c>
      <c r="Q474" s="19">
        <v>599.99</v>
      </c>
      <c r="R474" s="16">
        <v>7.0000000000000007E-2</v>
      </c>
      <c r="S474" s="16">
        <v>599.91999999999996</v>
      </c>
      <c r="T474" s="5" t="s">
        <v>21</v>
      </c>
      <c r="U474" s="13" t="s">
        <v>300</v>
      </c>
    </row>
    <row r="475" spans="1:21" x14ac:dyDescent="0.35">
      <c r="A475" s="4">
        <v>474</v>
      </c>
      <c r="B475" s="4">
        <v>553</v>
      </c>
      <c r="C475" s="13" t="s">
        <v>1122</v>
      </c>
      <c r="D475" s="13" t="s">
        <v>584</v>
      </c>
      <c r="E475" s="5" t="s">
        <v>5566</v>
      </c>
      <c r="F475" s="5" t="s">
        <v>3464</v>
      </c>
      <c r="G475" s="5" t="s">
        <v>3465</v>
      </c>
      <c r="H475" s="13" t="s">
        <v>2641</v>
      </c>
      <c r="I475" s="13" t="s">
        <v>2305</v>
      </c>
      <c r="J475" s="4">
        <v>95677</v>
      </c>
      <c r="K475" s="4">
        <v>1</v>
      </c>
      <c r="L475" s="4">
        <v>19</v>
      </c>
      <c r="M475" s="4">
        <v>2016</v>
      </c>
      <c r="N475" s="4">
        <v>1</v>
      </c>
      <c r="O475" s="4">
        <v>3</v>
      </c>
      <c r="P475" s="4">
        <v>2</v>
      </c>
      <c r="Q475" s="19">
        <v>449</v>
      </c>
      <c r="R475" s="16">
        <v>0.05</v>
      </c>
      <c r="S475" s="16">
        <v>897.95</v>
      </c>
      <c r="T475" s="5" t="s">
        <v>24</v>
      </c>
      <c r="U475" s="13" t="s">
        <v>301</v>
      </c>
    </row>
    <row r="476" spans="1:21" x14ac:dyDescent="0.35">
      <c r="A476" s="4">
        <v>475</v>
      </c>
      <c r="B476" s="4">
        <v>241</v>
      </c>
      <c r="C476" s="13" t="s">
        <v>1123</v>
      </c>
      <c r="D476" s="13" t="s">
        <v>942</v>
      </c>
      <c r="E476" s="5" t="s">
        <v>5566</v>
      </c>
      <c r="F476" s="5" t="s">
        <v>3466</v>
      </c>
      <c r="G476" s="5" t="s">
        <v>3467</v>
      </c>
      <c r="H476" s="13" t="s">
        <v>2663</v>
      </c>
      <c r="I476" s="13" t="s">
        <v>2309</v>
      </c>
      <c r="J476" s="4">
        <v>12804</v>
      </c>
      <c r="K476" s="4">
        <v>1</v>
      </c>
      <c r="L476" s="4">
        <v>17</v>
      </c>
      <c r="M476" s="4">
        <v>2016</v>
      </c>
      <c r="N476" s="4">
        <v>2</v>
      </c>
      <c r="O476" s="4">
        <v>7</v>
      </c>
      <c r="P476" s="4">
        <v>2</v>
      </c>
      <c r="Q476" s="19">
        <v>429</v>
      </c>
      <c r="R476" s="16">
        <v>7.0000000000000007E-2</v>
      </c>
      <c r="S476" s="16">
        <v>857.93</v>
      </c>
      <c r="T476" s="5" t="s">
        <v>22</v>
      </c>
      <c r="U476" s="13" t="s">
        <v>301</v>
      </c>
    </row>
    <row r="477" spans="1:21" x14ac:dyDescent="0.35">
      <c r="A477" s="4">
        <v>476</v>
      </c>
      <c r="B477" s="4">
        <v>559</v>
      </c>
      <c r="C477" s="13" t="s">
        <v>1124</v>
      </c>
      <c r="D477" s="13" t="s">
        <v>1072</v>
      </c>
      <c r="E477" s="5" t="s">
        <v>3468</v>
      </c>
      <c r="F477" s="5" t="s">
        <v>3469</v>
      </c>
      <c r="G477" s="5" t="s">
        <v>3470</v>
      </c>
      <c r="H477" s="13" t="s">
        <v>2698</v>
      </c>
      <c r="I477" s="13" t="s">
        <v>2309</v>
      </c>
      <c r="J477" s="4">
        <v>11717</v>
      </c>
      <c r="K477" s="4">
        <v>1</v>
      </c>
      <c r="L477" s="4">
        <v>22</v>
      </c>
      <c r="M477" s="4">
        <v>2016</v>
      </c>
      <c r="N477" s="4">
        <v>2</v>
      </c>
      <c r="O477" s="4">
        <v>6</v>
      </c>
      <c r="P477" s="4">
        <v>2</v>
      </c>
      <c r="Q477" s="19">
        <v>269.99</v>
      </c>
      <c r="R477" s="16">
        <v>7.0000000000000007E-2</v>
      </c>
      <c r="S477" s="16">
        <v>539.91</v>
      </c>
      <c r="T477" s="5" t="s">
        <v>19</v>
      </c>
      <c r="U477" s="13" t="s">
        <v>299</v>
      </c>
    </row>
    <row r="478" spans="1:21" x14ac:dyDescent="0.35">
      <c r="A478" s="4">
        <v>477</v>
      </c>
      <c r="B478" s="4">
        <v>449</v>
      </c>
      <c r="C478" s="13" t="s">
        <v>1125</v>
      </c>
      <c r="D478" s="13" t="s">
        <v>1126</v>
      </c>
      <c r="E478" s="5" t="s">
        <v>5566</v>
      </c>
      <c r="F478" s="5" t="s">
        <v>3471</v>
      </c>
      <c r="G478" s="5" t="s">
        <v>3472</v>
      </c>
      <c r="H478" s="13" t="s">
        <v>2365</v>
      </c>
      <c r="I478" s="13" t="s">
        <v>2305</v>
      </c>
      <c r="J478" s="4">
        <v>91387</v>
      </c>
      <c r="K478" s="4">
        <v>1</v>
      </c>
      <c r="L478" s="4">
        <v>6</v>
      </c>
      <c r="M478" s="4">
        <v>2016</v>
      </c>
      <c r="N478" s="4">
        <v>1</v>
      </c>
      <c r="O478" s="4">
        <v>2</v>
      </c>
      <c r="P478" s="4">
        <v>1</v>
      </c>
      <c r="Q478" s="19">
        <v>469.99</v>
      </c>
      <c r="R478" s="16">
        <v>0.1</v>
      </c>
      <c r="S478" s="16">
        <v>469.89</v>
      </c>
      <c r="T478" s="5" t="s">
        <v>11</v>
      </c>
      <c r="U478" s="13" t="s">
        <v>304</v>
      </c>
    </row>
    <row r="479" spans="1:21" x14ac:dyDescent="0.35">
      <c r="A479" s="4">
        <v>478</v>
      </c>
      <c r="B479" s="4">
        <v>304</v>
      </c>
      <c r="C479" s="13" t="s">
        <v>1127</v>
      </c>
      <c r="D479" s="13" t="s">
        <v>580</v>
      </c>
      <c r="E479" s="5" t="s">
        <v>5566</v>
      </c>
      <c r="F479" s="5" t="s">
        <v>3473</v>
      </c>
      <c r="G479" s="5" t="s">
        <v>3474</v>
      </c>
      <c r="H479" s="13" t="s">
        <v>3475</v>
      </c>
      <c r="I479" s="13" t="s">
        <v>2309</v>
      </c>
      <c r="J479" s="4">
        <v>11413</v>
      </c>
      <c r="K479" s="4">
        <v>1</v>
      </c>
      <c r="L479" s="4">
        <v>21</v>
      </c>
      <c r="M479" s="4">
        <v>2016</v>
      </c>
      <c r="N479" s="4">
        <v>2</v>
      </c>
      <c r="O479" s="4">
        <v>7</v>
      </c>
      <c r="P479" s="4">
        <v>2</v>
      </c>
      <c r="Q479" s="19">
        <v>269.99</v>
      </c>
      <c r="R479" s="16">
        <v>7.0000000000000007E-2</v>
      </c>
      <c r="S479" s="16">
        <v>539.91</v>
      </c>
      <c r="T479" s="5" t="s">
        <v>18</v>
      </c>
      <c r="U479" s="13" t="s">
        <v>299</v>
      </c>
    </row>
    <row r="480" spans="1:21" x14ac:dyDescent="0.35">
      <c r="A480" s="4">
        <v>479</v>
      </c>
      <c r="B480" s="4">
        <v>984</v>
      </c>
      <c r="C480" s="13" t="s">
        <v>1128</v>
      </c>
      <c r="D480" s="13" t="s">
        <v>859</v>
      </c>
      <c r="E480" s="5" t="s">
        <v>5566</v>
      </c>
      <c r="F480" s="5" t="s">
        <v>3476</v>
      </c>
      <c r="G480" s="5" t="s">
        <v>3477</v>
      </c>
      <c r="H480" s="13" t="s">
        <v>2479</v>
      </c>
      <c r="I480" s="13" t="s">
        <v>2309</v>
      </c>
      <c r="J480" s="4">
        <v>11010</v>
      </c>
      <c r="K480" s="4">
        <v>1</v>
      </c>
      <c r="L480" s="4">
        <v>26</v>
      </c>
      <c r="M480" s="4">
        <v>2016</v>
      </c>
      <c r="N480" s="4">
        <v>2</v>
      </c>
      <c r="O480" s="4">
        <v>6</v>
      </c>
      <c r="P480" s="4">
        <v>1</v>
      </c>
      <c r="Q480" s="19">
        <v>599.99</v>
      </c>
      <c r="R480" s="16">
        <v>7.0000000000000007E-2</v>
      </c>
      <c r="S480" s="16">
        <v>599.91999999999996</v>
      </c>
      <c r="T480" s="5" t="s">
        <v>21</v>
      </c>
      <c r="U480" s="13" t="s">
        <v>300</v>
      </c>
    </row>
    <row r="481" spans="1:21" x14ac:dyDescent="0.35">
      <c r="A481" s="4">
        <v>480</v>
      </c>
      <c r="B481" s="4">
        <v>686</v>
      </c>
      <c r="C481" s="13" t="s">
        <v>1129</v>
      </c>
      <c r="D481" s="13" t="s">
        <v>1130</v>
      </c>
      <c r="E481" s="5" t="s">
        <v>5566</v>
      </c>
      <c r="F481" s="5" t="s">
        <v>3478</v>
      </c>
      <c r="G481" s="5" t="s">
        <v>3479</v>
      </c>
      <c r="H481" s="13" t="s">
        <v>2373</v>
      </c>
      <c r="I481" s="13" t="s">
        <v>2305</v>
      </c>
      <c r="J481" s="4">
        <v>95050</v>
      </c>
      <c r="K481" s="4">
        <v>1</v>
      </c>
      <c r="L481" s="4">
        <v>4</v>
      </c>
      <c r="M481" s="4">
        <v>2016</v>
      </c>
      <c r="N481" s="4">
        <v>1</v>
      </c>
      <c r="O481" s="4">
        <v>3</v>
      </c>
      <c r="P481" s="4">
        <v>1</v>
      </c>
      <c r="Q481" s="19">
        <v>2899.99</v>
      </c>
      <c r="R481" s="16">
        <v>0.05</v>
      </c>
      <c r="S481" s="16">
        <v>2899.9399999999996</v>
      </c>
      <c r="T481" s="5" t="s">
        <v>9</v>
      </c>
      <c r="U481" s="13" t="s">
        <v>304</v>
      </c>
    </row>
    <row r="482" spans="1:21" x14ac:dyDescent="0.35">
      <c r="A482" s="4">
        <v>481</v>
      </c>
      <c r="B482" s="4">
        <v>481</v>
      </c>
      <c r="C482" s="13" t="s">
        <v>1131</v>
      </c>
      <c r="D482" s="13" t="s">
        <v>539</v>
      </c>
      <c r="E482" s="5" t="s">
        <v>5566</v>
      </c>
      <c r="F482" s="5" t="s">
        <v>3480</v>
      </c>
      <c r="G482" s="5" t="s">
        <v>3481</v>
      </c>
      <c r="H482" s="13" t="s">
        <v>2559</v>
      </c>
      <c r="I482" s="13" t="s">
        <v>2397</v>
      </c>
      <c r="J482" s="4">
        <v>77566</v>
      </c>
      <c r="K482" s="4">
        <v>1</v>
      </c>
      <c r="L482" s="4">
        <v>13</v>
      </c>
      <c r="M482" s="4">
        <v>2016</v>
      </c>
      <c r="N482" s="4">
        <v>3</v>
      </c>
      <c r="O482" s="4">
        <v>9</v>
      </c>
      <c r="P482" s="4">
        <v>2</v>
      </c>
      <c r="Q482" s="19">
        <v>269.99</v>
      </c>
      <c r="R482" s="16">
        <v>0.2</v>
      </c>
      <c r="S482" s="16">
        <v>539.78</v>
      </c>
      <c r="T482" s="5" t="s">
        <v>18</v>
      </c>
      <c r="U482" s="13" t="s">
        <v>301</v>
      </c>
    </row>
    <row r="483" spans="1:21" x14ac:dyDescent="0.35">
      <c r="A483" s="4">
        <v>482</v>
      </c>
      <c r="B483" s="4">
        <v>513</v>
      </c>
      <c r="C483" s="13" t="s">
        <v>1132</v>
      </c>
      <c r="D483" s="13" t="s">
        <v>1133</v>
      </c>
      <c r="E483" s="5" t="s">
        <v>5566</v>
      </c>
      <c r="F483" s="5" t="s">
        <v>3482</v>
      </c>
      <c r="G483" s="5" t="s">
        <v>3483</v>
      </c>
      <c r="H483" s="13" t="s">
        <v>3247</v>
      </c>
      <c r="I483" s="13" t="s">
        <v>2309</v>
      </c>
      <c r="J483" s="4">
        <v>14075</v>
      </c>
      <c r="K483" s="4">
        <v>1</v>
      </c>
      <c r="L483" s="4">
        <v>13</v>
      </c>
      <c r="M483" s="4">
        <v>2016</v>
      </c>
      <c r="N483" s="4">
        <v>2</v>
      </c>
      <c r="O483" s="4">
        <v>6</v>
      </c>
      <c r="P483" s="4">
        <v>1</v>
      </c>
      <c r="Q483" s="19">
        <v>269.99</v>
      </c>
      <c r="R483" s="16">
        <v>0.2</v>
      </c>
      <c r="S483" s="16">
        <v>269.79000000000002</v>
      </c>
      <c r="T483" s="5" t="s">
        <v>18</v>
      </c>
      <c r="U483" s="13" t="s">
        <v>301</v>
      </c>
    </row>
    <row r="484" spans="1:21" x14ac:dyDescent="0.35">
      <c r="A484" s="4">
        <v>483</v>
      </c>
      <c r="B484" s="4">
        <v>703</v>
      </c>
      <c r="C484" s="13" t="s">
        <v>601</v>
      </c>
      <c r="D484" s="13" t="s">
        <v>1134</v>
      </c>
      <c r="E484" s="5" t="s">
        <v>5566</v>
      </c>
      <c r="F484" s="5" t="s">
        <v>3484</v>
      </c>
      <c r="G484" s="5" t="s">
        <v>3485</v>
      </c>
      <c r="H484" s="13" t="s">
        <v>2749</v>
      </c>
      <c r="I484" s="13" t="s">
        <v>2305</v>
      </c>
      <c r="J484" s="4">
        <v>92831</v>
      </c>
      <c r="K484" s="4">
        <v>1</v>
      </c>
      <c r="L484" s="4">
        <v>17</v>
      </c>
      <c r="M484" s="4">
        <v>2016</v>
      </c>
      <c r="N484" s="4">
        <v>1</v>
      </c>
      <c r="O484" s="4">
        <v>2</v>
      </c>
      <c r="P484" s="4">
        <v>1</v>
      </c>
      <c r="Q484" s="19">
        <v>429</v>
      </c>
      <c r="R484" s="16">
        <v>7.0000000000000007E-2</v>
      </c>
      <c r="S484" s="16">
        <v>428.93</v>
      </c>
      <c r="T484" s="5" t="s">
        <v>22</v>
      </c>
      <c r="U484" s="13" t="s">
        <v>301</v>
      </c>
    </row>
    <row r="485" spans="1:21" x14ac:dyDescent="0.35">
      <c r="A485" s="4">
        <v>484</v>
      </c>
      <c r="B485" s="4">
        <v>421</v>
      </c>
      <c r="C485" s="13" t="s">
        <v>1135</v>
      </c>
      <c r="D485" s="13" t="s">
        <v>919</v>
      </c>
      <c r="E485" s="5" t="s">
        <v>5566</v>
      </c>
      <c r="F485" s="5" t="s">
        <v>3486</v>
      </c>
      <c r="G485" s="5" t="s">
        <v>3487</v>
      </c>
      <c r="H485" s="13" t="s">
        <v>552</v>
      </c>
      <c r="I485" s="13" t="s">
        <v>2309</v>
      </c>
      <c r="J485" s="4">
        <v>10950</v>
      </c>
      <c r="K485" s="4">
        <v>1</v>
      </c>
      <c r="L485" s="4">
        <v>8</v>
      </c>
      <c r="M485" s="4">
        <v>2016</v>
      </c>
      <c r="N485" s="4">
        <v>2</v>
      </c>
      <c r="O485" s="4">
        <v>7</v>
      </c>
      <c r="P485" s="4">
        <v>2</v>
      </c>
      <c r="Q485" s="19">
        <v>1799.99</v>
      </c>
      <c r="R485" s="16">
        <v>0.1</v>
      </c>
      <c r="S485" s="16">
        <v>3599.88</v>
      </c>
      <c r="T485" s="5" t="s">
        <v>13</v>
      </c>
      <c r="U485" s="13" t="s">
        <v>304</v>
      </c>
    </row>
    <row r="486" spans="1:21" x14ac:dyDescent="0.35">
      <c r="A486" s="4">
        <v>485</v>
      </c>
      <c r="B486" s="4">
        <v>465</v>
      </c>
      <c r="C486" s="13" t="s">
        <v>1136</v>
      </c>
      <c r="D486" s="13" t="s">
        <v>516</v>
      </c>
      <c r="E486" s="5" t="s">
        <v>3488</v>
      </c>
      <c r="F486" s="5" t="s">
        <v>3489</v>
      </c>
      <c r="G486" s="5" t="s">
        <v>3490</v>
      </c>
      <c r="H486" s="13" t="s">
        <v>3027</v>
      </c>
      <c r="I486" s="13" t="s">
        <v>2309</v>
      </c>
      <c r="J486" s="4">
        <v>12180</v>
      </c>
      <c r="K486" s="4">
        <v>1</v>
      </c>
      <c r="L486" s="4">
        <v>13</v>
      </c>
      <c r="M486" s="4">
        <v>2016</v>
      </c>
      <c r="N486" s="4">
        <v>2</v>
      </c>
      <c r="O486" s="4">
        <v>7</v>
      </c>
      <c r="P486" s="4">
        <v>1</v>
      </c>
      <c r="Q486" s="19">
        <v>269.99</v>
      </c>
      <c r="R486" s="16">
        <v>0.1</v>
      </c>
      <c r="S486" s="16">
        <v>269.89</v>
      </c>
      <c r="T486" s="5" t="s">
        <v>18</v>
      </c>
      <c r="U486" s="13" t="s">
        <v>301</v>
      </c>
    </row>
    <row r="487" spans="1:21" x14ac:dyDescent="0.35">
      <c r="A487" s="4">
        <v>486</v>
      </c>
      <c r="B487" s="4">
        <v>709</v>
      </c>
      <c r="C487" s="13" t="s">
        <v>1137</v>
      </c>
      <c r="D487" s="13" t="s">
        <v>1138</v>
      </c>
      <c r="E487" s="5" t="s">
        <v>5566</v>
      </c>
      <c r="F487" s="5" t="s">
        <v>3491</v>
      </c>
      <c r="G487" s="5" t="s">
        <v>3492</v>
      </c>
      <c r="H487" s="13" t="s">
        <v>2628</v>
      </c>
      <c r="I487" s="13" t="s">
        <v>2309</v>
      </c>
      <c r="J487" s="4">
        <v>11375</v>
      </c>
      <c r="K487" s="4">
        <v>1</v>
      </c>
      <c r="L487" s="4">
        <v>9</v>
      </c>
      <c r="M487" s="4">
        <v>2016</v>
      </c>
      <c r="N487" s="4">
        <v>2</v>
      </c>
      <c r="O487" s="4">
        <v>7</v>
      </c>
      <c r="P487" s="4">
        <v>1</v>
      </c>
      <c r="Q487" s="19">
        <v>2999.99</v>
      </c>
      <c r="R487" s="16">
        <v>7.0000000000000007E-2</v>
      </c>
      <c r="S487" s="16">
        <v>2999.9199999999996</v>
      </c>
      <c r="T487" s="5" t="s">
        <v>14</v>
      </c>
      <c r="U487" s="13" t="s">
        <v>303</v>
      </c>
    </row>
    <row r="488" spans="1:21" x14ac:dyDescent="0.35">
      <c r="A488" s="4">
        <v>487</v>
      </c>
      <c r="B488" s="4">
        <v>827</v>
      </c>
      <c r="C488" s="13" t="s">
        <v>1139</v>
      </c>
      <c r="D488" s="13" t="s">
        <v>1140</v>
      </c>
      <c r="E488" s="5" t="s">
        <v>5566</v>
      </c>
      <c r="F488" s="5" t="s">
        <v>3493</v>
      </c>
      <c r="G488" s="5" t="s">
        <v>3494</v>
      </c>
      <c r="H488" s="13" t="s">
        <v>2945</v>
      </c>
      <c r="I488" s="13" t="s">
        <v>2309</v>
      </c>
      <c r="J488" s="4">
        <v>11104</v>
      </c>
      <c r="K488" s="4">
        <v>1</v>
      </c>
      <c r="L488" s="4">
        <v>6</v>
      </c>
      <c r="M488" s="4">
        <v>2016</v>
      </c>
      <c r="N488" s="4">
        <v>2</v>
      </c>
      <c r="O488" s="4">
        <v>6</v>
      </c>
      <c r="P488" s="4">
        <v>1</v>
      </c>
      <c r="Q488" s="19">
        <v>469.99</v>
      </c>
      <c r="R488" s="16">
        <v>0.2</v>
      </c>
      <c r="S488" s="16">
        <v>469.79</v>
      </c>
      <c r="T488" s="5" t="s">
        <v>11</v>
      </c>
      <c r="U488" s="13" t="s">
        <v>304</v>
      </c>
    </row>
    <row r="489" spans="1:21" x14ac:dyDescent="0.35">
      <c r="A489" s="4">
        <v>488</v>
      </c>
      <c r="B489" s="4">
        <v>921</v>
      </c>
      <c r="C489" s="13" t="s">
        <v>1141</v>
      </c>
      <c r="D489" s="13" t="s">
        <v>482</v>
      </c>
      <c r="E489" s="5" t="s">
        <v>5566</v>
      </c>
      <c r="F489" s="5" t="s">
        <v>3495</v>
      </c>
      <c r="G489" s="5" t="s">
        <v>3496</v>
      </c>
      <c r="H489" s="13" t="s">
        <v>1457</v>
      </c>
      <c r="I489" s="13" t="s">
        <v>2309</v>
      </c>
      <c r="J489" s="4">
        <v>14580</v>
      </c>
      <c r="K489" s="4">
        <v>1</v>
      </c>
      <c r="L489" s="4">
        <v>13</v>
      </c>
      <c r="M489" s="4">
        <v>2016</v>
      </c>
      <c r="N489" s="4">
        <v>2</v>
      </c>
      <c r="O489" s="4">
        <v>6</v>
      </c>
      <c r="P489" s="4">
        <v>2</v>
      </c>
      <c r="Q489" s="19">
        <v>269.99</v>
      </c>
      <c r="R489" s="16">
        <v>7.0000000000000007E-2</v>
      </c>
      <c r="S489" s="16">
        <v>539.91</v>
      </c>
      <c r="T489" s="5" t="s">
        <v>18</v>
      </c>
      <c r="U489" s="13" t="s">
        <v>301</v>
      </c>
    </row>
    <row r="490" spans="1:21" x14ac:dyDescent="0.35">
      <c r="A490" s="4">
        <v>489</v>
      </c>
      <c r="B490" s="4">
        <v>899</v>
      </c>
      <c r="C490" s="13" t="s">
        <v>1142</v>
      </c>
      <c r="D490" s="13" t="s">
        <v>1143</v>
      </c>
      <c r="E490" s="5" t="s">
        <v>5566</v>
      </c>
      <c r="F490" s="5" t="s">
        <v>3497</v>
      </c>
      <c r="G490" s="5" t="s">
        <v>3498</v>
      </c>
      <c r="H490" s="13" t="s">
        <v>2608</v>
      </c>
      <c r="I490" s="13" t="s">
        <v>2397</v>
      </c>
      <c r="J490" s="4">
        <v>77904</v>
      </c>
      <c r="K490" s="4">
        <v>1</v>
      </c>
      <c r="L490" s="4">
        <v>8</v>
      </c>
      <c r="M490" s="4">
        <v>2016</v>
      </c>
      <c r="N490" s="4">
        <v>3</v>
      </c>
      <c r="O490" s="4">
        <v>8</v>
      </c>
      <c r="P490" s="4">
        <v>2</v>
      </c>
      <c r="Q490" s="19">
        <v>1799.99</v>
      </c>
      <c r="R490" s="16">
        <v>0.1</v>
      </c>
      <c r="S490" s="16">
        <v>3599.88</v>
      </c>
      <c r="T490" s="5" t="s">
        <v>13</v>
      </c>
      <c r="U490" s="13" t="s">
        <v>304</v>
      </c>
    </row>
    <row r="491" spans="1:21" x14ac:dyDescent="0.35">
      <c r="A491" s="4">
        <v>490</v>
      </c>
      <c r="B491" s="4">
        <v>876</v>
      </c>
      <c r="C491" s="13" t="s">
        <v>1144</v>
      </c>
      <c r="D491" s="13" t="s">
        <v>1145</v>
      </c>
      <c r="E491" s="5" t="s">
        <v>5566</v>
      </c>
      <c r="F491" s="5" t="s">
        <v>3499</v>
      </c>
      <c r="G491" s="5" t="s">
        <v>3500</v>
      </c>
      <c r="H491" s="13" t="s">
        <v>2539</v>
      </c>
      <c r="I491" s="13" t="s">
        <v>2309</v>
      </c>
      <c r="J491" s="4">
        <v>11542</v>
      </c>
      <c r="K491" s="4">
        <v>1</v>
      </c>
      <c r="L491" s="4">
        <v>12</v>
      </c>
      <c r="M491" s="4">
        <v>2016</v>
      </c>
      <c r="N491" s="4">
        <v>2</v>
      </c>
      <c r="O491" s="4">
        <v>6</v>
      </c>
      <c r="P491" s="4">
        <v>1</v>
      </c>
      <c r="Q491" s="19">
        <v>549.99</v>
      </c>
      <c r="R491" s="16">
        <v>0.1</v>
      </c>
      <c r="S491" s="16">
        <v>549.89</v>
      </c>
      <c r="T491" s="5" t="s">
        <v>17</v>
      </c>
      <c r="U491" s="13" t="s">
        <v>301</v>
      </c>
    </row>
    <row r="492" spans="1:21" x14ac:dyDescent="0.35">
      <c r="A492" s="4">
        <v>491</v>
      </c>
      <c r="B492" s="4">
        <v>1048</v>
      </c>
      <c r="C492" s="13" t="s">
        <v>1146</v>
      </c>
      <c r="D492" s="13" t="s">
        <v>1147</v>
      </c>
      <c r="E492" s="5" t="s">
        <v>5566</v>
      </c>
      <c r="F492" s="5" t="s">
        <v>3501</v>
      </c>
      <c r="G492" s="5" t="s">
        <v>3502</v>
      </c>
      <c r="H492" s="13" t="s">
        <v>2885</v>
      </c>
      <c r="I492" s="13" t="s">
        <v>2305</v>
      </c>
      <c r="J492" s="4">
        <v>92307</v>
      </c>
      <c r="K492" s="4">
        <v>1</v>
      </c>
      <c r="L492" s="4">
        <v>9</v>
      </c>
      <c r="M492" s="4">
        <v>2016</v>
      </c>
      <c r="N492" s="4">
        <v>1</v>
      </c>
      <c r="O492" s="4">
        <v>2</v>
      </c>
      <c r="P492" s="4">
        <v>2</v>
      </c>
      <c r="Q492" s="19">
        <v>2999.99</v>
      </c>
      <c r="R492" s="16">
        <v>0.2</v>
      </c>
      <c r="S492" s="16">
        <v>5999.78</v>
      </c>
      <c r="T492" s="5" t="s">
        <v>14</v>
      </c>
      <c r="U492" s="13" t="s">
        <v>303</v>
      </c>
    </row>
    <row r="493" spans="1:21" x14ac:dyDescent="0.35">
      <c r="A493" s="4">
        <v>492</v>
      </c>
      <c r="B493" s="4">
        <v>191</v>
      </c>
      <c r="C493" s="13" t="s">
        <v>1148</v>
      </c>
      <c r="D493" s="13" t="s">
        <v>783</v>
      </c>
      <c r="E493" s="5" t="s">
        <v>3503</v>
      </c>
      <c r="F493" s="5" t="s">
        <v>3504</v>
      </c>
      <c r="G493" s="5" t="s">
        <v>3505</v>
      </c>
      <c r="H493" s="13" t="s">
        <v>2704</v>
      </c>
      <c r="I493" s="13" t="s">
        <v>2305</v>
      </c>
      <c r="J493" s="4">
        <v>93035</v>
      </c>
      <c r="K493" s="4">
        <v>1</v>
      </c>
      <c r="L493" s="4">
        <v>6</v>
      </c>
      <c r="M493" s="4">
        <v>2016</v>
      </c>
      <c r="N493" s="4">
        <v>1</v>
      </c>
      <c r="O493" s="4">
        <v>2</v>
      </c>
      <c r="P493" s="4">
        <v>1</v>
      </c>
      <c r="Q493" s="19">
        <v>469.99</v>
      </c>
      <c r="R493" s="16">
        <v>0.1</v>
      </c>
      <c r="S493" s="16">
        <v>469.89</v>
      </c>
      <c r="T493" s="5" t="s">
        <v>11</v>
      </c>
      <c r="U493" s="13" t="s">
        <v>304</v>
      </c>
    </row>
    <row r="494" spans="1:21" x14ac:dyDescent="0.35">
      <c r="A494" s="4">
        <v>493</v>
      </c>
      <c r="B494" s="4">
        <v>796</v>
      </c>
      <c r="C494" s="13" t="s">
        <v>1149</v>
      </c>
      <c r="D494" s="13" t="s">
        <v>1150</v>
      </c>
      <c r="E494" s="5" t="s">
        <v>5566</v>
      </c>
      <c r="F494" s="5" t="s">
        <v>3506</v>
      </c>
      <c r="G494" s="5" t="s">
        <v>3507</v>
      </c>
      <c r="H494" s="13" t="s">
        <v>2544</v>
      </c>
      <c r="I494" s="13" t="s">
        <v>2305</v>
      </c>
      <c r="J494" s="4">
        <v>91784</v>
      </c>
      <c r="K494" s="4">
        <v>1</v>
      </c>
      <c r="L494" s="4">
        <v>15</v>
      </c>
      <c r="M494" s="4">
        <v>2016</v>
      </c>
      <c r="N494" s="4">
        <v>1</v>
      </c>
      <c r="O494" s="4">
        <v>3</v>
      </c>
      <c r="P494" s="4">
        <v>1</v>
      </c>
      <c r="Q494" s="19">
        <v>529.99</v>
      </c>
      <c r="R494" s="16">
        <v>0.05</v>
      </c>
      <c r="S494" s="16">
        <v>529.94000000000005</v>
      </c>
      <c r="T494" s="5" t="s">
        <v>20</v>
      </c>
      <c r="U494" s="13" t="s">
        <v>301</v>
      </c>
    </row>
    <row r="495" spans="1:21" x14ac:dyDescent="0.35">
      <c r="A495" s="4">
        <v>494</v>
      </c>
      <c r="B495" s="4">
        <v>875</v>
      </c>
      <c r="C495" s="13" t="s">
        <v>1151</v>
      </c>
      <c r="D495" s="13" t="s">
        <v>1152</v>
      </c>
      <c r="E495" s="5" t="s">
        <v>5566</v>
      </c>
      <c r="F495" s="5" t="s">
        <v>3508</v>
      </c>
      <c r="G495" s="5" t="s">
        <v>3509</v>
      </c>
      <c r="H495" s="13" t="s">
        <v>2737</v>
      </c>
      <c r="I495" s="13" t="s">
        <v>2309</v>
      </c>
      <c r="J495" s="4">
        <v>11422</v>
      </c>
      <c r="K495" s="4">
        <v>1</v>
      </c>
      <c r="L495" s="4">
        <v>23</v>
      </c>
      <c r="M495" s="4">
        <v>2016</v>
      </c>
      <c r="N495" s="4">
        <v>2</v>
      </c>
      <c r="O495" s="4">
        <v>6</v>
      </c>
      <c r="P495" s="4">
        <v>1</v>
      </c>
      <c r="Q495" s="19">
        <v>299.99</v>
      </c>
      <c r="R495" s="16">
        <v>0.1</v>
      </c>
      <c r="S495" s="16">
        <v>299.89</v>
      </c>
      <c r="T495" s="5" t="s">
        <v>26</v>
      </c>
      <c r="U495" s="13" t="s">
        <v>299</v>
      </c>
    </row>
    <row r="496" spans="1:21" x14ac:dyDescent="0.35">
      <c r="A496" s="4">
        <v>495</v>
      </c>
      <c r="B496" s="4">
        <v>712</v>
      </c>
      <c r="C496" s="13" t="s">
        <v>1153</v>
      </c>
      <c r="D496" s="13" t="s">
        <v>427</v>
      </c>
      <c r="E496" s="5" t="s">
        <v>5566</v>
      </c>
      <c r="F496" s="5" t="s">
        <v>3510</v>
      </c>
      <c r="G496" s="5" t="s">
        <v>3511</v>
      </c>
      <c r="H496" s="13" t="s">
        <v>3127</v>
      </c>
      <c r="I496" s="13" t="s">
        <v>2305</v>
      </c>
      <c r="J496" s="4">
        <v>95060</v>
      </c>
      <c r="K496" s="4">
        <v>1</v>
      </c>
      <c r="L496" s="4">
        <v>22</v>
      </c>
      <c r="M496" s="4">
        <v>2016</v>
      </c>
      <c r="N496" s="4">
        <v>1</v>
      </c>
      <c r="O496" s="4">
        <v>3</v>
      </c>
      <c r="P496" s="4">
        <v>1</v>
      </c>
      <c r="Q496" s="19">
        <v>269.99</v>
      </c>
      <c r="R496" s="16">
        <v>0.2</v>
      </c>
      <c r="S496" s="16">
        <v>269.79000000000002</v>
      </c>
      <c r="T496" s="5" t="s">
        <v>19</v>
      </c>
      <c r="U496" s="13" t="s">
        <v>299</v>
      </c>
    </row>
    <row r="497" spans="1:21" x14ac:dyDescent="0.35">
      <c r="A497" s="4">
        <v>496</v>
      </c>
      <c r="B497" s="4">
        <v>193</v>
      </c>
      <c r="C497" s="13" t="s">
        <v>1154</v>
      </c>
      <c r="D497" s="13" t="s">
        <v>738</v>
      </c>
      <c r="E497" s="5" t="s">
        <v>5566</v>
      </c>
      <c r="F497" s="5" t="s">
        <v>3512</v>
      </c>
      <c r="G497" s="5" t="s">
        <v>3513</v>
      </c>
      <c r="H497" s="13" t="s">
        <v>2858</v>
      </c>
      <c r="I497" s="13" t="s">
        <v>2309</v>
      </c>
      <c r="J497" s="4">
        <v>11801</v>
      </c>
      <c r="K497" s="4">
        <v>1</v>
      </c>
      <c r="L497" s="4">
        <v>23</v>
      </c>
      <c r="M497" s="4">
        <v>2016</v>
      </c>
      <c r="N497" s="4">
        <v>2</v>
      </c>
      <c r="O497" s="4">
        <v>6</v>
      </c>
      <c r="P497" s="4">
        <v>1</v>
      </c>
      <c r="Q497" s="19">
        <v>299.99</v>
      </c>
      <c r="R497" s="16">
        <v>0.2</v>
      </c>
      <c r="S497" s="16">
        <v>299.79000000000002</v>
      </c>
      <c r="T497" s="5" t="s">
        <v>26</v>
      </c>
      <c r="U497" s="13" t="s">
        <v>299</v>
      </c>
    </row>
    <row r="498" spans="1:21" x14ac:dyDescent="0.35">
      <c r="A498" s="4">
        <v>497</v>
      </c>
      <c r="B498" s="4">
        <v>785</v>
      </c>
      <c r="C498" s="13" t="s">
        <v>1155</v>
      </c>
      <c r="D498" s="13" t="s">
        <v>1156</v>
      </c>
      <c r="E498" s="5" t="s">
        <v>5566</v>
      </c>
      <c r="F498" s="5" t="s">
        <v>3514</v>
      </c>
      <c r="G498" s="5" t="s">
        <v>3515</v>
      </c>
      <c r="H498" s="13" t="s">
        <v>3247</v>
      </c>
      <c r="I498" s="13" t="s">
        <v>2309</v>
      </c>
      <c r="J498" s="4">
        <v>14075</v>
      </c>
      <c r="K498" s="4">
        <v>1</v>
      </c>
      <c r="L498" s="4">
        <v>25</v>
      </c>
      <c r="M498" s="4">
        <v>2016</v>
      </c>
      <c r="N498" s="4">
        <v>2</v>
      </c>
      <c r="O498" s="4">
        <v>6</v>
      </c>
      <c r="P498" s="4">
        <v>2</v>
      </c>
      <c r="Q498" s="19">
        <v>499.99</v>
      </c>
      <c r="R498" s="16">
        <v>7.0000000000000007E-2</v>
      </c>
      <c r="S498" s="16">
        <v>999.91</v>
      </c>
      <c r="T498" s="5" t="s">
        <v>27</v>
      </c>
      <c r="U498" s="13" t="s">
        <v>300</v>
      </c>
    </row>
    <row r="499" spans="1:21" x14ac:dyDescent="0.35">
      <c r="A499" s="4">
        <v>498</v>
      </c>
      <c r="B499" s="4">
        <v>1331</v>
      </c>
      <c r="C499" s="13" t="s">
        <v>770</v>
      </c>
      <c r="D499" s="13" t="s">
        <v>703</v>
      </c>
      <c r="E499" s="5" t="s">
        <v>5566</v>
      </c>
      <c r="F499" s="5" t="s">
        <v>3516</v>
      </c>
      <c r="G499" s="5" t="s">
        <v>3517</v>
      </c>
      <c r="H499" s="13" t="s">
        <v>3122</v>
      </c>
      <c r="I499" s="13" t="s">
        <v>2309</v>
      </c>
      <c r="J499" s="4">
        <v>12550</v>
      </c>
      <c r="K499" s="4">
        <v>1</v>
      </c>
      <c r="L499" s="4">
        <v>24</v>
      </c>
      <c r="M499" s="4">
        <v>2016</v>
      </c>
      <c r="N499" s="4">
        <v>2</v>
      </c>
      <c r="O499" s="4">
        <v>6</v>
      </c>
      <c r="P499" s="4">
        <v>1</v>
      </c>
      <c r="Q499" s="19">
        <v>549.99</v>
      </c>
      <c r="R499" s="16">
        <v>7.0000000000000007E-2</v>
      </c>
      <c r="S499" s="16">
        <v>549.91999999999996</v>
      </c>
      <c r="T499" s="5" t="s">
        <v>17</v>
      </c>
      <c r="U499" s="13" t="s">
        <v>300</v>
      </c>
    </row>
    <row r="500" spans="1:21" x14ac:dyDescent="0.35">
      <c r="A500" s="4">
        <v>499</v>
      </c>
      <c r="B500" s="4">
        <v>260</v>
      </c>
      <c r="C500" s="13" t="s">
        <v>1157</v>
      </c>
      <c r="D500" s="13" t="s">
        <v>1158</v>
      </c>
      <c r="E500" s="5" t="s">
        <v>5566</v>
      </c>
      <c r="F500" s="5" t="s">
        <v>3518</v>
      </c>
      <c r="G500" s="5" t="s">
        <v>3519</v>
      </c>
      <c r="H500" s="13" t="s">
        <v>2365</v>
      </c>
      <c r="I500" s="13" t="s">
        <v>2305</v>
      </c>
      <c r="J500" s="4">
        <v>91387</v>
      </c>
      <c r="K500" s="4">
        <v>1</v>
      </c>
      <c r="L500" s="4">
        <v>11</v>
      </c>
      <c r="M500" s="4">
        <v>2016</v>
      </c>
      <c r="N500" s="4">
        <v>1</v>
      </c>
      <c r="O500" s="4">
        <v>2</v>
      </c>
      <c r="P500" s="4">
        <v>1</v>
      </c>
      <c r="Q500" s="19">
        <v>1680.99</v>
      </c>
      <c r="R500" s="16">
        <v>0.2</v>
      </c>
      <c r="S500" s="16">
        <v>1680.79</v>
      </c>
      <c r="T500" s="5" t="s">
        <v>16</v>
      </c>
      <c r="U500" s="13" t="s">
        <v>302</v>
      </c>
    </row>
    <row r="501" spans="1:21" x14ac:dyDescent="0.35">
      <c r="A501" s="4">
        <v>500</v>
      </c>
      <c r="B501" s="4">
        <v>148</v>
      </c>
      <c r="C501" s="13" t="s">
        <v>1159</v>
      </c>
      <c r="D501" s="13" t="s">
        <v>1160</v>
      </c>
      <c r="E501" s="5" t="s">
        <v>5566</v>
      </c>
      <c r="F501" s="5" t="s">
        <v>3520</v>
      </c>
      <c r="G501" s="5" t="s">
        <v>3521</v>
      </c>
      <c r="H501" s="13" t="s">
        <v>2387</v>
      </c>
      <c r="I501" s="13" t="s">
        <v>2309</v>
      </c>
      <c r="J501" s="4">
        <v>11418</v>
      </c>
      <c r="K501" s="4">
        <v>1</v>
      </c>
      <c r="L501" s="4">
        <v>12</v>
      </c>
      <c r="M501" s="4">
        <v>2016</v>
      </c>
      <c r="N501" s="4">
        <v>2</v>
      </c>
      <c r="O501" s="4">
        <v>6</v>
      </c>
      <c r="P501" s="4">
        <v>2</v>
      </c>
      <c r="Q501" s="19">
        <v>549.99</v>
      </c>
      <c r="R501" s="16">
        <v>0.05</v>
      </c>
      <c r="S501" s="16">
        <v>1099.93</v>
      </c>
      <c r="T501" s="5" t="s">
        <v>17</v>
      </c>
      <c r="U501" s="13" t="s">
        <v>301</v>
      </c>
    </row>
    <row r="502" spans="1:21" x14ac:dyDescent="0.35">
      <c r="A502" s="4">
        <v>501</v>
      </c>
      <c r="B502" s="4">
        <v>977</v>
      </c>
      <c r="C502" s="13" t="s">
        <v>1161</v>
      </c>
      <c r="D502" s="13" t="s">
        <v>1162</v>
      </c>
      <c r="E502" s="5" t="s">
        <v>5566</v>
      </c>
      <c r="F502" s="5" t="s">
        <v>3522</v>
      </c>
      <c r="G502" s="5" t="s">
        <v>3523</v>
      </c>
      <c r="H502" s="13" t="s">
        <v>2710</v>
      </c>
      <c r="I502" s="13" t="s">
        <v>2309</v>
      </c>
      <c r="J502" s="4">
        <v>11701</v>
      </c>
      <c r="K502" s="4">
        <v>1</v>
      </c>
      <c r="L502" s="4">
        <v>19</v>
      </c>
      <c r="M502" s="4">
        <v>2016</v>
      </c>
      <c r="N502" s="4">
        <v>2</v>
      </c>
      <c r="O502" s="4">
        <v>7</v>
      </c>
      <c r="P502" s="4">
        <v>2</v>
      </c>
      <c r="Q502" s="19">
        <v>449</v>
      </c>
      <c r="R502" s="16">
        <v>0.05</v>
      </c>
      <c r="S502" s="16">
        <v>897.95</v>
      </c>
      <c r="T502" s="5" t="s">
        <v>24</v>
      </c>
      <c r="U502" s="13" t="s">
        <v>301</v>
      </c>
    </row>
    <row r="503" spans="1:21" x14ac:dyDescent="0.35">
      <c r="A503" s="4">
        <v>502</v>
      </c>
      <c r="B503" s="4">
        <v>401</v>
      </c>
      <c r="C503" s="13" t="s">
        <v>1163</v>
      </c>
      <c r="D503" s="13" t="s">
        <v>1164</v>
      </c>
      <c r="E503" s="5" t="s">
        <v>5566</v>
      </c>
      <c r="F503" s="5" t="s">
        <v>3524</v>
      </c>
      <c r="G503" s="5" t="s">
        <v>3525</v>
      </c>
      <c r="H503" s="13" t="s">
        <v>2593</v>
      </c>
      <c r="I503" s="13" t="s">
        <v>2397</v>
      </c>
      <c r="J503" s="4">
        <v>75604</v>
      </c>
      <c r="K503" s="4">
        <v>1</v>
      </c>
      <c r="L503" s="4">
        <v>13</v>
      </c>
      <c r="M503" s="4">
        <v>2016</v>
      </c>
      <c r="N503" s="4">
        <v>3</v>
      </c>
      <c r="O503" s="4">
        <v>9</v>
      </c>
      <c r="P503" s="4">
        <v>1</v>
      </c>
      <c r="Q503" s="19">
        <v>269.99</v>
      </c>
      <c r="R503" s="16">
        <v>0.05</v>
      </c>
      <c r="S503" s="16">
        <v>269.94</v>
      </c>
      <c r="T503" s="5" t="s">
        <v>18</v>
      </c>
      <c r="U503" s="13" t="s">
        <v>301</v>
      </c>
    </row>
    <row r="504" spans="1:21" x14ac:dyDescent="0.35">
      <c r="A504" s="4">
        <v>503</v>
      </c>
      <c r="B504" s="4">
        <v>932</v>
      </c>
      <c r="C504" s="13" t="s">
        <v>1165</v>
      </c>
      <c r="D504" s="13" t="s">
        <v>1166</v>
      </c>
      <c r="E504" s="5" t="s">
        <v>5566</v>
      </c>
      <c r="F504" s="5" t="s">
        <v>3526</v>
      </c>
      <c r="G504" s="5" t="s">
        <v>3527</v>
      </c>
      <c r="H504" s="13" t="s">
        <v>2381</v>
      </c>
      <c r="I504" s="13" t="s">
        <v>2309</v>
      </c>
      <c r="J504" s="4">
        <v>12590</v>
      </c>
      <c r="K504" s="4">
        <v>1</v>
      </c>
      <c r="L504" s="4">
        <v>13</v>
      </c>
      <c r="M504" s="4">
        <v>2016</v>
      </c>
      <c r="N504" s="4">
        <v>2</v>
      </c>
      <c r="O504" s="4">
        <v>6</v>
      </c>
      <c r="P504" s="4">
        <v>2</v>
      </c>
      <c r="Q504" s="19">
        <v>269.99</v>
      </c>
      <c r="R504" s="16">
        <v>7.0000000000000007E-2</v>
      </c>
      <c r="S504" s="16">
        <v>539.91</v>
      </c>
      <c r="T504" s="5" t="s">
        <v>18</v>
      </c>
      <c r="U504" s="13" t="s">
        <v>301</v>
      </c>
    </row>
    <row r="505" spans="1:21" x14ac:dyDescent="0.35">
      <c r="A505" s="4">
        <v>504</v>
      </c>
      <c r="B505" s="4">
        <v>1381</v>
      </c>
      <c r="C505" s="13" t="s">
        <v>1167</v>
      </c>
      <c r="D505" s="13" t="s">
        <v>1168</v>
      </c>
      <c r="E505" s="5" t="s">
        <v>5566</v>
      </c>
      <c r="F505" s="5" t="s">
        <v>3528</v>
      </c>
      <c r="G505" s="5" t="s">
        <v>3529</v>
      </c>
      <c r="H505" s="13" t="s">
        <v>2315</v>
      </c>
      <c r="I505" s="13" t="s">
        <v>2305</v>
      </c>
      <c r="J505" s="4">
        <v>91010</v>
      </c>
      <c r="K505" s="4">
        <v>1</v>
      </c>
      <c r="L505" s="4">
        <v>24</v>
      </c>
      <c r="M505" s="4">
        <v>2016</v>
      </c>
      <c r="N505" s="4">
        <v>1</v>
      </c>
      <c r="O505" s="4">
        <v>2</v>
      </c>
      <c r="P505" s="4">
        <v>2</v>
      </c>
      <c r="Q505" s="19">
        <v>549.99</v>
      </c>
      <c r="R505" s="16">
        <v>0.1</v>
      </c>
      <c r="S505" s="16">
        <v>1099.8800000000001</v>
      </c>
      <c r="T505" s="5" t="s">
        <v>17</v>
      </c>
      <c r="U505" s="13" t="s">
        <v>300</v>
      </c>
    </row>
    <row r="506" spans="1:21" x14ac:dyDescent="0.35">
      <c r="A506" s="4">
        <v>505</v>
      </c>
      <c r="B506" s="4">
        <v>721</v>
      </c>
      <c r="C506" s="13" t="s">
        <v>694</v>
      </c>
      <c r="D506" s="13" t="s">
        <v>1169</v>
      </c>
      <c r="E506" s="5" t="s">
        <v>5566</v>
      </c>
      <c r="F506" s="5" t="s">
        <v>3530</v>
      </c>
      <c r="G506" s="5" t="s">
        <v>3531</v>
      </c>
      <c r="H506" s="13" t="s">
        <v>2412</v>
      </c>
      <c r="I506" s="13" t="s">
        <v>2309</v>
      </c>
      <c r="J506" s="4">
        <v>11795</v>
      </c>
      <c r="K506" s="4">
        <v>1</v>
      </c>
      <c r="L506" s="4">
        <v>26</v>
      </c>
      <c r="M506" s="4">
        <v>2016</v>
      </c>
      <c r="N506" s="4">
        <v>2</v>
      </c>
      <c r="O506" s="4">
        <v>6</v>
      </c>
      <c r="P506" s="4">
        <v>1</v>
      </c>
      <c r="Q506" s="19">
        <v>599.99</v>
      </c>
      <c r="R506" s="16">
        <v>0.2</v>
      </c>
      <c r="S506" s="16">
        <v>599.79</v>
      </c>
      <c r="T506" s="5" t="s">
        <v>21</v>
      </c>
      <c r="U506" s="13" t="s">
        <v>300</v>
      </c>
    </row>
    <row r="507" spans="1:21" x14ac:dyDescent="0.35">
      <c r="A507" s="4">
        <v>506</v>
      </c>
      <c r="B507" s="4">
        <v>831</v>
      </c>
      <c r="C507" s="13" t="s">
        <v>1170</v>
      </c>
      <c r="D507" s="13" t="s">
        <v>413</v>
      </c>
      <c r="E507" s="5" t="s">
        <v>5566</v>
      </c>
      <c r="F507" s="5" t="s">
        <v>3532</v>
      </c>
      <c r="G507" s="5" t="s">
        <v>3533</v>
      </c>
      <c r="H507" s="13" t="s">
        <v>2669</v>
      </c>
      <c r="I507" s="13" t="s">
        <v>2309</v>
      </c>
      <c r="J507" s="4">
        <v>13126</v>
      </c>
      <c r="K507" s="4">
        <v>1</v>
      </c>
      <c r="L507" s="4">
        <v>25</v>
      </c>
      <c r="M507" s="4">
        <v>2016</v>
      </c>
      <c r="N507" s="4">
        <v>2</v>
      </c>
      <c r="O507" s="4">
        <v>6</v>
      </c>
      <c r="P507" s="4">
        <v>1</v>
      </c>
      <c r="Q507" s="19">
        <v>499.99</v>
      </c>
      <c r="R507" s="16">
        <v>0.1</v>
      </c>
      <c r="S507" s="16">
        <v>499.89</v>
      </c>
      <c r="T507" s="5" t="s">
        <v>27</v>
      </c>
      <c r="U507" s="13" t="s">
        <v>300</v>
      </c>
    </row>
    <row r="508" spans="1:21" x14ac:dyDescent="0.35">
      <c r="A508" s="4">
        <v>507</v>
      </c>
      <c r="B508" s="4">
        <v>1378</v>
      </c>
      <c r="C508" s="13" t="s">
        <v>1171</v>
      </c>
      <c r="D508" s="13" t="s">
        <v>1172</v>
      </c>
      <c r="E508" s="5" t="s">
        <v>3534</v>
      </c>
      <c r="F508" s="5" t="s">
        <v>3535</v>
      </c>
      <c r="G508" s="5" t="s">
        <v>3536</v>
      </c>
      <c r="H508" s="13" t="s">
        <v>3175</v>
      </c>
      <c r="I508" s="13" t="s">
        <v>2305</v>
      </c>
      <c r="J508" s="4">
        <v>93706</v>
      </c>
      <c r="K508" s="4">
        <v>1</v>
      </c>
      <c r="L508" s="4">
        <v>11</v>
      </c>
      <c r="M508" s="4">
        <v>2016</v>
      </c>
      <c r="N508" s="4">
        <v>1</v>
      </c>
      <c r="O508" s="4">
        <v>3</v>
      </c>
      <c r="P508" s="4">
        <v>2</v>
      </c>
      <c r="Q508" s="19">
        <v>1680.99</v>
      </c>
      <c r="R508" s="16">
        <v>0.05</v>
      </c>
      <c r="S508" s="16">
        <v>3361.93</v>
      </c>
      <c r="T508" s="5" t="s">
        <v>16</v>
      </c>
      <c r="U508" s="13" t="s">
        <v>302</v>
      </c>
    </row>
    <row r="509" spans="1:21" x14ac:dyDescent="0.35">
      <c r="A509" s="4">
        <v>508</v>
      </c>
      <c r="B509" s="4">
        <v>1359</v>
      </c>
      <c r="C509" s="13" t="s">
        <v>824</v>
      </c>
      <c r="D509" s="13" t="s">
        <v>1173</v>
      </c>
      <c r="E509" s="5" t="s">
        <v>5566</v>
      </c>
      <c r="F509" s="5" t="s">
        <v>3537</v>
      </c>
      <c r="G509" s="5" t="s">
        <v>3538</v>
      </c>
      <c r="H509" s="13" t="s">
        <v>3258</v>
      </c>
      <c r="I509" s="13" t="s">
        <v>2309</v>
      </c>
      <c r="J509" s="4">
        <v>11756</v>
      </c>
      <c r="K509" s="4">
        <v>1</v>
      </c>
      <c r="L509" s="4">
        <v>8</v>
      </c>
      <c r="M509" s="4">
        <v>2016</v>
      </c>
      <c r="N509" s="4">
        <v>2</v>
      </c>
      <c r="O509" s="4">
        <v>6</v>
      </c>
      <c r="P509" s="4">
        <v>1</v>
      </c>
      <c r="Q509" s="19">
        <v>1799.99</v>
      </c>
      <c r="R509" s="16">
        <v>0.05</v>
      </c>
      <c r="S509" s="16">
        <v>1799.94</v>
      </c>
      <c r="T509" s="5" t="s">
        <v>13</v>
      </c>
      <c r="U509" s="13" t="s">
        <v>304</v>
      </c>
    </row>
    <row r="510" spans="1:21" x14ac:dyDescent="0.35">
      <c r="A510" s="4">
        <v>509</v>
      </c>
      <c r="B510" s="4">
        <v>235</v>
      </c>
      <c r="C510" s="13" t="s">
        <v>1174</v>
      </c>
      <c r="D510" s="13" t="s">
        <v>1175</v>
      </c>
      <c r="E510" s="5" t="s">
        <v>5566</v>
      </c>
      <c r="F510" s="5" t="s">
        <v>3539</v>
      </c>
      <c r="G510" s="5" t="s">
        <v>3540</v>
      </c>
      <c r="H510" s="13" t="s">
        <v>3013</v>
      </c>
      <c r="I510" s="13" t="s">
        <v>2309</v>
      </c>
      <c r="J510" s="4">
        <v>11706</v>
      </c>
      <c r="K510" s="4">
        <v>1</v>
      </c>
      <c r="L510" s="4">
        <v>23</v>
      </c>
      <c r="M510" s="4">
        <v>2016</v>
      </c>
      <c r="N510" s="4">
        <v>2</v>
      </c>
      <c r="O510" s="4">
        <v>7</v>
      </c>
      <c r="P510" s="4">
        <v>2</v>
      </c>
      <c r="Q510" s="19">
        <v>299.99</v>
      </c>
      <c r="R510" s="16">
        <v>0.2</v>
      </c>
      <c r="S510" s="16">
        <v>599.78</v>
      </c>
      <c r="T510" s="5" t="s">
        <v>26</v>
      </c>
      <c r="U510" s="13" t="s">
        <v>299</v>
      </c>
    </row>
    <row r="511" spans="1:21" x14ac:dyDescent="0.35">
      <c r="A511" s="4">
        <v>510</v>
      </c>
      <c r="B511" s="4">
        <v>586</v>
      </c>
      <c r="C511" s="13" t="s">
        <v>1176</v>
      </c>
      <c r="D511" s="13" t="s">
        <v>1177</v>
      </c>
      <c r="E511" s="5" t="s">
        <v>5566</v>
      </c>
      <c r="F511" s="5" t="s">
        <v>3541</v>
      </c>
      <c r="G511" s="5" t="s">
        <v>3542</v>
      </c>
      <c r="H511" s="13" t="s">
        <v>3182</v>
      </c>
      <c r="I511" s="13" t="s">
        <v>2309</v>
      </c>
      <c r="J511" s="4">
        <v>10952</v>
      </c>
      <c r="K511" s="4">
        <v>1</v>
      </c>
      <c r="L511" s="4">
        <v>17</v>
      </c>
      <c r="M511" s="4">
        <v>2016</v>
      </c>
      <c r="N511" s="4">
        <v>2</v>
      </c>
      <c r="O511" s="4">
        <v>7</v>
      </c>
      <c r="P511" s="4">
        <v>1</v>
      </c>
      <c r="Q511" s="19">
        <v>429</v>
      </c>
      <c r="R511" s="16">
        <v>0.1</v>
      </c>
      <c r="S511" s="16">
        <v>428.9</v>
      </c>
      <c r="T511" s="5" t="s">
        <v>22</v>
      </c>
      <c r="U511" s="13" t="s">
        <v>301</v>
      </c>
    </row>
    <row r="512" spans="1:21" x14ac:dyDescent="0.35">
      <c r="A512" s="4">
        <v>511</v>
      </c>
      <c r="B512" s="4">
        <v>377</v>
      </c>
      <c r="C512" s="13" t="s">
        <v>1178</v>
      </c>
      <c r="D512" s="13" t="s">
        <v>1179</v>
      </c>
      <c r="E512" s="5" t="s">
        <v>5566</v>
      </c>
      <c r="F512" s="5" t="s">
        <v>3543</v>
      </c>
      <c r="G512" s="5" t="s">
        <v>3544</v>
      </c>
      <c r="H512" s="13" t="s">
        <v>3153</v>
      </c>
      <c r="I512" s="13" t="s">
        <v>2309</v>
      </c>
      <c r="J512" s="4">
        <v>10573</v>
      </c>
      <c r="K512" s="4">
        <v>1</v>
      </c>
      <c r="L512" s="4">
        <v>22</v>
      </c>
      <c r="M512" s="4">
        <v>2016</v>
      </c>
      <c r="N512" s="4">
        <v>2</v>
      </c>
      <c r="O512" s="4">
        <v>7</v>
      </c>
      <c r="P512" s="4">
        <v>2</v>
      </c>
      <c r="Q512" s="19">
        <v>269.99</v>
      </c>
      <c r="R512" s="16">
        <v>0.05</v>
      </c>
      <c r="S512" s="16">
        <v>539.93000000000006</v>
      </c>
      <c r="T512" s="5" t="s">
        <v>19</v>
      </c>
      <c r="U512" s="13" t="s">
        <v>299</v>
      </c>
    </row>
    <row r="513" spans="1:21" x14ac:dyDescent="0.35">
      <c r="A513" s="4">
        <v>512</v>
      </c>
      <c r="B513" s="4">
        <v>8</v>
      </c>
      <c r="C513" s="13" t="s">
        <v>1180</v>
      </c>
      <c r="D513" s="13" t="s">
        <v>616</v>
      </c>
      <c r="E513" s="5" t="s">
        <v>5566</v>
      </c>
      <c r="F513" s="5" t="s">
        <v>3545</v>
      </c>
      <c r="G513" s="5" t="s">
        <v>3546</v>
      </c>
      <c r="H513" s="13" t="s">
        <v>2763</v>
      </c>
      <c r="I513" s="13" t="s">
        <v>2309</v>
      </c>
      <c r="J513" s="4">
        <v>11372</v>
      </c>
      <c r="K513" s="4">
        <v>1</v>
      </c>
      <c r="L513" s="4">
        <v>21</v>
      </c>
      <c r="M513" s="4">
        <v>2016</v>
      </c>
      <c r="N513" s="4">
        <v>2</v>
      </c>
      <c r="O513" s="4">
        <v>7</v>
      </c>
      <c r="P513" s="4">
        <v>1</v>
      </c>
      <c r="Q513" s="19">
        <v>269.99</v>
      </c>
      <c r="R513" s="16">
        <v>7.0000000000000007E-2</v>
      </c>
      <c r="S513" s="16">
        <v>269.92</v>
      </c>
      <c r="T513" s="5" t="s">
        <v>18</v>
      </c>
      <c r="U513" s="13" t="s">
        <v>299</v>
      </c>
    </row>
    <row r="514" spans="1:21" x14ac:dyDescent="0.35">
      <c r="A514" s="4">
        <v>513</v>
      </c>
      <c r="B514" s="4">
        <v>155</v>
      </c>
      <c r="C514" s="13" t="s">
        <v>1170</v>
      </c>
      <c r="D514" s="13" t="s">
        <v>1181</v>
      </c>
      <c r="E514" s="5" t="s">
        <v>5566</v>
      </c>
      <c r="F514" s="5" t="s">
        <v>3547</v>
      </c>
      <c r="G514" s="5" t="s">
        <v>3548</v>
      </c>
      <c r="H514" s="13" t="s">
        <v>3013</v>
      </c>
      <c r="I514" s="13" t="s">
        <v>2309</v>
      </c>
      <c r="J514" s="4">
        <v>11706</v>
      </c>
      <c r="K514" s="4">
        <v>1</v>
      </c>
      <c r="L514" s="4">
        <v>7</v>
      </c>
      <c r="M514" s="4">
        <v>2016</v>
      </c>
      <c r="N514" s="4">
        <v>2</v>
      </c>
      <c r="O514" s="4">
        <v>6</v>
      </c>
      <c r="P514" s="4">
        <v>1</v>
      </c>
      <c r="Q514" s="19">
        <v>3999.99</v>
      </c>
      <c r="R514" s="16">
        <v>7.0000000000000007E-2</v>
      </c>
      <c r="S514" s="16">
        <v>3999.9199999999996</v>
      </c>
      <c r="T514" s="5" t="s">
        <v>12</v>
      </c>
      <c r="U514" s="13" t="s">
        <v>304</v>
      </c>
    </row>
    <row r="515" spans="1:21" x14ac:dyDescent="0.35">
      <c r="A515" s="4">
        <v>514</v>
      </c>
      <c r="B515" s="4">
        <v>927</v>
      </c>
      <c r="C515" s="13" t="s">
        <v>1182</v>
      </c>
      <c r="D515" s="13" t="s">
        <v>673</v>
      </c>
      <c r="E515" s="5" t="s">
        <v>3549</v>
      </c>
      <c r="F515" s="5" t="s">
        <v>3550</v>
      </c>
      <c r="G515" s="5" t="s">
        <v>3551</v>
      </c>
      <c r="H515" s="13" t="s">
        <v>2647</v>
      </c>
      <c r="I515" s="13" t="s">
        <v>2309</v>
      </c>
      <c r="J515" s="4">
        <v>10002</v>
      </c>
      <c r="K515" s="4">
        <v>1</v>
      </c>
      <c r="L515" s="4">
        <v>18</v>
      </c>
      <c r="M515" s="4">
        <v>2016</v>
      </c>
      <c r="N515" s="4">
        <v>2</v>
      </c>
      <c r="O515" s="4">
        <v>7</v>
      </c>
      <c r="P515" s="4">
        <v>2</v>
      </c>
      <c r="Q515" s="19">
        <v>449</v>
      </c>
      <c r="R515" s="16">
        <v>0.2</v>
      </c>
      <c r="S515" s="16">
        <v>897.8</v>
      </c>
      <c r="T515" s="5" t="s">
        <v>23</v>
      </c>
      <c r="U515" s="13" t="s">
        <v>301</v>
      </c>
    </row>
    <row r="516" spans="1:21" x14ac:dyDescent="0.35">
      <c r="A516" s="4">
        <v>515</v>
      </c>
      <c r="B516" s="4">
        <v>986</v>
      </c>
      <c r="C516" s="13" t="s">
        <v>1183</v>
      </c>
      <c r="D516" s="13" t="s">
        <v>1184</v>
      </c>
      <c r="E516" s="5" t="s">
        <v>5566</v>
      </c>
      <c r="F516" s="5" t="s">
        <v>3552</v>
      </c>
      <c r="G516" s="5" t="s">
        <v>3553</v>
      </c>
      <c r="H516" s="13" t="s">
        <v>2444</v>
      </c>
      <c r="I516" s="13" t="s">
        <v>2309</v>
      </c>
      <c r="J516" s="4">
        <v>10562</v>
      </c>
      <c r="K516" s="4">
        <v>1</v>
      </c>
      <c r="L516" s="4">
        <v>8</v>
      </c>
      <c r="M516" s="4">
        <v>2016</v>
      </c>
      <c r="N516" s="4">
        <v>2</v>
      </c>
      <c r="O516" s="4">
        <v>6</v>
      </c>
      <c r="P516" s="4">
        <v>1</v>
      </c>
      <c r="Q516" s="19">
        <v>1799.99</v>
      </c>
      <c r="R516" s="16">
        <v>7.0000000000000007E-2</v>
      </c>
      <c r="S516" s="16">
        <v>1799.92</v>
      </c>
      <c r="T516" s="5" t="s">
        <v>13</v>
      </c>
      <c r="U516" s="13" t="s">
        <v>304</v>
      </c>
    </row>
    <row r="517" spans="1:21" x14ac:dyDescent="0.35">
      <c r="A517" s="4">
        <v>516</v>
      </c>
      <c r="B517" s="4">
        <v>111</v>
      </c>
      <c r="C517" s="13" t="s">
        <v>1185</v>
      </c>
      <c r="D517" s="13" t="s">
        <v>1186</v>
      </c>
      <c r="E517" s="5" t="s">
        <v>5566</v>
      </c>
      <c r="F517" s="5" t="s">
        <v>3554</v>
      </c>
      <c r="G517" s="5" t="s">
        <v>3555</v>
      </c>
      <c r="H517" s="13" t="s">
        <v>2390</v>
      </c>
      <c r="I517" s="13" t="s">
        <v>2309</v>
      </c>
      <c r="J517" s="4">
        <v>14127</v>
      </c>
      <c r="K517" s="4">
        <v>1</v>
      </c>
      <c r="L517" s="4">
        <v>7</v>
      </c>
      <c r="M517" s="4">
        <v>2016</v>
      </c>
      <c r="N517" s="4">
        <v>2</v>
      </c>
      <c r="O517" s="4">
        <v>6</v>
      </c>
      <c r="P517" s="4">
        <v>1</v>
      </c>
      <c r="Q517" s="19">
        <v>3999.99</v>
      </c>
      <c r="R517" s="16">
        <v>0.05</v>
      </c>
      <c r="S517" s="16">
        <v>3999.9399999999996</v>
      </c>
      <c r="T517" s="5" t="s">
        <v>12</v>
      </c>
      <c r="U517" s="13" t="s">
        <v>304</v>
      </c>
    </row>
    <row r="518" spans="1:21" x14ac:dyDescent="0.35">
      <c r="A518" s="4">
        <v>517</v>
      </c>
      <c r="B518" s="4">
        <v>613</v>
      </c>
      <c r="C518" s="13" t="s">
        <v>1187</v>
      </c>
      <c r="D518" s="13" t="s">
        <v>1188</v>
      </c>
      <c r="E518" s="5" t="s">
        <v>5566</v>
      </c>
      <c r="F518" s="5" t="s">
        <v>3556</v>
      </c>
      <c r="G518" s="5" t="s">
        <v>3557</v>
      </c>
      <c r="H518" s="13" t="s">
        <v>3558</v>
      </c>
      <c r="I518" s="13" t="s">
        <v>2309</v>
      </c>
      <c r="J518" s="4">
        <v>11793</v>
      </c>
      <c r="K518" s="4">
        <v>1</v>
      </c>
      <c r="L518" s="4">
        <v>21</v>
      </c>
      <c r="M518" s="4">
        <v>2016</v>
      </c>
      <c r="N518" s="4">
        <v>2</v>
      </c>
      <c r="O518" s="4">
        <v>6</v>
      </c>
      <c r="P518" s="4">
        <v>2</v>
      </c>
      <c r="Q518" s="19">
        <v>269.99</v>
      </c>
      <c r="R518" s="16">
        <v>7.0000000000000007E-2</v>
      </c>
      <c r="S518" s="16">
        <v>539.91</v>
      </c>
      <c r="T518" s="5" t="s">
        <v>18</v>
      </c>
      <c r="U518" s="13" t="s">
        <v>299</v>
      </c>
    </row>
    <row r="519" spans="1:21" x14ac:dyDescent="0.35">
      <c r="A519" s="4">
        <v>518</v>
      </c>
      <c r="B519" s="4">
        <v>1374</v>
      </c>
      <c r="C519" s="13" t="s">
        <v>1189</v>
      </c>
      <c r="D519" s="13" t="s">
        <v>1190</v>
      </c>
      <c r="E519" s="5" t="s">
        <v>5566</v>
      </c>
      <c r="F519" s="5" t="s">
        <v>3559</v>
      </c>
      <c r="G519" s="5" t="s">
        <v>3560</v>
      </c>
      <c r="H519" s="13" t="s">
        <v>2528</v>
      </c>
      <c r="I519" s="13" t="s">
        <v>2305</v>
      </c>
      <c r="J519" s="4">
        <v>91740</v>
      </c>
      <c r="K519" s="4">
        <v>1</v>
      </c>
      <c r="L519" s="4">
        <v>16</v>
      </c>
      <c r="M519" s="4">
        <v>2016</v>
      </c>
      <c r="N519" s="4">
        <v>1</v>
      </c>
      <c r="O519" s="4">
        <v>2</v>
      </c>
      <c r="P519" s="4">
        <v>2</v>
      </c>
      <c r="Q519" s="19">
        <v>599.99</v>
      </c>
      <c r="R519" s="16">
        <v>0.2</v>
      </c>
      <c r="S519" s="16">
        <v>1199.78</v>
      </c>
      <c r="T519" s="5" t="s">
        <v>21</v>
      </c>
      <c r="U519" s="13" t="s">
        <v>301</v>
      </c>
    </row>
    <row r="520" spans="1:21" x14ac:dyDescent="0.35">
      <c r="A520" s="4">
        <v>519</v>
      </c>
      <c r="B520" s="4">
        <v>54</v>
      </c>
      <c r="C520" s="13" t="s">
        <v>1191</v>
      </c>
      <c r="D520" s="13" t="s">
        <v>913</v>
      </c>
      <c r="E520" s="5" t="s">
        <v>5566</v>
      </c>
      <c r="F520" s="5" t="s">
        <v>3561</v>
      </c>
      <c r="G520" s="5" t="s">
        <v>3562</v>
      </c>
      <c r="H520" s="13" t="s">
        <v>2318</v>
      </c>
      <c r="I520" s="13" t="s">
        <v>2309</v>
      </c>
      <c r="J520" s="4">
        <v>13501</v>
      </c>
      <c r="K520" s="4">
        <v>1</v>
      </c>
      <c r="L520" s="4">
        <v>6</v>
      </c>
      <c r="M520" s="4">
        <v>2016</v>
      </c>
      <c r="N520" s="4">
        <v>2</v>
      </c>
      <c r="O520" s="4">
        <v>7</v>
      </c>
      <c r="P520" s="4">
        <v>1</v>
      </c>
      <c r="Q520" s="19">
        <v>469.99</v>
      </c>
      <c r="R520" s="16">
        <v>7.0000000000000007E-2</v>
      </c>
      <c r="S520" s="16">
        <v>469.92</v>
      </c>
      <c r="T520" s="5" t="s">
        <v>11</v>
      </c>
      <c r="U520" s="13" t="s">
        <v>304</v>
      </c>
    </row>
    <row r="521" spans="1:21" x14ac:dyDescent="0.35">
      <c r="A521" s="4">
        <v>520</v>
      </c>
      <c r="B521" s="4">
        <v>639</v>
      </c>
      <c r="C521" s="13" t="s">
        <v>1192</v>
      </c>
      <c r="D521" s="13" t="s">
        <v>1193</v>
      </c>
      <c r="E521" s="5" t="s">
        <v>5566</v>
      </c>
      <c r="F521" s="5" t="s">
        <v>3563</v>
      </c>
      <c r="G521" s="5" t="s">
        <v>3564</v>
      </c>
      <c r="H521" s="13" t="s">
        <v>2838</v>
      </c>
      <c r="I521" s="13" t="s">
        <v>2309</v>
      </c>
      <c r="J521" s="4">
        <v>11378</v>
      </c>
      <c r="K521" s="4">
        <v>1</v>
      </c>
      <c r="L521" s="4">
        <v>26</v>
      </c>
      <c r="M521" s="4">
        <v>2016</v>
      </c>
      <c r="N521" s="4">
        <v>2</v>
      </c>
      <c r="O521" s="4">
        <v>7</v>
      </c>
      <c r="P521" s="4">
        <v>1</v>
      </c>
      <c r="Q521" s="19">
        <v>599.99</v>
      </c>
      <c r="R521" s="16">
        <v>0.1</v>
      </c>
      <c r="S521" s="16">
        <v>599.89</v>
      </c>
      <c r="T521" s="5" t="s">
        <v>21</v>
      </c>
      <c r="U521" s="13" t="s">
        <v>300</v>
      </c>
    </row>
    <row r="522" spans="1:21" x14ac:dyDescent="0.35">
      <c r="A522" s="4">
        <v>521</v>
      </c>
      <c r="B522" s="4">
        <v>664</v>
      </c>
      <c r="C522" s="13" t="s">
        <v>1194</v>
      </c>
      <c r="D522" s="13" t="s">
        <v>1195</v>
      </c>
      <c r="E522" s="5" t="s">
        <v>5566</v>
      </c>
      <c r="F522" s="5" t="s">
        <v>3565</v>
      </c>
      <c r="G522" s="5" t="s">
        <v>3566</v>
      </c>
      <c r="H522" s="13" t="s">
        <v>3410</v>
      </c>
      <c r="I522" s="13" t="s">
        <v>2309</v>
      </c>
      <c r="J522" s="4">
        <v>11368</v>
      </c>
      <c r="K522" s="4">
        <v>1</v>
      </c>
      <c r="L522" s="4">
        <v>5</v>
      </c>
      <c r="M522" s="4">
        <v>2016</v>
      </c>
      <c r="N522" s="4">
        <v>2</v>
      </c>
      <c r="O522" s="4">
        <v>6</v>
      </c>
      <c r="P522" s="4">
        <v>1</v>
      </c>
      <c r="Q522" s="19">
        <v>1320.99</v>
      </c>
      <c r="R522" s="16">
        <v>0.2</v>
      </c>
      <c r="S522" s="16">
        <v>1320.79</v>
      </c>
      <c r="T522" s="5" t="s">
        <v>10</v>
      </c>
      <c r="U522" s="13" t="s">
        <v>304</v>
      </c>
    </row>
    <row r="523" spans="1:21" x14ac:dyDescent="0.35">
      <c r="A523" s="4">
        <v>522</v>
      </c>
      <c r="B523" s="4">
        <v>724</v>
      </c>
      <c r="C523" s="13" t="s">
        <v>1196</v>
      </c>
      <c r="D523" s="13" t="s">
        <v>1197</v>
      </c>
      <c r="E523" s="5" t="s">
        <v>5566</v>
      </c>
      <c r="F523" s="5" t="s">
        <v>3567</v>
      </c>
      <c r="G523" s="5" t="s">
        <v>3568</v>
      </c>
      <c r="H523" s="13" t="s">
        <v>2444</v>
      </c>
      <c r="I523" s="13" t="s">
        <v>2309</v>
      </c>
      <c r="J523" s="4">
        <v>10562</v>
      </c>
      <c r="K523" s="4">
        <v>1</v>
      </c>
      <c r="L523" s="4">
        <v>4</v>
      </c>
      <c r="M523" s="4">
        <v>2016</v>
      </c>
      <c r="N523" s="4">
        <v>2</v>
      </c>
      <c r="O523" s="4">
        <v>7</v>
      </c>
      <c r="P523" s="4">
        <v>2</v>
      </c>
      <c r="Q523" s="19">
        <v>2899.99</v>
      </c>
      <c r="R523" s="16">
        <v>7.0000000000000007E-2</v>
      </c>
      <c r="S523" s="16">
        <v>5799.91</v>
      </c>
      <c r="T523" s="5" t="s">
        <v>9</v>
      </c>
      <c r="U523" s="13" t="s">
        <v>304</v>
      </c>
    </row>
    <row r="524" spans="1:21" x14ac:dyDescent="0.35">
      <c r="A524" s="4">
        <v>523</v>
      </c>
      <c r="B524" s="4">
        <v>1056</v>
      </c>
      <c r="C524" s="13" t="s">
        <v>1198</v>
      </c>
      <c r="D524" s="13" t="s">
        <v>564</v>
      </c>
      <c r="E524" s="5" t="s">
        <v>5566</v>
      </c>
      <c r="F524" s="5" t="s">
        <v>3569</v>
      </c>
      <c r="G524" s="5" t="s">
        <v>3570</v>
      </c>
      <c r="H524" s="13" t="s">
        <v>2368</v>
      </c>
      <c r="I524" s="13" t="s">
        <v>2309</v>
      </c>
      <c r="J524" s="4">
        <v>10550</v>
      </c>
      <c r="K524" s="4">
        <v>1</v>
      </c>
      <c r="L524" s="4">
        <v>12</v>
      </c>
      <c r="M524" s="4">
        <v>2016</v>
      </c>
      <c r="N524" s="4">
        <v>2</v>
      </c>
      <c r="O524" s="4">
        <v>6</v>
      </c>
      <c r="P524" s="4">
        <v>1</v>
      </c>
      <c r="Q524" s="19">
        <v>549.99</v>
      </c>
      <c r="R524" s="16">
        <v>0.2</v>
      </c>
      <c r="S524" s="16">
        <v>549.79</v>
      </c>
      <c r="T524" s="5" t="s">
        <v>17</v>
      </c>
      <c r="U524" s="13" t="s">
        <v>301</v>
      </c>
    </row>
    <row r="525" spans="1:21" x14ac:dyDescent="0.35">
      <c r="A525" s="4">
        <v>524</v>
      </c>
      <c r="B525" s="4">
        <v>569</v>
      </c>
      <c r="C525" s="13" t="s">
        <v>1199</v>
      </c>
      <c r="D525" s="13" t="s">
        <v>1081</v>
      </c>
      <c r="E525" s="5" t="s">
        <v>5566</v>
      </c>
      <c r="F525" s="5" t="s">
        <v>3571</v>
      </c>
      <c r="G525" s="5" t="s">
        <v>3572</v>
      </c>
      <c r="H525" s="13" t="s">
        <v>2534</v>
      </c>
      <c r="I525" s="13" t="s">
        <v>2305</v>
      </c>
      <c r="J525" s="4">
        <v>90403</v>
      </c>
      <c r="K525" s="4">
        <v>1</v>
      </c>
      <c r="L525" s="4">
        <v>11</v>
      </c>
      <c r="M525" s="4">
        <v>2016</v>
      </c>
      <c r="N525" s="4">
        <v>1</v>
      </c>
      <c r="O525" s="4">
        <v>2</v>
      </c>
      <c r="P525" s="4">
        <v>1</v>
      </c>
      <c r="Q525" s="19">
        <v>1680.99</v>
      </c>
      <c r="R525" s="16">
        <v>7.0000000000000007E-2</v>
      </c>
      <c r="S525" s="16">
        <v>1680.92</v>
      </c>
      <c r="T525" s="5" t="s">
        <v>16</v>
      </c>
      <c r="U525" s="13" t="s">
        <v>302</v>
      </c>
    </row>
    <row r="526" spans="1:21" x14ac:dyDescent="0.35">
      <c r="A526" s="4">
        <v>525</v>
      </c>
      <c r="B526" s="4">
        <v>1315</v>
      </c>
      <c r="C526" s="13" t="s">
        <v>925</v>
      </c>
      <c r="D526" s="13" t="s">
        <v>1200</v>
      </c>
      <c r="E526" s="5" t="s">
        <v>5566</v>
      </c>
      <c r="F526" s="5" t="s">
        <v>3573</v>
      </c>
      <c r="G526" s="5" t="s">
        <v>3574</v>
      </c>
      <c r="H526" s="13" t="s">
        <v>2365</v>
      </c>
      <c r="I526" s="13" t="s">
        <v>2305</v>
      </c>
      <c r="J526" s="4">
        <v>91387</v>
      </c>
      <c r="K526" s="4">
        <v>1</v>
      </c>
      <c r="L526" s="4">
        <v>9</v>
      </c>
      <c r="M526" s="4">
        <v>2016</v>
      </c>
      <c r="N526" s="4">
        <v>1</v>
      </c>
      <c r="O526" s="4">
        <v>3</v>
      </c>
      <c r="P526" s="4">
        <v>2</v>
      </c>
      <c r="Q526" s="19">
        <v>2999.99</v>
      </c>
      <c r="R526" s="16">
        <v>7.0000000000000007E-2</v>
      </c>
      <c r="S526" s="16">
        <v>5999.91</v>
      </c>
      <c r="T526" s="5" t="s">
        <v>14</v>
      </c>
      <c r="U526" s="13" t="s">
        <v>303</v>
      </c>
    </row>
    <row r="527" spans="1:21" x14ac:dyDescent="0.35">
      <c r="A527" s="4">
        <v>526</v>
      </c>
      <c r="B527" s="4">
        <v>1096</v>
      </c>
      <c r="C527" s="13" t="s">
        <v>1201</v>
      </c>
      <c r="D527" s="13" t="s">
        <v>1202</v>
      </c>
      <c r="E527" s="5" t="s">
        <v>5566</v>
      </c>
      <c r="F527" s="5" t="s">
        <v>3575</v>
      </c>
      <c r="G527" s="5" t="s">
        <v>3576</v>
      </c>
      <c r="H527" s="13" t="s">
        <v>2321</v>
      </c>
      <c r="I527" s="13" t="s">
        <v>2309</v>
      </c>
      <c r="J527" s="4">
        <v>13027</v>
      </c>
      <c r="K527" s="4">
        <v>1</v>
      </c>
      <c r="L527" s="4">
        <v>3</v>
      </c>
      <c r="M527" s="4">
        <v>2016</v>
      </c>
      <c r="N527" s="4">
        <v>2</v>
      </c>
      <c r="O527" s="4">
        <v>6</v>
      </c>
      <c r="P527" s="4">
        <v>2</v>
      </c>
      <c r="Q527" s="19">
        <v>999.99</v>
      </c>
      <c r="R527" s="16">
        <v>0.1</v>
      </c>
      <c r="S527" s="16">
        <v>1999.88</v>
      </c>
      <c r="T527" s="5" t="s">
        <v>8</v>
      </c>
      <c r="U527" s="13" t="s">
        <v>304</v>
      </c>
    </row>
    <row r="528" spans="1:21" x14ac:dyDescent="0.35">
      <c r="A528" s="4">
        <v>527</v>
      </c>
      <c r="B528" s="4">
        <v>506</v>
      </c>
      <c r="C528" s="13" t="s">
        <v>1203</v>
      </c>
      <c r="D528" s="13" t="s">
        <v>363</v>
      </c>
      <c r="E528" s="5" t="s">
        <v>5566</v>
      </c>
      <c r="F528" s="5" t="s">
        <v>3577</v>
      </c>
      <c r="G528" s="5" t="s">
        <v>3578</v>
      </c>
      <c r="H528" s="13" t="s">
        <v>2347</v>
      </c>
      <c r="I528" s="13" t="s">
        <v>2305</v>
      </c>
      <c r="J528" s="4">
        <v>90505</v>
      </c>
      <c r="K528" s="4">
        <v>1</v>
      </c>
      <c r="L528" s="4">
        <v>18</v>
      </c>
      <c r="M528" s="4">
        <v>2016</v>
      </c>
      <c r="N528" s="4">
        <v>1</v>
      </c>
      <c r="O528" s="4">
        <v>2</v>
      </c>
      <c r="P528" s="4">
        <v>2</v>
      </c>
      <c r="Q528" s="19">
        <v>449</v>
      </c>
      <c r="R528" s="16">
        <v>7.0000000000000007E-2</v>
      </c>
      <c r="S528" s="16">
        <v>897.93</v>
      </c>
      <c r="T528" s="5" t="s">
        <v>23</v>
      </c>
      <c r="U528" s="13" t="s">
        <v>301</v>
      </c>
    </row>
    <row r="529" spans="1:21" x14ac:dyDescent="0.35">
      <c r="A529" s="4">
        <v>528</v>
      </c>
      <c r="B529" s="4">
        <v>676</v>
      </c>
      <c r="C529" s="13" t="s">
        <v>1204</v>
      </c>
      <c r="D529" s="13" t="s">
        <v>654</v>
      </c>
      <c r="E529" s="5" t="s">
        <v>5566</v>
      </c>
      <c r="F529" s="5" t="s">
        <v>3579</v>
      </c>
      <c r="G529" s="5" t="s">
        <v>3580</v>
      </c>
      <c r="H529" s="13" t="s">
        <v>2577</v>
      </c>
      <c r="I529" s="13" t="s">
        <v>2309</v>
      </c>
      <c r="J529" s="4">
        <v>11757</v>
      </c>
      <c r="K529" s="4">
        <v>1</v>
      </c>
      <c r="L529" s="4">
        <v>21</v>
      </c>
      <c r="M529" s="4">
        <v>2016</v>
      </c>
      <c r="N529" s="4">
        <v>2</v>
      </c>
      <c r="O529" s="4">
        <v>7</v>
      </c>
      <c r="P529" s="4">
        <v>2</v>
      </c>
      <c r="Q529" s="19">
        <v>269.99</v>
      </c>
      <c r="R529" s="16">
        <v>0.05</v>
      </c>
      <c r="S529" s="16">
        <v>539.93000000000006</v>
      </c>
      <c r="T529" s="5" t="s">
        <v>18</v>
      </c>
      <c r="U529" s="13" t="s">
        <v>299</v>
      </c>
    </row>
    <row r="530" spans="1:21" x14ac:dyDescent="0.35">
      <c r="A530" s="4">
        <v>529</v>
      </c>
      <c r="B530" s="4">
        <v>753</v>
      </c>
      <c r="C530" s="13" t="s">
        <v>1205</v>
      </c>
      <c r="D530" s="13" t="s">
        <v>1206</v>
      </c>
      <c r="E530" s="5" t="s">
        <v>5566</v>
      </c>
      <c r="F530" s="5" t="s">
        <v>3581</v>
      </c>
      <c r="G530" s="5" t="s">
        <v>3582</v>
      </c>
      <c r="H530" s="13" t="s">
        <v>2631</v>
      </c>
      <c r="I530" s="13" t="s">
        <v>2309</v>
      </c>
      <c r="J530" s="4">
        <v>11369</v>
      </c>
      <c r="K530" s="4">
        <v>1</v>
      </c>
      <c r="L530" s="4">
        <v>12</v>
      </c>
      <c r="M530" s="4">
        <v>2016</v>
      </c>
      <c r="N530" s="4">
        <v>2</v>
      </c>
      <c r="O530" s="4">
        <v>7</v>
      </c>
      <c r="P530" s="4">
        <v>2</v>
      </c>
      <c r="Q530" s="19">
        <v>549.99</v>
      </c>
      <c r="R530" s="16">
        <v>7.0000000000000007E-2</v>
      </c>
      <c r="S530" s="16">
        <v>1099.9100000000001</v>
      </c>
      <c r="T530" s="5" t="s">
        <v>17</v>
      </c>
      <c r="U530" s="13" t="s">
        <v>301</v>
      </c>
    </row>
    <row r="531" spans="1:21" x14ac:dyDescent="0.35">
      <c r="A531" s="4">
        <v>530</v>
      </c>
      <c r="B531" s="4">
        <v>773</v>
      </c>
      <c r="C531" s="13" t="s">
        <v>1207</v>
      </c>
      <c r="D531" s="13" t="s">
        <v>981</v>
      </c>
      <c r="E531" s="5" t="s">
        <v>5566</v>
      </c>
      <c r="F531" s="5" t="s">
        <v>3583</v>
      </c>
      <c r="G531" s="5" t="s">
        <v>3584</v>
      </c>
      <c r="H531" s="13" t="s">
        <v>2835</v>
      </c>
      <c r="I531" s="13" t="s">
        <v>2309</v>
      </c>
      <c r="J531" s="4">
        <v>11758</v>
      </c>
      <c r="K531" s="4">
        <v>1</v>
      </c>
      <c r="L531" s="4">
        <v>2</v>
      </c>
      <c r="M531" s="4">
        <v>2016</v>
      </c>
      <c r="N531" s="4">
        <v>2</v>
      </c>
      <c r="O531" s="4">
        <v>6</v>
      </c>
      <c r="P531" s="4">
        <v>2</v>
      </c>
      <c r="Q531" s="19">
        <v>749.99</v>
      </c>
      <c r="R531" s="16">
        <v>0.05</v>
      </c>
      <c r="S531" s="16">
        <v>1499.93</v>
      </c>
      <c r="T531" s="5" t="s">
        <v>7</v>
      </c>
      <c r="U531" s="13" t="s">
        <v>304</v>
      </c>
    </row>
    <row r="532" spans="1:21" x14ac:dyDescent="0.35">
      <c r="A532" s="4">
        <v>531</v>
      </c>
      <c r="B532" s="4">
        <v>116</v>
      </c>
      <c r="C532" s="13" t="s">
        <v>1208</v>
      </c>
      <c r="D532" s="13" t="s">
        <v>898</v>
      </c>
      <c r="E532" s="5" t="s">
        <v>5566</v>
      </c>
      <c r="F532" s="5" t="s">
        <v>3585</v>
      </c>
      <c r="G532" s="5" t="s">
        <v>3586</v>
      </c>
      <c r="H532" s="13" t="s">
        <v>2666</v>
      </c>
      <c r="I532" s="13" t="s">
        <v>2397</v>
      </c>
      <c r="J532" s="4">
        <v>76039</v>
      </c>
      <c r="K532" s="4">
        <v>1</v>
      </c>
      <c r="L532" s="4">
        <v>6</v>
      </c>
      <c r="M532" s="4">
        <v>2016</v>
      </c>
      <c r="N532" s="4">
        <v>3</v>
      </c>
      <c r="O532" s="4">
        <v>8</v>
      </c>
      <c r="P532" s="4">
        <v>1</v>
      </c>
      <c r="Q532" s="19">
        <v>469.99</v>
      </c>
      <c r="R532" s="16">
        <v>0.2</v>
      </c>
      <c r="S532" s="16">
        <v>469.79</v>
      </c>
      <c r="T532" s="5" t="s">
        <v>11</v>
      </c>
      <c r="U532" s="13" t="s">
        <v>304</v>
      </c>
    </row>
    <row r="533" spans="1:21" x14ac:dyDescent="0.35">
      <c r="A533" s="4">
        <v>532</v>
      </c>
      <c r="B533" s="4">
        <v>817</v>
      </c>
      <c r="C533" s="13" t="s">
        <v>1209</v>
      </c>
      <c r="D533" s="13" t="s">
        <v>614</v>
      </c>
      <c r="E533" s="5" t="s">
        <v>3587</v>
      </c>
      <c r="F533" s="5" t="s">
        <v>3588</v>
      </c>
      <c r="G533" s="5" t="s">
        <v>3589</v>
      </c>
      <c r="H533" s="13" t="s">
        <v>2597</v>
      </c>
      <c r="I533" s="13" t="s">
        <v>2309</v>
      </c>
      <c r="J533" s="4">
        <v>14086</v>
      </c>
      <c r="K533" s="4">
        <v>1</v>
      </c>
      <c r="L533" s="4">
        <v>17</v>
      </c>
      <c r="M533" s="4">
        <v>2016</v>
      </c>
      <c r="N533" s="4">
        <v>2</v>
      </c>
      <c r="O533" s="4">
        <v>7</v>
      </c>
      <c r="P533" s="4">
        <v>2</v>
      </c>
      <c r="Q533" s="19">
        <v>429</v>
      </c>
      <c r="R533" s="16">
        <v>7.0000000000000007E-2</v>
      </c>
      <c r="S533" s="16">
        <v>857.93</v>
      </c>
      <c r="T533" s="5" t="s">
        <v>22</v>
      </c>
      <c r="U533" s="13" t="s">
        <v>301</v>
      </c>
    </row>
    <row r="534" spans="1:21" x14ac:dyDescent="0.35">
      <c r="A534" s="4">
        <v>533</v>
      </c>
      <c r="B534" s="4">
        <v>1334</v>
      </c>
      <c r="C534" s="13" t="s">
        <v>1210</v>
      </c>
      <c r="D534" s="13" t="s">
        <v>1211</v>
      </c>
      <c r="E534" s="5" t="s">
        <v>5566</v>
      </c>
      <c r="F534" s="5" t="s">
        <v>3590</v>
      </c>
      <c r="G534" s="5" t="s">
        <v>3591</v>
      </c>
      <c r="H534" s="13" t="s">
        <v>3122</v>
      </c>
      <c r="I534" s="13" t="s">
        <v>2309</v>
      </c>
      <c r="J534" s="4">
        <v>12550</v>
      </c>
      <c r="K534" s="4">
        <v>1</v>
      </c>
      <c r="L534" s="4">
        <v>4</v>
      </c>
      <c r="M534" s="4">
        <v>2016</v>
      </c>
      <c r="N534" s="4">
        <v>2</v>
      </c>
      <c r="O534" s="4">
        <v>6</v>
      </c>
      <c r="P534" s="4">
        <v>1</v>
      </c>
      <c r="Q534" s="19">
        <v>2899.99</v>
      </c>
      <c r="R534" s="16">
        <v>0.2</v>
      </c>
      <c r="S534" s="16">
        <v>2899.79</v>
      </c>
      <c r="T534" s="5" t="s">
        <v>9</v>
      </c>
      <c r="U534" s="13" t="s">
        <v>304</v>
      </c>
    </row>
    <row r="535" spans="1:21" x14ac:dyDescent="0.35">
      <c r="A535" s="4">
        <v>534</v>
      </c>
      <c r="B535" s="4">
        <v>1406</v>
      </c>
      <c r="C535" s="13" t="s">
        <v>1212</v>
      </c>
      <c r="D535" s="13" t="s">
        <v>1213</v>
      </c>
      <c r="E535" s="5" t="s">
        <v>5566</v>
      </c>
      <c r="F535" s="5" t="s">
        <v>3592</v>
      </c>
      <c r="G535" s="5" t="s">
        <v>3593</v>
      </c>
      <c r="H535" s="13" t="s">
        <v>2650</v>
      </c>
      <c r="I535" s="13" t="s">
        <v>2309</v>
      </c>
      <c r="J535" s="4">
        <v>11040</v>
      </c>
      <c r="K535" s="4">
        <v>1</v>
      </c>
      <c r="L535" s="4">
        <v>21</v>
      </c>
      <c r="M535" s="4">
        <v>2016</v>
      </c>
      <c r="N535" s="4">
        <v>2</v>
      </c>
      <c r="O535" s="4">
        <v>7</v>
      </c>
      <c r="P535" s="4">
        <v>2</v>
      </c>
      <c r="Q535" s="19">
        <v>269.99</v>
      </c>
      <c r="R535" s="16">
        <v>0.05</v>
      </c>
      <c r="S535" s="16">
        <v>539.93000000000006</v>
      </c>
      <c r="T535" s="5" t="s">
        <v>18</v>
      </c>
      <c r="U535" s="13" t="s">
        <v>299</v>
      </c>
    </row>
    <row r="536" spans="1:21" x14ac:dyDescent="0.35">
      <c r="A536" s="4">
        <v>535</v>
      </c>
      <c r="B536" s="4">
        <v>835</v>
      </c>
      <c r="C536" s="13" t="s">
        <v>1214</v>
      </c>
      <c r="D536" s="13" t="s">
        <v>1215</v>
      </c>
      <c r="E536" s="5" t="s">
        <v>5566</v>
      </c>
      <c r="F536" s="5" t="s">
        <v>3594</v>
      </c>
      <c r="G536" s="5" t="s">
        <v>3595</v>
      </c>
      <c r="H536" s="13" t="s">
        <v>2666</v>
      </c>
      <c r="I536" s="13" t="s">
        <v>2397</v>
      </c>
      <c r="J536" s="4">
        <v>76039</v>
      </c>
      <c r="K536" s="4">
        <v>1</v>
      </c>
      <c r="L536" s="4">
        <v>24</v>
      </c>
      <c r="M536" s="4">
        <v>2016</v>
      </c>
      <c r="N536" s="4">
        <v>3</v>
      </c>
      <c r="O536" s="4">
        <v>9</v>
      </c>
      <c r="P536" s="4">
        <v>1</v>
      </c>
      <c r="Q536" s="19">
        <v>549.99</v>
      </c>
      <c r="R536" s="16">
        <v>0.05</v>
      </c>
      <c r="S536" s="16">
        <v>549.94000000000005</v>
      </c>
      <c r="T536" s="5" t="s">
        <v>17</v>
      </c>
      <c r="U536" s="13" t="s">
        <v>300</v>
      </c>
    </row>
    <row r="537" spans="1:21" x14ac:dyDescent="0.35">
      <c r="A537" s="4">
        <v>536</v>
      </c>
      <c r="B537" s="4">
        <v>759</v>
      </c>
      <c r="C537" s="13" t="s">
        <v>1216</v>
      </c>
      <c r="D537" s="13" t="s">
        <v>1103</v>
      </c>
      <c r="E537" s="5" t="s">
        <v>3596</v>
      </c>
      <c r="F537" s="5" t="s">
        <v>3597</v>
      </c>
      <c r="G537" s="5" t="s">
        <v>3598</v>
      </c>
      <c r="H537" s="13" t="s">
        <v>2758</v>
      </c>
      <c r="I537" s="13" t="s">
        <v>2305</v>
      </c>
      <c r="J537" s="4">
        <v>94603</v>
      </c>
      <c r="K537" s="4">
        <v>1</v>
      </c>
      <c r="L537" s="4">
        <v>22</v>
      </c>
      <c r="M537" s="4">
        <v>2016</v>
      </c>
      <c r="N537" s="4">
        <v>1</v>
      </c>
      <c r="O537" s="4">
        <v>3</v>
      </c>
      <c r="P537" s="4">
        <v>1</v>
      </c>
      <c r="Q537" s="19">
        <v>269.99</v>
      </c>
      <c r="R537" s="16">
        <v>0.1</v>
      </c>
      <c r="S537" s="16">
        <v>269.89</v>
      </c>
      <c r="T537" s="5" t="s">
        <v>19</v>
      </c>
      <c r="U537" s="13" t="s">
        <v>299</v>
      </c>
    </row>
    <row r="538" spans="1:21" x14ac:dyDescent="0.35">
      <c r="A538" s="4">
        <v>537</v>
      </c>
      <c r="B538" s="4">
        <v>1353</v>
      </c>
      <c r="C538" s="13" t="s">
        <v>1217</v>
      </c>
      <c r="D538" s="13" t="s">
        <v>1218</v>
      </c>
      <c r="E538" s="5" t="s">
        <v>5566</v>
      </c>
      <c r="F538" s="5" t="s">
        <v>3599</v>
      </c>
      <c r="G538" s="5" t="s">
        <v>3600</v>
      </c>
      <c r="H538" s="13" t="s">
        <v>3292</v>
      </c>
      <c r="I538" s="13" t="s">
        <v>2305</v>
      </c>
      <c r="J538" s="4">
        <v>91733</v>
      </c>
      <c r="K538" s="4">
        <v>1</v>
      </c>
      <c r="L538" s="4">
        <v>10</v>
      </c>
      <c r="M538" s="4">
        <v>2016</v>
      </c>
      <c r="N538" s="4">
        <v>1</v>
      </c>
      <c r="O538" s="4">
        <v>2</v>
      </c>
      <c r="P538" s="4">
        <v>1</v>
      </c>
      <c r="Q538" s="19">
        <v>1549</v>
      </c>
      <c r="R538" s="16">
        <v>0.05</v>
      </c>
      <c r="S538" s="16">
        <v>1548.95</v>
      </c>
      <c r="T538" s="5" t="s">
        <v>15</v>
      </c>
      <c r="U538" s="13" t="s">
        <v>302</v>
      </c>
    </row>
    <row r="539" spans="1:21" x14ac:dyDescent="0.35">
      <c r="A539" s="4">
        <v>538</v>
      </c>
      <c r="B539" s="4">
        <v>341</v>
      </c>
      <c r="C539" s="13" t="s">
        <v>1219</v>
      </c>
      <c r="D539" s="13" t="s">
        <v>1220</v>
      </c>
      <c r="E539" s="5" t="s">
        <v>5566</v>
      </c>
      <c r="F539" s="5" t="s">
        <v>3601</v>
      </c>
      <c r="G539" s="5" t="s">
        <v>3602</v>
      </c>
      <c r="H539" s="13" t="s">
        <v>2368</v>
      </c>
      <c r="I539" s="13" t="s">
        <v>2309</v>
      </c>
      <c r="J539" s="4">
        <v>10550</v>
      </c>
      <c r="K539" s="4">
        <v>1</v>
      </c>
      <c r="L539" s="4">
        <v>2</v>
      </c>
      <c r="M539" s="4">
        <v>2016</v>
      </c>
      <c r="N539" s="4">
        <v>2</v>
      </c>
      <c r="O539" s="4">
        <v>6</v>
      </c>
      <c r="P539" s="4">
        <v>2</v>
      </c>
      <c r="Q539" s="19">
        <v>749.99</v>
      </c>
      <c r="R539" s="16">
        <v>0.2</v>
      </c>
      <c r="S539" s="16">
        <v>1499.78</v>
      </c>
      <c r="T539" s="5" t="s">
        <v>7</v>
      </c>
      <c r="U539" s="13" t="s">
        <v>304</v>
      </c>
    </row>
    <row r="540" spans="1:21" x14ac:dyDescent="0.35">
      <c r="A540" s="4">
        <v>539</v>
      </c>
      <c r="B540" s="4">
        <v>1144</v>
      </c>
      <c r="C540" s="13" t="s">
        <v>1221</v>
      </c>
      <c r="D540" s="13" t="s">
        <v>1222</v>
      </c>
      <c r="E540" s="5" t="s">
        <v>5566</v>
      </c>
      <c r="F540" s="5" t="s">
        <v>3603</v>
      </c>
      <c r="G540" s="5" t="s">
        <v>3604</v>
      </c>
      <c r="H540" s="13" t="s">
        <v>3447</v>
      </c>
      <c r="I540" s="13" t="s">
        <v>2309</v>
      </c>
      <c r="J540" s="4">
        <v>11364</v>
      </c>
      <c r="K540" s="4">
        <v>1</v>
      </c>
      <c r="L540" s="4">
        <v>9</v>
      </c>
      <c r="M540" s="4">
        <v>2016</v>
      </c>
      <c r="N540" s="4">
        <v>2</v>
      </c>
      <c r="O540" s="4">
        <v>7</v>
      </c>
      <c r="P540" s="4">
        <v>2</v>
      </c>
      <c r="Q540" s="19">
        <v>2999.99</v>
      </c>
      <c r="R540" s="16">
        <v>0.1</v>
      </c>
      <c r="S540" s="16">
        <v>5999.8799999999992</v>
      </c>
      <c r="T540" s="5" t="s">
        <v>14</v>
      </c>
      <c r="U540" s="13" t="s">
        <v>303</v>
      </c>
    </row>
    <row r="541" spans="1:21" x14ac:dyDescent="0.35">
      <c r="A541" s="4">
        <v>540</v>
      </c>
      <c r="B541" s="4">
        <v>1429</v>
      </c>
      <c r="C541" s="13" t="s">
        <v>676</v>
      </c>
      <c r="D541" s="13" t="s">
        <v>1223</v>
      </c>
      <c r="E541" s="5" t="s">
        <v>5566</v>
      </c>
      <c r="F541" s="5" t="s">
        <v>3605</v>
      </c>
      <c r="G541" s="5" t="s">
        <v>3606</v>
      </c>
      <c r="H541" s="13" t="s">
        <v>2356</v>
      </c>
      <c r="I541" s="13" t="s">
        <v>2305</v>
      </c>
      <c r="J541" s="4">
        <v>91768</v>
      </c>
      <c r="K541" s="4">
        <v>1</v>
      </c>
      <c r="L541" s="4">
        <v>19</v>
      </c>
      <c r="M541" s="4">
        <v>2016</v>
      </c>
      <c r="N541" s="4">
        <v>1</v>
      </c>
      <c r="O541" s="4">
        <v>3</v>
      </c>
      <c r="P541" s="4">
        <v>1</v>
      </c>
      <c r="Q541" s="19">
        <v>449</v>
      </c>
      <c r="R541" s="16">
        <v>0.1</v>
      </c>
      <c r="S541" s="16">
        <v>448.9</v>
      </c>
      <c r="T541" s="5" t="s">
        <v>24</v>
      </c>
      <c r="U541" s="13" t="s">
        <v>301</v>
      </c>
    </row>
    <row r="542" spans="1:21" x14ac:dyDescent="0.35">
      <c r="A542" s="4">
        <v>541</v>
      </c>
      <c r="B542" s="4">
        <v>1228</v>
      </c>
      <c r="C542" s="13" t="s">
        <v>536</v>
      </c>
      <c r="D542" s="13" t="s">
        <v>449</v>
      </c>
      <c r="E542" s="5" t="s">
        <v>3607</v>
      </c>
      <c r="F542" s="5" t="s">
        <v>3608</v>
      </c>
      <c r="G542" s="5" t="s">
        <v>3609</v>
      </c>
      <c r="H542" s="13" t="s">
        <v>2758</v>
      </c>
      <c r="I542" s="13" t="s">
        <v>2305</v>
      </c>
      <c r="J542" s="4">
        <v>94603</v>
      </c>
      <c r="K542" s="4">
        <v>1</v>
      </c>
      <c r="L542" s="4">
        <v>22</v>
      </c>
      <c r="M542" s="4">
        <v>2016</v>
      </c>
      <c r="N542" s="4">
        <v>1</v>
      </c>
      <c r="O542" s="4">
        <v>3</v>
      </c>
      <c r="P542" s="4">
        <v>2</v>
      </c>
      <c r="Q542" s="19">
        <v>269.99</v>
      </c>
      <c r="R542" s="16">
        <v>0.05</v>
      </c>
      <c r="S542" s="16">
        <v>539.93000000000006</v>
      </c>
      <c r="T542" s="5" t="s">
        <v>19</v>
      </c>
      <c r="U542" s="13" t="s">
        <v>299</v>
      </c>
    </row>
    <row r="543" spans="1:21" x14ac:dyDescent="0.35">
      <c r="A543" s="4">
        <v>542</v>
      </c>
      <c r="B543" s="4">
        <v>313</v>
      </c>
      <c r="C543" s="13" t="s">
        <v>1224</v>
      </c>
      <c r="D543" s="13" t="s">
        <v>1225</v>
      </c>
      <c r="E543" s="5" t="s">
        <v>5566</v>
      </c>
      <c r="F543" s="5" t="s">
        <v>3610</v>
      </c>
      <c r="G543" s="5" t="s">
        <v>3611</v>
      </c>
      <c r="H543" s="13" t="s">
        <v>2838</v>
      </c>
      <c r="I543" s="13" t="s">
        <v>2309</v>
      </c>
      <c r="J543" s="4">
        <v>11378</v>
      </c>
      <c r="K543" s="4">
        <v>1</v>
      </c>
      <c r="L543" s="4">
        <v>16</v>
      </c>
      <c r="M543" s="4">
        <v>2016</v>
      </c>
      <c r="N543" s="4">
        <v>2</v>
      </c>
      <c r="O543" s="4">
        <v>7</v>
      </c>
      <c r="P543" s="4">
        <v>2</v>
      </c>
      <c r="Q543" s="19">
        <v>599.99</v>
      </c>
      <c r="R543" s="16">
        <v>0.2</v>
      </c>
      <c r="S543" s="16">
        <v>1199.78</v>
      </c>
      <c r="T543" s="5" t="s">
        <v>21</v>
      </c>
      <c r="U543" s="13" t="s">
        <v>301</v>
      </c>
    </row>
    <row r="544" spans="1:21" x14ac:dyDescent="0.35">
      <c r="A544" s="4">
        <v>543</v>
      </c>
      <c r="B544" s="4">
        <v>62</v>
      </c>
      <c r="C544" s="13" t="s">
        <v>1226</v>
      </c>
      <c r="D544" s="13" t="s">
        <v>1227</v>
      </c>
      <c r="E544" s="5" t="s">
        <v>5566</v>
      </c>
      <c r="F544" s="5" t="s">
        <v>3612</v>
      </c>
      <c r="G544" s="5" t="s">
        <v>3613</v>
      </c>
      <c r="H544" s="13" t="s">
        <v>2631</v>
      </c>
      <c r="I544" s="13" t="s">
        <v>2309</v>
      </c>
      <c r="J544" s="4">
        <v>11369</v>
      </c>
      <c r="K544" s="4">
        <v>1</v>
      </c>
      <c r="L544" s="4">
        <v>25</v>
      </c>
      <c r="M544" s="4">
        <v>2016</v>
      </c>
      <c r="N544" s="4">
        <v>2</v>
      </c>
      <c r="O544" s="4">
        <v>6</v>
      </c>
      <c r="P544" s="4">
        <v>1</v>
      </c>
      <c r="Q544" s="19">
        <v>499.99</v>
      </c>
      <c r="R544" s="16">
        <v>0.2</v>
      </c>
      <c r="S544" s="16">
        <v>499.79</v>
      </c>
      <c r="T544" s="5" t="s">
        <v>27</v>
      </c>
      <c r="U544" s="13" t="s">
        <v>300</v>
      </c>
    </row>
    <row r="545" spans="1:21" x14ac:dyDescent="0.35">
      <c r="A545" s="4">
        <v>544</v>
      </c>
      <c r="B545" s="4">
        <v>321</v>
      </c>
      <c r="C545" s="13" t="s">
        <v>1115</v>
      </c>
      <c r="D545" s="13" t="s">
        <v>872</v>
      </c>
      <c r="E545" s="5" t="s">
        <v>5566</v>
      </c>
      <c r="F545" s="5" t="s">
        <v>3614</v>
      </c>
      <c r="G545" s="5" t="s">
        <v>3615</v>
      </c>
      <c r="H545" s="13" t="s">
        <v>2554</v>
      </c>
      <c r="I545" s="13" t="s">
        <v>2309</v>
      </c>
      <c r="J545" s="4">
        <v>11201</v>
      </c>
      <c r="K545" s="4">
        <v>1</v>
      </c>
      <c r="L545" s="4">
        <v>12</v>
      </c>
      <c r="M545" s="4">
        <v>2016</v>
      </c>
      <c r="N545" s="4">
        <v>2</v>
      </c>
      <c r="O545" s="4">
        <v>7</v>
      </c>
      <c r="P545" s="4">
        <v>1</v>
      </c>
      <c r="Q545" s="19">
        <v>549.99</v>
      </c>
      <c r="R545" s="16">
        <v>0.05</v>
      </c>
      <c r="S545" s="16">
        <v>549.94000000000005</v>
      </c>
      <c r="T545" s="5" t="s">
        <v>17</v>
      </c>
      <c r="U545" s="13" t="s">
        <v>301</v>
      </c>
    </row>
    <row r="546" spans="1:21" x14ac:dyDescent="0.35">
      <c r="A546" s="4">
        <v>545</v>
      </c>
      <c r="B546" s="4">
        <v>1108</v>
      </c>
      <c r="C546" s="13" t="s">
        <v>1228</v>
      </c>
      <c r="D546" s="13" t="s">
        <v>981</v>
      </c>
      <c r="E546" s="5" t="s">
        <v>5566</v>
      </c>
      <c r="F546" s="5" t="s">
        <v>3616</v>
      </c>
      <c r="G546" s="5" t="s">
        <v>3617</v>
      </c>
      <c r="H546" s="13" t="s">
        <v>2687</v>
      </c>
      <c r="I546" s="13" t="s">
        <v>2397</v>
      </c>
      <c r="J546" s="4">
        <v>75115</v>
      </c>
      <c r="K546" s="4">
        <v>1</v>
      </c>
      <c r="L546" s="4">
        <v>25</v>
      </c>
      <c r="M546" s="4">
        <v>2016</v>
      </c>
      <c r="N546" s="4">
        <v>3</v>
      </c>
      <c r="O546" s="4">
        <v>9</v>
      </c>
      <c r="P546" s="4">
        <v>2</v>
      </c>
      <c r="Q546" s="19">
        <v>499.99</v>
      </c>
      <c r="R546" s="16">
        <v>0.2</v>
      </c>
      <c r="S546" s="16">
        <v>999.78</v>
      </c>
      <c r="T546" s="5" t="s">
        <v>27</v>
      </c>
      <c r="U546" s="13" t="s">
        <v>300</v>
      </c>
    </row>
    <row r="547" spans="1:21" x14ac:dyDescent="0.35">
      <c r="A547" s="4">
        <v>546</v>
      </c>
      <c r="B547" s="4">
        <v>470</v>
      </c>
      <c r="C547" s="13" t="s">
        <v>1229</v>
      </c>
      <c r="D547" s="13" t="s">
        <v>952</v>
      </c>
      <c r="E547" s="5" t="s">
        <v>5566</v>
      </c>
      <c r="F547" s="5" t="s">
        <v>3618</v>
      </c>
      <c r="G547" s="5" t="s">
        <v>3619</v>
      </c>
      <c r="H547" s="13" t="s">
        <v>2449</v>
      </c>
      <c r="I547" s="13" t="s">
        <v>2309</v>
      </c>
      <c r="J547" s="4">
        <v>11967</v>
      </c>
      <c r="K547" s="4">
        <v>1</v>
      </c>
      <c r="L547" s="4">
        <v>17</v>
      </c>
      <c r="M547" s="4">
        <v>2016</v>
      </c>
      <c r="N547" s="4">
        <v>2</v>
      </c>
      <c r="O547" s="4">
        <v>7</v>
      </c>
      <c r="P547" s="4">
        <v>2</v>
      </c>
      <c r="Q547" s="19">
        <v>429</v>
      </c>
      <c r="R547" s="16">
        <v>0.05</v>
      </c>
      <c r="S547" s="16">
        <v>857.95</v>
      </c>
      <c r="T547" s="5" t="s">
        <v>22</v>
      </c>
      <c r="U547" s="13" t="s">
        <v>301</v>
      </c>
    </row>
    <row r="548" spans="1:21" x14ac:dyDescent="0.35">
      <c r="A548" s="4">
        <v>547</v>
      </c>
      <c r="B548" s="4">
        <v>20</v>
      </c>
      <c r="C548" s="13" t="s">
        <v>986</v>
      </c>
      <c r="D548" s="13" t="s">
        <v>1230</v>
      </c>
      <c r="E548" s="5" t="s">
        <v>5566</v>
      </c>
      <c r="F548" s="5" t="s">
        <v>3620</v>
      </c>
      <c r="G548" s="5" t="s">
        <v>3621</v>
      </c>
      <c r="H548" s="13" t="s">
        <v>2502</v>
      </c>
      <c r="I548" s="13" t="s">
        <v>2397</v>
      </c>
      <c r="J548" s="4">
        <v>77478</v>
      </c>
      <c r="K548" s="4">
        <v>1</v>
      </c>
      <c r="L548" s="4">
        <v>11</v>
      </c>
      <c r="M548" s="4">
        <v>2016</v>
      </c>
      <c r="N548" s="4">
        <v>3</v>
      </c>
      <c r="O548" s="4">
        <v>8</v>
      </c>
      <c r="P548" s="4">
        <v>2</v>
      </c>
      <c r="Q548" s="19">
        <v>1680.99</v>
      </c>
      <c r="R548" s="16">
        <v>0.05</v>
      </c>
      <c r="S548" s="16">
        <v>3361.93</v>
      </c>
      <c r="T548" s="5" t="s">
        <v>16</v>
      </c>
      <c r="U548" s="13" t="s">
        <v>302</v>
      </c>
    </row>
    <row r="549" spans="1:21" x14ac:dyDescent="0.35">
      <c r="A549" s="4">
        <v>548</v>
      </c>
      <c r="B549" s="4">
        <v>739</v>
      </c>
      <c r="C549" s="13" t="s">
        <v>1231</v>
      </c>
      <c r="D549" s="13" t="s">
        <v>731</v>
      </c>
      <c r="E549" s="5" t="s">
        <v>5566</v>
      </c>
      <c r="F549" s="5" t="s">
        <v>3622</v>
      </c>
      <c r="G549" s="5" t="s">
        <v>3623</v>
      </c>
      <c r="H549" s="13" t="s">
        <v>2512</v>
      </c>
      <c r="I549" s="13" t="s">
        <v>2309</v>
      </c>
      <c r="J549" s="4">
        <v>11361</v>
      </c>
      <c r="K549" s="4">
        <v>1</v>
      </c>
      <c r="L549" s="4">
        <v>8</v>
      </c>
      <c r="M549" s="4">
        <v>2016</v>
      </c>
      <c r="N549" s="4">
        <v>2</v>
      </c>
      <c r="O549" s="4">
        <v>7</v>
      </c>
      <c r="P549" s="4">
        <v>1</v>
      </c>
      <c r="Q549" s="19">
        <v>1799.99</v>
      </c>
      <c r="R549" s="16">
        <v>0.1</v>
      </c>
      <c r="S549" s="16">
        <v>1799.89</v>
      </c>
      <c r="T549" s="5" t="s">
        <v>13</v>
      </c>
      <c r="U549" s="13" t="s">
        <v>304</v>
      </c>
    </row>
    <row r="550" spans="1:21" x14ac:dyDescent="0.35">
      <c r="A550" s="4">
        <v>549</v>
      </c>
      <c r="B550" s="4">
        <v>64</v>
      </c>
      <c r="C550" s="13" t="s">
        <v>1232</v>
      </c>
      <c r="D550" s="13" t="s">
        <v>1233</v>
      </c>
      <c r="E550" s="5" t="s">
        <v>5566</v>
      </c>
      <c r="F550" s="5" t="s">
        <v>3624</v>
      </c>
      <c r="G550" s="5" t="s">
        <v>3625</v>
      </c>
      <c r="H550" s="13" t="s">
        <v>2687</v>
      </c>
      <c r="I550" s="13" t="s">
        <v>2397</v>
      </c>
      <c r="J550" s="4">
        <v>75115</v>
      </c>
      <c r="K550" s="4">
        <v>1</v>
      </c>
      <c r="L550" s="4">
        <v>15</v>
      </c>
      <c r="M550" s="4">
        <v>2016</v>
      </c>
      <c r="N550" s="4">
        <v>3</v>
      </c>
      <c r="O550" s="4">
        <v>9</v>
      </c>
      <c r="P550" s="4">
        <v>1</v>
      </c>
      <c r="Q550" s="19">
        <v>529.99</v>
      </c>
      <c r="R550" s="16">
        <v>7.0000000000000007E-2</v>
      </c>
      <c r="S550" s="16">
        <v>529.91999999999996</v>
      </c>
      <c r="T550" s="5" t="s">
        <v>20</v>
      </c>
      <c r="U550" s="13" t="s">
        <v>301</v>
      </c>
    </row>
    <row r="551" spans="1:21" x14ac:dyDescent="0.35">
      <c r="A551" s="4">
        <v>550</v>
      </c>
      <c r="B551" s="4">
        <v>892</v>
      </c>
      <c r="C551" s="13" t="s">
        <v>1234</v>
      </c>
      <c r="D551" s="13" t="s">
        <v>562</v>
      </c>
      <c r="E551" s="5" t="s">
        <v>5566</v>
      </c>
      <c r="F551" s="5" t="s">
        <v>3626</v>
      </c>
      <c r="G551" s="5" t="s">
        <v>3627</v>
      </c>
      <c r="H551" s="13" t="s">
        <v>2444</v>
      </c>
      <c r="I551" s="13" t="s">
        <v>2309</v>
      </c>
      <c r="J551" s="4">
        <v>10562</v>
      </c>
      <c r="K551" s="4">
        <v>1</v>
      </c>
      <c r="L551" s="4">
        <v>4</v>
      </c>
      <c r="M551" s="4">
        <v>2016</v>
      </c>
      <c r="N551" s="4">
        <v>2</v>
      </c>
      <c r="O551" s="4">
        <v>7</v>
      </c>
      <c r="P551" s="4">
        <v>1</v>
      </c>
      <c r="Q551" s="19">
        <v>2899.99</v>
      </c>
      <c r="R551" s="16">
        <v>0.05</v>
      </c>
      <c r="S551" s="16">
        <v>2899.9399999999996</v>
      </c>
      <c r="T551" s="5" t="s">
        <v>9</v>
      </c>
      <c r="U551" s="13" t="s">
        <v>304</v>
      </c>
    </row>
    <row r="552" spans="1:21" x14ac:dyDescent="0.35">
      <c r="A552" s="4">
        <v>551</v>
      </c>
      <c r="B552" s="4">
        <v>1169</v>
      </c>
      <c r="C552" s="13" t="s">
        <v>1235</v>
      </c>
      <c r="D552" s="13" t="s">
        <v>1236</v>
      </c>
      <c r="E552" s="5" t="s">
        <v>5566</v>
      </c>
      <c r="F552" s="5" t="s">
        <v>3628</v>
      </c>
      <c r="G552" s="5" t="s">
        <v>3629</v>
      </c>
      <c r="H552" s="13" t="s">
        <v>3063</v>
      </c>
      <c r="I552" s="13" t="s">
        <v>2309</v>
      </c>
      <c r="J552" s="4">
        <v>10977</v>
      </c>
      <c r="K552" s="4">
        <v>1</v>
      </c>
      <c r="L552" s="4">
        <v>16</v>
      </c>
      <c r="M552" s="4">
        <v>2016</v>
      </c>
      <c r="N552" s="4">
        <v>2</v>
      </c>
      <c r="O552" s="4">
        <v>6</v>
      </c>
      <c r="P552" s="4">
        <v>1</v>
      </c>
      <c r="Q552" s="19">
        <v>599.99</v>
      </c>
      <c r="R552" s="16">
        <v>0.05</v>
      </c>
      <c r="S552" s="16">
        <v>599.94000000000005</v>
      </c>
      <c r="T552" s="5" t="s">
        <v>21</v>
      </c>
      <c r="U552" s="13" t="s">
        <v>301</v>
      </c>
    </row>
    <row r="553" spans="1:21" x14ac:dyDescent="0.35">
      <c r="A553" s="4">
        <v>552</v>
      </c>
      <c r="B553" s="4">
        <v>1282</v>
      </c>
      <c r="C553" s="13" t="s">
        <v>1237</v>
      </c>
      <c r="D553" s="13" t="s">
        <v>987</v>
      </c>
      <c r="E553" s="5" t="s">
        <v>3630</v>
      </c>
      <c r="F553" s="5" t="s">
        <v>3631</v>
      </c>
      <c r="G553" s="5" t="s">
        <v>3632</v>
      </c>
      <c r="H553" s="13" t="s">
        <v>2842</v>
      </c>
      <c r="I553" s="13" t="s">
        <v>2309</v>
      </c>
      <c r="J553" s="4">
        <v>10956</v>
      </c>
      <c r="K553" s="4">
        <v>1</v>
      </c>
      <c r="L553" s="4">
        <v>23</v>
      </c>
      <c r="M553" s="4">
        <v>2016</v>
      </c>
      <c r="N553" s="4">
        <v>2</v>
      </c>
      <c r="O553" s="4">
        <v>7</v>
      </c>
      <c r="P553" s="4">
        <v>1</v>
      </c>
      <c r="Q553" s="19">
        <v>299.99</v>
      </c>
      <c r="R553" s="16">
        <v>0.2</v>
      </c>
      <c r="S553" s="16">
        <v>299.79000000000002</v>
      </c>
      <c r="T553" s="5" t="s">
        <v>26</v>
      </c>
      <c r="U553" s="13" t="s">
        <v>299</v>
      </c>
    </row>
    <row r="554" spans="1:21" x14ac:dyDescent="0.35">
      <c r="A554" s="4">
        <v>553</v>
      </c>
      <c r="B554" s="4">
        <v>913</v>
      </c>
      <c r="C554" s="13" t="s">
        <v>1238</v>
      </c>
      <c r="D554" s="13" t="s">
        <v>1239</v>
      </c>
      <c r="E554" s="5" t="s">
        <v>5566</v>
      </c>
      <c r="F554" s="5" t="s">
        <v>3633</v>
      </c>
      <c r="G554" s="5" t="s">
        <v>3634</v>
      </c>
      <c r="H554" s="13" t="s">
        <v>2687</v>
      </c>
      <c r="I554" s="13" t="s">
        <v>2397</v>
      </c>
      <c r="J554" s="4">
        <v>75115</v>
      </c>
      <c r="K554" s="4">
        <v>1</v>
      </c>
      <c r="L554" s="4">
        <v>24</v>
      </c>
      <c r="M554" s="4">
        <v>2016</v>
      </c>
      <c r="N554" s="4">
        <v>3</v>
      </c>
      <c r="O554" s="4">
        <v>9</v>
      </c>
      <c r="P554" s="4">
        <v>1</v>
      </c>
      <c r="Q554" s="19">
        <v>549.99</v>
      </c>
      <c r="R554" s="16">
        <v>0.1</v>
      </c>
      <c r="S554" s="16">
        <v>549.89</v>
      </c>
      <c r="T554" s="5" t="s">
        <v>17</v>
      </c>
      <c r="U554" s="13" t="s">
        <v>300</v>
      </c>
    </row>
    <row r="555" spans="1:21" x14ac:dyDescent="0.35">
      <c r="A555" s="4">
        <v>554</v>
      </c>
      <c r="B555" s="4">
        <v>104</v>
      </c>
      <c r="C555" s="13" t="s">
        <v>1240</v>
      </c>
      <c r="D555" s="13" t="s">
        <v>1241</v>
      </c>
      <c r="E555" s="5" t="s">
        <v>5566</v>
      </c>
      <c r="F555" s="5" t="s">
        <v>3635</v>
      </c>
      <c r="G555" s="5" t="s">
        <v>3636</v>
      </c>
      <c r="H555" s="13" t="s">
        <v>1822</v>
      </c>
      <c r="I555" s="13" t="s">
        <v>2305</v>
      </c>
      <c r="J555" s="4">
        <v>95008</v>
      </c>
      <c r="K555" s="4">
        <v>1</v>
      </c>
      <c r="L555" s="4">
        <v>3</v>
      </c>
      <c r="M555" s="4">
        <v>2016</v>
      </c>
      <c r="N555" s="4">
        <v>1</v>
      </c>
      <c r="O555" s="4">
        <v>3</v>
      </c>
      <c r="P555" s="4">
        <v>2</v>
      </c>
      <c r="Q555" s="19">
        <v>999.99</v>
      </c>
      <c r="R555" s="16">
        <v>7.0000000000000007E-2</v>
      </c>
      <c r="S555" s="16">
        <v>1999.91</v>
      </c>
      <c r="T555" s="5" t="s">
        <v>8</v>
      </c>
      <c r="U555" s="13" t="s">
        <v>304</v>
      </c>
    </row>
    <row r="556" spans="1:21" x14ac:dyDescent="0.35">
      <c r="A556" s="4">
        <v>555</v>
      </c>
      <c r="B556" s="4">
        <v>212</v>
      </c>
      <c r="C556" s="13" t="s">
        <v>1242</v>
      </c>
      <c r="D556" s="13" t="s">
        <v>1028</v>
      </c>
      <c r="E556" s="5" t="s">
        <v>3637</v>
      </c>
      <c r="F556" s="5" t="s">
        <v>3638</v>
      </c>
      <c r="G556" s="5" t="s">
        <v>3639</v>
      </c>
      <c r="H556" s="13" t="s">
        <v>3027</v>
      </c>
      <c r="I556" s="13" t="s">
        <v>2309</v>
      </c>
      <c r="J556" s="4">
        <v>12180</v>
      </c>
      <c r="K556" s="4">
        <v>1</v>
      </c>
      <c r="L556" s="4">
        <v>8</v>
      </c>
      <c r="M556" s="4">
        <v>2016</v>
      </c>
      <c r="N556" s="4">
        <v>2</v>
      </c>
      <c r="O556" s="4">
        <v>7</v>
      </c>
      <c r="P556" s="4">
        <v>1</v>
      </c>
      <c r="Q556" s="19">
        <v>1799.99</v>
      </c>
      <c r="R556" s="16">
        <v>0.2</v>
      </c>
      <c r="S556" s="16">
        <v>1799.79</v>
      </c>
      <c r="T556" s="5" t="s">
        <v>13</v>
      </c>
      <c r="U556" s="13" t="s">
        <v>304</v>
      </c>
    </row>
    <row r="557" spans="1:21" x14ac:dyDescent="0.35">
      <c r="A557" s="4">
        <v>556</v>
      </c>
      <c r="B557" s="4">
        <v>61</v>
      </c>
      <c r="C557" s="13" t="s">
        <v>998</v>
      </c>
      <c r="D557" s="13" t="s">
        <v>999</v>
      </c>
      <c r="E557" s="5" t="s">
        <v>5566</v>
      </c>
      <c r="F557" s="5" t="s">
        <v>3288</v>
      </c>
      <c r="G557" s="5" t="s">
        <v>3289</v>
      </c>
      <c r="H557" s="13" t="s">
        <v>2849</v>
      </c>
      <c r="I557" s="13" t="s">
        <v>2397</v>
      </c>
      <c r="J557" s="4">
        <v>76901</v>
      </c>
      <c r="K557" s="4">
        <v>1</v>
      </c>
      <c r="L557" s="4">
        <v>16</v>
      </c>
      <c r="M557" s="4">
        <v>2016</v>
      </c>
      <c r="N557" s="4">
        <v>3</v>
      </c>
      <c r="O557" s="4">
        <v>9</v>
      </c>
      <c r="P557" s="4">
        <v>1</v>
      </c>
      <c r="Q557" s="19">
        <v>599.99</v>
      </c>
      <c r="R557" s="16">
        <v>0.1</v>
      </c>
      <c r="S557" s="16">
        <v>599.89</v>
      </c>
      <c r="T557" s="5" t="s">
        <v>21</v>
      </c>
      <c r="U557" s="13" t="s">
        <v>301</v>
      </c>
    </row>
    <row r="558" spans="1:21" x14ac:dyDescent="0.35">
      <c r="A558" s="4">
        <v>557</v>
      </c>
      <c r="B558" s="4">
        <v>1248</v>
      </c>
      <c r="C558" s="13" t="s">
        <v>1243</v>
      </c>
      <c r="D558" s="13" t="s">
        <v>1052</v>
      </c>
      <c r="E558" s="5" t="s">
        <v>5566</v>
      </c>
      <c r="F558" s="5" t="s">
        <v>3640</v>
      </c>
      <c r="G558" s="5" t="s">
        <v>3641</v>
      </c>
      <c r="H558" s="13" t="s">
        <v>2729</v>
      </c>
      <c r="I558" s="13" t="s">
        <v>2309</v>
      </c>
      <c r="J558" s="4">
        <v>11776</v>
      </c>
      <c r="K558" s="4">
        <v>1</v>
      </c>
      <c r="L558" s="4">
        <v>9</v>
      </c>
      <c r="M558" s="4">
        <v>2016</v>
      </c>
      <c r="N558" s="4">
        <v>2</v>
      </c>
      <c r="O558" s="4">
        <v>6</v>
      </c>
      <c r="P558" s="4">
        <v>2</v>
      </c>
      <c r="Q558" s="19">
        <v>2999.99</v>
      </c>
      <c r="R558" s="16">
        <v>0.1</v>
      </c>
      <c r="S558" s="16">
        <v>5999.8799999999992</v>
      </c>
      <c r="T558" s="5" t="s">
        <v>14</v>
      </c>
      <c r="U558" s="13" t="s">
        <v>303</v>
      </c>
    </row>
    <row r="559" spans="1:21" x14ac:dyDescent="0.35">
      <c r="A559" s="4">
        <v>558</v>
      </c>
      <c r="B559" s="4">
        <v>1443</v>
      </c>
      <c r="C559" s="13" t="s">
        <v>1106</v>
      </c>
      <c r="D559" s="13" t="s">
        <v>461</v>
      </c>
      <c r="E559" s="5" t="s">
        <v>5566</v>
      </c>
      <c r="F559" s="5" t="s">
        <v>3642</v>
      </c>
      <c r="G559" s="5" t="s">
        <v>3643</v>
      </c>
      <c r="H559" s="13" t="s">
        <v>2441</v>
      </c>
      <c r="I559" s="13" t="s">
        <v>2309</v>
      </c>
      <c r="J559" s="4">
        <v>11722</v>
      </c>
      <c r="K559" s="4">
        <v>1</v>
      </c>
      <c r="L559" s="4">
        <v>7</v>
      </c>
      <c r="M559" s="4">
        <v>2016</v>
      </c>
      <c r="N559" s="4">
        <v>2</v>
      </c>
      <c r="O559" s="4">
        <v>7</v>
      </c>
      <c r="P559" s="4">
        <v>1</v>
      </c>
      <c r="Q559" s="19">
        <v>3999.99</v>
      </c>
      <c r="R559" s="16">
        <v>7.0000000000000007E-2</v>
      </c>
      <c r="S559" s="16">
        <v>3999.9199999999996</v>
      </c>
      <c r="T559" s="5" t="s">
        <v>12</v>
      </c>
      <c r="U559" s="13" t="s">
        <v>304</v>
      </c>
    </row>
    <row r="560" spans="1:21" x14ac:dyDescent="0.35">
      <c r="A560" s="4">
        <v>559</v>
      </c>
      <c r="B560" s="4">
        <v>959</v>
      </c>
      <c r="C560" s="13" t="s">
        <v>959</v>
      </c>
      <c r="D560" s="13" t="s">
        <v>783</v>
      </c>
      <c r="E560" s="5" t="s">
        <v>3644</v>
      </c>
      <c r="F560" s="5" t="s">
        <v>3645</v>
      </c>
      <c r="G560" s="5" t="s">
        <v>3646</v>
      </c>
      <c r="H560" s="13" t="s">
        <v>2997</v>
      </c>
      <c r="I560" s="13" t="s">
        <v>2305</v>
      </c>
      <c r="J560" s="4">
        <v>95820</v>
      </c>
      <c r="K560" s="4">
        <v>1</v>
      </c>
      <c r="L560" s="4">
        <v>15</v>
      </c>
      <c r="M560" s="4">
        <v>2016</v>
      </c>
      <c r="N560" s="4">
        <v>1</v>
      </c>
      <c r="O560" s="4">
        <v>2</v>
      </c>
      <c r="P560" s="4">
        <v>2</v>
      </c>
      <c r="Q560" s="19">
        <v>529.99</v>
      </c>
      <c r="R560" s="16">
        <v>0.1</v>
      </c>
      <c r="S560" s="16">
        <v>1059.8800000000001</v>
      </c>
      <c r="T560" s="5" t="s">
        <v>20</v>
      </c>
      <c r="U560" s="13" t="s">
        <v>301</v>
      </c>
    </row>
    <row r="561" spans="1:21" x14ac:dyDescent="0.35">
      <c r="A561" s="4">
        <v>560</v>
      </c>
      <c r="B561" s="4">
        <v>1405</v>
      </c>
      <c r="C561" s="13" t="s">
        <v>1244</v>
      </c>
      <c r="D561" s="13" t="s">
        <v>408</v>
      </c>
      <c r="E561" s="5" t="s">
        <v>5566</v>
      </c>
      <c r="F561" s="5" t="s">
        <v>3647</v>
      </c>
      <c r="G561" s="5" t="s">
        <v>3648</v>
      </c>
      <c r="H561" s="13" t="s">
        <v>2368</v>
      </c>
      <c r="I561" s="13" t="s">
        <v>2309</v>
      </c>
      <c r="J561" s="4">
        <v>10550</v>
      </c>
      <c r="K561" s="4">
        <v>1</v>
      </c>
      <c r="L561" s="4">
        <v>16</v>
      </c>
      <c r="M561" s="4">
        <v>2016</v>
      </c>
      <c r="N561" s="4">
        <v>2</v>
      </c>
      <c r="O561" s="4">
        <v>6</v>
      </c>
      <c r="P561" s="4">
        <v>1</v>
      </c>
      <c r="Q561" s="19">
        <v>599.99</v>
      </c>
      <c r="R561" s="16">
        <v>0.05</v>
      </c>
      <c r="S561" s="16">
        <v>599.94000000000005</v>
      </c>
      <c r="T561" s="5" t="s">
        <v>21</v>
      </c>
      <c r="U561" s="13" t="s">
        <v>301</v>
      </c>
    </row>
    <row r="562" spans="1:21" x14ac:dyDescent="0.35">
      <c r="A562" s="4">
        <v>561</v>
      </c>
      <c r="B562" s="4">
        <v>90</v>
      </c>
      <c r="C562" s="13" t="s">
        <v>1245</v>
      </c>
      <c r="D562" s="13" t="s">
        <v>443</v>
      </c>
      <c r="E562" s="5" t="s">
        <v>5566</v>
      </c>
      <c r="F562" s="5" t="s">
        <v>3649</v>
      </c>
      <c r="G562" s="5" t="s">
        <v>3650</v>
      </c>
      <c r="H562" s="13" t="s">
        <v>2479</v>
      </c>
      <c r="I562" s="13" t="s">
        <v>2309</v>
      </c>
      <c r="J562" s="4">
        <v>11010</v>
      </c>
      <c r="K562" s="4">
        <v>1</v>
      </c>
      <c r="L562" s="4">
        <v>15</v>
      </c>
      <c r="M562" s="4">
        <v>2016</v>
      </c>
      <c r="N562" s="4">
        <v>2</v>
      </c>
      <c r="O562" s="4">
        <v>6</v>
      </c>
      <c r="P562" s="4">
        <v>2</v>
      </c>
      <c r="Q562" s="19">
        <v>529.99</v>
      </c>
      <c r="R562" s="16">
        <v>0.05</v>
      </c>
      <c r="S562" s="16">
        <v>1059.93</v>
      </c>
      <c r="T562" s="5" t="s">
        <v>20</v>
      </c>
      <c r="U562" s="13" t="s">
        <v>301</v>
      </c>
    </row>
    <row r="563" spans="1:21" x14ac:dyDescent="0.35">
      <c r="A563" s="4">
        <v>562</v>
      </c>
      <c r="B563" s="4">
        <v>942</v>
      </c>
      <c r="C563" s="13" t="s">
        <v>1246</v>
      </c>
      <c r="D563" s="13" t="s">
        <v>1247</v>
      </c>
      <c r="E563" s="5" t="s">
        <v>3651</v>
      </c>
      <c r="F563" s="5" t="s">
        <v>3652</v>
      </c>
      <c r="G563" s="5" t="s">
        <v>3653</v>
      </c>
      <c r="H563" s="13" t="s">
        <v>2597</v>
      </c>
      <c r="I563" s="13" t="s">
        <v>2309</v>
      </c>
      <c r="J563" s="4">
        <v>14086</v>
      </c>
      <c r="K563" s="4">
        <v>1</v>
      </c>
      <c r="L563" s="4">
        <v>25</v>
      </c>
      <c r="M563" s="4">
        <v>2016</v>
      </c>
      <c r="N563" s="4">
        <v>2</v>
      </c>
      <c r="O563" s="4">
        <v>7</v>
      </c>
      <c r="P563" s="4">
        <v>2</v>
      </c>
      <c r="Q563" s="19">
        <v>499.99</v>
      </c>
      <c r="R563" s="16">
        <v>7.0000000000000007E-2</v>
      </c>
      <c r="S563" s="16">
        <v>999.91</v>
      </c>
      <c r="T563" s="5" t="s">
        <v>27</v>
      </c>
      <c r="U563" s="13" t="s">
        <v>300</v>
      </c>
    </row>
    <row r="564" spans="1:21" x14ac:dyDescent="0.35">
      <c r="A564" s="4">
        <v>563</v>
      </c>
      <c r="B564" s="4">
        <v>365</v>
      </c>
      <c r="C564" s="13" t="s">
        <v>1248</v>
      </c>
      <c r="D564" s="13" t="s">
        <v>1105</v>
      </c>
      <c r="E564" s="5" t="s">
        <v>5566</v>
      </c>
      <c r="F564" s="5" t="s">
        <v>3654</v>
      </c>
      <c r="G564" s="5" t="s">
        <v>3655</v>
      </c>
      <c r="H564" s="13" t="s">
        <v>2512</v>
      </c>
      <c r="I564" s="13" t="s">
        <v>2309</v>
      </c>
      <c r="J564" s="4">
        <v>11361</v>
      </c>
      <c r="K564" s="4">
        <v>1</v>
      </c>
      <c r="L564" s="4">
        <v>6</v>
      </c>
      <c r="M564" s="4">
        <v>2016</v>
      </c>
      <c r="N564" s="4">
        <v>2</v>
      </c>
      <c r="O564" s="4">
        <v>6</v>
      </c>
      <c r="P564" s="4">
        <v>2</v>
      </c>
      <c r="Q564" s="19">
        <v>469.99</v>
      </c>
      <c r="R564" s="16">
        <v>0.1</v>
      </c>
      <c r="S564" s="16">
        <v>939.88</v>
      </c>
      <c r="T564" s="5" t="s">
        <v>11</v>
      </c>
      <c r="U564" s="13" t="s">
        <v>304</v>
      </c>
    </row>
    <row r="565" spans="1:21" x14ac:dyDescent="0.35">
      <c r="A565" s="4">
        <v>564</v>
      </c>
      <c r="B565" s="4">
        <v>1058</v>
      </c>
      <c r="C565" s="13" t="s">
        <v>1249</v>
      </c>
      <c r="D565" s="13" t="s">
        <v>656</v>
      </c>
      <c r="E565" s="5" t="s">
        <v>5566</v>
      </c>
      <c r="F565" s="5" t="s">
        <v>3656</v>
      </c>
      <c r="G565" s="5" t="s">
        <v>3657</v>
      </c>
      <c r="H565" s="13" t="s">
        <v>1457</v>
      </c>
      <c r="I565" s="13" t="s">
        <v>2309</v>
      </c>
      <c r="J565" s="4">
        <v>14580</v>
      </c>
      <c r="K565" s="4">
        <v>1</v>
      </c>
      <c r="L565" s="4">
        <v>4</v>
      </c>
      <c r="M565" s="4">
        <v>2016</v>
      </c>
      <c r="N565" s="4">
        <v>2</v>
      </c>
      <c r="O565" s="4">
        <v>7</v>
      </c>
      <c r="P565" s="4">
        <v>1</v>
      </c>
      <c r="Q565" s="19">
        <v>2899.99</v>
      </c>
      <c r="R565" s="16">
        <v>0.2</v>
      </c>
      <c r="S565" s="16">
        <v>2899.79</v>
      </c>
      <c r="T565" s="5" t="s">
        <v>9</v>
      </c>
      <c r="U565" s="13" t="s">
        <v>304</v>
      </c>
    </row>
    <row r="566" spans="1:21" x14ac:dyDescent="0.35">
      <c r="A566" s="4">
        <v>565</v>
      </c>
      <c r="B566" s="4">
        <v>894</v>
      </c>
      <c r="C566" s="13" t="s">
        <v>430</v>
      </c>
      <c r="D566" s="13" t="s">
        <v>1250</v>
      </c>
      <c r="E566" s="5" t="s">
        <v>5566</v>
      </c>
      <c r="F566" s="5" t="s">
        <v>3658</v>
      </c>
      <c r="G566" s="5" t="s">
        <v>3659</v>
      </c>
      <c r="H566" s="13" t="s">
        <v>2507</v>
      </c>
      <c r="I566" s="13" t="s">
        <v>2309</v>
      </c>
      <c r="J566" s="4">
        <v>12553</v>
      </c>
      <c r="K566" s="4">
        <v>1</v>
      </c>
      <c r="L566" s="4">
        <v>18</v>
      </c>
      <c r="M566" s="4">
        <v>2016</v>
      </c>
      <c r="N566" s="4">
        <v>2</v>
      </c>
      <c r="O566" s="4">
        <v>7</v>
      </c>
      <c r="P566" s="4">
        <v>1</v>
      </c>
      <c r="Q566" s="19">
        <v>449</v>
      </c>
      <c r="R566" s="16">
        <v>0.2</v>
      </c>
      <c r="S566" s="16">
        <v>448.8</v>
      </c>
      <c r="T566" s="5" t="s">
        <v>23</v>
      </c>
      <c r="U566" s="13" t="s">
        <v>301</v>
      </c>
    </row>
    <row r="567" spans="1:21" x14ac:dyDescent="0.35">
      <c r="A567" s="4">
        <v>566</v>
      </c>
      <c r="B567" s="4">
        <v>298</v>
      </c>
      <c r="C567" s="13" t="s">
        <v>1251</v>
      </c>
      <c r="D567" s="13" t="s">
        <v>1252</v>
      </c>
      <c r="E567" s="5" t="s">
        <v>5566</v>
      </c>
      <c r="F567" s="5" t="s">
        <v>3660</v>
      </c>
      <c r="G567" s="5" t="s">
        <v>3661</v>
      </c>
      <c r="H567" s="13" t="s">
        <v>2544</v>
      </c>
      <c r="I567" s="13" t="s">
        <v>2305</v>
      </c>
      <c r="J567" s="4">
        <v>91784</v>
      </c>
      <c r="K567" s="4">
        <v>1</v>
      </c>
      <c r="L567" s="4">
        <v>24</v>
      </c>
      <c r="M567" s="4">
        <v>2016</v>
      </c>
      <c r="N567" s="4">
        <v>1</v>
      </c>
      <c r="O567" s="4">
        <v>3</v>
      </c>
      <c r="P567" s="4">
        <v>2</v>
      </c>
      <c r="Q567" s="19">
        <v>549.99</v>
      </c>
      <c r="R567" s="16">
        <v>7.0000000000000007E-2</v>
      </c>
      <c r="S567" s="16">
        <v>1099.9100000000001</v>
      </c>
      <c r="T567" s="5" t="s">
        <v>17</v>
      </c>
      <c r="U567" s="13" t="s">
        <v>300</v>
      </c>
    </row>
    <row r="568" spans="1:21" x14ac:dyDescent="0.35">
      <c r="A568" s="4">
        <v>567</v>
      </c>
      <c r="B568" s="4">
        <v>1430</v>
      </c>
      <c r="C568" s="13" t="s">
        <v>1253</v>
      </c>
      <c r="D568" s="13" t="s">
        <v>981</v>
      </c>
      <c r="E568" s="5" t="s">
        <v>3662</v>
      </c>
      <c r="F568" s="5" t="s">
        <v>3663</v>
      </c>
      <c r="G568" s="5" t="s">
        <v>3664</v>
      </c>
      <c r="H568" s="13" t="s">
        <v>2726</v>
      </c>
      <c r="I568" s="13" t="s">
        <v>2305</v>
      </c>
      <c r="J568" s="4">
        <v>93306</v>
      </c>
      <c r="K568" s="4">
        <v>1</v>
      </c>
      <c r="L568" s="4">
        <v>9</v>
      </c>
      <c r="M568" s="4">
        <v>2016</v>
      </c>
      <c r="N568" s="4">
        <v>1</v>
      </c>
      <c r="O568" s="4">
        <v>2</v>
      </c>
      <c r="P568" s="4">
        <v>1</v>
      </c>
      <c r="Q568" s="19">
        <v>2999.99</v>
      </c>
      <c r="R568" s="16">
        <v>0.2</v>
      </c>
      <c r="S568" s="16">
        <v>2999.79</v>
      </c>
      <c r="T568" s="5" t="s">
        <v>14</v>
      </c>
      <c r="U568" s="13" t="s">
        <v>303</v>
      </c>
    </row>
    <row r="569" spans="1:21" x14ac:dyDescent="0.35">
      <c r="A569" s="4">
        <v>568</v>
      </c>
      <c r="B569" s="4">
        <v>1275</v>
      </c>
      <c r="C569" s="13" t="s">
        <v>1254</v>
      </c>
      <c r="D569" s="13" t="s">
        <v>1092</v>
      </c>
      <c r="E569" s="5" t="s">
        <v>5566</v>
      </c>
      <c r="F569" s="5" t="s">
        <v>3665</v>
      </c>
      <c r="G569" s="5" t="s">
        <v>3666</v>
      </c>
      <c r="H569" s="13" t="s">
        <v>3198</v>
      </c>
      <c r="I569" s="13" t="s">
        <v>2305</v>
      </c>
      <c r="J569" s="4">
        <v>93635</v>
      </c>
      <c r="K569" s="4">
        <v>1</v>
      </c>
      <c r="L569" s="4">
        <v>5</v>
      </c>
      <c r="M569" s="4">
        <v>2016</v>
      </c>
      <c r="N569" s="4">
        <v>1</v>
      </c>
      <c r="O569" s="4">
        <v>3</v>
      </c>
      <c r="P569" s="4">
        <v>1</v>
      </c>
      <c r="Q569" s="19">
        <v>1320.99</v>
      </c>
      <c r="R569" s="16">
        <v>0.05</v>
      </c>
      <c r="S569" s="16">
        <v>1320.94</v>
      </c>
      <c r="T569" s="5" t="s">
        <v>10</v>
      </c>
      <c r="U569" s="13" t="s">
        <v>304</v>
      </c>
    </row>
    <row r="570" spans="1:21" x14ac:dyDescent="0.35">
      <c r="A570" s="4">
        <v>569</v>
      </c>
      <c r="B570" s="4">
        <v>707</v>
      </c>
      <c r="C570" s="13" t="s">
        <v>1255</v>
      </c>
      <c r="D570" s="13" t="s">
        <v>1256</v>
      </c>
      <c r="E570" s="5" t="s">
        <v>5566</v>
      </c>
      <c r="F570" s="5" t="s">
        <v>3667</v>
      </c>
      <c r="G570" s="5" t="s">
        <v>3668</v>
      </c>
      <c r="H570" s="13" t="s">
        <v>2415</v>
      </c>
      <c r="I570" s="13" t="s">
        <v>2309</v>
      </c>
      <c r="J570" s="4">
        <v>11377</v>
      </c>
      <c r="K570" s="4">
        <v>1</v>
      </c>
      <c r="L570" s="4">
        <v>16</v>
      </c>
      <c r="M570" s="4">
        <v>2016</v>
      </c>
      <c r="N570" s="4">
        <v>2</v>
      </c>
      <c r="O570" s="4">
        <v>6</v>
      </c>
      <c r="P570" s="4">
        <v>1</v>
      </c>
      <c r="Q570" s="19">
        <v>599.99</v>
      </c>
      <c r="R570" s="16">
        <v>0.05</v>
      </c>
      <c r="S570" s="16">
        <v>599.94000000000005</v>
      </c>
      <c r="T570" s="5" t="s">
        <v>21</v>
      </c>
      <c r="U570" s="13" t="s">
        <v>301</v>
      </c>
    </row>
    <row r="571" spans="1:21" x14ac:dyDescent="0.35">
      <c r="A571" s="4">
        <v>570</v>
      </c>
      <c r="B571" s="4">
        <v>989</v>
      </c>
      <c r="C571" s="13" t="s">
        <v>1257</v>
      </c>
      <c r="D571" s="13" t="s">
        <v>1008</v>
      </c>
      <c r="E571" s="5" t="s">
        <v>5566</v>
      </c>
      <c r="F571" s="5" t="s">
        <v>3669</v>
      </c>
      <c r="G571" s="5" t="s">
        <v>3670</v>
      </c>
      <c r="H571" s="13" t="s">
        <v>3161</v>
      </c>
      <c r="I571" s="13" t="s">
        <v>2309</v>
      </c>
      <c r="J571" s="4">
        <v>11420</v>
      </c>
      <c r="K571" s="4">
        <v>1</v>
      </c>
      <c r="L571" s="4">
        <v>18</v>
      </c>
      <c r="M571" s="4">
        <v>2016</v>
      </c>
      <c r="N571" s="4">
        <v>2</v>
      </c>
      <c r="O571" s="4">
        <v>6</v>
      </c>
      <c r="P571" s="4">
        <v>1</v>
      </c>
      <c r="Q571" s="19">
        <v>449</v>
      </c>
      <c r="R571" s="16">
        <v>7.0000000000000007E-2</v>
      </c>
      <c r="S571" s="16">
        <v>448.93</v>
      </c>
      <c r="T571" s="5" t="s">
        <v>23</v>
      </c>
      <c r="U571" s="13" t="s">
        <v>301</v>
      </c>
    </row>
    <row r="572" spans="1:21" x14ac:dyDescent="0.35">
      <c r="A572" s="4">
        <v>571</v>
      </c>
      <c r="B572" s="4">
        <v>5</v>
      </c>
      <c r="C572" s="13" t="s">
        <v>809</v>
      </c>
      <c r="D572" s="13" t="s">
        <v>810</v>
      </c>
      <c r="E572" s="5" t="s">
        <v>2994</v>
      </c>
      <c r="F572" s="5" t="s">
        <v>2995</v>
      </c>
      <c r="G572" s="5" t="s">
        <v>2996</v>
      </c>
      <c r="H572" s="13" t="s">
        <v>2997</v>
      </c>
      <c r="I572" s="13" t="s">
        <v>2305</v>
      </c>
      <c r="J572" s="4">
        <v>95820</v>
      </c>
      <c r="K572" s="4">
        <v>1</v>
      </c>
      <c r="L572" s="4">
        <v>4</v>
      </c>
      <c r="M572" s="4">
        <v>2016</v>
      </c>
      <c r="N572" s="4">
        <v>1</v>
      </c>
      <c r="O572" s="4">
        <v>2</v>
      </c>
      <c r="P572" s="4">
        <v>1</v>
      </c>
      <c r="Q572" s="19">
        <v>2899.99</v>
      </c>
      <c r="R572" s="16">
        <v>0.05</v>
      </c>
      <c r="S572" s="16">
        <v>2899.9399999999996</v>
      </c>
      <c r="T572" s="5" t="s">
        <v>9</v>
      </c>
      <c r="U572" s="13" t="s">
        <v>304</v>
      </c>
    </row>
    <row r="573" spans="1:21" x14ac:dyDescent="0.35">
      <c r="A573" s="4">
        <v>572</v>
      </c>
      <c r="B573" s="4">
        <v>178</v>
      </c>
      <c r="C573" s="13" t="s">
        <v>469</v>
      </c>
      <c r="D573" s="13" t="s">
        <v>1258</v>
      </c>
      <c r="E573" s="5" t="s">
        <v>3671</v>
      </c>
      <c r="F573" s="5" t="s">
        <v>3672</v>
      </c>
      <c r="G573" s="5" t="s">
        <v>3673</v>
      </c>
      <c r="H573" s="13" t="s">
        <v>2647</v>
      </c>
      <c r="I573" s="13" t="s">
        <v>2309</v>
      </c>
      <c r="J573" s="4">
        <v>10002</v>
      </c>
      <c r="K573" s="4">
        <v>1</v>
      </c>
      <c r="L573" s="4">
        <v>3</v>
      </c>
      <c r="M573" s="4">
        <v>2016</v>
      </c>
      <c r="N573" s="4">
        <v>2</v>
      </c>
      <c r="O573" s="4">
        <v>6</v>
      </c>
      <c r="P573" s="4">
        <v>1</v>
      </c>
      <c r="Q573" s="19">
        <v>999.99</v>
      </c>
      <c r="R573" s="16">
        <v>0.05</v>
      </c>
      <c r="S573" s="16">
        <v>999.94</v>
      </c>
      <c r="T573" s="5" t="s">
        <v>8</v>
      </c>
      <c r="U573" s="13" t="s">
        <v>304</v>
      </c>
    </row>
    <row r="574" spans="1:21" x14ac:dyDescent="0.35">
      <c r="A574" s="4">
        <v>573</v>
      </c>
      <c r="B574" s="4">
        <v>423</v>
      </c>
      <c r="C574" s="13" t="s">
        <v>1259</v>
      </c>
      <c r="D574" s="13" t="s">
        <v>1002</v>
      </c>
      <c r="E574" s="5" t="s">
        <v>5566</v>
      </c>
      <c r="F574" s="5" t="s">
        <v>3674</v>
      </c>
      <c r="G574" s="5" t="s">
        <v>3675</v>
      </c>
      <c r="H574" s="13" t="s">
        <v>3093</v>
      </c>
      <c r="I574" s="13" t="s">
        <v>2309</v>
      </c>
      <c r="J574" s="4">
        <v>11729</v>
      </c>
      <c r="K574" s="4">
        <v>1</v>
      </c>
      <c r="L574" s="4">
        <v>2</v>
      </c>
      <c r="M574" s="4">
        <v>2016</v>
      </c>
      <c r="N574" s="4">
        <v>2</v>
      </c>
      <c r="O574" s="4">
        <v>6</v>
      </c>
      <c r="P574" s="4">
        <v>1</v>
      </c>
      <c r="Q574" s="19">
        <v>749.99</v>
      </c>
      <c r="R574" s="16">
        <v>0.2</v>
      </c>
      <c r="S574" s="16">
        <v>749.79</v>
      </c>
      <c r="T574" s="5" t="s">
        <v>7</v>
      </c>
      <c r="U574" s="13" t="s">
        <v>304</v>
      </c>
    </row>
    <row r="575" spans="1:21" x14ac:dyDescent="0.35">
      <c r="A575" s="4">
        <v>574</v>
      </c>
      <c r="B575" s="4">
        <v>833</v>
      </c>
      <c r="C575" s="13" t="s">
        <v>1260</v>
      </c>
      <c r="D575" s="13" t="s">
        <v>1036</v>
      </c>
      <c r="E575" s="5" t="s">
        <v>5566</v>
      </c>
      <c r="F575" s="5" t="s">
        <v>3676</v>
      </c>
      <c r="G575" s="5" t="s">
        <v>3677</v>
      </c>
      <c r="H575" s="13" t="s">
        <v>3018</v>
      </c>
      <c r="I575" s="13" t="s">
        <v>2309</v>
      </c>
      <c r="J575" s="4">
        <v>11357</v>
      </c>
      <c r="K575" s="4">
        <v>1</v>
      </c>
      <c r="L575" s="4">
        <v>26</v>
      </c>
      <c r="M575" s="4">
        <v>2016</v>
      </c>
      <c r="N575" s="4">
        <v>2</v>
      </c>
      <c r="O575" s="4">
        <v>7</v>
      </c>
      <c r="P575" s="4">
        <v>1</v>
      </c>
      <c r="Q575" s="19">
        <v>599.99</v>
      </c>
      <c r="R575" s="16">
        <v>0.05</v>
      </c>
      <c r="S575" s="16">
        <v>599.94000000000005</v>
      </c>
      <c r="T575" s="5" t="s">
        <v>21</v>
      </c>
      <c r="U575" s="13" t="s">
        <v>300</v>
      </c>
    </row>
    <row r="576" spans="1:21" x14ac:dyDescent="0.35">
      <c r="A576" s="4">
        <v>575</v>
      </c>
      <c r="B576" s="4">
        <v>33</v>
      </c>
      <c r="C576" s="13" t="s">
        <v>881</v>
      </c>
      <c r="D576" s="13" t="s">
        <v>1261</v>
      </c>
      <c r="E576" s="5" t="s">
        <v>5566</v>
      </c>
      <c r="F576" s="5" t="s">
        <v>3678</v>
      </c>
      <c r="G576" s="5" t="s">
        <v>3679</v>
      </c>
      <c r="H576" s="13" t="s">
        <v>2790</v>
      </c>
      <c r="I576" s="13" t="s">
        <v>2305</v>
      </c>
      <c r="J576" s="4">
        <v>90274</v>
      </c>
      <c r="K576" s="4">
        <v>1</v>
      </c>
      <c r="L576" s="4">
        <v>4</v>
      </c>
      <c r="M576" s="4">
        <v>2016</v>
      </c>
      <c r="N576" s="4">
        <v>1</v>
      </c>
      <c r="O576" s="4">
        <v>3</v>
      </c>
      <c r="P576" s="4">
        <v>2</v>
      </c>
      <c r="Q576" s="19">
        <v>2899.99</v>
      </c>
      <c r="R576" s="16">
        <v>7.0000000000000007E-2</v>
      </c>
      <c r="S576" s="16">
        <v>5799.91</v>
      </c>
      <c r="T576" s="5" t="s">
        <v>9</v>
      </c>
      <c r="U576" s="13" t="s">
        <v>304</v>
      </c>
    </row>
    <row r="577" spans="1:21" x14ac:dyDescent="0.35">
      <c r="A577" s="4">
        <v>576</v>
      </c>
      <c r="B577" s="4">
        <v>1272</v>
      </c>
      <c r="C577" s="13" t="s">
        <v>1262</v>
      </c>
      <c r="D577" s="13" t="s">
        <v>1263</v>
      </c>
      <c r="E577" s="5" t="s">
        <v>5566</v>
      </c>
      <c r="F577" s="5" t="s">
        <v>3680</v>
      </c>
      <c r="G577" s="5" t="s">
        <v>3681</v>
      </c>
      <c r="H577" s="13" t="s">
        <v>2749</v>
      </c>
      <c r="I577" s="13" t="s">
        <v>2305</v>
      </c>
      <c r="J577" s="4">
        <v>92831</v>
      </c>
      <c r="K577" s="4">
        <v>1</v>
      </c>
      <c r="L577" s="4">
        <v>9</v>
      </c>
      <c r="M577" s="4">
        <v>2016</v>
      </c>
      <c r="N577" s="4">
        <v>1</v>
      </c>
      <c r="O577" s="4">
        <v>3</v>
      </c>
      <c r="P577" s="4">
        <v>1</v>
      </c>
      <c r="Q577" s="19">
        <v>2999.99</v>
      </c>
      <c r="R577" s="16">
        <v>0.1</v>
      </c>
      <c r="S577" s="16">
        <v>2999.89</v>
      </c>
      <c r="T577" s="5" t="s">
        <v>14</v>
      </c>
      <c r="U577" s="13" t="s">
        <v>303</v>
      </c>
    </row>
    <row r="578" spans="1:21" x14ac:dyDescent="0.35">
      <c r="A578" s="4">
        <v>577</v>
      </c>
      <c r="B578" s="4">
        <v>445</v>
      </c>
      <c r="C578" s="13" t="s">
        <v>792</v>
      </c>
      <c r="D578" s="13" t="s">
        <v>1264</v>
      </c>
      <c r="E578" s="5" t="s">
        <v>5566</v>
      </c>
      <c r="F578" s="5" t="s">
        <v>3682</v>
      </c>
      <c r="G578" s="5" t="s">
        <v>3683</v>
      </c>
      <c r="H578" s="13" t="s">
        <v>2368</v>
      </c>
      <c r="I578" s="13" t="s">
        <v>2309</v>
      </c>
      <c r="J578" s="4">
        <v>10550</v>
      </c>
      <c r="K578" s="4">
        <v>1</v>
      </c>
      <c r="L578" s="4">
        <v>3</v>
      </c>
      <c r="M578" s="4">
        <v>2016</v>
      </c>
      <c r="N578" s="4">
        <v>2</v>
      </c>
      <c r="O578" s="4">
        <v>6</v>
      </c>
      <c r="P578" s="4">
        <v>2</v>
      </c>
      <c r="Q578" s="19">
        <v>999.99</v>
      </c>
      <c r="R578" s="16">
        <v>0.2</v>
      </c>
      <c r="S578" s="16">
        <v>1999.78</v>
      </c>
      <c r="T578" s="5" t="s">
        <v>8</v>
      </c>
      <c r="U578" s="13" t="s">
        <v>304</v>
      </c>
    </row>
    <row r="579" spans="1:21" x14ac:dyDescent="0.35">
      <c r="A579" s="4">
        <v>578</v>
      </c>
      <c r="B579" s="4">
        <v>819</v>
      </c>
      <c r="C579" s="13" t="s">
        <v>1265</v>
      </c>
      <c r="D579" s="13" t="s">
        <v>329</v>
      </c>
      <c r="E579" s="5" t="s">
        <v>5566</v>
      </c>
      <c r="F579" s="5" t="s">
        <v>3684</v>
      </c>
      <c r="G579" s="5" t="s">
        <v>3685</v>
      </c>
      <c r="H579" s="13" t="s">
        <v>3343</v>
      </c>
      <c r="I579" s="13" t="s">
        <v>2309</v>
      </c>
      <c r="J579" s="4">
        <v>13760</v>
      </c>
      <c r="K579" s="4">
        <v>1</v>
      </c>
      <c r="L579" s="4">
        <v>21</v>
      </c>
      <c r="M579" s="4">
        <v>2016</v>
      </c>
      <c r="N579" s="4">
        <v>2</v>
      </c>
      <c r="O579" s="4">
        <v>7</v>
      </c>
      <c r="P579" s="4">
        <v>1</v>
      </c>
      <c r="Q579" s="19">
        <v>269.99</v>
      </c>
      <c r="R579" s="16">
        <v>7.0000000000000007E-2</v>
      </c>
      <c r="S579" s="16">
        <v>269.92</v>
      </c>
      <c r="T579" s="5" t="s">
        <v>18</v>
      </c>
      <c r="U579" s="13" t="s">
        <v>299</v>
      </c>
    </row>
    <row r="580" spans="1:21" x14ac:dyDescent="0.35">
      <c r="A580" s="4">
        <v>579</v>
      </c>
      <c r="B580" s="4">
        <v>160</v>
      </c>
      <c r="C580" s="13" t="s">
        <v>1266</v>
      </c>
      <c r="D580" s="13" t="s">
        <v>1267</v>
      </c>
      <c r="E580" s="5" t="s">
        <v>5566</v>
      </c>
      <c r="F580" s="5" t="s">
        <v>3686</v>
      </c>
      <c r="G580" s="5" t="s">
        <v>3687</v>
      </c>
      <c r="H580" s="13" t="s">
        <v>3280</v>
      </c>
      <c r="I580" s="13" t="s">
        <v>2397</v>
      </c>
      <c r="J580" s="4">
        <v>75088</v>
      </c>
      <c r="K580" s="4">
        <v>1</v>
      </c>
      <c r="L580" s="4">
        <v>7</v>
      </c>
      <c r="M580" s="4">
        <v>2016</v>
      </c>
      <c r="N580" s="4">
        <v>3</v>
      </c>
      <c r="O580" s="4">
        <v>8</v>
      </c>
      <c r="P580" s="4">
        <v>2</v>
      </c>
      <c r="Q580" s="19">
        <v>3999.99</v>
      </c>
      <c r="R580" s="16">
        <v>0.05</v>
      </c>
      <c r="S580" s="16">
        <v>7999.9299999999994</v>
      </c>
      <c r="T580" s="5" t="s">
        <v>12</v>
      </c>
      <c r="U580" s="13" t="s">
        <v>304</v>
      </c>
    </row>
    <row r="581" spans="1:21" x14ac:dyDescent="0.35">
      <c r="A581" s="4">
        <v>580</v>
      </c>
      <c r="B581" s="4">
        <v>581</v>
      </c>
      <c r="C581" s="13" t="s">
        <v>1268</v>
      </c>
      <c r="D581" s="13" t="s">
        <v>1269</v>
      </c>
      <c r="E581" s="5" t="s">
        <v>5566</v>
      </c>
      <c r="F581" s="5" t="s">
        <v>3688</v>
      </c>
      <c r="G581" s="5" t="s">
        <v>3689</v>
      </c>
      <c r="H581" s="13" t="s">
        <v>2373</v>
      </c>
      <c r="I581" s="13" t="s">
        <v>2305</v>
      </c>
      <c r="J581" s="4">
        <v>95050</v>
      </c>
      <c r="K581" s="4">
        <v>1</v>
      </c>
      <c r="L581" s="4">
        <v>16</v>
      </c>
      <c r="M581" s="4">
        <v>2016</v>
      </c>
      <c r="N581" s="4">
        <v>1</v>
      </c>
      <c r="O581" s="4">
        <v>3</v>
      </c>
      <c r="P581" s="4">
        <v>2</v>
      </c>
      <c r="Q581" s="19">
        <v>599.99</v>
      </c>
      <c r="R581" s="16">
        <v>0.2</v>
      </c>
      <c r="S581" s="16">
        <v>1199.78</v>
      </c>
      <c r="T581" s="5" t="s">
        <v>21</v>
      </c>
      <c r="U581" s="13" t="s">
        <v>301</v>
      </c>
    </row>
    <row r="582" spans="1:21" x14ac:dyDescent="0.35">
      <c r="A582" s="4">
        <v>581</v>
      </c>
      <c r="B582" s="4">
        <v>688</v>
      </c>
      <c r="C582" s="13" t="s">
        <v>1270</v>
      </c>
      <c r="D582" s="13" t="s">
        <v>1271</v>
      </c>
      <c r="E582" s="5" t="s">
        <v>5566</v>
      </c>
      <c r="F582" s="5" t="s">
        <v>3690</v>
      </c>
      <c r="G582" s="5" t="s">
        <v>3691</v>
      </c>
      <c r="H582" s="13" t="s">
        <v>1822</v>
      </c>
      <c r="I582" s="13" t="s">
        <v>2305</v>
      </c>
      <c r="J582" s="4">
        <v>95008</v>
      </c>
      <c r="K582" s="4">
        <v>1</v>
      </c>
      <c r="L582" s="4">
        <v>8</v>
      </c>
      <c r="M582" s="4">
        <v>2016</v>
      </c>
      <c r="N582" s="4">
        <v>1</v>
      </c>
      <c r="O582" s="4">
        <v>3</v>
      </c>
      <c r="P582" s="4">
        <v>2</v>
      </c>
      <c r="Q582" s="19">
        <v>1799.99</v>
      </c>
      <c r="R582" s="16">
        <v>7.0000000000000007E-2</v>
      </c>
      <c r="S582" s="16">
        <v>3599.91</v>
      </c>
      <c r="T582" s="5" t="s">
        <v>13</v>
      </c>
      <c r="U582" s="13" t="s">
        <v>304</v>
      </c>
    </row>
    <row r="583" spans="1:21" x14ac:dyDescent="0.35">
      <c r="A583" s="4">
        <v>582</v>
      </c>
      <c r="B583" s="4">
        <v>32</v>
      </c>
      <c r="C583" s="13" t="s">
        <v>622</v>
      </c>
      <c r="D583" s="13" t="s">
        <v>623</v>
      </c>
      <c r="E583" s="5" t="s">
        <v>5566</v>
      </c>
      <c r="F583" s="5" t="s">
        <v>2747</v>
      </c>
      <c r="G583" s="5" t="s">
        <v>2748</v>
      </c>
      <c r="H583" s="13" t="s">
        <v>2749</v>
      </c>
      <c r="I583" s="13" t="s">
        <v>2305</v>
      </c>
      <c r="J583" s="4">
        <v>92831</v>
      </c>
      <c r="K583" s="4">
        <v>1</v>
      </c>
      <c r="L583" s="4">
        <v>10</v>
      </c>
      <c r="M583" s="4">
        <v>2016</v>
      </c>
      <c r="N583" s="4">
        <v>1</v>
      </c>
      <c r="O583" s="4">
        <v>2</v>
      </c>
      <c r="P583" s="4">
        <v>2</v>
      </c>
      <c r="Q583" s="19">
        <v>1549</v>
      </c>
      <c r="R583" s="16">
        <v>0.2</v>
      </c>
      <c r="S583" s="16">
        <v>3097.8</v>
      </c>
      <c r="T583" s="5" t="s">
        <v>15</v>
      </c>
      <c r="U583" s="13" t="s">
        <v>302</v>
      </c>
    </row>
    <row r="584" spans="1:21" x14ac:dyDescent="0.35">
      <c r="A584" s="4">
        <v>583</v>
      </c>
      <c r="B584" s="4">
        <v>792</v>
      </c>
      <c r="C584" s="13" t="s">
        <v>382</v>
      </c>
      <c r="D584" s="13" t="s">
        <v>1272</v>
      </c>
      <c r="E584" s="5" t="s">
        <v>5566</v>
      </c>
      <c r="F584" s="5" t="s">
        <v>3692</v>
      </c>
      <c r="G584" s="5" t="s">
        <v>3693</v>
      </c>
      <c r="H584" s="13" t="s">
        <v>2682</v>
      </c>
      <c r="I584" s="13" t="s">
        <v>2309</v>
      </c>
      <c r="J584" s="4">
        <v>11704</v>
      </c>
      <c r="K584" s="4">
        <v>1</v>
      </c>
      <c r="L584" s="4">
        <v>15</v>
      </c>
      <c r="M584" s="4">
        <v>2016</v>
      </c>
      <c r="N584" s="4">
        <v>2</v>
      </c>
      <c r="O584" s="4">
        <v>7</v>
      </c>
      <c r="P584" s="4">
        <v>2</v>
      </c>
      <c r="Q584" s="19">
        <v>529.99</v>
      </c>
      <c r="R584" s="16">
        <v>0.2</v>
      </c>
      <c r="S584" s="16">
        <v>1059.78</v>
      </c>
      <c r="T584" s="5" t="s">
        <v>20</v>
      </c>
      <c r="U584" s="13" t="s">
        <v>301</v>
      </c>
    </row>
    <row r="585" spans="1:21" x14ac:dyDescent="0.35">
      <c r="A585" s="4">
        <v>584</v>
      </c>
      <c r="B585" s="4">
        <v>1209</v>
      </c>
      <c r="C585" s="13" t="s">
        <v>1273</v>
      </c>
      <c r="D585" s="13" t="s">
        <v>1162</v>
      </c>
      <c r="E585" s="5" t="s">
        <v>5566</v>
      </c>
      <c r="F585" s="5" t="s">
        <v>3694</v>
      </c>
      <c r="G585" s="5" t="s">
        <v>3695</v>
      </c>
      <c r="H585" s="13" t="s">
        <v>2964</v>
      </c>
      <c r="I585" s="13" t="s">
        <v>2309</v>
      </c>
      <c r="J585" s="4">
        <v>11743</v>
      </c>
      <c r="K585" s="4">
        <v>1</v>
      </c>
      <c r="L585" s="4">
        <v>19</v>
      </c>
      <c r="M585" s="4">
        <v>2016</v>
      </c>
      <c r="N585" s="4">
        <v>2</v>
      </c>
      <c r="O585" s="4">
        <v>7</v>
      </c>
      <c r="P585" s="4">
        <v>1</v>
      </c>
      <c r="Q585" s="19">
        <v>449</v>
      </c>
      <c r="R585" s="16">
        <v>7.0000000000000007E-2</v>
      </c>
      <c r="S585" s="16">
        <v>448.93</v>
      </c>
      <c r="T585" s="5" t="s">
        <v>24</v>
      </c>
      <c r="U585" s="13" t="s">
        <v>301</v>
      </c>
    </row>
    <row r="586" spans="1:21" x14ac:dyDescent="0.35">
      <c r="A586" s="4">
        <v>585</v>
      </c>
      <c r="B586" s="4">
        <v>1219</v>
      </c>
      <c r="C586" s="13" t="s">
        <v>1274</v>
      </c>
      <c r="D586" s="13" t="s">
        <v>1275</v>
      </c>
      <c r="E586" s="5" t="s">
        <v>5566</v>
      </c>
      <c r="F586" s="5" t="s">
        <v>3696</v>
      </c>
      <c r="G586" s="5" t="s">
        <v>3697</v>
      </c>
      <c r="H586" s="13" t="s">
        <v>2449</v>
      </c>
      <c r="I586" s="13" t="s">
        <v>2309</v>
      </c>
      <c r="J586" s="4">
        <v>11967</v>
      </c>
      <c r="K586" s="4">
        <v>1</v>
      </c>
      <c r="L586" s="4">
        <v>10</v>
      </c>
      <c r="M586" s="4">
        <v>2016</v>
      </c>
      <c r="N586" s="4">
        <v>2</v>
      </c>
      <c r="O586" s="4">
        <v>7</v>
      </c>
      <c r="P586" s="4">
        <v>1</v>
      </c>
      <c r="Q586" s="19">
        <v>1549</v>
      </c>
      <c r="R586" s="16">
        <v>0.2</v>
      </c>
      <c r="S586" s="16">
        <v>1548.8</v>
      </c>
      <c r="T586" s="5" t="s">
        <v>15</v>
      </c>
      <c r="U586" s="13" t="s">
        <v>302</v>
      </c>
    </row>
    <row r="587" spans="1:21" x14ac:dyDescent="0.35">
      <c r="A587" s="4">
        <v>586</v>
      </c>
      <c r="B587" s="4">
        <v>1306</v>
      </c>
      <c r="C587" s="13" t="s">
        <v>1276</v>
      </c>
      <c r="D587" s="13" t="s">
        <v>404</v>
      </c>
      <c r="E587" s="5" t="s">
        <v>5566</v>
      </c>
      <c r="F587" s="5" t="s">
        <v>3698</v>
      </c>
      <c r="G587" s="5" t="s">
        <v>3699</v>
      </c>
      <c r="H587" s="13" t="s">
        <v>1457</v>
      </c>
      <c r="I587" s="13" t="s">
        <v>2309</v>
      </c>
      <c r="J587" s="4">
        <v>14580</v>
      </c>
      <c r="K587" s="4">
        <v>1</v>
      </c>
      <c r="L587" s="4">
        <v>11</v>
      </c>
      <c r="M587" s="4">
        <v>2016</v>
      </c>
      <c r="N587" s="4">
        <v>2</v>
      </c>
      <c r="O587" s="4">
        <v>6</v>
      </c>
      <c r="P587" s="4">
        <v>2</v>
      </c>
      <c r="Q587" s="19">
        <v>1680.99</v>
      </c>
      <c r="R587" s="16">
        <v>0.1</v>
      </c>
      <c r="S587" s="16">
        <v>3361.88</v>
      </c>
      <c r="T587" s="5" t="s">
        <v>16</v>
      </c>
      <c r="U587" s="13" t="s">
        <v>302</v>
      </c>
    </row>
    <row r="588" spans="1:21" x14ac:dyDescent="0.35">
      <c r="A588" s="4">
        <v>587</v>
      </c>
      <c r="B588" s="4">
        <v>487</v>
      </c>
      <c r="C588" s="13" t="s">
        <v>1277</v>
      </c>
      <c r="D588" s="13" t="s">
        <v>771</v>
      </c>
      <c r="E588" s="5" t="s">
        <v>5566</v>
      </c>
      <c r="F588" s="5" t="s">
        <v>3700</v>
      </c>
      <c r="G588" s="5" t="s">
        <v>3701</v>
      </c>
      <c r="H588" s="13" t="s">
        <v>2564</v>
      </c>
      <c r="I588" s="13" t="s">
        <v>2305</v>
      </c>
      <c r="J588" s="4">
        <v>94806</v>
      </c>
      <c r="K588" s="4">
        <v>1</v>
      </c>
      <c r="L588" s="4">
        <v>24</v>
      </c>
      <c r="M588" s="4">
        <v>2016</v>
      </c>
      <c r="N588" s="4">
        <v>1</v>
      </c>
      <c r="O588" s="4">
        <v>2</v>
      </c>
      <c r="P588" s="4">
        <v>1</v>
      </c>
      <c r="Q588" s="19">
        <v>549.99</v>
      </c>
      <c r="R588" s="16">
        <v>0.05</v>
      </c>
      <c r="S588" s="16">
        <v>549.94000000000005</v>
      </c>
      <c r="T588" s="5" t="s">
        <v>17</v>
      </c>
      <c r="U588" s="13" t="s">
        <v>300</v>
      </c>
    </row>
    <row r="589" spans="1:21" x14ac:dyDescent="0.35">
      <c r="A589" s="4">
        <v>588</v>
      </c>
      <c r="B589" s="4">
        <v>102</v>
      </c>
      <c r="C589" s="13" t="s">
        <v>1278</v>
      </c>
      <c r="D589" s="13" t="s">
        <v>650</v>
      </c>
      <c r="E589" s="5" t="s">
        <v>5566</v>
      </c>
      <c r="F589" s="5" t="s">
        <v>3702</v>
      </c>
      <c r="G589" s="5" t="s">
        <v>3703</v>
      </c>
      <c r="H589" s="13" t="s">
        <v>3204</v>
      </c>
      <c r="I589" s="13" t="s">
        <v>2309</v>
      </c>
      <c r="J589" s="4">
        <v>14424</v>
      </c>
      <c r="K589" s="4">
        <v>1</v>
      </c>
      <c r="L589" s="4">
        <v>10</v>
      </c>
      <c r="M589" s="4">
        <v>2016</v>
      </c>
      <c r="N589" s="4">
        <v>2</v>
      </c>
      <c r="O589" s="4">
        <v>7</v>
      </c>
      <c r="P589" s="4">
        <v>2</v>
      </c>
      <c r="Q589" s="19">
        <v>1549</v>
      </c>
      <c r="R589" s="16">
        <v>7.0000000000000007E-2</v>
      </c>
      <c r="S589" s="16">
        <v>3097.93</v>
      </c>
      <c r="T589" s="5" t="s">
        <v>15</v>
      </c>
      <c r="U589" s="13" t="s">
        <v>302</v>
      </c>
    </row>
    <row r="590" spans="1:21" x14ac:dyDescent="0.35">
      <c r="A590" s="4">
        <v>589</v>
      </c>
      <c r="B590" s="4">
        <v>719</v>
      </c>
      <c r="C590" s="13" t="s">
        <v>1279</v>
      </c>
      <c r="D590" s="13" t="s">
        <v>560</v>
      </c>
      <c r="E590" s="5" t="s">
        <v>5566</v>
      </c>
      <c r="F590" s="5" t="s">
        <v>3704</v>
      </c>
      <c r="G590" s="5" t="s">
        <v>3705</v>
      </c>
      <c r="H590" s="13" t="s">
        <v>3343</v>
      </c>
      <c r="I590" s="13" t="s">
        <v>2309</v>
      </c>
      <c r="J590" s="4">
        <v>13760</v>
      </c>
      <c r="K590" s="4">
        <v>1</v>
      </c>
      <c r="L590" s="4">
        <v>15</v>
      </c>
      <c r="M590" s="4">
        <v>2016</v>
      </c>
      <c r="N590" s="4">
        <v>2</v>
      </c>
      <c r="O590" s="4">
        <v>7</v>
      </c>
      <c r="P590" s="4">
        <v>2</v>
      </c>
      <c r="Q590" s="19">
        <v>529.99</v>
      </c>
      <c r="R590" s="16">
        <v>0.05</v>
      </c>
      <c r="S590" s="16">
        <v>1059.93</v>
      </c>
      <c r="T590" s="5" t="s">
        <v>20</v>
      </c>
      <c r="U590" s="13" t="s">
        <v>301</v>
      </c>
    </row>
    <row r="591" spans="1:21" x14ac:dyDescent="0.35">
      <c r="A591" s="4">
        <v>590</v>
      </c>
      <c r="B591" s="4">
        <v>990</v>
      </c>
      <c r="C591" s="13" t="s">
        <v>1280</v>
      </c>
      <c r="D591" s="13" t="s">
        <v>474</v>
      </c>
      <c r="E591" s="5" t="s">
        <v>5566</v>
      </c>
      <c r="F591" s="5" t="s">
        <v>3706</v>
      </c>
      <c r="G591" s="5" t="s">
        <v>3707</v>
      </c>
      <c r="H591" s="13" t="s">
        <v>552</v>
      </c>
      <c r="I591" s="13" t="s">
        <v>2309</v>
      </c>
      <c r="J591" s="4">
        <v>10950</v>
      </c>
      <c r="K591" s="4">
        <v>1</v>
      </c>
      <c r="L591" s="4">
        <v>2</v>
      </c>
      <c r="M591" s="4">
        <v>2016</v>
      </c>
      <c r="N591" s="4">
        <v>2</v>
      </c>
      <c r="O591" s="4">
        <v>7</v>
      </c>
      <c r="P591" s="4">
        <v>2</v>
      </c>
      <c r="Q591" s="19">
        <v>749.99</v>
      </c>
      <c r="R591" s="16">
        <v>0.1</v>
      </c>
      <c r="S591" s="16">
        <v>1499.88</v>
      </c>
      <c r="T591" s="5" t="s">
        <v>7</v>
      </c>
      <c r="U591" s="13" t="s">
        <v>304</v>
      </c>
    </row>
    <row r="592" spans="1:21" x14ac:dyDescent="0.35">
      <c r="A592" s="4">
        <v>591</v>
      </c>
      <c r="B592" s="4">
        <v>1211</v>
      </c>
      <c r="C592" s="13" t="s">
        <v>1281</v>
      </c>
      <c r="D592" s="13" t="s">
        <v>1282</v>
      </c>
      <c r="E592" s="5" t="s">
        <v>5566</v>
      </c>
      <c r="F592" s="5" t="s">
        <v>3708</v>
      </c>
      <c r="G592" s="5" t="s">
        <v>3709</v>
      </c>
      <c r="H592" s="13" t="s">
        <v>2344</v>
      </c>
      <c r="I592" s="13" t="s">
        <v>2309</v>
      </c>
      <c r="J592" s="4">
        <v>14304</v>
      </c>
      <c r="K592" s="4">
        <v>1</v>
      </c>
      <c r="L592" s="4">
        <v>16</v>
      </c>
      <c r="M592" s="4">
        <v>2016</v>
      </c>
      <c r="N592" s="4">
        <v>2</v>
      </c>
      <c r="O592" s="4">
        <v>7</v>
      </c>
      <c r="P592" s="4">
        <v>2</v>
      </c>
      <c r="Q592" s="19">
        <v>599.99</v>
      </c>
      <c r="R592" s="16">
        <v>0.05</v>
      </c>
      <c r="S592" s="16">
        <v>1199.93</v>
      </c>
      <c r="T592" s="5" t="s">
        <v>21</v>
      </c>
      <c r="U592" s="13" t="s">
        <v>301</v>
      </c>
    </row>
    <row r="593" spans="1:21" x14ac:dyDescent="0.35">
      <c r="A593" s="4">
        <v>592</v>
      </c>
      <c r="B593" s="4">
        <v>1232</v>
      </c>
      <c r="C593" s="13" t="s">
        <v>1283</v>
      </c>
      <c r="D593" s="13" t="s">
        <v>1067</v>
      </c>
      <c r="E593" s="5" t="s">
        <v>5566</v>
      </c>
      <c r="F593" s="5" t="s">
        <v>3710</v>
      </c>
      <c r="G593" s="5" t="s">
        <v>3711</v>
      </c>
      <c r="H593" s="13" t="s">
        <v>2590</v>
      </c>
      <c r="I593" s="13" t="s">
        <v>2309</v>
      </c>
      <c r="J593" s="4">
        <v>11714</v>
      </c>
      <c r="K593" s="4">
        <v>1</v>
      </c>
      <c r="L593" s="4">
        <v>21</v>
      </c>
      <c r="M593" s="4">
        <v>2016</v>
      </c>
      <c r="N593" s="4">
        <v>2</v>
      </c>
      <c r="O593" s="4">
        <v>7</v>
      </c>
      <c r="P593" s="4">
        <v>2</v>
      </c>
      <c r="Q593" s="19">
        <v>269.99</v>
      </c>
      <c r="R593" s="16">
        <v>0.1</v>
      </c>
      <c r="S593" s="16">
        <v>539.88</v>
      </c>
      <c r="T593" s="5" t="s">
        <v>18</v>
      </c>
      <c r="U593" s="13" t="s">
        <v>299</v>
      </c>
    </row>
    <row r="594" spans="1:21" x14ac:dyDescent="0.35">
      <c r="A594" s="4">
        <v>593</v>
      </c>
      <c r="B594" s="4">
        <v>50</v>
      </c>
      <c r="C594" s="13" t="s">
        <v>458</v>
      </c>
      <c r="D594" s="13" t="s">
        <v>459</v>
      </c>
      <c r="E594" s="5" t="s">
        <v>5566</v>
      </c>
      <c r="F594" s="5" t="s">
        <v>2508</v>
      </c>
      <c r="G594" s="5" t="s">
        <v>2509</v>
      </c>
      <c r="H594" s="13" t="s">
        <v>2502</v>
      </c>
      <c r="I594" s="13" t="s">
        <v>2397</v>
      </c>
      <c r="J594" s="4">
        <v>77478</v>
      </c>
      <c r="K594" s="4">
        <v>1</v>
      </c>
      <c r="L594" s="4">
        <v>3</v>
      </c>
      <c r="M594" s="4">
        <v>2016</v>
      </c>
      <c r="N594" s="4">
        <v>3</v>
      </c>
      <c r="O594" s="4">
        <v>8</v>
      </c>
      <c r="P594" s="4">
        <v>2</v>
      </c>
      <c r="Q594" s="19">
        <v>999.99</v>
      </c>
      <c r="R594" s="16">
        <v>0.1</v>
      </c>
      <c r="S594" s="16">
        <v>1999.88</v>
      </c>
      <c r="T594" s="5" t="s">
        <v>8</v>
      </c>
      <c r="U594" s="13" t="s">
        <v>304</v>
      </c>
    </row>
    <row r="595" spans="1:21" x14ac:dyDescent="0.35">
      <c r="A595" s="4">
        <v>594</v>
      </c>
      <c r="B595" s="4">
        <v>1318</v>
      </c>
      <c r="C595" s="13" t="s">
        <v>1284</v>
      </c>
      <c r="D595" s="13" t="s">
        <v>1285</v>
      </c>
      <c r="E595" s="5" t="s">
        <v>3712</v>
      </c>
      <c r="F595" s="5" t="s">
        <v>3713</v>
      </c>
      <c r="G595" s="5" t="s">
        <v>3714</v>
      </c>
      <c r="H595" s="13" t="s">
        <v>3715</v>
      </c>
      <c r="I595" s="13" t="s">
        <v>2397</v>
      </c>
      <c r="J595" s="4">
        <v>78213</v>
      </c>
      <c r="K595" s="4">
        <v>1</v>
      </c>
      <c r="L595" s="4">
        <v>26</v>
      </c>
      <c r="M595" s="4">
        <v>2016</v>
      </c>
      <c r="N595" s="4">
        <v>3</v>
      </c>
      <c r="O595" s="4">
        <v>8</v>
      </c>
      <c r="P595" s="4">
        <v>1</v>
      </c>
      <c r="Q595" s="19">
        <v>599.99</v>
      </c>
      <c r="R595" s="16">
        <v>0.1</v>
      </c>
      <c r="S595" s="16">
        <v>599.89</v>
      </c>
      <c r="T595" s="5" t="s">
        <v>21</v>
      </c>
      <c r="U595" s="13" t="s">
        <v>300</v>
      </c>
    </row>
    <row r="596" spans="1:21" x14ac:dyDescent="0.35">
      <c r="A596" s="4">
        <v>595</v>
      </c>
      <c r="B596" s="4">
        <v>538</v>
      </c>
      <c r="C596" s="13" t="s">
        <v>1286</v>
      </c>
      <c r="D596" s="13" t="s">
        <v>1287</v>
      </c>
      <c r="E596" s="5" t="s">
        <v>5566</v>
      </c>
      <c r="F596" s="5" t="s">
        <v>3716</v>
      </c>
      <c r="G596" s="5" t="s">
        <v>3717</v>
      </c>
      <c r="H596" s="13" t="s">
        <v>3292</v>
      </c>
      <c r="I596" s="13" t="s">
        <v>2305</v>
      </c>
      <c r="J596" s="4">
        <v>91733</v>
      </c>
      <c r="K596" s="4">
        <v>1</v>
      </c>
      <c r="L596" s="4">
        <v>4</v>
      </c>
      <c r="M596" s="4">
        <v>2016</v>
      </c>
      <c r="N596" s="4">
        <v>1</v>
      </c>
      <c r="O596" s="4">
        <v>2</v>
      </c>
      <c r="P596" s="4">
        <v>1</v>
      </c>
      <c r="Q596" s="19">
        <v>2899.99</v>
      </c>
      <c r="R596" s="16">
        <v>7.0000000000000007E-2</v>
      </c>
      <c r="S596" s="16">
        <v>2899.9199999999996</v>
      </c>
      <c r="T596" s="5" t="s">
        <v>9</v>
      </c>
      <c r="U596" s="13" t="s">
        <v>304</v>
      </c>
    </row>
    <row r="597" spans="1:21" x14ac:dyDescent="0.35">
      <c r="A597" s="4">
        <v>596</v>
      </c>
      <c r="B597" s="4">
        <v>952</v>
      </c>
      <c r="C597" s="13" t="s">
        <v>1288</v>
      </c>
      <c r="D597" s="13" t="s">
        <v>1289</v>
      </c>
      <c r="E597" s="5" t="s">
        <v>5566</v>
      </c>
      <c r="F597" s="5" t="s">
        <v>3718</v>
      </c>
      <c r="G597" s="5" t="s">
        <v>3719</v>
      </c>
      <c r="H597" s="13" t="s">
        <v>2347</v>
      </c>
      <c r="I597" s="13" t="s">
        <v>2305</v>
      </c>
      <c r="J597" s="4">
        <v>90505</v>
      </c>
      <c r="K597" s="4">
        <v>1</v>
      </c>
      <c r="L597" s="4">
        <v>5</v>
      </c>
      <c r="M597" s="4">
        <v>2016</v>
      </c>
      <c r="N597" s="4">
        <v>1</v>
      </c>
      <c r="O597" s="4">
        <v>3</v>
      </c>
      <c r="P597" s="4">
        <v>1</v>
      </c>
      <c r="Q597" s="19">
        <v>1320.99</v>
      </c>
      <c r="R597" s="16">
        <v>0.05</v>
      </c>
      <c r="S597" s="16">
        <v>1320.94</v>
      </c>
      <c r="T597" s="5" t="s">
        <v>10</v>
      </c>
      <c r="U597" s="13" t="s">
        <v>304</v>
      </c>
    </row>
    <row r="598" spans="1:21" x14ac:dyDescent="0.35">
      <c r="A598" s="4">
        <v>597</v>
      </c>
      <c r="B598" s="4">
        <v>1121</v>
      </c>
      <c r="C598" s="13" t="s">
        <v>1290</v>
      </c>
      <c r="D598" s="13" t="s">
        <v>1291</v>
      </c>
      <c r="E598" s="5" t="s">
        <v>5566</v>
      </c>
      <c r="F598" s="5" t="s">
        <v>3720</v>
      </c>
      <c r="G598" s="5" t="s">
        <v>3721</v>
      </c>
      <c r="H598" s="13" t="s">
        <v>3185</v>
      </c>
      <c r="I598" s="13" t="s">
        <v>2309</v>
      </c>
      <c r="J598" s="4">
        <v>10598</v>
      </c>
      <c r="K598" s="4">
        <v>1</v>
      </c>
      <c r="L598" s="4">
        <v>17</v>
      </c>
      <c r="M598" s="4">
        <v>2016</v>
      </c>
      <c r="N598" s="4">
        <v>2</v>
      </c>
      <c r="O598" s="4">
        <v>6</v>
      </c>
      <c r="P598" s="4">
        <v>2</v>
      </c>
      <c r="Q598" s="19">
        <v>429</v>
      </c>
      <c r="R598" s="16">
        <v>0.2</v>
      </c>
      <c r="S598" s="16">
        <v>857.8</v>
      </c>
      <c r="T598" s="5" t="s">
        <v>22</v>
      </c>
      <c r="U598" s="13" t="s">
        <v>301</v>
      </c>
    </row>
    <row r="599" spans="1:21" x14ac:dyDescent="0.35">
      <c r="A599" s="4">
        <v>598</v>
      </c>
      <c r="B599" s="4">
        <v>40</v>
      </c>
      <c r="C599" s="13" t="s">
        <v>1292</v>
      </c>
      <c r="D599" s="13" t="s">
        <v>1293</v>
      </c>
      <c r="E599" s="5" t="s">
        <v>5566</v>
      </c>
      <c r="F599" s="5" t="s">
        <v>3722</v>
      </c>
      <c r="G599" s="5" t="s">
        <v>3723</v>
      </c>
      <c r="H599" s="13" t="s">
        <v>2362</v>
      </c>
      <c r="I599" s="13" t="s">
        <v>2305</v>
      </c>
      <c r="J599" s="4">
        <v>91316</v>
      </c>
      <c r="K599" s="4">
        <v>1</v>
      </c>
      <c r="L599" s="4">
        <v>4</v>
      </c>
      <c r="M599" s="4">
        <v>2016</v>
      </c>
      <c r="N599" s="4">
        <v>1</v>
      </c>
      <c r="O599" s="4">
        <v>3</v>
      </c>
      <c r="P599" s="4">
        <v>2</v>
      </c>
      <c r="Q599" s="19">
        <v>2899.99</v>
      </c>
      <c r="R599" s="16">
        <v>0.05</v>
      </c>
      <c r="S599" s="16">
        <v>5799.9299999999994</v>
      </c>
      <c r="T599" s="5" t="s">
        <v>9</v>
      </c>
      <c r="U599" s="13" t="s">
        <v>304</v>
      </c>
    </row>
    <row r="600" spans="1:21" x14ac:dyDescent="0.35">
      <c r="A600" s="4">
        <v>599</v>
      </c>
      <c r="B600" s="4">
        <v>1</v>
      </c>
      <c r="C600" s="13" t="s">
        <v>1294</v>
      </c>
      <c r="D600" s="13" t="s">
        <v>1295</v>
      </c>
      <c r="E600" s="5" t="s">
        <v>5566</v>
      </c>
      <c r="F600" s="5" t="s">
        <v>3724</v>
      </c>
      <c r="G600" s="5" t="s">
        <v>3725</v>
      </c>
      <c r="H600" s="13" t="s">
        <v>2390</v>
      </c>
      <c r="I600" s="13" t="s">
        <v>2309</v>
      </c>
      <c r="J600" s="4">
        <v>14127</v>
      </c>
      <c r="K600" s="4">
        <v>1</v>
      </c>
      <c r="L600" s="4">
        <v>9</v>
      </c>
      <c r="M600" s="4">
        <v>2016</v>
      </c>
      <c r="N600" s="4">
        <v>2</v>
      </c>
      <c r="O600" s="4">
        <v>6</v>
      </c>
      <c r="P600" s="4">
        <v>2</v>
      </c>
      <c r="Q600" s="19">
        <v>2999.99</v>
      </c>
      <c r="R600" s="16">
        <v>0.05</v>
      </c>
      <c r="S600" s="16">
        <v>5999.9299999999994</v>
      </c>
      <c r="T600" s="5" t="s">
        <v>14</v>
      </c>
      <c r="U600" s="13" t="s">
        <v>303</v>
      </c>
    </row>
    <row r="601" spans="1:21" x14ac:dyDescent="0.35">
      <c r="A601" s="4">
        <v>600</v>
      </c>
      <c r="B601" s="4">
        <v>624</v>
      </c>
      <c r="C601" s="13" t="s">
        <v>1296</v>
      </c>
      <c r="D601" s="13" t="s">
        <v>375</v>
      </c>
      <c r="E601" s="5" t="s">
        <v>3726</v>
      </c>
      <c r="F601" s="5" t="s">
        <v>3727</v>
      </c>
      <c r="G601" s="5" t="s">
        <v>3728</v>
      </c>
      <c r="H601" s="13" t="s">
        <v>2419</v>
      </c>
      <c r="I601" s="13" t="s">
        <v>2309</v>
      </c>
      <c r="J601" s="4">
        <v>11561</v>
      </c>
      <c r="K601" s="4">
        <v>1</v>
      </c>
      <c r="L601" s="4">
        <v>26</v>
      </c>
      <c r="M601" s="4">
        <v>2016</v>
      </c>
      <c r="N601" s="4">
        <v>2</v>
      </c>
      <c r="O601" s="4">
        <v>7</v>
      </c>
      <c r="P601" s="4">
        <v>2</v>
      </c>
      <c r="Q601" s="19">
        <v>599.99</v>
      </c>
      <c r="R601" s="16">
        <v>7.0000000000000007E-2</v>
      </c>
      <c r="S601" s="16">
        <v>1199.9100000000001</v>
      </c>
      <c r="T601" s="5" t="s">
        <v>21</v>
      </c>
      <c r="U601" s="13" t="s">
        <v>300</v>
      </c>
    </row>
    <row r="602" spans="1:21" x14ac:dyDescent="0.35">
      <c r="A602" s="4">
        <v>601</v>
      </c>
      <c r="B602" s="4">
        <v>683</v>
      </c>
      <c r="C602" s="13" t="s">
        <v>1297</v>
      </c>
      <c r="D602" s="13" t="s">
        <v>1295</v>
      </c>
      <c r="E602" s="5" t="s">
        <v>5566</v>
      </c>
      <c r="F602" s="5" t="s">
        <v>3729</v>
      </c>
      <c r="G602" s="5" t="s">
        <v>3730</v>
      </c>
      <c r="H602" s="13" t="s">
        <v>2393</v>
      </c>
      <c r="I602" s="13" t="s">
        <v>2309</v>
      </c>
      <c r="J602" s="4">
        <v>11566</v>
      </c>
      <c r="K602" s="4">
        <v>1</v>
      </c>
      <c r="L602" s="4">
        <v>12</v>
      </c>
      <c r="M602" s="4">
        <v>2016</v>
      </c>
      <c r="N602" s="4">
        <v>2</v>
      </c>
      <c r="O602" s="4">
        <v>6</v>
      </c>
      <c r="P602" s="4">
        <v>2</v>
      </c>
      <c r="Q602" s="19">
        <v>549.99</v>
      </c>
      <c r="R602" s="16">
        <v>0.2</v>
      </c>
      <c r="S602" s="16">
        <v>1099.78</v>
      </c>
      <c r="T602" s="5" t="s">
        <v>17</v>
      </c>
      <c r="U602" s="13" t="s">
        <v>301</v>
      </c>
    </row>
    <row r="603" spans="1:21" x14ac:dyDescent="0.35">
      <c r="A603" s="4">
        <v>602</v>
      </c>
      <c r="B603" s="4">
        <v>823</v>
      </c>
      <c r="C603" s="13" t="s">
        <v>1298</v>
      </c>
      <c r="D603" s="13" t="s">
        <v>1299</v>
      </c>
      <c r="E603" s="5" t="s">
        <v>5566</v>
      </c>
      <c r="F603" s="5" t="s">
        <v>3731</v>
      </c>
      <c r="G603" s="5" t="s">
        <v>3732</v>
      </c>
      <c r="H603" s="13" t="s">
        <v>2838</v>
      </c>
      <c r="I603" s="13" t="s">
        <v>2309</v>
      </c>
      <c r="J603" s="4">
        <v>11378</v>
      </c>
      <c r="K603" s="4">
        <v>1</v>
      </c>
      <c r="L603" s="4">
        <v>15</v>
      </c>
      <c r="M603" s="4">
        <v>2016</v>
      </c>
      <c r="N603" s="4">
        <v>2</v>
      </c>
      <c r="O603" s="4">
        <v>6</v>
      </c>
      <c r="P603" s="4">
        <v>2</v>
      </c>
      <c r="Q603" s="19">
        <v>529.99</v>
      </c>
      <c r="R603" s="16">
        <v>0.05</v>
      </c>
      <c r="S603" s="16">
        <v>1059.93</v>
      </c>
      <c r="T603" s="5" t="s">
        <v>20</v>
      </c>
      <c r="U603" s="13" t="s">
        <v>301</v>
      </c>
    </row>
    <row r="604" spans="1:21" x14ac:dyDescent="0.35">
      <c r="A604" s="4">
        <v>603</v>
      </c>
      <c r="B604" s="4">
        <v>1032</v>
      </c>
      <c r="C604" s="13" t="s">
        <v>1300</v>
      </c>
      <c r="D604" s="13" t="s">
        <v>1301</v>
      </c>
      <c r="E604" s="5" t="s">
        <v>5566</v>
      </c>
      <c r="F604" s="5" t="s">
        <v>3733</v>
      </c>
      <c r="G604" s="5" t="s">
        <v>3734</v>
      </c>
      <c r="H604" s="13" t="s">
        <v>2308</v>
      </c>
      <c r="I604" s="13" t="s">
        <v>2309</v>
      </c>
      <c r="J604" s="4">
        <v>11746</v>
      </c>
      <c r="K604" s="4">
        <v>1</v>
      </c>
      <c r="L604" s="4">
        <v>12</v>
      </c>
      <c r="M604" s="4">
        <v>2016</v>
      </c>
      <c r="N604" s="4">
        <v>2</v>
      </c>
      <c r="O604" s="4">
        <v>7</v>
      </c>
      <c r="P604" s="4">
        <v>1</v>
      </c>
      <c r="Q604" s="19">
        <v>549.99</v>
      </c>
      <c r="R604" s="16">
        <v>7.0000000000000007E-2</v>
      </c>
      <c r="S604" s="16">
        <v>549.91999999999996</v>
      </c>
      <c r="T604" s="5" t="s">
        <v>17</v>
      </c>
      <c r="U604" s="13" t="s">
        <v>301</v>
      </c>
    </row>
    <row r="605" spans="1:21" x14ac:dyDescent="0.35">
      <c r="A605" s="4">
        <v>604</v>
      </c>
      <c r="B605" s="4">
        <v>96</v>
      </c>
      <c r="C605" s="13" t="s">
        <v>1302</v>
      </c>
      <c r="D605" s="13" t="s">
        <v>339</v>
      </c>
      <c r="E605" s="5" t="s">
        <v>5566</v>
      </c>
      <c r="F605" s="5" t="s">
        <v>3735</v>
      </c>
      <c r="G605" s="5" t="s">
        <v>3736</v>
      </c>
      <c r="H605" s="13" t="s">
        <v>2512</v>
      </c>
      <c r="I605" s="13" t="s">
        <v>2309</v>
      </c>
      <c r="J605" s="4">
        <v>11361</v>
      </c>
      <c r="K605" s="4">
        <v>1</v>
      </c>
      <c r="L605" s="4">
        <v>10</v>
      </c>
      <c r="M605" s="4">
        <v>2016</v>
      </c>
      <c r="N605" s="4">
        <v>2</v>
      </c>
      <c r="O605" s="4">
        <v>7</v>
      </c>
      <c r="P605" s="4">
        <v>2</v>
      </c>
      <c r="Q605" s="19">
        <v>1549</v>
      </c>
      <c r="R605" s="16">
        <v>7.0000000000000007E-2</v>
      </c>
      <c r="S605" s="16">
        <v>3097.93</v>
      </c>
      <c r="T605" s="5" t="s">
        <v>15</v>
      </c>
      <c r="U605" s="13" t="s">
        <v>302</v>
      </c>
    </row>
    <row r="606" spans="1:21" x14ac:dyDescent="0.35">
      <c r="A606" s="4">
        <v>605</v>
      </c>
      <c r="B606" s="4">
        <v>1208</v>
      </c>
      <c r="C606" s="13" t="s">
        <v>1303</v>
      </c>
      <c r="D606" s="13" t="s">
        <v>1304</v>
      </c>
      <c r="E606" s="5" t="s">
        <v>5566</v>
      </c>
      <c r="F606" s="5" t="s">
        <v>3737</v>
      </c>
      <c r="G606" s="5" t="s">
        <v>3738</v>
      </c>
      <c r="H606" s="13" t="s">
        <v>2350</v>
      </c>
      <c r="I606" s="13" t="s">
        <v>2309</v>
      </c>
      <c r="J606" s="4">
        <v>10512</v>
      </c>
      <c r="K606" s="4">
        <v>1</v>
      </c>
      <c r="L606" s="4">
        <v>19</v>
      </c>
      <c r="M606" s="4">
        <v>2016</v>
      </c>
      <c r="N606" s="4">
        <v>2</v>
      </c>
      <c r="O606" s="4">
        <v>6</v>
      </c>
      <c r="P606" s="4">
        <v>1</v>
      </c>
      <c r="Q606" s="19">
        <v>449</v>
      </c>
      <c r="R606" s="16">
        <v>7.0000000000000007E-2</v>
      </c>
      <c r="S606" s="16">
        <v>448.93</v>
      </c>
      <c r="T606" s="5" t="s">
        <v>24</v>
      </c>
      <c r="U606" s="13" t="s">
        <v>301</v>
      </c>
    </row>
    <row r="607" spans="1:21" x14ac:dyDescent="0.35">
      <c r="A607" s="4">
        <v>606</v>
      </c>
      <c r="B607" s="4">
        <v>18</v>
      </c>
      <c r="C607" s="13" t="s">
        <v>1305</v>
      </c>
      <c r="D607" s="13" t="s">
        <v>872</v>
      </c>
      <c r="E607" s="5" t="s">
        <v>5566</v>
      </c>
      <c r="F607" s="5" t="s">
        <v>3739</v>
      </c>
      <c r="G607" s="5" t="s">
        <v>3740</v>
      </c>
      <c r="H607" s="13" t="s">
        <v>3204</v>
      </c>
      <c r="I607" s="13" t="s">
        <v>2309</v>
      </c>
      <c r="J607" s="4">
        <v>14424</v>
      </c>
      <c r="K607" s="4">
        <v>1</v>
      </c>
      <c r="L607" s="4">
        <v>6</v>
      </c>
      <c r="M607" s="4">
        <v>2016</v>
      </c>
      <c r="N607" s="4">
        <v>2</v>
      </c>
      <c r="O607" s="4">
        <v>7</v>
      </c>
      <c r="P607" s="4">
        <v>2</v>
      </c>
      <c r="Q607" s="19">
        <v>469.99</v>
      </c>
      <c r="R607" s="16">
        <v>0.2</v>
      </c>
      <c r="S607" s="16">
        <v>939.78</v>
      </c>
      <c r="T607" s="5" t="s">
        <v>11</v>
      </c>
      <c r="U607" s="13" t="s">
        <v>304</v>
      </c>
    </row>
    <row r="608" spans="1:21" x14ac:dyDescent="0.35">
      <c r="A608" s="4">
        <v>607</v>
      </c>
      <c r="B608" s="4">
        <v>309</v>
      </c>
      <c r="C608" s="13" t="s">
        <v>357</v>
      </c>
      <c r="D608" s="13" t="s">
        <v>1306</v>
      </c>
      <c r="E608" s="5" t="s">
        <v>5566</v>
      </c>
      <c r="F608" s="5" t="s">
        <v>3741</v>
      </c>
      <c r="G608" s="5" t="s">
        <v>3742</v>
      </c>
      <c r="H608" s="13" t="s">
        <v>3204</v>
      </c>
      <c r="I608" s="13" t="s">
        <v>2309</v>
      </c>
      <c r="J608" s="4">
        <v>14424</v>
      </c>
      <c r="K608" s="4">
        <v>1</v>
      </c>
      <c r="L608" s="4">
        <v>11</v>
      </c>
      <c r="M608" s="4">
        <v>2016</v>
      </c>
      <c r="N608" s="4">
        <v>2</v>
      </c>
      <c r="O608" s="4">
        <v>6</v>
      </c>
      <c r="P608" s="4">
        <v>2</v>
      </c>
      <c r="Q608" s="19">
        <v>1680.99</v>
      </c>
      <c r="R608" s="16">
        <v>0.2</v>
      </c>
      <c r="S608" s="16">
        <v>3361.78</v>
      </c>
      <c r="T608" s="5" t="s">
        <v>16</v>
      </c>
      <c r="U608" s="13" t="s">
        <v>302</v>
      </c>
    </row>
    <row r="609" spans="1:21" x14ac:dyDescent="0.35">
      <c r="A609" s="4">
        <v>608</v>
      </c>
      <c r="B609" s="4">
        <v>1103</v>
      </c>
      <c r="C609" s="13" t="s">
        <v>1307</v>
      </c>
      <c r="D609" s="13" t="s">
        <v>1308</v>
      </c>
      <c r="E609" s="5" t="s">
        <v>5566</v>
      </c>
      <c r="F609" s="5" t="s">
        <v>3743</v>
      </c>
      <c r="G609" s="5" t="s">
        <v>3744</v>
      </c>
      <c r="H609" s="13" t="s">
        <v>2365</v>
      </c>
      <c r="I609" s="13" t="s">
        <v>2305</v>
      </c>
      <c r="J609" s="4">
        <v>91387</v>
      </c>
      <c r="K609" s="4">
        <v>1</v>
      </c>
      <c r="L609" s="4">
        <v>4</v>
      </c>
      <c r="M609" s="4">
        <v>2016</v>
      </c>
      <c r="N609" s="4">
        <v>1</v>
      </c>
      <c r="O609" s="4">
        <v>3</v>
      </c>
      <c r="P609" s="4">
        <v>2</v>
      </c>
      <c r="Q609" s="19">
        <v>2899.99</v>
      </c>
      <c r="R609" s="16">
        <v>0.2</v>
      </c>
      <c r="S609" s="16">
        <v>5799.78</v>
      </c>
      <c r="T609" s="5" t="s">
        <v>9</v>
      </c>
      <c r="U609" s="13" t="s">
        <v>304</v>
      </c>
    </row>
    <row r="610" spans="1:21" x14ac:dyDescent="0.35">
      <c r="A610" s="4">
        <v>609</v>
      </c>
      <c r="B610" s="4">
        <v>896</v>
      </c>
      <c r="C610" s="13" t="s">
        <v>1309</v>
      </c>
      <c r="D610" s="13" t="s">
        <v>1310</v>
      </c>
      <c r="E610" s="5" t="s">
        <v>3745</v>
      </c>
      <c r="F610" s="5" t="s">
        <v>3746</v>
      </c>
      <c r="G610" s="5" t="s">
        <v>3747</v>
      </c>
      <c r="H610" s="13" t="s">
        <v>2842</v>
      </c>
      <c r="I610" s="13" t="s">
        <v>2309</v>
      </c>
      <c r="J610" s="4">
        <v>10956</v>
      </c>
      <c r="K610" s="4">
        <v>1</v>
      </c>
      <c r="L610" s="4">
        <v>10</v>
      </c>
      <c r="M610" s="4">
        <v>2016</v>
      </c>
      <c r="N610" s="4">
        <v>2</v>
      </c>
      <c r="O610" s="4">
        <v>7</v>
      </c>
      <c r="P610" s="4">
        <v>1</v>
      </c>
      <c r="Q610" s="19">
        <v>1549</v>
      </c>
      <c r="R610" s="16">
        <v>7.0000000000000007E-2</v>
      </c>
      <c r="S610" s="16">
        <v>1548.93</v>
      </c>
      <c r="T610" s="5" t="s">
        <v>15</v>
      </c>
      <c r="U610" s="13" t="s">
        <v>302</v>
      </c>
    </row>
    <row r="611" spans="1:21" x14ac:dyDescent="0.35">
      <c r="A611" s="4">
        <v>610</v>
      </c>
      <c r="B611" s="4">
        <v>711</v>
      </c>
      <c r="C611" s="13" t="s">
        <v>1311</v>
      </c>
      <c r="D611" s="13" t="s">
        <v>1312</v>
      </c>
      <c r="E611" s="5" t="s">
        <v>5566</v>
      </c>
      <c r="F611" s="5" t="s">
        <v>3748</v>
      </c>
      <c r="G611" s="5" t="s">
        <v>3749</v>
      </c>
      <c r="H611" s="13" t="s">
        <v>2961</v>
      </c>
      <c r="I611" s="13" t="s">
        <v>2309</v>
      </c>
      <c r="J611" s="4">
        <v>10301</v>
      </c>
      <c r="K611" s="4">
        <v>1</v>
      </c>
      <c r="L611" s="4">
        <v>26</v>
      </c>
      <c r="M611" s="4">
        <v>2016</v>
      </c>
      <c r="N611" s="4">
        <v>2</v>
      </c>
      <c r="O611" s="4">
        <v>6</v>
      </c>
      <c r="P611" s="4">
        <v>1</v>
      </c>
      <c r="Q611" s="19">
        <v>599.99</v>
      </c>
      <c r="R611" s="16">
        <v>0.1</v>
      </c>
      <c r="S611" s="16">
        <v>599.89</v>
      </c>
      <c r="T611" s="5" t="s">
        <v>21</v>
      </c>
      <c r="U611" s="13" t="s">
        <v>300</v>
      </c>
    </row>
    <row r="612" spans="1:21" x14ac:dyDescent="0.35">
      <c r="A612" s="4">
        <v>611</v>
      </c>
      <c r="B612" s="4">
        <v>1073</v>
      </c>
      <c r="C612" s="13" t="s">
        <v>1313</v>
      </c>
      <c r="D612" s="13" t="s">
        <v>410</v>
      </c>
      <c r="E612" s="5" t="s">
        <v>5566</v>
      </c>
      <c r="F612" s="5" t="s">
        <v>3750</v>
      </c>
      <c r="G612" s="5" t="s">
        <v>3751</v>
      </c>
      <c r="H612" s="13" t="s">
        <v>2512</v>
      </c>
      <c r="I612" s="13" t="s">
        <v>2309</v>
      </c>
      <c r="J612" s="4">
        <v>11361</v>
      </c>
      <c r="K612" s="4">
        <v>1</v>
      </c>
      <c r="L612" s="4">
        <v>16</v>
      </c>
      <c r="M612" s="4">
        <v>2016</v>
      </c>
      <c r="N612" s="4">
        <v>2</v>
      </c>
      <c r="O612" s="4">
        <v>7</v>
      </c>
      <c r="P612" s="4">
        <v>2</v>
      </c>
      <c r="Q612" s="19">
        <v>599.99</v>
      </c>
      <c r="R612" s="16">
        <v>7.0000000000000007E-2</v>
      </c>
      <c r="S612" s="16">
        <v>1199.9100000000001</v>
      </c>
      <c r="T612" s="5" t="s">
        <v>21</v>
      </c>
      <c r="U612" s="13" t="s">
        <v>301</v>
      </c>
    </row>
    <row r="613" spans="1:21" x14ac:dyDescent="0.35">
      <c r="A613" s="4">
        <v>612</v>
      </c>
      <c r="B613" s="4">
        <v>634</v>
      </c>
      <c r="C613" s="13" t="s">
        <v>1314</v>
      </c>
      <c r="D613" s="13" t="s">
        <v>618</v>
      </c>
      <c r="E613" s="5" t="s">
        <v>5566</v>
      </c>
      <c r="F613" s="5" t="s">
        <v>3752</v>
      </c>
      <c r="G613" s="5" t="s">
        <v>3753</v>
      </c>
      <c r="H613" s="13" t="s">
        <v>2350</v>
      </c>
      <c r="I613" s="13" t="s">
        <v>2309</v>
      </c>
      <c r="J613" s="4">
        <v>10512</v>
      </c>
      <c r="K613" s="4">
        <v>1</v>
      </c>
      <c r="L613" s="4">
        <v>13</v>
      </c>
      <c r="M613" s="4">
        <v>2016</v>
      </c>
      <c r="N613" s="4">
        <v>2</v>
      </c>
      <c r="O613" s="4">
        <v>7</v>
      </c>
      <c r="P613" s="4">
        <v>1</v>
      </c>
      <c r="Q613" s="19">
        <v>269.99</v>
      </c>
      <c r="R613" s="16">
        <v>0.1</v>
      </c>
      <c r="S613" s="16">
        <v>269.89</v>
      </c>
      <c r="T613" s="5" t="s">
        <v>18</v>
      </c>
      <c r="U613" s="13" t="s">
        <v>301</v>
      </c>
    </row>
    <row r="614" spans="1:21" x14ac:dyDescent="0.35">
      <c r="A614" s="4">
        <v>613</v>
      </c>
      <c r="B614" s="4">
        <v>1159</v>
      </c>
      <c r="C614" s="13" t="s">
        <v>1315</v>
      </c>
      <c r="D614" s="13" t="s">
        <v>1047</v>
      </c>
      <c r="E614" s="5" t="s">
        <v>5566</v>
      </c>
      <c r="F614" s="5" t="s">
        <v>3754</v>
      </c>
      <c r="G614" s="5" t="s">
        <v>3755</v>
      </c>
      <c r="H614" s="13" t="s">
        <v>3057</v>
      </c>
      <c r="I614" s="13" t="s">
        <v>2309</v>
      </c>
      <c r="J614" s="4">
        <v>11791</v>
      </c>
      <c r="K614" s="4">
        <v>1</v>
      </c>
      <c r="L614" s="4">
        <v>9</v>
      </c>
      <c r="M614" s="4">
        <v>2016</v>
      </c>
      <c r="N614" s="4">
        <v>2</v>
      </c>
      <c r="O614" s="4">
        <v>7</v>
      </c>
      <c r="P614" s="4">
        <v>2</v>
      </c>
      <c r="Q614" s="19">
        <v>2999.99</v>
      </c>
      <c r="R614" s="16">
        <v>0.1</v>
      </c>
      <c r="S614" s="16">
        <v>5999.8799999999992</v>
      </c>
      <c r="T614" s="5" t="s">
        <v>14</v>
      </c>
      <c r="U614" s="13" t="s">
        <v>303</v>
      </c>
    </row>
    <row r="615" spans="1:21" x14ac:dyDescent="0.35">
      <c r="A615" s="4">
        <v>614</v>
      </c>
      <c r="B615" s="4">
        <v>654</v>
      </c>
      <c r="C615" s="13" t="s">
        <v>1316</v>
      </c>
      <c r="D615" s="13" t="s">
        <v>624</v>
      </c>
      <c r="E615" s="5" t="s">
        <v>3756</v>
      </c>
      <c r="F615" s="5" t="s">
        <v>3757</v>
      </c>
      <c r="G615" s="5" t="s">
        <v>3758</v>
      </c>
      <c r="H615" s="13" t="s">
        <v>2341</v>
      </c>
      <c r="I615" s="13" t="s">
        <v>2305</v>
      </c>
      <c r="J615" s="4">
        <v>92111</v>
      </c>
      <c r="K615" s="4">
        <v>1</v>
      </c>
      <c r="L615" s="4">
        <v>18</v>
      </c>
      <c r="M615" s="4">
        <v>2016</v>
      </c>
      <c r="N615" s="4">
        <v>1</v>
      </c>
      <c r="O615" s="4">
        <v>2</v>
      </c>
      <c r="P615" s="4">
        <v>1</v>
      </c>
      <c r="Q615" s="19">
        <v>449</v>
      </c>
      <c r="R615" s="16">
        <v>0.1</v>
      </c>
      <c r="S615" s="16">
        <v>448.9</v>
      </c>
      <c r="T615" s="5" t="s">
        <v>23</v>
      </c>
      <c r="U615" s="13" t="s">
        <v>301</v>
      </c>
    </row>
    <row r="616" spans="1:21" x14ac:dyDescent="0.35">
      <c r="A616" s="4">
        <v>615</v>
      </c>
      <c r="B616" s="4">
        <v>560</v>
      </c>
      <c r="C616" s="13" t="s">
        <v>1317</v>
      </c>
      <c r="D616" s="13" t="s">
        <v>1218</v>
      </c>
      <c r="E616" s="5" t="s">
        <v>5566</v>
      </c>
      <c r="F616" s="5" t="s">
        <v>3759</v>
      </c>
      <c r="G616" s="5" t="s">
        <v>3760</v>
      </c>
      <c r="H616" s="13" t="s">
        <v>3215</v>
      </c>
      <c r="I616" s="13" t="s">
        <v>2397</v>
      </c>
      <c r="J616" s="4">
        <v>75126</v>
      </c>
      <c r="K616" s="4">
        <v>1</v>
      </c>
      <c r="L616" s="4">
        <v>11</v>
      </c>
      <c r="M616" s="4">
        <v>2016</v>
      </c>
      <c r="N616" s="4">
        <v>3</v>
      </c>
      <c r="O616" s="4">
        <v>9</v>
      </c>
      <c r="P616" s="4">
        <v>1</v>
      </c>
      <c r="Q616" s="19">
        <v>1680.99</v>
      </c>
      <c r="R616" s="16">
        <v>7.0000000000000007E-2</v>
      </c>
      <c r="S616" s="16">
        <v>1680.92</v>
      </c>
      <c r="T616" s="5" t="s">
        <v>16</v>
      </c>
      <c r="U616" s="13" t="s">
        <v>302</v>
      </c>
    </row>
    <row r="617" spans="1:21" x14ac:dyDescent="0.35">
      <c r="A617" s="4">
        <v>616</v>
      </c>
      <c r="B617" s="4">
        <v>1444</v>
      </c>
      <c r="C617" s="13" t="s">
        <v>1128</v>
      </c>
      <c r="D617" s="13" t="s">
        <v>1081</v>
      </c>
      <c r="E617" s="5" t="s">
        <v>5566</v>
      </c>
      <c r="F617" s="5" t="s">
        <v>3761</v>
      </c>
      <c r="G617" s="5" t="s">
        <v>3762</v>
      </c>
      <c r="H617" s="13" t="s">
        <v>3204</v>
      </c>
      <c r="I617" s="13" t="s">
        <v>2309</v>
      </c>
      <c r="J617" s="4">
        <v>14424</v>
      </c>
      <c r="K617" s="4">
        <v>1</v>
      </c>
      <c r="L617" s="4">
        <v>24</v>
      </c>
      <c r="M617" s="4">
        <v>2016</v>
      </c>
      <c r="N617" s="4">
        <v>2</v>
      </c>
      <c r="O617" s="4">
        <v>6</v>
      </c>
      <c r="P617" s="4">
        <v>1</v>
      </c>
      <c r="Q617" s="19">
        <v>549.99</v>
      </c>
      <c r="R617" s="16">
        <v>0.2</v>
      </c>
      <c r="S617" s="16">
        <v>549.79</v>
      </c>
      <c r="T617" s="5" t="s">
        <v>17</v>
      </c>
      <c r="U617" s="13" t="s">
        <v>300</v>
      </c>
    </row>
    <row r="618" spans="1:21" x14ac:dyDescent="0.35">
      <c r="A618" s="4">
        <v>617</v>
      </c>
      <c r="B618" s="4">
        <v>118</v>
      </c>
      <c r="C618" s="13" t="s">
        <v>1048</v>
      </c>
      <c r="D618" s="13" t="s">
        <v>1318</v>
      </c>
      <c r="E618" s="5" t="s">
        <v>5566</v>
      </c>
      <c r="F618" s="5" t="s">
        <v>3763</v>
      </c>
      <c r="G618" s="5" t="s">
        <v>3764</v>
      </c>
      <c r="H618" s="13" t="s">
        <v>2583</v>
      </c>
      <c r="I618" s="13" t="s">
        <v>2309</v>
      </c>
      <c r="J618" s="4">
        <v>14534</v>
      </c>
      <c r="K618" s="4">
        <v>1</v>
      </c>
      <c r="L618" s="4">
        <v>15</v>
      </c>
      <c r="M618" s="4">
        <v>2016</v>
      </c>
      <c r="N618" s="4">
        <v>2</v>
      </c>
      <c r="O618" s="4">
        <v>7</v>
      </c>
      <c r="P618" s="4">
        <v>2</v>
      </c>
      <c r="Q618" s="19">
        <v>529.99</v>
      </c>
      <c r="R618" s="16">
        <v>0.2</v>
      </c>
      <c r="S618" s="16">
        <v>1059.78</v>
      </c>
      <c r="T618" s="5" t="s">
        <v>20</v>
      </c>
      <c r="U618" s="13" t="s">
        <v>301</v>
      </c>
    </row>
    <row r="619" spans="1:21" x14ac:dyDescent="0.35">
      <c r="A619" s="4">
        <v>618</v>
      </c>
      <c r="B619" s="4">
        <v>131</v>
      </c>
      <c r="C619" s="13" t="s">
        <v>1151</v>
      </c>
      <c r="D619" s="13" t="s">
        <v>1319</v>
      </c>
      <c r="E619" s="5" t="s">
        <v>5566</v>
      </c>
      <c r="F619" s="5" t="s">
        <v>3765</v>
      </c>
      <c r="G619" s="5" t="s">
        <v>3766</v>
      </c>
      <c r="H619" s="13" t="s">
        <v>3057</v>
      </c>
      <c r="I619" s="13" t="s">
        <v>2309</v>
      </c>
      <c r="J619" s="4">
        <v>11791</v>
      </c>
      <c r="K619" s="4">
        <v>1</v>
      </c>
      <c r="L619" s="4">
        <v>17</v>
      </c>
      <c r="M619" s="4">
        <v>2016</v>
      </c>
      <c r="N619" s="4">
        <v>2</v>
      </c>
      <c r="O619" s="4">
        <v>6</v>
      </c>
      <c r="P619" s="4">
        <v>2</v>
      </c>
      <c r="Q619" s="19">
        <v>429</v>
      </c>
      <c r="R619" s="16">
        <v>0.1</v>
      </c>
      <c r="S619" s="16">
        <v>857.9</v>
      </c>
      <c r="T619" s="5" t="s">
        <v>22</v>
      </c>
      <c r="U619" s="13" t="s">
        <v>301</v>
      </c>
    </row>
    <row r="620" spans="1:21" x14ac:dyDescent="0.35">
      <c r="A620" s="4">
        <v>619</v>
      </c>
      <c r="B620" s="4">
        <v>454</v>
      </c>
      <c r="C620" s="13" t="s">
        <v>1255</v>
      </c>
      <c r="D620" s="13" t="s">
        <v>1320</v>
      </c>
      <c r="E620" s="5" t="s">
        <v>5566</v>
      </c>
      <c r="F620" s="5" t="s">
        <v>3767</v>
      </c>
      <c r="G620" s="5" t="s">
        <v>3768</v>
      </c>
      <c r="H620" s="13" t="s">
        <v>3013</v>
      </c>
      <c r="I620" s="13" t="s">
        <v>2309</v>
      </c>
      <c r="J620" s="4">
        <v>11706</v>
      </c>
      <c r="K620" s="4">
        <v>1</v>
      </c>
      <c r="L620" s="4">
        <v>25</v>
      </c>
      <c r="M620" s="4">
        <v>2016</v>
      </c>
      <c r="N620" s="4">
        <v>2</v>
      </c>
      <c r="O620" s="4">
        <v>7</v>
      </c>
      <c r="P620" s="4">
        <v>1</v>
      </c>
      <c r="Q620" s="19">
        <v>499.99</v>
      </c>
      <c r="R620" s="16">
        <v>7.0000000000000007E-2</v>
      </c>
      <c r="S620" s="16">
        <v>499.92</v>
      </c>
      <c r="T620" s="5" t="s">
        <v>27</v>
      </c>
      <c r="U620" s="13" t="s">
        <v>300</v>
      </c>
    </row>
    <row r="621" spans="1:21" x14ac:dyDescent="0.35">
      <c r="A621" s="4">
        <v>620</v>
      </c>
      <c r="B621" s="4">
        <v>466</v>
      </c>
      <c r="C621" s="13" t="s">
        <v>1321</v>
      </c>
      <c r="D621" s="13" t="s">
        <v>1322</v>
      </c>
      <c r="E621" s="5" t="s">
        <v>5566</v>
      </c>
      <c r="F621" s="5" t="s">
        <v>3769</v>
      </c>
      <c r="G621" s="5" t="s">
        <v>3770</v>
      </c>
      <c r="H621" s="13" t="s">
        <v>2797</v>
      </c>
      <c r="I621" s="13" t="s">
        <v>2309</v>
      </c>
      <c r="J621" s="4">
        <v>11787</v>
      </c>
      <c r="K621" s="4">
        <v>1</v>
      </c>
      <c r="L621" s="4">
        <v>5</v>
      </c>
      <c r="M621" s="4">
        <v>2016</v>
      </c>
      <c r="N621" s="4">
        <v>2</v>
      </c>
      <c r="O621" s="4">
        <v>6</v>
      </c>
      <c r="P621" s="4">
        <v>2</v>
      </c>
      <c r="Q621" s="19">
        <v>1320.99</v>
      </c>
      <c r="R621" s="16">
        <v>0.2</v>
      </c>
      <c r="S621" s="16">
        <v>2641.78</v>
      </c>
      <c r="T621" s="5" t="s">
        <v>10</v>
      </c>
      <c r="U621" s="13" t="s">
        <v>304</v>
      </c>
    </row>
    <row r="622" spans="1:21" x14ac:dyDescent="0.35">
      <c r="A622" s="4">
        <v>621</v>
      </c>
      <c r="B622" s="4">
        <v>1157</v>
      </c>
      <c r="C622" s="13" t="s">
        <v>1323</v>
      </c>
      <c r="D622" s="13" t="s">
        <v>1161</v>
      </c>
      <c r="E622" s="5" t="s">
        <v>3771</v>
      </c>
      <c r="F622" s="5" t="s">
        <v>3772</v>
      </c>
      <c r="G622" s="5" t="s">
        <v>3773</v>
      </c>
      <c r="H622" s="13" t="s">
        <v>2406</v>
      </c>
      <c r="I622" s="13" t="s">
        <v>2309</v>
      </c>
      <c r="J622" s="4">
        <v>14215</v>
      </c>
      <c r="K622" s="4">
        <v>1</v>
      </c>
      <c r="L622" s="4">
        <v>17</v>
      </c>
      <c r="M622" s="4">
        <v>2016</v>
      </c>
      <c r="N622" s="4">
        <v>2</v>
      </c>
      <c r="O622" s="4">
        <v>6</v>
      </c>
      <c r="P622" s="4">
        <v>2</v>
      </c>
      <c r="Q622" s="19">
        <v>429</v>
      </c>
      <c r="R622" s="16">
        <v>7.0000000000000007E-2</v>
      </c>
      <c r="S622" s="16">
        <v>857.93</v>
      </c>
      <c r="T622" s="5" t="s">
        <v>22</v>
      </c>
      <c r="U622" s="13" t="s">
        <v>301</v>
      </c>
    </row>
    <row r="623" spans="1:21" x14ac:dyDescent="0.35">
      <c r="A623" s="4">
        <v>622</v>
      </c>
      <c r="B623" s="4">
        <v>1398</v>
      </c>
      <c r="C623" s="13" t="s">
        <v>1324</v>
      </c>
      <c r="D623" s="13" t="s">
        <v>1325</v>
      </c>
      <c r="E623" s="5" t="s">
        <v>5566</v>
      </c>
      <c r="F623" s="5" t="s">
        <v>3774</v>
      </c>
      <c r="G623" s="5" t="s">
        <v>3775</v>
      </c>
      <c r="H623" s="13" t="s">
        <v>2436</v>
      </c>
      <c r="I623" s="13" t="s">
        <v>2309</v>
      </c>
      <c r="J623" s="4">
        <v>12533</v>
      </c>
      <c r="K623" s="4">
        <v>1</v>
      </c>
      <c r="L623" s="4">
        <v>9</v>
      </c>
      <c r="M623" s="4">
        <v>2016</v>
      </c>
      <c r="N623" s="4">
        <v>2</v>
      </c>
      <c r="O623" s="4">
        <v>7</v>
      </c>
      <c r="P623" s="4">
        <v>2</v>
      </c>
      <c r="Q623" s="19">
        <v>2999.99</v>
      </c>
      <c r="R623" s="16">
        <v>7.0000000000000007E-2</v>
      </c>
      <c r="S623" s="16">
        <v>5999.91</v>
      </c>
      <c r="T623" s="5" t="s">
        <v>14</v>
      </c>
      <c r="U623" s="13" t="s">
        <v>303</v>
      </c>
    </row>
    <row r="624" spans="1:21" x14ac:dyDescent="0.35">
      <c r="A624" s="4">
        <v>623</v>
      </c>
      <c r="B624" s="4">
        <v>678</v>
      </c>
      <c r="C624" s="13" t="s">
        <v>1326</v>
      </c>
      <c r="D624" s="13" t="s">
        <v>896</v>
      </c>
      <c r="E624" s="5" t="s">
        <v>5566</v>
      </c>
      <c r="F624" s="5" t="s">
        <v>3776</v>
      </c>
      <c r="G624" s="5" t="s">
        <v>3777</v>
      </c>
      <c r="H624" s="13" t="s">
        <v>3018</v>
      </c>
      <c r="I624" s="13" t="s">
        <v>2309</v>
      </c>
      <c r="J624" s="4">
        <v>11357</v>
      </c>
      <c r="K624" s="4">
        <v>1</v>
      </c>
      <c r="L624" s="4">
        <v>8</v>
      </c>
      <c r="M624" s="4">
        <v>2016</v>
      </c>
      <c r="N624" s="4">
        <v>2</v>
      </c>
      <c r="O624" s="4">
        <v>6</v>
      </c>
      <c r="P624" s="4">
        <v>1</v>
      </c>
      <c r="Q624" s="19">
        <v>1799.99</v>
      </c>
      <c r="R624" s="16">
        <v>7.0000000000000007E-2</v>
      </c>
      <c r="S624" s="16">
        <v>1799.92</v>
      </c>
      <c r="T624" s="5" t="s">
        <v>13</v>
      </c>
      <c r="U624" s="13" t="s">
        <v>304</v>
      </c>
    </row>
    <row r="625" spans="1:21" x14ac:dyDescent="0.35">
      <c r="A625" s="4">
        <v>624</v>
      </c>
      <c r="B625" s="4">
        <v>814</v>
      </c>
      <c r="C625" s="13" t="s">
        <v>1327</v>
      </c>
      <c r="D625" s="13" t="s">
        <v>1328</v>
      </c>
      <c r="E625" s="5" t="s">
        <v>5566</v>
      </c>
      <c r="F625" s="5" t="s">
        <v>3778</v>
      </c>
      <c r="G625" s="5" t="s">
        <v>3779</v>
      </c>
      <c r="H625" s="13" t="s">
        <v>2577</v>
      </c>
      <c r="I625" s="13" t="s">
        <v>2309</v>
      </c>
      <c r="J625" s="4">
        <v>11757</v>
      </c>
      <c r="K625" s="4">
        <v>1</v>
      </c>
      <c r="L625" s="4">
        <v>21</v>
      </c>
      <c r="M625" s="4">
        <v>2016</v>
      </c>
      <c r="N625" s="4">
        <v>2</v>
      </c>
      <c r="O625" s="4">
        <v>6</v>
      </c>
      <c r="P625" s="4">
        <v>2</v>
      </c>
      <c r="Q625" s="19">
        <v>269.99</v>
      </c>
      <c r="R625" s="16">
        <v>0.05</v>
      </c>
      <c r="S625" s="16">
        <v>539.93000000000006</v>
      </c>
      <c r="T625" s="5" t="s">
        <v>18</v>
      </c>
      <c r="U625" s="13" t="s">
        <v>299</v>
      </c>
    </row>
    <row r="626" spans="1:21" x14ac:dyDescent="0.35">
      <c r="A626" s="4">
        <v>625</v>
      </c>
      <c r="B626" s="4">
        <v>1163</v>
      </c>
      <c r="C626" s="13" t="s">
        <v>1329</v>
      </c>
      <c r="D626" s="13" t="s">
        <v>523</v>
      </c>
      <c r="E626" s="5" t="s">
        <v>5566</v>
      </c>
      <c r="F626" s="5" t="s">
        <v>3780</v>
      </c>
      <c r="G626" s="5" t="s">
        <v>3781</v>
      </c>
      <c r="H626" s="13" t="s">
        <v>2570</v>
      </c>
      <c r="I626" s="13" t="s">
        <v>2305</v>
      </c>
      <c r="J626" s="4">
        <v>90260</v>
      </c>
      <c r="K626" s="4">
        <v>1</v>
      </c>
      <c r="L626" s="4">
        <v>17</v>
      </c>
      <c r="M626" s="4">
        <v>2016</v>
      </c>
      <c r="N626" s="4">
        <v>1</v>
      </c>
      <c r="O626" s="4">
        <v>2</v>
      </c>
      <c r="P626" s="4">
        <v>1</v>
      </c>
      <c r="Q626" s="19">
        <v>429</v>
      </c>
      <c r="R626" s="16">
        <v>7.0000000000000007E-2</v>
      </c>
      <c r="S626" s="16">
        <v>428.93</v>
      </c>
      <c r="T626" s="5" t="s">
        <v>22</v>
      </c>
      <c r="U626" s="13" t="s">
        <v>301</v>
      </c>
    </row>
    <row r="627" spans="1:21" x14ac:dyDescent="0.35">
      <c r="A627" s="4">
        <v>626</v>
      </c>
      <c r="B627" s="4">
        <v>130</v>
      </c>
      <c r="C627" s="13" t="s">
        <v>1330</v>
      </c>
      <c r="D627" s="13" t="s">
        <v>495</v>
      </c>
      <c r="E627" s="5" t="s">
        <v>3782</v>
      </c>
      <c r="F627" s="5" t="s">
        <v>3783</v>
      </c>
      <c r="G627" s="5" t="s">
        <v>3784</v>
      </c>
      <c r="H627" s="13" t="s">
        <v>3027</v>
      </c>
      <c r="I627" s="13" t="s">
        <v>2309</v>
      </c>
      <c r="J627" s="4">
        <v>12180</v>
      </c>
      <c r="K627" s="4">
        <v>1</v>
      </c>
      <c r="L627" s="4">
        <v>15</v>
      </c>
      <c r="M627" s="4">
        <v>2016</v>
      </c>
      <c r="N627" s="4">
        <v>2</v>
      </c>
      <c r="O627" s="4">
        <v>7</v>
      </c>
      <c r="P627" s="4">
        <v>1</v>
      </c>
      <c r="Q627" s="19">
        <v>529.99</v>
      </c>
      <c r="R627" s="16">
        <v>0.2</v>
      </c>
      <c r="S627" s="16">
        <v>529.79</v>
      </c>
      <c r="T627" s="5" t="s">
        <v>20</v>
      </c>
      <c r="U627" s="13" t="s">
        <v>301</v>
      </c>
    </row>
    <row r="628" spans="1:21" x14ac:dyDescent="0.35">
      <c r="A628" s="4">
        <v>627</v>
      </c>
      <c r="B628" s="4">
        <v>1119</v>
      </c>
      <c r="C628" s="13" t="s">
        <v>1331</v>
      </c>
      <c r="D628" s="13" t="s">
        <v>1332</v>
      </c>
      <c r="E628" s="5" t="s">
        <v>5566</v>
      </c>
      <c r="F628" s="5" t="s">
        <v>3785</v>
      </c>
      <c r="G628" s="5" t="s">
        <v>3786</v>
      </c>
      <c r="H628" s="13" t="s">
        <v>3182</v>
      </c>
      <c r="I628" s="13" t="s">
        <v>2309</v>
      </c>
      <c r="J628" s="4">
        <v>10952</v>
      </c>
      <c r="K628" s="4">
        <v>1</v>
      </c>
      <c r="L628" s="4">
        <v>19</v>
      </c>
      <c r="M628" s="4">
        <v>2016</v>
      </c>
      <c r="N628" s="4">
        <v>2</v>
      </c>
      <c r="O628" s="4">
        <v>6</v>
      </c>
      <c r="P628" s="4">
        <v>1</v>
      </c>
      <c r="Q628" s="19">
        <v>449</v>
      </c>
      <c r="R628" s="16">
        <v>7.0000000000000007E-2</v>
      </c>
      <c r="S628" s="16">
        <v>448.93</v>
      </c>
      <c r="T628" s="5" t="s">
        <v>24</v>
      </c>
      <c r="U628" s="13" t="s">
        <v>301</v>
      </c>
    </row>
    <row r="629" spans="1:21" x14ac:dyDescent="0.35">
      <c r="A629" s="4">
        <v>628</v>
      </c>
      <c r="B629" s="4">
        <v>561</v>
      </c>
      <c r="C629" s="13" t="s">
        <v>640</v>
      </c>
      <c r="D629" s="13" t="s">
        <v>1333</v>
      </c>
      <c r="E629" s="5" t="s">
        <v>5566</v>
      </c>
      <c r="F629" s="5" t="s">
        <v>3787</v>
      </c>
      <c r="G629" s="5" t="s">
        <v>3788</v>
      </c>
      <c r="H629" s="13" t="s">
        <v>3004</v>
      </c>
      <c r="I629" s="13" t="s">
        <v>2305</v>
      </c>
      <c r="J629" s="4">
        <v>94580</v>
      </c>
      <c r="K629" s="4">
        <v>1</v>
      </c>
      <c r="L629" s="4">
        <v>15</v>
      </c>
      <c r="M629" s="4">
        <v>2016</v>
      </c>
      <c r="N629" s="4">
        <v>1</v>
      </c>
      <c r="O629" s="4">
        <v>3</v>
      </c>
      <c r="P629" s="4">
        <v>2</v>
      </c>
      <c r="Q629" s="19">
        <v>529.99</v>
      </c>
      <c r="R629" s="16">
        <v>0.1</v>
      </c>
      <c r="S629" s="16">
        <v>1059.8800000000001</v>
      </c>
      <c r="T629" s="5" t="s">
        <v>20</v>
      </c>
      <c r="U629" s="13" t="s">
        <v>301</v>
      </c>
    </row>
    <row r="630" spans="1:21" x14ac:dyDescent="0.35">
      <c r="A630" s="4">
        <v>629</v>
      </c>
      <c r="B630" s="4">
        <v>973</v>
      </c>
      <c r="C630" s="13" t="s">
        <v>1334</v>
      </c>
      <c r="D630" s="13" t="s">
        <v>349</v>
      </c>
      <c r="E630" s="5" t="s">
        <v>5566</v>
      </c>
      <c r="F630" s="5" t="s">
        <v>3789</v>
      </c>
      <c r="G630" s="5" t="s">
        <v>3790</v>
      </c>
      <c r="H630" s="13" t="s">
        <v>2489</v>
      </c>
      <c r="I630" s="13" t="s">
        <v>2305</v>
      </c>
      <c r="J630" s="4">
        <v>93555</v>
      </c>
      <c r="K630" s="4">
        <v>1</v>
      </c>
      <c r="L630" s="4">
        <v>19</v>
      </c>
      <c r="M630" s="4">
        <v>2016</v>
      </c>
      <c r="N630" s="4">
        <v>1</v>
      </c>
      <c r="O630" s="4">
        <v>2</v>
      </c>
      <c r="P630" s="4">
        <v>1</v>
      </c>
      <c r="Q630" s="19">
        <v>449</v>
      </c>
      <c r="R630" s="16">
        <v>0.05</v>
      </c>
      <c r="S630" s="16">
        <v>448.95</v>
      </c>
      <c r="T630" s="5" t="s">
        <v>24</v>
      </c>
      <c r="U630" s="13" t="s">
        <v>301</v>
      </c>
    </row>
    <row r="631" spans="1:21" x14ac:dyDescent="0.35">
      <c r="A631" s="4">
        <v>630</v>
      </c>
      <c r="B631" s="4">
        <v>1404</v>
      </c>
      <c r="C631" s="13" t="s">
        <v>1335</v>
      </c>
      <c r="D631" s="13" t="s">
        <v>1336</v>
      </c>
      <c r="E631" s="5" t="s">
        <v>5566</v>
      </c>
      <c r="F631" s="5" t="s">
        <v>3791</v>
      </c>
      <c r="G631" s="5" t="s">
        <v>3792</v>
      </c>
      <c r="H631" s="13" t="s">
        <v>2441</v>
      </c>
      <c r="I631" s="13" t="s">
        <v>2309</v>
      </c>
      <c r="J631" s="4">
        <v>11722</v>
      </c>
      <c r="K631" s="4">
        <v>1</v>
      </c>
      <c r="L631" s="4">
        <v>5</v>
      </c>
      <c r="M631" s="4">
        <v>2016</v>
      </c>
      <c r="N631" s="4">
        <v>2</v>
      </c>
      <c r="O631" s="4">
        <v>6</v>
      </c>
      <c r="P631" s="4">
        <v>1</v>
      </c>
      <c r="Q631" s="19">
        <v>1320.99</v>
      </c>
      <c r="R631" s="16">
        <v>0.05</v>
      </c>
      <c r="S631" s="16">
        <v>1320.94</v>
      </c>
      <c r="T631" s="5" t="s">
        <v>10</v>
      </c>
      <c r="U631" s="13" t="s">
        <v>304</v>
      </c>
    </row>
    <row r="632" spans="1:21" x14ac:dyDescent="0.35">
      <c r="A632" s="4">
        <v>631</v>
      </c>
      <c r="B632" s="4">
        <v>855</v>
      </c>
      <c r="C632" s="13" t="s">
        <v>1337</v>
      </c>
      <c r="D632" s="13" t="s">
        <v>1338</v>
      </c>
      <c r="E632" s="5" t="s">
        <v>5566</v>
      </c>
      <c r="F632" s="5" t="s">
        <v>3793</v>
      </c>
      <c r="G632" s="5" t="s">
        <v>3794</v>
      </c>
      <c r="H632" s="13" t="s">
        <v>2544</v>
      </c>
      <c r="I632" s="13" t="s">
        <v>2305</v>
      </c>
      <c r="J632" s="4">
        <v>91784</v>
      </c>
      <c r="K632" s="4">
        <v>1</v>
      </c>
      <c r="L632" s="4">
        <v>24</v>
      </c>
      <c r="M632" s="4">
        <v>2016</v>
      </c>
      <c r="N632" s="4">
        <v>1</v>
      </c>
      <c r="O632" s="4">
        <v>3</v>
      </c>
      <c r="P632" s="4">
        <v>2</v>
      </c>
      <c r="Q632" s="19">
        <v>549.99</v>
      </c>
      <c r="R632" s="16">
        <v>7.0000000000000007E-2</v>
      </c>
      <c r="S632" s="16">
        <v>1099.9100000000001</v>
      </c>
      <c r="T632" s="5" t="s">
        <v>17</v>
      </c>
      <c r="U632" s="13" t="s">
        <v>300</v>
      </c>
    </row>
    <row r="633" spans="1:21" x14ac:dyDescent="0.35">
      <c r="A633" s="4">
        <v>632</v>
      </c>
      <c r="B633" s="4">
        <v>163</v>
      </c>
      <c r="C633" s="13" t="s">
        <v>1339</v>
      </c>
      <c r="D633" s="13" t="s">
        <v>1340</v>
      </c>
      <c r="E633" s="5" t="s">
        <v>5566</v>
      </c>
      <c r="F633" s="5" t="s">
        <v>3795</v>
      </c>
      <c r="G633" s="5" t="s">
        <v>3796</v>
      </c>
      <c r="H633" s="13" t="s">
        <v>2472</v>
      </c>
      <c r="I633" s="13" t="s">
        <v>2309</v>
      </c>
      <c r="J633" s="4">
        <v>13440</v>
      </c>
      <c r="K633" s="4">
        <v>1</v>
      </c>
      <c r="L633" s="4">
        <v>25</v>
      </c>
      <c r="M633" s="4">
        <v>2016</v>
      </c>
      <c r="N633" s="4">
        <v>2</v>
      </c>
      <c r="O633" s="4">
        <v>7</v>
      </c>
      <c r="P633" s="4">
        <v>1</v>
      </c>
      <c r="Q633" s="19">
        <v>499.99</v>
      </c>
      <c r="R633" s="16">
        <v>0.2</v>
      </c>
      <c r="S633" s="16">
        <v>499.79</v>
      </c>
      <c r="T633" s="5" t="s">
        <v>27</v>
      </c>
      <c r="U633" s="13" t="s">
        <v>300</v>
      </c>
    </row>
    <row r="634" spans="1:21" x14ac:dyDescent="0.35">
      <c r="A634" s="4">
        <v>633</v>
      </c>
      <c r="B634" s="4">
        <v>1040</v>
      </c>
      <c r="C634" s="13" t="s">
        <v>1341</v>
      </c>
      <c r="D634" s="13" t="s">
        <v>1342</v>
      </c>
      <c r="E634" s="5" t="s">
        <v>5566</v>
      </c>
      <c r="F634" s="5" t="s">
        <v>3797</v>
      </c>
      <c r="G634" s="5" t="s">
        <v>3798</v>
      </c>
      <c r="H634" s="13" t="s">
        <v>2608</v>
      </c>
      <c r="I634" s="13" t="s">
        <v>2397</v>
      </c>
      <c r="J634" s="4">
        <v>77904</v>
      </c>
      <c r="K634" s="4">
        <v>1</v>
      </c>
      <c r="L634" s="4">
        <v>12</v>
      </c>
      <c r="M634" s="4">
        <v>2016</v>
      </c>
      <c r="N634" s="4">
        <v>3</v>
      </c>
      <c r="O634" s="4">
        <v>8</v>
      </c>
      <c r="P634" s="4">
        <v>2</v>
      </c>
      <c r="Q634" s="19">
        <v>549.99</v>
      </c>
      <c r="R634" s="16">
        <v>0.05</v>
      </c>
      <c r="S634" s="16">
        <v>1099.93</v>
      </c>
      <c r="T634" s="5" t="s">
        <v>17</v>
      </c>
      <c r="U634" s="13" t="s">
        <v>301</v>
      </c>
    </row>
    <row r="635" spans="1:21" x14ac:dyDescent="0.35">
      <c r="A635" s="4">
        <v>634</v>
      </c>
      <c r="B635" s="4">
        <v>27</v>
      </c>
      <c r="C635" s="13" t="s">
        <v>1343</v>
      </c>
      <c r="D635" s="13" t="s">
        <v>1344</v>
      </c>
      <c r="E635" s="5" t="s">
        <v>5566</v>
      </c>
      <c r="F635" s="5" t="s">
        <v>3799</v>
      </c>
      <c r="G635" s="5" t="s">
        <v>3800</v>
      </c>
      <c r="H635" s="13" t="s">
        <v>2945</v>
      </c>
      <c r="I635" s="13" t="s">
        <v>2309</v>
      </c>
      <c r="J635" s="4">
        <v>11104</v>
      </c>
      <c r="K635" s="4">
        <v>1</v>
      </c>
      <c r="L635" s="4">
        <v>4</v>
      </c>
      <c r="M635" s="4">
        <v>2016</v>
      </c>
      <c r="N635" s="4">
        <v>2</v>
      </c>
      <c r="O635" s="4">
        <v>6</v>
      </c>
      <c r="P635" s="4">
        <v>2</v>
      </c>
      <c r="Q635" s="19">
        <v>2899.99</v>
      </c>
      <c r="R635" s="16">
        <v>0.05</v>
      </c>
      <c r="S635" s="16">
        <v>5799.9299999999994</v>
      </c>
      <c r="T635" s="5" t="s">
        <v>9</v>
      </c>
      <c r="U635" s="13" t="s">
        <v>304</v>
      </c>
    </row>
    <row r="636" spans="1:21" x14ac:dyDescent="0.35">
      <c r="A636" s="4">
        <v>635</v>
      </c>
      <c r="B636" s="4">
        <v>520</v>
      </c>
      <c r="C636" s="13" t="s">
        <v>1345</v>
      </c>
      <c r="D636" s="13" t="s">
        <v>1120</v>
      </c>
      <c r="E636" s="5" t="s">
        <v>5566</v>
      </c>
      <c r="F636" s="5" t="s">
        <v>3801</v>
      </c>
      <c r="G636" s="5" t="s">
        <v>3802</v>
      </c>
      <c r="H636" s="13" t="s">
        <v>2368</v>
      </c>
      <c r="I636" s="13" t="s">
        <v>2309</v>
      </c>
      <c r="J636" s="4">
        <v>10550</v>
      </c>
      <c r="K636" s="4">
        <v>1</v>
      </c>
      <c r="L636" s="4">
        <v>4</v>
      </c>
      <c r="M636" s="4">
        <v>2016</v>
      </c>
      <c r="N636" s="4">
        <v>2</v>
      </c>
      <c r="O636" s="4">
        <v>6</v>
      </c>
      <c r="P636" s="4">
        <v>1</v>
      </c>
      <c r="Q636" s="19">
        <v>2899.99</v>
      </c>
      <c r="R636" s="16">
        <v>0.05</v>
      </c>
      <c r="S636" s="16">
        <v>2899.9399999999996</v>
      </c>
      <c r="T636" s="5" t="s">
        <v>9</v>
      </c>
      <c r="U636" s="13" t="s">
        <v>304</v>
      </c>
    </row>
    <row r="637" spans="1:21" x14ac:dyDescent="0.35">
      <c r="A637" s="4">
        <v>636</v>
      </c>
      <c r="B637" s="4">
        <v>532</v>
      </c>
      <c r="C637" s="13" t="s">
        <v>1346</v>
      </c>
      <c r="D637" s="13" t="s">
        <v>1347</v>
      </c>
      <c r="E637" s="5" t="s">
        <v>5566</v>
      </c>
      <c r="F637" s="5" t="s">
        <v>3803</v>
      </c>
      <c r="G637" s="5" t="s">
        <v>3804</v>
      </c>
      <c r="H637" s="13" t="s">
        <v>2359</v>
      </c>
      <c r="I637" s="13" t="s">
        <v>2305</v>
      </c>
      <c r="J637" s="4">
        <v>92236</v>
      </c>
      <c r="K637" s="4">
        <v>1</v>
      </c>
      <c r="L637" s="4">
        <v>85</v>
      </c>
      <c r="M637" s="4">
        <v>2017</v>
      </c>
      <c r="N637" s="4">
        <v>1</v>
      </c>
      <c r="O637" s="4">
        <v>2</v>
      </c>
      <c r="P637" s="4">
        <v>2</v>
      </c>
      <c r="Q637" s="19">
        <v>329.99</v>
      </c>
      <c r="R637" s="16">
        <v>0.2</v>
      </c>
      <c r="S637" s="16">
        <v>659.78</v>
      </c>
      <c r="T637" s="5" t="s">
        <v>86</v>
      </c>
      <c r="U637" s="13" t="s">
        <v>299</v>
      </c>
    </row>
    <row r="638" spans="1:21" x14ac:dyDescent="0.35">
      <c r="A638" s="4">
        <v>637</v>
      </c>
      <c r="B638" s="4">
        <v>512</v>
      </c>
      <c r="C638" s="13" t="s">
        <v>1348</v>
      </c>
      <c r="D638" s="13" t="s">
        <v>412</v>
      </c>
      <c r="E638" s="5" t="s">
        <v>5566</v>
      </c>
      <c r="F638" s="5" t="s">
        <v>3805</v>
      </c>
      <c r="G638" s="5" t="s">
        <v>3806</v>
      </c>
      <c r="H638" s="13" t="s">
        <v>2402</v>
      </c>
      <c r="I638" s="13" t="s">
        <v>2309</v>
      </c>
      <c r="J638" s="4">
        <v>11784</v>
      </c>
      <c r="K638" s="4">
        <v>1</v>
      </c>
      <c r="L638" s="4">
        <v>9</v>
      </c>
      <c r="M638" s="4">
        <v>2016</v>
      </c>
      <c r="N638" s="4">
        <v>2</v>
      </c>
      <c r="O638" s="4">
        <v>6</v>
      </c>
      <c r="P638" s="4">
        <v>1</v>
      </c>
      <c r="Q638" s="19">
        <v>2999.99</v>
      </c>
      <c r="R638" s="16">
        <v>0.1</v>
      </c>
      <c r="S638" s="16">
        <v>2999.89</v>
      </c>
      <c r="T638" s="5" t="s">
        <v>14</v>
      </c>
      <c r="U638" s="13" t="s">
        <v>303</v>
      </c>
    </row>
    <row r="639" spans="1:21" x14ac:dyDescent="0.35">
      <c r="A639" s="4">
        <v>638</v>
      </c>
      <c r="B639" s="4">
        <v>1302</v>
      </c>
      <c r="C639" s="13" t="s">
        <v>1349</v>
      </c>
      <c r="D639" s="13" t="s">
        <v>1350</v>
      </c>
      <c r="E639" s="5" t="s">
        <v>5566</v>
      </c>
      <c r="F639" s="5" t="s">
        <v>3807</v>
      </c>
      <c r="G639" s="5" t="s">
        <v>3808</v>
      </c>
      <c r="H639" s="13" t="s">
        <v>2806</v>
      </c>
      <c r="I639" s="13" t="s">
        <v>2309</v>
      </c>
      <c r="J639" s="4">
        <v>11731</v>
      </c>
      <c r="K639" s="4">
        <v>1</v>
      </c>
      <c r="L639" s="4">
        <v>103</v>
      </c>
      <c r="M639" s="4">
        <v>2017</v>
      </c>
      <c r="N639" s="4">
        <v>2</v>
      </c>
      <c r="O639" s="4">
        <v>7</v>
      </c>
      <c r="P639" s="4">
        <v>1</v>
      </c>
      <c r="Q639" s="19">
        <v>551.99</v>
      </c>
      <c r="R639" s="16">
        <v>0.05</v>
      </c>
      <c r="S639" s="16">
        <v>551.94000000000005</v>
      </c>
      <c r="T639" s="5" t="s">
        <v>102</v>
      </c>
      <c r="U639" s="13" t="s">
        <v>300</v>
      </c>
    </row>
    <row r="640" spans="1:21" x14ac:dyDescent="0.35">
      <c r="A640" s="4">
        <v>639</v>
      </c>
      <c r="B640" s="4">
        <v>550</v>
      </c>
      <c r="C640" s="13" t="s">
        <v>1351</v>
      </c>
      <c r="D640" s="13" t="s">
        <v>623</v>
      </c>
      <c r="E640" s="5" t="s">
        <v>5566</v>
      </c>
      <c r="F640" s="5" t="s">
        <v>3809</v>
      </c>
      <c r="G640" s="5" t="s">
        <v>3810</v>
      </c>
      <c r="H640" s="13" t="s">
        <v>3811</v>
      </c>
      <c r="I640" s="13" t="s">
        <v>2309</v>
      </c>
      <c r="J640" s="4">
        <v>14094</v>
      </c>
      <c r="K640" s="4">
        <v>1</v>
      </c>
      <c r="L640" s="4">
        <v>15</v>
      </c>
      <c r="M640" s="4">
        <v>2016</v>
      </c>
      <c r="N640" s="4">
        <v>2</v>
      </c>
      <c r="O640" s="4">
        <v>6</v>
      </c>
      <c r="P640" s="4">
        <v>1</v>
      </c>
      <c r="Q640" s="19">
        <v>529.99</v>
      </c>
      <c r="R640" s="16">
        <v>7.0000000000000007E-2</v>
      </c>
      <c r="S640" s="16">
        <v>529.91999999999996</v>
      </c>
      <c r="T640" s="5" t="s">
        <v>20</v>
      </c>
      <c r="U640" s="13" t="s">
        <v>301</v>
      </c>
    </row>
    <row r="641" spans="1:21" x14ac:dyDescent="0.35">
      <c r="A641" s="4">
        <v>640</v>
      </c>
      <c r="B641" s="4">
        <v>1093</v>
      </c>
      <c r="C641" s="13" t="s">
        <v>1352</v>
      </c>
      <c r="D641" s="13" t="s">
        <v>1353</v>
      </c>
      <c r="E641" s="5" t="s">
        <v>5566</v>
      </c>
      <c r="F641" s="5" t="s">
        <v>3812</v>
      </c>
      <c r="G641" s="5" t="s">
        <v>3813</v>
      </c>
      <c r="H641" s="13" t="s">
        <v>3093</v>
      </c>
      <c r="I641" s="13" t="s">
        <v>2309</v>
      </c>
      <c r="J641" s="4">
        <v>11729</v>
      </c>
      <c r="K641" s="4">
        <v>1</v>
      </c>
      <c r="L641" s="4">
        <v>106</v>
      </c>
      <c r="M641" s="4">
        <v>2017</v>
      </c>
      <c r="N641" s="4">
        <v>2</v>
      </c>
      <c r="O641" s="4">
        <v>6</v>
      </c>
      <c r="P641" s="4">
        <v>2</v>
      </c>
      <c r="Q641" s="19">
        <v>449.99</v>
      </c>
      <c r="R641" s="16">
        <v>0.05</v>
      </c>
      <c r="S641" s="16">
        <v>899.93000000000006</v>
      </c>
      <c r="T641" s="5" t="s">
        <v>69</v>
      </c>
      <c r="U641" s="13" t="s">
        <v>300</v>
      </c>
    </row>
    <row r="642" spans="1:21" x14ac:dyDescent="0.35">
      <c r="A642" s="4">
        <v>641</v>
      </c>
      <c r="B642" s="4">
        <v>673</v>
      </c>
      <c r="C642" s="13" t="s">
        <v>1071</v>
      </c>
      <c r="D642" s="13" t="s">
        <v>435</v>
      </c>
      <c r="E642" s="5" t="s">
        <v>5566</v>
      </c>
      <c r="F642" s="5" t="s">
        <v>3814</v>
      </c>
      <c r="G642" s="5" t="s">
        <v>3815</v>
      </c>
      <c r="H642" s="13" t="s">
        <v>3198</v>
      </c>
      <c r="I642" s="13" t="s">
        <v>2305</v>
      </c>
      <c r="J642" s="4">
        <v>93635</v>
      </c>
      <c r="K642" s="4">
        <v>1</v>
      </c>
      <c r="L642" s="4">
        <v>15</v>
      </c>
      <c r="M642" s="4">
        <v>2016</v>
      </c>
      <c r="N642" s="4">
        <v>1</v>
      </c>
      <c r="O642" s="4">
        <v>3</v>
      </c>
      <c r="P642" s="4">
        <v>1</v>
      </c>
      <c r="Q642" s="19">
        <v>529.99</v>
      </c>
      <c r="R642" s="16">
        <v>0.05</v>
      </c>
      <c r="S642" s="16">
        <v>529.94000000000005</v>
      </c>
      <c r="T642" s="5" t="s">
        <v>20</v>
      </c>
      <c r="U642" s="13" t="s">
        <v>301</v>
      </c>
    </row>
    <row r="643" spans="1:21" x14ac:dyDescent="0.35">
      <c r="A643" s="4">
        <v>642</v>
      </c>
      <c r="B643" s="4">
        <v>847</v>
      </c>
      <c r="C643" s="13" t="s">
        <v>1354</v>
      </c>
      <c r="D643" s="13" t="s">
        <v>402</v>
      </c>
      <c r="E643" s="5" t="s">
        <v>5566</v>
      </c>
      <c r="F643" s="5" t="s">
        <v>3816</v>
      </c>
      <c r="G643" s="5" t="s">
        <v>3817</v>
      </c>
      <c r="H643" s="13" t="s">
        <v>2525</v>
      </c>
      <c r="I643" s="13" t="s">
        <v>2309</v>
      </c>
      <c r="J643" s="4">
        <v>11050</v>
      </c>
      <c r="K643" s="4">
        <v>1</v>
      </c>
      <c r="L643" s="4">
        <v>68</v>
      </c>
      <c r="M643" s="4">
        <v>2017</v>
      </c>
      <c r="N643" s="4">
        <v>2</v>
      </c>
      <c r="O643" s="4">
        <v>7</v>
      </c>
      <c r="P643" s="4">
        <v>2</v>
      </c>
      <c r="Q643" s="19">
        <v>449.99</v>
      </c>
      <c r="R643" s="16">
        <v>7.0000000000000007E-2</v>
      </c>
      <c r="S643" s="16">
        <v>899.91</v>
      </c>
      <c r="T643" s="5" t="s">
        <v>69</v>
      </c>
      <c r="U643" s="13" t="s">
        <v>301</v>
      </c>
    </row>
    <row r="644" spans="1:21" x14ac:dyDescent="0.35">
      <c r="A644" s="4">
        <v>643</v>
      </c>
      <c r="B644" s="4">
        <v>901</v>
      </c>
      <c r="C644" s="13" t="s">
        <v>1355</v>
      </c>
      <c r="D644" s="13" t="s">
        <v>1356</v>
      </c>
      <c r="E644" s="5" t="s">
        <v>5566</v>
      </c>
      <c r="F644" s="5" t="s">
        <v>3818</v>
      </c>
      <c r="G644" s="5" t="s">
        <v>3819</v>
      </c>
      <c r="H644" s="13" t="s">
        <v>2980</v>
      </c>
      <c r="I644" s="13" t="s">
        <v>2305</v>
      </c>
      <c r="J644" s="4">
        <v>91762</v>
      </c>
      <c r="K644" s="4">
        <v>1</v>
      </c>
      <c r="L644" s="4">
        <v>53</v>
      </c>
      <c r="M644" s="4">
        <v>2017</v>
      </c>
      <c r="N644" s="4">
        <v>1</v>
      </c>
      <c r="O644" s="4">
        <v>3</v>
      </c>
      <c r="P644" s="4">
        <v>1</v>
      </c>
      <c r="Q644" s="19">
        <v>749.99</v>
      </c>
      <c r="R644" s="16">
        <v>0.05</v>
      </c>
      <c r="S644" s="16">
        <v>749.94</v>
      </c>
      <c r="T644" s="5" t="s">
        <v>54</v>
      </c>
      <c r="U644" s="13" t="s">
        <v>305</v>
      </c>
    </row>
    <row r="645" spans="1:21" x14ac:dyDescent="0.35">
      <c r="A645" s="4">
        <v>644</v>
      </c>
      <c r="B645" s="4">
        <v>439</v>
      </c>
      <c r="C645" s="13" t="s">
        <v>1357</v>
      </c>
      <c r="D645" s="13" t="s">
        <v>1172</v>
      </c>
      <c r="E645" s="5" t="s">
        <v>5566</v>
      </c>
      <c r="F645" s="5" t="s">
        <v>3820</v>
      </c>
      <c r="G645" s="5" t="s">
        <v>3821</v>
      </c>
      <c r="H645" s="13" t="s">
        <v>2752</v>
      </c>
      <c r="I645" s="13" t="s">
        <v>2309</v>
      </c>
      <c r="J645" s="4">
        <v>11432</v>
      </c>
      <c r="K645" s="4">
        <v>1</v>
      </c>
      <c r="L645" s="4">
        <v>9</v>
      </c>
      <c r="M645" s="4">
        <v>2016</v>
      </c>
      <c r="N645" s="4">
        <v>2</v>
      </c>
      <c r="O645" s="4">
        <v>6</v>
      </c>
      <c r="P645" s="4">
        <v>1</v>
      </c>
      <c r="Q645" s="19">
        <v>2999.99</v>
      </c>
      <c r="R645" s="16">
        <v>7.0000000000000007E-2</v>
      </c>
      <c r="S645" s="16">
        <v>2999.9199999999996</v>
      </c>
      <c r="T645" s="5" t="s">
        <v>14</v>
      </c>
      <c r="U645" s="13" t="s">
        <v>303</v>
      </c>
    </row>
    <row r="646" spans="1:21" x14ac:dyDescent="0.35">
      <c r="A646" s="4">
        <v>645</v>
      </c>
      <c r="B646" s="4">
        <v>1199</v>
      </c>
      <c r="C646" s="13" t="s">
        <v>1358</v>
      </c>
      <c r="D646" s="13" t="s">
        <v>1359</v>
      </c>
      <c r="E646" s="5" t="s">
        <v>5566</v>
      </c>
      <c r="F646" s="5" t="s">
        <v>3822</v>
      </c>
      <c r="G646" s="5" t="s">
        <v>3823</v>
      </c>
      <c r="H646" s="13" t="s">
        <v>2732</v>
      </c>
      <c r="I646" s="13" t="s">
        <v>2309</v>
      </c>
      <c r="J646" s="4">
        <v>14120</v>
      </c>
      <c r="K646" s="4">
        <v>1</v>
      </c>
      <c r="L646" s="4">
        <v>99</v>
      </c>
      <c r="M646" s="4">
        <v>2017</v>
      </c>
      <c r="N646" s="4">
        <v>2</v>
      </c>
      <c r="O646" s="4">
        <v>6</v>
      </c>
      <c r="P646" s="4">
        <v>1</v>
      </c>
      <c r="Q646" s="19">
        <v>299.99</v>
      </c>
      <c r="R646" s="16">
        <v>7.0000000000000007E-2</v>
      </c>
      <c r="S646" s="16">
        <v>299.92</v>
      </c>
      <c r="T646" s="5" t="s">
        <v>99</v>
      </c>
      <c r="U646" s="13" t="s">
        <v>299</v>
      </c>
    </row>
    <row r="647" spans="1:21" x14ac:dyDescent="0.35">
      <c r="A647" s="4">
        <v>646</v>
      </c>
      <c r="B647" s="4">
        <v>975</v>
      </c>
      <c r="C647" s="13" t="s">
        <v>1360</v>
      </c>
      <c r="D647" s="13" t="s">
        <v>942</v>
      </c>
      <c r="E647" s="5" t="s">
        <v>3824</v>
      </c>
      <c r="F647" s="5" t="s">
        <v>3825</v>
      </c>
      <c r="G647" s="5" t="s">
        <v>3826</v>
      </c>
      <c r="H647" s="13" t="s">
        <v>3827</v>
      </c>
      <c r="I647" s="13" t="s">
        <v>2305</v>
      </c>
      <c r="J647" s="4">
        <v>90008</v>
      </c>
      <c r="K647" s="4">
        <v>1</v>
      </c>
      <c r="L647" s="4">
        <v>15</v>
      </c>
      <c r="M647" s="4">
        <v>2016</v>
      </c>
      <c r="N647" s="4">
        <v>1</v>
      </c>
      <c r="O647" s="4">
        <v>2</v>
      </c>
      <c r="P647" s="4">
        <v>2</v>
      </c>
      <c r="Q647" s="19">
        <v>529.99</v>
      </c>
      <c r="R647" s="16">
        <v>0.2</v>
      </c>
      <c r="S647" s="16">
        <v>1059.78</v>
      </c>
      <c r="T647" s="5" t="s">
        <v>20</v>
      </c>
      <c r="U647" s="13" t="s">
        <v>301</v>
      </c>
    </row>
    <row r="648" spans="1:21" x14ac:dyDescent="0.35">
      <c r="A648" s="4">
        <v>647</v>
      </c>
      <c r="B648" s="4">
        <v>283</v>
      </c>
      <c r="C648" s="13" t="s">
        <v>1361</v>
      </c>
      <c r="D648" s="13" t="s">
        <v>1022</v>
      </c>
      <c r="E648" s="5" t="s">
        <v>5566</v>
      </c>
      <c r="F648" s="5" t="s">
        <v>3828</v>
      </c>
      <c r="G648" s="5" t="s">
        <v>3829</v>
      </c>
      <c r="H648" s="13" t="s">
        <v>3037</v>
      </c>
      <c r="I648" s="13" t="s">
        <v>2309</v>
      </c>
      <c r="J648" s="4">
        <v>12601</v>
      </c>
      <c r="K648" s="4">
        <v>1</v>
      </c>
      <c r="L648" s="4">
        <v>25</v>
      </c>
      <c r="M648" s="4">
        <v>2016</v>
      </c>
      <c r="N648" s="4">
        <v>2</v>
      </c>
      <c r="O648" s="4">
        <v>7</v>
      </c>
      <c r="P648" s="4">
        <v>2</v>
      </c>
      <c r="Q648" s="19">
        <v>499.99</v>
      </c>
      <c r="R648" s="16">
        <v>7.0000000000000007E-2</v>
      </c>
      <c r="S648" s="16">
        <v>999.91</v>
      </c>
      <c r="T648" s="5" t="s">
        <v>27</v>
      </c>
      <c r="U648" s="13" t="s">
        <v>300</v>
      </c>
    </row>
    <row r="649" spans="1:21" x14ac:dyDescent="0.35">
      <c r="A649" s="4">
        <v>648</v>
      </c>
      <c r="B649" s="4">
        <v>684</v>
      </c>
      <c r="C649" s="13" t="s">
        <v>1362</v>
      </c>
      <c r="D649" s="13" t="s">
        <v>1363</v>
      </c>
      <c r="E649" s="5" t="s">
        <v>5566</v>
      </c>
      <c r="F649" s="5" t="s">
        <v>3830</v>
      </c>
      <c r="G649" s="5" t="s">
        <v>3831</v>
      </c>
      <c r="H649" s="13" t="s">
        <v>2344</v>
      </c>
      <c r="I649" s="13" t="s">
        <v>2309</v>
      </c>
      <c r="J649" s="4">
        <v>14304</v>
      </c>
      <c r="K649" s="4">
        <v>1</v>
      </c>
      <c r="L649" s="4">
        <v>24</v>
      </c>
      <c r="M649" s="4">
        <v>2016</v>
      </c>
      <c r="N649" s="4">
        <v>2</v>
      </c>
      <c r="O649" s="4">
        <v>6</v>
      </c>
      <c r="P649" s="4">
        <v>1</v>
      </c>
      <c r="Q649" s="19">
        <v>549.99</v>
      </c>
      <c r="R649" s="16">
        <v>7.0000000000000007E-2</v>
      </c>
      <c r="S649" s="16">
        <v>549.91999999999996</v>
      </c>
      <c r="T649" s="5" t="s">
        <v>17</v>
      </c>
      <c r="U649" s="13" t="s">
        <v>300</v>
      </c>
    </row>
    <row r="650" spans="1:21" x14ac:dyDescent="0.35">
      <c r="A650" s="4">
        <v>649</v>
      </c>
      <c r="B650" s="4">
        <v>1153</v>
      </c>
      <c r="C650" s="13" t="s">
        <v>1364</v>
      </c>
      <c r="D650" s="13" t="s">
        <v>746</v>
      </c>
      <c r="E650" s="5" t="s">
        <v>5566</v>
      </c>
      <c r="F650" s="5" t="s">
        <v>3832</v>
      </c>
      <c r="G650" s="5" t="s">
        <v>3833</v>
      </c>
      <c r="H650" s="13" t="s">
        <v>2330</v>
      </c>
      <c r="I650" s="13" t="s">
        <v>2305</v>
      </c>
      <c r="J650" s="4">
        <v>94070</v>
      </c>
      <c r="K650" s="4">
        <v>1</v>
      </c>
      <c r="L650" s="4">
        <v>97</v>
      </c>
      <c r="M650" s="4">
        <v>2017</v>
      </c>
      <c r="N650" s="4">
        <v>1</v>
      </c>
      <c r="O650" s="4">
        <v>3</v>
      </c>
      <c r="P650" s="4">
        <v>2</v>
      </c>
      <c r="Q650" s="19">
        <v>349.99</v>
      </c>
      <c r="R650" s="16">
        <v>0.1</v>
      </c>
      <c r="S650" s="16">
        <v>699.88</v>
      </c>
      <c r="T650" s="5" t="s">
        <v>97</v>
      </c>
      <c r="U650" s="13" t="s">
        <v>299</v>
      </c>
    </row>
    <row r="651" spans="1:21" x14ac:dyDescent="0.35">
      <c r="A651" s="4">
        <v>650</v>
      </c>
      <c r="B651" s="4">
        <v>729</v>
      </c>
      <c r="C651" s="13" t="s">
        <v>1365</v>
      </c>
      <c r="D651" s="13" t="s">
        <v>664</v>
      </c>
      <c r="E651" s="5" t="s">
        <v>5566</v>
      </c>
      <c r="F651" s="5" t="s">
        <v>3834</v>
      </c>
      <c r="G651" s="5" t="s">
        <v>3835</v>
      </c>
      <c r="H651" s="13" t="s">
        <v>2885</v>
      </c>
      <c r="I651" s="13" t="s">
        <v>2305</v>
      </c>
      <c r="J651" s="4">
        <v>92307</v>
      </c>
      <c r="K651" s="4">
        <v>1</v>
      </c>
      <c r="L651" s="4">
        <v>3</v>
      </c>
      <c r="M651" s="4">
        <v>2016</v>
      </c>
      <c r="N651" s="4">
        <v>1</v>
      </c>
      <c r="O651" s="4">
        <v>2</v>
      </c>
      <c r="P651" s="4">
        <v>1</v>
      </c>
      <c r="Q651" s="19">
        <v>999.99</v>
      </c>
      <c r="R651" s="16">
        <v>0.2</v>
      </c>
      <c r="S651" s="16">
        <v>999.79</v>
      </c>
      <c r="T651" s="5" t="s">
        <v>8</v>
      </c>
      <c r="U651" s="13" t="s">
        <v>304</v>
      </c>
    </row>
    <row r="652" spans="1:21" x14ac:dyDescent="0.35">
      <c r="A652" s="4">
        <v>651</v>
      </c>
      <c r="B652" s="4">
        <v>190</v>
      </c>
      <c r="C652" s="13" t="s">
        <v>1366</v>
      </c>
      <c r="D652" s="13" t="s">
        <v>614</v>
      </c>
      <c r="E652" s="5" t="s">
        <v>3836</v>
      </c>
      <c r="F652" s="5" t="s">
        <v>3837</v>
      </c>
      <c r="G652" s="5" t="s">
        <v>3838</v>
      </c>
      <c r="H652" s="13" t="s">
        <v>2419</v>
      </c>
      <c r="I652" s="13" t="s">
        <v>2309</v>
      </c>
      <c r="J652" s="4">
        <v>11561</v>
      </c>
      <c r="K652" s="4">
        <v>1</v>
      </c>
      <c r="L652" s="4">
        <v>79</v>
      </c>
      <c r="M652" s="4">
        <v>2017</v>
      </c>
      <c r="N652" s="4">
        <v>2</v>
      </c>
      <c r="O652" s="4">
        <v>7</v>
      </c>
      <c r="P652" s="4">
        <v>1</v>
      </c>
      <c r="Q652" s="19">
        <v>402.99</v>
      </c>
      <c r="R652" s="16">
        <v>0.1</v>
      </c>
      <c r="S652" s="16">
        <v>402.89</v>
      </c>
      <c r="T652" s="5" t="s">
        <v>80</v>
      </c>
      <c r="U652" s="13" t="s">
        <v>301</v>
      </c>
    </row>
    <row r="653" spans="1:21" x14ac:dyDescent="0.35">
      <c r="A653" s="4">
        <v>652</v>
      </c>
      <c r="B653" s="4">
        <v>985</v>
      </c>
      <c r="C653" s="13" t="s">
        <v>1367</v>
      </c>
      <c r="D653" s="13" t="s">
        <v>1368</v>
      </c>
      <c r="E653" s="5" t="s">
        <v>5566</v>
      </c>
      <c r="F653" s="5" t="s">
        <v>3839</v>
      </c>
      <c r="G653" s="5" t="s">
        <v>3840</v>
      </c>
      <c r="H653" s="13" t="s">
        <v>2396</v>
      </c>
      <c r="I653" s="13" t="s">
        <v>2397</v>
      </c>
      <c r="J653" s="4">
        <v>78552</v>
      </c>
      <c r="K653" s="4">
        <v>1</v>
      </c>
      <c r="L653" s="4">
        <v>102</v>
      </c>
      <c r="M653" s="4">
        <v>2017</v>
      </c>
      <c r="N653" s="4">
        <v>3</v>
      </c>
      <c r="O653" s="4">
        <v>9</v>
      </c>
      <c r="P653" s="4">
        <v>1</v>
      </c>
      <c r="Q653" s="19">
        <v>489.99</v>
      </c>
      <c r="R653" s="16">
        <v>0.1</v>
      </c>
      <c r="S653" s="16">
        <v>489.89</v>
      </c>
      <c r="T653" s="5" t="s">
        <v>65</v>
      </c>
      <c r="U653" s="13" t="s">
        <v>300</v>
      </c>
    </row>
    <row r="654" spans="1:21" x14ac:dyDescent="0.35">
      <c r="A654" s="4">
        <v>653</v>
      </c>
      <c r="B654" s="4">
        <v>1249</v>
      </c>
      <c r="C654" s="13" t="s">
        <v>1369</v>
      </c>
      <c r="D654" s="13" t="s">
        <v>895</v>
      </c>
      <c r="E654" s="5" t="s">
        <v>5566</v>
      </c>
      <c r="F654" s="5" t="s">
        <v>3841</v>
      </c>
      <c r="G654" s="5" t="s">
        <v>3842</v>
      </c>
      <c r="H654" s="13" t="s">
        <v>2489</v>
      </c>
      <c r="I654" s="13" t="s">
        <v>2305</v>
      </c>
      <c r="J654" s="4">
        <v>93555</v>
      </c>
      <c r="K654" s="4">
        <v>1</v>
      </c>
      <c r="L654" s="4">
        <v>6</v>
      </c>
      <c r="M654" s="4">
        <v>2016</v>
      </c>
      <c r="N654" s="4">
        <v>1</v>
      </c>
      <c r="O654" s="4">
        <v>2</v>
      </c>
      <c r="P654" s="4">
        <v>1</v>
      </c>
      <c r="Q654" s="19">
        <v>469.99</v>
      </c>
      <c r="R654" s="16">
        <v>7.0000000000000007E-2</v>
      </c>
      <c r="S654" s="16">
        <v>469.92</v>
      </c>
      <c r="T654" s="5" t="s">
        <v>11</v>
      </c>
      <c r="U654" s="13" t="s">
        <v>304</v>
      </c>
    </row>
    <row r="655" spans="1:21" x14ac:dyDescent="0.35">
      <c r="A655" s="4">
        <v>654</v>
      </c>
      <c r="B655" s="4">
        <v>1129</v>
      </c>
      <c r="C655" s="13" t="s">
        <v>1370</v>
      </c>
      <c r="D655" s="13" t="s">
        <v>775</v>
      </c>
      <c r="E655" s="5" t="s">
        <v>5566</v>
      </c>
      <c r="F655" s="5" t="s">
        <v>3843</v>
      </c>
      <c r="G655" s="5" t="s">
        <v>3844</v>
      </c>
      <c r="H655" s="13" t="s">
        <v>2415</v>
      </c>
      <c r="I655" s="13" t="s">
        <v>2309</v>
      </c>
      <c r="J655" s="4">
        <v>11377</v>
      </c>
      <c r="K655" s="4">
        <v>1</v>
      </c>
      <c r="L655" s="4">
        <v>9</v>
      </c>
      <c r="M655" s="4">
        <v>2016</v>
      </c>
      <c r="N655" s="4">
        <v>2</v>
      </c>
      <c r="O655" s="4">
        <v>7</v>
      </c>
      <c r="P655" s="4">
        <v>1</v>
      </c>
      <c r="Q655" s="19">
        <v>2999.99</v>
      </c>
      <c r="R655" s="16">
        <v>0.1</v>
      </c>
      <c r="S655" s="16">
        <v>2999.89</v>
      </c>
      <c r="T655" s="5" t="s">
        <v>14</v>
      </c>
      <c r="U655" s="13" t="s">
        <v>303</v>
      </c>
    </row>
    <row r="656" spans="1:21" x14ac:dyDescent="0.35">
      <c r="A656" s="4">
        <v>655</v>
      </c>
      <c r="B656" s="4">
        <v>347</v>
      </c>
      <c r="C656" s="13" t="s">
        <v>768</v>
      </c>
      <c r="D656" s="13" t="s">
        <v>1371</v>
      </c>
      <c r="E656" s="5" t="s">
        <v>3845</v>
      </c>
      <c r="F656" s="5" t="s">
        <v>3846</v>
      </c>
      <c r="G656" s="5" t="s">
        <v>3847</v>
      </c>
      <c r="H656" s="13" t="s">
        <v>2758</v>
      </c>
      <c r="I656" s="13" t="s">
        <v>2305</v>
      </c>
      <c r="J656" s="4">
        <v>94603</v>
      </c>
      <c r="K656" s="4">
        <v>1</v>
      </c>
      <c r="L656" s="4">
        <v>67</v>
      </c>
      <c r="M656" s="4">
        <v>2017</v>
      </c>
      <c r="N656" s="4">
        <v>1</v>
      </c>
      <c r="O656" s="4">
        <v>3</v>
      </c>
      <c r="P656" s="4">
        <v>1</v>
      </c>
      <c r="Q656" s="19">
        <v>250.99</v>
      </c>
      <c r="R656" s="16">
        <v>0.1</v>
      </c>
      <c r="S656" s="16">
        <v>250.89000000000001</v>
      </c>
      <c r="T656" s="5" t="s">
        <v>68</v>
      </c>
      <c r="U656" s="13" t="s">
        <v>301</v>
      </c>
    </row>
    <row r="657" spans="1:21" x14ac:dyDescent="0.35">
      <c r="A657" s="4">
        <v>656</v>
      </c>
      <c r="B657" s="4">
        <v>949</v>
      </c>
      <c r="C657" s="13" t="s">
        <v>1372</v>
      </c>
      <c r="D657" s="13" t="s">
        <v>1373</v>
      </c>
      <c r="E657" s="5" t="s">
        <v>5566</v>
      </c>
      <c r="F657" s="5" t="s">
        <v>3848</v>
      </c>
      <c r="G657" s="5" t="s">
        <v>3849</v>
      </c>
      <c r="H657" s="13" t="s">
        <v>2785</v>
      </c>
      <c r="I657" s="13" t="s">
        <v>2309</v>
      </c>
      <c r="J657" s="4">
        <v>10583</v>
      </c>
      <c r="K657" s="4">
        <v>1</v>
      </c>
      <c r="L657" s="4">
        <v>83</v>
      </c>
      <c r="M657" s="4">
        <v>2017</v>
      </c>
      <c r="N657" s="4">
        <v>2</v>
      </c>
      <c r="O657" s="4">
        <v>7</v>
      </c>
      <c r="P657" s="4">
        <v>1</v>
      </c>
      <c r="Q657" s="19">
        <v>149.99</v>
      </c>
      <c r="R657" s="16">
        <v>0.1</v>
      </c>
      <c r="S657" s="16">
        <v>149.89000000000001</v>
      </c>
      <c r="T657" s="5" t="s">
        <v>84</v>
      </c>
      <c r="U657" s="13" t="s">
        <v>299</v>
      </c>
    </row>
    <row r="658" spans="1:21" x14ac:dyDescent="0.35">
      <c r="A658" s="4">
        <v>657</v>
      </c>
      <c r="B658" s="4">
        <v>349</v>
      </c>
      <c r="C658" s="13" t="s">
        <v>1374</v>
      </c>
      <c r="D658" s="13" t="s">
        <v>614</v>
      </c>
      <c r="E658" s="5" t="s">
        <v>5566</v>
      </c>
      <c r="F658" s="5" t="s">
        <v>3850</v>
      </c>
      <c r="G658" s="5" t="s">
        <v>3851</v>
      </c>
      <c r="H658" s="13" t="s">
        <v>2359</v>
      </c>
      <c r="I658" s="13" t="s">
        <v>2305</v>
      </c>
      <c r="J658" s="4">
        <v>92236</v>
      </c>
      <c r="K658" s="4">
        <v>1</v>
      </c>
      <c r="L658" s="4">
        <v>52</v>
      </c>
      <c r="M658" s="4">
        <v>2017</v>
      </c>
      <c r="N658" s="4">
        <v>1</v>
      </c>
      <c r="O658" s="4">
        <v>2</v>
      </c>
      <c r="P658" s="4">
        <v>1</v>
      </c>
      <c r="Q658" s="19">
        <v>875.99</v>
      </c>
      <c r="R658" s="16">
        <v>0.05</v>
      </c>
      <c r="S658" s="16">
        <v>875.94</v>
      </c>
      <c r="T658" s="5" t="s">
        <v>53</v>
      </c>
      <c r="U658" s="13" t="s">
        <v>305</v>
      </c>
    </row>
    <row r="659" spans="1:21" x14ac:dyDescent="0.35">
      <c r="A659" s="4">
        <v>658</v>
      </c>
      <c r="B659" s="4">
        <v>1051</v>
      </c>
      <c r="C659" s="13" t="s">
        <v>1375</v>
      </c>
      <c r="D659" s="13" t="s">
        <v>757</v>
      </c>
      <c r="E659" s="5" t="s">
        <v>5566</v>
      </c>
      <c r="F659" s="5" t="s">
        <v>3852</v>
      </c>
      <c r="G659" s="5" t="s">
        <v>3853</v>
      </c>
      <c r="H659" s="13" t="s">
        <v>2308</v>
      </c>
      <c r="I659" s="13" t="s">
        <v>2309</v>
      </c>
      <c r="J659" s="4">
        <v>11746</v>
      </c>
      <c r="K659" s="4">
        <v>1</v>
      </c>
      <c r="L659" s="4">
        <v>49</v>
      </c>
      <c r="M659" s="4">
        <v>2017</v>
      </c>
      <c r="N659" s="4">
        <v>2</v>
      </c>
      <c r="O659" s="4">
        <v>7</v>
      </c>
      <c r="P659" s="4">
        <v>2</v>
      </c>
      <c r="Q659" s="19">
        <v>3499.99</v>
      </c>
      <c r="R659" s="16">
        <v>0.2</v>
      </c>
      <c r="S659" s="16">
        <v>6999.78</v>
      </c>
      <c r="T659" s="5" t="s">
        <v>50</v>
      </c>
      <c r="U659" s="13" t="s">
        <v>305</v>
      </c>
    </row>
    <row r="660" spans="1:21" x14ac:dyDescent="0.35">
      <c r="A660" s="4">
        <v>659</v>
      </c>
      <c r="B660" s="4">
        <v>1391</v>
      </c>
      <c r="C660" s="13" t="s">
        <v>1376</v>
      </c>
      <c r="D660" s="13" t="s">
        <v>816</v>
      </c>
      <c r="E660" s="5" t="s">
        <v>5566</v>
      </c>
      <c r="F660" s="5" t="s">
        <v>3854</v>
      </c>
      <c r="G660" s="5" t="s">
        <v>3855</v>
      </c>
      <c r="H660" s="13" t="s">
        <v>2376</v>
      </c>
      <c r="I660" s="13" t="s">
        <v>2309</v>
      </c>
      <c r="J660" s="4">
        <v>11001</v>
      </c>
      <c r="K660" s="4">
        <v>1</v>
      </c>
      <c r="L660" s="4">
        <v>42</v>
      </c>
      <c r="M660" s="4">
        <v>2017</v>
      </c>
      <c r="N660" s="4">
        <v>2</v>
      </c>
      <c r="O660" s="4">
        <v>7</v>
      </c>
      <c r="P660" s="4">
        <v>2</v>
      </c>
      <c r="Q660" s="19">
        <v>2299.9899999999998</v>
      </c>
      <c r="R660" s="16">
        <v>0.05</v>
      </c>
      <c r="S660" s="16">
        <v>4599.9299999999994</v>
      </c>
      <c r="T660" s="5" t="s">
        <v>43</v>
      </c>
      <c r="U660" s="13" t="s">
        <v>304</v>
      </c>
    </row>
    <row r="661" spans="1:21" x14ac:dyDescent="0.35">
      <c r="A661" s="4">
        <v>660</v>
      </c>
      <c r="B661" s="4">
        <v>383</v>
      </c>
      <c r="C661" s="13" t="s">
        <v>1377</v>
      </c>
      <c r="D661" s="13" t="s">
        <v>1378</v>
      </c>
      <c r="E661" s="5" t="s">
        <v>5566</v>
      </c>
      <c r="F661" s="5" t="s">
        <v>3856</v>
      </c>
      <c r="G661" s="5" t="s">
        <v>3857</v>
      </c>
      <c r="H661" s="13" t="s">
        <v>3018</v>
      </c>
      <c r="I661" s="13" t="s">
        <v>2309</v>
      </c>
      <c r="J661" s="4">
        <v>11357</v>
      </c>
      <c r="K661" s="4">
        <v>1</v>
      </c>
      <c r="L661" s="4">
        <v>30</v>
      </c>
      <c r="M661" s="4">
        <v>2017</v>
      </c>
      <c r="N661" s="4">
        <v>2</v>
      </c>
      <c r="O661" s="4">
        <v>7</v>
      </c>
      <c r="P661" s="4">
        <v>1</v>
      </c>
      <c r="Q661" s="19">
        <v>999.99</v>
      </c>
      <c r="R661" s="16">
        <v>0.2</v>
      </c>
      <c r="S661" s="16">
        <v>999.79</v>
      </c>
      <c r="T661" s="5" t="s">
        <v>31</v>
      </c>
      <c r="U661" s="13" t="s">
        <v>304</v>
      </c>
    </row>
    <row r="662" spans="1:21" x14ac:dyDescent="0.35">
      <c r="A662" s="4">
        <v>661</v>
      </c>
      <c r="B662" s="4">
        <v>626</v>
      </c>
      <c r="C662" s="13" t="s">
        <v>1379</v>
      </c>
      <c r="D662" s="13" t="s">
        <v>1261</v>
      </c>
      <c r="E662" s="5" t="s">
        <v>5566</v>
      </c>
      <c r="F662" s="5" t="s">
        <v>3858</v>
      </c>
      <c r="G662" s="5" t="s">
        <v>3859</v>
      </c>
      <c r="H662" s="13" t="s">
        <v>2656</v>
      </c>
      <c r="I662" s="13" t="s">
        <v>2309</v>
      </c>
      <c r="J662" s="4">
        <v>12302</v>
      </c>
      <c r="K662" s="4">
        <v>1</v>
      </c>
      <c r="L662" s="4">
        <v>63</v>
      </c>
      <c r="M662" s="4">
        <v>2017</v>
      </c>
      <c r="N662" s="4">
        <v>2</v>
      </c>
      <c r="O662" s="4">
        <v>6</v>
      </c>
      <c r="P662" s="4">
        <v>2</v>
      </c>
      <c r="Q662" s="19">
        <v>3499.99</v>
      </c>
      <c r="R662" s="16">
        <v>7.0000000000000007E-2</v>
      </c>
      <c r="S662" s="16">
        <v>6999.91</v>
      </c>
      <c r="T662" s="5" t="s">
        <v>64</v>
      </c>
      <c r="U662" s="13" t="s">
        <v>302</v>
      </c>
    </row>
    <row r="663" spans="1:21" x14ac:dyDescent="0.35">
      <c r="A663" s="4">
        <v>662</v>
      </c>
      <c r="B663" s="4">
        <v>1125</v>
      </c>
      <c r="C663" s="13" t="s">
        <v>1380</v>
      </c>
      <c r="D663" s="13" t="s">
        <v>1381</v>
      </c>
      <c r="E663" s="5" t="s">
        <v>5566</v>
      </c>
      <c r="F663" s="5" t="s">
        <v>3860</v>
      </c>
      <c r="G663" s="5" t="s">
        <v>3861</v>
      </c>
      <c r="H663" s="13" t="s">
        <v>2304</v>
      </c>
      <c r="I663" s="13" t="s">
        <v>2305</v>
      </c>
      <c r="J663" s="4">
        <v>94566</v>
      </c>
      <c r="K663" s="4">
        <v>1</v>
      </c>
      <c r="L663" s="4">
        <v>55</v>
      </c>
      <c r="M663" s="4">
        <v>2017</v>
      </c>
      <c r="N663" s="4">
        <v>1</v>
      </c>
      <c r="O663" s="4">
        <v>3</v>
      </c>
      <c r="P663" s="4">
        <v>2</v>
      </c>
      <c r="Q663" s="19">
        <v>2699.99</v>
      </c>
      <c r="R663" s="16">
        <v>0.1</v>
      </c>
      <c r="S663" s="16">
        <v>5399.8799999999992</v>
      </c>
      <c r="T663" s="5" t="s">
        <v>56</v>
      </c>
      <c r="U663" s="13" t="s">
        <v>305</v>
      </c>
    </row>
    <row r="664" spans="1:21" x14ac:dyDescent="0.35">
      <c r="A664" s="4">
        <v>663</v>
      </c>
      <c r="B664" s="4">
        <v>344</v>
      </c>
      <c r="C664" s="13" t="s">
        <v>1382</v>
      </c>
      <c r="D664" s="13" t="s">
        <v>924</v>
      </c>
      <c r="E664" s="5" t="s">
        <v>5566</v>
      </c>
      <c r="F664" s="5" t="s">
        <v>3862</v>
      </c>
      <c r="G664" s="5" t="s">
        <v>3863</v>
      </c>
      <c r="H664" s="13" t="s">
        <v>3864</v>
      </c>
      <c r="I664" s="13" t="s">
        <v>2305</v>
      </c>
      <c r="J664" s="4">
        <v>94043</v>
      </c>
      <c r="K664" s="4">
        <v>1</v>
      </c>
      <c r="L664" s="4">
        <v>41</v>
      </c>
      <c r="M664" s="4">
        <v>2017</v>
      </c>
      <c r="N664" s="4">
        <v>1</v>
      </c>
      <c r="O664" s="4">
        <v>3</v>
      </c>
      <c r="P664" s="4">
        <v>2</v>
      </c>
      <c r="Q664" s="19">
        <v>1469.99</v>
      </c>
      <c r="R664" s="16">
        <v>0.05</v>
      </c>
      <c r="S664" s="16">
        <v>2939.93</v>
      </c>
      <c r="T664" s="5" t="s">
        <v>42</v>
      </c>
      <c r="U664" s="13" t="s">
        <v>304</v>
      </c>
    </row>
    <row r="665" spans="1:21" x14ac:dyDescent="0.35">
      <c r="A665" s="4">
        <v>664</v>
      </c>
      <c r="B665" s="4">
        <v>681</v>
      </c>
      <c r="C665" s="13" t="s">
        <v>1383</v>
      </c>
      <c r="D665" s="13" t="s">
        <v>1384</v>
      </c>
      <c r="E665" s="5" t="s">
        <v>5566</v>
      </c>
      <c r="F665" s="5" t="s">
        <v>3865</v>
      </c>
      <c r="G665" s="5" t="s">
        <v>3866</v>
      </c>
      <c r="H665" s="13" t="s">
        <v>3867</v>
      </c>
      <c r="I665" s="13" t="s">
        <v>2309</v>
      </c>
      <c r="J665" s="4">
        <v>11741</v>
      </c>
      <c r="K665" s="4">
        <v>1</v>
      </c>
      <c r="L665" s="4">
        <v>52</v>
      </c>
      <c r="M665" s="4">
        <v>2017</v>
      </c>
      <c r="N665" s="4">
        <v>2</v>
      </c>
      <c r="O665" s="4">
        <v>7</v>
      </c>
      <c r="P665" s="4">
        <v>2</v>
      </c>
      <c r="Q665" s="19">
        <v>875.99</v>
      </c>
      <c r="R665" s="16">
        <v>7.0000000000000007E-2</v>
      </c>
      <c r="S665" s="16">
        <v>1751.91</v>
      </c>
      <c r="T665" s="5" t="s">
        <v>53</v>
      </c>
      <c r="U665" s="13" t="s">
        <v>305</v>
      </c>
    </row>
    <row r="666" spans="1:21" x14ac:dyDescent="0.35">
      <c r="A666" s="4">
        <v>665</v>
      </c>
      <c r="B666" s="4">
        <v>29</v>
      </c>
      <c r="C666" s="13" t="s">
        <v>1385</v>
      </c>
      <c r="D666" s="13" t="s">
        <v>1386</v>
      </c>
      <c r="E666" s="5" t="s">
        <v>5566</v>
      </c>
      <c r="F666" s="5" t="s">
        <v>3868</v>
      </c>
      <c r="G666" s="5" t="s">
        <v>3869</v>
      </c>
      <c r="H666" s="13" t="s">
        <v>3870</v>
      </c>
      <c r="I666" s="13" t="s">
        <v>2309</v>
      </c>
      <c r="J666" s="4">
        <v>10541</v>
      </c>
      <c r="K666" s="4">
        <v>1</v>
      </c>
      <c r="L666" s="4">
        <v>58</v>
      </c>
      <c r="M666" s="4">
        <v>2017</v>
      </c>
      <c r="N666" s="4">
        <v>2</v>
      </c>
      <c r="O666" s="4">
        <v>6</v>
      </c>
      <c r="P666" s="4">
        <v>1</v>
      </c>
      <c r="Q666" s="19">
        <v>4999.99</v>
      </c>
      <c r="R666" s="16">
        <v>7.0000000000000007E-2</v>
      </c>
      <c r="S666" s="16">
        <v>4999.92</v>
      </c>
      <c r="T666" s="5" t="s">
        <v>59</v>
      </c>
      <c r="U666" s="13" t="s">
        <v>305</v>
      </c>
    </row>
    <row r="667" spans="1:21" x14ac:dyDescent="0.35">
      <c r="A667" s="4">
        <v>666</v>
      </c>
      <c r="B667" s="4">
        <v>770</v>
      </c>
      <c r="C667" s="13" t="s">
        <v>1387</v>
      </c>
      <c r="D667" s="13" t="s">
        <v>1388</v>
      </c>
      <c r="E667" s="5" t="s">
        <v>5566</v>
      </c>
      <c r="F667" s="5" t="s">
        <v>3871</v>
      </c>
      <c r="G667" s="5" t="s">
        <v>3872</v>
      </c>
      <c r="H667" s="13" t="s">
        <v>3013</v>
      </c>
      <c r="I667" s="13" t="s">
        <v>2309</v>
      </c>
      <c r="J667" s="4">
        <v>11706</v>
      </c>
      <c r="K667" s="4">
        <v>1</v>
      </c>
      <c r="L667" s="4">
        <v>98</v>
      </c>
      <c r="M667" s="4">
        <v>2017</v>
      </c>
      <c r="N667" s="4">
        <v>2</v>
      </c>
      <c r="O667" s="4">
        <v>7</v>
      </c>
      <c r="P667" s="4">
        <v>2</v>
      </c>
      <c r="Q667" s="19">
        <v>489.99</v>
      </c>
      <c r="R667" s="16">
        <v>0.2</v>
      </c>
      <c r="S667" s="16">
        <v>979.78</v>
      </c>
      <c r="T667" s="5" t="s">
        <v>98</v>
      </c>
      <c r="U667" s="13" t="s">
        <v>299</v>
      </c>
    </row>
    <row r="668" spans="1:21" x14ac:dyDescent="0.35">
      <c r="A668" s="4">
        <v>667</v>
      </c>
      <c r="B668" s="4">
        <v>858</v>
      </c>
      <c r="C668" s="13" t="s">
        <v>1178</v>
      </c>
      <c r="D668" s="13" t="s">
        <v>1389</v>
      </c>
      <c r="E668" s="5" t="s">
        <v>5566</v>
      </c>
      <c r="F668" s="5" t="s">
        <v>3873</v>
      </c>
      <c r="G668" s="5" t="s">
        <v>3874</v>
      </c>
      <c r="H668" s="13" t="s">
        <v>2472</v>
      </c>
      <c r="I668" s="13" t="s">
        <v>2309</v>
      </c>
      <c r="J668" s="4">
        <v>13440</v>
      </c>
      <c r="K668" s="4">
        <v>1</v>
      </c>
      <c r="L668" s="4">
        <v>79</v>
      </c>
      <c r="M668" s="4">
        <v>2017</v>
      </c>
      <c r="N668" s="4">
        <v>2</v>
      </c>
      <c r="O668" s="4">
        <v>7</v>
      </c>
      <c r="P668" s="4">
        <v>1</v>
      </c>
      <c r="Q668" s="19">
        <v>402.99</v>
      </c>
      <c r="R668" s="16">
        <v>0.2</v>
      </c>
      <c r="S668" s="16">
        <v>402.79</v>
      </c>
      <c r="T668" s="5" t="s">
        <v>80</v>
      </c>
      <c r="U668" s="13" t="s">
        <v>301</v>
      </c>
    </row>
    <row r="669" spans="1:21" x14ac:dyDescent="0.35">
      <c r="A669" s="4">
        <v>668</v>
      </c>
      <c r="B669" s="4">
        <v>297</v>
      </c>
      <c r="C669" s="13" t="s">
        <v>485</v>
      </c>
      <c r="D669" s="13" t="s">
        <v>433</v>
      </c>
      <c r="E669" s="5" t="s">
        <v>5566</v>
      </c>
      <c r="F669" s="5" t="s">
        <v>3875</v>
      </c>
      <c r="G669" s="5" t="s">
        <v>3876</v>
      </c>
      <c r="H669" s="13" t="s">
        <v>2620</v>
      </c>
      <c r="I669" s="13" t="s">
        <v>2397</v>
      </c>
      <c r="J669" s="4">
        <v>78023</v>
      </c>
      <c r="K669" s="4">
        <v>1</v>
      </c>
      <c r="L669" s="4">
        <v>48</v>
      </c>
      <c r="M669" s="4">
        <v>2017</v>
      </c>
      <c r="N669" s="4">
        <v>3</v>
      </c>
      <c r="O669" s="4">
        <v>8</v>
      </c>
      <c r="P669" s="4">
        <v>2</v>
      </c>
      <c r="Q669" s="19">
        <v>1499.99</v>
      </c>
      <c r="R669" s="16">
        <v>0.05</v>
      </c>
      <c r="S669" s="16">
        <v>2999.93</v>
      </c>
      <c r="T669" s="5" t="s">
        <v>49</v>
      </c>
      <c r="U669" s="13" t="s">
        <v>305</v>
      </c>
    </row>
    <row r="670" spans="1:21" x14ac:dyDescent="0.35">
      <c r="A670" s="4">
        <v>669</v>
      </c>
      <c r="B670" s="4">
        <v>745</v>
      </c>
      <c r="C670" s="13" t="s">
        <v>1390</v>
      </c>
      <c r="D670" s="13" t="s">
        <v>679</v>
      </c>
      <c r="E670" s="5" t="s">
        <v>5566</v>
      </c>
      <c r="F670" s="5" t="s">
        <v>3877</v>
      </c>
      <c r="G670" s="5" t="s">
        <v>3878</v>
      </c>
      <c r="H670" s="13" t="s">
        <v>2376</v>
      </c>
      <c r="I670" s="13" t="s">
        <v>2309</v>
      </c>
      <c r="J670" s="4">
        <v>11001</v>
      </c>
      <c r="K670" s="4">
        <v>1</v>
      </c>
      <c r="L670" s="4">
        <v>16</v>
      </c>
      <c r="M670" s="4">
        <v>2016</v>
      </c>
      <c r="N670" s="4">
        <v>2</v>
      </c>
      <c r="O670" s="4">
        <v>7</v>
      </c>
      <c r="P670" s="4">
        <v>2</v>
      </c>
      <c r="Q670" s="19">
        <v>599.99</v>
      </c>
      <c r="R670" s="16">
        <v>7.0000000000000007E-2</v>
      </c>
      <c r="S670" s="16">
        <v>1199.9100000000001</v>
      </c>
      <c r="T670" s="5" t="s">
        <v>21</v>
      </c>
      <c r="U670" s="13" t="s">
        <v>301</v>
      </c>
    </row>
    <row r="671" spans="1:21" x14ac:dyDescent="0.35">
      <c r="A671" s="4">
        <v>670</v>
      </c>
      <c r="B671" s="4">
        <v>361</v>
      </c>
      <c r="C671" s="13" t="s">
        <v>1391</v>
      </c>
      <c r="D671" s="13" t="s">
        <v>413</v>
      </c>
      <c r="E671" s="5" t="s">
        <v>5566</v>
      </c>
      <c r="F671" s="5" t="s">
        <v>3879</v>
      </c>
      <c r="G671" s="5" t="s">
        <v>3880</v>
      </c>
      <c r="H671" s="13" t="s">
        <v>3881</v>
      </c>
      <c r="I671" s="13" t="s">
        <v>2309</v>
      </c>
      <c r="J671" s="4">
        <v>11580</v>
      </c>
      <c r="K671" s="4">
        <v>1</v>
      </c>
      <c r="L671" s="4">
        <v>108</v>
      </c>
      <c r="M671" s="4">
        <v>2017</v>
      </c>
      <c r="N671" s="4">
        <v>2</v>
      </c>
      <c r="O671" s="4">
        <v>6</v>
      </c>
      <c r="P671" s="4">
        <v>1</v>
      </c>
      <c r="Q671" s="19">
        <v>449.99</v>
      </c>
      <c r="R671" s="16">
        <v>0.1</v>
      </c>
      <c r="S671" s="16">
        <v>449.89</v>
      </c>
      <c r="T671" s="5" t="s">
        <v>105</v>
      </c>
      <c r="U671" s="13" t="s">
        <v>300</v>
      </c>
    </row>
    <row r="672" spans="1:21" x14ac:dyDescent="0.35">
      <c r="A672" s="4">
        <v>671</v>
      </c>
      <c r="B672" s="4">
        <v>922</v>
      </c>
      <c r="C672" s="13" t="s">
        <v>1392</v>
      </c>
      <c r="D672" s="13" t="s">
        <v>960</v>
      </c>
      <c r="E672" s="5" t="s">
        <v>5566</v>
      </c>
      <c r="F672" s="5" t="s">
        <v>3882</v>
      </c>
      <c r="G672" s="5" t="s">
        <v>3883</v>
      </c>
      <c r="H672" s="13" t="s">
        <v>2835</v>
      </c>
      <c r="I672" s="13" t="s">
        <v>2309</v>
      </c>
      <c r="J672" s="4">
        <v>11758</v>
      </c>
      <c r="K672" s="4">
        <v>1</v>
      </c>
      <c r="L672" s="4">
        <v>30</v>
      </c>
      <c r="M672" s="4">
        <v>2017</v>
      </c>
      <c r="N672" s="4">
        <v>2</v>
      </c>
      <c r="O672" s="4">
        <v>7</v>
      </c>
      <c r="P672" s="4">
        <v>1</v>
      </c>
      <c r="Q672" s="19">
        <v>999.99</v>
      </c>
      <c r="R672" s="16">
        <v>0.05</v>
      </c>
      <c r="S672" s="16">
        <v>999.94</v>
      </c>
      <c r="T672" s="5" t="s">
        <v>31</v>
      </c>
      <c r="U672" s="13" t="s">
        <v>304</v>
      </c>
    </row>
    <row r="673" spans="1:21" x14ac:dyDescent="0.35">
      <c r="A673" s="4">
        <v>672</v>
      </c>
      <c r="B673" s="4">
        <v>908</v>
      </c>
      <c r="C673" s="13" t="s">
        <v>1393</v>
      </c>
      <c r="D673" s="13" t="s">
        <v>1394</v>
      </c>
      <c r="E673" s="5" t="s">
        <v>5566</v>
      </c>
      <c r="F673" s="5" t="s">
        <v>3884</v>
      </c>
      <c r="G673" s="5" t="s">
        <v>3885</v>
      </c>
      <c r="H673" s="13" t="s">
        <v>3811</v>
      </c>
      <c r="I673" s="13" t="s">
        <v>2309</v>
      </c>
      <c r="J673" s="4">
        <v>14094</v>
      </c>
      <c r="K673" s="4">
        <v>1</v>
      </c>
      <c r="L673" s="4">
        <v>51</v>
      </c>
      <c r="M673" s="4">
        <v>2017</v>
      </c>
      <c r="N673" s="4">
        <v>2</v>
      </c>
      <c r="O673" s="4">
        <v>6</v>
      </c>
      <c r="P673" s="4">
        <v>2</v>
      </c>
      <c r="Q673" s="19">
        <v>6499.99</v>
      </c>
      <c r="R673" s="16">
        <v>7.0000000000000007E-2</v>
      </c>
      <c r="S673" s="16">
        <v>12999.91</v>
      </c>
      <c r="T673" s="5" t="s">
        <v>52</v>
      </c>
      <c r="U673" s="13" t="s">
        <v>305</v>
      </c>
    </row>
    <row r="674" spans="1:21" x14ac:dyDescent="0.35">
      <c r="A674" s="4">
        <v>673</v>
      </c>
      <c r="B674" s="4">
        <v>64</v>
      </c>
      <c r="C674" s="13" t="s">
        <v>1232</v>
      </c>
      <c r="D674" s="13" t="s">
        <v>1233</v>
      </c>
      <c r="E674" s="5" t="s">
        <v>5566</v>
      </c>
      <c r="F674" s="5" t="s">
        <v>3624</v>
      </c>
      <c r="G674" s="5" t="s">
        <v>3625</v>
      </c>
      <c r="H674" s="13" t="s">
        <v>2687</v>
      </c>
      <c r="I674" s="13" t="s">
        <v>2397</v>
      </c>
      <c r="J674" s="4">
        <v>75115</v>
      </c>
      <c r="K674" s="4">
        <v>1</v>
      </c>
      <c r="L674" s="4">
        <v>66</v>
      </c>
      <c r="M674" s="4">
        <v>2017</v>
      </c>
      <c r="N674" s="4">
        <v>3</v>
      </c>
      <c r="O674" s="4">
        <v>9</v>
      </c>
      <c r="P674" s="4">
        <v>1</v>
      </c>
      <c r="Q674" s="19">
        <v>250.99</v>
      </c>
      <c r="R674" s="16">
        <v>0.2</v>
      </c>
      <c r="S674" s="16">
        <v>250.79000000000002</v>
      </c>
      <c r="T674" s="5" t="s">
        <v>67</v>
      </c>
      <c r="U674" s="13" t="s">
        <v>301</v>
      </c>
    </row>
    <row r="675" spans="1:21" x14ac:dyDescent="0.35">
      <c r="A675" s="4">
        <v>674</v>
      </c>
      <c r="B675" s="4">
        <v>733</v>
      </c>
      <c r="C675" s="13" t="s">
        <v>1395</v>
      </c>
      <c r="D675" s="13" t="s">
        <v>1396</v>
      </c>
      <c r="E675" s="5" t="s">
        <v>5566</v>
      </c>
      <c r="F675" s="5" t="s">
        <v>3886</v>
      </c>
      <c r="G675" s="5" t="s">
        <v>3887</v>
      </c>
      <c r="H675" s="13" t="s">
        <v>2964</v>
      </c>
      <c r="I675" s="13" t="s">
        <v>2309</v>
      </c>
      <c r="J675" s="4">
        <v>11743</v>
      </c>
      <c r="K675" s="4">
        <v>1</v>
      </c>
      <c r="L675" s="4">
        <v>26</v>
      </c>
      <c r="M675" s="4">
        <v>2016</v>
      </c>
      <c r="N675" s="4">
        <v>2</v>
      </c>
      <c r="O675" s="4">
        <v>6</v>
      </c>
      <c r="P675" s="4">
        <v>2</v>
      </c>
      <c r="Q675" s="19">
        <v>599.99</v>
      </c>
      <c r="R675" s="16">
        <v>0.2</v>
      </c>
      <c r="S675" s="16">
        <v>1199.78</v>
      </c>
      <c r="T675" s="5" t="s">
        <v>21</v>
      </c>
      <c r="U675" s="13" t="s">
        <v>300</v>
      </c>
    </row>
    <row r="676" spans="1:21" x14ac:dyDescent="0.35">
      <c r="A676" s="4">
        <v>675</v>
      </c>
      <c r="B676" s="4">
        <v>291</v>
      </c>
      <c r="C676" s="13" t="s">
        <v>1397</v>
      </c>
      <c r="D676" s="13" t="s">
        <v>1295</v>
      </c>
      <c r="E676" s="5" t="s">
        <v>5566</v>
      </c>
      <c r="F676" s="5" t="s">
        <v>3888</v>
      </c>
      <c r="G676" s="5" t="s">
        <v>3889</v>
      </c>
      <c r="H676" s="13" t="s">
        <v>2945</v>
      </c>
      <c r="I676" s="13" t="s">
        <v>2309</v>
      </c>
      <c r="J676" s="4">
        <v>11104</v>
      </c>
      <c r="K676" s="4">
        <v>1</v>
      </c>
      <c r="L676" s="4">
        <v>17</v>
      </c>
      <c r="M676" s="4">
        <v>2016</v>
      </c>
      <c r="N676" s="4">
        <v>2</v>
      </c>
      <c r="O676" s="4">
        <v>7</v>
      </c>
      <c r="P676" s="4">
        <v>1</v>
      </c>
      <c r="Q676" s="19">
        <v>429</v>
      </c>
      <c r="R676" s="16">
        <v>0.05</v>
      </c>
      <c r="S676" s="16">
        <v>428.95</v>
      </c>
      <c r="T676" s="5" t="s">
        <v>22</v>
      </c>
      <c r="U676" s="13" t="s">
        <v>301</v>
      </c>
    </row>
    <row r="677" spans="1:21" x14ac:dyDescent="0.35">
      <c r="A677" s="4">
        <v>676</v>
      </c>
      <c r="B677" s="4">
        <v>790</v>
      </c>
      <c r="C677" s="13" t="s">
        <v>1046</v>
      </c>
      <c r="D677" s="13" t="s">
        <v>724</v>
      </c>
      <c r="E677" s="5" t="s">
        <v>5566</v>
      </c>
      <c r="F677" s="5" t="s">
        <v>3890</v>
      </c>
      <c r="G677" s="5" t="s">
        <v>3891</v>
      </c>
      <c r="H677" s="13" t="s">
        <v>2690</v>
      </c>
      <c r="I677" s="13" t="s">
        <v>2309</v>
      </c>
      <c r="J677" s="4">
        <v>11414</v>
      </c>
      <c r="K677" s="4">
        <v>1</v>
      </c>
      <c r="L677" s="4">
        <v>70</v>
      </c>
      <c r="M677" s="4">
        <v>2017</v>
      </c>
      <c r="N677" s="4">
        <v>2</v>
      </c>
      <c r="O677" s="4">
        <v>7</v>
      </c>
      <c r="P677" s="4">
        <v>1</v>
      </c>
      <c r="Q677" s="19">
        <v>659.99</v>
      </c>
      <c r="R677" s="16">
        <v>0.2</v>
      </c>
      <c r="S677" s="16">
        <v>659.79</v>
      </c>
      <c r="T677" s="5" t="s">
        <v>71</v>
      </c>
      <c r="U677" s="13" t="s">
        <v>301</v>
      </c>
    </row>
    <row r="678" spans="1:21" x14ac:dyDescent="0.35">
      <c r="A678" s="4">
        <v>677</v>
      </c>
      <c r="B678" s="4">
        <v>809</v>
      </c>
      <c r="C678" s="13" t="s">
        <v>1398</v>
      </c>
      <c r="D678" s="13" t="s">
        <v>1399</v>
      </c>
      <c r="E678" s="5" t="s">
        <v>5566</v>
      </c>
      <c r="F678" s="5" t="s">
        <v>3892</v>
      </c>
      <c r="G678" s="5" t="s">
        <v>3893</v>
      </c>
      <c r="H678" s="13" t="s">
        <v>2324</v>
      </c>
      <c r="I678" s="13" t="s">
        <v>2309</v>
      </c>
      <c r="J678" s="4">
        <v>11710</v>
      </c>
      <c r="K678" s="4">
        <v>1</v>
      </c>
      <c r="L678" s="4">
        <v>75</v>
      </c>
      <c r="M678" s="4">
        <v>2017</v>
      </c>
      <c r="N678" s="4">
        <v>2</v>
      </c>
      <c r="O678" s="4">
        <v>7</v>
      </c>
      <c r="P678" s="4">
        <v>1</v>
      </c>
      <c r="Q678" s="19">
        <v>599.99</v>
      </c>
      <c r="R678" s="16">
        <v>7.0000000000000007E-2</v>
      </c>
      <c r="S678" s="16">
        <v>599.91999999999996</v>
      </c>
      <c r="T678" s="5" t="s">
        <v>76</v>
      </c>
      <c r="U678" s="13" t="s">
        <v>301</v>
      </c>
    </row>
    <row r="679" spans="1:21" x14ac:dyDescent="0.35">
      <c r="A679" s="4">
        <v>678</v>
      </c>
      <c r="B679" s="4">
        <v>250</v>
      </c>
      <c r="C679" s="13" t="s">
        <v>1400</v>
      </c>
      <c r="D679" s="13" t="s">
        <v>913</v>
      </c>
      <c r="E679" s="5" t="s">
        <v>3894</v>
      </c>
      <c r="F679" s="5" t="s">
        <v>3895</v>
      </c>
      <c r="G679" s="5" t="s">
        <v>3896</v>
      </c>
      <c r="H679" s="13" t="s">
        <v>3189</v>
      </c>
      <c r="I679" s="13" t="s">
        <v>2397</v>
      </c>
      <c r="J679" s="4">
        <v>79930</v>
      </c>
      <c r="K679" s="4">
        <v>1</v>
      </c>
      <c r="L679" s="4">
        <v>52</v>
      </c>
      <c r="M679" s="4">
        <v>2017</v>
      </c>
      <c r="N679" s="4">
        <v>3</v>
      </c>
      <c r="O679" s="4">
        <v>9</v>
      </c>
      <c r="P679" s="4">
        <v>2</v>
      </c>
      <c r="Q679" s="19">
        <v>875.99</v>
      </c>
      <c r="R679" s="16">
        <v>0.05</v>
      </c>
      <c r="S679" s="16">
        <v>1751.93</v>
      </c>
      <c r="T679" s="5" t="s">
        <v>53</v>
      </c>
      <c r="U679" s="13" t="s">
        <v>305</v>
      </c>
    </row>
    <row r="680" spans="1:21" x14ac:dyDescent="0.35">
      <c r="A680" s="4">
        <v>679</v>
      </c>
      <c r="B680" s="4">
        <v>81</v>
      </c>
      <c r="C680" s="13" t="s">
        <v>1401</v>
      </c>
      <c r="D680" s="13" t="s">
        <v>1092</v>
      </c>
      <c r="E680" s="5" t="s">
        <v>5566</v>
      </c>
      <c r="F680" s="5" t="s">
        <v>3897</v>
      </c>
      <c r="G680" s="5" t="s">
        <v>3898</v>
      </c>
      <c r="H680" s="13" t="s">
        <v>3004</v>
      </c>
      <c r="I680" s="13" t="s">
        <v>2305</v>
      </c>
      <c r="J680" s="4">
        <v>94580</v>
      </c>
      <c r="K680" s="4">
        <v>1</v>
      </c>
      <c r="L680" s="4">
        <v>15</v>
      </c>
      <c r="M680" s="4">
        <v>2016</v>
      </c>
      <c r="N680" s="4">
        <v>1</v>
      </c>
      <c r="O680" s="4">
        <v>3</v>
      </c>
      <c r="P680" s="4">
        <v>2</v>
      </c>
      <c r="Q680" s="19">
        <v>529.99</v>
      </c>
      <c r="R680" s="16">
        <v>0.2</v>
      </c>
      <c r="S680" s="16">
        <v>1059.78</v>
      </c>
      <c r="T680" s="5" t="s">
        <v>20</v>
      </c>
      <c r="U680" s="13" t="s">
        <v>301</v>
      </c>
    </row>
    <row r="681" spans="1:21" x14ac:dyDescent="0.35">
      <c r="A681" s="4">
        <v>680</v>
      </c>
      <c r="B681" s="4">
        <v>245</v>
      </c>
      <c r="C681" s="13" t="s">
        <v>1402</v>
      </c>
      <c r="D681" s="13" t="s">
        <v>1403</v>
      </c>
      <c r="E681" s="5" t="s">
        <v>5566</v>
      </c>
      <c r="F681" s="5" t="s">
        <v>3899</v>
      </c>
      <c r="G681" s="5" t="s">
        <v>3900</v>
      </c>
      <c r="H681" s="13" t="s">
        <v>2790</v>
      </c>
      <c r="I681" s="13" t="s">
        <v>2305</v>
      </c>
      <c r="J681" s="4">
        <v>90274</v>
      </c>
      <c r="K681" s="4">
        <v>1</v>
      </c>
      <c r="L681" s="4">
        <v>81</v>
      </c>
      <c r="M681" s="4">
        <v>2017</v>
      </c>
      <c r="N681" s="4">
        <v>1</v>
      </c>
      <c r="O681" s="4">
        <v>3</v>
      </c>
      <c r="P681" s="4">
        <v>2</v>
      </c>
      <c r="Q681" s="19">
        <v>1099.99</v>
      </c>
      <c r="R681" s="16">
        <v>0.05</v>
      </c>
      <c r="S681" s="16">
        <v>2199.9299999999998</v>
      </c>
      <c r="T681" s="5" t="s">
        <v>82</v>
      </c>
      <c r="U681" s="13" t="s">
        <v>301</v>
      </c>
    </row>
    <row r="682" spans="1:21" x14ac:dyDescent="0.35">
      <c r="A682" s="4">
        <v>681</v>
      </c>
      <c r="B682" s="4">
        <v>499</v>
      </c>
      <c r="C682" s="13" t="s">
        <v>1404</v>
      </c>
      <c r="D682" s="13" t="s">
        <v>1405</v>
      </c>
      <c r="E682" s="5" t="s">
        <v>5566</v>
      </c>
      <c r="F682" s="5" t="s">
        <v>3901</v>
      </c>
      <c r="G682" s="5" t="s">
        <v>3902</v>
      </c>
      <c r="H682" s="13" t="s">
        <v>2321</v>
      </c>
      <c r="I682" s="13" t="s">
        <v>2309</v>
      </c>
      <c r="J682" s="4">
        <v>13027</v>
      </c>
      <c r="K682" s="4">
        <v>1</v>
      </c>
      <c r="L682" s="4">
        <v>82</v>
      </c>
      <c r="M682" s="4">
        <v>2017</v>
      </c>
      <c r="N682" s="4">
        <v>2</v>
      </c>
      <c r="O682" s="4">
        <v>7</v>
      </c>
      <c r="P682" s="4">
        <v>1</v>
      </c>
      <c r="Q682" s="19">
        <v>659.99</v>
      </c>
      <c r="R682" s="16">
        <v>0.05</v>
      </c>
      <c r="S682" s="16">
        <v>659.94</v>
      </c>
      <c r="T682" s="5" t="s">
        <v>83</v>
      </c>
      <c r="U682" s="13" t="s">
        <v>301</v>
      </c>
    </row>
    <row r="683" spans="1:21" x14ac:dyDescent="0.35">
      <c r="A683" s="4">
        <v>682</v>
      </c>
      <c r="B683" s="4">
        <v>614</v>
      </c>
      <c r="C683" s="13" t="s">
        <v>1406</v>
      </c>
      <c r="D683" s="13" t="s">
        <v>960</v>
      </c>
      <c r="E683" s="5" t="s">
        <v>5566</v>
      </c>
      <c r="F683" s="5" t="s">
        <v>3903</v>
      </c>
      <c r="G683" s="5" t="s">
        <v>3904</v>
      </c>
      <c r="H683" s="13" t="s">
        <v>2623</v>
      </c>
      <c r="I683" s="13" t="s">
        <v>2309</v>
      </c>
      <c r="J683" s="4">
        <v>12010</v>
      </c>
      <c r="K683" s="4">
        <v>1</v>
      </c>
      <c r="L683" s="4">
        <v>39</v>
      </c>
      <c r="M683" s="4">
        <v>2017</v>
      </c>
      <c r="N683" s="4">
        <v>2</v>
      </c>
      <c r="O683" s="4">
        <v>6</v>
      </c>
      <c r="P683" s="4">
        <v>1</v>
      </c>
      <c r="Q683" s="19">
        <v>1499.99</v>
      </c>
      <c r="R683" s="16">
        <v>0.2</v>
      </c>
      <c r="S683" s="16">
        <v>1499.79</v>
      </c>
      <c r="T683" s="5" t="s">
        <v>40</v>
      </c>
      <c r="U683" s="13" t="s">
        <v>304</v>
      </c>
    </row>
    <row r="684" spans="1:21" x14ac:dyDescent="0.35">
      <c r="A684" s="4">
        <v>683</v>
      </c>
      <c r="B684" s="4">
        <v>741</v>
      </c>
      <c r="C684" s="13" t="s">
        <v>1407</v>
      </c>
      <c r="D684" s="13" t="s">
        <v>831</v>
      </c>
      <c r="E684" s="5" t="s">
        <v>5566</v>
      </c>
      <c r="F684" s="5" t="s">
        <v>3905</v>
      </c>
      <c r="G684" s="5" t="s">
        <v>3906</v>
      </c>
      <c r="H684" s="13" t="s">
        <v>2422</v>
      </c>
      <c r="I684" s="13" t="s">
        <v>2309</v>
      </c>
      <c r="J684" s="4">
        <v>11412</v>
      </c>
      <c r="K684" s="4">
        <v>1</v>
      </c>
      <c r="L684" s="4">
        <v>2</v>
      </c>
      <c r="M684" s="4">
        <v>2016</v>
      </c>
      <c r="N684" s="4">
        <v>2</v>
      </c>
      <c r="O684" s="4">
        <v>6</v>
      </c>
      <c r="P684" s="4">
        <v>2</v>
      </c>
      <c r="Q684" s="19">
        <v>749.99</v>
      </c>
      <c r="R684" s="16">
        <v>0.1</v>
      </c>
      <c r="S684" s="16">
        <v>1499.88</v>
      </c>
      <c r="T684" s="5" t="s">
        <v>7</v>
      </c>
      <c r="U684" s="13" t="s">
        <v>304</v>
      </c>
    </row>
    <row r="685" spans="1:21" x14ac:dyDescent="0.35">
      <c r="A685" s="4">
        <v>684</v>
      </c>
      <c r="B685" s="4">
        <v>762</v>
      </c>
      <c r="C685" s="13" t="s">
        <v>1408</v>
      </c>
      <c r="D685" s="13" t="s">
        <v>1262</v>
      </c>
      <c r="E685" s="5" t="s">
        <v>5566</v>
      </c>
      <c r="F685" s="5" t="s">
        <v>3907</v>
      </c>
      <c r="G685" s="5" t="s">
        <v>3908</v>
      </c>
      <c r="H685" s="13" t="s">
        <v>2441</v>
      </c>
      <c r="I685" s="13" t="s">
        <v>2309</v>
      </c>
      <c r="J685" s="4">
        <v>11722</v>
      </c>
      <c r="K685" s="4">
        <v>1</v>
      </c>
      <c r="L685" s="4">
        <v>56</v>
      </c>
      <c r="M685" s="4">
        <v>2017</v>
      </c>
      <c r="N685" s="4">
        <v>2</v>
      </c>
      <c r="O685" s="4">
        <v>6</v>
      </c>
      <c r="P685" s="4">
        <v>1</v>
      </c>
      <c r="Q685" s="19">
        <v>5499.99</v>
      </c>
      <c r="R685" s="16">
        <v>7.0000000000000007E-2</v>
      </c>
      <c r="S685" s="16">
        <v>5499.92</v>
      </c>
      <c r="T685" s="5" t="s">
        <v>57</v>
      </c>
      <c r="U685" s="13" t="s">
        <v>305</v>
      </c>
    </row>
    <row r="686" spans="1:21" x14ac:dyDescent="0.35">
      <c r="A686" s="4">
        <v>685</v>
      </c>
      <c r="B686" s="4">
        <v>976</v>
      </c>
      <c r="C686" s="13" t="s">
        <v>1154</v>
      </c>
      <c r="D686" s="13" t="s">
        <v>693</v>
      </c>
      <c r="E686" s="5" t="s">
        <v>5566</v>
      </c>
      <c r="F686" s="5" t="s">
        <v>3909</v>
      </c>
      <c r="G686" s="5" t="s">
        <v>3910</v>
      </c>
      <c r="H686" s="13" t="s">
        <v>2797</v>
      </c>
      <c r="I686" s="13" t="s">
        <v>2309</v>
      </c>
      <c r="J686" s="4">
        <v>11787</v>
      </c>
      <c r="K686" s="4">
        <v>1</v>
      </c>
      <c r="L686" s="4">
        <v>59</v>
      </c>
      <c r="M686" s="4">
        <v>2017</v>
      </c>
      <c r="N686" s="4">
        <v>2</v>
      </c>
      <c r="O686" s="4">
        <v>7</v>
      </c>
      <c r="P686" s="4">
        <v>1</v>
      </c>
      <c r="Q686" s="19">
        <v>2599.9899999999998</v>
      </c>
      <c r="R686" s="16">
        <v>0.05</v>
      </c>
      <c r="S686" s="16">
        <v>2599.9399999999996</v>
      </c>
      <c r="T686" s="5" t="s">
        <v>60</v>
      </c>
      <c r="U686" s="13" t="s">
        <v>305</v>
      </c>
    </row>
    <row r="687" spans="1:21" x14ac:dyDescent="0.35">
      <c r="A687" s="4">
        <v>686</v>
      </c>
      <c r="B687" s="4">
        <v>380</v>
      </c>
      <c r="C687" s="13" t="s">
        <v>1409</v>
      </c>
      <c r="D687" s="13" t="s">
        <v>1410</v>
      </c>
      <c r="E687" s="5" t="s">
        <v>5566</v>
      </c>
      <c r="F687" s="5" t="s">
        <v>3911</v>
      </c>
      <c r="G687" s="5" t="s">
        <v>3912</v>
      </c>
      <c r="H687" s="13" t="s">
        <v>2402</v>
      </c>
      <c r="I687" s="13" t="s">
        <v>2309</v>
      </c>
      <c r="J687" s="4">
        <v>11784</v>
      </c>
      <c r="K687" s="4">
        <v>1</v>
      </c>
      <c r="L687" s="4">
        <v>16</v>
      </c>
      <c r="M687" s="4">
        <v>2016</v>
      </c>
      <c r="N687" s="4">
        <v>2</v>
      </c>
      <c r="O687" s="4">
        <v>7</v>
      </c>
      <c r="P687" s="4">
        <v>1</v>
      </c>
      <c r="Q687" s="19">
        <v>599.99</v>
      </c>
      <c r="R687" s="16">
        <v>0.2</v>
      </c>
      <c r="S687" s="16">
        <v>599.79</v>
      </c>
      <c r="T687" s="5" t="s">
        <v>21</v>
      </c>
      <c r="U687" s="13" t="s">
        <v>301</v>
      </c>
    </row>
    <row r="688" spans="1:21" x14ac:dyDescent="0.35">
      <c r="A688" s="4">
        <v>687</v>
      </c>
      <c r="B688" s="4">
        <v>530</v>
      </c>
      <c r="C688" s="13" t="s">
        <v>1411</v>
      </c>
      <c r="D688" s="13" t="s">
        <v>856</v>
      </c>
      <c r="E688" s="5" t="s">
        <v>5566</v>
      </c>
      <c r="F688" s="5" t="s">
        <v>3913</v>
      </c>
      <c r="G688" s="5" t="s">
        <v>3914</v>
      </c>
      <c r="H688" s="13" t="s">
        <v>2315</v>
      </c>
      <c r="I688" s="13" t="s">
        <v>2305</v>
      </c>
      <c r="J688" s="4">
        <v>91010</v>
      </c>
      <c r="K688" s="4">
        <v>1</v>
      </c>
      <c r="L688" s="4">
        <v>48</v>
      </c>
      <c r="M688" s="4">
        <v>2017</v>
      </c>
      <c r="N688" s="4">
        <v>1</v>
      </c>
      <c r="O688" s="4">
        <v>3</v>
      </c>
      <c r="P688" s="4">
        <v>2</v>
      </c>
      <c r="Q688" s="19">
        <v>1499.99</v>
      </c>
      <c r="R688" s="16">
        <v>0.05</v>
      </c>
      <c r="S688" s="16">
        <v>2999.93</v>
      </c>
      <c r="T688" s="5" t="s">
        <v>49</v>
      </c>
      <c r="U688" s="13" t="s">
        <v>305</v>
      </c>
    </row>
    <row r="689" spans="1:21" x14ac:dyDescent="0.35">
      <c r="A689" s="4">
        <v>688</v>
      </c>
      <c r="B689" s="4">
        <v>343</v>
      </c>
      <c r="C689" s="13" t="s">
        <v>1412</v>
      </c>
      <c r="D689" s="13" t="s">
        <v>451</v>
      </c>
      <c r="E689" s="5" t="s">
        <v>5566</v>
      </c>
      <c r="F689" s="5" t="s">
        <v>3915</v>
      </c>
      <c r="G689" s="5" t="s">
        <v>3916</v>
      </c>
      <c r="H689" s="13" t="s">
        <v>3917</v>
      </c>
      <c r="I689" s="13" t="s">
        <v>2309</v>
      </c>
      <c r="J689" s="4">
        <v>11725</v>
      </c>
      <c r="K689" s="4">
        <v>1</v>
      </c>
      <c r="L689" s="4">
        <v>8</v>
      </c>
      <c r="M689" s="4">
        <v>2016</v>
      </c>
      <c r="N689" s="4">
        <v>2</v>
      </c>
      <c r="O689" s="4">
        <v>7</v>
      </c>
      <c r="P689" s="4">
        <v>1</v>
      </c>
      <c r="Q689" s="19">
        <v>1799.99</v>
      </c>
      <c r="R689" s="16">
        <v>0.1</v>
      </c>
      <c r="S689" s="16">
        <v>1799.89</v>
      </c>
      <c r="T689" s="5" t="s">
        <v>13</v>
      </c>
      <c r="U689" s="13" t="s">
        <v>304</v>
      </c>
    </row>
    <row r="690" spans="1:21" x14ac:dyDescent="0.35">
      <c r="A690" s="4">
        <v>689</v>
      </c>
      <c r="B690" s="4">
        <v>884</v>
      </c>
      <c r="C690" s="13" t="s">
        <v>1413</v>
      </c>
      <c r="D690" s="13" t="s">
        <v>872</v>
      </c>
      <c r="E690" s="5" t="s">
        <v>5566</v>
      </c>
      <c r="F690" s="5" t="s">
        <v>3918</v>
      </c>
      <c r="G690" s="5" t="s">
        <v>3919</v>
      </c>
      <c r="H690" s="13" t="s">
        <v>2669</v>
      </c>
      <c r="I690" s="13" t="s">
        <v>2309</v>
      </c>
      <c r="J690" s="4">
        <v>13126</v>
      </c>
      <c r="K690" s="4">
        <v>1</v>
      </c>
      <c r="L690" s="4">
        <v>33</v>
      </c>
      <c r="M690" s="4">
        <v>2017</v>
      </c>
      <c r="N690" s="4">
        <v>2</v>
      </c>
      <c r="O690" s="4">
        <v>7</v>
      </c>
      <c r="P690" s="4">
        <v>2</v>
      </c>
      <c r="Q690" s="19">
        <v>469.99</v>
      </c>
      <c r="R690" s="16">
        <v>0.1</v>
      </c>
      <c r="S690" s="16">
        <v>939.88</v>
      </c>
      <c r="T690" s="5" t="s">
        <v>34</v>
      </c>
      <c r="U690" s="13" t="s">
        <v>304</v>
      </c>
    </row>
    <row r="691" spans="1:21" x14ac:dyDescent="0.35">
      <c r="A691" s="4">
        <v>690</v>
      </c>
      <c r="B691" s="4">
        <v>1097</v>
      </c>
      <c r="C691" s="13" t="s">
        <v>1321</v>
      </c>
      <c r="D691" s="13" t="s">
        <v>1414</v>
      </c>
      <c r="E691" s="5" t="s">
        <v>5566</v>
      </c>
      <c r="F691" s="5" t="s">
        <v>3920</v>
      </c>
      <c r="G691" s="5" t="s">
        <v>3921</v>
      </c>
      <c r="H691" s="13" t="s">
        <v>2564</v>
      </c>
      <c r="I691" s="13" t="s">
        <v>2305</v>
      </c>
      <c r="J691" s="4">
        <v>94806</v>
      </c>
      <c r="K691" s="4">
        <v>1</v>
      </c>
      <c r="L691" s="4">
        <v>84</v>
      </c>
      <c r="M691" s="4">
        <v>2017</v>
      </c>
      <c r="N691" s="4">
        <v>1</v>
      </c>
      <c r="O691" s="4">
        <v>2</v>
      </c>
      <c r="P691" s="4">
        <v>1</v>
      </c>
      <c r="Q691" s="19">
        <v>109.99</v>
      </c>
      <c r="R691" s="16">
        <v>0.2</v>
      </c>
      <c r="S691" s="16">
        <v>109.78999999999999</v>
      </c>
      <c r="T691" s="5" t="s">
        <v>85</v>
      </c>
      <c r="U691" s="13" t="s">
        <v>299</v>
      </c>
    </row>
    <row r="692" spans="1:21" x14ac:dyDescent="0.35">
      <c r="A692" s="4">
        <v>691</v>
      </c>
      <c r="B692" s="4">
        <v>1081</v>
      </c>
      <c r="C692" s="13" t="s">
        <v>433</v>
      </c>
      <c r="D692" s="13" t="s">
        <v>1415</v>
      </c>
      <c r="E692" s="5" t="s">
        <v>5566</v>
      </c>
      <c r="F692" s="5" t="s">
        <v>3922</v>
      </c>
      <c r="G692" s="5" t="s">
        <v>3923</v>
      </c>
      <c r="H692" s="13" t="s">
        <v>3267</v>
      </c>
      <c r="I692" s="13" t="s">
        <v>2309</v>
      </c>
      <c r="J692" s="4">
        <v>10801</v>
      </c>
      <c r="K692" s="4">
        <v>1</v>
      </c>
      <c r="L692" s="4">
        <v>23</v>
      </c>
      <c r="M692" s="4">
        <v>2016</v>
      </c>
      <c r="N692" s="4">
        <v>2</v>
      </c>
      <c r="O692" s="4">
        <v>7</v>
      </c>
      <c r="P692" s="4">
        <v>2</v>
      </c>
      <c r="Q692" s="19">
        <v>299.99</v>
      </c>
      <c r="R692" s="16">
        <v>0.05</v>
      </c>
      <c r="S692" s="16">
        <v>599.93000000000006</v>
      </c>
      <c r="T692" s="5" t="s">
        <v>26</v>
      </c>
      <c r="U692" s="13" t="s">
        <v>299</v>
      </c>
    </row>
    <row r="693" spans="1:21" x14ac:dyDescent="0.35">
      <c r="A693" s="4">
        <v>692</v>
      </c>
      <c r="B693" s="4">
        <v>2</v>
      </c>
      <c r="C693" s="13" t="s">
        <v>690</v>
      </c>
      <c r="D693" s="13" t="s">
        <v>1416</v>
      </c>
      <c r="E693" s="5" t="s">
        <v>5566</v>
      </c>
      <c r="F693" s="5" t="s">
        <v>3924</v>
      </c>
      <c r="G693" s="5" t="s">
        <v>3925</v>
      </c>
      <c r="H693" s="13" t="s">
        <v>1822</v>
      </c>
      <c r="I693" s="13" t="s">
        <v>2305</v>
      </c>
      <c r="J693" s="4">
        <v>95008</v>
      </c>
      <c r="K693" s="4">
        <v>1</v>
      </c>
      <c r="L693" s="4">
        <v>59</v>
      </c>
      <c r="M693" s="4">
        <v>2017</v>
      </c>
      <c r="N693" s="4">
        <v>1</v>
      </c>
      <c r="O693" s="4">
        <v>3</v>
      </c>
      <c r="P693" s="4">
        <v>1</v>
      </c>
      <c r="Q693" s="19">
        <v>2599.9899999999998</v>
      </c>
      <c r="R693" s="16">
        <v>0.2</v>
      </c>
      <c r="S693" s="16">
        <v>2599.79</v>
      </c>
      <c r="T693" s="5" t="s">
        <v>60</v>
      </c>
      <c r="U693" s="13" t="s">
        <v>305</v>
      </c>
    </row>
    <row r="694" spans="1:21" x14ac:dyDescent="0.35">
      <c r="A694" s="4">
        <v>693</v>
      </c>
      <c r="B694" s="4">
        <v>1233</v>
      </c>
      <c r="C694" s="13" t="s">
        <v>1417</v>
      </c>
      <c r="D694" s="13" t="s">
        <v>1418</v>
      </c>
      <c r="E694" s="5" t="s">
        <v>5566</v>
      </c>
      <c r="F694" s="5" t="s">
        <v>3926</v>
      </c>
      <c r="G694" s="5" t="s">
        <v>3927</v>
      </c>
      <c r="H694" s="13" t="s">
        <v>2989</v>
      </c>
      <c r="I694" s="13" t="s">
        <v>2305</v>
      </c>
      <c r="J694" s="4">
        <v>92083</v>
      </c>
      <c r="K694" s="4">
        <v>1</v>
      </c>
      <c r="L694" s="4">
        <v>104</v>
      </c>
      <c r="M694" s="4">
        <v>2017</v>
      </c>
      <c r="N694" s="4">
        <v>1</v>
      </c>
      <c r="O694" s="4">
        <v>3</v>
      </c>
      <c r="P694" s="4">
        <v>2</v>
      </c>
      <c r="Q694" s="19">
        <v>481.99</v>
      </c>
      <c r="R694" s="16">
        <v>0.2</v>
      </c>
      <c r="S694" s="16">
        <v>963.78</v>
      </c>
      <c r="T694" s="5" t="s">
        <v>103</v>
      </c>
      <c r="U694" s="13" t="s">
        <v>300</v>
      </c>
    </row>
    <row r="695" spans="1:21" x14ac:dyDescent="0.35">
      <c r="A695" s="4">
        <v>694</v>
      </c>
      <c r="B695" s="4">
        <v>58</v>
      </c>
      <c r="C695" s="13" t="s">
        <v>1419</v>
      </c>
      <c r="D695" s="13" t="s">
        <v>633</v>
      </c>
      <c r="E695" s="5" t="s">
        <v>5566</v>
      </c>
      <c r="F695" s="5" t="s">
        <v>3928</v>
      </c>
      <c r="G695" s="5" t="s">
        <v>3929</v>
      </c>
      <c r="H695" s="13" t="s">
        <v>2441</v>
      </c>
      <c r="I695" s="13" t="s">
        <v>2309</v>
      </c>
      <c r="J695" s="4">
        <v>11722</v>
      </c>
      <c r="K695" s="4">
        <v>1</v>
      </c>
      <c r="L695" s="4">
        <v>48</v>
      </c>
      <c r="M695" s="4">
        <v>2017</v>
      </c>
      <c r="N695" s="4">
        <v>2</v>
      </c>
      <c r="O695" s="4">
        <v>7</v>
      </c>
      <c r="P695" s="4">
        <v>1</v>
      </c>
      <c r="Q695" s="19">
        <v>1499.99</v>
      </c>
      <c r="R695" s="16">
        <v>0.2</v>
      </c>
      <c r="S695" s="16">
        <v>1499.79</v>
      </c>
      <c r="T695" s="5" t="s">
        <v>49</v>
      </c>
      <c r="U695" s="13" t="s">
        <v>305</v>
      </c>
    </row>
    <row r="696" spans="1:21" x14ac:dyDescent="0.35">
      <c r="A696" s="4">
        <v>695</v>
      </c>
      <c r="B696" s="4">
        <v>606</v>
      </c>
      <c r="C696" s="13" t="s">
        <v>1420</v>
      </c>
      <c r="D696" s="13" t="s">
        <v>1421</v>
      </c>
      <c r="E696" s="5" t="s">
        <v>5566</v>
      </c>
      <c r="F696" s="5" t="s">
        <v>3930</v>
      </c>
      <c r="G696" s="5" t="s">
        <v>3931</v>
      </c>
      <c r="H696" s="13" t="s">
        <v>2381</v>
      </c>
      <c r="I696" s="13" t="s">
        <v>2309</v>
      </c>
      <c r="J696" s="4">
        <v>12590</v>
      </c>
      <c r="K696" s="4">
        <v>1</v>
      </c>
      <c r="L696" s="4">
        <v>82</v>
      </c>
      <c r="M696" s="4">
        <v>2017</v>
      </c>
      <c r="N696" s="4">
        <v>2</v>
      </c>
      <c r="O696" s="4">
        <v>7</v>
      </c>
      <c r="P696" s="4">
        <v>2</v>
      </c>
      <c r="Q696" s="19">
        <v>659.99</v>
      </c>
      <c r="R696" s="16">
        <v>0.1</v>
      </c>
      <c r="S696" s="16">
        <v>1319.88</v>
      </c>
      <c r="T696" s="5" t="s">
        <v>83</v>
      </c>
      <c r="U696" s="13" t="s">
        <v>301</v>
      </c>
    </row>
    <row r="697" spans="1:21" x14ac:dyDescent="0.35">
      <c r="A697" s="4">
        <v>696</v>
      </c>
      <c r="B697" s="4">
        <v>1242</v>
      </c>
      <c r="C697" s="13" t="s">
        <v>1422</v>
      </c>
      <c r="D697" s="13" t="s">
        <v>1173</v>
      </c>
      <c r="E697" s="5" t="s">
        <v>5566</v>
      </c>
      <c r="F697" s="5" t="s">
        <v>3932</v>
      </c>
      <c r="G697" s="5" t="s">
        <v>3933</v>
      </c>
      <c r="H697" s="13" t="s">
        <v>2479</v>
      </c>
      <c r="I697" s="13" t="s">
        <v>2309</v>
      </c>
      <c r="J697" s="4">
        <v>11010</v>
      </c>
      <c r="K697" s="4">
        <v>1</v>
      </c>
      <c r="L697" s="4">
        <v>88</v>
      </c>
      <c r="M697" s="4">
        <v>2017</v>
      </c>
      <c r="N697" s="4">
        <v>2</v>
      </c>
      <c r="O697" s="4">
        <v>7</v>
      </c>
      <c r="P697" s="4">
        <v>2</v>
      </c>
      <c r="Q697" s="19">
        <v>189.99</v>
      </c>
      <c r="R697" s="16">
        <v>7.0000000000000007E-2</v>
      </c>
      <c r="S697" s="16">
        <v>379.91</v>
      </c>
      <c r="T697" s="5" t="s">
        <v>89</v>
      </c>
      <c r="U697" s="13" t="s">
        <v>299</v>
      </c>
    </row>
    <row r="698" spans="1:21" x14ac:dyDescent="0.35">
      <c r="A698" s="4">
        <v>697</v>
      </c>
      <c r="B698" s="4">
        <v>562</v>
      </c>
      <c r="C698" s="13" t="s">
        <v>1423</v>
      </c>
      <c r="D698" s="13" t="s">
        <v>1424</v>
      </c>
      <c r="E698" s="5" t="s">
        <v>5566</v>
      </c>
      <c r="F698" s="5" t="s">
        <v>3934</v>
      </c>
      <c r="G698" s="5" t="s">
        <v>3935</v>
      </c>
      <c r="H698" s="13" t="s">
        <v>2544</v>
      </c>
      <c r="I698" s="13" t="s">
        <v>2305</v>
      </c>
      <c r="J698" s="4">
        <v>91784</v>
      </c>
      <c r="K698" s="4">
        <v>1</v>
      </c>
      <c r="L698" s="4">
        <v>5</v>
      </c>
      <c r="M698" s="4">
        <v>2016</v>
      </c>
      <c r="N698" s="4">
        <v>1</v>
      </c>
      <c r="O698" s="4">
        <v>2</v>
      </c>
      <c r="P698" s="4">
        <v>2</v>
      </c>
      <c r="Q698" s="19">
        <v>1320.99</v>
      </c>
      <c r="R698" s="16">
        <v>0.05</v>
      </c>
      <c r="S698" s="16">
        <v>2641.93</v>
      </c>
      <c r="T698" s="5" t="s">
        <v>10</v>
      </c>
      <c r="U698" s="13" t="s">
        <v>304</v>
      </c>
    </row>
    <row r="699" spans="1:21" x14ac:dyDescent="0.35">
      <c r="A699" s="4">
        <v>698</v>
      </c>
      <c r="B699" s="4">
        <v>543</v>
      </c>
      <c r="C699" s="13" t="s">
        <v>1425</v>
      </c>
      <c r="D699" s="13" t="s">
        <v>612</v>
      </c>
      <c r="E699" s="5" t="s">
        <v>5566</v>
      </c>
      <c r="F699" s="5" t="s">
        <v>3936</v>
      </c>
      <c r="G699" s="5" t="s">
        <v>3937</v>
      </c>
      <c r="H699" s="13" t="s">
        <v>2620</v>
      </c>
      <c r="I699" s="13" t="s">
        <v>2397</v>
      </c>
      <c r="J699" s="4">
        <v>78023</v>
      </c>
      <c r="K699" s="4">
        <v>1</v>
      </c>
      <c r="L699" s="4">
        <v>96</v>
      </c>
      <c r="M699" s="4">
        <v>2017</v>
      </c>
      <c r="N699" s="4">
        <v>3</v>
      </c>
      <c r="O699" s="4">
        <v>8</v>
      </c>
      <c r="P699" s="4">
        <v>1</v>
      </c>
      <c r="Q699" s="19">
        <v>349.99</v>
      </c>
      <c r="R699" s="16">
        <v>7.0000000000000007E-2</v>
      </c>
      <c r="S699" s="16">
        <v>349.92</v>
      </c>
      <c r="T699" s="5" t="s">
        <v>96</v>
      </c>
      <c r="U699" s="13" t="s">
        <v>299</v>
      </c>
    </row>
    <row r="700" spans="1:21" x14ac:dyDescent="0.35">
      <c r="A700" s="4">
        <v>699</v>
      </c>
      <c r="B700" s="4">
        <v>958</v>
      </c>
      <c r="C700" s="13" t="s">
        <v>1426</v>
      </c>
      <c r="D700" s="13" t="s">
        <v>1427</v>
      </c>
      <c r="E700" s="5" t="s">
        <v>5566</v>
      </c>
      <c r="F700" s="5" t="s">
        <v>3938</v>
      </c>
      <c r="G700" s="5" t="s">
        <v>3939</v>
      </c>
      <c r="H700" s="13" t="s">
        <v>2666</v>
      </c>
      <c r="I700" s="13" t="s">
        <v>2397</v>
      </c>
      <c r="J700" s="4">
        <v>76039</v>
      </c>
      <c r="K700" s="4">
        <v>1</v>
      </c>
      <c r="L700" s="4">
        <v>106</v>
      </c>
      <c r="M700" s="4">
        <v>2017</v>
      </c>
      <c r="N700" s="4">
        <v>3</v>
      </c>
      <c r="O700" s="4">
        <v>9</v>
      </c>
      <c r="P700" s="4">
        <v>2</v>
      </c>
      <c r="Q700" s="19">
        <v>449.99</v>
      </c>
      <c r="R700" s="16">
        <v>0.1</v>
      </c>
      <c r="S700" s="16">
        <v>899.88</v>
      </c>
      <c r="T700" s="5" t="s">
        <v>69</v>
      </c>
      <c r="U700" s="13" t="s">
        <v>300</v>
      </c>
    </row>
    <row r="701" spans="1:21" x14ac:dyDescent="0.35">
      <c r="A701" s="4">
        <v>700</v>
      </c>
      <c r="B701" s="4">
        <v>4</v>
      </c>
      <c r="C701" s="13" t="s">
        <v>1428</v>
      </c>
      <c r="D701" s="13" t="s">
        <v>1429</v>
      </c>
      <c r="E701" s="5" t="s">
        <v>5566</v>
      </c>
      <c r="F701" s="5" t="s">
        <v>3940</v>
      </c>
      <c r="G701" s="5" t="s">
        <v>3941</v>
      </c>
      <c r="H701" s="13" t="s">
        <v>3212</v>
      </c>
      <c r="I701" s="13" t="s">
        <v>2309</v>
      </c>
      <c r="J701" s="4">
        <v>11553</v>
      </c>
      <c r="K701" s="4">
        <v>1</v>
      </c>
      <c r="L701" s="4">
        <v>7</v>
      </c>
      <c r="M701" s="4">
        <v>2016</v>
      </c>
      <c r="N701" s="4">
        <v>2</v>
      </c>
      <c r="O701" s="4">
        <v>6</v>
      </c>
      <c r="P701" s="4">
        <v>2</v>
      </c>
      <c r="Q701" s="19">
        <v>3999.99</v>
      </c>
      <c r="R701" s="16">
        <v>0.05</v>
      </c>
      <c r="S701" s="16">
        <v>7999.9299999999994</v>
      </c>
      <c r="T701" s="5" t="s">
        <v>12</v>
      </c>
      <c r="U701" s="13" t="s">
        <v>304</v>
      </c>
    </row>
    <row r="702" spans="1:21" x14ac:dyDescent="0.35">
      <c r="A702" s="4">
        <v>701</v>
      </c>
      <c r="B702" s="4">
        <v>850</v>
      </c>
      <c r="C702" s="13" t="s">
        <v>1430</v>
      </c>
      <c r="D702" s="13" t="s">
        <v>537</v>
      </c>
      <c r="E702" s="5" t="s">
        <v>5566</v>
      </c>
      <c r="F702" s="5" t="s">
        <v>3942</v>
      </c>
      <c r="G702" s="5" t="s">
        <v>3943</v>
      </c>
      <c r="H702" s="13" t="s">
        <v>3280</v>
      </c>
      <c r="I702" s="13" t="s">
        <v>2397</v>
      </c>
      <c r="J702" s="4">
        <v>75088</v>
      </c>
      <c r="K702" s="4">
        <v>1</v>
      </c>
      <c r="L702" s="4">
        <v>84</v>
      </c>
      <c r="M702" s="4">
        <v>2017</v>
      </c>
      <c r="N702" s="4">
        <v>3</v>
      </c>
      <c r="O702" s="4">
        <v>9</v>
      </c>
      <c r="P702" s="4">
        <v>1</v>
      </c>
      <c r="Q702" s="19">
        <v>109.99</v>
      </c>
      <c r="R702" s="16">
        <v>0.05</v>
      </c>
      <c r="S702" s="16">
        <v>109.94</v>
      </c>
      <c r="T702" s="5" t="s">
        <v>85</v>
      </c>
      <c r="U702" s="13" t="s">
        <v>299</v>
      </c>
    </row>
    <row r="703" spans="1:21" x14ac:dyDescent="0.35">
      <c r="A703" s="4">
        <v>702</v>
      </c>
      <c r="B703" s="4">
        <v>1352</v>
      </c>
      <c r="C703" s="13" t="s">
        <v>1431</v>
      </c>
      <c r="D703" s="13" t="s">
        <v>892</v>
      </c>
      <c r="E703" s="5" t="s">
        <v>5566</v>
      </c>
      <c r="F703" s="5" t="s">
        <v>3944</v>
      </c>
      <c r="G703" s="5" t="s">
        <v>3945</v>
      </c>
      <c r="H703" s="13" t="s">
        <v>2544</v>
      </c>
      <c r="I703" s="13" t="s">
        <v>2305</v>
      </c>
      <c r="J703" s="4">
        <v>91784</v>
      </c>
      <c r="K703" s="4">
        <v>1</v>
      </c>
      <c r="L703" s="4">
        <v>25</v>
      </c>
      <c r="M703" s="4">
        <v>2016</v>
      </c>
      <c r="N703" s="4">
        <v>1</v>
      </c>
      <c r="O703" s="4">
        <v>3</v>
      </c>
      <c r="P703" s="4">
        <v>2</v>
      </c>
      <c r="Q703" s="19">
        <v>499.99</v>
      </c>
      <c r="R703" s="16">
        <v>0.05</v>
      </c>
      <c r="S703" s="16">
        <v>999.93000000000006</v>
      </c>
      <c r="T703" s="5" t="s">
        <v>27</v>
      </c>
      <c r="U703" s="13" t="s">
        <v>300</v>
      </c>
    </row>
    <row r="704" spans="1:21" x14ac:dyDescent="0.35">
      <c r="A704" s="4">
        <v>703</v>
      </c>
      <c r="B704" s="4">
        <v>417</v>
      </c>
      <c r="C704" s="13" t="s">
        <v>1432</v>
      </c>
      <c r="D704" s="13" t="s">
        <v>1433</v>
      </c>
      <c r="E704" s="5" t="s">
        <v>5566</v>
      </c>
      <c r="F704" s="5" t="s">
        <v>3946</v>
      </c>
      <c r="G704" s="5" t="s">
        <v>3947</v>
      </c>
      <c r="H704" s="13" t="s">
        <v>2308</v>
      </c>
      <c r="I704" s="13" t="s">
        <v>2309</v>
      </c>
      <c r="J704" s="4">
        <v>11746</v>
      </c>
      <c r="K704" s="4">
        <v>1</v>
      </c>
      <c r="L704" s="4">
        <v>45</v>
      </c>
      <c r="M704" s="4">
        <v>2017</v>
      </c>
      <c r="N704" s="4">
        <v>2</v>
      </c>
      <c r="O704" s="4">
        <v>7</v>
      </c>
      <c r="P704" s="4">
        <v>2</v>
      </c>
      <c r="Q704" s="19">
        <v>869.99</v>
      </c>
      <c r="R704" s="16">
        <v>0.2</v>
      </c>
      <c r="S704" s="16">
        <v>1739.78</v>
      </c>
      <c r="T704" s="5" t="s">
        <v>46</v>
      </c>
      <c r="U704" s="13" t="s">
        <v>304</v>
      </c>
    </row>
    <row r="705" spans="1:21" x14ac:dyDescent="0.35">
      <c r="A705" s="4">
        <v>704</v>
      </c>
      <c r="B705" s="4">
        <v>1137</v>
      </c>
      <c r="C705" s="13" t="s">
        <v>1434</v>
      </c>
      <c r="D705" s="13" t="s">
        <v>1435</v>
      </c>
      <c r="E705" s="5" t="s">
        <v>5566</v>
      </c>
      <c r="F705" s="5" t="s">
        <v>3948</v>
      </c>
      <c r="G705" s="5" t="s">
        <v>3949</v>
      </c>
      <c r="H705" s="13" t="s">
        <v>2525</v>
      </c>
      <c r="I705" s="13" t="s">
        <v>2309</v>
      </c>
      <c r="J705" s="4">
        <v>11050</v>
      </c>
      <c r="K705" s="4">
        <v>1</v>
      </c>
      <c r="L705" s="4">
        <v>10</v>
      </c>
      <c r="M705" s="4">
        <v>2016</v>
      </c>
      <c r="N705" s="4">
        <v>2</v>
      </c>
      <c r="O705" s="4">
        <v>6</v>
      </c>
      <c r="P705" s="4">
        <v>2</v>
      </c>
      <c r="Q705" s="19">
        <v>1549</v>
      </c>
      <c r="R705" s="16">
        <v>0.05</v>
      </c>
      <c r="S705" s="16">
        <v>3097.95</v>
      </c>
      <c r="T705" s="5" t="s">
        <v>15</v>
      </c>
      <c r="U705" s="13" t="s">
        <v>302</v>
      </c>
    </row>
    <row r="706" spans="1:21" x14ac:dyDescent="0.35">
      <c r="A706" s="4">
        <v>705</v>
      </c>
      <c r="B706" s="4">
        <v>1196</v>
      </c>
      <c r="C706" s="13" t="s">
        <v>1436</v>
      </c>
      <c r="D706" s="13" t="s">
        <v>1437</v>
      </c>
      <c r="E706" s="5" t="s">
        <v>5566</v>
      </c>
      <c r="F706" s="5" t="s">
        <v>3950</v>
      </c>
      <c r="G706" s="5" t="s">
        <v>3951</v>
      </c>
      <c r="H706" s="13" t="s">
        <v>2312</v>
      </c>
      <c r="I706" s="13" t="s">
        <v>2309</v>
      </c>
      <c r="J706" s="4">
        <v>11772</v>
      </c>
      <c r="K706" s="4">
        <v>1</v>
      </c>
      <c r="L706" s="4">
        <v>61</v>
      </c>
      <c r="M706" s="4">
        <v>2017</v>
      </c>
      <c r="N706" s="4">
        <v>2</v>
      </c>
      <c r="O706" s="4">
        <v>7</v>
      </c>
      <c r="P706" s="4">
        <v>1</v>
      </c>
      <c r="Q706" s="19">
        <v>4999.99</v>
      </c>
      <c r="R706" s="16">
        <v>0.1</v>
      </c>
      <c r="S706" s="16">
        <v>4999.8899999999994</v>
      </c>
      <c r="T706" s="5" t="s">
        <v>62</v>
      </c>
      <c r="U706" s="13" t="s">
        <v>303</v>
      </c>
    </row>
    <row r="707" spans="1:21" x14ac:dyDescent="0.35">
      <c r="A707" s="4">
        <v>706</v>
      </c>
      <c r="B707" s="4">
        <v>1271</v>
      </c>
      <c r="C707" s="13" t="s">
        <v>1438</v>
      </c>
      <c r="D707" s="13" t="s">
        <v>1138</v>
      </c>
      <c r="E707" s="5" t="s">
        <v>5566</v>
      </c>
      <c r="F707" s="5" t="s">
        <v>3952</v>
      </c>
      <c r="G707" s="5" t="s">
        <v>3953</v>
      </c>
      <c r="H707" s="13" t="s">
        <v>2356</v>
      </c>
      <c r="I707" s="13" t="s">
        <v>2305</v>
      </c>
      <c r="J707" s="4">
        <v>91768</v>
      </c>
      <c r="K707" s="4">
        <v>1</v>
      </c>
      <c r="L707" s="4">
        <v>27</v>
      </c>
      <c r="M707" s="4">
        <v>2017</v>
      </c>
      <c r="N707" s="4">
        <v>1</v>
      </c>
      <c r="O707" s="4">
        <v>2</v>
      </c>
      <c r="P707" s="4">
        <v>1</v>
      </c>
      <c r="Q707" s="19">
        <v>999.99</v>
      </c>
      <c r="R707" s="16">
        <v>0.1</v>
      </c>
      <c r="S707" s="16">
        <v>999.89</v>
      </c>
      <c r="T707" s="5" t="s">
        <v>28</v>
      </c>
      <c r="U707" s="13" t="s">
        <v>304</v>
      </c>
    </row>
    <row r="708" spans="1:21" x14ac:dyDescent="0.35">
      <c r="A708" s="4">
        <v>707</v>
      </c>
      <c r="B708" s="4">
        <v>79</v>
      </c>
      <c r="C708" s="13" t="s">
        <v>1439</v>
      </c>
      <c r="D708" s="13" t="s">
        <v>1440</v>
      </c>
      <c r="E708" s="5" t="s">
        <v>5566</v>
      </c>
      <c r="F708" s="5" t="s">
        <v>3954</v>
      </c>
      <c r="G708" s="5" t="s">
        <v>3955</v>
      </c>
      <c r="H708" s="13" t="s">
        <v>470</v>
      </c>
      <c r="I708" s="13" t="s">
        <v>2309</v>
      </c>
      <c r="J708" s="4">
        <v>11510</v>
      </c>
      <c r="K708" s="4">
        <v>1</v>
      </c>
      <c r="L708" s="4">
        <v>106</v>
      </c>
      <c r="M708" s="4">
        <v>2017</v>
      </c>
      <c r="N708" s="4">
        <v>2</v>
      </c>
      <c r="O708" s="4">
        <v>7</v>
      </c>
      <c r="P708" s="4">
        <v>2</v>
      </c>
      <c r="Q708" s="19">
        <v>449.99</v>
      </c>
      <c r="R708" s="16">
        <v>0.05</v>
      </c>
      <c r="S708" s="16">
        <v>899.93000000000006</v>
      </c>
      <c r="T708" s="5" t="s">
        <v>69</v>
      </c>
      <c r="U708" s="13" t="s">
        <v>300</v>
      </c>
    </row>
    <row r="709" spans="1:21" x14ac:dyDescent="0.35">
      <c r="A709" s="4">
        <v>708</v>
      </c>
      <c r="B709" s="4">
        <v>660</v>
      </c>
      <c r="C709" s="13" t="s">
        <v>1441</v>
      </c>
      <c r="D709" s="13" t="s">
        <v>1442</v>
      </c>
      <c r="E709" s="5" t="s">
        <v>5566</v>
      </c>
      <c r="F709" s="5" t="s">
        <v>3956</v>
      </c>
      <c r="G709" s="5" t="s">
        <v>3957</v>
      </c>
      <c r="H709" s="13" t="s">
        <v>2489</v>
      </c>
      <c r="I709" s="13" t="s">
        <v>2305</v>
      </c>
      <c r="J709" s="4">
        <v>93555</v>
      </c>
      <c r="K709" s="4">
        <v>1</v>
      </c>
      <c r="L709" s="4">
        <v>6</v>
      </c>
      <c r="M709" s="4">
        <v>2016</v>
      </c>
      <c r="N709" s="4">
        <v>1</v>
      </c>
      <c r="O709" s="4">
        <v>2</v>
      </c>
      <c r="P709" s="4">
        <v>1</v>
      </c>
      <c r="Q709" s="19">
        <v>469.99</v>
      </c>
      <c r="R709" s="16">
        <v>7.0000000000000007E-2</v>
      </c>
      <c r="S709" s="16">
        <v>469.92</v>
      </c>
      <c r="T709" s="5" t="s">
        <v>11</v>
      </c>
      <c r="U709" s="13" t="s">
        <v>304</v>
      </c>
    </row>
    <row r="710" spans="1:21" x14ac:dyDescent="0.35">
      <c r="A710" s="4">
        <v>709</v>
      </c>
      <c r="B710" s="4">
        <v>1162</v>
      </c>
      <c r="C710" s="13" t="s">
        <v>1443</v>
      </c>
      <c r="D710" s="13" t="s">
        <v>1444</v>
      </c>
      <c r="E710" s="5" t="s">
        <v>5566</v>
      </c>
      <c r="F710" s="5" t="s">
        <v>3958</v>
      </c>
      <c r="G710" s="5" t="s">
        <v>3959</v>
      </c>
      <c r="H710" s="13" t="s">
        <v>2427</v>
      </c>
      <c r="I710" s="13" t="s">
        <v>2309</v>
      </c>
      <c r="J710" s="4">
        <v>14850</v>
      </c>
      <c r="K710" s="4">
        <v>1</v>
      </c>
      <c r="L710" s="4">
        <v>55</v>
      </c>
      <c r="M710" s="4">
        <v>2017</v>
      </c>
      <c r="N710" s="4">
        <v>2</v>
      </c>
      <c r="O710" s="4">
        <v>6</v>
      </c>
      <c r="P710" s="4">
        <v>2</v>
      </c>
      <c r="Q710" s="19">
        <v>2699.99</v>
      </c>
      <c r="R710" s="16">
        <v>0.05</v>
      </c>
      <c r="S710" s="16">
        <v>5399.9299999999994</v>
      </c>
      <c r="T710" s="5" t="s">
        <v>56</v>
      </c>
      <c r="U710" s="13" t="s">
        <v>305</v>
      </c>
    </row>
    <row r="711" spans="1:21" x14ac:dyDescent="0.35">
      <c r="A711" s="4">
        <v>710</v>
      </c>
      <c r="B711" s="4">
        <v>295</v>
      </c>
      <c r="C711" s="13" t="s">
        <v>1445</v>
      </c>
      <c r="D711" s="13" t="s">
        <v>1389</v>
      </c>
      <c r="E711" s="5" t="s">
        <v>5566</v>
      </c>
      <c r="F711" s="5" t="s">
        <v>3960</v>
      </c>
      <c r="G711" s="5" t="s">
        <v>3961</v>
      </c>
      <c r="H711" s="13" t="s">
        <v>3161</v>
      </c>
      <c r="I711" s="13" t="s">
        <v>2309</v>
      </c>
      <c r="J711" s="4">
        <v>11420</v>
      </c>
      <c r="K711" s="4">
        <v>1</v>
      </c>
      <c r="L711" s="4">
        <v>42</v>
      </c>
      <c r="M711" s="4">
        <v>2017</v>
      </c>
      <c r="N711" s="4">
        <v>2</v>
      </c>
      <c r="O711" s="4">
        <v>6</v>
      </c>
      <c r="P711" s="4">
        <v>1</v>
      </c>
      <c r="Q711" s="19">
        <v>2299.9899999999998</v>
      </c>
      <c r="R711" s="16">
        <v>0.05</v>
      </c>
      <c r="S711" s="16">
        <v>2299.9399999999996</v>
      </c>
      <c r="T711" s="5" t="s">
        <v>43</v>
      </c>
      <c r="U711" s="13" t="s">
        <v>304</v>
      </c>
    </row>
    <row r="712" spans="1:21" x14ac:dyDescent="0.35">
      <c r="A712" s="4">
        <v>711</v>
      </c>
      <c r="B712" s="4">
        <v>1246</v>
      </c>
      <c r="C712" s="13" t="s">
        <v>415</v>
      </c>
      <c r="D712" s="13" t="s">
        <v>919</v>
      </c>
      <c r="E712" s="5" t="s">
        <v>5566</v>
      </c>
      <c r="F712" s="5" t="s">
        <v>3962</v>
      </c>
      <c r="G712" s="5" t="s">
        <v>3963</v>
      </c>
      <c r="H712" s="13" t="s">
        <v>2605</v>
      </c>
      <c r="I712" s="13" t="s">
        <v>2309</v>
      </c>
      <c r="J712" s="4">
        <v>12401</v>
      </c>
      <c r="K712" s="4">
        <v>1</v>
      </c>
      <c r="L712" s="4">
        <v>5</v>
      </c>
      <c r="M712" s="4">
        <v>2016</v>
      </c>
      <c r="N712" s="4">
        <v>2</v>
      </c>
      <c r="O712" s="4">
        <v>6</v>
      </c>
      <c r="P712" s="4">
        <v>2</v>
      </c>
      <c r="Q712" s="19">
        <v>1320.99</v>
      </c>
      <c r="R712" s="16">
        <v>0.05</v>
      </c>
      <c r="S712" s="16">
        <v>2641.93</v>
      </c>
      <c r="T712" s="5" t="s">
        <v>10</v>
      </c>
      <c r="U712" s="13" t="s">
        <v>304</v>
      </c>
    </row>
    <row r="713" spans="1:21" x14ac:dyDescent="0.35">
      <c r="A713" s="4">
        <v>712</v>
      </c>
      <c r="B713" s="4">
        <v>173</v>
      </c>
      <c r="C713" s="13" t="s">
        <v>1446</v>
      </c>
      <c r="D713" s="13" t="s">
        <v>685</v>
      </c>
      <c r="E713" s="5" t="s">
        <v>5566</v>
      </c>
      <c r="F713" s="5" t="s">
        <v>3964</v>
      </c>
      <c r="G713" s="5" t="s">
        <v>3965</v>
      </c>
      <c r="H713" s="13" t="s">
        <v>902</v>
      </c>
      <c r="I713" s="13" t="s">
        <v>2397</v>
      </c>
      <c r="J713" s="4">
        <v>75043</v>
      </c>
      <c r="K713" s="4">
        <v>1</v>
      </c>
      <c r="L713" s="4">
        <v>44</v>
      </c>
      <c r="M713" s="4">
        <v>2017</v>
      </c>
      <c r="N713" s="4">
        <v>3</v>
      </c>
      <c r="O713" s="4">
        <v>9</v>
      </c>
      <c r="P713" s="4">
        <v>2</v>
      </c>
      <c r="Q713" s="19">
        <v>539.99</v>
      </c>
      <c r="R713" s="16">
        <v>0.2</v>
      </c>
      <c r="S713" s="16">
        <v>1079.78</v>
      </c>
      <c r="T713" s="5" t="s">
        <v>45</v>
      </c>
      <c r="U713" s="13" t="s">
        <v>304</v>
      </c>
    </row>
    <row r="714" spans="1:21" x14ac:dyDescent="0.35">
      <c r="A714" s="4">
        <v>713</v>
      </c>
      <c r="B714" s="4">
        <v>207</v>
      </c>
      <c r="C714" s="13" t="s">
        <v>1447</v>
      </c>
      <c r="D714" s="13" t="s">
        <v>1448</v>
      </c>
      <c r="E714" s="5" t="s">
        <v>5566</v>
      </c>
      <c r="F714" s="5" t="s">
        <v>3966</v>
      </c>
      <c r="G714" s="5" t="s">
        <v>3967</v>
      </c>
      <c r="H714" s="13" t="s">
        <v>3215</v>
      </c>
      <c r="I714" s="13" t="s">
        <v>2397</v>
      </c>
      <c r="J714" s="4">
        <v>75126</v>
      </c>
      <c r="K714" s="4">
        <v>1</v>
      </c>
      <c r="L714" s="4">
        <v>93</v>
      </c>
      <c r="M714" s="4">
        <v>2017</v>
      </c>
      <c r="N714" s="4">
        <v>3</v>
      </c>
      <c r="O714" s="4">
        <v>8</v>
      </c>
      <c r="P714" s="4">
        <v>2</v>
      </c>
      <c r="Q714" s="19">
        <v>209.99</v>
      </c>
      <c r="R714" s="16">
        <v>0.2</v>
      </c>
      <c r="S714" s="16">
        <v>419.78000000000003</v>
      </c>
      <c r="T714" s="5" t="s">
        <v>94</v>
      </c>
      <c r="U714" s="13" t="s">
        <v>299</v>
      </c>
    </row>
    <row r="715" spans="1:21" x14ac:dyDescent="0.35">
      <c r="A715" s="4">
        <v>714</v>
      </c>
      <c r="B715" s="4">
        <v>805</v>
      </c>
      <c r="C715" s="13" t="s">
        <v>1449</v>
      </c>
      <c r="D715" s="13" t="s">
        <v>757</v>
      </c>
      <c r="E715" s="5" t="s">
        <v>5566</v>
      </c>
      <c r="F715" s="5" t="s">
        <v>3968</v>
      </c>
      <c r="G715" s="5" t="s">
        <v>3969</v>
      </c>
      <c r="H715" s="13" t="s">
        <v>2494</v>
      </c>
      <c r="I715" s="13" t="s">
        <v>2309</v>
      </c>
      <c r="J715" s="4">
        <v>12065</v>
      </c>
      <c r="K715" s="4">
        <v>1</v>
      </c>
      <c r="L715" s="4">
        <v>92</v>
      </c>
      <c r="M715" s="4">
        <v>2017</v>
      </c>
      <c r="N715" s="4">
        <v>2</v>
      </c>
      <c r="O715" s="4">
        <v>7</v>
      </c>
      <c r="P715" s="4">
        <v>2</v>
      </c>
      <c r="Q715" s="19">
        <v>209.99</v>
      </c>
      <c r="R715" s="16">
        <v>0.2</v>
      </c>
      <c r="S715" s="16">
        <v>419.78000000000003</v>
      </c>
      <c r="T715" s="5" t="s">
        <v>93</v>
      </c>
      <c r="U715" s="13" t="s">
        <v>299</v>
      </c>
    </row>
    <row r="716" spans="1:21" x14ac:dyDescent="0.35">
      <c r="A716" s="4">
        <v>715</v>
      </c>
      <c r="B716" s="4">
        <v>12</v>
      </c>
      <c r="C716" s="13" t="s">
        <v>530</v>
      </c>
      <c r="D716" s="13" t="s">
        <v>531</v>
      </c>
      <c r="E716" s="5" t="s">
        <v>2612</v>
      </c>
      <c r="F716" s="5" t="s">
        <v>2613</v>
      </c>
      <c r="G716" s="5" t="s">
        <v>2614</v>
      </c>
      <c r="H716" s="13" t="s">
        <v>2615</v>
      </c>
      <c r="I716" s="13" t="s">
        <v>2309</v>
      </c>
      <c r="J716" s="4">
        <v>11550</v>
      </c>
      <c r="K716" s="4">
        <v>1</v>
      </c>
      <c r="L716" s="4">
        <v>61</v>
      </c>
      <c r="M716" s="4">
        <v>2017</v>
      </c>
      <c r="N716" s="4">
        <v>2</v>
      </c>
      <c r="O716" s="4">
        <v>6</v>
      </c>
      <c r="P716" s="4">
        <v>2</v>
      </c>
      <c r="Q716" s="19">
        <v>4999.99</v>
      </c>
      <c r="R716" s="16">
        <v>0.1</v>
      </c>
      <c r="S716" s="16">
        <v>9999.8799999999992</v>
      </c>
      <c r="T716" s="5" t="s">
        <v>62</v>
      </c>
      <c r="U716" s="13" t="s">
        <v>303</v>
      </c>
    </row>
    <row r="717" spans="1:21" x14ac:dyDescent="0.35">
      <c r="A717" s="4">
        <v>716</v>
      </c>
      <c r="B717" s="4">
        <v>672</v>
      </c>
      <c r="C717" s="13" t="s">
        <v>1450</v>
      </c>
      <c r="D717" s="13" t="s">
        <v>1451</v>
      </c>
      <c r="E717" s="5" t="s">
        <v>5566</v>
      </c>
      <c r="F717" s="5" t="s">
        <v>3970</v>
      </c>
      <c r="G717" s="5" t="s">
        <v>3971</v>
      </c>
      <c r="H717" s="13" t="s">
        <v>3267</v>
      </c>
      <c r="I717" s="13" t="s">
        <v>2309</v>
      </c>
      <c r="J717" s="4">
        <v>10801</v>
      </c>
      <c r="K717" s="4">
        <v>1</v>
      </c>
      <c r="L717" s="4">
        <v>111</v>
      </c>
      <c r="M717" s="4">
        <v>2017</v>
      </c>
      <c r="N717" s="4">
        <v>2</v>
      </c>
      <c r="O717" s="4">
        <v>6</v>
      </c>
      <c r="P717" s="4">
        <v>2</v>
      </c>
      <c r="Q717" s="19">
        <v>470.99</v>
      </c>
      <c r="R717" s="16">
        <v>0.1</v>
      </c>
      <c r="S717" s="16">
        <v>941.88</v>
      </c>
      <c r="T717" s="5" t="s">
        <v>108</v>
      </c>
      <c r="U717" s="13" t="s">
        <v>300</v>
      </c>
    </row>
    <row r="718" spans="1:21" x14ac:dyDescent="0.35">
      <c r="A718" s="4">
        <v>717</v>
      </c>
      <c r="B718" s="4">
        <v>1312</v>
      </c>
      <c r="C718" s="13" t="s">
        <v>1452</v>
      </c>
      <c r="D718" s="13" t="s">
        <v>1453</v>
      </c>
      <c r="E718" s="5" t="s">
        <v>5566</v>
      </c>
      <c r="F718" s="5" t="s">
        <v>3972</v>
      </c>
      <c r="G718" s="5" t="s">
        <v>3973</v>
      </c>
      <c r="H718" s="13" t="s">
        <v>2531</v>
      </c>
      <c r="I718" s="13" t="s">
        <v>2309</v>
      </c>
      <c r="J718" s="4">
        <v>11779</v>
      </c>
      <c r="K718" s="4">
        <v>1</v>
      </c>
      <c r="L718" s="4">
        <v>56</v>
      </c>
      <c r="M718" s="4">
        <v>2017</v>
      </c>
      <c r="N718" s="4">
        <v>2</v>
      </c>
      <c r="O718" s="4">
        <v>6</v>
      </c>
      <c r="P718" s="4">
        <v>2</v>
      </c>
      <c r="Q718" s="19">
        <v>5499.99</v>
      </c>
      <c r="R718" s="16">
        <v>0.05</v>
      </c>
      <c r="S718" s="16">
        <v>10999.93</v>
      </c>
      <c r="T718" s="5" t="s">
        <v>57</v>
      </c>
      <c r="U718" s="13" t="s">
        <v>305</v>
      </c>
    </row>
    <row r="719" spans="1:21" x14ac:dyDescent="0.35">
      <c r="A719" s="4">
        <v>718</v>
      </c>
      <c r="B719" s="4">
        <v>38</v>
      </c>
      <c r="C719" s="13" t="s">
        <v>1454</v>
      </c>
      <c r="D719" s="13" t="s">
        <v>537</v>
      </c>
      <c r="E719" s="5" t="s">
        <v>5566</v>
      </c>
      <c r="F719" s="5" t="s">
        <v>3974</v>
      </c>
      <c r="G719" s="5" t="s">
        <v>3975</v>
      </c>
      <c r="H719" s="13" t="s">
        <v>3156</v>
      </c>
      <c r="I719" s="13" t="s">
        <v>2309</v>
      </c>
      <c r="J719" s="4">
        <v>11102</v>
      </c>
      <c r="K719" s="4">
        <v>1</v>
      </c>
      <c r="L719" s="4">
        <v>92</v>
      </c>
      <c r="M719" s="4">
        <v>2017</v>
      </c>
      <c r="N719" s="4">
        <v>2</v>
      </c>
      <c r="O719" s="4">
        <v>7</v>
      </c>
      <c r="P719" s="4">
        <v>2</v>
      </c>
      <c r="Q719" s="19">
        <v>209.99</v>
      </c>
      <c r="R719" s="16">
        <v>7.0000000000000007E-2</v>
      </c>
      <c r="S719" s="16">
        <v>419.91</v>
      </c>
      <c r="T719" s="5" t="s">
        <v>93</v>
      </c>
      <c r="U719" s="13" t="s">
        <v>299</v>
      </c>
    </row>
    <row r="720" spans="1:21" x14ac:dyDescent="0.35">
      <c r="A720" s="4">
        <v>719</v>
      </c>
      <c r="B720" s="4">
        <v>200</v>
      </c>
      <c r="C720" s="13" t="s">
        <v>1455</v>
      </c>
      <c r="D720" s="13" t="s">
        <v>706</v>
      </c>
      <c r="E720" s="5" t="s">
        <v>5566</v>
      </c>
      <c r="F720" s="5" t="s">
        <v>3976</v>
      </c>
      <c r="G720" s="5" t="s">
        <v>3977</v>
      </c>
      <c r="H720" s="13" t="s">
        <v>2950</v>
      </c>
      <c r="I720" s="13" t="s">
        <v>2309</v>
      </c>
      <c r="J720" s="4">
        <v>11735</v>
      </c>
      <c r="K720" s="4">
        <v>1</v>
      </c>
      <c r="L720" s="4">
        <v>100</v>
      </c>
      <c r="M720" s="4">
        <v>2017</v>
      </c>
      <c r="N720" s="4">
        <v>2</v>
      </c>
      <c r="O720" s="4">
        <v>6</v>
      </c>
      <c r="P720" s="4">
        <v>1</v>
      </c>
      <c r="Q720" s="19">
        <v>489.99</v>
      </c>
      <c r="R720" s="16">
        <v>0.2</v>
      </c>
      <c r="S720" s="16">
        <v>489.79</v>
      </c>
      <c r="T720" s="5" t="s">
        <v>100</v>
      </c>
      <c r="U720" s="13" t="s">
        <v>299</v>
      </c>
    </row>
    <row r="721" spans="1:21" x14ac:dyDescent="0.35">
      <c r="A721" s="4">
        <v>720</v>
      </c>
      <c r="B721" s="4">
        <v>382</v>
      </c>
      <c r="C721" s="13" t="s">
        <v>1456</v>
      </c>
      <c r="D721" s="13" t="s">
        <v>1457</v>
      </c>
      <c r="E721" s="5" t="s">
        <v>5566</v>
      </c>
      <c r="F721" s="5" t="s">
        <v>3978</v>
      </c>
      <c r="G721" s="5" t="s">
        <v>3979</v>
      </c>
      <c r="H721" s="13" t="s">
        <v>2690</v>
      </c>
      <c r="I721" s="13" t="s">
        <v>2309</v>
      </c>
      <c r="J721" s="4">
        <v>11414</v>
      </c>
      <c r="K721" s="4">
        <v>1</v>
      </c>
      <c r="L721" s="4">
        <v>111</v>
      </c>
      <c r="M721" s="4">
        <v>2017</v>
      </c>
      <c r="N721" s="4">
        <v>2</v>
      </c>
      <c r="O721" s="4">
        <v>6</v>
      </c>
      <c r="P721" s="4">
        <v>1</v>
      </c>
      <c r="Q721" s="19">
        <v>470.99</v>
      </c>
      <c r="R721" s="16">
        <v>7.0000000000000007E-2</v>
      </c>
      <c r="S721" s="16">
        <v>470.92</v>
      </c>
      <c r="T721" s="5" t="s">
        <v>108</v>
      </c>
      <c r="U721" s="13" t="s">
        <v>300</v>
      </c>
    </row>
    <row r="722" spans="1:21" x14ac:dyDescent="0.35">
      <c r="A722" s="4">
        <v>721</v>
      </c>
      <c r="B722" s="4">
        <v>625</v>
      </c>
      <c r="C722" s="13" t="s">
        <v>1458</v>
      </c>
      <c r="D722" s="13" t="s">
        <v>1459</v>
      </c>
      <c r="E722" s="5" t="s">
        <v>5566</v>
      </c>
      <c r="F722" s="5" t="s">
        <v>3980</v>
      </c>
      <c r="G722" s="5" t="s">
        <v>3981</v>
      </c>
      <c r="H722" s="13" t="s">
        <v>1457</v>
      </c>
      <c r="I722" s="13" t="s">
        <v>2309</v>
      </c>
      <c r="J722" s="4">
        <v>14580</v>
      </c>
      <c r="K722" s="4">
        <v>1</v>
      </c>
      <c r="L722" s="4">
        <v>45</v>
      </c>
      <c r="M722" s="4">
        <v>2017</v>
      </c>
      <c r="N722" s="4">
        <v>2</v>
      </c>
      <c r="O722" s="4">
        <v>7</v>
      </c>
      <c r="P722" s="4">
        <v>2</v>
      </c>
      <c r="Q722" s="19">
        <v>869.99</v>
      </c>
      <c r="R722" s="16">
        <v>7.0000000000000007E-2</v>
      </c>
      <c r="S722" s="16">
        <v>1739.91</v>
      </c>
      <c r="T722" s="5" t="s">
        <v>46</v>
      </c>
      <c r="U722" s="13" t="s">
        <v>304</v>
      </c>
    </row>
    <row r="723" spans="1:21" x14ac:dyDescent="0.35">
      <c r="A723" s="4">
        <v>722</v>
      </c>
      <c r="B723" s="4">
        <v>1399</v>
      </c>
      <c r="C723" s="13" t="s">
        <v>1460</v>
      </c>
      <c r="D723" s="13" t="s">
        <v>865</v>
      </c>
      <c r="E723" s="5" t="s">
        <v>5566</v>
      </c>
      <c r="F723" s="5" t="s">
        <v>3982</v>
      </c>
      <c r="G723" s="5" t="s">
        <v>3983</v>
      </c>
      <c r="H723" s="13" t="s">
        <v>3204</v>
      </c>
      <c r="I723" s="13" t="s">
        <v>2309</v>
      </c>
      <c r="J723" s="4">
        <v>14424</v>
      </c>
      <c r="K723" s="4">
        <v>1</v>
      </c>
      <c r="L723" s="4">
        <v>22</v>
      </c>
      <c r="M723" s="4">
        <v>2016</v>
      </c>
      <c r="N723" s="4">
        <v>2</v>
      </c>
      <c r="O723" s="4">
        <v>7</v>
      </c>
      <c r="P723" s="4">
        <v>2</v>
      </c>
      <c r="Q723" s="19">
        <v>269.99</v>
      </c>
      <c r="R723" s="16">
        <v>7.0000000000000007E-2</v>
      </c>
      <c r="S723" s="16">
        <v>539.91</v>
      </c>
      <c r="T723" s="5" t="s">
        <v>19</v>
      </c>
      <c r="U723" s="13" t="s">
        <v>299</v>
      </c>
    </row>
    <row r="724" spans="1:21" x14ac:dyDescent="0.35">
      <c r="A724" s="4">
        <v>723</v>
      </c>
      <c r="B724" s="4">
        <v>845</v>
      </c>
      <c r="C724" s="13" t="s">
        <v>1461</v>
      </c>
      <c r="D724" s="13" t="s">
        <v>1299</v>
      </c>
      <c r="E724" s="5" t="s">
        <v>5566</v>
      </c>
      <c r="F724" s="5" t="s">
        <v>3984</v>
      </c>
      <c r="G724" s="5" t="s">
        <v>3985</v>
      </c>
      <c r="H724" s="13" t="s">
        <v>2384</v>
      </c>
      <c r="I724" s="13" t="s">
        <v>2309</v>
      </c>
      <c r="J724" s="4">
        <v>10451</v>
      </c>
      <c r="K724" s="4">
        <v>1</v>
      </c>
      <c r="L724" s="4">
        <v>24</v>
      </c>
      <c r="M724" s="4">
        <v>2016</v>
      </c>
      <c r="N724" s="4">
        <v>2</v>
      </c>
      <c r="O724" s="4">
        <v>6</v>
      </c>
      <c r="P724" s="4">
        <v>2</v>
      </c>
      <c r="Q724" s="19">
        <v>549.99</v>
      </c>
      <c r="R724" s="16">
        <v>7.0000000000000007E-2</v>
      </c>
      <c r="S724" s="16">
        <v>1099.9100000000001</v>
      </c>
      <c r="T724" s="5" t="s">
        <v>17</v>
      </c>
      <c r="U724" s="13" t="s">
        <v>300</v>
      </c>
    </row>
    <row r="725" spans="1:21" x14ac:dyDescent="0.35">
      <c r="A725" s="4">
        <v>724</v>
      </c>
      <c r="B725" s="4">
        <v>864</v>
      </c>
      <c r="C725" s="13" t="s">
        <v>1462</v>
      </c>
      <c r="D725" s="13" t="s">
        <v>531</v>
      </c>
      <c r="E725" s="5" t="s">
        <v>3986</v>
      </c>
      <c r="F725" s="5" t="s">
        <v>3987</v>
      </c>
      <c r="G725" s="5" t="s">
        <v>3988</v>
      </c>
      <c r="H725" s="13" t="s">
        <v>2406</v>
      </c>
      <c r="I725" s="13" t="s">
        <v>2309</v>
      </c>
      <c r="J725" s="4">
        <v>14215</v>
      </c>
      <c r="K725" s="4">
        <v>1</v>
      </c>
      <c r="L725" s="4">
        <v>23</v>
      </c>
      <c r="M725" s="4">
        <v>2016</v>
      </c>
      <c r="N725" s="4">
        <v>2</v>
      </c>
      <c r="O725" s="4">
        <v>6</v>
      </c>
      <c r="P725" s="4">
        <v>1</v>
      </c>
      <c r="Q725" s="19">
        <v>299.99</v>
      </c>
      <c r="R725" s="16">
        <v>0.05</v>
      </c>
      <c r="S725" s="16">
        <v>299.94</v>
      </c>
      <c r="T725" s="5" t="s">
        <v>26</v>
      </c>
      <c r="U725" s="13" t="s">
        <v>299</v>
      </c>
    </row>
    <row r="726" spans="1:21" x14ac:dyDescent="0.35">
      <c r="A726" s="4">
        <v>725</v>
      </c>
      <c r="B726" s="4">
        <v>870</v>
      </c>
      <c r="C726" s="13" t="s">
        <v>1463</v>
      </c>
      <c r="D726" s="13" t="s">
        <v>1464</v>
      </c>
      <c r="E726" s="5" t="s">
        <v>5566</v>
      </c>
      <c r="F726" s="5" t="s">
        <v>3989</v>
      </c>
      <c r="G726" s="5" t="s">
        <v>3990</v>
      </c>
      <c r="H726" s="13" t="s">
        <v>2797</v>
      </c>
      <c r="I726" s="13" t="s">
        <v>2309</v>
      </c>
      <c r="J726" s="4">
        <v>11787</v>
      </c>
      <c r="K726" s="4">
        <v>1</v>
      </c>
      <c r="L726" s="4">
        <v>90</v>
      </c>
      <c r="M726" s="4">
        <v>2017</v>
      </c>
      <c r="N726" s="4">
        <v>2</v>
      </c>
      <c r="O726" s="4">
        <v>7</v>
      </c>
      <c r="P726" s="4">
        <v>1</v>
      </c>
      <c r="Q726" s="19">
        <v>209.99</v>
      </c>
      <c r="R726" s="16">
        <v>0.1</v>
      </c>
      <c r="S726" s="16">
        <v>209.89000000000001</v>
      </c>
      <c r="T726" s="5" t="s">
        <v>91</v>
      </c>
      <c r="U726" s="13" t="s">
        <v>299</v>
      </c>
    </row>
    <row r="727" spans="1:21" x14ac:dyDescent="0.35">
      <c r="A727" s="4">
        <v>726</v>
      </c>
      <c r="B727" s="4">
        <v>969</v>
      </c>
      <c r="C727" s="13" t="s">
        <v>1465</v>
      </c>
      <c r="D727" s="13" t="s">
        <v>1466</v>
      </c>
      <c r="E727" s="5" t="s">
        <v>3991</v>
      </c>
      <c r="F727" s="5" t="s">
        <v>3992</v>
      </c>
      <c r="G727" s="5" t="s">
        <v>3993</v>
      </c>
      <c r="H727" s="13" t="s">
        <v>2476</v>
      </c>
      <c r="I727" s="13" t="s">
        <v>2309</v>
      </c>
      <c r="J727" s="4">
        <v>14606</v>
      </c>
      <c r="K727" s="4">
        <v>1</v>
      </c>
      <c r="L727" s="4">
        <v>64</v>
      </c>
      <c r="M727" s="4">
        <v>2017</v>
      </c>
      <c r="N727" s="4">
        <v>2</v>
      </c>
      <c r="O727" s="4">
        <v>6</v>
      </c>
      <c r="P727" s="4">
        <v>1</v>
      </c>
      <c r="Q727" s="19">
        <v>489.99</v>
      </c>
      <c r="R727" s="16">
        <v>0.2</v>
      </c>
      <c r="S727" s="16">
        <v>489.79</v>
      </c>
      <c r="T727" s="5" t="s">
        <v>65</v>
      </c>
      <c r="U727" s="13" t="s">
        <v>301</v>
      </c>
    </row>
    <row r="728" spans="1:21" x14ac:dyDescent="0.35">
      <c r="A728" s="4">
        <v>727</v>
      </c>
      <c r="B728" s="4">
        <v>962</v>
      </c>
      <c r="C728" s="13" t="s">
        <v>1467</v>
      </c>
      <c r="D728" s="13" t="s">
        <v>1468</v>
      </c>
      <c r="E728" s="5" t="s">
        <v>5566</v>
      </c>
      <c r="F728" s="5" t="s">
        <v>3994</v>
      </c>
      <c r="G728" s="5" t="s">
        <v>3995</v>
      </c>
      <c r="H728" s="13" t="s">
        <v>2878</v>
      </c>
      <c r="I728" s="13" t="s">
        <v>2397</v>
      </c>
      <c r="J728" s="4">
        <v>76522</v>
      </c>
      <c r="K728" s="4">
        <v>1</v>
      </c>
      <c r="L728" s="4">
        <v>78</v>
      </c>
      <c r="M728" s="4">
        <v>2017</v>
      </c>
      <c r="N728" s="4">
        <v>3</v>
      </c>
      <c r="O728" s="4">
        <v>9</v>
      </c>
      <c r="P728" s="4">
        <v>1</v>
      </c>
      <c r="Q728" s="19">
        <v>647.99</v>
      </c>
      <c r="R728" s="16">
        <v>7.0000000000000007E-2</v>
      </c>
      <c r="S728" s="16">
        <v>647.91999999999996</v>
      </c>
      <c r="T728" s="5" t="s">
        <v>79</v>
      </c>
      <c r="U728" s="13" t="s">
        <v>301</v>
      </c>
    </row>
    <row r="729" spans="1:21" x14ac:dyDescent="0.35">
      <c r="A729" s="4">
        <v>728</v>
      </c>
      <c r="B729" s="4">
        <v>1138</v>
      </c>
      <c r="C729" s="13" t="s">
        <v>596</v>
      </c>
      <c r="D729" s="13" t="s">
        <v>533</v>
      </c>
      <c r="E729" s="5" t="s">
        <v>5566</v>
      </c>
      <c r="F729" s="5" t="s">
        <v>3996</v>
      </c>
      <c r="G729" s="5" t="s">
        <v>3997</v>
      </c>
      <c r="H729" s="13" t="s">
        <v>2489</v>
      </c>
      <c r="I729" s="13" t="s">
        <v>2305</v>
      </c>
      <c r="J729" s="4">
        <v>93555</v>
      </c>
      <c r="K729" s="4">
        <v>1</v>
      </c>
      <c r="L729" s="4">
        <v>70</v>
      </c>
      <c r="M729" s="4">
        <v>2017</v>
      </c>
      <c r="N729" s="4">
        <v>1</v>
      </c>
      <c r="O729" s="4">
        <v>3</v>
      </c>
      <c r="P729" s="4">
        <v>1</v>
      </c>
      <c r="Q729" s="19">
        <v>659.99</v>
      </c>
      <c r="R729" s="16">
        <v>0.05</v>
      </c>
      <c r="S729" s="16">
        <v>659.94</v>
      </c>
      <c r="T729" s="5" t="s">
        <v>71</v>
      </c>
      <c r="U729" s="13" t="s">
        <v>301</v>
      </c>
    </row>
    <row r="730" spans="1:21" x14ac:dyDescent="0.35">
      <c r="A730" s="4">
        <v>729</v>
      </c>
      <c r="B730" s="4">
        <v>897</v>
      </c>
      <c r="C730" s="13" t="s">
        <v>1469</v>
      </c>
      <c r="D730" s="13" t="s">
        <v>660</v>
      </c>
      <c r="E730" s="5" t="s">
        <v>3998</v>
      </c>
      <c r="F730" s="5" t="s">
        <v>3999</v>
      </c>
      <c r="G730" s="5" t="s">
        <v>4000</v>
      </c>
      <c r="H730" s="13" t="s">
        <v>2597</v>
      </c>
      <c r="I730" s="13" t="s">
        <v>2309</v>
      </c>
      <c r="J730" s="4">
        <v>14086</v>
      </c>
      <c r="K730" s="4">
        <v>1</v>
      </c>
      <c r="L730" s="4">
        <v>101</v>
      </c>
      <c r="M730" s="4">
        <v>2017</v>
      </c>
      <c r="N730" s="4">
        <v>2</v>
      </c>
      <c r="O730" s="4">
        <v>7</v>
      </c>
      <c r="P730" s="4">
        <v>2</v>
      </c>
      <c r="Q730" s="19">
        <v>339.99</v>
      </c>
      <c r="R730" s="16">
        <v>0.1</v>
      </c>
      <c r="S730" s="16">
        <v>679.88</v>
      </c>
      <c r="T730" s="5" t="s">
        <v>101</v>
      </c>
      <c r="U730" s="13" t="s">
        <v>299</v>
      </c>
    </row>
    <row r="731" spans="1:21" x14ac:dyDescent="0.35">
      <c r="A731" s="4">
        <v>730</v>
      </c>
      <c r="B731" s="4">
        <v>500</v>
      </c>
      <c r="C731" s="13" t="s">
        <v>1470</v>
      </c>
      <c r="D731" s="13" t="s">
        <v>373</v>
      </c>
      <c r="E731" s="5" t="s">
        <v>5566</v>
      </c>
      <c r="F731" s="5" t="s">
        <v>4001</v>
      </c>
      <c r="G731" s="5" t="s">
        <v>4002</v>
      </c>
      <c r="H731" s="13" t="s">
        <v>2763</v>
      </c>
      <c r="I731" s="13" t="s">
        <v>2309</v>
      </c>
      <c r="J731" s="4">
        <v>11372</v>
      </c>
      <c r="K731" s="4">
        <v>1</v>
      </c>
      <c r="L731" s="4">
        <v>59</v>
      </c>
      <c r="M731" s="4">
        <v>2017</v>
      </c>
      <c r="N731" s="4">
        <v>2</v>
      </c>
      <c r="O731" s="4">
        <v>6</v>
      </c>
      <c r="P731" s="4">
        <v>2</v>
      </c>
      <c r="Q731" s="19">
        <v>2599.9899999999998</v>
      </c>
      <c r="R731" s="16">
        <v>0.05</v>
      </c>
      <c r="S731" s="16">
        <v>5199.9299999999994</v>
      </c>
      <c r="T731" s="5" t="s">
        <v>60</v>
      </c>
      <c r="U731" s="13" t="s">
        <v>305</v>
      </c>
    </row>
    <row r="732" spans="1:21" x14ac:dyDescent="0.35">
      <c r="A732" s="4">
        <v>731</v>
      </c>
      <c r="B732" s="4">
        <v>910</v>
      </c>
      <c r="C732" s="13" t="s">
        <v>1471</v>
      </c>
      <c r="D732" s="13" t="s">
        <v>351</v>
      </c>
      <c r="E732" s="5" t="s">
        <v>5566</v>
      </c>
      <c r="F732" s="5" t="s">
        <v>4003</v>
      </c>
      <c r="G732" s="5" t="s">
        <v>4004</v>
      </c>
      <c r="H732" s="13" t="s">
        <v>4005</v>
      </c>
      <c r="I732" s="13" t="s">
        <v>2397</v>
      </c>
      <c r="J732" s="4">
        <v>78501</v>
      </c>
      <c r="K732" s="4">
        <v>1</v>
      </c>
      <c r="L732" s="4">
        <v>91</v>
      </c>
      <c r="M732" s="4">
        <v>2017</v>
      </c>
      <c r="N732" s="4">
        <v>3</v>
      </c>
      <c r="O732" s="4">
        <v>9</v>
      </c>
      <c r="P732" s="4">
        <v>1</v>
      </c>
      <c r="Q732" s="19">
        <v>349.99</v>
      </c>
      <c r="R732" s="16">
        <v>0.05</v>
      </c>
      <c r="S732" s="16">
        <v>349.94</v>
      </c>
      <c r="T732" s="5" t="s">
        <v>92</v>
      </c>
      <c r="U732" s="13" t="s">
        <v>299</v>
      </c>
    </row>
    <row r="733" spans="1:21" x14ac:dyDescent="0.35">
      <c r="A733" s="4">
        <v>732</v>
      </c>
      <c r="B733" s="4">
        <v>147</v>
      </c>
      <c r="C733" s="13" t="s">
        <v>906</v>
      </c>
      <c r="D733" s="13" t="s">
        <v>1289</v>
      </c>
      <c r="E733" s="5" t="s">
        <v>5566</v>
      </c>
      <c r="F733" s="5" t="s">
        <v>4006</v>
      </c>
      <c r="G733" s="5" t="s">
        <v>4007</v>
      </c>
      <c r="H733" s="13" t="s">
        <v>2797</v>
      </c>
      <c r="I733" s="13" t="s">
        <v>2309</v>
      </c>
      <c r="J733" s="4">
        <v>11787</v>
      </c>
      <c r="K733" s="4">
        <v>1</v>
      </c>
      <c r="L733" s="4">
        <v>47</v>
      </c>
      <c r="M733" s="4">
        <v>2017</v>
      </c>
      <c r="N733" s="4">
        <v>2</v>
      </c>
      <c r="O733" s="4">
        <v>7</v>
      </c>
      <c r="P733" s="4">
        <v>1</v>
      </c>
      <c r="Q733" s="19">
        <v>5299.99</v>
      </c>
      <c r="R733" s="16">
        <v>7.0000000000000007E-2</v>
      </c>
      <c r="S733" s="16">
        <v>5299.92</v>
      </c>
      <c r="T733" s="5" t="s">
        <v>48</v>
      </c>
      <c r="U733" s="13" t="s">
        <v>304</v>
      </c>
    </row>
    <row r="734" spans="1:21" x14ac:dyDescent="0.35">
      <c r="A734" s="4">
        <v>733</v>
      </c>
      <c r="B734" s="4">
        <v>832</v>
      </c>
      <c r="C734" s="13" t="s">
        <v>376</v>
      </c>
      <c r="D734" s="13" t="s">
        <v>757</v>
      </c>
      <c r="E734" s="5" t="s">
        <v>5566</v>
      </c>
      <c r="F734" s="5" t="s">
        <v>4008</v>
      </c>
      <c r="G734" s="5" t="s">
        <v>4009</v>
      </c>
      <c r="H734" s="13" t="s">
        <v>2518</v>
      </c>
      <c r="I734" s="13" t="s">
        <v>2309</v>
      </c>
      <c r="J734" s="4">
        <v>12020</v>
      </c>
      <c r="K734" s="4">
        <v>1</v>
      </c>
      <c r="L734" s="4">
        <v>84</v>
      </c>
      <c r="M734" s="4">
        <v>2017</v>
      </c>
      <c r="N734" s="4">
        <v>2</v>
      </c>
      <c r="O734" s="4">
        <v>7</v>
      </c>
      <c r="P734" s="4">
        <v>1</v>
      </c>
      <c r="Q734" s="19">
        <v>109.99</v>
      </c>
      <c r="R734" s="16">
        <v>0.05</v>
      </c>
      <c r="S734" s="16">
        <v>109.94</v>
      </c>
      <c r="T734" s="5" t="s">
        <v>85</v>
      </c>
      <c r="U734" s="13" t="s">
        <v>299</v>
      </c>
    </row>
    <row r="735" spans="1:21" x14ac:dyDescent="0.35">
      <c r="A735" s="4">
        <v>734</v>
      </c>
      <c r="B735" s="4">
        <v>939</v>
      </c>
      <c r="C735" s="13" t="s">
        <v>1472</v>
      </c>
      <c r="D735" s="13" t="s">
        <v>1473</v>
      </c>
      <c r="E735" s="5" t="s">
        <v>4010</v>
      </c>
      <c r="F735" s="5" t="s">
        <v>4011</v>
      </c>
      <c r="G735" s="5" t="s">
        <v>4012</v>
      </c>
      <c r="H735" s="13" t="s">
        <v>2453</v>
      </c>
      <c r="I735" s="13" t="s">
        <v>2397</v>
      </c>
      <c r="J735" s="4">
        <v>78418</v>
      </c>
      <c r="K735" s="4">
        <v>1</v>
      </c>
      <c r="L735" s="4">
        <v>26</v>
      </c>
      <c r="M735" s="4">
        <v>2016</v>
      </c>
      <c r="N735" s="4">
        <v>3</v>
      </c>
      <c r="O735" s="4">
        <v>9</v>
      </c>
      <c r="P735" s="4">
        <v>1</v>
      </c>
      <c r="Q735" s="19">
        <v>599.99</v>
      </c>
      <c r="R735" s="16">
        <v>0.2</v>
      </c>
      <c r="S735" s="16">
        <v>599.79</v>
      </c>
      <c r="T735" s="5" t="s">
        <v>21</v>
      </c>
      <c r="U735" s="13" t="s">
        <v>300</v>
      </c>
    </row>
    <row r="736" spans="1:21" x14ac:dyDescent="0.35">
      <c r="A736" s="4">
        <v>735</v>
      </c>
      <c r="B736" s="4">
        <v>20</v>
      </c>
      <c r="C736" s="13" t="s">
        <v>986</v>
      </c>
      <c r="D736" s="13" t="s">
        <v>1230</v>
      </c>
      <c r="E736" s="5" t="s">
        <v>5566</v>
      </c>
      <c r="F736" s="5" t="s">
        <v>3620</v>
      </c>
      <c r="G736" s="5" t="s">
        <v>3621</v>
      </c>
      <c r="H736" s="13" t="s">
        <v>2502</v>
      </c>
      <c r="I736" s="13" t="s">
        <v>2397</v>
      </c>
      <c r="J736" s="4">
        <v>77478</v>
      </c>
      <c r="K736" s="4">
        <v>1</v>
      </c>
      <c r="L736" s="4">
        <v>71</v>
      </c>
      <c r="M736" s="4">
        <v>2017</v>
      </c>
      <c r="N736" s="4">
        <v>3</v>
      </c>
      <c r="O736" s="4">
        <v>9</v>
      </c>
      <c r="P736" s="4">
        <v>2</v>
      </c>
      <c r="Q736" s="19">
        <v>416.99</v>
      </c>
      <c r="R736" s="16">
        <v>0.1</v>
      </c>
      <c r="S736" s="16">
        <v>833.88</v>
      </c>
      <c r="T736" s="5" t="s">
        <v>72</v>
      </c>
      <c r="U736" s="13" t="s">
        <v>301</v>
      </c>
    </row>
    <row r="737" spans="1:21" x14ac:dyDescent="0.35">
      <c r="A737" s="4">
        <v>736</v>
      </c>
      <c r="B737" s="4">
        <v>184</v>
      </c>
      <c r="C737" s="13" t="s">
        <v>1178</v>
      </c>
      <c r="D737" s="13" t="s">
        <v>845</v>
      </c>
      <c r="E737" s="5" t="s">
        <v>5566</v>
      </c>
      <c r="F737" s="5" t="s">
        <v>4013</v>
      </c>
      <c r="G737" s="5" t="s">
        <v>4014</v>
      </c>
      <c r="H737" s="13" t="s">
        <v>1457</v>
      </c>
      <c r="I737" s="13" t="s">
        <v>2309</v>
      </c>
      <c r="J737" s="4">
        <v>14580</v>
      </c>
      <c r="K737" s="4">
        <v>1</v>
      </c>
      <c r="L737" s="4">
        <v>56</v>
      </c>
      <c r="M737" s="4">
        <v>2017</v>
      </c>
      <c r="N737" s="4">
        <v>2</v>
      </c>
      <c r="O737" s="4">
        <v>7</v>
      </c>
      <c r="P737" s="4">
        <v>2</v>
      </c>
      <c r="Q737" s="19">
        <v>5499.99</v>
      </c>
      <c r="R737" s="16">
        <v>0.05</v>
      </c>
      <c r="S737" s="16">
        <v>10999.93</v>
      </c>
      <c r="T737" s="5" t="s">
        <v>57</v>
      </c>
      <c r="U737" s="13" t="s">
        <v>305</v>
      </c>
    </row>
    <row r="738" spans="1:21" x14ac:dyDescent="0.35">
      <c r="A738" s="4">
        <v>737</v>
      </c>
      <c r="B738" s="4">
        <v>694</v>
      </c>
      <c r="C738" s="13" t="s">
        <v>1474</v>
      </c>
      <c r="D738" s="13" t="s">
        <v>837</v>
      </c>
      <c r="E738" s="5" t="s">
        <v>5566</v>
      </c>
      <c r="F738" s="5" t="s">
        <v>4015</v>
      </c>
      <c r="G738" s="5" t="s">
        <v>4016</v>
      </c>
      <c r="H738" s="13" t="s">
        <v>2732</v>
      </c>
      <c r="I738" s="13" t="s">
        <v>2309</v>
      </c>
      <c r="J738" s="4">
        <v>14120</v>
      </c>
      <c r="K738" s="4">
        <v>1</v>
      </c>
      <c r="L738" s="4">
        <v>52</v>
      </c>
      <c r="M738" s="4">
        <v>2017</v>
      </c>
      <c r="N738" s="4">
        <v>2</v>
      </c>
      <c r="O738" s="4">
        <v>6</v>
      </c>
      <c r="P738" s="4">
        <v>1</v>
      </c>
      <c r="Q738" s="19">
        <v>875.99</v>
      </c>
      <c r="R738" s="16">
        <v>0.05</v>
      </c>
      <c r="S738" s="16">
        <v>875.94</v>
      </c>
      <c r="T738" s="5" t="s">
        <v>53</v>
      </c>
      <c r="U738" s="13" t="s">
        <v>305</v>
      </c>
    </row>
    <row r="739" spans="1:21" x14ac:dyDescent="0.35">
      <c r="A739" s="4">
        <v>738</v>
      </c>
      <c r="B739" s="4">
        <v>124</v>
      </c>
      <c r="C739" s="13" t="s">
        <v>1475</v>
      </c>
      <c r="D739" s="13" t="s">
        <v>1476</v>
      </c>
      <c r="E739" s="5" t="s">
        <v>5566</v>
      </c>
      <c r="F739" s="5" t="s">
        <v>4017</v>
      </c>
      <c r="G739" s="5" t="s">
        <v>4018</v>
      </c>
      <c r="H739" s="13" t="s">
        <v>3292</v>
      </c>
      <c r="I739" s="13" t="s">
        <v>2305</v>
      </c>
      <c r="J739" s="4">
        <v>91733</v>
      </c>
      <c r="K739" s="4">
        <v>1</v>
      </c>
      <c r="L739" s="4">
        <v>82</v>
      </c>
      <c r="M739" s="4">
        <v>2017</v>
      </c>
      <c r="N739" s="4">
        <v>1</v>
      </c>
      <c r="O739" s="4">
        <v>2</v>
      </c>
      <c r="P739" s="4">
        <v>2</v>
      </c>
      <c r="Q739" s="19">
        <v>659.99</v>
      </c>
      <c r="R739" s="16">
        <v>7.0000000000000007E-2</v>
      </c>
      <c r="S739" s="16">
        <v>1319.91</v>
      </c>
      <c r="T739" s="5" t="s">
        <v>83</v>
      </c>
      <c r="U739" s="13" t="s">
        <v>301</v>
      </c>
    </row>
    <row r="740" spans="1:21" x14ac:dyDescent="0.35">
      <c r="A740" s="4">
        <v>739</v>
      </c>
      <c r="B740" s="4">
        <v>49</v>
      </c>
      <c r="C740" s="13" t="s">
        <v>1477</v>
      </c>
      <c r="D740" s="13" t="s">
        <v>523</v>
      </c>
      <c r="E740" s="5" t="s">
        <v>5566</v>
      </c>
      <c r="F740" s="5" t="s">
        <v>4019</v>
      </c>
      <c r="G740" s="5" t="s">
        <v>4020</v>
      </c>
      <c r="H740" s="13" t="s">
        <v>4021</v>
      </c>
      <c r="I740" s="13" t="s">
        <v>2309</v>
      </c>
      <c r="J740" s="4">
        <v>14450</v>
      </c>
      <c r="K740" s="4">
        <v>1</v>
      </c>
      <c r="L740" s="4">
        <v>3</v>
      </c>
      <c r="M740" s="4">
        <v>2016</v>
      </c>
      <c r="N740" s="4">
        <v>2</v>
      </c>
      <c r="O740" s="4">
        <v>6</v>
      </c>
      <c r="P740" s="4">
        <v>1</v>
      </c>
      <c r="Q740" s="19">
        <v>999.99</v>
      </c>
      <c r="R740" s="16">
        <v>0.2</v>
      </c>
      <c r="S740" s="16">
        <v>999.79</v>
      </c>
      <c r="T740" s="5" t="s">
        <v>8</v>
      </c>
      <c r="U740" s="13" t="s">
        <v>304</v>
      </c>
    </row>
    <row r="741" spans="1:21" x14ac:dyDescent="0.35">
      <c r="A741" s="4">
        <v>740</v>
      </c>
      <c r="B741" s="4">
        <v>1113</v>
      </c>
      <c r="C741" s="13" t="s">
        <v>1478</v>
      </c>
      <c r="D741" s="13" t="s">
        <v>1479</v>
      </c>
      <c r="E741" s="5" t="s">
        <v>5566</v>
      </c>
      <c r="F741" s="5" t="s">
        <v>4022</v>
      </c>
      <c r="G741" s="5" t="s">
        <v>4023</v>
      </c>
      <c r="H741" s="13" t="s">
        <v>2933</v>
      </c>
      <c r="I741" s="13" t="s">
        <v>2309</v>
      </c>
      <c r="J741" s="4">
        <v>14701</v>
      </c>
      <c r="K741" s="4">
        <v>1</v>
      </c>
      <c r="L741" s="4">
        <v>81</v>
      </c>
      <c r="M741" s="4">
        <v>2017</v>
      </c>
      <c r="N741" s="4">
        <v>2</v>
      </c>
      <c r="O741" s="4">
        <v>6</v>
      </c>
      <c r="P741" s="4">
        <v>1</v>
      </c>
      <c r="Q741" s="19">
        <v>1099.99</v>
      </c>
      <c r="R741" s="16">
        <v>0.05</v>
      </c>
      <c r="S741" s="16">
        <v>1099.94</v>
      </c>
      <c r="T741" s="5" t="s">
        <v>82</v>
      </c>
      <c r="U741" s="13" t="s">
        <v>301</v>
      </c>
    </row>
    <row r="742" spans="1:21" x14ac:dyDescent="0.35">
      <c r="A742" s="4">
        <v>741</v>
      </c>
      <c r="B742" s="4">
        <v>119</v>
      </c>
      <c r="C742" s="13" t="s">
        <v>1480</v>
      </c>
      <c r="D742" s="13" t="s">
        <v>1190</v>
      </c>
      <c r="E742" s="5" t="s">
        <v>5566</v>
      </c>
      <c r="F742" s="5" t="s">
        <v>4024</v>
      </c>
      <c r="G742" s="5" t="s">
        <v>4025</v>
      </c>
      <c r="H742" s="13" t="s">
        <v>2849</v>
      </c>
      <c r="I742" s="13" t="s">
        <v>2397</v>
      </c>
      <c r="J742" s="4">
        <v>76901</v>
      </c>
      <c r="K742" s="4">
        <v>1</v>
      </c>
      <c r="L742" s="4">
        <v>58</v>
      </c>
      <c r="M742" s="4">
        <v>2017</v>
      </c>
      <c r="N742" s="4">
        <v>3</v>
      </c>
      <c r="O742" s="4">
        <v>8</v>
      </c>
      <c r="P742" s="4">
        <v>1</v>
      </c>
      <c r="Q742" s="19">
        <v>4999.99</v>
      </c>
      <c r="R742" s="16">
        <v>0.05</v>
      </c>
      <c r="S742" s="16">
        <v>4999.9399999999996</v>
      </c>
      <c r="T742" s="5" t="s">
        <v>59</v>
      </c>
      <c r="U742" s="13" t="s">
        <v>305</v>
      </c>
    </row>
    <row r="743" spans="1:21" x14ac:dyDescent="0.35">
      <c r="A743" s="4">
        <v>742</v>
      </c>
      <c r="B743" s="4">
        <v>433</v>
      </c>
      <c r="C743" s="13" t="s">
        <v>1481</v>
      </c>
      <c r="D743" s="13" t="s">
        <v>385</v>
      </c>
      <c r="E743" s="5" t="s">
        <v>5566</v>
      </c>
      <c r="F743" s="5" t="s">
        <v>4026</v>
      </c>
      <c r="G743" s="5" t="s">
        <v>4027</v>
      </c>
      <c r="H743" s="13" t="s">
        <v>2593</v>
      </c>
      <c r="I743" s="13" t="s">
        <v>2397</v>
      </c>
      <c r="J743" s="4">
        <v>75604</v>
      </c>
      <c r="K743" s="4">
        <v>1</v>
      </c>
      <c r="L743" s="4">
        <v>107</v>
      </c>
      <c r="M743" s="4">
        <v>2017</v>
      </c>
      <c r="N743" s="4">
        <v>3</v>
      </c>
      <c r="O743" s="4">
        <v>9</v>
      </c>
      <c r="P743" s="4">
        <v>2</v>
      </c>
      <c r="Q743" s="19">
        <v>416.99</v>
      </c>
      <c r="R743" s="16">
        <v>0.05</v>
      </c>
      <c r="S743" s="16">
        <v>833.93000000000006</v>
      </c>
      <c r="T743" s="5" t="s">
        <v>70</v>
      </c>
      <c r="U743" s="13" t="s">
        <v>300</v>
      </c>
    </row>
    <row r="744" spans="1:21" x14ac:dyDescent="0.35">
      <c r="A744" s="4">
        <v>743</v>
      </c>
      <c r="B744" s="4">
        <v>137</v>
      </c>
      <c r="C744" s="13" t="s">
        <v>1482</v>
      </c>
      <c r="D744" s="13" t="s">
        <v>1483</v>
      </c>
      <c r="E744" s="5" t="s">
        <v>5566</v>
      </c>
      <c r="F744" s="5" t="s">
        <v>4028</v>
      </c>
      <c r="G744" s="5" t="s">
        <v>4029</v>
      </c>
      <c r="H744" s="13" t="s">
        <v>2835</v>
      </c>
      <c r="I744" s="13" t="s">
        <v>2309</v>
      </c>
      <c r="J744" s="4">
        <v>11758</v>
      </c>
      <c r="K744" s="4">
        <v>1</v>
      </c>
      <c r="L744" s="4">
        <v>80</v>
      </c>
      <c r="M744" s="4">
        <v>2017</v>
      </c>
      <c r="N744" s="4">
        <v>2</v>
      </c>
      <c r="O744" s="4">
        <v>6</v>
      </c>
      <c r="P744" s="4">
        <v>1</v>
      </c>
      <c r="Q744" s="19">
        <v>761.99</v>
      </c>
      <c r="R744" s="16">
        <v>0.05</v>
      </c>
      <c r="S744" s="16">
        <v>761.94</v>
      </c>
      <c r="T744" s="5" t="s">
        <v>81</v>
      </c>
      <c r="U744" s="13" t="s">
        <v>301</v>
      </c>
    </row>
    <row r="745" spans="1:21" x14ac:dyDescent="0.35">
      <c r="A745" s="4">
        <v>744</v>
      </c>
      <c r="B745" s="4">
        <v>166</v>
      </c>
      <c r="C745" s="13" t="s">
        <v>1484</v>
      </c>
      <c r="D745" s="13" t="s">
        <v>1156</v>
      </c>
      <c r="E745" s="5" t="s">
        <v>5566</v>
      </c>
      <c r="F745" s="5" t="s">
        <v>4030</v>
      </c>
      <c r="G745" s="5" t="s">
        <v>4031</v>
      </c>
      <c r="H745" s="13" t="s">
        <v>2865</v>
      </c>
      <c r="I745" s="13" t="s">
        <v>2309</v>
      </c>
      <c r="J745" s="4">
        <v>11421</v>
      </c>
      <c r="K745" s="4">
        <v>1</v>
      </c>
      <c r="L745" s="4">
        <v>33</v>
      </c>
      <c r="M745" s="4">
        <v>2017</v>
      </c>
      <c r="N745" s="4">
        <v>2</v>
      </c>
      <c r="O745" s="4">
        <v>7</v>
      </c>
      <c r="P745" s="4">
        <v>2</v>
      </c>
      <c r="Q745" s="19">
        <v>469.99</v>
      </c>
      <c r="R745" s="16">
        <v>0.2</v>
      </c>
      <c r="S745" s="16">
        <v>939.78</v>
      </c>
      <c r="T745" s="5" t="s">
        <v>34</v>
      </c>
      <c r="U745" s="13" t="s">
        <v>304</v>
      </c>
    </row>
    <row r="746" spans="1:21" x14ac:dyDescent="0.35">
      <c r="A746" s="4">
        <v>745</v>
      </c>
      <c r="B746" s="4">
        <v>698</v>
      </c>
      <c r="C746" s="13" t="s">
        <v>875</v>
      </c>
      <c r="D746" s="13" t="s">
        <v>1236</v>
      </c>
      <c r="E746" s="5" t="s">
        <v>5566</v>
      </c>
      <c r="F746" s="5" t="s">
        <v>4032</v>
      </c>
      <c r="G746" s="5" t="s">
        <v>4033</v>
      </c>
      <c r="H746" s="13" t="s">
        <v>3410</v>
      </c>
      <c r="I746" s="13" t="s">
        <v>2309</v>
      </c>
      <c r="J746" s="4">
        <v>11368</v>
      </c>
      <c r="K746" s="4">
        <v>1</v>
      </c>
      <c r="L746" s="4">
        <v>95</v>
      </c>
      <c r="M746" s="4">
        <v>2017</v>
      </c>
      <c r="N746" s="4">
        <v>2</v>
      </c>
      <c r="O746" s="4">
        <v>7</v>
      </c>
      <c r="P746" s="4">
        <v>2</v>
      </c>
      <c r="Q746" s="19">
        <v>299.99</v>
      </c>
      <c r="R746" s="16">
        <v>0.05</v>
      </c>
      <c r="S746" s="16">
        <v>599.93000000000006</v>
      </c>
      <c r="T746" s="5" t="s">
        <v>77</v>
      </c>
      <c r="U746" s="13" t="s">
        <v>299</v>
      </c>
    </row>
    <row r="747" spans="1:21" x14ac:dyDescent="0.35">
      <c r="A747" s="4">
        <v>746</v>
      </c>
      <c r="B747" s="4">
        <v>391</v>
      </c>
      <c r="C747" s="13" t="s">
        <v>1485</v>
      </c>
      <c r="D747" s="13" t="s">
        <v>1486</v>
      </c>
      <c r="E747" s="5" t="s">
        <v>5566</v>
      </c>
      <c r="F747" s="5" t="s">
        <v>4034</v>
      </c>
      <c r="G747" s="5" t="s">
        <v>4035</v>
      </c>
      <c r="H747" s="13" t="s">
        <v>3198</v>
      </c>
      <c r="I747" s="13" t="s">
        <v>2305</v>
      </c>
      <c r="J747" s="4">
        <v>93635</v>
      </c>
      <c r="K747" s="4">
        <v>1</v>
      </c>
      <c r="L747" s="4">
        <v>99</v>
      </c>
      <c r="M747" s="4">
        <v>2017</v>
      </c>
      <c r="N747" s="4">
        <v>1</v>
      </c>
      <c r="O747" s="4">
        <v>3</v>
      </c>
      <c r="P747" s="4">
        <v>1</v>
      </c>
      <c r="Q747" s="19">
        <v>299.99</v>
      </c>
      <c r="R747" s="16">
        <v>0.1</v>
      </c>
      <c r="S747" s="16">
        <v>299.89</v>
      </c>
      <c r="T747" s="5" t="s">
        <v>99</v>
      </c>
      <c r="U747" s="13" t="s">
        <v>299</v>
      </c>
    </row>
    <row r="748" spans="1:21" x14ac:dyDescent="0.35">
      <c r="A748" s="4">
        <v>747</v>
      </c>
      <c r="B748" s="4">
        <v>87</v>
      </c>
      <c r="C748" s="13" t="s">
        <v>1487</v>
      </c>
      <c r="D748" s="13" t="s">
        <v>1488</v>
      </c>
      <c r="E748" s="5" t="s">
        <v>5566</v>
      </c>
      <c r="F748" s="5" t="s">
        <v>4036</v>
      </c>
      <c r="G748" s="5" t="s">
        <v>4037</v>
      </c>
      <c r="H748" s="13" t="s">
        <v>2315</v>
      </c>
      <c r="I748" s="13" t="s">
        <v>2305</v>
      </c>
      <c r="J748" s="4">
        <v>91010</v>
      </c>
      <c r="K748" s="4">
        <v>1</v>
      </c>
      <c r="L748" s="4">
        <v>110</v>
      </c>
      <c r="M748" s="4">
        <v>2017</v>
      </c>
      <c r="N748" s="4">
        <v>1</v>
      </c>
      <c r="O748" s="4">
        <v>3</v>
      </c>
      <c r="P748" s="4">
        <v>1</v>
      </c>
      <c r="Q748" s="19">
        <v>470.99</v>
      </c>
      <c r="R748" s="16">
        <v>7.0000000000000007E-2</v>
      </c>
      <c r="S748" s="16">
        <v>470.92</v>
      </c>
      <c r="T748" s="5" t="s">
        <v>107</v>
      </c>
      <c r="U748" s="13" t="s">
        <v>300</v>
      </c>
    </row>
    <row r="749" spans="1:21" x14ac:dyDescent="0.35">
      <c r="A749" s="4">
        <v>748</v>
      </c>
      <c r="B749" s="4">
        <v>1072</v>
      </c>
      <c r="C749" s="13" t="s">
        <v>1489</v>
      </c>
      <c r="D749" s="13" t="s">
        <v>377</v>
      </c>
      <c r="E749" s="5" t="s">
        <v>5566</v>
      </c>
      <c r="F749" s="5" t="s">
        <v>4038</v>
      </c>
      <c r="G749" s="5" t="s">
        <v>4039</v>
      </c>
      <c r="H749" s="13" t="s">
        <v>1639</v>
      </c>
      <c r="I749" s="13" t="s">
        <v>2397</v>
      </c>
      <c r="J749" s="4">
        <v>75080</v>
      </c>
      <c r="K749" s="4">
        <v>1</v>
      </c>
      <c r="L749" s="4">
        <v>16</v>
      </c>
      <c r="M749" s="4">
        <v>2016</v>
      </c>
      <c r="N749" s="4">
        <v>3</v>
      </c>
      <c r="O749" s="4">
        <v>8</v>
      </c>
      <c r="P749" s="4">
        <v>2</v>
      </c>
      <c r="Q749" s="19">
        <v>599.99</v>
      </c>
      <c r="R749" s="16">
        <v>0.1</v>
      </c>
      <c r="S749" s="16">
        <v>1199.8800000000001</v>
      </c>
      <c r="T749" s="5" t="s">
        <v>21</v>
      </c>
      <c r="U749" s="13" t="s">
        <v>301</v>
      </c>
    </row>
    <row r="750" spans="1:21" x14ac:dyDescent="0.35">
      <c r="A750" s="4">
        <v>749</v>
      </c>
      <c r="B750" s="4">
        <v>255</v>
      </c>
      <c r="C750" s="13" t="s">
        <v>1490</v>
      </c>
      <c r="D750" s="13" t="s">
        <v>1491</v>
      </c>
      <c r="E750" s="5" t="s">
        <v>5566</v>
      </c>
      <c r="F750" s="5" t="s">
        <v>4040</v>
      </c>
      <c r="G750" s="5" t="s">
        <v>4041</v>
      </c>
      <c r="H750" s="13" t="s">
        <v>4042</v>
      </c>
      <c r="I750" s="13" t="s">
        <v>2309</v>
      </c>
      <c r="J750" s="4">
        <v>11762</v>
      </c>
      <c r="K750" s="4">
        <v>1</v>
      </c>
      <c r="L750" s="4">
        <v>9</v>
      </c>
      <c r="M750" s="4">
        <v>2016</v>
      </c>
      <c r="N750" s="4">
        <v>2</v>
      </c>
      <c r="O750" s="4">
        <v>7</v>
      </c>
      <c r="P750" s="4">
        <v>1</v>
      </c>
      <c r="Q750" s="19">
        <v>2999.99</v>
      </c>
      <c r="R750" s="16">
        <v>0.2</v>
      </c>
      <c r="S750" s="16">
        <v>2999.79</v>
      </c>
      <c r="T750" s="5" t="s">
        <v>14</v>
      </c>
      <c r="U750" s="13" t="s">
        <v>303</v>
      </c>
    </row>
    <row r="751" spans="1:21" x14ac:dyDescent="0.35">
      <c r="A751" s="4">
        <v>750</v>
      </c>
      <c r="B751" s="4">
        <v>232</v>
      </c>
      <c r="C751" s="13" t="s">
        <v>1492</v>
      </c>
      <c r="D751" s="13" t="s">
        <v>818</v>
      </c>
      <c r="E751" s="5" t="s">
        <v>5566</v>
      </c>
      <c r="F751" s="5" t="s">
        <v>4043</v>
      </c>
      <c r="G751" s="5" t="s">
        <v>4044</v>
      </c>
      <c r="H751" s="13" t="s">
        <v>2666</v>
      </c>
      <c r="I751" s="13" t="s">
        <v>2397</v>
      </c>
      <c r="J751" s="4">
        <v>76039</v>
      </c>
      <c r="K751" s="4">
        <v>1</v>
      </c>
      <c r="L751" s="4">
        <v>72</v>
      </c>
      <c r="M751" s="4">
        <v>2017</v>
      </c>
      <c r="N751" s="4">
        <v>3</v>
      </c>
      <c r="O751" s="4">
        <v>8</v>
      </c>
      <c r="P751" s="4">
        <v>1</v>
      </c>
      <c r="Q751" s="19">
        <v>619.99</v>
      </c>
      <c r="R751" s="16">
        <v>0.05</v>
      </c>
      <c r="S751" s="16">
        <v>619.94000000000005</v>
      </c>
      <c r="T751" s="5" t="s">
        <v>73</v>
      </c>
      <c r="U751" s="13" t="s">
        <v>301</v>
      </c>
    </row>
    <row r="752" spans="1:21" x14ac:dyDescent="0.35">
      <c r="A752" s="4">
        <v>751</v>
      </c>
      <c r="B752" s="4">
        <v>731</v>
      </c>
      <c r="C752" s="13" t="s">
        <v>1493</v>
      </c>
      <c r="D752" s="13" t="s">
        <v>1494</v>
      </c>
      <c r="E752" s="5" t="s">
        <v>4045</v>
      </c>
      <c r="F752" s="5" t="s">
        <v>4046</v>
      </c>
      <c r="G752" s="5" t="s">
        <v>4047</v>
      </c>
      <c r="H752" s="13" t="s">
        <v>2704</v>
      </c>
      <c r="I752" s="13" t="s">
        <v>2305</v>
      </c>
      <c r="J752" s="4">
        <v>93035</v>
      </c>
      <c r="K752" s="4">
        <v>1</v>
      </c>
      <c r="L752" s="4">
        <v>45</v>
      </c>
      <c r="M752" s="4">
        <v>2017</v>
      </c>
      <c r="N752" s="4">
        <v>1</v>
      </c>
      <c r="O752" s="4">
        <v>3</v>
      </c>
      <c r="P752" s="4">
        <v>2</v>
      </c>
      <c r="Q752" s="19">
        <v>869.99</v>
      </c>
      <c r="R752" s="16">
        <v>0.05</v>
      </c>
      <c r="S752" s="16">
        <v>1739.93</v>
      </c>
      <c r="T752" s="5" t="s">
        <v>46</v>
      </c>
      <c r="U752" s="13" t="s">
        <v>304</v>
      </c>
    </row>
    <row r="753" spans="1:21" x14ac:dyDescent="0.35">
      <c r="A753" s="4">
        <v>752</v>
      </c>
      <c r="B753" s="4">
        <v>335</v>
      </c>
      <c r="C753" s="13" t="s">
        <v>778</v>
      </c>
      <c r="D753" s="13" t="s">
        <v>901</v>
      </c>
      <c r="E753" s="5" t="s">
        <v>5566</v>
      </c>
      <c r="F753" s="5" t="s">
        <v>4048</v>
      </c>
      <c r="G753" s="5" t="s">
        <v>4049</v>
      </c>
      <c r="H753" s="13" t="s">
        <v>2384</v>
      </c>
      <c r="I753" s="13" t="s">
        <v>2309</v>
      </c>
      <c r="J753" s="4">
        <v>10451</v>
      </c>
      <c r="K753" s="4">
        <v>1</v>
      </c>
      <c r="L753" s="4">
        <v>12</v>
      </c>
      <c r="M753" s="4">
        <v>2016</v>
      </c>
      <c r="N753" s="4">
        <v>2</v>
      </c>
      <c r="O753" s="4">
        <v>6</v>
      </c>
      <c r="P753" s="4">
        <v>2</v>
      </c>
      <c r="Q753" s="19">
        <v>549.99</v>
      </c>
      <c r="R753" s="16">
        <v>0.05</v>
      </c>
      <c r="S753" s="16">
        <v>1099.93</v>
      </c>
      <c r="T753" s="5" t="s">
        <v>17</v>
      </c>
      <c r="U753" s="13" t="s">
        <v>301</v>
      </c>
    </row>
    <row r="754" spans="1:21" x14ac:dyDescent="0.35">
      <c r="A754" s="4">
        <v>753</v>
      </c>
      <c r="B754" s="4">
        <v>1201</v>
      </c>
      <c r="C754" s="13" t="s">
        <v>1495</v>
      </c>
      <c r="D754" s="13" t="s">
        <v>1496</v>
      </c>
      <c r="E754" s="5" t="s">
        <v>5566</v>
      </c>
      <c r="F754" s="5" t="s">
        <v>4050</v>
      </c>
      <c r="G754" s="5" t="s">
        <v>4051</v>
      </c>
      <c r="H754" s="13" t="s">
        <v>3153</v>
      </c>
      <c r="I754" s="13" t="s">
        <v>2309</v>
      </c>
      <c r="J754" s="4">
        <v>10573</v>
      </c>
      <c r="K754" s="4">
        <v>1</v>
      </c>
      <c r="L754" s="4">
        <v>105</v>
      </c>
      <c r="M754" s="4">
        <v>2017</v>
      </c>
      <c r="N754" s="4">
        <v>2</v>
      </c>
      <c r="O754" s="4">
        <v>7</v>
      </c>
      <c r="P754" s="4">
        <v>2</v>
      </c>
      <c r="Q754" s="19">
        <v>533.99</v>
      </c>
      <c r="R754" s="16">
        <v>7.0000000000000007E-2</v>
      </c>
      <c r="S754" s="16">
        <v>1067.9100000000001</v>
      </c>
      <c r="T754" s="5" t="s">
        <v>104</v>
      </c>
      <c r="U754" s="13" t="s">
        <v>300</v>
      </c>
    </row>
    <row r="755" spans="1:21" x14ac:dyDescent="0.35">
      <c r="A755" s="4">
        <v>754</v>
      </c>
      <c r="B755" s="4">
        <v>646</v>
      </c>
      <c r="C755" s="13" t="s">
        <v>1497</v>
      </c>
      <c r="D755" s="13" t="s">
        <v>1498</v>
      </c>
      <c r="E755" s="5" t="s">
        <v>5566</v>
      </c>
      <c r="F755" s="5" t="s">
        <v>4052</v>
      </c>
      <c r="G755" s="5" t="s">
        <v>4053</v>
      </c>
      <c r="H755" s="13" t="s">
        <v>3292</v>
      </c>
      <c r="I755" s="13" t="s">
        <v>2305</v>
      </c>
      <c r="J755" s="4">
        <v>91733</v>
      </c>
      <c r="K755" s="4">
        <v>1</v>
      </c>
      <c r="L755" s="4">
        <v>74</v>
      </c>
      <c r="M755" s="4">
        <v>2017</v>
      </c>
      <c r="N755" s="4">
        <v>1</v>
      </c>
      <c r="O755" s="4">
        <v>2</v>
      </c>
      <c r="P755" s="4">
        <v>2</v>
      </c>
      <c r="Q755" s="19">
        <v>439.99</v>
      </c>
      <c r="R755" s="16">
        <v>7.0000000000000007E-2</v>
      </c>
      <c r="S755" s="16">
        <v>879.91</v>
      </c>
      <c r="T755" s="5" t="s">
        <v>75</v>
      </c>
      <c r="U755" s="13" t="s">
        <v>301</v>
      </c>
    </row>
    <row r="756" spans="1:21" x14ac:dyDescent="0.35">
      <c r="A756" s="4">
        <v>755</v>
      </c>
      <c r="B756" s="4">
        <v>531</v>
      </c>
      <c r="C756" s="13" t="s">
        <v>1499</v>
      </c>
      <c r="D756" s="13" t="s">
        <v>1500</v>
      </c>
      <c r="E756" s="5" t="s">
        <v>4054</v>
      </c>
      <c r="F756" s="5" t="s">
        <v>4055</v>
      </c>
      <c r="G756" s="5" t="s">
        <v>4056</v>
      </c>
      <c r="H756" s="13" t="s">
        <v>3027</v>
      </c>
      <c r="I756" s="13" t="s">
        <v>2309</v>
      </c>
      <c r="J756" s="4">
        <v>12180</v>
      </c>
      <c r="K756" s="4">
        <v>1</v>
      </c>
      <c r="L756" s="4">
        <v>80</v>
      </c>
      <c r="M756" s="4">
        <v>2017</v>
      </c>
      <c r="N756" s="4">
        <v>2</v>
      </c>
      <c r="O756" s="4">
        <v>6</v>
      </c>
      <c r="P756" s="4">
        <v>2</v>
      </c>
      <c r="Q756" s="19">
        <v>761.99</v>
      </c>
      <c r="R756" s="16">
        <v>7.0000000000000007E-2</v>
      </c>
      <c r="S756" s="16">
        <v>1523.91</v>
      </c>
      <c r="T756" s="5" t="s">
        <v>81</v>
      </c>
      <c r="U756" s="13" t="s">
        <v>301</v>
      </c>
    </row>
    <row r="757" spans="1:21" x14ac:dyDescent="0.35">
      <c r="A757" s="4">
        <v>756</v>
      </c>
      <c r="B757" s="4">
        <v>1143</v>
      </c>
      <c r="C757" s="13" t="s">
        <v>1501</v>
      </c>
      <c r="D757" s="13" t="s">
        <v>335</v>
      </c>
      <c r="E757" s="5" t="s">
        <v>5566</v>
      </c>
      <c r="F757" s="5" t="s">
        <v>4057</v>
      </c>
      <c r="G757" s="5" t="s">
        <v>4058</v>
      </c>
      <c r="H757" s="13" t="s">
        <v>4059</v>
      </c>
      <c r="I757" s="13" t="s">
        <v>2309</v>
      </c>
      <c r="J757" s="4">
        <v>14150</v>
      </c>
      <c r="K757" s="4">
        <v>1</v>
      </c>
      <c r="L757" s="4">
        <v>64</v>
      </c>
      <c r="M757" s="4">
        <v>2017</v>
      </c>
      <c r="N757" s="4">
        <v>2</v>
      </c>
      <c r="O757" s="4">
        <v>6</v>
      </c>
      <c r="P757" s="4">
        <v>1</v>
      </c>
      <c r="Q757" s="19">
        <v>489.99</v>
      </c>
      <c r="R757" s="16">
        <v>0.1</v>
      </c>
      <c r="S757" s="16">
        <v>489.89</v>
      </c>
      <c r="T757" s="5" t="s">
        <v>65</v>
      </c>
      <c r="U757" s="13" t="s">
        <v>301</v>
      </c>
    </row>
    <row r="758" spans="1:21" x14ac:dyDescent="0.35">
      <c r="A758" s="4">
        <v>757</v>
      </c>
      <c r="B758" s="4">
        <v>1336</v>
      </c>
      <c r="C758" s="13" t="s">
        <v>1502</v>
      </c>
      <c r="D758" s="13" t="s">
        <v>548</v>
      </c>
      <c r="E758" s="5" t="s">
        <v>5566</v>
      </c>
      <c r="F758" s="5" t="s">
        <v>4060</v>
      </c>
      <c r="G758" s="5" t="s">
        <v>4061</v>
      </c>
      <c r="H758" s="13" t="s">
        <v>2507</v>
      </c>
      <c r="I758" s="13" t="s">
        <v>2309</v>
      </c>
      <c r="J758" s="4">
        <v>12553</v>
      </c>
      <c r="K758" s="4">
        <v>1</v>
      </c>
      <c r="L758" s="4">
        <v>95</v>
      </c>
      <c r="M758" s="4">
        <v>2017</v>
      </c>
      <c r="N758" s="4">
        <v>2</v>
      </c>
      <c r="O758" s="4">
        <v>7</v>
      </c>
      <c r="P758" s="4">
        <v>1</v>
      </c>
      <c r="Q758" s="19">
        <v>299.99</v>
      </c>
      <c r="R758" s="16">
        <v>0.1</v>
      </c>
      <c r="S758" s="16">
        <v>299.89</v>
      </c>
      <c r="T758" s="5" t="s">
        <v>77</v>
      </c>
      <c r="U758" s="13" t="s">
        <v>299</v>
      </c>
    </row>
    <row r="759" spans="1:21" x14ac:dyDescent="0.35">
      <c r="A759" s="4">
        <v>758</v>
      </c>
      <c r="B759" s="4">
        <v>953</v>
      </c>
      <c r="C759" s="13" t="s">
        <v>1503</v>
      </c>
      <c r="D759" s="13" t="s">
        <v>1504</v>
      </c>
      <c r="E759" s="5" t="s">
        <v>5566</v>
      </c>
      <c r="F759" s="5" t="s">
        <v>4062</v>
      </c>
      <c r="G759" s="5" t="s">
        <v>4063</v>
      </c>
      <c r="H759" s="13" t="s">
        <v>2620</v>
      </c>
      <c r="I759" s="13" t="s">
        <v>2397</v>
      </c>
      <c r="J759" s="4">
        <v>78023</v>
      </c>
      <c r="K759" s="4">
        <v>1</v>
      </c>
      <c r="L759" s="4">
        <v>22</v>
      </c>
      <c r="M759" s="4">
        <v>2016</v>
      </c>
      <c r="N759" s="4">
        <v>3</v>
      </c>
      <c r="O759" s="4">
        <v>9</v>
      </c>
      <c r="P759" s="4">
        <v>2</v>
      </c>
      <c r="Q759" s="19">
        <v>269.99</v>
      </c>
      <c r="R759" s="16">
        <v>7.0000000000000007E-2</v>
      </c>
      <c r="S759" s="16">
        <v>539.91</v>
      </c>
      <c r="T759" s="5" t="s">
        <v>19</v>
      </c>
      <c r="U759" s="13" t="s">
        <v>299</v>
      </c>
    </row>
    <row r="760" spans="1:21" x14ac:dyDescent="0.35">
      <c r="A760" s="4">
        <v>759</v>
      </c>
      <c r="B760" s="4">
        <v>284</v>
      </c>
      <c r="C760" s="13" t="s">
        <v>1505</v>
      </c>
      <c r="D760" s="13" t="s">
        <v>1506</v>
      </c>
      <c r="E760" s="5" t="s">
        <v>5566</v>
      </c>
      <c r="F760" s="5" t="s">
        <v>4064</v>
      </c>
      <c r="G760" s="5" t="s">
        <v>4065</v>
      </c>
      <c r="H760" s="13" t="s">
        <v>3917</v>
      </c>
      <c r="I760" s="13" t="s">
        <v>2309</v>
      </c>
      <c r="J760" s="4">
        <v>11725</v>
      </c>
      <c r="K760" s="4">
        <v>1</v>
      </c>
      <c r="L760" s="4">
        <v>93</v>
      </c>
      <c r="M760" s="4">
        <v>2017</v>
      </c>
      <c r="N760" s="4">
        <v>2</v>
      </c>
      <c r="O760" s="4">
        <v>7</v>
      </c>
      <c r="P760" s="4">
        <v>2</v>
      </c>
      <c r="Q760" s="19">
        <v>209.99</v>
      </c>
      <c r="R760" s="16">
        <v>0.05</v>
      </c>
      <c r="S760" s="16">
        <v>419.93</v>
      </c>
      <c r="T760" s="5" t="s">
        <v>94</v>
      </c>
      <c r="U760" s="13" t="s">
        <v>299</v>
      </c>
    </row>
    <row r="761" spans="1:21" x14ac:dyDescent="0.35">
      <c r="A761" s="4">
        <v>760</v>
      </c>
      <c r="B761" s="4">
        <v>1104</v>
      </c>
      <c r="C761" s="13" t="s">
        <v>1507</v>
      </c>
      <c r="D761" s="13" t="s">
        <v>329</v>
      </c>
      <c r="E761" s="5" t="s">
        <v>5566</v>
      </c>
      <c r="F761" s="5" t="s">
        <v>4066</v>
      </c>
      <c r="G761" s="5" t="s">
        <v>4067</v>
      </c>
      <c r="H761" s="13" t="s">
        <v>3063</v>
      </c>
      <c r="I761" s="13" t="s">
        <v>2309</v>
      </c>
      <c r="J761" s="4">
        <v>10977</v>
      </c>
      <c r="K761" s="4">
        <v>1</v>
      </c>
      <c r="L761" s="4">
        <v>21</v>
      </c>
      <c r="M761" s="4">
        <v>2016</v>
      </c>
      <c r="N761" s="4">
        <v>2</v>
      </c>
      <c r="O761" s="4">
        <v>6</v>
      </c>
      <c r="P761" s="4">
        <v>2</v>
      </c>
      <c r="Q761" s="19">
        <v>269.99</v>
      </c>
      <c r="R761" s="16">
        <v>7.0000000000000007E-2</v>
      </c>
      <c r="S761" s="16">
        <v>539.91</v>
      </c>
      <c r="T761" s="5" t="s">
        <v>18</v>
      </c>
      <c r="U761" s="13" t="s">
        <v>299</v>
      </c>
    </row>
    <row r="762" spans="1:21" x14ac:dyDescent="0.35">
      <c r="A762" s="4">
        <v>761</v>
      </c>
      <c r="B762" s="4">
        <v>1291</v>
      </c>
      <c r="C762" s="13" t="s">
        <v>1508</v>
      </c>
      <c r="D762" s="13" t="s">
        <v>1241</v>
      </c>
      <c r="E762" s="5" t="s">
        <v>5566</v>
      </c>
      <c r="F762" s="5" t="s">
        <v>4068</v>
      </c>
      <c r="G762" s="5" t="s">
        <v>4069</v>
      </c>
      <c r="H762" s="13" t="s">
        <v>3182</v>
      </c>
      <c r="I762" s="13" t="s">
        <v>2309</v>
      </c>
      <c r="J762" s="4">
        <v>10952</v>
      </c>
      <c r="K762" s="4">
        <v>1</v>
      </c>
      <c r="L762" s="4">
        <v>43</v>
      </c>
      <c r="M762" s="4">
        <v>2017</v>
      </c>
      <c r="N762" s="4">
        <v>2</v>
      </c>
      <c r="O762" s="4">
        <v>7</v>
      </c>
      <c r="P762" s="4">
        <v>1</v>
      </c>
      <c r="Q762" s="19">
        <v>5299.99</v>
      </c>
      <c r="R762" s="16">
        <v>7.0000000000000007E-2</v>
      </c>
      <c r="S762" s="16">
        <v>5299.92</v>
      </c>
      <c r="T762" s="5" t="s">
        <v>44</v>
      </c>
      <c r="U762" s="13" t="s">
        <v>304</v>
      </c>
    </row>
    <row r="763" spans="1:21" x14ac:dyDescent="0.35">
      <c r="A763" s="4">
        <v>762</v>
      </c>
      <c r="B763" s="4">
        <v>572</v>
      </c>
      <c r="C763" s="13" t="s">
        <v>1509</v>
      </c>
      <c r="D763" s="13" t="s">
        <v>1442</v>
      </c>
      <c r="E763" s="5" t="s">
        <v>5566</v>
      </c>
      <c r="F763" s="5" t="s">
        <v>4070</v>
      </c>
      <c r="G763" s="5" t="s">
        <v>4071</v>
      </c>
      <c r="H763" s="13" t="s">
        <v>2337</v>
      </c>
      <c r="I763" s="13" t="s">
        <v>2309</v>
      </c>
      <c r="J763" s="4">
        <v>13021</v>
      </c>
      <c r="K763" s="4">
        <v>1</v>
      </c>
      <c r="L763" s="4">
        <v>102</v>
      </c>
      <c r="M763" s="4">
        <v>2017</v>
      </c>
      <c r="N763" s="4">
        <v>2</v>
      </c>
      <c r="O763" s="4">
        <v>6</v>
      </c>
      <c r="P763" s="4">
        <v>2</v>
      </c>
      <c r="Q763" s="19">
        <v>489.99</v>
      </c>
      <c r="R763" s="16">
        <v>0.05</v>
      </c>
      <c r="S763" s="16">
        <v>979.93000000000006</v>
      </c>
      <c r="T763" s="5" t="s">
        <v>65</v>
      </c>
      <c r="U763" s="13" t="s">
        <v>300</v>
      </c>
    </row>
    <row r="764" spans="1:21" x14ac:dyDescent="0.35">
      <c r="A764" s="4">
        <v>763</v>
      </c>
      <c r="B764" s="4">
        <v>842</v>
      </c>
      <c r="C764" s="13" t="s">
        <v>1510</v>
      </c>
      <c r="D764" s="13" t="s">
        <v>1511</v>
      </c>
      <c r="E764" s="5" t="s">
        <v>5566</v>
      </c>
      <c r="F764" s="5" t="s">
        <v>4072</v>
      </c>
      <c r="G764" s="5" t="s">
        <v>4073</v>
      </c>
      <c r="H764" s="13" t="s">
        <v>2849</v>
      </c>
      <c r="I764" s="13" t="s">
        <v>2397</v>
      </c>
      <c r="J764" s="4">
        <v>76901</v>
      </c>
      <c r="K764" s="4">
        <v>1</v>
      </c>
      <c r="L764" s="4">
        <v>90</v>
      </c>
      <c r="M764" s="4">
        <v>2017</v>
      </c>
      <c r="N764" s="4">
        <v>3</v>
      </c>
      <c r="O764" s="4">
        <v>9</v>
      </c>
      <c r="P764" s="4">
        <v>1</v>
      </c>
      <c r="Q764" s="19">
        <v>209.99</v>
      </c>
      <c r="R764" s="16">
        <v>7.0000000000000007E-2</v>
      </c>
      <c r="S764" s="16">
        <v>209.92000000000002</v>
      </c>
      <c r="T764" s="5" t="s">
        <v>91</v>
      </c>
      <c r="U764" s="13" t="s">
        <v>299</v>
      </c>
    </row>
    <row r="765" spans="1:21" x14ac:dyDescent="0.35">
      <c r="A765" s="4">
        <v>764</v>
      </c>
      <c r="B765" s="4">
        <v>701</v>
      </c>
      <c r="C765" s="13" t="s">
        <v>1512</v>
      </c>
      <c r="D765" s="13" t="s">
        <v>743</v>
      </c>
      <c r="E765" s="5" t="s">
        <v>4074</v>
      </c>
      <c r="F765" s="5" t="s">
        <v>4075</v>
      </c>
      <c r="G765" s="5" t="s">
        <v>4076</v>
      </c>
      <c r="H765" s="13" t="s">
        <v>2704</v>
      </c>
      <c r="I765" s="13" t="s">
        <v>2305</v>
      </c>
      <c r="J765" s="4">
        <v>93035</v>
      </c>
      <c r="K765" s="4">
        <v>1</v>
      </c>
      <c r="L765" s="4">
        <v>55</v>
      </c>
      <c r="M765" s="4">
        <v>2017</v>
      </c>
      <c r="N765" s="4">
        <v>1</v>
      </c>
      <c r="O765" s="4">
        <v>2</v>
      </c>
      <c r="P765" s="4">
        <v>1</v>
      </c>
      <c r="Q765" s="19">
        <v>2699.99</v>
      </c>
      <c r="R765" s="16">
        <v>7.0000000000000007E-2</v>
      </c>
      <c r="S765" s="16">
        <v>2699.9199999999996</v>
      </c>
      <c r="T765" s="5" t="s">
        <v>56</v>
      </c>
      <c r="U765" s="13" t="s">
        <v>305</v>
      </c>
    </row>
    <row r="766" spans="1:21" x14ac:dyDescent="0.35">
      <c r="A766" s="4">
        <v>765</v>
      </c>
      <c r="B766" s="4">
        <v>1152</v>
      </c>
      <c r="C766" s="13" t="s">
        <v>1513</v>
      </c>
      <c r="D766" s="13" t="s">
        <v>490</v>
      </c>
      <c r="E766" s="5" t="s">
        <v>5566</v>
      </c>
      <c r="F766" s="5" t="s">
        <v>4077</v>
      </c>
      <c r="G766" s="5" t="s">
        <v>4078</v>
      </c>
      <c r="H766" s="13" t="s">
        <v>3292</v>
      </c>
      <c r="I766" s="13" t="s">
        <v>2305</v>
      </c>
      <c r="J766" s="4">
        <v>91733</v>
      </c>
      <c r="K766" s="4">
        <v>1</v>
      </c>
      <c r="L766" s="4">
        <v>28</v>
      </c>
      <c r="M766" s="4">
        <v>2017</v>
      </c>
      <c r="N766" s="4">
        <v>1</v>
      </c>
      <c r="O766" s="4">
        <v>2</v>
      </c>
      <c r="P766" s="4">
        <v>2</v>
      </c>
      <c r="Q766" s="19">
        <v>2499.9899999999998</v>
      </c>
      <c r="R766" s="16">
        <v>0.2</v>
      </c>
      <c r="S766" s="16">
        <v>4999.78</v>
      </c>
      <c r="T766" s="5" t="s">
        <v>29</v>
      </c>
      <c r="U766" s="13" t="s">
        <v>304</v>
      </c>
    </row>
    <row r="767" spans="1:21" x14ac:dyDescent="0.35">
      <c r="A767" s="4">
        <v>766</v>
      </c>
      <c r="B767" s="4">
        <v>141</v>
      </c>
      <c r="C767" s="13" t="s">
        <v>1514</v>
      </c>
      <c r="D767" s="13" t="s">
        <v>1008</v>
      </c>
      <c r="E767" s="5" t="s">
        <v>5566</v>
      </c>
      <c r="F767" s="5" t="s">
        <v>4079</v>
      </c>
      <c r="G767" s="5" t="s">
        <v>4080</v>
      </c>
      <c r="H767" s="13" t="s">
        <v>2422</v>
      </c>
      <c r="I767" s="13" t="s">
        <v>2309</v>
      </c>
      <c r="J767" s="4">
        <v>11412</v>
      </c>
      <c r="K767" s="4">
        <v>1</v>
      </c>
      <c r="L767" s="4">
        <v>111</v>
      </c>
      <c r="M767" s="4">
        <v>2017</v>
      </c>
      <c r="N767" s="4">
        <v>2</v>
      </c>
      <c r="O767" s="4">
        <v>6</v>
      </c>
      <c r="P767" s="4">
        <v>1</v>
      </c>
      <c r="Q767" s="19">
        <v>470.99</v>
      </c>
      <c r="R767" s="16">
        <v>0.2</v>
      </c>
      <c r="S767" s="16">
        <v>470.79</v>
      </c>
      <c r="T767" s="5" t="s">
        <v>108</v>
      </c>
      <c r="U767" s="13" t="s">
        <v>300</v>
      </c>
    </row>
    <row r="768" spans="1:21" x14ac:dyDescent="0.35">
      <c r="A768" s="4">
        <v>767</v>
      </c>
      <c r="B768" s="4">
        <v>564</v>
      </c>
      <c r="C768" s="13" t="s">
        <v>1515</v>
      </c>
      <c r="D768" s="13" t="s">
        <v>1516</v>
      </c>
      <c r="E768" s="5" t="s">
        <v>5566</v>
      </c>
      <c r="F768" s="5" t="s">
        <v>4081</v>
      </c>
      <c r="G768" s="5" t="s">
        <v>4082</v>
      </c>
      <c r="H768" s="13" t="s">
        <v>2950</v>
      </c>
      <c r="I768" s="13" t="s">
        <v>2309</v>
      </c>
      <c r="J768" s="4">
        <v>11735</v>
      </c>
      <c r="K768" s="4">
        <v>1</v>
      </c>
      <c r="L768" s="4">
        <v>63</v>
      </c>
      <c r="M768" s="4">
        <v>2017</v>
      </c>
      <c r="N768" s="4">
        <v>2</v>
      </c>
      <c r="O768" s="4">
        <v>7</v>
      </c>
      <c r="P768" s="4">
        <v>1</v>
      </c>
      <c r="Q768" s="19">
        <v>3499.99</v>
      </c>
      <c r="R768" s="16">
        <v>0.1</v>
      </c>
      <c r="S768" s="16">
        <v>3499.89</v>
      </c>
      <c r="T768" s="5" t="s">
        <v>64</v>
      </c>
      <c r="U768" s="13" t="s">
        <v>302</v>
      </c>
    </row>
    <row r="769" spans="1:21" x14ac:dyDescent="0.35">
      <c r="A769" s="4">
        <v>768</v>
      </c>
      <c r="B769" s="4">
        <v>841</v>
      </c>
      <c r="C769" s="13" t="s">
        <v>1123</v>
      </c>
      <c r="D769" s="13" t="s">
        <v>1517</v>
      </c>
      <c r="E769" s="5" t="s">
        <v>5566</v>
      </c>
      <c r="F769" s="5" t="s">
        <v>4083</v>
      </c>
      <c r="G769" s="5" t="s">
        <v>4084</v>
      </c>
      <c r="H769" s="13" t="s">
        <v>2531</v>
      </c>
      <c r="I769" s="13" t="s">
        <v>2309</v>
      </c>
      <c r="J769" s="4">
        <v>11779</v>
      </c>
      <c r="K769" s="4">
        <v>1</v>
      </c>
      <c r="L769" s="4">
        <v>31</v>
      </c>
      <c r="M769" s="4">
        <v>2017</v>
      </c>
      <c r="N769" s="4">
        <v>2</v>
      </c>
      <c r="O769" s="4">
        <v>7</v>
      </c>
      <c r="P769" s="4">
        <v>1</v>
      </c>
      <c r="Q769" s="19">
        <v>1632.99</v>
      </c>
      <c r="R769" s="16">
        <v>0.2</v>
      </c>
      <c r="S769" s="16">
        <v>1632.79</v>
      </c>
      <c r="T769" s="5" t="s">
        <v>32</v>
      </c>
      <c r="U769" s="13" t="s">
        <v>304</v>
      </c>
    </row>
    <row r="770" spans="1:21" x14ac:dyDescent="0.35">
      <c r="A770" s="4">
        <v>769</v>
      </c>
      <c r="B770" s="4">
        <v>946</v>
      </c>
      <c r="C770" s="13" t="s">
        <v>1518</v>
      </c>
      <c r="D770" s="13" t="s">
        <v>1028</v>
      </c>
      <c r="E770" s="5" t="s">
        <v>5566</v>
      </c>
      <c r="F770" s="5" t="s">
        <v>4085</v>
      </c>
      <c r="G770" s="5" t="s">
        <v>4086</v>
      </c>
      <c r="H770" s="13" t="s">
        <v>2583</v>
      </c>
      <c r="I770" s="13" t="s">
        <v>2309</v>
      </c>
      <c r="J770" s="4">
        <v>14534</v>
      </c>
      <c r="K770" s="4">
        <v>1</v>
      </c>
      <c r="L770" s="4">
        <v>8</v>
      </c>
      <c r="M770" s="4">
        <v>2016</v>
      </c>
      <c r="N770" s="4">
        <v>2</v>
      </c>
      <c r="O770" s="4">
        <v>6</v>
      </c>
      <c r="P770" s="4">
        <v>1</v>
      </c>
      <c r="Q770" s="19">
        <v>1799.99</v>
      </c>
      <c r="R770" s="16">
        <v>0.1</v>
      </c>
      <c r="S770" s="16">
        <v>1799.89</v>
      </c>
      <c r="T770" s="5" t="s">
        <v>13</v>
      </c>
      <c r="U770" s="13" t="s">
        <v>304</v>
      </c>
    </row>
    <row r="771" spans="1:21" x14ac:dyDescent="0.35">
      <c r="A771" s="4">
        <v>770</v>
      </c>
      <c r="B771" s="4">
        <v>135</v>
      </c>
      <c r="C771" s="13" t="s">
        <v>1519</v>
      </c>
      <c r="D771" s="13" t="s">
        <v>1520</v>
      </c>
      <c r="E771" s="5" t="s">
        <v>4087</v>
      </c>
      <c r="F771" s="5" t="s">
        <v>4088</v>
      </c>
      <c r="G771" s="5" t="s">
        <v>4089</v>
      </c>
      <c r="H771" s="13" t="s">
        <v>1262</v>
      </c>
      <c r="I771" s="13" t="s">
        <v>2397</v>
      </c>
      <c r="J771" s="4">
        <v>77016</v>
      </c>
      <c r="K771" s="4">
        <v>1</v>
      </c>
      <c r="L771" s="4">
        <v>110</v>
      </c>
      <c r="M771" s="4">
        <v>2017</v>
      </c>
      <c r="N771" s="4">
        <v>3</v>
      </c>
      <c r="O771" s="4">
        <v>9</v>
      </c>
      <c r="P771" s="4">
        <v>1</v>
      </c>
      <c r="Q771" s="19">
        <v>470.99</v>
      </c>
      <c r="R771" s="16">
        <v>0.05</v>
      </c>
      <c r="S771" s="16">
        <v>470.94</v>
      </c>
      <c r="T771" s="5" t="s">
        <v>107</v>
      </c>
      <c r="U771" s="13" t="s">
        <v>300</v>
      </c>
    </row>
    <row r="772" spans="1:21" x14ac:dyDescent="0.35">
      <c r="A772" s="4">
        <v>771</v>
      </c>
      <c r="B772" s="4">
        <v>671</v>
      </c>
      <c r="C772" s="13" t="s">
        <v>992</v>
      </c>
      <c r="D772" s="13" t="s">
        <v>421</v>
      </c>
      <c r="E772" s="5" t="s">
        <v>5566</v>
      </c>
      <c r="F772" s="5" t="s">
        <v>4090</v>
      </c>
      <c r="G772" s="5" t="s">
        <v>4091</v>
      </c>
      <c r="H772" s="13" t="s">
        <v>2353</v>
      </c>
      <c r="I772" s="13" t="s">
        <v>2305</v>
      </c>
      <c r="J772" s="4">
        <v>92220</v>
      </c>
      <c r="K772" s="4">
        <v>1</v>
      </c>
      <c r="L772" s="4">
        <v>13</v>
      </c>
      <c r="M772" s="4">
        <v>2016</v>
      </c>
      <c r="N772" s="4">
        <v>1</v>
      </c>
      <c r="O772" s="4">
        <v>3</v>
      </c>
      <c r="P772" s="4">
        <v>2</v>
      </c>
      <c r="Q772" s="19">
        <v>269.99</v>
      </c>
      <c r="R772" s="16">
        <v>0.2</v>
      </c>
      <c r="S772" s="16">
        <v>539.78</v>
      </c>
      <c r="T772" s="5" t="s">
        <v>18</v>
      </c>
      <c r="U772" s="13" t="s">
        <v>301</v>
      </c>
    </row>
    <row r="773" spans="1:21" x14ac:dyDescent="0.35">
      <c r="A773" s="4">
        <v>772</v>
      </c>
      <c r="B773" s="4">
        <v>448</v>
      </c>
      <c r="C773" s="13" t="s">
        <v>1521</v>
      </c>
      <c r="D773" s="13" t="s">
        <v>1522</v>
      </c>
      <c r="E773" s="5" t="s">
        <v>4092</v>
      </c>
      <c r="F773" s="5" t="s">
        <v>4093</v>
      </c>
      <c r="G773" s="5" t="s">
        <v>4094</v>
      </c>
      <c r="H773" s="13" t="s">
        <v>2476</v>
      </c>
      <c r="I773" s="13" t="s">
        <v>2309</v>
      </c>
      <c r="J773" s="4">
        <v>14606</v>
      </c>
      <c r="K773" s="4">
        <v>1</v>
      </c>
      <c r="L773" s="4">
        <v>103</v>
      </c>
      <c r="M773" s="4">
        <v>2017</v>
      </c>
      <c r="N773" s="4">
        <v>2</v>
      </c>
      <c r="O773" s="4">
        <v>7</v>
      </c>
      <c r="P773" s="4">
        <v>1</v>
      </c>
      <c r="Q773" s="19">
        <v>551.99</v>
      </c>
      <c r="R773" s="16">
        <v>7.0000000000000007E-2</v>
      </c>
      <c r="S773" s="16">
        <v>551.91999999999996</v>
      </c>
      <c r="T773" s="5" t="s">
        <v>102</v>
      </c>
      <c r="U773" s="13" t="s">
        <v>300</v>
      </c>
    </row>
    <row r="774" spans="1:21" x14ac:dyDescent="0.35">
      <c r="A774" s="4">
        <v>773</v>
      </c>
      <c r="B774" s="4">
        <v>1385</v>
      </c>
      <c r="C774" s="13" t="s">
        <v>1523</v>
      </c>
      <c r="D774" s="13" t="s">
        <v>1333</v>
      </c>
      <c r="E774" s="5" t="s">
        <v>5566</v>
      </c>
      <c r="F774" s="5" t="s">
        <v>4095</v>
      </c>
      <c r="G774" s="5" t="s">
        <v>4096</v>
      </c>
      <c r="H774" s="13" t="s">
        <v>3204</v>
      </c>
      <c r="I774" s="13" t="s">
        <v>2309</v>
      </c>
      <c r="J774" s="4">
        <v>14424</v>
      </c>
      <c r="K774" s="4">
        <v>1</v>
      </c>
      <c r="L774" s="4">
        <v>92</v>
      </c>
      <c r="M774" s="4">
        <v>2017</v>
      </c>
      <c r="N774" s="4">
        <v>2</v>
      </c>
      <c r="O774" s="4">
        <v>6</v>
      </c>
      <c r="P774" s="4">
        <v>1</v>
      </c>
      <c r="Q774" s="19">
        <v>209.99</v>
      </c>
      <c r="R774" s="16">
        <v>0.1</v>
      </c>
      <c r="S774" s="16">
        <v>209.89000000000001</v>
      </c>
      <c r="T774" s="5" t="s">
        <v>93</v>
      </c>
      <c r="U774" s="13" t="s">
        <v>299</v>
      </c>
    </row>
    <row r="775" spans="1:21" x14ac:dyDescent="0.35">
      <c r="A775" s="4">
        <v>774</v>
      </c>
      <c r="B775" s="4">
        <v>690</v>
      </c>
      <c r="C775" s="13" t="s">
        <v>1524</v>
      </c>
      <c r="D775" s="13" t="s">
        <v>1175</v>
      </c>
      <c r="E775" s="5" t="s">
        <v>5566</v>
      </c>
      <c r="F775" s="5" t="s">
        <v>4097</v>
      </c>
      <c r="G775" s="5" t="s">
        <v>4098</v>
      </c>
      <c r="H775" s="13" t="s">
        <v>2763</v>
      </c>
      <c r="I775" s="13" t="s">
        <v>2309</v>
      </c>
      <c r="J775" s="4">
        <v>11372</v>
      </c>
      <c r="K775" s="4">
        <v>1</v>
      </c>
      <c r="L775" s="4">
        <v>65</v>
      </c>
      <c r="M775" s="4">
        <v>2017</v>
      </c>
      <c r="N775" s="4">
        <v>2</v>
      </c>
      <c r="O775" s="4">
        <v>6</v>
      </c>
      <c r="P775" s="4">
        <v>1</v>
      </c>
      <c r="Q775" s="19">
        <v>346.99</v>
      </c>
      <c r="R775" s="16">
        <v>0.05</v>
      </c>
      <c r="S775" s="16">
        <v>346.94</v>
      </c>
      <c r="T775" s="5" t="s">
        <v>66</v>
      </c>
      <c r="U775" s="13" t="s">
        <v>301</v>
      </c>
    </row>
    <row r="776" spans="1:21" x14ac:dyDescent="0.35">
      <c r="A776" s="4">
        <v>775</v>
      </c>
      <c r="B776" s="4">
        <v>968</v>
      </c>
      <c r="C776" s="13" t="s">
        <v>1525</v>
      </c>
      <c r="D776" s="13" t="s">
        <v>1526</v>
      </c>
      <c r="E776" s="5" t="s">
        <v>5566</v>
      </c>
      <c r="F776" s="5" t="s">
        <v>4099</v>
      </c>
      <c r="G776" s="5" t="s">
        <v>4100</v>
      </c>
      <c r="H776" s="13" t="s">
        <v>3870</v>
      </c>
      <c r="I776" s="13" t="s">
        <v>2309</v>
      </c>
      <c r="J776" s="4">
        <v>10541</v>
      </c>
      <c r="K776" s="4">
        <v>1</v>
      </c>
      <c r="L776" s="4">
        <v>39</v>
      </c>
      <c r="M776" s="4">
        <v>2017</v>
      </c>
      <c r="N776" s="4">
        <v>2</v>
      </c>
      <c r="O776" s="4">
        <v>6</v>
      </c>
      <c r="P776" s="4">
        <v>1</v>
      </c>
      <c r="Q776" s="19">
        <v>1499.99</v>
      </c>
      <c r="R776" s="16">
        <v>7.0000000000000007E-2</v>
      </c>
      <c r="S776" s="16">
        <v>1499.92</v>
      </c>
      <c r="T776" s="5" t="s">
        <v>40</v>
      </c>
      <c r="U776" s="13" t="s">
        <v>304</v>
      </c>
    </row>
    <row r="777" spans="1:21" x14ac:dyDescent="0.35">
      <c r="A777" s="4">
        <v>776</v>
      </c>
      <c r="B777" s="4">
        <v>490</v>
      </c>
      <c r="C777" s="13" t="s">
        <v>1527</v>
      </c>
      <c r="D777" s="13" t="s">
        <v>1528</v>
      </c>
      <c r="E777" s="5" t="s">
        <v>5566</v>
      </c>
      <c r="F777" s="5" t="s">
        <v>4101</v>
      </c>
      <c r="G777" s="5" t="s">
        <v>4102</v>
      </c>
      <c r="H777" s="13" t="s">
        <v>2444</v>
      </c>
      <c r="I777" s="13" t="s">
        <v>2309</v>
      </c>
      <c r="J777" s="4">
        <v>10562</v>
      </c>
      <c r="K777" s="4">
        <v>1</v>
      </c>
      <c r="L777" s="4">
        <v>28</v>
      </c>
      <c r="M777" s="4">
        <v>2017</v>
      </c>
      <c r="N777" s="4">
        <v>2</v>
      </c>
      <c r="O777" s="4">
        <v>6</v>
      </c>
      <c r="P777" s="4">
        <v>1</v>
      </c>
      <c r="Q777" s="19">
        <v>2499.9899999999998</v>
      </c>
      <c r="R777" s="16">
        <v>0.2</v>
      </c>
      <c r="S777" s="16">
        <v>2499.79</v>
      </c>
      <c r="T777" s="5" t="s">
        <v>29</v>
      </c>
      <c r="U777" s="13" t="s">
        <v>304</v>
      </c>
    </row>
    <row r="778" spans="1:21" x14ac:dyDescent="0.35">
      <c r="A778" s="4">
        <v>777</v>
      </c>
      <c r="B778" s="4">
        <v>496</v>
      </c>
      <c r="C778" s="13" t="s">
        <v>1529</v>
      </c>
      <c r="D778" s="13" t="s">
        <v>1530</v>
      </c>
      <c r="E778" s="5" t="s">
        <v>5566</v>
      </c>
      <c r="F778" s="5" t="s">
        <v>4103</v>
      </c>
      <c r="G778" s="5" t="s">
        <v>4104</v>
      </c>
      <c r="H778" s="13" t="s">
        <v>3156</v>
      </c>
      <c r="I778" s="13" t="s">
        <v>2309</v>
      </c>
      <c r="J778" s="4">
        <v>11102</v>
      </c>
      <c r="K778" s="4">
        <v>1</v>
      </c>
      <c r="L778" s="4">
        <v>5</v>
      </c>
      <c r="M778" s="4">
        <v>2016</v>
      </c>
      <c r="N778" s="4">
        <v>2</v>
      </c>
      <c r="O778" s="4">
        <v>6</v>
      </c>
      <c r="P778" s="4">
        <v>1</v>
      </c>
      <c r="Q778" s="19">
        <v>1320.99</v>
      </c>
      <c r="R778" s="16">
        <v>0.2</v>
      </c>
      <c r="S778" s="16">
        <v>1320.79</v>
      </c>
      <c r="T778" s="5" t="s">
        <v>10</v>
      </c>
      <c r="U778" s="13" t="s">
        <v>304</v>
      </c>
    </row>
    <row r="779" spans="1:21" x14ac:dyDescent="0.35">
      <c r="A779" s="4">
        <v>778</v>
      </c>
      <c r="B779" s="4">
        <v>56</v>
      </c>
      <c r="C779" s="13" t="s">
        <v>1531</v>
      </c>
      <c r="D779" s="13" t="s">
        <v>1179</v>
      </c>
      <c r="E779" s="5" t="s">
        <v>4105</v>
      </c>
      <c r="F779" s="5" t="s">
        <v>4106</v>
      </c>
      <c r="G779" s="5" t="s">
        <v>4107</v>
      </c>
      <c r="H779" s="13" t="s">
        <v>1262</v>
      </c>
      <c r="I779" s="13" t="s">
        <v>2397</v>
      </c>
      <c r="J779" s="4">
        <v>77016</v>
      </c>
      <c r="K779" s="4">
        <v>1</v>
      </c>
      <c r="L779" s="4">
        <v>64</v>
      </c>
      <c r="M779" s="4">
        <v>2017</v>
      </c>
      <c r="N779" s="4">
        <v>3</v>
      </c>
      <c r="O779" s="4">
        <v>9</v>
      </c>
      <c r="P779" s="4">
        <v>1</v>
      </c>
      <c r="Q779" s="19">
        <v>489.99</v>
      </c>
      <c r="R779" s="16">
        <v>0.1</v>
      </c>
      <c r="S779" s="16">
        <v>489.89</v>
      </c>
      <c r="T779" s="5" t="s">
        <v>65</v>
      </c>
      <c r="U779" s="13" t="s">
        <v>301</v>
      </c>
    </row>
    <row r="780" spans="1:21" x14ac:dyDescent="0.35">
      <c r="A780" s="4">
        <v>779</v>
      </c>
      <c r="B780" s="4">
        <v>367</v>
      </c>
      <c r="C780" s="13" t="s">
        <v>1532</v>
      </c>
      <c r="D780" s="13" t="s">
        <v>1533</v>
      </c>
      <c r="E780" s="5" t="s">
        <v>5566</v>
      </c>
      <c r="F780" s="5" t="s">
        <v>4108</v>
      </c>
      <c r="G780" s="5" t="s">
        <v>4109</v>
      </c>
      <c r="H780" s="13" t="s">
        <v>3084</v>
      </c>
      <c r="I780" s="13" t="s">
        <v>2309</v>
      </c>
      <c r="J780" s="4">
        <v>11417</v>
      </c>
      <c r="K780" s="4">
        <v>1</v>
      </c>
      <c r="L780" s="4">
        <v>101</v>
      </c>
      <c r="M780" s="4">
        <v>2017</v>
      </c>
      <c r="N780" s="4">
        <v>2</v>
      </c>
      <c r="O780" s="4">
        <v>6</v>
      </c>
      <c r="P780" s="4">
        <v>1</v>
      </c>
      <c r="Q780" s="19">
        <v>339.99</v>
      </c>
      <c r="R780" s="16">
        <v>0.05</v>
      </c>
      <c r="S780" s="16">
        <v>339.94</v>
      </c>
      <c r="T780" s="5" t="s">
        <v>101</v>
      </c>
      <c r="U780" s="13" t="s">
        <v>299</v>
      </c>
    </row>
    <row r="781" spans="1:21" x14ac:dyDescent="0.35">
      <c r="A781" s="4">
        <v>780</v>
      </c>
      <c r="B781" s="4">
        <v>592</v>
      </c>
      <c r="C781" s="13" t="s">
        <v>1534</v>
      </c>
      <c r="D781" s="13" t="s">
        <v>1013</v>
      </c>
      <c r="E781" s="5" t="s">
        <v>5566</v>
      </c>
      <c r="F781" s="5" t="s">
        <v>4110</v>
      </c>
      <c r="G781" s="5" t="s">
        <v>4111</v>
      </c>
      <c r="H781" s="13" t="s">
        <v>2567</v>
      </c>
      <c r="I781" s="13" t="s">
        <v>2309</v>
      </c>
      <c r="J781" s="4">
        <v>11720</v>
      </c>
      <c r="K781" s="4">
        <v>1</v>
      </c>
      <c r="L781" s="4">
        <v>32</v>
      </c>
      <c r="M781" s="4">
        <v>2017</v>
      </c>
      <c r="N781" s="4">
        <v>2</v>
      </c>
      <c r="O781" s="4">
        <v>6</v>
      </c>
      <c r="P781" s="4">
        <v>1</v>
      </c>
      <c r="Q781" s="19">
        <v>469.99</v>
      </c>
      <c r="R781" s="16">
        <v>0.1</v>
      </c>
      <c r="S781" s="16">
        <v>469.89</v>
      </c>
      <c r="T781" s="5" t="s">
        <v>33</v>
      </c>
      <c r="U781" s="13" t="s">
        <v>304</v>
      </c>
    </row>
    <row r="782" spans="1:21" x14ac:dyDescent="0.35">
      <c r="A782" s="4">
        <v>781</v>
      </c>
      <c r="B782" s="4">
        <v>1018</v>
      </c>
      <c r="C782" s="13" t="s">
        <v>1535</v>
      </c>
      <c r="D782" s="13" t="s">
        <v>869</v>
      </c>
      <c r="E782" s="5" t="s">
        <v>5566</v>
      </c>
      <c r="F782" s="5" t="s">
        <v>4112</v>
      </c>
      <c r="G782" s="5" t="s">
        <v>4113</v>
      </c>
      <c r="H782" s="13" t="s">
        <v>2838</v>
      </c>
      <c r="I782" s="13" t="s">
        <v>2309</v>
      </c>
      <c r="J782" s="4">
        <v>11378</v>
      </c>
      <c r="K782" s="4">
        <v>1</v>
      </c>
      <c r="L782" s="4">
        <v>109</v>
      </c>
      <c r="M782" s="4">
        <v>2017</v>
      </c>
      <c r="N782" s="4">
        <v>2</v>
      </c>
      <c r="O782" s="4">
        <v>6</v>
      </c>
      <c r="P782" s="4">
        <v>2</v>
      </c>
      <c r="Q782" s="19">
        <v>416.99</v>
      </c>
      <c r="R782" s="16">
        <v>0.05</v>
      </c>
      <c r="S782" s="16">
        <v>833.93000000000006</v>
      </c>
      <c r="T782" s="5" t="s">
        <v>106</v>
      </c>
      <c r="U782" s="13" t="s">
        <v>300</v>
      </c>
    </row>
    <row r="783" spans="1:21" x14ac:dyDescent="0.35">
      <c r="A783" s="4">
        <v>782</v>
      </c>
      <c r="B783" s="4">
        <v>1298</v>
      </c>
      <c r="C783" s="13" t="s">
        <v>1536</v>
      </c>
      <c r="D783" s="13" t="s">
        <v>761</v>
      </c>
      <c r="E783" s="5" t="s">
        <v>5566</v>
      </c>
      <c r="F783" s="5" t="s">
        <v>4114</v>
      </c>
      <c r="G783" s="5" t="s">
        <v>4115</v>
      </c>
      <c r="H783" s="13" t="s">
        <v>2656</v>
      </c>
      <c r="I783" s="13" t="s">
        <v>2309</v>
      </c>
      <c r="J783" s="4">
        <v>12302</v>
      </c>
      <c r="K783" s="4">
        <v>1</v>
      </c>
      <c r="L783" s="4">
        <v>20</v>
      </c>
      <c r="M783" s="4">
        <v>2016</v>
      </c>
      <c r="N783" s="4">
        <v>2</v>
      </c>
      <c r="O783" s="4">
        <v>7</v>
      </c>
      <c r="P783" s="4">
        <v>2</v>
      </c>
      <c r="Q783" s="19">
        <v>599.99</v>
      </c>
      <c r="R783" s="16">
        <v>7.0000000000000007E-2</v>
      </c>
      <c r="S783" s="16">
        <v>1199.9100000000001</v>
      </c>
      <c r="T783" s="5" t="s">
        <v>25</v>
      </c>
      <c r="U783" s="13" t="s">
        <v>301</v>
      </c>
    </row>
    <row r="784" spans="1:21" x14ac:dyDescent="0.35">
      <c r="A784" s="4">
        <v>783</v>
      </c>
      <c r="B784" s="4">
        <v>1343</v>
      </c>
      <c r="C784" s="13" t="s">
        <v>1537</v>
      </c>
      <c r="D784" s="13" t="s">
        <v>627</v>
      </c>
      <c r="E784" s="5" t="s">
        <v>5566</v>
      </c>
      <c r="F784" s="5" t="s">
        <v>4116</v>
      </c>
      <c r="G784" s="5" t="s">
        <v>4117</v>
      </c>
      <c r="H784" s="13" t="s">
        <v>2544</v>
      </c>
      <c r="I784" s="13" t="s">
        <v>2305</v>
      </c>
      <c r="J784" s="4">
        <v>91784</v>
      </c>
      <c r="K784" s="4">
        <v>1</v>
      </c>
      <c r="L784" s="4">
        <v>92</v>
      </c>
      <c r="M784" s="4">
        <v>2017</v>
      </c>
      <c r="N784" s="4">
        <v>1</v>
      </c>
      <c r="O784" s="4">
        <v>2</v>
      </c>
      <c r="P784" s="4">
        <v>1</v>
      </c>
      <c r="Q784" s="19">
        <v>209.99</v>
      </c>
      <c r="R784" s="16">
        <v>0.2</v>
      </c>
      <c r="S784" s="16">
        <v>209.79000000000002</v>
      </c>
      <c r="T784" s="5" t="s">
        <v>93</v>
      </c>
      <c r="U784" s="13" t="s">
        <v>299</v>
      </c>
    </row>
    <row r="785" spans="1:21" x14ac:dyDescent="0.35">
      <c r="A785" s="4">
        <v>784</v>
      </c>
      <c r="B785" s="4">
        <v>430</v>
      </c>
      <c r="C785" s="13" t="s">
        <v>1538</v>
      </c>
      <c r="D785" s="13" t="s">
        <v>1539</v>
      </c>
      <c r="E785" s="5" t="s">
        <v>5566</v>
      </c>
      <c r="F785" s="5" t="s">
        <v>4118</v>
      </c>
      <c r="G785" s="5" t="s">
        <v>4119</v>
      </c>
      <c r="H785" s="13" t="s">
        <v>4042</v>
      </c>
      <c r="I785" s="13" t="s">
        <v>2309</v>
      </c>
      <c r="J785" s="4">
        <v>11762</v>
      </c>
      <c r="K785" s="4">
        <v>1</v>
      </c>
      <c r="L785" s="4">
        <v>22</v>
      </c>
      <c r="M785" s="4">
        <v>2016</v>
      </c>
      <c r="N785" s="4">
        <v>2</v>
      </c>
      <c r="O785" s="4">
        <v>7</v>
      </c>
      <c r="P785" s="4">
        <v>1</v>
      </c>
      <c r="Q785" s="19">
        <v>269.99</v>
      </c>
      <c r="R785" s="16">
        <v>7.0000000000000007E-2</v>
      </c>
      <c r="S785" s="16">
        <v>269.92</v>
      </c>
      <c r="T785" s="5" t="s">
        <v>19</v>
      </c>
      <c r="U785" s="13" t="s">
        <v>299</v>
      </c>
    </row>
    <row r="786" spans="1:21" x14ac:dyDescent="0.35">
      <c r="A786" s="4">
        <v>785</v>
      </c>
      <c r="B786" s="4">
        <v>794</v>
      </c>
      <c r="C786" s="13" t="s">
        <v>1540</v>
      </c>
      <c r="D786" s="13" t="s">
        <v>1541</v>
      </c>
      <c r="E786" s="5" t="s">
        <v>5566</v>
      </c>
      <c r="F786" s="5" t="s">
        <v>4120</v>
      </c>
      <c r="G786" s="5" t="s">
        <v>4121</v>
      </c>
      <c r="H786" s="13" t="s">
        <v>3044</v>
      </c>
      <c r="I786" s="13" t="s">
        <v>2305</v>
      </c>
      <c r="J786" s="4">
        <v>90278</v>
      </c>
      <c r="K786" s="4">
        <v>1</v>
      </c>
      <c r="L786" s="4">
        <v>59</v>
      </c>
      <c r="M786" s="4">
        <v>2017</v>
      </c>
      <c r="N786" s="4">
        <v>1</v>
      </c>
      <c r="O786" s="4">
        <v>2</v>
      </c>
      <c r="P786" s="4">
        <v>2</v>
      </c>
      <c r="Q786" s="19">
        <v>2599.9899999999998</v>
      </c>
      <c r="R786" s="16">
        <v>0.2</v>
      </c>
      <c r="S786" s="16">
        <v>5199.78</v>
      </c>
      <c r="T786" s="5" t="s">
        <v>60</v>
      </c>
      <c r="U786" s="13" t="s">
        <v>305</v>
      </c>
    </row>
    <row r="787" spans="1:21" x14ac:dyDescent="0.35">
      <c r="A787" s="4">
        <v>786</v>
      </c>
      <c r="B787" s="4">
        <v>249</v>
      </c>
      <c r="C787" s="13" t="s">
        <v>1542</v>
      </c>
      <c r="D787" s="13" t="s">
        <v>1188</v>
      </c>
      <c r="E787" s="5" t="s">
        <v>5566</v>
      </c>
      <c r="F787" s="5" t="s">
        <v>4122</v>
      </c>
      <c r="G787" s="5" t="s">
        <v>4123</v>
      </c>
      <c r="H787" s="13" t="s">
        <v>2444</v>
      </c>
      <c r="I787" s="13" t="s">
        <v>2309</v>
      </c>
      <c r="J787" s="4">
        <v>10562</v>
      </c>
      <c r="K787" s="4">
        <v>1</v>
      </c>
      <c r="L787" s="4">
        <v>80</v>
      </c>
      <c r="M787" s="4">
        <v>2017</v>
      </c>
      <c r="N787" s="4">
        <v>2</v>
      </c>
      <c r="O787" s="4">
        <v>6</v>
      </c>
      <c r="P787" s="4">
        <v>1</v>
      </c>
      <c r="Q787" s="19">
        <v>761.99</v>
      </c>
      <c r="R787" s="16">
        <v>0.05</v>
      </c>
      <c r="S787" s="16">
        <v>761.94</v>
      </c>
      <c r="T787" s="5" t="s">
        <v>81</v>
      </c>
      <c r="U787" s="13" t="s">
        <v>301</v>
      </c>
    </row>
    <row r="788" spans="1:21" x14ac:dyDescent="0.35">
      <c r="A788" s="4">
        <v>787</v>
      </c>
      <c r="B788" s="4">
        <v>700</v>
      </c>
      <c r="C788" s="13" t="s">
        <v>1543</v>
      </c>
      <c r="D788" s="13" t="s">
        <v>1544</v>
      </c>
      <c r="E788" s="5" t="s">
        <v>4124</v>
      </c>
      <c r="F788" s="5" t="s">
        <v>4125</v>
      </c>
      <c r="G788" s="5" t="s">
        <v>4126</v>
      </c>
      <c r="H788" s="13" t="s">
        <v>2453</v>
      </c>
      <c r="I788" s="13" t="s">
        <v>2397</v>
      </c>
      <c r="J788" s="4">
        <v>78418</v>
      </c>
      <c r="K788" s="4">
        <v>1</v>
      </c>
      <c r="L788" s="4">
        <v>51</v>
      </c>
      <c r="M788" s="4">
        <v>2017</v>
      </c>
      <c r="N788" s="4">
        <v>3</v>
      </c>
      <c r="O788" s="4">
        <v>9</v>
      </c>
      <c r="P788" s="4">
        <v>2</v>
      </c>
      <c r="Q788" s="19">
        <v>6499.99</v>
      </c>
      <c r="R788" s="16">
        <v>7.0000000000000007E-2</v>
      </c>
      <c r="S788" s="16">
        <v>12999.91</v>
      </c>
      <c r="T788" s="5" t="s">
        <v>52</v>
      </c>
      <c r="U788" s="13" t="s">
        <v>305</v>
      </c>
    </row>
    <row r="789" spans="1:21" x14ac:dyDescent="0.35">
      <c r="A789" s="4">
        <v>788</v>
      </c>
      <c r="B789" s="4">
        <v>1363</v>
      </c>
      <c r="C789" s="13" t="s">
        <v>1545</v>
      </c>
      <c r="D789" s="13" t="s">
        <v>1546</v>
      </c>
      <c r="E789" s="5" t="s">
        <v>4127</v>
      </c>
      <c r="F789" s="5" t="s">
        <v>4128</v>
      </c>
      <c r="G789" s="5" t="s">
        <v>4129</v>
      </c>
      <c r="H789" s="13" t="s">
        <v>1262</v>
      </c>
      <c r="I789" s="13" t="s">
        <v>2397</v>
      </c>
      <c r="J789" s="4">
        <v>77016</v>
      </c>
      <c r="K789" s="4">
        <v>1</v>
      </c>
      <c r="L789" s="4">
        <v>48</v>
      </c>
      <c r="M789" s="4">
        <v>2017</v>
      </c>
      <c r="N789" s="4">
        <v>3</v>
      </c>
      <c r="O789" s="4">
        <v>9</v>
      </c>
      <c r="P789" s="4">
        <v>1</v>
      </c>
      <c r="Q789" s="19">
        <v>1499.99</v>
      </c>
      <c r="R789" s="16">
        <v>0.2</v>
      </c>
      <c r="S789" s="16">
        <v>1499.79</v>
      </c>
      <c r="T789" s="5" t="s">
        <v>49</v>
      </c>
      <c r="U789" s="13" t="s">
        <v>305</v>
      </c>
    </row>
    <row r="790" spans="1:21" x14ac:dyDescent="0.35">
      <c r="A790" s="4">
        <v>789</v>
      </c>
      <c r="B790" s="4">
        <v>772</v>
      </c>
      <c r="C790" s="13" t="s">
        <v>1547</v>
      </c>
      <c r="D790" s="13" t="s">
        <v>1548</v>
      </c>
      <c r="E790" s="5" t="s">
        <v>5566</v>
      </c>
      <c r="F790" s="5" t="s">
        <v>4130</v>
      </c>
      <c r="G790" s="5" t="s">
        <v>4131</v>
      </c>
      <c r="H790" s="13" t="s">
        <v>3185</v>
      </c>
      <c r="I790" s="13" t="s">
        <v>2309</v>
      </c>
      <c r="J790" s="4">
        <v>10598</v>
      </c>
      <c r="K790" s="4">
        <v>1</v>
      </c>
      <c r="L790" s="4">
        <v>100</v>
      </c>
      <c r="M790" s="4">
        <v>2017</v>
      </c>
      <c r="N790" s="4">
        <v>2</v>
      </c>
      <c r="O790" s="4">
        <v>6</v>
      </c>
      <c r="P790" s="4">
        <v>2</v>
      </c>
      <c r="Q790" s="19">
        <v>489.99</v>
      </c>
      <c r="R790" s="16">
        <v>0.2</v>
      </c>
      <c r="S790" s="16">
        <v>979.78</v>
      </c>
      <c r="T790" s="5" t="s">
        <v>100</v>
      </c>
      <c r="U790" s="13" t="s">
        <v>299</v>
      </c>
    </row>
    <row r="791" spans="1:21" x14ac:dyDescent="0.35">
      <c r="A791" s="4">
        <v>790</v>
      </c>
      <c r="B791" s="4">
        <v>1015</v>
      </c>
      <c r="C791" s="13" t="s">
        <v>1085</v>
      </c>
      <c r="D791" s="13" t="s">
        <v>1172</v>
      </c>
      <c r="E791" s="5" t="s">
        <v>5566</v>
      </c>
      <c r="F791" s="5" t="s">
        <v>4132</v>
      </c>
      <c r="G791" s="5" t="s">
        <v>4133</v>
      </c>
      <c r="H791" s="13" t="s">
        <v>2469</v>
      </c>
      <c r="I791" s="13" t="s">
        <v>2309</v>
      </c>
      <c r="J791" s="4">
        <v>11530</v>
      </c>
      <c r="K791" s="4">
        <v>1</v>
      </c>
      <c r="L791" s="4">
        <v>62</v>
      </c>
      <c r="M791" s="4">
        <v>2017</v>
      </c>
      <c r="N791" s="4">
        <v>2</v>
      </c>
      <c r="O791" s="4">
        <v>7</v>
      </c>
      <c r="P791" s="4">
        <v>2</v>
      </c>
      <c r="Q791" s="19">
        <v>3499.99</v>
      </c>
      <c r="R791" s="16">
        <v>7.0000000000000007E-2</v>
      </c>
      <c r="S791" s="16">
        <v>6999.91</v>
      </c>
      <c r="T791" s="5" t="s">
        <v>63</v>
      </c>
      <c r="U791" s="13" t="s">
        <v>302</v>
      </c>
    </row>
    <row r="792" spans="1:21" x14ac:dyDescent="0.35">
      <c r="A792" s="4">
        <v>791</v>
      </c>
      <c r="B792" s="4">
        <v>432</v>
      </c>
      <c r="C792" s="13" t="s">
        <v>1549</v>
      </c>
      <c r="D792" s="13" t="s">
        <v>1437</v>
      </c>
      <c r="E792" s="5" t="s">
        <v>5566</v>
      </c>
      <c r="F792" s="5" t="s">
        <v>4134</v>
      </c>
      <c r="G792" s="5" t="s">
        <v>4135</v>
      </c>
      <c r="H792" s="13" t="s">
        <v>4136</v>
      </c>
      <c r="I792" s="13" t="s">
        <v>2309</v>
      </c>
      <c r="J792" s="4">
        <v>11554</v>
      </c>
      <c r="K792" s="4">
        <v>1</v>
      </c>
      <c r="L792" s="4">
        <v>54</v>
      </c>
      <c r="M792" s="4">
        <v>2017</v>
      </c>
      <c r="N792" s="4">
        <v>2</v>
      </c>
      <c r="O792" s="4">
        <v>6</v>
      </c>
      <c r="P792" s="4">
        <v>1</v>
      </c>
      <c r="Q792" s="19">
        <v>3199.99</v>
      </c>
      <c r="R792" s="16">
        <v>0.2</v>
      </c>
      <c r="S792" s="16">
        <v>3199.79</v>
      </c>
      <c r="T792" s="5" t="s">
        <v>55</v>
      </c>
      <c r="U792" s="13" t="s">
        <v>305</v>
      </c>
    </row>
    <row r="793" spans="1:21" x14ac:dyDescent="0.35">
      <c r="A793" s="4">
        <v>792</v>
      </c>
      <c r="B793" s="4">
        <v>479</v>
      </c>
      <c r="C793" s="13" t="s">
        <v>1550</v>
      </c>
      <c r="D793" s="13" t="s">
        <v>1551</v>
      </c>
      <c r="E793" s="5" t="s">
        <v>5566</v>
      </c>
      <c r="F793" s="5" t="s">
        <v>4137</v>
      </c>
      <c r="G793" s="5" t="s">
        <v>4138</v>
      </c>
      <c r="H793" s="13" t="s">
        <v>4139</v>
      </c>
      <c r="I793" s="13" t="s">
        <v>2309</v>
      </c>
      <c r="J793" s="4">
        <v>11354</v>
      </c>
      <c r="K793" s="4">
        <v>1</v>
      </c>
      <c r="L793" s="4">
        <v>16</v>
      </c>
      <c r="M793" s="4">
        <v>2016</v>
      </c>
      <c r="N793" s="4">
        <v>2</v>
      </c>
      <c r="O793" s="4">
        <v>6</v>
      </c>
      <c r="P793" s="4">
        <v>2</v>
      </c>
      <c r="Q793" s="19">
        <v>599.99</v>
      </c>
      <c r="R793" s="16">
        <v>0.2</v>
      </c>
      <c r="S793" s="16">
        <v>1199.78</v>
      </c>
      <c r="T793" s="5" t="s">
        <v>21</v>
      </c>
      <c r="U793" s="13" t="s">
        <v>301</v>
      </c>
    </row>
    <row r="794" spans="1:21" x14ac:dyDescent="0.35">
      <c r="A794" s="4">
        <v>793</v>
      </c>
      <c r="B794" s="4">
        <v>653</v>
      </c>
      <c r="C794" s="13" t="s">
        <v>1552</v>
      </c>
      <c r="D794" s="13" t="s">
        <v>1553</v>
      </c>
      <c r="E794" s="5" t="s">
        <v>5566</v>
      </c>
      <c r="F794" s="5" t="s">
        <v>4140</v>
      </c>
      <c r="G794" s="5" t="s">
        <v>4141</v>
      </c>
      <c r="H794" s="13" t="s">
        <v>2933</v>
      </c>
      <c r="I794" s="13" t="s">
        <v>2309</v>
      </c>
      <c r="J794" s="4">
        <v>14701</v>
      </c>
      <c r="K794" s="4">
        <v>1</v>
      </c>
      <c r="L794" s="4">
        <v>60</v>
      </c>
      <c r="M794" s="4">
        <v>2017</v>
      </c>
      <c r="N794" s="4">
        <v>2</v>
      </c>
      <c r="O794" s="4">
        <v>6</v>
      </c>
      <c r="P794" s="4">
        <v>1</v>
      </c>
      <c r="Q794" s="19">
        <v>1559.99</v>
      </c>
      <c r="R794" s="16">
        <v>0.05</v>
      </c>
      <c r="S794" s="16">
        <v>1559.94</v>
      </c>
      <c r="T794" s="5" t="s">
        <v>61</v>
      </c>
      <c r="U794" s="13" t="s">
        <v>303</v>
      </c>
    </row>
    <row r="795" spans="1:21" x14ac:dyDescent="0.35">
      <c r="A795" s="4">
        <v>794</v>
      </c>
      <c r="B795" s="4">
        <v>863</v>
      </c>
      <c r="C795" s="13" t="s">
        <v>1482</v>
      </c>
      <c r="D795" s="13" t="s">
        <v>1554</v>
      </c>
      <c r="E795" s="5" t="s">
        <v>5566</v>
      </c>
      <c r="F795" s="5" t="s">
        <v>4142</v>
      </c>
      <c r="G795" s="5" t="s">
        <v>4143</v>
      </c>
      <c r="H795" s="13" t="s">
        <v>2318</v>
      </c>
      <c r="I795" s="13" t="s">
        <v>2309</v>
      </c>
      <c r="J795" s="4">
        <v>13501</v>
      </c>
      <c r="K795" s="4">
        <v>1</v>
      </c>
      <c r="L795" s="4">
        <v>41</v>
      </c>
      <c r="M795" s="4">
        <v>2017</v>
      </c>
      <c r="N795" s="4">
        <v>2</v>
      </c>
      <c r="O795" s="4">
        <v>7</v>
      </c>
      <c r="P795" s="4">
        <v>2</v>
      </c>
      <c r="Q795" s="19">
        <v>1469.99</v>
      </c>
      <c r="R795" s="16">
        <v>0.05</v>
      </c>
      <c r="S795" s="16">
        <v>2939.93</v>
      </c>
      <c r="T795" s="5" t="s">
        <v>42</v>
      </c>
      <c r="U795" s="13" t="s">
        <v>304</v>
      </c>
    </row>
    <row r="796" spans="1:21" x14ac:dyDescent="0.35">
      <c r="A796" s="4">
        <v>795</v>
      </c>
      <c r="B796" s="4">
        <v>992</v>
      </c>
      <c r="C796" s="13" t="s">
        <v>1115</v>
      </c>
      <c r="D796" s="13" t="s">
        <v>1555</v>
      </c>
      <c r="E796" s="5" t="s">
        <v>5566</v>
      </c>
      <c r="F796" s="5" t="s">
        <v>4144</v>
      </c>
      <c r="G796" s="5" t="s">
        <v>4145</v>
      </c>
      <c r="H796" s="13" t="s">
        <v>2312</v>
      </c>
      <c r="I796" s="13" t="s">
        <v>2309</v>
      </c>
      <c r="J796" s="4">
        <v>11772</v>
      </c>
      <c r="K796" s="4">
        <v>1</v>
      </c>
      <c r="L796" s="4">
        <v>95</v>
      </c>
      <c r="M796" s="4">
        <v>2017</v>
      </c>
      <c r="N796" s="4">
        <v>2</v>
      </c>
      <c r="O796" s="4">
        <v>7</v>
      </c>
      <c r="P796" s="4">
        <v>2</v>
      </c>
      <c r="Q796" s="19">
        <v>299.99</v>
      </c>
      <c r="R796" s="16">
        <v>0.05</v>
      </c>
      <c r="S796" s="16">
        <v>599.93000000000006</v>
      </c>
      <c r="T796" s="5" t="s">
        <v>77</v>
      </c>
      <c r="U796" s="13" t="s">
        <v>299</v>
      </c>
    </row>
    <row r="797" spans="1:21" x14ac:dyDescent="0.35">
      <c r="A797" s="4">
        <v>796</v>
      </c>
      <c r="B797" s="4">
        <v>154</v>
      </c>
      <c r="C797" s="13" t="s">
        <v>1556</v>
      </c>
      <c r="D797" s="13" t="s">
        <v>1554</v>
      </c>
      <c r="E797" s="5" t="s">
        <v>5566</v>
      </c>
      <c r="F797" s="5" t="s">
        <v>4146</v>
      </c>
      <c r="G797" s="5" t="s">
        <v>4147</v>
      </c>
      <c r="H797" s="13" t="s">
        <v>2620</v>
      </c>
      <c r="I797" s="13" t="s">
        <v>2397</v>
      </c>
      <c r="J797" s="4">
        <v>78023</v>
      </c>
      <c r="K797" s="4">
        <v>1</v>
      </c>
      <c r="L797" s="4">
        <v>6</v>
      </c>
      <c r="M797" s="4">
        <v>2016</v>
      </c>
      <c r="N797" s="4">
        <v>3</v>
      </c>
      <c r="O797" s="4">
        <v>9</v>
      </c>
      <c r="P797" s="4">
        <v>2</v>
      </c>
      <c r="Q797" s="19">
        <v>469.99</v>
      </c>
      <c r="R797" s="16">
        <v>0.2</v>
      </c>
      <c r="S797" s="16">
        <v>939.78</v>
      </c>
      <c r="T797" s="5" t="s">
        <v>11</v>
      </c>
      <c r="U797" s="13" t="s">
        <v>304</v>
      </c>
    </row>
    <row r="798" spans="1:21" x14ac:dyDescent="0.35">
      <c r="A798" s="4">
        <v>797</v>
      </c>
      <c r="B798" s="4">
        <v>374</v>
      </c>
      <c r="C798" s="13" t="s">
        <v>1557</v>
      </c>
      <c r="D798" s="13" t="s">
        <v>1150</v>
      </c>
      <c r="E798" s="5" t="s">
        <v>5566</v>
      </c>
      <c r="F798" s="5" t="s">
        <v>4148</v>
      </c>
      <c r="G798" s="5" t="s">
        <v>4149</v>
      </c>
      <c r="H798" s="13" t="s">
        <v>2393</v>
      </c>
      <c r="I798" s="13" t="s">
        <v>2309</v>
      </c>
      <c r="J798" s="4">
        <v>11566</v>
      </c>
      <c r="K798" s="4">
        <v>1</v>
      </c>
      <c r="L798" s="4">
        <v>11</v>
      </c>
      <c r="M798" s="4">
        <v>2016</v>
      </c>
      <c r="N798" s="4">
        <v>2</v>
      </c>
      <c r="O798" s="4">
        <v>7</v>
      </c>
      <c r="P798" s="4">
        <v>1</v>
      </c>
      <c r="Q798" s="19">
        <v>1680.99</v>
      </c>
      <c r="R798" s="16">
        <v>7.0000000000000007E-2</v>
      </c>
      <c r="S798" s="16">
        <v>1680.92</v>
      </c>
      <c r="T798" s="5" t="s">
        <v>16</v>
      </c>
      <c r="U798" s="13" t="s">
        <v>302</v>
      </c>
    </row>
    <row r="799" spans="1:21" x14ac:dyDescent="0.35">
      <c r="A799" s="4">
        <v>798</v>
      </c>
      <c r="B799" s="4">
        <v>619</v>
      </c>
      <c r="C799" s="13" t="s">
        <v>1558</v>
      </c>
      <c r="D799" s="13" t="s">
        <v>1320</v>
      </c>
      <c r="E799" s="5" t="s">
        <v>4150</v>
      </c>
      <c r="F799" s="5" t="s">
        <v>4151</v>
      </c>
      <c r="G799" s="5" t="s">
        <v>4152</v>
      </c>
      <c r="H799" s="13" t="s">
        <v>2460</v>
      </c>
      <c r="I799" s="13" t="s">
        <v>2305</v>
      </c>
      <c r="J799" s="4">
        <v>92806</v>
      </c>
      <c r="K799" s="4">
        <v>1</v>
      </c>
      <c r="L799" s="4">
        <v>23</v>
      </c>
      <c r="M799" s="4">
        <v>2016</v>
      </c>
      <c r="N799" s="4">
        <v>1</v>
      </c>
      <c r="O799" s="4">
        <v>3</v>
      </c>
      <c r="P799" s="4">
        <v>1</v>
      </c>
      <c r="Q799" s="19">
        <v>299.99</v>
      </c>
      <c r="R799" s="16">
        <v>0.1</v>
      </c>
      <c r="S799" s="16">
        <v>299.89</v>
      </c>
      <c r="T799" s="5" t="s">
        <v>26</v>
      </c>
      <c r="U799" s="13" t="s">
        <v>299</v>
      </c>
    </row>
    <row r="800" spans="1:21" x14ac:dyDescent="0.35">
      <c r="A800" s="4">
        <v>799</v>
      </c>
      <c r="B800" s="4">
        <v>607</v>
      </c>
      <c r="C800" s="13" t="s">
        <v>337</v>
      </c>
      <c r="D800" s="13" t="s">
        <v>373</v>
      </c>
      <c r="E800" s="5" t="s">
        <v>5566</v>
      </c>
      <c r="F800" s="5" t="s">
        <v>4153</v>
      </c>
      <c r="G800" s="5" t="s">
        <v>4154</v>
      </c>
      <c r="H800" s="13" t="s">
        <v>2989</v>
      </c>
      <c r="I800" s="13" t="s">
        <v>2305</v>
      </c>
      <c r="J800" s="4">
        <v>92083</v>
      </c>
      <c r="K800" s="4">
        <v>1</v>
      </c>
      <c r="L800" s="4">
        <v>5</v>
      </c>
      <c r="M800" s="4">
        <v>2016</v>
      </c>
      <c r="N800" s="4">
        <v>1</v>
      </c>
      <c r="O800" s="4">
        <v>3</v>
      </c>
      <c r="P800" s="4">
        <v>2</v>
      </c>
      <c r="Q800" s="19">
        <v>1320.99</v>
      </c>
      <c r="R800" s="16">
        <v>0.1</v>
      </c>
      <c r="S800" s="16">
        <v>2641.88</v>
      </c>
      <c r="T800" s="5" t="s">
        <v>10</v>
      </c>
      <c r="U800" s="13" t="s">
        <v>304</v>
      </c>
    </row>
    <row r="801" spans="1:21" x14ac:dyDescent="0.35">
      <c r="A801" s="4">
        <v>800</v>
      </c>
      <c r="B801" s="4">
        <v>1057</v>
      </c>
      <c r="C801" s="13" t="s">
        <v>1559</v>
      </c>
      <c r="D801" s="13" t="s">
        <v>1560</v>
      </c>
      <c r="E801" s="5" t="s">
        <v>5566</v>
      </c>
      <c r="F801" s="5" t="s">
        <v>4155</v>
      </c>
      <c r="G801" s="5" t="s">
        <v>4156</v>
      </c>
      <c r="H801" s="13" t="s">
        <v>2368</v>
      </c>
      <c r="I801" s="13" t="s">
        <v>2309</v>
      </c>
      <c r="J801" s="4">
        <v>10550</v>
      </c>
      <c r="K801" s="4">
        <v>1</v>
      </c>
      <c r="L801" s="4">
        <v>65</v>
      </c>
      <c r="M801" s="4">
        <v>2017</v>
      </c>
      <c r="N801" s="4">
        <v>2</v>
      </c>
      <c r="O801" s="4">
        <v>6</v>
      </c>
      <c r="P801" s="4">
        <v>2</v>
      </c>
      <c r="Q801" s="19">
        <v>346.99</v>
      </c>
      <c r="R801" s="16">
        <v>0.1</v>
      </c>
      <c r="S801" s="16">
        <v>693.88</v>
      </c>
      <c r="T801" s="5" t="s">
        <v>66</v>
      </c>
      <c r="U801" s="13" t="s">
        <v>301</v>
      </c>
    </row>
    <row r="802" spans="1:21" x14ac:dyDescent="0.35">
      <c r="A802" s="4">
        <v>801</v>
      </c>
      <c r="B802" s="4">
        <v>78</v>
      </c>
      <c r="C802" s="13" t="s">
        <v>1561</v>
      </c>
      <c r="D802" s="13" t="s">
        <v>1562</v>
      </c>
      <c r="E802" s="5" t="s">
        <v>5566</v>
      </c>
      <c r="F802" s="5" t="s">
        <v>4157</v>
      </c>
      <c r="G802" s="5" t="s">
        <v>4158</v>
      </c>
      <c r="H802" s="13" t="s">
        <v>2790</v>
      </c>
      <c r="I802" s="13" t="s">
        <v>2305</v>
      </c>
      <c r="J802" s="4">
        <v>90274</v>
      </c>
      <c r="K802" s="4">
        <v>1</v>
      </c>
      <c r="L802" s="4">
        <v>101</v>
      </c>
      <c r="M802" s="4">
        <v>2017</v>
      </c>
      <c r="N802" s="4">
        <v>1</v>
      </c>
      <c r="O802" s="4">
        <v>2</v>
      </c>
      <c r="P802" s="4">
        <v>1</v>
      </c>
      <c r="Q802" s="19">
        <v>339.99</v>
      </c>
      <c r="R802" s="16">
        <v>7.0000000000000007E-2</v>
      </c>
      <c r="S802" s="16">
        <v>339.92</v>
      </c>
      <c r="T802" s="5" t="s">
        <v>101</v>
      </c>
      <c r="U802" s="13" t="s">
        <v>299</v>
      </c>
    </row>
    <row r="803" spans="1:21" x14ac:dyDescent="0.35">
      <c r="A803" s="4">
        <v>802</v>
      </c>
      <c r="B803" s="4">
        <v>340</v>
      </c>
      <c r="C803" s="13" t="s">
        <v>1563</v>
      </c>
      <c r="D803" s="13" t="s">
        <v>1564</v>
      </c>
      <c r="E803" s="5" t="s">
        <v>5566</v>
      </c>
      <c r="F803" s="5" t="s">
        <v>4159</v>
      </c>
      <c r="G803" s="5" t="s">
        <v>4160</v>
      </c>
      <c r="H803" s="13" t="s">
        <v>2797</v>
      </c>
      <c r="I803" s="13" t="s">
        <v>2309</v>
      </c>
      <c r="J803" s="4">
        <v>11787</v>
      </c>
      <c r="K803" s="4">
        <v>1</v>
      </c>
      <c r="L803" s="4">
        <v>30</v>
      </c>
      <c r="M803" s="4">
        <v>2017</v>
      </c>
      <c r="N803" s="4">
        <v>2</v>
      </c>
      <c r="O803" s="4">
        <v>6</v>
      </c>
      <c r="P803" s="4">
        <v>1</v>
      </c>
      <c r="Q803" s="19">
        <v>999.99</v>
      </c>
      <c r="R803" s="16">
        <v>0.05</v>
      </c>
      <c r="S803" s="16">
        <v>999.94</v>
      </c>
      <c r="T803" s="5" t="s">
        <v>31</v>
      </c>
      <c r="U803" s="13" t="s">
        <v>304</v>
      </c>
    </row>
    <row r="804" spans="1:21" x14ac:dyDescent="0.35">
      <c r="A804" s="4">
        <v>803</v>
      </c>
      <c r="B804" s="4">
        <v>1105</v>
      </c>
      <c r="C804" s="13" t="s">
        <v>1565</v>
      </c>
      <c r="D804" s="13" t="s">
        <v>508</v>
      </c>
      <c r="E804" s="5" t="s">
        <v>5566</v>
      </c>
      <c r="F804" s="5" t="s">
        <v>4161</v>
      </c>
      <c r="G804" s="5" t="s">
        <v>4162</v>
      </c>
      <c r="H804" s="13" t="s">
        <v>1639</v>
      </c>
      <c r="I804" s="13" t="s">
        <v>2397</v>
      </c>
      <c r="J804" s="4">
        <v>75080</v>
      </c>
      <c r="K804" s="4">
        <v>1</v>
      </c>
      <c r="L804" s="4">
        <v>111</v>
      </c>
      <c r="M804" s="4">
        <v>2017</v>
      </c>
      <c r="N804" s="4">
        <v>3</v>
      </c>
      <c r="O804" s="4">
        <v>8</v>
      </c>
      <c r="P804" s="4">
        <v>1</v>
      </c>
      <c r="Q804" s="19">
        <v>470.99</v>
      </c>
      <c r="R804" s="16">
        <v>7.0000000000000007E-2</v>
      </c>
      <c r="S804" s="16">
        <v>470.92</v>
      </c>
      <c r="T804" s="5" t="s">
        <v>108</v>
      </c>
      <c r="U804" s="13" t="s">
        <v>300</v>
      </c>
    </row>
    <row r="805" spans="1:21" x14ac:dyDescent="0.35">
      <c r="A805" s="4">
        <v>804</v>
      </c>
      <c r="B805" s="4">
        <v>95</v>
      </c>
      <c r="C805" s="13" t="s">
        <v>1566</v>
      </c>
      <c r="D805" s="13" t="s">
        <v>1567</v>
      </c>
      <c r="E805" s="5" t="s">
        <v>5566</v>
      </c>
      <c r="F805" s="5" t="s">
        <v>4163</v>
      </c>
      <c r="G805" s="5" t="s">
        <v>4164</v>
      </c>
      <c r="H805" s="13" t="s">
        <v>2327</v>
      </c>
      <c r="I805" s="13" t="s">
        <v>2309</v>
      </c>
      <c r="J805" s="4">
        <v>12866</v>
      </c>
      <c r="K805" s="4">
        <v>1</v>
      </c>
      <c r="L805" s="4">
        <v>89</v>
      </c>
      <c r="M805" s="4">
        <v>2017</v>
      </c>
      <c r="N805" s="4">
        <v>2</v>
      </c>
      <c r="O805" s="4">
        <v>6</v>
      </c>
      <c r="P805" s="4">
        <v>2</v>
      </c>
      <c r="Q805" s="19">
        <v>209.99</v>
      </c>
      <c r="R805" s="16">
        <v>0.2</v>
      </c>
      <c r="S805" s="16">
        <v>419.78000000000003</v>
      </c>
      <c r="T805" s="5" t="s">
        <v>90</v>
      </c>
      <c r="U805" s="13" t="s">
        <v>299</v>
      </c>
    </row>
    <row r="806" spans="1:21" x14ac:dyDescent="0.35">
      <c r="A806" s="4">
        <v>805</v>
      </c>
      <c r="B806" s="4">
        <v>420</v>
      </c>
      <c r="C806" s="13" t="s">
        <v>1568</v>
      </c>
      <c r="D806" s="13" t="s">
        <v>544</v>
      </c>
      <c r="E806" s="5" t="s">
        <v>5566</v>
      </c>
      <c r="F806" s="5" t="s">
        <v>4165</v>
      </c>
      <c r="G806" s="5" t="s">
        <v>4166</v>
      </c>
      <c r="H806" s="13" t="s">
        <v>2393</v>
      </c>
      <c r="I806" s="13" t="s">
        <v>2309</v>
      </c>
      <c r="J806" s="4">
        <v>11566</v>
      </c>
      <c r="K806" s="4">
        <v>1</v>
      </c>
      <c r="L806" s="4">
        <v>24</v>
      </c>
      <c r="M806" s="4">
        <v>2016</v>
      </c>
      <c r="N806" s="4">
        <v>2</v>
      </c>
      <c r="O806" s="4">
        <v>6</v>
      </c>
      <c r="P806" s="4">
        <v>1</v>
      </c>
      <c r="Q806" s="19">
        <v>549.99</v>
      </c>
      <c r="R806" s="16">
        <v>0.05</v>
      </c>
      <c r="S806" s="16">
        <v>549.94000000000005</v>
      </c>
      <c r="T806" s="5" t="s">
        <v>17</v>
      </c>
      <c r="U806" s="13" t="s">
        <v>300</v>
      </c>
    </row>
    <row r="807" spans="1:21" x14ac:dyDescent="0.35">
      <c r="A807" s="4">
        <v>806</v>
      </c>
      <c r="B807" s="4">
        <v>234</v>
      </c>
      <c r="C807" s="13" t="s">
        <v>1569</v>
      </c>
      <c r="D807" s="13" t="s">
        <v>624</v>
      </c>
      <c r="E807" s="5" t="s">
        <v>5566</v>
      </c>
      <c r="F807" s="5" t="s">
        <v>4167</v>
      </c>
      <c r="G807" s="5" t="s">
        <v>4168</v>
      </c>
      <c r="H807" s="13" t="s">
        <v>4136</v>
      </c>
      <c r="I807" s="13" t="s">
        <v>2309</v>
      </c>
      <c r="J807" s="4">
        <v>11554</v>
      </c>
      <c r="K807" s="4">
        <v>1</v>
      </c>
      <c r="L807" s="4">
        <v>93</v>
      </c>
      <c r="M807" s="4">
        <v>2017</v>
      </c>
      <c r="N807" s="4">
        <v>2</v>
      </c>
      <c r="O807" s="4">
        <v>7</v>
      </c>
      <c r="P807" s="4">
        <v>2</v>
      </c>
      <c r="Q807" s="19">
        <v>209.99</v>
      </c>
      <c r="R807" s="16">
        <v>0.1</v>
      </c>
      <c r="S807" s="16">
        <v>419.88</v>
      </c>
      <c r="T807" s="5" t="s">
        <v>94</v>
      </c>
      <c r="U807" s="13" t="s">
        <v>299</v>
      </c>
    </row>
    <row r="808" spans="1:21" x14ac:dyDescent="0.35">
      <c r="A808" s="4">
        <v>807</v>
      </c>
      <c r="B808" s="4">
        <v>1148</v>
      </c>
      <c r="C808" s="13" t="s">
        <v>1570</v>
      </c>
      <c r="D808" s="13" t="s">
        <v>1571</v>
      </c>
      <c r="E808" s="5" t="s">
        <v>5566</v>
      </c>
      <c r="F808" s="5" t="s">
        <v>4169</v>
      </c>
      <c r="G808" s="5" t="s">
        <v>4170</v>
      </c>
      <c r="H808" s="13" t="s">
        <v>3063</v>
      </c>
      <c r="I808" s="13" t="s">
        <v>2309</v>
      </c>
      <c r="J808" s="4">
        <v>10977</v>
      </c>
      <c r="K808" s="4">
        <v>1</v>
      </c>
      <c r="L808" s="4">
        <v>21</v>
      </c>
      <c r="M808" s="4">
        <v>2016</v>
      </c>
      <c r="N808" s="4">
        <v>2</v>
      </c>
      <c r="O808" s="4">
        <v>6</v>
      </c>
      <c r="P808" s="4">
        <v>2</v>
      </c>
      <c r="Q808" s="19">
        <v>269.99</v>
      </c>
      <c r="R808" s="16">
        <v>0.2</v>
      </c>
      <c r="S808" s="16">
        <v>539.78</v>
      </c>
      <c r="T808" s="5" t="s">
        <v>18</v>
      </c>
      <c r="U808" s="13" t="s">
        <v>299</v>
      </c>
    </row>
    <row r="809" spans="1:21" x14ac:dyDescent="0.35">
      <c r="A809" s="4">
        <v>808</v>
      </c>
      <c r="B809" s="4">
        <v>315</v>
      </c>
      <c r="C809" s="13" t="s">
        <v>860</v>
      </c>
      <c r="D809" s="13" t="s">
        <v>861</v>
      </c>
      <c r="E809" s="5" t="s">
        <v>5566</v>
      </c>
      <c r="F809" s="5" t="s">
        <v>4171</v>
      </c>
      <c r="G809" s="5" t="s">
        <v>4172</v>
      </c>
      <c r="H809" s="13" t="s">
        <v>470</v>
      </c>
      <c r="I809" s="13" t="s">
        <v>2309</v>
      </c>
      <c r="J809" s="4">
        <v>11510</v>
      </c>
      <c r="K809" s="4">
        <v>1</v>
      </c>
      <c r="L809" s="4">
        <v>96</v>
      </c>
      <c r="M809" s="4">
        <v>2017</v>
      </c>
      <c r="N809" s="4">
        <v>2</v>
      </c>
      <c r="O809" s="4">
        <v>6</v>
      </c>
      <c r="P809" s="4">
        <v>2</v>
      </c>
      <c r="Q809" s="19">
        <v>349.99</v>
      </c>
      <c r="R809" s="16">
        <v>0.05</v>
      </c>
      <c r="S809" s="16">
        <v>699.93000000000006</v>
      </c>
      <c r="T809" s="5" t="s">
        <v>96</v>
      </c>
      <c r="U809" s="13" t="s">
        <v>299</v>
      </c>
    </row>
    <row r="810" spans="1:21" x14ac:dyDescent="0.35">
      <c r="A810" s="4">
        <v>809</v>
      </c>
      <c r="B810" s="4">
        <v>1222</v>
      </c>
      <c r="C810" s="13" t="s">
        <v>1572</v>
      </c>
      <c r="D810" s="13" t="s">
        <v>2293</v>
      </c>
      <c r="E810" s="5" t="s">
        <v>5566</v>
      </c>
      <c r="F810" s="5" t="s">
        <v>4173</v>
      </c>
      <c r="G810" s="5" t="s">
        <v>4174</v>
      </c>
      <c r="H810" s="13" t="s">
        <v>4139</v>
      </c>
      <c r="I810" s="13" t="s">
        <v>2309</v>
      </c>
      <c r="J810" s="4">
        <v>11354</v>
      </c>
      <c r="K810" s="4">
        <v>1</v>
      </c>
      <c r="L810" s="4">
        <v>78</v>
      </c>
      <c r="M810" s="4">
        <v>2017</v>
      </c>
      <c r="N810" s="4">
        <v>2</v>
      </c>
      <c r="O810" s="4">
        <v>7</v>
      </c>
      <c r="P810" s="4">
        <v>1</v>
      </c>
      <c r="Q810" s="19">
        <v>647.99</v>
      </c>
      <c r="R810" s="16">
        <v>0.1</v>
      </c>
      <c r="S810" s="16">
        <v>647.89</v>
      </c>
      <c r="T810" s="5" t="s">
        <v>79</v>
      </c>
      <c r="U810" s="13" t="s">
        <v>301</v>
      </c>
    </row>
    <row r="811" spans="1:21" x14ac:dyDescent="0.35">
      <c r="A811" s="4">
        <v>810</v>
      </c>
      <c r="B811" s="4">
        <v>153</v>
      </c>
      <c r="C811" s="13" t="s">
        <v>1060</v>
      </c>
      <c r="D811" s="13" t="s">
        <v>721</v>
      </c>
      <c r="E811" s="5" t="s">
        <v>5566</v>
      </c>
      <c r="F811" s="5" t="s">
        <v>3370</v>
      </c>
      <c r="G811" s="5" t="s">
        <v>3371</v>
      </c>
      <c r="H811" s="13" t="s">
        <v>2849</v>
      </c>
      <c r="I811" s="13" t="s">
        <v>2397</v>
      </c>
      <c r="J811" s="4">
        <v>76901</v>
      </c>
      <c r="K811" s="4">
        <v>1</v>
      </c>
      <c r="L811" s="4">
        <v>103</v>
      </c>
      <c r="M811" s="4">
        <v>2017</v>
      </c>
      <c r="N811" s="4">
        <v>3</v>
      </c>
      <c r="O811" s="4">
        <v>8</v>
      </c>
      <c r="P811" s="4">
        <v>2</v>
      </c>
      <c r="Q811" s="19">
        <v>551.99</v>
      </c>
      <c r="R811" s="16">
        <v>0.05</v>
      </c>
      <c r="S811" s="16">
        <v>1103.93</v>
      </c>
      <c r="T811" s="5" t="s">
        <v>102</v>
      </c>
      <c r="U811" s="13" t="s">
        <v>300</v>
      </c>
    </row>
    <row r="812" spans="1:21" x14ac:dyDescent="0.35">
      <c r="A812" s="4">
        <v>811</v>
      </c>
      <c r="B812" s="4">
        <v>524</v>
      </c>
      <c r="C812" s="13" t="s">
        <v>1573</v>
      </c>
      <c r="D812" s="13" t="s">
        <v>1272</v>
      </c>
      <c r="E812" s="5" t="s">
        <v>5566</v>
      </c>
      <c r="F812" s="5" t="s">
        <v>4175</v>
      </c>
      <c r="G812" s="5" t="s">
        <v>4176</v>
      </c>
      <c r="H812" s="13" t="s">
        <v>2318</v>
      </c>
      <c r="I812" s="13" t="s">
        <v>2309</v>
      </c>
      <c r="J812" s="4">
        <v>13501</v>
      </c>
      <c r="K812" s="4">
        <v>1</v>
      </c>
      <c r="L812" s="4">
        <v>45</v>
      </c>
      <c r="M812" s="4">
        <v>2017</v>
      </c>
      <c r="N812" s="4">
        <v>2</v>
      </c>
      <c r="O812" s="4">
        <v>7</v>
      </c>
      <c r="P812" s="4">
        <v>2</v>
      </c>
      <c r="Q812" s="19">
        <v>869.99</v>
      </c>
      <c r="R812" s="16">
        <v>7.0000000000000007E-2</v>
      </c>
      <c r="S812" s="16">
        <v>1739.91</v>
      </c>
      <c r="T812" s="5" t="s">
        <v>46</v>
      </c>
      <c r="U812" s="13" t="s">
        <v>304</v>
      </c>
    </row>
    <row r="813" spans="1:21" x14ac:dyDescent="0.35">
      <c r="A813" s="4">
        <v>812</v>
      </c>
      <c r="B813" s="4">
        <v>1164</v>
      </c>
      <c r="C813" s="13" t="s">
        <v>1574</v>
      </c>
      <c r="D813" s="13" t="s">
        <v>1575</v>
      </c>
      <c r="E813" s="5" t="s">
        <v>5566</v>
      </c>
      <c r="F813" s="5" t="s">
        <v>4177</v>
      </c>
      <c r="G813" s="5" t="s">
        <v>4178</v>
      </c>
      <c r="H813" s="13" t="s">
        <v>2785</v>
      </c>
      <c r="I813" s="13" t="s">
        <v>2309</v>
      </c>
      <c r="J813" s="4">
        <v>10583</v>
      </c>
      <c r="K813" s="4">
        <v>1</v>
      </c>
      <c r="L813" s="4">
        <v>76</v>
      </c>
      <c r="M813" s="4">
        <v>2017</v>
      </c>
      <c r="N813" s="4">
        <v>2</v>
      </c>
      <c r="O813" s="4">
        <v>7</v>
      </c>
      <c r="P813" s="4">
        <v>2</v>
      </c>
      <c r="Q813" s="19">
        <v>299.99</v>
      </c>
      <c r="R813" s="16">
        <v>0.1</v>
      </c>
      <c r="S813" s="16">
        <v>599.88</v>
      </c>
      <c r="T813" s="5" t="s">
        <v>77</v>
      </c>
      <c r="U813" s="13" t="s">
        <v>301</v>
      </c>
    </row>
    <row r="814" spans="1:21" x14ac:dyDescent="0.35">
      <c r="A814" s="4">
        <v>813</v>
      </c>
      <c r="B814" s="4">
        <v>1203</v>
      </c>
      <c r="C814" s="13" t="s">
        <v>1109</v>
      </c>
      <c r="D814" s="13" t="s">
        <v>1105</v>
      </c>
      <c r="E814" s="5" t="s">
        <v>5566</v>
      </c>
      <c r="F814" s="5" t="s">
        <v>4179</v>
      </c>
      <c r="G814" s="5" t="s">
        <v>4180</v>
      </c>
      <c r="H814" s="13" t="s">
        <v>2687</v>
      </c>
      <c r="I814" s="13" t="s">
        <v>2397</v>
      </c>
      <c r="J814" s="4">
        <v>75115</v>
      </c>
      <c r="K814" s="4">
        <v>1</v>
      </c>
      <c r="L814" s="4">
        <v>96</v>
      </c>
      <c r="M814" s="4">
        <v>2017</v>
      </c>
      <c r="N814" s="4">
        <v>3</v>
      </c>
      <c r="O814" s="4">
        <v>9</v>
      </c>
      <c r="P814" s="4">
        <v>2</v>
      </c>
      <c r="Q814" s="19">
        <v>349.99</v>
      </c>
      <c r="R814" s="16">
        <v>0.1</v>
      </c>
      <c r="S814" s="16">
        <v>699.88</v>
      </c>
      <c r="T814" s="5" t="s">
        <v>96</v>
      </c>
      <c r="U814" s="13" t="s">
        <v>299</v>
      </c>
    </row>
    <row r="815" spans="1:21" x14ac:dyDescent="0.35">
      <c r="A815" s="4">
        <v>814</v>
      </c>
      <c r="B815" s="4">
        <v>629</v>
      </c>
      <c r="C815" s="13" t="s">
        <v>749</v>
      </c>
      <c r="D815" s="13" t="s">
        <v>977</v>
      </c>
      <c r="E815" s="5" t="s">
        <v>4181</v>
      </c>
      <c r="F815" s="5" t="s">
        <v>4182</v>
      </c>
      <c r="G815" s="5" t="s">
        <v>4183</v>
      </c>
      <c r="H815" s="13" t="s">
        <v>2406</v>
      </c>
      <c r="I815" s="13" t="s">
        <v>2309</v>
      </c>
      <c r="J815" s="4">
        <v>14215</v>
      </c>
      <c r="K815" s="4">
        <v>1</v>
      </c>
      <c r="L815" s="4">
        <v>69</v>
      </c>
      <c r="M815" s="4">
        <v>2017</v>
      </c>
      <c r="N815" s="4">
        <v>2</v>
      </c>
      <c r="O815" s="4">
        <v>7</v>
      </c>
      <c r="P815" s="4">
        <v>2</v>
      </c>
      <c r="Q815" s="19">
        <v>416.99</v>
      </c>
      <c r="R815" s="16">
        <v>0.1</v>
      </c>
      <c r="S815" s="16">
        <v>833.88</v>
      </c>
      <c r="T815" s="5" t="s">
        <v>70</v>
      </c>
      <c r="U815" s="13" t="s">
        <v>301</v>
      </c>
    </row>
    <row r="816" spans="1:21" x14ac:dyDescent="0.35">
      <c r="A816" s="4">
        <v>815</v>
      </c>
      <c r="B816" s="4">
        <v>1251</v>
      </c>
      <c r="C816" s="13" t="s">
        <v>1576</v>
      </c>
      <c r="D816" s="13" t="s">
        <v>1014</v>
      </c>
      <c r="E816" s="5" t="s">
        <v>5566</v>
      </c>
      <c r="F816" s="5" t="s">
        <v>4184</v>
      </c>
      <c r="G816" s="5" t="s">
        <v>4185</v>
      </c>
      <c r="H816" s="13" t="s">
        <v>2528</v>
      </c>
      <c r="I816" s="13" t="s">
        <v>2305</v>
      </c>
      <c r="J816" s="4">
        <v>91740</v>
      </c>
      <c r="K816" s="4">
        <v>1</v>
      </c>
      <c r="L816" s="4">
        <v>105</v>
      </c>
      <c r="M816" s="4">
        <v>2017</v>
      </c>
      <c r="N816" s="4">
        <v>1</v>
      </c>
      <c r="O816" s="4">
        <v>3</v>
      </c>
      <c r="P816" s="4">
        <v>2</v>
      </c>
      <c r="Q816" s="19">
        <v>533.99</v>
      </c>
      <c r="R816" s="16">
        <v>0.2</v>
      </c>
      <c r="S816" s="16">
        <v>1067.78</v>
      </c>
      <c r="T816" s="5" t="s">
        <v>104</v>
      </c>
      <c r="U816" s="13" t="s">
        <v>300</v>
      </c>
    </row>
    <row r="817" spans="1:21" x14ac:dyDescent="0.35">
      <c r="A817" s="4">
        <v>816</v>
      </c>
      <c r="B817" s="4">
        <v>811</v>
      </c>
      <c r="C817" s="13" t="s">
        <v>1577</v>
      </c>
      <c r="D817" s="13" t="s">
        <v>1200</v>
      </c>
      <c r="E817" s="5" t="s">
        <v>5566</v>
      </c>
      <c r="F817" s="5" t="s">
        <v>4186</v>
      </c>
      <c r="G817" s="5" t="s">
        <v>4187</v>
      </c>
      <c r="H817" s="13" t="s">
        <v>2961</v>
      </c>
      <c r="I817" s="13" t="s">
        <v>2309</v>
      </c>
      <c r="J817" s="4">
        <v>10301</v>
      </c>
      <c r="K817" s="4">
        <v>1</v>
      </c>
      <c r="L817" s="4">
        <v>75</v>
      </c>
      <c r="M817" s="4">
        <v>2017</v>
      </c>
      <c r="N817" s="4">
        <v>2</v>
      </c>
      <c r="O817" s="4">
        <v>6</v>
      </c>
      <c r="P817" s="4">
        <v>2</v>
      </c>
      <c r="Q817" s="19">
        <v>599.99</v>
      </c>
      <c r="R817" s="16">
        <v>0.1</v>
      </c>
      <c r="S817" s="16">
        <v>1199.8800000000001</v>
      </c>
      <c r="T817" s="5" t="s">
        <v>76</v>
      </c>
      <c r="U817" s="13" t="s">
        <v>301</v>
      </c>
    </row>
    <row r="818" spans="1:21" x14ac:dyDescent="0.35">
      <c r="A818" s="4">
        <v>817</v>
      </c>
      <c r="B818" s="4">
        <v>301</v>
      </c>
      <c r="C818" s="13" t="s">
        <v>764</v>
      </c>
      <c r="D818" s="13" t="s">
        <v>441</v>
      </c>
      <c r="E818" s="5" t="s">
        <v>5566</v>
      </c>
      <c r="F818" s="5" t="s">
        <v>4188</v>
      </c>
      <c r="G818" s="5" t="s">
        <v>4189</v>
      </c>
      <c r="H818" s="13" t="s">
        <v>2785</v>
      </c>
      <c r="I818" s="13" t="s">
        <v>2309</v>
      </c>
      <c r="J818" s="4">
        <v>10583</v>
      </c>
      <c r="K818" s="4">
        <v>1</v>
      </c>
      <c r="L818" s="4">
        <v>85</v>
      </c>
      <c r="M818" s="4">
        <v>2017</v>
      </c>
      <c r="N818" s="4">
        <v>2</v>
      </c>
      <c r="O818" s="4">
        <v>7</v>
      </c>
      <c r="P818" s="4">
        <v>1</v>
      </c>
      <c r="Q818" s="19">
        <v>329.99</v>
      </c>
      <c r="R818" s="16">
        <v>0.05</v>
      </c>
      <c r="S818" s="16">
        <v>329.94</v>
      </c>
      <c r="T818" s="5" t="s">
        <v>86</v>
      </c>
      <c r="U818" s="13" t="s">
        <v>299</v>
      </c>
    </row>
    <row r="819" spans="1:21" x14ac:dyDescent="0.35">
      <c r="A819" s="4">
        <v>818</v>
      </c>
      <c r="B819" s="4">
        <v>1319</v>
      </c>
      <c r="C819" s="13" t="s">
        <v>1578</v>
      </c>
      <c r="D819" s="13" t="s">
        <v>1579</v>
      </c>
      <c r="E819" s="5" t="s">
        <v>5566</v>
      </c>
      <c r="F819" s="5" t="s">
        <v>4190</v>
      </c>
      <c r="G819" s="5" t="s">
        <v>4191</v>
      </c>
      <c r="H819" s="13" t="s">
        <v>3122</v>
      </c>
      <c r="I819" s="13" t="s">
        <v>2309</v>
      </c>
      <c r="J819" s="4">
        <v>12550</v>
      </c>
      <c r="K819" s="4">
        <v>1</v>
      </c>
      <c r="L819" s="4">
        <v>103</v>
      </c>
      <c r="M819" s="4">
        <v>2017</v>
      </c>
      <c r="N819" s="4">
        <v>2</v>
      </c>
      <c r="O819" s="4">
        <v>6</v>
      </c>
      <c r="P819" s="4">
        <v>1</v>
      </c>
      <c r="Q819" s="19">
        <v>551.99</v>
      </c>
      <c r="R819" s="16">
        <v>0.05</v>
      </c>
      <c r="S819" s="16">
        <v>551.94000000000005</v>
      </c>
      <c r="T819" s="5" t="s">
        <v>102</v>
      </c>
      <c r="U819" s="13" t="s">
        <v>300</v>
      </c>
    </row>
    <row r="820" spans="1:21" x14ac:dyDescent="0.35">
      <c r="A820" s="4">
        <v>819</v>
      </c>
      <c r="B820" s="4">
        <v>221</v>
      </c>
      <c r="C820" s="13" t="s">
        <v>1580</v>
      </c>
      <c r="D820" s="13" t="s">
        <v>1581</v>
      </c>
      <c r="E820" s="5" t="s">
        <v>5566</v>
      </c>
      <c r="F820" s="5" t="s">
        <v>4192</v>
      </c>
      <c r="G820" s="5" t="s">
        <v>4193</v>
      </c>
      <c r="H820" s="13" t="s">
        <v>4005</v>
      </c>
      <c r="I820" s="13" t="s">
        <v>2397</v>
      </c>
      <c r="J820" s="4">
        <v>78501</v>
      </c>
      <c r="K820" s="4">
        <v>1</v>
      </c>
      <c r="L820" s="4">
        <v>94</v>
      </c>
      <c r="M820" s="4">
        <v>2017</v>
      </c>
      <c r="N820" s="4">
        <v>3</v>
      </c>
      <c r="O820" s="4">
        <v>9</v>
      </c>
      <c r="P820" s="4">
        <v>1</v>
      </c>
      <c r="Q820" s="19">
        <v>249.99</v>
      </c>
      <c r="R820" s="16">
        <v>0.2</v>
      </c>
      <c r="S820" s="16">
        <v>249.79000000000002</v>
      </c>
      <c r="T820" s="5" t="s">
        <v>95</v>
      </c>
      <c r="U820" s="13" t="s">
        <v>299</v>
      </c>
    </row>
    <row r="821" spans="1:21" x14ac:dyDescent="0.35">
      <c r="A821" s="4">
        <v>820</v>
      </c>
      <c r="B821" s="4">
        <v>725</v>
      </c>
      <c r="C821" s="13" t="s">
        <v>741</v>
      </c>
      <c r="D821" s="13" t="s">
        <v>1582</v>
      </c>
      <c r="E821" s="5" t="s">
        <v>5566</v>
      </c>
      <c r="F821" s="5" t="s">
        <v>4194</v>
      </c>
      <c r="G821" s="5" t="s">
        <v>4195</v>
      </c>
      <c r="H821" s="13" t="s">
        <v>2430</v>
      </c>
      <c r="I821" s="13" t="s">
        <v>2309</v>
      </c>
      <c r="J821" s="4">
        <v>11374</v>
      </c>
      <c r="K821" s="4">
        <v>1</v>
      </c>
      <c r="L821" s="4">
        <v>107</v>
      </c>
      <c r="M821" s="4">
        <v>2017</v>
      </c>
      <c r="N821" s="4">
        <v>2</v>
      </c>
      <c r="O821" s="4">
        <v>7</v>
      </c>
      <c r="P821" s="4">
        <v>1</v>
      </c>
      <c r="Q821" s="19">
        <v>416.99</v>
      </c>
      <c r="R821" s="16">
        <v>0.05</v>
      </c>
      <c r="S821" s="16">
        <v>416.94</v>
      </c>
      <c r="T821" s="5" t="s">
        <v>70</v>
      </c>
      <c r="U821" s="13" t="s">
        <v>300</v>
      </c>
    </row>
    <row r="822" spans="1:21" x14ac:dyDescent="0.35">
      <c r="A822" s="4">
        <v>821</v>
      </c>
      <c r="B822" s="4">
        <v>1181</v>
      </c>
      <c r="C822" s="13" t="s">
        <v>1583</v>
      </c>
      <c r="D822" s="13" t="s">
        <v>1584</v>
      </c>
      <c r="E822" s="5" t="s">
        <v>5566</v>
      </c>
      <c r="F822" s="5" t="s">
        <v>4196</v>
      </c>
      <c r="G822" s="5" t="s">
        <v>4197</v>
      </c>
      <c r="H822" s="13" t="s">
        <v>2554</v>
      </c>
      <c r="I822" s="13" t="s">
        <v>2309</v>
      </c>
      <c r="J822" s="4">
        <v>11201</v>
      </c>
      <c r="K822" s="4">
        <v>1</v>
      </c>
      <c r="L822" s="4">
        <v>102</v>
      </c>
      <c r="M822" s="4">
        <v>2017</v>
      </c>
      <c r="N822" s="4">
        <v>2</v>
      </c>
      <c r="O822" s="4">
        <v>7</v>
      </c>
      <c r="P822" s="4">
        <v>1</v>
      </c>
      <c r="Q822" s="19">
        <v>489.99</v>
      </c>
      <c r="R822" s="16">
        <v>7.0000000000000007E-2</v>
      </c>
      <c r="S822" s="16">
        <v>489.92</v>
      </c>
      <c r="T822" s="5" t="s">
        <v>65</v>
      </c>
      <c r="U822" s="13" t="s">
        <v>300</v>
      </c>
    </row>
    <row r="823" spans="1:21" x14ac:dyDescent="0.35">
      <c r="A823" s="4">
        <v>822</v>
      </c>
      <c r="B823" s="4">
        <v>294</v>
      </c>
      <c r="C823" s="13" t="s">
        <v>1585</v>
      </c>
      <c r="D823" s="13" t="s">
        <v>1586</v>
      </c>
      <c r="E823" s="5" t="s">
        <v>5566</v>
      </c>
      <c r="F823" s="5" t="s">
        <v>4198</v>
      </c>
      <c r="G823" s="5" t="s">
        <v>4199</v>
      </c>
      <c r="H823" s="13" t="s">
        <v>2472</v>
      </c>
      <c r="I823" s="13" t="s">
        <v>2309</v>
      </c>
      <c r="J823" s="4">
        <v>13440</v>
      </c>
      <c r="K823" s="4">
        <v>1</v>
      </c>
      <c r="L823" s="4">
        <v>53</v>
      </c>
      <c r="M823" s="4">
        <v>2017</v>
      </c>
      <c r="N823" s="4">
        <v>2</v>
      </c>
      <c r="O823" s="4">
        <v>7</v>
      </c>
      <c r="P823" s="4">
        <v>1</v>
      </c>
      <c r="Q823" s="19">
        <v>749.99</v>
      </c>
      <c r="R823" s="16">
        <v>0.05</v>
      </c>
      <c r="S823" s="16">
        <v>749.94</v>
      </c>
      <c r="T823" s="5" t="s">
        <v>54</v>
      </c>
      <c r="U823" s="13" t="s">
        <v>305</v>
      </c>
    </row>
    <row r="824" spans="1:21" x14ac:dyDescent="0.35">
      <c r="A824" s="4">
        <v>823</v>
      </c>
      <c r="B824" s="4">
        <v>415</v>
      </c>
      <c r="C824" s="13" t="s">
        <v>1587</v>
      </c>
      <c r="D824" s="13" t="s">
        <v>1588</v>
      </c>
      <c r="E824" s="5" t="s">
        <v>5566</v>
      </c>
      <c r="F824" s="5" t="s">
        <v>4200</v>
      </c>
      <c r="G824" s="5" t="s">
        <v>4201</v>
      </c>
      <c r="H824" s="13" t="s">
        <v>2396</v>
      </c>
      <c r="I824" s="13" t="s">
        <v>2397</v>
      </c>
      <c r="J824" s="4">
        <v>78552</v>
      </c>
      <c r="K824" s="4">
        <v>1</v>
      </c>
      <c r="L824" s="4">
        <v>56</v>
      </c>
      <c r="M824" s="4">
        <v>2017</v>
      </c>
      <c r="N824" s="4">
        <v>3</v>
      </c>
      <c r="O824" s="4">
        <v>8</v>
      </c>
      <c r="P824" s="4">
        <v>2</v>
      </c>
      <c r="Q824" s="19">
        <v>5499.99</v>
      </c>
      <c r="R824" s="16">
        <v>7.0000000000000007E-2</v>
      </c>
      <c r="S824" s="16">
        <v>10999.91</v>
      </c>
      <c r="T824" s="5" t="s">
        <v>57</v>
      </c>
      <c r="U824" s="13" t="s">
        <v>305</v>
      </c>
    </row>
    <row r="825" spans="1:21" x14ac:dyDescent="0.35">
      <c r="A825" s="4">
        <v>824</v>
      </c>
      <c r="B825" s="4">
        <v>993</v>
      </c>
      <c r="C825" s="13" t="s">
        <v>1589</v>
      </c>
      <c r="D825" s="13" t="s">
        <v>1590</v>
      </c>
      <c r="E825" s="5" t="s">
        <v>5566</v>
      </c>
      <c r="F825" s="5" t="s">
        <v>4202</v>
      </c>
      <c r="G825" s="5" t="s">
        <v>4203</v>
      </c>
      <c r="H825" s="13" t="s">
        <v>2489</v>
      </c>
      <c r="I825" s="13" t="s">
        <v>2305</v>
      </c>
      <c r="J825" s="4">
        <v>93555</v>
      </c>
      <c r="K825" s="4">
        <v>1</v>
      </c>
      <c r="L825" s="4">
        <v>92</v>
      </c>
      <c r="M825" s="4">
        <v>2017</v>
      </c>
      <c r="N825" s="4">
        <v>1</v>
      </c>
      <c r="O825" s="4">
        <v>2</v>
      </c>
      <c r="P825" s="4">
        <v>2</v>
      </c>
      <c r="Q825" s="19">
        <v>209.99</v>
      </c>
      <c r="R825" s="16">
        <v>0.1</v>
      </c>
      <c r="S825" s="16">
        <v>419.88</v>
      </c>
      <c r="T825" s="5" t="s">
        <v>93</v>
      </c>
      <c r="U825" s="13" t="s">
        <v>299</v>
      </c>
    </row>
    <row r="826" spans="1:21" x14ac:dyDescent="0.35">
      <c r="A826" s="4">
        <v>825</v>
      </c>
      <c r="B826" s="4">
        <v>10</v>
      </c>
      <c r="C826" s="13" t="s">
        <v>1591</v>
      </c>
      <c r="D826" s="13" t="s">
        <v>1592</v>
      </c>
      <c r="E826" s="5" t="s">
        <v>5566</v>
      </c>
      <c r="F826" s="5" t="s">
        <v>4204</v>
      </c>
      <c r="G826" s="5" t="s">
        <v>4205</v>
      </c>
      <c r="H826" s="13" t="s">
        <v>552</v>
      </c>
      <c r="I826" s="13" t="s">
        <v>2309</v>
      </c>
      <c r="J826" s="4">
        <v>10950</v>
      </c>
      <c r="K826" s="4">
        <v>1</v>
      </c>
      <c r="L826" s="4">
        <v>19</v>
      </c>
      <c r="M826" s="4">
        <v>2016</v>
      </c>
      <c r="N826" s="4">
        <v>2</v>
      </c>
      <c r="O826" s="4">
        <v>7</v>
      </c>
      <c r="P826" s="4">
        <v>1</v>
      </c>
      <c r="Q826" s="19">
        <v>449</v>
      </c>
      <c r="R826" s="16">
        <v>0.1</v>
      </c>
      <c r="S826" s="16">
        <v>448.9</v>
      </c>
      <c r="T826" s="5" t="s">
        <v>24</v>
      </c>
      <c r="U826" s="13" t="s">
        <v>301</v>
      </c>
    </row>
    <row r="827" spans="1:21" x14ac:dyDescent="0.35">
      <c r="A827" s="4">
        <v>826</v>
      </c>
      <c r="B827" s="4">
        <v>45</v>
      </c>
      <c r="C827" s="13" t="s">
        <v>1593</v>
      </c>
      <c r="D827" s="13" t="s">
        <v>1594</v>
      </c>
      <c r="E827" s="5" t="s">
        <v>5566</v>
      </c>
      <c r="F827" s="5" t="s">
        <v>4206</v>
      </c>
      <c r="G827" s="5" t="s">
        <v>4207</v>
      </c>
      <c r="H827" s="13" t="s">
        <v>2590</v>
      </c>
      <c r="I827" s="13" t="s">
        <v>2309</v>
      </c>
      <c r="J827" s="4">
        <v>11714</v>
      </c>
      <c r="K827" s="4">
        <v>1</v>
      </c>
      <c r="L827" s="4">
        <v>45</v>
      </c>
      <c r="M827" s="4">
        <v>2017</v>
      </c>
      <c r="N827" s="4">
        <v>2</v>
      </c>
      <c r="O827" s="4">
        <v>6</v>
      </c>
      <c r="P827" s="4">
        <v>2</v>
      </c>
      <c r="Q827" s="19">
        <v>869.99</v>
      </c>
      <c r="R827" s="16">
        <v>0.2</v>
      </c>
      <c r="S827" s="16">
        <v>1739.78</v>
      </c>
      <c r="T827" s="5" t="s">
        <v>46</v>
      </c>
      <c r="U827" s="13" t="s">
        <v>304</v>
      </c>
    </row>
    <row r="828" spans="1:21" x14ac:dyDescent="0.35">
      <c r="A828" s="4">
        <v>827</v>
      </c>
      <c r="B828" s="4">
        <v>666</v>
      </c>
      <c r="C828" s="13" t="s">
        <v>1595</v>
      </c>
      <c r="D828" s="13" t="s">
        <v>1596</v>
      </c>
      <c r="E828" s="5" t="s">
        <v>5566</v>
      </c>
      <c r="F828" s="5" t="s">
        <v>4208</v>
      </c>
      <c r="G828" s="5" t="s">
        <v>4209</v>
      </c>
      <c r="H828" s="13" t="s">
        <v>2376</v>
      </c>
      <c r="I828" s="13" t="s">
        <v>2309</v>
      </c>
      <c r="J828" s="4">
        <v>11001</v>
      </c>
      <c r="K828" s="4">
        <v>1</v>
      </c>
      <c r="L828" s="4">
        <v>43</v>
      </c>
      <c r="M828" s="4">
        <v>2017</v>
      </c>
      <c r="N828" s="4">
        <v>2</v>
      </c>
      <c r="O828" s="4">
        <v>7</v>
      </c>
      <c r="P828" s="4">
        <v>1</v>
      </c>
      <c r="Q828" s="19">
        <v>5299.99</v>
      </c>
      <c r="R828" s="16">
        <v>0.05</v>
      </c>
      <c r="S828" s="16">
        <v>5299.94</v>
      </c>
      <c r="T828" s="5" t="s">
        <v>44</v>
      </c>
      <c r="U828" s="13" t="s">
        <v>304</v>
      </c>
    </row>
    <row r="829" spans="1:21" x14ac:dyDescent="0.35">
      <c r="A829" s="4">
        <v>828</v>
      </c>
      <c r="B829" s="4">
        <v>246</v>
      </c>
      <c r="C829" s="13" t="s">
        <v>1597</v>
      </c>
      <c r="D829" s="13" t="s">
        <v>1047</v>
      </c>
      <c r="E829" s="5" t="s">
        <v>5566</v>
      </c>
      <c r="F829" s="5" t="s">
        <v>4210</v>
      </c>
      <c r="G829" s="5" t="s">
        <v>4211</v>
      </c>
      <c r="H829" s="13" t="s">
        <v>2344</v>
      </c>
      <c r="I829" s="13" t="s">
        <v>2309</v>
      </c>
      <c r="J829" s="4">
        <v>14304</v>
      </c>
      <c r="K829" s="4">
        <v>1</v>
      </c>
      <c r="L829" s="4">
        <v>25</v>
      </c>
      <c r="M829" s="4">
        <v>2016</v>
      </c>
      <c r="N829" s="4">
        <v>2</v>
      </c>
      <c r="O829" s="4">
        <v>6</v>
      </c>
      <c r="P829" s="4">
        <v>2</v>
      </c>
      <c r="Q829" s="19">
        <v>499.99</v>
      </c>
      <c r="R829" s="16">
        <v>0.2</v>
      </c>
      <c r="S829" s="16">
        <v>999.78</v>
      </c>
      <c r="T829" s="5" t="s">
        <v>27</v>
      </c>
      <c r="U829" s="13" t="s">
        <v>300</v>
      </c>
    </row>
    <row r="830" spans="1:21" x14ac:dyDescent="0.35">
      <c r="A830" s="4">
        <v>829</v>
      </c>
      <c r="B830" s="4">
        <v>674</v>
      </c>
      <c r="C830" s="13" t="s">
        <v>1598</v>
      </c>
      <c r="D830" s="13" t="s">
        <v>1599</v>
      </c>
      <c r="E830" s="5" t="s">
        <v>5566</v>
      </c>
      <c r="F830" s="5" t="s">
        <v>4212</v>
      </c>
      <c r="G830" s="5" t="s">
        <v>4213</v>
      </c>
      <c r="H830" s="13" t="s">
        <v>2327</v>
      </c>
      <c r="I830" s="13" t="s">
        <v>2309</v>
      </c>
      <c r="J830" s="4">
        <v>12866</v>
      </c>
      <c r="K830" s="4">
        <v>1</v>
      </c>
      <c r="L830" s="4">
        <v>103</v>
      </c>
      <c r="M830" s="4">
        <v>2017</v>
      </c>
      <c r="N830" s="4">
        <v>2</v>
      </c>
      <c r="O830" s="4">
        <v>7</v>
      </c>
      <c r="P830" s="4">
        <v>1</v>
      </c>
      <c r="Q830" s="19">
        <v>551.99</v>
      </c>
      <c r="R830" s="16">
        <v>0.2</v>
      </c>
      <c r="S830" s="16">
        <v>551.79</v>
      </c>
      <c r="T830" s="5" t="s">
        <v>102</v>
      </c>
      <c r="U830" s="13" t="s">
        <v>300</v>
      </c>
    </row>
    <row r="831" spans="1:21" x14ac:dyDescent="0.35">
      <c r="A831" s="4">
        <v>830</v>
      </c>
      <c r="B831" s="4">
        <v>431</v>
      </c>
      <c r="C831" s="13" t="s">
        <v>1600</v>
      </c>
      <c r="D831" s="13" t="s">
        <v>1601</v>
      </c>
      <c r="E831" s="5" t="s">
        <v>5566</v>
      </c>
      <c r="F831" s="5" t="s">
        <v>4214</v>
      </c>
      <c r="G831" s="5" t="s">
        <v>4215</v>
      </c>
      <c r="H831" s="13" t="s">
        <v>2324</v>
      </c>
      <c r="I831" s="13" t="s">
        <v>2309</v>
      </c>
      <c r="J831" s="4">
        <v>11710</v>
      </c>
      <c r="K831" s="4">
        <v>1</v>
      </c>
      <c r="L831" s="4">
        <v>85</v>
      </c>
      <c r="M831" s="4">
        <v>2017</v>
      </c>
      <c r="N831" s="4">
        <v>2</v>
      </c>
      <c r="O831" s="4">
        <v>6</v>
      </c>
      <c r="P831" s="4">
        <v>2</v>
      </c>
      <c r="Q831" s="19">
        <v>329.99</v>
      </c>
      <c r="R831" s="16">
        <v>0.2</v>
      </c>
      <c r="S831" s="16">
        <v>659.78</v>
      </c>
      <c r="T831" s="5" t="s">
        <v>86</v>
      </c>
      <c r="U831" s="13" t="s">
        <v>299</v>
      </c>
    </row>
    <row r="832" spans="1:21" x14ac:dyDescent="0.35">
      <c r="A832" s="4">
        <v>831</v>
      </c>
      <c r="B832" s="4">
        <v>1000</v>
      </c>
      <c r="C832" s="13" t="s">
        <v>1508</v>
      </c>
      <c r="D832" s="13" t="s">
        <v>703</v>
      </c>
      <c r="E832" s="5" t="s">
        <v>5566</v>
      </c>
      <c r="F832" s="5" t="s">
        <v>4216</v>
      </c>
      <c r="G832" s="5" t="s">
        <v>4217</v>
      </c>
      <c r="H832" s="13" t="s">
        <v>2682</v>
      </c>
      <c r="I832" s="13" t="s">
        <v>2309</v>
      </c>
      <c r="J832" s="4">
        <v>11704</v>
      </c>
      <c r="K832" s="4">
        <v>1</v>
      </c>
      <c r="L832" s="4">
        <v>67</v>
      </c>
      <c r="M832" s="4">
        <v>2017</v>
      </c>
      <c r="N832" s="4">
        <v>2</v>
      </c>
      <c r="O832" s="4">
        <v>7</v>
      </c>
      <c r="P832" s="4">
        <v>1</v>
      </c>
      <c r="Q832" s="19">
        <v>250.99</v>
      </c>
      <c r="R832" s="16">
        <v>0.2</v>
      </c>
      <c r="S832" s="16">
        <v>250.79000000000002</v>
      </c>
      <c r="T832" s="5" t="s">
        <v>68</v>
      </c>
      <c r="U832" s="13" t="s">
        <v>301</v>
      </c>
    </row>
    <row r="833" spans="1:21" x14ac:dyDescent="0.35">
      <c r="A833" s="4">
        <v>832</v>
      </c>
      <c r="B833" s="4">
        <v>1215</v>
      </c>
      <c r="C833" s="13" t="s">
        <v>1602</v>
      </c>
      <c r="D833" s="13" t="s">
        <v>781</v>
      </c>
      <c r="E833" s="5" t="s">
        <v>5566</v>
      </c>
      <c r="F833" s="5" t="s">
        <v>4218</v>
      </c>
      <c r="G833" s="5" t="s">
        <v>4219</v>
      </c>
      <c r="H833" s="13" t="s">
        <v>2580</v>
      </c>
      <c r="I833" s="13" t="s">
        <v>2309</v>
      </c>
      <c r="J833" s="4">
        <v>11570</v>
      </c>
      <c r="K833" s="4">
        <v>1</v>
      </c>
      <c r="L833" s="4">
        <v>54</v>
      </c>
      <c r="M833" s="4">
        <v>2017</v>
      </c>
      <c r="N833" s="4">
        <v>2</v>
      </c>
      <c r="O833" s="4">
        <v>7</v>
      </c>
      <c r="P833" s="4">
        <v>1</v>
      </c>
      <c r="Q833" s="19">
        <v>3199.99</v>
      </c>
      <c r="R833" s="16">
        <v>0.05</v>
      </c>
      <c r="S833" s="16">
        <v>3199.9399999999996</v>
      </c>
      <c r="T833" s="5" t="s">
        <v>55</v>
      </c>
      <c r="U833" s="13" t="s">
        <v>305</v>
      </c>
    </row>
    <row r="834" spans="1:21" x14ac:dyDescent="0.35">
      <c r="A834" s="4">
        <v>833</v>
      </c>
      <c r="B834" s="4">
        <v>406</v>
      </c>
      <c r="C834" s="13" t="s">
        <v>1603</v>
      </c>
      <c r="D834" s="13" t="s">
        <v>2291</v>
      </c>
      <c r="E834" s="5" t="s">
        <v>5566</v>
      </c>
      <c r="F834" s="5" t="s">
        <v>4220</v>
      </c>
      <c r="G834" s="5" t="s">
        <v>4221</v>
      </c>
      <c r="H834" s="13" t="s">
        <v>2449</v>
      </c>
      <c r="I834" s="13" t="s">
        <v>2309</v>
      </c>
      <c r="J834" s="4">
        <v>11967</v>
      </c>
      <c r="K834" s="4">
        <v>1</v>
      </c>
      <c r="L834" s="4">
        <v>20</v>
      </c>
      <c r="M834" s="4">
        <v>2016</v>
      </c>
      <c r="N834" s="4">
        <v>2</v>
      </c>
      <c r="O834" s="4">
        <v>7</v>
      </c>
      <c r="P834" s="4">
        <v>2</v>
      </c>
      <c r="Q834" s="19">
        <v>599.99</v>
      </c>
      <c r="R834" s="16">
        <v>0.05</v>
      </c>
      <c r="S834" s="16">
        <v>1199.93</v>
      </c>
      <c r="T834" s="5" t="s">
        <v>25</v>
      </c>
      <c r="U834" s="13" t="s">
        <v>301</v>
      </c>
    </row>
    <row r="835" spans="1:21" x14ac:dyDescent="0.35">
      <c r="A835" s="4">
        <v>834</v>
      </c>
      <c r="B835" s="4">
        <v>890</v>
      </c>
      <c r="C835" s="13" t="s">
        <v>1604</v>
      </c>
      <c r="D835" s="13" t="s">
        <v>1139</v>
      </c>
      <c r="E835" s="5" t="s">
        <v>5566</v>
      </c>
      <c r="F835" s="5" t="s">
        <v>4222</v>
      </c>
      <c r="G835" s="5" t="s">
        <v>4223</v>
      </c>
      <c r="H835" s="13" t="s">
        <v>2444</v>
      </c>
      <c r="I835" s="13" t="s">
        <v>2309</v>
      </c>
      <c r="J835" s="4">
        <v>10562</v>
      </c>
      <c r="K835" s="4">
        <v>1</v>
      </c>
      <c r="L835" s="4">
        <v>54</v>
      </c>
      <c r="M835" s="4">
        <v>2017</v>
      </c>
      <c r="N835" s="4">
        <v>2</v>
      </c>
      <c r="O835" s="4">
        <v>6</v>
      </c>
      <c r="P835" s="4">
        <v>1</v>
      </c>
      <c r="Q835" s="19">
        <v>3199.99</v>
      </c>
      <c r="R835" s="16">
        <v>7.0000000000000007E-2</v>
      </c>
      <c r="S835" s="16">
        <v>3199.9199999999996</v>
      </c>
      <c r="T835" s="5" t="s">
        <v>55</v>
      </c>
      <c r="U835" s="13" t="s">
        <v>305</v>
      </c>
    </row>
    <row r="836" spans="1:21" x14ac:dyDescent="0.35">
      <c r="A836" s="4">
        <v>835</v>
      </c>
      <c r="B836" s="4">
        <v>940</v>
      </c>
      <c r="C836" s="13" t="s">
        <v>1605</v>
      </c>
      <c r="D836" s="13" t="s">
        <v>1606</v>
      </c>
      <c r="E836" s="5" t="s">
        <v>5566</v>
      </c>
      <c r="F836" s="5" t="s">
        <v>4224</v>
      </c>
      <c r="G836" s="5" t="s">
        <v>4225</v>
      </c>
      <c r="H836" s="13" t="s">
        <v>2362</v>
      </c>
      <c r="I836" s="13" t="s">
        <v>2305</v>
      </c>
      <c r="J836" s="4">
        <v>91316</v>
      </c>
      <c r="K836" s="4">
        <v>1</v>
      </c>
      <c r="L836" s="4">
        <v>65</v>
      </c>
      <c r="M836" s="4">
        <v>2017</v>
      </c>
      <c r="N836" s="4">
        <v>1</v>
      </c>
      <c r="O836" s="4">
        <v>2</v>
      </c>
      <c r="P836" s="4">
        <v>2</v>
      </c>
      <c r="Q836" s="19">
        <v>346.99</v>
      </c>
      <c r="R836" s="16">
        <v>7.0000000000000007E-2</v>
      </c>
      <c r="S836" s="16">
        <v>693.91</v>
      </c>
      <c r="T836" s="5" t="s">
        <v>66</v>
      </c>
      <c r="U836" s="13" t="s">
        <v>301</v>
      </c>
    </row>
    <row r="837" spans="1:21" x14ac:dyDescent="0.35">
      <c r="A837" s="4">
        <v>836</v>
      </c>
      <c r="B837" s="4">
        <v>455</v>
      </c>
      <c r="C837" s="13" t="s">
        <v>1607</v>
      </c>
      <c r="D837" s="13" t="s">
        <v>693</v>
      </c>
      <c r="E837" s="5" t="s">
        <v>5566</v>
      </c>
      <c r="F837" s="5" t="s">
        <v>4226</v>
      </c>
      <c r="G837" s="5" t="s">
        <v>4227</v>
      </c>
      <c r="H837" s="13" t="s">
        <v>2433</v>
      </c>
      <c r="I837" s="13" t="s">
        <v>2309</v>
      </c>
      <c r="J837" s="4">
        <v>13090</v>
      </c>
      <c r="K837" s="4">
        <v>1</v>
      </c>
      <c r="L837" s="4">
        <v>108</v>
      </c>
      <c r="M837" s="4">
        <v>2017</v>
      </c>
      <c r="N837" s="4">
        <v>2</v>
      </c>
      <c r="O837" s="4">
        <v>6</v>
      </c>
      <c r="P837" s="4">
        <v>2</v>
      </c>
      <c r="Q837" s="19">
        <v>449.99</v>
      </c>
      <c r="R837" s="16">
        <v>0.2</v>
      </c>
      <c r="S837" s="16">
        <v>899.78</v>
      </c>
      <c r="T837" s="5" t="s">
        <v>105</v>
      </c>
      <c r="U837" s="13" t="s">
        <v>300</v>
      </c>
    </row>
    <row r="838" spans="1:21" x14ac:dyDescent="0.35">
      <c r="A838" s="4">
        <v>837</v>
      </c>
      <c r="B838" s="4">
        <v>948</v>
      </c>
      <c r="C838" s="13" t="s">
        <v>1608</v>
      </c>
      <c r="D838" s="13" t="s">
        <v>928</v>
      </c>
      <c r="E838" s="5" t="s">
        <v>5566</v>
      </c>
      <c r="F838" s="5" t="s">
        <v>4228</v>
      </c>
      <c r="G838" s="5" t="s">
        <v>4229</v>
      </c>
      <c r="H838" s="13" t="s">
        <v>3258</v>
      </c>
      <c r="I838" s="13" t="s">
        <v>2309</v>
      </c>
      <c r="J838" s="4">
        <v>11756</v>
      </c>
      <c r="K838" s="4">
        <v>1</v>
      </c>
      <c r="L838" s="4">
        <v>51</v>
      </c>
      <c r="M838" s="4">
        <v>2017</v>
      </c>
      <c r="N838" s="4">
        <v>2</v>
      </c>
      <c r="O838" s="4">
        <v>7</v>
      </c>
      <c r="P838" s="4">
        <v>1</v>
      </c>
      <c r="Q838" s="19">
        <v>6499.99</v>
      </c>
      <c r="R838" s="16">
        <v>0.05</v>
      </c>
      <c r="S838" s="16">
        <v>6499.94</v>
      </c>
      <c r="T838" s="5" t="s">
        <v>52</v>
      </c>
      <c r="U838" s="13" t="s">
        <v>305</v>
      </c>
    </row>
    <row r="839" spans="1:21" x14ac:dyDescent="0.35">
      <c r="A839" s="4">
        <v>838</v>
      </c>
      <c r="B839" s="4">
        <v>1395</v>
      </c>
      <c r="C839" s="13" t="s">
        <v>1609</v>
      </c>
      <c r="D839" s="13" t="s">
        <v>1610</v>
      </c>
      <c r="E839" s="5" t="s">
        <v>5566</v>
      </c>
      <c r="F839" s="5" t="s">
        <v>4230</v>
      </c>
      <c r="G839" s="5" t="s">
        <v>4231</v>
      </c>
      <c r="H839" s="13" t="s">
        <v>2865</v>
      </c>
      <c r="I839" s="13" t="s">
        <v>2309</v>
      </c>
      <c r="J839" s="4">
        <v>11421</v>
      </c>
      <c r="K839" s="4">
        <v>1</v>
      </c>
      <c r="L839" s="4">
        <v>28</v>
      </c>
      <c r="M839" s="4">
        <v>2017</v>
      </c>
      <c r="N839" s="4">
        <v>2</v>
      </c>
      <c r="O839" s="4">
        <v>7</v>
      </c>
      <c r="P839" s="4">
        <v>1</v>
      </c>
      <c r="Q839" s="19">
        <v>2499.9899999999998</v>
      </c>
      <c r="R839" s="16">
        <v>0.1</v>
      </c>
      <c r="S839" s="16">
        <v>2499.89</v>
      </c>
      <c r="T839" s="5" t="s">
        <v>29</v>
      </c>
      <c r="U839" s="13" t="s">
        <v>304</v>
      </c>
    </row>
    <row r="840" spans="1:21" x14ac:dyDescent="0.35">
      <c r="A840" s="4">
        <v>839</v>
      </c>
      <c r="B840" s="4">
        <v>1332</v>
      </c>
      <c r="C840" s="13" t="s">
        <v>1611</v>
      </c>
      <c r="D840" s="13" t="s">
        <v>1612</v>
      </c>
      <c r="E840" s="5" t="s">
        <v>5566</v>
      </c>
      <c r="F840" s="5" t="s">
        <v>4232</v>
      </c>
      <c r="G840" s="5" t="s">
        <v>4233</v>
      </c>
      <c r="H840" s="13" t="s">
        <v>2528</v>
      </c>
      <c r="I840" s="13" t="s">
        <v>2305</v>
      </c>
      <c r="J840" s="4">
        <v>91740</v>
      </c>
      <c r="K840" s="4">
        <v>1</v>
      </c>
      <c r="L840" s="4">
        <v>55</v>
      </c>
      <c r="M840" s="4">
        <v>2017</v>
      </c>
      <c r="N840" s="4">
        <v>1</v>
      </c>
      <c r="O840" s="4">
        <v>3</v>
      </c>
      <c r="P840" s="4">
        <v>1</v>
      </c>
      <c r="Q840" s="19">
        <v>2699.99</v>
      </c>
      <c r="R840" s="16">
        <v>7.0000000000000007E-2</v>
      </c>
      <c r="S840" s="16">
        <v>2699.9199999999996</v>
      </c>
      <c r="T840" s="5" t="s">
        <v>56</v>
      </c>
      <c r="U840" s="13" t="s">
        <v>305</v>
      </c>
    </row>
    <row r="841" spans="1:21" x14ac:dyDescent="0.35">
      <c r="A841" s="4">
        <v>840</v>
      </c>
      <c r="B841" s="4">
        <v>372</v>
      </c>
      <c r="C841" s="13" t="s">
        <v>1543</v>
      </c>
      <c r="D841" s="13" t="s">
        <v>1014</v>
      </c>
      <c r="E841" s="5" t="s">
        <v>5566</v>
      </c>
      <c r="F841" s="5" t="s">
        <v>4234</v>
      </c>
      <c r="G841" s="5" t="s">
        <v>4235</v>
      </c>
      <c r="H841" s="13" t="s">
        <v>2381</v>
      </c>
      <c r="I841" s="13" t="s">
        <v>2309</v>
      </c>
      <c r="J841" s="4">
        <v>12590</v>
      </c>
      <c r="K841" s="4">
        <v>1</v>
      </c>
      <c r="L841" s="4">
        <v>27</v>
      </c>
      <c r="M841" s="4">
        <v>2017</v>
      </c>
      <c r="N841" s="4">
        <v>2</v>
      </c>
      <c r="O841" s="4">
        <v>6</v>
      </c>
      <c r="P841" s="4">
        <v>1</v>
      </c>
      <c r="Q841" s="19">
        <v>999.99</v>
      </c>
      <c r="R841" s="16">
        <v>7.0000000000000007E-2</v>
      </c>
      <c r="S841" s="16">
        <v>999.92</v>
      </c>
      <c r="T841" s="5" t="s">
        <v>28</v>
      </c>
      <c r="U841" s="13" t="s">
        <v>304</v>
      </c>
    </row>
    <row r="842" spans="1:21" x14ac:dyDescent="0.35">
      <c r="A842" s="4">
        <v>841</v>
      </c>
      <c r="B842" s="4">
        <v>428</v>
      </c>
      <c r="C842" s="13" t="s">
        <v>1613</v>
      </c>
      <c r="D842" s="13" t="s">
        <v>1614</v>
      </c>
      <c r="E842" s="5" t="s">
        <v>5566</v>
      </c>
      <c r="F842" s="5" t="s">
        <v>4236</v>
      </c>
      <c r="G842" s="5" t="s">
        <v>4237</v>
      </c>
      <c r="H842" s="13" t="s">
        <v>3267</v>
      </c>
      <c r="I842" s="13" t="s">
        <v>2309</v>
      </c>
      <c r="J842" s="4">
        <v>10801</v>
      </c>
      <c r="K842" s="4">
        <v>1</v>
      </c>
      <c r="L842" s="4">
        <v>22</v>
      </c>
      <c r="M842" s="4">
        <v>2016</v>
      </c>
      <c r="N842" s="4">
        <v>2</v>
      </c>
      <c r="O842" s="4">
        <v>7</v>
      </c>
      <c r="P842" s="4">
        <v>2</v>
      </c>
      <c r="Q842" s="19">
        <v>269.99</v>
      </c>
      <c r="R842" s="16">
        <v>0.1</v>
      </c>
      <c r="S842" s="16">
        <v>539.88</v>
      </c>
      <c r="T842" s="5" t="s">
        <v>19</v>
      </c>
      <c r="U842" s="13" t="s">
        <v>299</v>
      </c>
    </row>
    <row r="843" spans="1:21" x14ac:dyDescent="0.35">
      <c r="A843" s="4">
        <v>842</v>
      </c>
      <c r="B843" s="4">
        <v>1133</v>
      </c>
      <c r="C843" s="13" t="s">
        <v>1615</v>
      </c>
      <c r="D843" s="13" t="s">
        <v>510</v>
      </c>
      <c r="E843" s="5" t="s">
        <v>5566</v>
      </c>
      <c r="F843" s="5" t="s">
        <v>4238</v>
      </c>
      <c r="G843" s="5" t="s">
        <v>4239</v>
      </c>
      <c r="H843" s="13" t="s">
        <v>2412</v>
      </c>
      <c r="I843" s="13" t="s">
        <v>2309</v>
      </c>
      <c r="J843" s="4">
        <v>11795</v>
      </c>
      <c r="K843" s="4">
        <v>1</v>
      </c>
      <c r="L843" s="4">
        <v>81</v>
      </c>
      <c r="M843" s="4">
        <v>2017</v>
      </c>
      <c r="N843" s="4">
        <v>2</v>
      </c>
      <c r="O843" s="4">
        <v>6</v>
      </c>
      <c r="P843" s="4">
        <v>2</v>
      </c>
      <c r="Q843" s="19">
        <v>1099.99</v>
      </c>
      <c r="R843" s="16">
        <v>7.0000000000000007E-2</v>
      </c>
      <c r="S843" s="16">
        <v>2199.91</v>
      </c>
      <c r="T843" s="5" t="s">
        <v>82</v>
      </c>
      <c r="U843" s="13" t="s">
        <v>301</v>
      </c>
    </row>
    <row r="844" spans="1:21" x14ac:dyDescent="0.35">
      <c r="A844" s="4">
        <v>843</v>
      </c>
      <c r="B844" s="4">
        <v>1059</v>
      </c>
      <c r="C844" s="13" t="s">
        <v>1616</v>
      </c>
      <c r="D844" s="13" t="s">
        <v>874</v>
      </c>
      <c r="E844" s="5" t="s">
        <v>5566</v>
      </c>
      <c r="F844" s="5" t="s">
        <v>4240</v>
      </c>
      <c r="G844" s="5" t="s">
        <v>4241</v>
      </c>
      <c r="H844" s="13" t="s">
        <v>2806</v>
      </c>
      <c r="I844" s="13" t="s">
        <v>2309</v>
      </c>
      <c r="J844" s="4">
        <v>11731</v>
      </c>
      <c r="K844" s="4">
        <v>1</v>
      </c>
      <c r="L844" s="4">
        <v>72</v>
      </c>
      <c r="M844" s="4">
        <v>2017</v>
      </c>
      <c r="N844" s="4">
        <v>2</v>
      </c>
      <c r="O844" s="4">
        <v>7</v>
      </c>
      <c r="P844" s="4">
        <v>1</v>
      </c>
      <c r="Q844" s="19">
        <v>619.99</v>
      </c>
      <c r="R844" s="16">
        <v>0.1</v>
      </c>
      <c r="S844" s="16">
        <v>619.89</v>
      </c>
      <c r="T844" s="5" t="s">
        <v>73</v>
      </c>
      <c r="U844" s="13" t="s">
        <v>301</v>
      </c>
    </row>
    <row r="845" spans="1:21" x14ac:dyDescent="0.35">
      <c r="A845" s="4">
        <v>844</v>
      </c>
      <c r="B845" s="4">
        <v>1436</v>
      </c>
      <c r="C845" s="13" t="s">
        <v>1617</v>
      </c>
      <c r="D845" s="13" t="s">
        <v>641</v>
      </c>
      <c r="E845" s="5" t="s">
        <v>5566</v>
      </c>
      <c r="F845" s="5" t="s">
        <v>4242</v>
      </c>
      <c r="G845" s="5" t="s">
        <v>4243</v>
      </c>
      <c r="H845" s="13" t="s">
        <v>2324</v>
      </c>
      <c r="I845" s="13" t="s">
        <v>2309</v>
      </c>
      <c r="J845" s="4">
        <v>11710</v>
      </c>
      <c r="K845" s="4">
        <v>1</v>
      </c>
      <c r="L845" s="4">
        <v>79</v>
      </c>
      <c r="M845" s="4">
        <v>2017</v>
      </c>
      <c r="N845" s="4">
        <v>2</v>
      </c>
      <c r="O845" s="4">
        <v>6</v>
      </c>
      <c r="P845" s="4">
        <v>2</v>
      </c>
      <c r="Q845" s="19">
        <v>402.99</v>
      </c>
      <c r="R845" s="16">
        <v>7.0000000000000007E-2</v>
      </c>
      <c r="S845" s="16">
        <v>805.91</v>
      </c>
      <c r="T845" s="5" t="s">
        <v>80</v>
      </c>
      <c r="U845" s="13" t="s">
        <v>301</v>
      </c>
    </row>
    <row r="846" spans="1:21" x14ac:dyDescent="0.35">
      <c r="A846" s="4">
        <v>845</v>
      </c>
      <c r="B846" s="4">
        <v>662</v>
      </c>
      <c r="C846" s="13" t="s">
        <v>1618</v>
      </c>
      <c r="D846" s="13" t="s">
        <v>531</v>
      </c>
      <c r="E846" s="5" t="s">
        <v>5566</v>
      </c>
      <c r="F846" s="5" t="s">
        <v>4244</v>
      </c>
      <c r="G846" s="5" t="s">
        <v>4245</v>
      </c>
      <c r="H846" s="13" t="s">
        <v>2785</v>
      </c>
      <c r="I846" s="13" t="s">
        <v>2309</v>
      </c>
      <c r="J846" s="4">
        <v>10583</v>
      </c>
      <c r="K846" s="4">
        <v>1</v>
      </c>
      <c r="L846" s="4">
        <v>16</v>
      </c>
      <c r="M846" s="4">
        <v>2016</v>
      </c>
      <c r="N846" s="4">
        <v>2</v>
      </c>
      <c r="O846" s="4">
        <v>7</v>
      </c>
      <c r="P846" s="4">
        <v>2</v>
      </c>
      <c r="Q846" s="19">
        <v>599.99</v>
      </c>
      <c r="R846" s="16">
        <v>0.2</v>
      </c>
      <c r="S846" s="16">
        <v>1199.78</v>
      </c>
      <c r="T846" s="5" t="s">
        <v>21</v>
      </c>
      <c r="U846" s="13" t="s">
        <v>301</v>
      </c>
    </row>
    <row r="847" spans="1:21" x14ac:dyDescent="0.35">
      <c r="A847" s="4">
        <v>846</v>
      </c>
      <c r="B847" s="4">
        <v>715</v>
      </c>
      <c r="C847" s="13" t="s">
        <v>1619</v>
      </c>
      <c r="D847" s="13" t="s">
        <v>1620</v>
      </c>
      <c r="E847" s="5" t="s">
        <v>5566</v>
      </c>
      <c r="F847" s="5" t="s">
        <v>4246</v>
      </c>
      <c r="G847" s="5" t="s">
        <v>4247</v>
      </c>
      <c r="H847" s="13" t="s">
        <v>2945</v>
      </c>
      <c r="I847" s="13" t="s">
        <v>2309</v>
      </c>
      <c r="J847" s="4">
        <v>11104</v>
      </c>
      <c r="K847" s="4">
        <v>1</v>
      </c>
      <c r="L847" s="4">
        <v>46</v>
      </c>
      <c r="M847" s="4">
        <v>2017</v>
      </c>
      <c r="N847" s="4">
        <v>2</v>
      </c>
      <c r="O847" s="4">
        <v>6</v>
      </c>
      <c r="P847" s="4">
        <v>2</v>
      </c>
      <c r="Q847" s="19">
        <v>1409.99</v>
      </c>
      <c r="R847" s="16">
        <v>0.05</v>
      </c>
      <c r="S847" s="16">
        <v>2819.93</v>
      </c>
      <c r="T847" s="5" t="s">
        <v>47</v>
      </c>
      <c r="U847" s="13" t="s">
        <v>304</v>
      </c>
    </row>
    <row r="848" spans="1:21" x14ac:dyDescent="0.35">
      <c r="A848" s="4">
        <v>847</v>
      </c>
      <c r="B848" s="4">
        <v>329</v>
      </c>
      <c r="C848" s="13" t="s">
        <v>1621</v>
      </c>
      <c r="D848" s="13" t="s">
        <v>1622</v>
      </c>
      <c r="E848" s="5" t="s">
        <v>5566</v>
      </c>
      <c r="F848" s="5" t="s">
        <v>4248</v>
      </c>
      <c r="G848" s="5" t="s">
        <v>4249</v>
      </c>
      <c r="H848" s="13" t="s">
        <v>3153</v>
      </c>
      <c r="I848" s="13" t="s">
        <v>2309</v>
      </c>
      <c r="J848" s="4">
        <v>10573</v>
      </c>
      <c r="K848" s="4">
        <v>1</v>
      </c>
      <c r="L848" s="4">
        <v>61</v>
      </c>
      <c r="M848" s="4">
        <v>2017</v>
      </c>
      <c r="N848" s="4">
        <v>2</v>
      </c>
      <c r="O848" s="4">
        <v>7</v>
      </c>
      <c r="P848" s="4">
        <v>2</v>
      </c>
      <c r="Q848" s="19">
        <v>4999.99</v>
      </c>
      <c r="R848" s="16">
        <v>0.05</v>
      </c>
      <c r="S848" s="16">
        <v>9999.93</v>
      </c>
      <c r="T848" s="5" t="s">
        <v>62</v>
      </c>
      <c r="U848" s="13" t="s">
        <v>303</v>
      </c>
    </row>
    <row r="849" spans="1:21" x14ac:dyDescent="0.35">
      <c r="A849" s="4">
        <v>848</v>
      </c>
      <c r="B849" s="4">
        <v>597</v>
      </c>
      <c r="C849" s="13" t="s">
        <v>1623</v>
      </c>
      <c r="D849" s="13" t="s">
        <v>453</v>
      </c>
      <c r="E849" s="5" t="s">
        <v>5566</v>
      </c>
      <c r="F849" s="5" t="s">
        <v>4250</v>
      </c>
      <c r="G849" s="5" t="s">
        <v>4251</v>
      </c>
      <c r="H849" s="13" t="s">
        <v>2838</v>
      </c>
      <c r="I849" s="13" t="s">
        <v>2309</v>
      </c>
      <c r="J849" s="4">
        <v>11378</v>
      </c>
      <c r="K849" s="4">
        <v>1</v>
      </c>
      <c r="L849" s="4">
        <v>93</v>
      </c>
      <c r="M849" s="4">
        <v>2017</v>
      </c>
      <c r="N849" s="4">
        <v>2</v>
      </c>
      <c r="O849" s="4">
        <v>7</v>
      </c>
      <c r="P849" s="4">
        <v>1</v>
      </c>
      <c r="Q849" s="19">
        <v>209.99</v>
      </c>
      <c r="R849" s="16">
        <v>7.0000000000000007E-2</v>
      </c>
      <c r="S849" s="16">
        <v>209.92000000000002</v>
      </c>
      <c r="T849" s="5" t="s">
        <v>94</v>
      </c>
      <c r="U849" s="13" t="s">
        <v>299</v>
      </c>
    </row>
    <row r="850" spans="1:21" x14ac:dyDescent="0.35">
      <c r="A850" s="4">
        <v>849</v>
      </c>
      <c r="B850" s="4">
        <v>776</v>
      </c>
      <c r="C850" s="13" t="s">
        <v>1624</v>
      </c>
      <c r="D850" s="13" t="s">
        <v>917</v>
      </c>
      <c r="E850" s="5" t="s">
        <v>5566</v>
      </c>
      <c r="F850" s="5" t="s">
        <v>4252</v>
      </c>
      <c r="G850" s="5" t="s">
        <v>4253</v>
      </c>
      <c r="H850" s="13" t="s">
        <v>3292</v>
      </c>
      <c r="I850" s="13" t="s">
        <v>2305</v>
      </c>
      <c r="J850" s="4">
        <v>91733</v>
      </c>
      <c r="K850" s="4">
        <v>1</v>
      </c>
      <c r="L850" s="4">
        <v>109</v>
      </c>
      <c r="M850" s="4">
        <v>2017</v>
      </c>
      <c r="N850" s="4">
        <v>1</v>
      </c>
      <c r="O850" s="4">
        <v>2</v>
      </c>
      <c r="P850" s="4">
        <v>1</v>
      </c>
      <c r="Q850" s="19">
        <v>416.99</v>
      </c>
      <c r="R850" s="16">
        <v>0.2</v>
      </c>
      <c r="S850" s="16">
        <v>416.79</v>
      </c>
      <c r="T850" s="5" t="s">
        <v>106</v>
      </c>
      <c r="U850" s="13" t="s">
        <v>300</v>
      </c>
    </row>
    <row r="851" spans="1:21" x14ac:dyDescent="0.35">
      <c r="A851" s="4">
        <v>850</v>
      </c>
      <c r="B851" s="4">
        <v>1346</v>
      </c>
      <c r="C851" s="13" t="s">
        <v>1625</v>
      </c>
      <c r="D851" s="13" t="s">
        <v>1457</v>
      </c>
      <c r="E851" s="5" t="s">
        <v>4254</v>
      </c>
      <c r="F851" s="5" t="s">
        <v>4255</v>
      </c>
      <c r="G851" s="5" t="s">
        <v>4256</v>
      </c>
      <c r="H851" s="13" t="s">
        <v>3827</v>
      </c>
      <c r="I851" s="13" t="s">
        <v>2305</v>
      </c>
      <c r="J851" s="4">
        <v>90008</v>
      </c>
      <c r="K851" s="4">
        <v>1</v>
      </c>
      <c r="L851" s="4">
        <v>101</v>
      </c>
      <c r="M851" s="4">
        <v>2017</v>
      </c>
      <c r="N851" s="4">
        <v>1</v>
      </c>
      <c r="O851" s="4">
        <v>3</v>
      </c>
      <c r="P851" s="4">
        <v>2</v>
      </c>
      <c r="Q851" s="19">
        <v>339.99</v>
      </c>
      <c r="R851" s="16">
        <v>7.0000000000000007E-2</v>
      </c>
      <c r="S851" s="16">
        <v>679.91</v>
      </c>
      <c r="T851" s="5" t="s">
        <v>101</v>
      </c>
      <c r="U851" s="13" t="s">
        <v>299</v>
      </c>
    </row>
    <row r="852" spans="1:21" x14ac:dyDescent="0.35">
      <c r="A852" s="4">
        <v>851</v>
      </c>
      <c r="B852" s="4">
        <v>1139</v>
      </c>
      <c r="C852" s="13" t="s">
        <v>1626</v>
      </c>
      <c r="D852" s="13" t="s">
        <v>1627</v>
      </c>
      <c r="E852" s="5" t="s">
        <v>5566</v>
      </c>
      <c r="F852" s="5" t="s">
        <v>4257</v>
      </c>
      <c r="G852" s="5" t="s">
        <v>4258</v>
      </c>
      <c r="H852" s="13" t="s">
        <v>2368</v>
      </c>
      <c r="I852" s="13" t="s">
        <v>2309</v>
      </c>
      <c r="J852" s="4">
        <v>10550</v>
      </c>
      <c r="K852" s="4">
        <v>1</v>
      </c>
      <c r="L852" s="4">
        <v>30</v>
      </c>
      <c r="M852" s="4">
        <v>2017</v>
      </c>
      <c r="N852" s="4">
        <v>2</v>
      </c>
      <c r="O852" s="4">
        <v>6</v>
      </c>
      <c r="P852" s="4">
        <v>1</v>
      </c>
      <c r="Q852" s="19">
        <v>999.99</v>
      </c>
      <c r="R852" s="16">
        <v>0.2</v>
      </c>
      <c r="S852" s="16">
        <v>999.79</v>
      </c>
      <c r="T852" s="5" t="s">
        <v>31</v>
      </c>
      <c r="U852" s="13" t="s">
        <v>304</v>
      </c>
    </row>
    <row r="853" spans="1:21" x14ac:dyDescent="0.35">
      <c r="A853" s="4">
        <v>852</v>
      </c>
      <c r="B853" s="4">
        <v>13</v>
      </c>
      <c r="C853" s="13" t="s">
        <v>766</v>
      </c>
      <c r="D853" s="13" t="s">
        <v>767</v>
      </c>
      <c r="E853" s="5" t="s">
        <v>5566</v>
      </c>
      <c r="F853" s="5" t="s">
        <v>2936</v>
      </c>
      <c r="G853" s="5" t="s">
        <v>2937</v>
      </c>
      <c r="H853" s="13" t="s">
        <v>2593</v>
      </c>
      <c r="I853" s="13" t="s">
        <v>2397</v>
      </c>
      <c r="J853" s="4">
        <v>75604</v>
      </c>
      <c r="K853" s="4">
        <v>1</v>
      </c>
      <c r="L853" s="4">
        <v>46</v>
      </c>
      <c r="M853" s="4">
        <v>2017</v>
      </c>
      <c r="N853" s="4">
        <v>3</v>
      </c>
      <c r="O853" s="4">
        <v>9</v>
      </c>
      <c r="P853" s="4">
        <v>2</v>
      </c>
      <c r="Q853" s="19">
        <v>1409.99</v>
      </c>
      <c r="R853" s="16">
        <v>7.0000000000000007E-2</v>
      </c>
      <c r="S853" s="16">
        <v>2819.91</v>
      </c>
      <c r="T853" s="5" t="s">
        <v>47</v>
      </c>
      <c r="U853" s="13" t="s">
        <v>304</v>
      </c>
    </row>
    <row r="854" spans="1:21" x14ac:dyDescent="0.35">
      <c r="A854" s="4">
        <v>853</v>
      </c>
      <c r="B854" s="4">
        <v>883</v>
      </c>
      <c r="C854" s="13" t="s">
        <v>1628</v>
      </c>
      <c r="D854" s="13" t="s">
        <v>1629</v>
      </c>
      <c r="E854" s="5" t="s">
        <v>4259</v>
      </c>
      <c r="F854" s="5" t="s">
        <v>4260</v>
      </c>
      <c r="G854" s="5" t="s">
        <v>4261</v>
      </c>
      <c r="H854" s="13" t="s">
        <v>3189</v>
      </c>
      <c r="I854" s="13" t="s">
        <v>2397</v>
      </c>
      <c r="J854" s="4">
        <v>79930</v>
      </c>
      <c r="K854" s="4">
        <v>1</v>
      </c>
      <c r="L854" s="4">
        <v>99</v>
      </c>
      <c r="M854" s="4">
        <v>2017</v>
      </c>
      <c r="N854" s="4">
        <v>3</v>
      </c>
      <c r="O854" s="4">
        <v>8</v>
      </c>
      <c r="P854" s="4">
        <v>1</v>
      </c>
      <c r="Q854" s="19">
        <v>299.99</v>
      </c>
      <c r="R854" s="16">
        <v>0.05</v>
      </c>
      <c r="S854" s="16">
        <v>299.94</v>
      </c>
      <c r="T854" s="5" t="s">
        <v>99</v>
      </c>
      <c r="U854" s="13" t="s">
        <v>299</v>
      </c>
    </row>
    <row r="855" spans="1:21" x14ac:dyDescent="0.35">
      <c r="A855" s="4">
        <v>854</v>
      </c>
      <c r="B855" s="4">
        <v>177</v>
      </c>
      <c r="C855" s="13" t="s">
        <v>409</v>
      </c>
      <c r="D855" s="13" t="s">
        <v>595</v>
      </c>
      <c r="E855" s="5" t="s">
        <v>5566</v>
      </c>
      <c r="F855" s="5" t="s">
        <v>4262</v>
      </c>
      <c r="G855" s="5" t="s">
        <v>4263</v>
      </c>
      <c r="H855" s="13" t="s">
        <v>2838</v>
      </c>
      <c r="I855" s="13" t="s">
        <v>2309</v>
      </c>
      <c r="J855" s="4">
        <v>11378</v>
      </c>
      <c r="K855" s="4">
        <v>1</v>
      </c>
      <c r="L855" s="4">
        <v>87</v>
      </c>
      <c r="M855" s="4">
        <v>2017</v>
      </c>
      <c r="N855" s="4">
        <v>2</v>
      </c>
      <c r="O855" s="4">
        <v>6</v>
      </c>
      <c r="P855" s="4">
        <v>1</v>
      </c>
      <c r="Q855" s="19">
        <v>189.99</v>
      </c>
      <c r="R855" s="16">
        <v>0.1</v>
      </c>
      <c r="S855" s="16">
        <v>189.89000000000001</v>
      </c>
      <c r="T855" s="5" t="s">
        <v>88</v>
      </c>
      <c r="U855" s="13" t="s">
        <v>299</v>
      </c>
    </row>
    <row r="856" spans="1:21" x14ac:dyDescent="0.35">
      <c r="A856" s="4">
        <v>855</v>
      </c>
      <c r="B856" s="4">
        <v>775</v>
      </c>
      <c r="C856" s="13" t="s">
        <v>1630</v>
      </c>
      <c r="D856" s="13" t="s">
        <v>1631</v>
      </c>
      <c r="E856" s="5" t="s">
        <v>5566</v>
      </c>
      <c r="F856" s="5" t="s">
        <v>4264</v>
      </c>
      <c r="G856" s="5" t="s">
        <v>4265</v>
      </c>
      <c r="H856" s="13" t="s">
        <v>2312</v>
      </c>
      <c r="I856" s="13" t="s">
        <v>2309</v>
      </c>
      <c r="J856" s="4">
        <v>11772</v>
      </c>
      <c r="K856" s="4">
        <v>1</v>
      </c>
      <c r="L856" s="4">
        <v>18</v>
      </c>
      <c r="M856" s="4">
        <v>2016</v>
      </c>
      <c r="N856" s="4">
        <v>2</v>
      </c>
      <c r="O856" s="4">
        <v>6</v>
      </c>
      <c r="P856" s="4">
        <v>1</v>
      </c>
      <c r="Q856" s="19">
        <v>449</v>
      </c>
      <c r="R856" s="16">
        <v>0.1</v>
      </c>
      <c r="S856" s="16">
        <v>448.9</v>
      </c>
      <c r="T856" s="5" t="s">
        <v>23</v>
      </c>
      <c r="U856" s="13" t="s">
        <v>301</v>
      </c>
    </row>
    <row r="857" spans="1:21" x14ac:dyDescent="0.35">
      <c r="A857" s="4">
        <v>856</v>
      </c>
      <c r="B857" s="4">
        <v>477</v>
      </c>
      <c r="C857" s="13" t="s">
        <v>1632</v>
      </c>
      <c r="D857" s="13" t="s">
        <v>1368</v>
      </c>
      <c r="E857" s="5" t="s">
        <v>5566</v>
      </c>
      <c r="F857" s="5" t="s">
        <v>4266</v>
      </c>
      <c r="G857" s="5" t="s">
        <v>4267</v>
      </c>
      <c r="H857" s="13" t="s">
        <v>2324</v>
      </c>
      <c r="I857" s="13" t="s">
        <v>2309</v>
      </c>
      <c r="J857" s="4">
        <v>11710</v>
      </c>
      <c r="K857" s="4">
        <v>1</v>
      </c>
      <c r="L857" s="4">
        <v>38</v>
      </c>
      <c r="M857" s="4">
        <v>2017</v>
      </c>
      <c r="N857" s="4">
        <v>2</v>
      </c>
      <c r="O857" s="4">
        <v>6</v>
      </c>
      <c r="P857" s="4">
        <v>2</v>
      </c>
      <c r="Q857" s="19">
        <v>549.99</v>
      </c>
      <c r="R857" s="16">
        <v>0.05</v>
      </c>
      <c r="S857" s="16">
        <v>1099.93</v>
      </c>
      <c r="T857" s="5" t="s">
        <v>39</v>
      </c>
      <c r="U857" s="13" t="s">
        <v>304</v>
      </c>
    </row>
    <row r="858" spans="1:21" x14ac:dyDescent="0.35">
      <c r="A858" s="4">
        <v>857</v>
      </c>
      <c r="B858" s="4">
        <v>1402</v>
      </c>
      <c r="C858" s="13" t="s">
        <v>1633</v>
      </c>
      <c r="D858" s="13" t="s">
        <v>1634</v>
      </c>
      <c r="E858" s="5" t="s">
        <v>5566</v>
      </c>
      <c r="F858" s="5" t="s">
        <v>4268</v>
      </c>
      <c r="G858" s="5" t="s">
        <v>4269</v>
      </c>
      <c r="H858" s="13" t="s">
        <v>4270</v>
      </c>
      <c r="I858" s="13" t="s">
        <v>2309</v>
      </c>
      <c r="J858" s="4">
        <v>14043</v>
      </c>
      <c r="K858" s="4">
        <v>1</v>
      </c>
      <c r="L858" s="4">
        <v>29</v>
      </c>
      <c r="M858" s="4">
        <v>2017</v>
      </c>
      <c r="N858" s="4">
        <v>2</v>
      </c>
      <c r="O858" s="4">
        <v>7</v>
      </c>
      <c r="P858" s="4">
        <v>1</v>
      </c>
      <c r="Q858" s="19">
        <v>999.99</v>
      </c>
      <c r="R858" s="16">
        <v>0.2</v>
      </c>
      <c r="S858" s="16">
        <v>999.79</v>
      </c>
      <c r="T858" s="5" t="s">
        <v>30</v>
      </c>
      <c r="U858" s="13" t="s">
        <v>304</v>
      </c>
    </row>
    <row r="859" spans="1:21" x14ac:dyDescent="0.35">
      <c r="A859" s="4">
        <v>858</v>
      </c>
      <c r="B859" s="4">
        <v>162</v>
      </c>
      <c r="C859" s="13" t="s">
        <v>1635</v>
      </c>
      <c r="D859" s="13" t="s">
        <v>554</v>
      </c>
      <c r="E859" s="5" t="s">
        <v>5566</v>
      </c>
      <c r="F859" s="5" t="s">
        <v>4271</v>
      </c>
      <c r="G859" s="5" t="s">
        <v>4272</v>
      </c>
      <c r="H859" s="13" t="s">
        <v>3122</v>
      </c>
      <c r="I859" s="13" t="s">
        <v>2309</v>
      </c>
      <c r="J859" s="4">
        <v>12550</v>
      </c>
      <c r="K859" s="4">
        <v>1</v>
      </c>
      <c r="L859" s="4">
        <v>45</v>
      </c>
      <c r="M859" s="4">
        <v>2017</v>
      </c>
      <c r="N859" s="4">
        <v>2</v>
      </c>
      <c r="O859" s="4">
        <v>6</v>
      </c>
      <c r="P859" s="4">
        <v>2</v>
      </c>
      <c r="Q859" s="19">
        <v>869.99</v>
      </c>
      <c r="R859" s="16">
        <v>0.2</v>
      </c>
      <c r="S859" s="16">
        <v>1739.78</v>
      </c>
      <c r="T859" s="5" t="s">
        <v>46</v>
      </c>
      <c r="U859" s="13" t="s">
        <v>304</v>
      </c>
    </row>
    <row r="860" spans="1:21" x14ac:dyDescent="0.35">
      <c r="A860" s="4">
        <v>859</v>
      </c>
      <c r="B860" s="4">
        <v>644</v>
      </c>
      <c r="C860" s="13" t="s">
        <v>1636</v>
      </c>
      <c r="D860" s="13" t="s">
        <v>1637</v>
      </c>
      <c r="E860" s="5" t="s">
        <v>5566</v>
      </c>
      <c r="F860" s="5" t="s">
        <v>4273</v>
      </c>
      <c r="G860" s="5" t="s">
        <v>4274</v>
      </c>
      <c r="H860" s="13" t="s">
        <v>2577</v>
      </c>
      <c r="I860" s="13" t="s">
        <v>2309</v>
      </c>
      <c r="J860" s="4">
        <v>11757</v>
      </c>
      <c r="K860" s="4">
        <v>1</v>
      </c>
      <c r="L860" s="4">
        <v>38</v>
      </c>
      <c r="M860" s="4">
        <v>2017</v>
      </c>
      <c r="N860" s="4">
        <v>2</v>
      </c>
      <c r="O860" s="4">
        <v>6</v>
      </c>
      <c r="P860" s="4">
        <v>2</v>
      </c>
      <c r="Q860" s="19">
        <v>549.99</v>
      </c>
      <c r="R860" s="16">
        <v>7.0000000000000007E-2</v>
      </c>
      <c r="S860" s="16">
        <v>1099.9100000000001</v>
      </c>
      <c r="T860" s="5" t="s">
        <v>39</v>
      </c>
      <c r="U860" s="13" t="s">
        <v>304</v>
      </c>
    </row>
    <row r="861" spans="1:21" x14ac:dyDescent="0.35">
      <c r="A861" s="4">
        <v>860</v>
      </c>
      <c r="B861" s="4">
        <v>473</v>
      </c>
      <c r="C861" s="13" t="s">
        <v>1638</v>
      </c>
      <c r="D861" s="13" t="s">
        <v>1639</v>
      </c>
      <c r="E861" s="5" t="s">
        <v>5566</v>
      </c>
      <c r="F861" s="5" t="s">
        <v>4275</v>
      </c>
      <c r="G861" s="5" t="s">
        <v>4276</v>
      </c>
      <c r="H861" s="13" t="s">
        <v>470</v>
      </c>
      <c r="I861" s="13" t="s">
        <v>2309</v>
      </c>
      <c r="J861" s="4">
        <v>11510</v>
      </c>
      <c r="K861" s="4">
        <v>1</v>
      </c>
      <c r="L861" s="4">
        <v>6</v>
      </c>
      <c r="M861" s="4">
        <v>2016</v>
      </c>
      <c r="N861" s="4">
        <v>2</v>
      </c>
      <c r="O861" s="4">
        <v>7</v>
      </c>
      <c r="P861" s="4">
        <v>1</v>
      </c>
      <c r="Q861" s="19">
        <v>469.99</v>
      </c>
      <c r="R861" s="16">
        <v>0.05</v>
      </c>
      <c r="S861" s="16">
        <v>469.94</v>
      </c>
      <c r="T861" s="5" t="s">
        <v>11</v>
      </c>
      <c r="U861" s="13" t="s">
        <v>304</v>
      </c>
    </row>
    <row r="862" spans="1:21" x14ac:dyDescent="0.35">
      <c r="A862" s="4">
        <v>861</v>
      </c>
      <c r="B862" s="4">
        <v>1177</v>
      </c>
      <c r="C862" s="13" t="s">
        <v>1640</v>
      </c>
      <c r="D862" s="13" t="s">
        <v>921</v>
      </c>
      <c r="E862" s="5" t="s">
        <v>5566</v>
      </c>
      <c r="F862" s="5" t="s">
        <v>4277</v>
      </c>
      <c r="G862" s="5" t="s">
        <v>4278</v>
      </c>
      <c r="H862" s="13" t="s">
        <v>3037</v>
      </c>
      <c r="I862" s="13" t="s">
        <v>2309</v>
      </c>
      <c r="J862" s="4">
        <v>12601</v>
      </c>
      <c r="K862" s="4">
        <v>1</v>
      </c>
      <c r="L862" s="4">
        <v>14</v>
      </c>
      <c r="M862" s="4">
        <v>2016</v>
      </c>
      <c r="N862" s="4">
        <v>2</v>
      </c>
      <c r="O862" s="4">
        <v>7</v>
      </c>
      <c r="P862" s="4">
        <v>2</v>
      </c>
      <c r="Q862" s="19">
        <v>269.99</v>
      </c>
      <c r="R862" s="16">
        <v>7.0000000000000007E-2</v>
      </c>
      <c r="S862" s="16">
        <v>539.91</v>
      </c>
      <c r="T862" s="5" t="s">
        <v>19</v>
      </c>
      <c r="U862" s="13" t="s">
        <v>301</v>
      </c>
    </row>
    <row r="863" spans="1:21" x14ac:dyDescent="0.35">
      <c r="A863" s="4">
        <v>862</v>
      </c>
      <c r="B863" s="4">
        <v>1230</v>
      </c>
      <c r="C863" s="13" t="s">
        <v>1641</v>
      </c>
      <c r="D863" s="13" t="s">
        <v>1642</v>
      </c>
      <c r="E863" s="5" t="s">
        <v>5566</v>
      </c>
      <c r="F863" s="5" t="s">
        <v>4279</v>
      </c>
      <c r="G863" s="5" t="s">
        <v>4280</v>
      </c>
      <c r="H863" s="13" t="s">
        <v>2687</v>
      </c>
      <c r="I863" s="13" t="s">
        <v>2397</v>
      </c>
      <c r="J863" s="4">
        <v>75115</v>
      </c>
      <c r="K863" s="4">
        <v>1</v>
      </c>
      <c r="L863" s="4">
        <v>85</v>
      </c>
      <c r="M863" s="4">
        <v>2017</v>
      </c>
      <c r="N863" s="4">
        <v>3</v>
      </c>
      <c r="O863" s="4">
        <v>8</v>
      </c>
      <c r="P863" s="4">
        <v>1</v>
      </c>
      <c r="Q863" s="19">
        <v>329.99</v>
      </c>
      <c r="R863" s="16">
        <v>0.05</v>
      </c>
      <c r="S863" s="16">
        <v>329.94</v>
      </c>
      <c r="T863" s="5" t="s">
        <v>86</v>
      </c>
      <c r="U863" s="13" t="s">
        <v>299</v>
      </c>
    </row>
    <row r="864" spans="1:21" x14ac:dyDescent="0.35">
      <c r="A864" s="4">
        <v>863</v>
      </c>
      <c r="B864" s="4">
        <v>446</v>
      </c>
      <c r="C864" s="13" t="s">
        <v>1643</v>
      </c>
      <c r="D864" s="13" t="s">
        <v>1644</v>
      </c>
      <c r="E864" s="5" t="s">
        <v>5566</v>
      </c>
      <c r="F864" s="5" t="s">
        <v>4281</v>
      </c>
      <c r="G864" s="5" t="s">
        <v>4282</v>
      </c>
      <c r="H864" s="13" t="s">
        <v>2623</v>
      </c>
      <c r="I864" s="13" t="s">
        <v>2309</v>
      </c>
      <c r="J864" s="4">
        <v>12010</v>
      </c>
      <c r="K864" s="4">
        <v>1</v>
      </c>
      <c r="L864" s="4">
        <v>93</v>
      </c>
      <c r="M864" s="4">
        <v>2017</v>
      </c>
      <c r="N864" s="4">
        <v>2</v>
      </c>
      <c r="O864" s="4">
        <v>7</v>
      </c>
      <c r="P864" s="4">
        <v>2</v>
      </c>
      <c r="Q864" s="19">
        <v>209.99</v>
      </c>
      <c r="R864" s="16">
        <v>0.1</v>
      </c>
      <c r="S864" s="16">
        <v>419.88</v>
      </c>
      <c r="T864" s="5" t="s">
        <v>94</v>
      </c>
      <c r="U864" s="13" t="s">
        <v>299</v>
      </c>
    </row>
    <row r="865" spans="1:21" x14ac:dyDescent="0.35">
      <c r="A865" s="4">
        <v>864</v>
      </c>
      <c r="B865" s="4">
        <v>902</v>
      </c>
      <c r="C865" s="13" t="s">
        <v>1645</v>
      </c>
      <c r="D865" s="13" t="s">
        <v>880</v>
      </c>
      <c r="E865" s="5" t="s">
        <v>5566</v>
      </c>
      <c r="F865" s="5" t="s">
        <v>4283</v>
      </c>
      <c r="G865" s="5" t="s">
        <v>4284</v>
      </c>
      <c r="H865" s="13" t="s">
        <v>2669</v>
      </c>
      <c r="I865" s="13" t="s">
        <v>2309</v>
      </c>
      <c r="J865" s="4">
        <v>13126</v>
      </c>
      <c r="K865" s="4">
        <v>1</v>
      </c>
      <c r="L865" s="4">
        <v>37</v>
      </c>
      <c r="M865" s="4">
        <v>2017</v>
      </c>
      <c r="N865" s="4">
        <v>2</v>
      </c>
      <c r="O865" s="4">
        <v>6</v>
      </c>
      <c r="P865" s="4">
        <v>1</v>
      </c>
      <c r="Q865" s="19">
        <v>379.99</v>
      </c>
      <c r="R865" s="16">
        <v>0.1</v>
      </c>
      <c r="S865" s="16">
        <v>379.89</v>
      </c>
      <c r="T865" s="5" t="s">
        <v>38</v>
      </c>
      <c r="U865" s="13" t="s">
        <v>304</v>
      </c>
    </row>
    <row r="866" spans="1:21" x14ac:dyDescent="0.35">
      <c r="A866" s="4">
        <v>865</v>
      </c>
      <c r="B866" s="4">
        <v>974</v>
      </c>
      <c r="C866" s="13" t="s">
        <v>1646</v>
      </c>
      <c r="D866" s="13" t="s">
        <v>774</v>
      </c>
      <c r="E866" s="5" t="s">
        <v>5566</v>
      </c>
      <c r="F866" s="5" t="s">
        <v>4285</v>
      </c>
      <c r="G866" s="5" t="s">
        <v>4286</v>
      </c>
      <c r="H866" s="13" t="s">
        <v>3156</v>
      </c>
      <c r="I866" s="13" t="s">
        <v>2309</v>
      </c>
      <c r="J866" s="4">
        <v>11102</v>
      </c>
      <c r="K866" s="4">
        <v>1</v>
      </c>
      <c r="L866" s="4">
        <v>109</v>
      </c>
      <c r="M866" s="4">
        <v>2017</v>
      </c>
      <c r="N866" s="4">
        <v>2</v>
      </c>
      <c r="O866" s="4">
        <v>6</v>
      </c>
      <c r="P866" s="4">
        <v>2</v>
      </c>
      <c r="Q866" s="19">
        <v>416.99</v>
      </c>
      <c r="R866" s="16">
        <v>0.1</v>
      </c>
      <c r="S866" s="16">
        <v>833.88</v>
      </c>
      <c r="T866" s="5" t="s">
        <v>106</v>
      </c>
      <c r="U866" s="13" t="s">
        <v>300</v>
      </c>
    </row>
    <row r="867" spans="1:21" x14ac:dyDescent="0.35">
      <c r="A867" s="4">
        <v>866</v>
      </c>
      <c r="B867" s="4">
        <v>1410</v>
      </c>
      <c r="C867" s="13" t="s">
        <v>1647</v>
      </c>
      <c r="D867" s="13" t="s">
        <v>1211</v>
      </c>
      <c r="E867" s="5" t="s">
        <v>4287</v>
      </c>
      <c r="F867" s="5" t="s">
        <v>4288</v>
      </c>
      <c r="G867" s="5" t="s">
        <v>4289</v>
      </c>
      <c r="H867" s="13" t="s">
        <v>2334</v>
      </c>
      <c r="I867" s="13" t="s">
        <v>2309</v>
      </c>
      <c r="J867" s="4">
        <v>10701</v>
      </c>
      <c r="K867" s="4">
        <v>1</v>
      </c>
      <c r="L867" s="4">
        <v>88</v>
      </c>
      <c r="M867" s="4">
        <v>2017</v>
      </c>
      <c r="N867" s="4">
        <v>2</v>
      </c>
      <c r="O867" s="4">
        <v>6</v>
      </c>
      <c r="P867" s="4">
        <v>1</v>
      </c>
      <c r="Q867" s="19">
        <v>189.99</v>
      </c>
      <c r="R867" s="16">
        <v>0.2</v>
      </c>
      <c r="S867" s="16">
        <v>189.79000000000002</v>
      </c>
      <c r="T867" s="5" t="s">
        <v>89</v>
      </c>
      <c r="U867" s="13" t="s">
        <v>299</v>
      </c>
    </row>
    <row r="868" spans="1:21" x14ac:dyDescent="0.35">
      <c r="A868" s="4">
        <v>867</v>
      </c>
      <c r="B868" s="4">
        <v>97</v>
      </c>
      <c r="C868" s="13" t="s">
        <v>1648</v>
      </c>
      <c r="D868" s="13" t="s">
        <v>1306</v>
      </c>
      <c r="E868" s="5" t="s">
        <v>5566</v>
      </c>
      <c r="F868" s="5" t="s">
        <v>4290</v>
      </c>
      <c r="G868" s="5" t="s">
        <v>4291</v>
      </c>
      <c r="H868" s="13" t="s">
        <v>4292</v>
      </c>
      <c r="I868" s="13" t="s">
        <v>2305</v>
      </c>
      <c r="J868" s="4">
        <v>95993</v>
      </c>
      <c r="K868" s="4">
        <v>1</v>
      </c>
      <c r="L868" s="4">
        <v>101</v>
      </c>
      <c r="M868" s="4">
        <v>2017</v>
      </c>
      <c r="N868" s="4">
        <v>1</v>
      </c>
      <c r="O868" s="4">
        <v>3</v>
      </c>
      <c r="P868" s="4">
        <v>1</v>
      </c>
      <c r="Q868" s="19">
        <v>339.99</v>
      </c>
      <c r="R868" s="16">
        <v>0.05</v>
      </c>
      <c r="S868" s="16">
        <v>339.94</v>
      </c>
      <c r="T868" s="5" t="s">
        <v>101</v>
      </c>
      <c r="U868" s="13" t="s">
        <v>299</v>
      </c>
    </row>
    <row r="869" spans="1:21" x14ac:dyDescent="0.35">
      <c r="A869" s="4">
        <v>868</v>
      </c>
      <c r="B869" s="4">
        <v>868</v>
      </c>
      <c r="C869" s="13" t="s">
        <v>1649</v>
      </c>
      <c r="D869" s="13" t="s">
        <v>505</v>
      </c>
      <c r="E869" s="5" t="s">
        <v>4293</v>
      </c>
      <c r="F869" s="5" t="s">
        <v>4294</v>
      </c>
      <c r="G869" s="5" t="s">
        <v>4295</v>
      </c>
      <c r="H869" s="13" t="s">
        <v>2741</v>
      </c>
      <c r="I869" s="13" t="s">
        <v>2305</v>
      </c>
      <c r="J869" s="4">
        <v>95127</v>
      </c>
      <c r="K869" s="4">
        <v>1</v>
      </c>
      <c r="L869" s="4">
        <v>46</v>
      </c>
      <c r="M869" s="4">
        <v>2017</v>
      </c>
      <c r="N869" s="4">
        <v>1</v>
      </c>
      <c r="O869" s="4">
        <v>3</v>
      </c>
      <c r="P869" s="4">
        <v>1</v>
      </c>
      <c r="Q869" s="19">
        <v>1409.99</v>
      </c>
      <c r="R869" s="16">
        <v>7.0000000000000007E-2</v>
      </c>
      <c r="S869" s="16">
        <v>1409.92</v>
      </c>
      <c r="T869" s="5" t="s">
        <v>47</v>
      </c>
      <c r="U869" s="13" t="s">
        <v>304</v>
      </c>
    </row>
    <row r="870" spans="1:21" x14ac:dyDescent="0.35">
      <c r="A870" s="4">
        <v>869</v>
      </c>
      <c r="B870" s="4">
        <v>844</v>
      </c>
      <c r="C870" s="13" t="s">
        <v>1650</v>
      </c>
      <c r="D870" s="13" t="s">
        <v>343</v>
      </c>
      <c r="E870" s="5" t="s">
        <v>5566</v>
      </c>
      <c r="F870" s="5" t="s">
        <v>4296</v>
      </c>
      <c r="G870" s="5" t="s">
        <v>4297</v>
      </c>
      <c r="H870" s="13" t="s">
        <v>3161</v>
      </c>
      <c r="I870" s="13" t="s">
        <v>2309</v>
      </c>
      <c r="J870" s="4">
        <v>11420</v>
      </c>
      <c r="K870" s="4">
        <v>1</v>
      </c>
      <c r="L870" s="4">
        <v>7</v>
      </c>
      <c r="M870" s="4">
        <v>2016</v>
      </c>
      <c r="N870" s="4">
        <v>2</v>
      </c>
      <c r="O870" s="4">
        <v>7</v>
      </c>
      <c r="P870" s="4">
        <v>1</v>
      </c>
      <c r="Q870" s="19">
        <v>3999.99</v>
      </c>
      <c r="R870" s="16">
        <v>0.2</v>
      </c>
      <c r="S870" s="16">
        <v>3999.79</v>
      </c>
      <c r="T870" s="5" t="s">
        <v>12</v>
      </c>
      <c r="U870" s="13" t="s">
        <v>304</v>
      </c>
    </row>
    <row r="871" spans="1:21" x14ac:dyDescent="0.35">
      <c r="A871" s="4">
        <v>870</v>
      </c>
      <c r="B871" s="4">
        <v>1416</v>
      </c>
      <c r="C871" s="13" t="s">
        <v>892</v>
      </c>
      <c r="D871" s="13" t="s">
        <v>851</v>
      </c>
      <c r="E871" s="5" t="s">
        <v>5566</v>
      </c>
      <c r="F871" s="5" t="s">
        <v>4298</v>
      </c>
      <c r="G871" s="5" t="s">
        <v>4299</v>
      </c>
      <c r="H871" s="13" t="s">
        <v>3156</v>
      </c>
      <c r="I871" s="13" t="s">
        <v>2309</v>
      </c>
      <c r="J871" s="4">
        <v>11102</v>
      </c>
      <c r="K871" s="4">
        <v>1</v>
      </c>
      <c r="L871" s="4">
        <v>63</v>
      </c>
      <c r="M871" s="4">
        <v>2017</v>
      </c>
      <c r="N871" s="4">
        <v>2</v>
      </c>
      <c r="O871" s="4">
        <v>6</v>
      </c>
      <c r="P871" s="4">
        <v>1</v>
      </c>
      <c r="Q871" s="19">
        <v>3499.99</v>
      </c>
      <c r="R871" s="16">
        <v>7.0000000000000007E-2</v>
      </c>
      <c r="S871" s="16">
        <v>3499.9199999999996</v>
      </c>
      <c r="T871" s="5" t="s">
        <v>64</v>
      </c>
      <c r="U871" s="13" t="s">
        <v>302</v>
      </c>
    </row>
    <row r="872" spans="1:21" x14ac:dyDescent="0.35">
      <c r="A872" s="4">
        <v>871</v>
      </c>
      <c r="B872" s="4">
        <v>358</v>
      </c>
      <c r="C872" s="13" t="s">
        <v>640</v>
      </c>
      <c r="D872" s="13" t="s">
        <v>1651</v>
      </c>
      <c r="E872" s="5" t="s">
        <v>5566</v>
      </c>
      <c r="F872" s="5" t="s">
        <v>4300</v>
      </c>
      <c r="G872" s="5" t="s">
        <v>4301</v>
      </c>
      <c r="H872" s="13" t="s">
        <v>3558</v>
      </c>
      <c r="I872" s="13" t="s">
        <v>2309</v>
      </c>
      <c r="J872" s="4">
        <v>11793</v>
      </c>
      <c r="K872" s="4">
        <v>1</v>
      </c>
      <c r="L872" s="4">
        <v>106</v>
      </c>
      <c r="M872" s="4">
        <v>2017</v>
      </c>
      <c r="N872" s="4">
        <v>2</v>
      </c>
      <c r="O872" s="4">
        <v>7</v>
      </c>
      <c r="P872" s="4">
        <v>1</v>
      </c>
      <c r="Q872" s="19">
        <v>449.99</v>
      </c>
      <c r="R872" s="16">
        <v>0.2</v>
      </c>
      <c r="S872" s="16">
        <v>449.79</v>
      </c>
      <c r="T872" s="5" t="s">
        <v>69</v>
      </c>
      <c r="U872" s="13" t="s">
        <v>300</v>
      </c>
    </row>
    <row r="873" spans="1:21" x14ac:dyDescent="0.35">
      <c r="A873" s="4">
        <v>872</v>
      </c>
      <c r="B873" s="4">
        <v>394</v>
      </c>
      <c r="C873" s="13" t="s">
        <v>1652</v>
      </c>
      <c r="D873" s="13" t="s">
        <v>449</v>
      </c>
      <c r="E873" s="5" t="s">
        <v>5566</v>
      </c>
      <c r="F873" s="5" t="s">
        <v>4302</v>
      </c>
      <c r="G873" s="5" t="s">
        <v>4303</v>
      </c>
      <c r="H873" s="13" t="s">
        <v>3292</v>
      </c>
      <c r="I873" s="13" t="s">
        <v>2305</v>
      </c>
      <c r="J873" s="4">
        <v>91733</v>
      </c>
      <c r="K873" s="4">
        <v>1</v>
      </c>
      <c r="L873" s="4">
        <v>62</v>
      </c>
      <c r="M873" s="4">
        <v>2017</v>
      </c>
      <c r="N873" s="4">
        <v>1</v>
      </c>
      <c r="O873" s="4">
        <v>3</v>
      </c>
      <c r="P873" s="4">
        <v>2</v>
      </c>
      <c r="Q873" s="19">
        <v>3499.99</v>
      </c>
      <c r="R873" s="16">
        <v>7.0000000000000007E-2</v>
      </c>
      <c r="S873" s="16">
        <v>6999.91</v>
      </c>
      <c r="T873" s="5" t="s">
        <v>63</v>
      </c>
      <c r="U873" s="13" t="s">
        <v>302</v>
      </c>
    </row>
    <row r="874" spans="1:21" x14ac:dyDescent="0.35">
      <c r="A874" s="4">
        <v>873</v>
      </c>
      <c r="B874" s="4">
        <v>829</v>
      </c>
      <c r="C874" s="13" t="s">
        <v>1653</v>
      </c>
      <c r="D874" s="13" t="s">
        <v>1654</v>
      </c>
      <c r="E874" s="5" t="s">
        <v>5566</v>
      </c>
      <c r="F874" s="5" t="s">
        <v>4304</v>
      </c>
      <c r="G874" s="5" t="s">
        <v>4305</v>
      </c>
      <c r="H874" s="13" t="s">
        <v>3811</v>
      </c>
      <c r="I874" s="13" t="s">
        <v>2309</v>
      </c>
      <c r="J874" s="4">
        <v>14094</v>
      </c>
      <c r="K874" s="4">
        <v>1</v>
      </c>
      <c r="L874" s="4">
        <v>32</v>
      </c>
      <c r="M874" s="4">
        <v>2017</v>
      </c>
      <c r="N874" s="4">
        <v>2</v>
      </c>
      <c r="O874" s="4">
        <v>7</v>
      </c>
      <c r="P874" s="4">
        <v>2</v>
      </c>
      <c r="Q874" s="19">
        <v>469.99</v>
      </c>
      <c r="R874" s="16">
        <v>0.1</v>
      </c>
      <c r="S874" s="16">
        <v>939.88</v>
      </c>
      <c r="T874" s="5" t="s">
        <v>33</v>
      </c>
      <c r="U874" s="13" t="s">
        <v>304</v>
      </c>
    </row>
    <row r="875" spans="1:21" x14ac:dyDescent="0.35">
      <c r="A875" s="4">
        <v>874</v>
      </c>
      <c r="B875" s="4">
        <v>661</v>
      </c>
      <c r="C875" s="13" t="s">
        <v>686</v>
      </c>
      <c r="D875" s="13" t="s">
        <v>1371</v>
      </c>
      <c r="E875" s="5" t="s">
        <v>5566</v>
      </c>
      <c r="F875" s="5" t="s">
        <v>4306</v>
      </c>
      <c r="G875" s="5" t="s">
        <v>4307</v>
      </c>
      <c r="H875" s="13" t="s">
        <v>552</v>
      </c>
      <c r="I875" s="13" t="s">
        <v>2309</v>
      </c>
      <c r="J875" s="4">
        <v>10950</v>
      </c>
      <c r="K875" s="4">
        <v>1</v>
      </c>
      <c r="L875" s="4">
        <v>56</v>
      </c>
      <c r="M875" s="4">
        <v>2017</v>
      </c>
      <c r="N875" s="4">
        <v>2</v>
      </c>
      <c r="O875" s="4">
        <v>7</v>
      </c>
      <c r="P875" s="4">
        <v>1</v>
      </c>
      <c r="Q875" s="19">
        <v>5499.99</v>
      </c>
      <c r="R875" s="16">
        <v>0.05</v>
      </c>
      <c r="S875" s="16">
        <v>5499.94</v>
      </c>
      <c r="T875" s="5" t="s">
        <v>57</v>
      </c>
      <c r="U875" s="13" t="s">
        <v>305</v>
      </c>
    </row>
    <row r="876" spans="1:21" x14ac:dyDescent="0.35">
      <c r="A876" s="4">
        <v>875</v>
      </c>
      <c r="B876" s="4">
        <v>386</v>
      </c>
      <c r="C876" s="13" t="s">
        <v>1655</v>
      </c>
      <c r="D876" s="13" t="s">
        <v>1656</v>
      </c>
      <c r="E876" s="5" t="s">
        <v>5566</v>
      </c>
      <c r="F876" s="5" t="s">
        <v>4308</v>
      </c>
      <c r="G876" s="5" t="s">
        <v>4309</v>
      </c>
      <c r="H876" s="13" t="s">
        <v>2544</v>
      </c>
      <c r="I876" s="13" t="s">
        <v>2305</v>
      </c>
      <c r="J876" s="4">
        <v>91784</v>
      </c>
      <c r="K876" s="4">
        <v>1</v>
      </c>
      <c r="L876" s="4">
        <v>5</v>
      </c>
      <c r="M876" s="4">
        <v>2016</v>
      </c>
      <c r="N876" s="4">
        <v>1</v>
      </c>
      <c r="O876" s="4">
        <v>3</v>
      </c>
      <c r="P876" s="4">
        <v>2</v>
      </c>
      <c r="Q876" s="19">
        <v>1320.99</v>
      </c>
      <c r="R876" s="16">
        <v>0.1</v>
      </c>
      <c r="S876" s="16">
        <v>2641.88</v>
      </c>
      <c r="T876" s="5" t="s">
        <v>10</v>
      </c>
      <c r="U876" s="13" t="s">
        <v>304</v>
      </c>
    </row>
    <row r="877" spans="1:21" x14ac:dyDescent="0.35">
      <c r="A877" s="4">
        <v>876</v>
      </c>
      <c r="B877" s="4">
        <v>1046</v>
      </c>
      <c r="C877" s="13" t="s">
        <v>1657</v>
      </c>
      <c r="D877" s="13" t="s">
        <v>871</v>
      </c>
      <c r="E877" s="5" t="s">
        <v>5566</v>
      </c>
      <c r="F877" s="5" t="s">
        <v>4310</v>
      </c>
      <c r="G877" s="5" t="s">
        <v>4311</v>
      </c>
      <c r="H877" s="13" t="s">
        <v>3204</v>
      </c>
      <c r="I877" s="13" t="s">
        <v>2309</v>
      </c>
      <c r="J877" s="4">
        <v>14424</v>
      </c>
      <c r="K877" s="4">
        <v>1</v>
      </c>
      <c r="L877" s="4">
        <v>17</v>
      </c>
      <c r="M877" s="4">
        <v>2016</v>
      </c>
      <c r="N877" s="4">
        <v>2</v>
      </c>
      <c r="O877" s="4">
        <v>7</v>
      </c>
      <c r="P877" s="4">
        <v>2</v>
      </c>
      <c r="Q877" s="19">
        <v>429</v>
      </c>
      <c r="R877" s="16">
        <v>0.2</v>
      </c>
      <c r="S877" s="16">
        <v>857.8</v>
      </c>
      <c r="T877" s="5" t="s">
        <v>22</v>
      </c>
      <c r="U877" s="13" t="s">
        <v>301</v>
      </c>
    </row>
    <row r="878" spans="1:21" x14ac:dyDescent="0.35">
      <c r="A878" s="4">
        <v>877</v>
      </c>
      <c r="B878" s="4">
        <v>784</v>
      </c>
      <c r="C878" s="13" t="s">
        <v>1658</v>
      </c>
      <c r="D878" s="13" t="s">
        <v>1043</v>
      </c>
      <c r="E878" s="5" t="s">
        <v>5566</v>
      </c>
      <c r="F878" s="5" t="s">
        <v>4312</v>
      </c>
      <c r="G878" s="5" t="s">
        <v>4313</v>
      </c>
      <c r="H878" s="13" t="s">
        <v>2518</v>
      </c>
      <c r="I878" s="13" t="s">
        <v>2309</v>
      </c>
      <c r="J878" s="4">
        <v>12020</v>
      </c>
      <c r="K878" s="4">
        <v>1</v>
      </c>
      <c r="L878" s="4">
        <v>73</v>
      </c>
      <c r="M878" s="4">
        <v>2017</v>
      </c>
      <c r="N878" s="4">
        <v>2</v>
      </c>
      <c r="O878" s="4">
        <v>6</v>
      </c>
      <c r="P878" s="4">
        <v>1</v>
      </c>
      <c r="Q878" s="19">
        <v>749.99</v>
      </c>
      <c r="R878" s="16">
        <v>7.0000000000000007E-2</v>
      </c>
      <c r="S878" s="16">
        <v>749.92</v>
      </c>
      <c r="T878" s="5" t="s">
        <v>74</v>
      </c>
      <c r="U878" s="13" t="s">
        <v>301</v>
      </c>
    </row>
    <row r="879" spans="1:21" x14ac:dyDescent="0.35">
      <c r="A879" s="4">
        <v>878</v>
      </c>
      <c r="B879" s="4">
        <v>224</v>
      </c>
      <c r="C879" s="13" t="s">
        <v>923</v>
      </c>
      <c r="D879" s="13" t="s">
        <v>1442</v>
      </c>
      <c r="E879" s="5" t="s">
        <v>5566</v>
      </c>
      <c r="F879" s="5" t="s">
        <v>4314</v>
      </c>
      <c r="G879" s="5" t="s">
        <v>4315</v>
      </c>
      <c r="H879" s="13" t="s">
        <v>2570</v>
      </c>
      <c r="I879" s="13" t="s">
        <v>2305</v>
      </c>
      <c r="J879" s="4">
        <v>90260</v>
      </c>
      <c r="K879" s="4">
        <v>1</v>
      </c>
      <c r="L879" s="4">
        <v>103</v>
      </c>
      <c r="M879" s="4">
        <v>2017</v>
      </c>
      <c r="N879" s="4">
        <v>1</v>
      </c>
      <c r="O879" s="4">
        <v>3</v>
      </c>
      <c r="P879" s="4">
        <v>1</v>
      </c>
      <c r="Q879" s="19">
        <v>551.99</v>
      </c>
      <c r="R879" s="16">
        <v>0.2</v>
      </c>
      <c r="S879" s="16">
        <v>551.79</v>
      </c>
      <c r="T879" s="5" t="s">
        <v>102</v>
      </c>
      <c r="U879" s="13" t="s">
        <v>300</v>
      </c>
    </row>
    <row r="880" spans="1:21" x14ac:dyDescent="0.35">
      <c r="A880" s="4">
        <v>879</v>
      </c>
      <c r="B880" s="4">
        <v>214</v>
      </c>
      <c r="C880" s="13" t="s">
        <v>1612</v>
      </c>
      <c r="D880" s="13" t="s">
        <v>637</v>
      </c>
      <c r="E880" s="5" t="s">
        <v>5566</v>
      </c>
      <c r="F880" s="5" t="s">
        <v>4316</v>
      </c>
      <c r="G880" s="5" t="s">
        <v>4317</v>
      </c>
      <c r="H880" s="13" t="s">
        <v>2732</v>
      </c>
      <c r="I880" s="13" t="s">
        <v>2309</v>
      </c>
      <c r="J880" s="4">
        <v>14120</v>
      </c>
      <c r="K880" s="4">
        <v>1</v>
      </c>
      <c r="L880" s="4">
        <v>100</v>
      </c>
      <c r="M880" s="4">
        <v>2017</v>
      </c>
      <c r="N880" s="4">
        <v>2</v>
      </c>
      <c r="O880" s="4">
        <v>7</v>
      </c>
      <c r="P880" s="4">
        <v>2</v>
      </c>
      <c r="Q880" s="19">
        <v>489.99</v>
      </c>
      <c r="R880" s="16">
        <v>0.2</v>
      </c>
      <c r="S880" s="16">
        <v>979.78</v>
      </c>
      <c r="T880" s="5" t="s">
        <v>100</v>
      </c>
      <c r="U880" s="13" t="s">
        <v>299</v>
      </c>
    </row>
    <row r="881" spans="1:21" x14ac:dyDescent="0.35">
      <c r="A881" s="4">
        <v>880</v>
      </c>
      <c r="B881" s="4">
        <v>1206</v>
      </c>
      <c r="C881" s="13" t="s">
        <v>1659</v>
      </c>
      <c r="D881" s="13" t="s">
        <v>1526</v>
      </c>
      <c r="E881" s="5" t="s">
        <v>5566</v>
      </c>
      <c r="F881" s="5" t="s">
        <v>4318</v>
      </c>
      <c r="G881" s="5" t="s">
        <v>4319</v>
      </c>
      <c r="H881" s="13" t="s">
        <v>918</v>
      </c>
      <c r="I881" s="13" t="s">
        <v>2309</v>
      </c>
      <c r="J881" s="4">
        <v>11423</v>
      </c>
      <c r="K881" s="4">
        <v>1</v>
      </c>
      <c r="L881" s="4">
        <v>28</v>
      </c>
      <c r="M881" s="4">
        <v>2017</v>
      </c>
      <c r="N881" s="4">
        <v>2</v>
      </c>
      <c r="O881" s="4">
        <v>6</v>
      </c>
      <c r="P881" s="4">
        <v>2</v>
      </c>
      <c r="Q881" s="19">
        <v>2499.9899999999998</v>
      </c>
      <c r="R881" s="16">
        <v>0.2</v>
      </c>
      <c r="S881" s="16">
        <v>4999.78</v>
      </c>
      <c r="T881" s="5" t="s">
        <v>29</v>
      </c>
      <c r="U881" s="13" t="s">
        <v>304</v>
      </c>
    </row>
    <row r="882" spans="1:21" x14ac:dyDescent="0.35">
      <c r="A882" s="4">
        <v>881</v>
      </c>
      <c r="B882" s="4">
        <v>1024</v>
      </c>
      <c r="C882" s="13" t="s">
        <v>1660</v>
      </c>
      <c r="D882" s="13" t="s">
        <v>566</v>
      </c>
      <c r="E882" s="5" t="s">
        <v>4320</v>
      </c>
      <c r="F882" s="5" t="s">
        <v>4321</v>
      </c>
      <c r="G882" s="5" t="s">
        <v>4322</v>
      </c>
      <c r="H882" s="13" t="s">
        <v>3189</v>
      </c>
      <c r="I882" s="13" t="s">
        <v>2397</v>
      </c>
      <c r="J882" s="4">
        <v>79930</v>
      </c>
      <c r="K882" s="4">
        <v>1</v>
      </c>
      <c r="L882" s="4">
        <v>98</v>
      </c>
      <c r="M882" s="4">
        <v>2017</v>
      </c>
      <c r="N882" s="4">
        <v>3</v>
      </c>
      <c r="O882" s="4">
        <v>9</v>
      </c>
      <c r="P882" s="4">
        <v>1</v>
      </c>
      <c r="Q882" s="19">
        <v>489.99</v>
      </c>
      <c r="R882" s="16">
        <v>7.0000000000000007E-2</v>
      </c>
      <c r="S882" s="16">
        <v>489.92</v>
      </c>
      <c r="T882" s="5" t="s">
        <v>98</v>
      </c>
      <c r="U882" s="13" t="s">
        <v>299</v>
      </c>
    </row>
    <row r="883" spans="1:21" x14ac:dyDescent="0.35">
      <c r="A883" s="4">
        <v>882</v>
      </c>
      <c r="B883" s="4">
        <v>196</v>
      </c>
      <c r="C883" s="13" t="s">
        <v>1661</v>
      </c>
      <c r="D883" s="13" t="s">
        <v>1344</v>
      </c>
      <c r="E883" s="5" t="s">
        <v>5566</v>
      </c>
      <c r="F883" s="5" t="s">
        <v>4323</v>
      </c>
      <c r="G883" s="5" t="s">
        <v>4324</v>
      </c>
      <c r="H883" s="13" t="s">
        <v>2732</v>
      </c>
      <c r="I883" s="13" t="s">
        <v>2309</v>
      </c>
      <c r="J883" s="4">
        <v>14120</v>
      </c>
      <c r="K883" s="4">
        <v>1</v>
      </c>
      <c r="L883" s="4">
        <v>63</v>
      </c>
      <c r="M883" s="4">
        <v>2017</v>
      </c>
      <c r="N883" s="4">
        <v>2</v>
      </c>
      <c r="O883" s="4">
        <v>6</v>
      </c>
      <c r="P883" s="4">
        <v>2</v>
      </c>
      <c r="Q883" s="19">
        <v>3499.99</v>
      </c>
      <c r="R883" s="16">
        <v>7.0000000000000007E-2</v>
      </c>
      <c r="S883" s="16">
        <v>6999.91</v>
      </c>
      <c r="T883" s="5" t="s">
        <v>64</v>
      </c>
      <c r="U883" s="13" t="s">
        <v>302</v>
      </c>
    </row>
    <row r="884" spans="1:21" x14ac:dyDescent="0.35">
      <c r="A884" s="4">
        <v>883</v>
      </c>
      <c r="B884" s="4">
        <v>507</v>
      </c>
      <c r="C884" s="13" t="s">
        <v>1662</v>
      </c>
      <c r="D884" s="13" t="s">
        <v>1378</v>
      </c>
      <c r="E884" s="5" t="s">
        <v>5566</v>
      </c>
      <c r="F884" s="5" t="s">
        <v>4325</v>
      </c>
      <c r="G884" s="5" t="s">
        <v>4326</v>
      </c>
      <c r="H884" s="13" t="s">
        <v>2961</v>
      </c>
      <c r="I884" s="13" t="s">
        <v>2309</v>
      </c>
      <c r="J884" s="4">
        <v>10301</v>
      </c>
      <c r="K884" s="4">
        <v>1</v>
      </c>
      <c r="L884" s="4">
        <v>44</v>
      </c>
      <c r="M884" s="4">
        <v>2017</v>
      </c>
      <c r="N884" s="4">
        <v>2</v>
      </c>
      <c r="O884" s="4">
        <v>6</v>
      </c>
      <c r="P884" s="4">
        <v>1</v>
      </c>
      <c r="Q884" s="19">
        <v>539.99</v>
      </c>
      <c r="R884" s="16">
        <v>0.05</v>
      </c>
      <c r="S884" s="16">
        <v>539.94000000000005</v>
      </c>
      <c r="T884" s="5" t="s">
        <v>45</v>
      </c>
      <c r="U884" s="13" t="s">
        <v>304</v>
      </c>
    </row>
    <row r="885" spans="1:21" x14ac:dyDescent="0.35">
      <c r="A885" s="4">
        <v>884</v>
      </c>
      <c r="B885" s="4">
        <v>871</v>
      </c>
      <c r="C885" s="13" t="s">
        <v>694</v>
      </c>
      <c r="D885" s="13" t="s">
        <v>1663</v>
      </c>
      <c r="E885" s="5" t="s">
        <v>5566</v>
      </c>
      <c r="F885" s="5" t="s">
        <v>4327</v>
      </c>
      <c r="G885" s="5" t="s">
        <v>4328</v>
      </c>
      <c r="H885" s="13" t="s">
        <v>2507</v>
      </c>
      <c r="I885" s="13" t="s">
        <v>2309</v>
      </c>
      <c r="J885" s="4">
        <v>12553</v>
      </c>
      <c r="K885" s="4">
        <v>1</v>
      </c>
      <c r="L885" s="4">
        <v>49</v>
      </c>
      <c r="M885" s="4">
        <v>2017</v>
      </c>
      <c r="N885" s="4">
        <v>2</v>
      </c>
      <c r="O885" s="4">
        <v>7</v>
      </c>
      <c r="P885" s="4">
        <v>2</v>
      </c>
      <c r="Q885" s="19">
        <v>3499.99</v>
      </c>
      <c r="R885" s="16">
        <v>0.05</v>
      </c>
      <c r="S885" s="16">
        <v>6999.9299999999994</v>
      </c>
      <c r="T885" s="5" t="s">
        <v>50</v>
      </c>
      <c r="U885" s="13" t="s">
        <v>305</v>
      </c>
    </row>
    <row r="886" spans="1:21" x14ac:dyDescent="0.35">
      <c r="A886" s="4">
        <v>885</v>
      </c>
      <c r="B886" s="4">
        <v>66</v>
      </c>
      <c r="C886" s="13" t="s">
        <v>676</v>
      </c>
      <c r="D886" s="13" t="s">
        <v>791</v>
      </c>
      <c r="E886" s="5" t="s">
        <v>5566</v>
      </c>
      <c r="F886" s="5" t="s">
        <v>2967</v>
      </c>
      <c r="G886" s="5" t="s">
        <v>2968</v>
      </c>
      <c r="H886" s="13" t="s">
        <v>902</v>
      </c>
      <c r="I886" s="13" t="s">
        <v>2397</v>
      </c>
      <c r="J886" s="4">
        <v>75043</v>
      </c>
      <c r="K886" s="4">
        <v>1</v>
      </c>
      <c r="L886" s="4">
        <v>106</v>
      </c>
      <c r="M886" s="4">
        <v>2017</v>
      </c>
      <c r="N886" s="4">
        <v>3</v>
      </c>
      <c r="O886" s="4">
        <v>8</v>
      </c>
      <c r="P886" s="4">
        <v>1</v>
      </c>
      <c r="Q886" s="19">
        <v>449.99</v>
      </c>
      <c r="R886" s="16">
        <v>7.0000000000000007E-2</v>
      </c>
      <c r="S886" s="16">
        <v>449.92</v>
      </c>
      <c r="T886" s="5" t="s">
        <v>69</v>
      </c>
      <c r="U886" s="13" t="s">
        <v>300</v>
      </c>
    </row>
    <row r="887" spans="1:21" x14ac:dyDescent="0.35">
      <c r="A887" s="4">
        <v>886</v>
      </c>
      <c r="B887" s="4">
        <v>1396</v>
      </c>
      <c r="C887" s="13" t="s">
        <v>1664</v>
      </c>
      <c r="D887" s="13" t="s">
        <v>1665</v>
      </c>
      <c r="E887" s="5" t="s">
        <v>4329</v>
      </c>
      <c r="F887" s="5" t="s">
        <v>4330</v>
      </c>
      <c r="G887" s="5" t="s">
        <v>4331</v>
      </c>
      <c r="H887" s="13" t="s">
        <v>2460</v>
      </c>
      <c r="I887" s="13" t="s">
        <v>2305</v>
      </c>
      <c r="J887" s="4">
        <v>92806</v>
      </c>
      <c r="K887" s="4">
        <v>1</v>
      </c>
      <c r="L887" s="4">
        <v>47</v>
      </c>
      <c r="M887" s="4">
        <v>2017</v>
      </c>
      <c r="N887" s="4">
        <v>1</v>
      </c>
      <c r="O887" s="4">
        <v>2</v>
      </c>
      <c r="P887" s="4">
        <v>1</v>
      </c>
      <c r="Q887" s="19">
        <v>5299.99</v>
      </c>
      <c r="R887" s="16">
        <v>0.05</v>
      </c>
      <c r="S887" s="16">
        <v>5299.94</v>
      </c>
      <c r="T887" s="5" t="s">
        <v>48</v>
      </c>
      <c r="U887" s="13" t="s">
        <v>304</v>
      </c>
    </row>
    <row r="888" spans="1:21" x14ac:dyDescent="0.35">
      <c r="A888" s="4">
        <v>887</v>
      </c>
      <c r="B888" s="4">
        <v>1195</v>
      </c>
      <c r="C888" s="13" t="s">
        <v>1666</v>
      </c>
      <c r="D888" s="13" t="s">
        <v>1028</v>
      </c>
      <c r="E888" s="5" t="s">
        <v>4332</v>
      </c>
      <c r="F888" s="5" t="s">
        <v>4333</v>
      </c>
      <c r="G888" s="5" t="s">
        <v>4334</v>
      </c>
      <c r="H888" s="13" t="s">
        <v>2406</v>
      </c>
      <c r="I888" s="13" t="s">
        <v>2309</v>
      </c>
      <c r="J888" s="4">
        <v>14215</v>
      </c>
      <c r="K888" s="4">
        <v>1</v>
      </c>
      <c r="L888" s="4">
        <v>50</v>
      </c>
      <c r="M888" s="4">
        <v>2017</v>
      </c>
      <c r="N888" s="4">
        <v>2</v>
      </c>
      <c r="O888" s="4">
        <v>6</v>
      </c>
      <c r="P888" s="4">
        <v>2</v>
      </c>
      <c r="Q888" s="19">
        <v>5999.99</v>
      </c>
      <c r="R888" s="16">
        <v>0.05</v>
      </c>
      <c r="S888" s="16">
        <v>11999.93</v>
      </c>
      <c r="T888" s="5" t="s">
        <v>51</v>
      </c>
      <c r="U888" s="13" t="s">
        <v>305</v>
      </c>
    </row>
    <row r="889" spans="1:21" x14ac:dyDescent="0.35">
      <c r="A889" s="4">
        <v>888</v>
      </c>
      <c r="B889" s="4">
        <v>1038</v>
      </c>
      <c r="C889" s="13" t="s">
        <v>949</v>
      </c>
      <c r="D889" s="13" t="s">
        <v>964</v>
      </c>
      <c r="E889" s="5" t="s">
        <v>5566</v>
      </c>
      <c r="F889" s="5" t="s">
        <v>4335</v>
      </c>
      <c r="G889" s="5" t="s">
        <v>4336</v>
      </c>
      <c r="H889" s="13" t="s">
        <v>2628</v>
      </c>
      <c r="I889" s="13" t="s">
        <v>2309</v>
      </c>
      <c r="J889" s="4">
        <v>11375</v>
      </c>
      <c r="K889" s="4">
        <v>1</v>
      </c>
      <c r="L889" s="4">
        <v>33</v>
      </c>
      <c r="M889" s="4">
        <v>2017</v>
      </c>
      <c r="N889" s="4">
        <v>2</v>
      </c>
      <c r="O889" s="4">
        <v>7</v>
      </c>
      <c r="P889" s="4">
        <v>2</v>
      </c>
      <c r="Q889" s="19">
        <v>469.99</v>
      </c>
      <c r="R889" s="16">
        <v>0.1</v>
      </c>
      <c r="S889" s="16">
        <v>939.88</v>
      </c>
      <c r="T889" s="5" t="s">
        <v>34</v>
      </c>
      <c r="U889" s="13" t="s">
        <v>304</v>
      </c>
    </row>
    <row r="890" spans="1:21" x14ac:dyDescent="0.35">
      <c r="A890" s="4">
        <v>889</v>
      </c>
      <c r="B890" s="4">
        <v>830</v>
      </c>
      <c r="C890" s="13" t="s">
        <v>1667</v>
      </c>
      <c r="D890" s="13" t="s">
        <v>1177</v>
      </c>
      <c r="E890" s="5" t="s">
        <v>5566</v>
      </c>
      <c r="F890" s="5" t="s">
        <v>4337</v>
      </c>
      <c r="G890" s="5" t="s">
        <v>4338</v>
      </c>
      <c r="H890" s="13" t="s">
        <v>2878</v>
      </c>
      <c r="I890" s="13" t="s">
        <v>2397</v>
      </c>
      <c r="J890" s="4">
        <v>76522</v>
      </c>
      <c r="K890" s="4">
        <v>1</v>
      </c>
      <c r="L890" s="4">
        <v>12</v>
      </c>
      <c r="M890" s="4">
        <v>2016</v>
      </c>
      <c r="N890" s="4">
        <v>3</v>
      </c>
      <c r="O890" s="4">
        <v>8</v>
      </c>
      <c r="P890" s="4">
        <v>2</v>
      </c>
      <c r="Q890" s="19">
        <v>549.99</v>
      </c>
      <c r="R890" s="16">
        <v>0.1</v>
      </c>
      <c r="S890" s="16">
        <v>1099.8800000000001</v>
      </c>
      <c r="T890" s="5" t="s">
        <v>17</v>
      </c>
      <c r="U890" s="13" t="s">
        <v>301</v>
      </c>
    </row>
    <row r="891" spans="1:21" x14ac:dyDescent="0.35">
      <c r="A891" s="4">
        <v>890</v>
      </c>
      <c r="B891" s="4">
        <v>171</v>
      </c>
      <c r="C891" s="13" t="s">
        <v>1668</v>
      </c>
      <c r="D891" s="13" t="s">
        <v>421</v>
      </c>
      <c r="E891" s="5" t="s">
        <v>5566</v>
      </c>
      <c r="F891" s="5" t="s">
        <v>4339</v>
      </c>
      <c r="G891" s="5" t="s">
        <v>4340</v>
      </c>
      <c r="H891" s="13" t="s">
        <v>3212</v>
      </c>
      <c r="I891" s="13" t="s">
        <v>2309</v>
      </c>
      <c r="J891" s="4">
        <v>11553</v>
      </c>
      <c r="K891" s="4">
        <v>1</v>
      </c>
      <c r="L891" s="4">
        <v>16</v>
      </c>
      <c r="M891" s="4">
        <v>2016</v>
      </c>
      <c r="N891" s="4">
        <v>2</v>
      </c>
      <c r="O891" s="4">
        <v>6</v>
      </c>
      <c r="P891" s="4">
        <v>2</v>
      </c>
      <c r="Q891" s="19">
        <v>599.99</v>
      </c>
      <c r="R891" s="16">
        <v>0.1</v>
      </c>
      <c r="S891" s="16">
        <v>1199.8800000000001</v>
      </c>
      <c r="T891" s="5" t="s">
        <v>21</v>
      </c>
      <c r="U891" s="13" t="s">
        <v>301</v>
      </c>
    </row>
    <row r="892" spans="1:21" x14ac:dyDescent="0.35">
      <c r="A892" s="4">
        <v>891</v>
      </c>
      <c r="B892" s="4">
        <v>384</v>
      </c>
      <c r="C892" s="13" t="s">
        <v>1669</v>
      </c>
      <c r="D892" s="13" t="s">
        <v>930</v>
      </c>
      <c r="E892" s="5" t="s">
        <v>5566</v>
      </c>
      <c r="F892" s="5" t="s">
        <v>4341</v>
      </c>
      <c r="G892" s="5" t="s">
        <v>4342</v>
      </c>
      <c r="H892" s="13" t="s">
        <v>4139</v>
      </c>
      <c r="I892" s="13" t="s">
        <v>2309</v>
      </c>
      <c r="J892" s="4">
        <v>11354</v>
      </c>
      <c r="K892" s="4">
        <v>1</v>
      </c>
      <c r="L892" s="4">
        <v>107</v>
      </c>
      <c r="M892" s="4">
        <v>2017</v>
      </c>
      <c r="N892" s="4">
        <v>2</v>
      </c>
      <c r="O892" s="4">
        <v>6</v>
      </c>
      <c r="P892" s="4">
        <v>2</v>
      </c>
      <c r="Q892" s="19">
        <v>416.99</v>
      </c>
      <c r="R892" s="16">
        <v>0.1</v>
      </c>
      <c r="S892" s="16">
        <v>833.88</v>
      </c>
      <c r="T892" s="5" t="s">
        <v>70</v>
      </c>
      <c r="U892" s="13" t="s">
        <v>300</v>
      </c>
    </row>
    <row r="893" spans="1:21" x14ac:dyDescent="0.35">
      <c r="A893" s="4">
        <v>892</v>
      </c>
      <c r="B893" s="4">
        <v>651</v>
      </c>
      <c r="C893" s="13" t="s">
        <v>1670</v>
      </c>
      <c r="D893" s="13" t="s">
        <v>1378</v>
      </c>
      <c r="E893" s="5" t="s">
        <v>5566</v>
      </c>
      <c r="F893" s="5" t="s">
        <v>4343</v>
      </c>
      <c r="G893" s="5" t="s">
        <v>4344</v>
      </c>
      <c r="H893" s="13" t="s">
        <v>2381</v>
      </c>
      <c r="I893" s="13" t="s">
        <v>2309</v>
      </c>
      <c r="J893" s="4">
        <v>12590</v>
      </c>
      <c r="K893" s="4">
        <v>1</v>
      </c>
      <c r="L893" s="4">
        <v>36</v>
      </c>
      <c r="M893" s="4">
        <v>2017</v>
      </c>
      <c r="N893" s="4">
        <v>2</v>
      </c>
      <c r="O893" s="4">
        <v>7</v>
      </c>
      <c r="P893" s="4">
        <v>1</v>
      </c>
      <c r="Q893" s="19">
        <v>832.99</v>
      </c>
      <c r="R893" s="16">
        <v>0.1</v>
      </c>
      <c r="S893" s="16">
        <v>832.89</v>
      </c>
      <c r="T893" s="5" t="s">
        <v>37</v>
      </c>
      <c r="U893" s="13" t="s">
        <v>304</v>
      </c>
    </row>
    <row r="894" spans="1:21" x14ac:dyDescent="0.35">
      <c r="A894" s="4">
        <v>893</v>
      </c>
      <c r="B894" s="4">
        <v>1293</v>
      </c>
      <c r="C894" s="13" t="s">
        <v>1671</v>
      </c>
      <c r="D894" s="13" t="s">
        <v>491</v>
      </c>
      <c r="E894" s="5" t="s">
        <v>5566</v>
      </c>
      <c r="F894" s="5" t="s">
        <v>4345</v>
      </c>
      <c r="G894" s="5" t="s">
        <v>4346</v>
      </c>
      <c r="H894" s="13" t="s">
        <v>2376</v>
      </c>
      <c r="I894" s="13" t="s">
        <v>2309</v>
      </c>
      <c r="J894" s="4">
        <v>11001</v>
      </c>
      <c r="K894" s="4">
        <v>1</v>
      </c>
      <c r="L894" s="4">
        <v>67</v>
      </c>
      <c r="M894" s="4">
        <v>2017</v>
      </c>
      <c r="N894" s="4">
        <v>2</v>
      </c>
      <c r="O894" s="4">
        <v>7</v>
      </c>
      <c r="P894" s="4">
        <v>2</v>
      </c>
      <c r="Q894" s="19">
        <v>250.99</v>
      </c>
      <c r="R894" s="16">
        <v>0.05</v>
      </c>
      <c r="S894" s="16">
        <v>501.93</v>
      </c>
      <c r="T894" s="5" t="s">
        <v>68</v>
      </c>
      <c r="U894" s="13" t="s">
        <v>301</v>
      </c>
    </row>
    <row r="895" spans="1:21" x14ac:dyDescent="0.35">
      <c r="A895" s="4">
        <v>894</v>
      </c>
      <c r="B895" s="4">
        <v>1320</v>
      </c>
      <c r="C895" s="13" t="s">
        <v>1672</v>
      </c>
      <c r="D895" s="13" t="s">
        <v>783</v>
      </c>
      <c r="E895" s="5" t="s">
        <v>5566</v>
      </c>
      <c r="F895" s="5" t="s">
        <v>4347</v>
      </c>
      <c r="G895" s="5" t="s">
        <v>4348</v>
      </c>
      <c r="H895" s="13" t="s">
        <v>3122</v>
      </c>
      <c r="I895" s="13" t="s">
        <v>2309</v>
      </c>
      <c r="J895" s="4">
        <v>12550</v>
      </c>
      <c r="K895" s="4">
        <v>1</v>
      </c>
      <c r="L895" s="4">
        <v>101</v>
      </c>
      <c r="M895" s="4">
        <v>2017</v>
      </c>
      <c r="N895" s="4">
        <v>2</v>
      </c>
      <c r="O895" s="4">
        <v>6</v>
      </c>
      <c r="P895" s="4">
        <v>2</v>
      </c>
      <c r="Q895" s="19">
        <v>339.99</v>
      </c>
      <c r="R895" s="16">
        <v>0.2</v>
      </c>
      <c r="S895" s="16">
        <v>679.78</v>
      </c>
      <c r="T895" s="5" t="s">
        <v>101</v>
      </c>
      <c r="U895" s="13" t="s">
        <v>299</v>
      </c>
    </row>
    <row r="896" spans="1:21" x14ac:dyDescent="0.35">
      <c r="A896" s="4">
        <v>895</v>
      </c>
      <c r="B896" s="4">
        <v>857</v>
      </c>
      <c r="C896" s="13" t="s">
        <v>1673</v>
      </c>
      <c r="D896" s="13" t="s">
        <v>1427</v>
      </c>
      <c r="E896" s="5" t="s">
        <v>5566</v>
      </c>
      <c r="F896" s="5" t="s">
        <v>4349</v>
      </c>
      <c r="G896" s="5" t="s">
        <v>4350</v>
      </c>
      <c r="H896" s="13" t="s">
        <v>2507</v>
      </c>
      <c r="I896" s="13" t="s">
        <v>2309</v>
      </c>
      <c r="J896" s="4">
        <v>12553</v>
      </c>
      <c r="K896" s="4">
        <v>1</v>
      </c>
      <c r="L896" s="4">
        <v>106</v>
      </c>
      <c r="M896" s="4">
        <v>2017</v>
      </c>
      <c r="N896" s="4">
        <v>2</v>
      </c>
      <c r="O896" s="4">
        <v>6</v>
      </c>
      <c r="P896" s="4">
        <v>1</v>
      </c>
      <c r="Q896" s="19">
        <v>449.99</v>
      </c>
      <c r="R896" s="16">
        <v>7.0000000000000007E-2</v>
      </c>
      <c r="S896" s="16">
        <v>449.92</v>
      </c>
      <c r="T896" s="5" t="s">
        <v>69</v>
      </c>
      <c r="U896" s="13" t="s">
        <v>300</v>
      </c>
    </row>
    <row r="897" spans="1:21" x14ac:dyDescent="0.35">
      <c r="A897" s="4">
        <v>896</v>
      </c>
      <c r="B897" s="4">
        <v>376</v>
      </c>
      <c r="C897" s="13" t="s">
        <v>1674</v>
      </c>
      <c r="D897" s="13" t="s">
        <v>1675</v>
      </c>
      <c r="E897" s="5" t="s">
        <v>5566</v>
      </c>
      <c r="F897" s="5" t="s">
        <v>4351</v>
      </c>
      <c r="G897" s="5" t="s">
        <v>4352</v>
      </c>
      <c r="H897" s="13" t="s">
        <v>2608</v>
      </c>
      <c r="I897" s="13" t="s">
        <v>2397</v>
      </c>
      <c r="J897" s="4">
        <v>77904</v>
      </c>
      <c r="K897" s="4">
        <v>1</v>
      </c>
      <c r="L897" s="4">
        <v>91</v>
      </c>
      <c r="M897" s="4">
        <v>2017</v>
      </c>
      <c r="N897" s="4">
        <v>3</v>
      </c>
      <c r="O897" s="4">
        <v>9</v>
      </c>
      <c r="P897" s="4">
        <v>2</v>
      </c>
      <c r="Q897" s="19">
        <v>349.99</v>
      </c>
      <c r="R897" s="16">
        <v>0.05</v>
      </c>
      <c r="S897" s="16">
        <v>699.93000000000006</v>
      </c>
      <c r="T897" s="5" t="s">
        <v>92</v>
      </c>
      <c r="U897" s="13" t="s">
        <v>299</v>
      </c>
    </row>
    <row r="898" spans="1:21" x14ac:dyDescent="0.35">
      <c r="A898" s="4">
        <v>897</v>
      </c>
      <c r="B898" s="4">
        <v>47</v>
      </c>
      <c r="C898" s="13" t="s">
        <v>1676</v>
      </c>
      <c r="D898" s="13" t="s">
        <v>602</v>
      </c>
      <c r="E898" s="5" t="s">
        <v>5566</v>
      </c>
      <c r="F898" s="5" t="s">
        <v>4353</v>
      </c>
      <c r="G898" s="5" t="s">
        <v>4354</v>
      </c>
      <c r="H898" s="13" t="s">
        <v>3004</v>
      </c>
      <c r="I898" s="13" t="s">
        <v>2305</v>
      </c>
      <c r="J898" s="4">
        <v>94580</v>
      </c>
      <c r="K898" s="4">
        <v>1</v>
      </c>
      <c r="L898" s="4">
        <v>105</v>
      </c>
      <c r="M898" s="4">
        <v>2017</v>
      </c>
      <c r="N898" s="4">
        <v>1</v>
      </c>
      <c r="O898" s="4">
        <v>2</v>
      </c>
      <c r="P898" s="4">
        <v>1</v>
      </c>
      <c r="Q898" s="19">
        <v>533.99</v>
      </c>
      <c r="R898" s="16">
        <v>0.05</v>
      </c>
      <c r="S898" s="16">
        <v>533.94000000000005</v>
      </c>
      <c r="T898" s="5" t="s">
        <v>104</v>
      </c>
      <c r="U898" s="13" t="s">
        <v>300</v>
      </c>
    </row>
    <row r="899" spans="1:21" x14ac:dyDescent="0.35">
      <c r="A899" s="4">
        <v>898</v>
      </c>
      <c r="B899" s="4">
        <v>352</v>
      </c>
      <c r="C899" s="13" t="s">
        <v>1677</v>
      </c>
      <c r="D899" s="13" t="s">
        <v>412</v>
      </c>
      <c r="E899" s="5" t="s">
        <v>5566</v>
      </c>
      <c r="F899" s="5" t="s">
        <v>4355</v>
      </c>
      <c r="G899" s="5" t="s">
        <v>4356</v>
      </c>
      <c r="H899" s="13" t="s">
        <v>2752</v>
      </c>
      <c r="I899" s="13" t="s">
        <v>2309</v>
      </c>
      <c r="J899" s="4">
        <v>11432</v>
      </c>
      <c r="K899" s="4">
        <v>1</v>
      </c>
      <c r="L899" s="4">
        <v>45</v>
      </c>
      <c r="M899" s="4">
        <v>2017</v>
      </c>
      <c r="N899" s="4">
        <v>2</v>
      </c>
      <c r="O899" s="4">
        <v>6</v>
      </c>
      <c r="P899" s="4">
        <v>2</v>
      </c>
      <c r="Q899" s="19">
        <v>869.99</v>
      </c>
      <c r="R899" s="16">
        <v>0.2</v>
      </c>
      <c r="S899" s="16">
        <v>1739.78</v>
      </c>
      <c r="T899" s="5" t="s">
        <v>46</v>
      </c>
      <c r="U899" s="13" t="s">
        <v>304</v>
      </c>
    </row>
    <row r="900" spans="1:21" x14ac:dyDescent="0.35">
      <c r="A900" s="4">
        <v>899</v>
      </c>
      <c r="B900" s="4">
        <v>605</v>
      </c>
      <c r="C900" s="13" t="s">
        <v>1678</v>
      </c>
      <c r="D900" s="13" t="s">
        <v>377</v>
      </c>
      <c r="E900" s="5" t="s">
        <v>5566</v>
      </c>
      <c r="F900" s="5" t="s">
        <v>4357</v>
      </c>
      <c r="G900" s="5" t="s">
        <v>4358</v>
      </c>
      <c r="H900" s="13" t="s">
        <v>3267</v>
      </c>
      <c r="I900" s="13" t="s">
        <v>2309</v>
      </c>
      <c r="J900" s="4">
        <v>10801</v>
      </c>
      <c r="K900" s="4">
        <v>1</v>
      </c>
      <c r="L900" s="4">
        <v>59</v>
      </c>
      <c r="M900" s="4">
        <v>2017</v>
      </c>
      <c r="N900" s="4">
        <v>2</v>
      </c>
      <c r="O900" s="4">
        <v>7</v>
      </c>
      <c r="P900" s="4">
        <v>2</v>
      </c>
      <c r="Q900" s="19">
        <v>2599.9899999999998</v>
      </c>
      <c r="R900" s="16">
        <v>0.1</v>
      </c>
      <c r="S900" s="16">
        <v>5199.8799999999992</v>
      </c>
      <c r="T900" s="5" t="s">
        <v>60</v>
      </c>
      <c r="U900" s="13" t="s">
        <v>305</v>
      </c>
    </row>
    <row r="901" spans="1:21" x14ac:dyDescent="0.35">
      <c r="A901" s="4">
        <v>900</v>
      </c>
      <c r="B901" s="4">
        <v>971</v>
      </c>
      <c r="C901" s="13" t="s">
        <v>1679</v>
      </c>
      <c r="D901" s="13" t="s">
        <v>1010</v>
      </c>
      <c r="E901" s="5" t="s">
        <v>4359</v>
      </c>
      <c r="F901" s="5" t="s">
        <v>4360</v>
      </c>
      <c r="G901" s="5" t="s">
        <v>4361</v>
      </c>
      <c r="H901" s="13" t="s">
        <v>2698</v>
      </c>
      <c r="I901" s="13" t="s">
        <v>2309</v>
      </c>
      <c r="J901" s="4">
        <v>11717</v>
      </c>
      <c r="K901" s="4">
        <v>1</v>
      </c>
      <c r="L901" s="4">
        <v>26</v>
      </c>
      <c r="M901" s="4">
        <v>2016</v>
      </c>
      <c r="N901" s="4">
        <v>2</v>
      </c>
      <c r="O901" s="4">
        <v>6</v>
      </c>
      <c r="P901" s="4">
        <v>2</v>
      </c>
      <c r="Q901" s="19">
        <v>599.99</v>
      </c>
      <c r="R901" s="16">
        <v>0.05</v>
      </c>
      <c r="S901" s="16">
        <v>1199.93</v>
      </c>
      <c r="T901" s="5" t="s">
        <v>21</v>
      </c>
      <c r="U901" s="13" t="s">
        <v>300</v>
      </c>
    </row>
    <row r="902" spans="1:21" x14ac:dyDescent="0.35">
      <c r="A902" s="4">
        <v>901</v>
      </c>
      <c r="B902" s="4">
        <v>345</v>
      </c>
      <c r="C902" s="13" t="s">
        <v>1680</v>
      </c>
      <c r="D902" s="13" t="s">
        <v>1681</v>
      </c>
      <c r="E902" s="5" t="s">
        <v>4362</v>
      </c>
      <c r="F902" s="5" t="s">
        <v>4363</v>
      </c>
      <c r="G902" s="5" t="s">
        <v>4364</v>
      </c>
      <c r="H902" s="13" t="s">
        <v>4365</v>
      </c>
      <c r="I902" s="13" t="s">
        <v>2309</v>
      </c>
      <c r="J902" s="4">
        <v>12203</v>
      </c>
      <c r="K902" s="4">
        <v>1</v>
      </c>
      <c r="L902" s="4">
        <v>50</v>
      </c>
      <c r="M902" s="4">
        <v>2017</v>
      </c>
      <c r="N902" s="4">
        <v>2</v>
      </c>
      <c r="O902" s="4">
        <v>7</v>
      </c>
      <c r="P902" s="4">
        <v>1</v>
      </c>
      <c r="Q902" s="19">
        <v>5999.99</v>
      </c>
      <c r="R902" s="16">
        <v>0.2</v>
      </c>
      <c r="S902" s="16">
        <v>5999.79</v>
      </c>
      <c r="T902" s="5" t="s">
        <v>51</v>
      </c>
      <c r="U902" s="13" t="s">
        <v>305</v>
      </c>
    </row>
    <row r="903" spans="1:21" x14ac:dyDescent="0.35">
      <c r="A903" s="4">
        <v>902</v>
      </c>
      <c r="B903" s="4">
        <v>1278</v>
      </c>
      <c r="C903" s="13" t="s">
        <v>1682</v>
      </c>
      <c r="D903" s="13" t="s">
        <v>573</v>
      </c>
      <c r="E903" s="5" t="s">
        <v>5566</v>
      </c>
      <c r="F903" s="5" t="s">
        <v>4366</v>
      </c>
      <c r="G903" s="5" t="s">
        <v>4367</v>
      </c>
      <c r="H903" s="13" t="s">
        <v>2763</v>
      </c>
      <c r="I903" s="13" t="s">
        <v>2309</v>
      </c>
      <c r="J903" s="4">
        <v>11372</v>
      </c>
      <c r="K903" s="4">
        <v>1</v>
      </c>
      <c r="L903" s="4">
        <v>38</v>
      </c>
      <c r="M903" s="4">
        <v>2017</v>
      </c>
      <c r="N903" s="4">
        <v>2</v>
      </c>
      <c r="O903" s="4">
        <v>6</v>
      </c>
      <c r="P903" s="4">
        <v>2</v>
      </c>
      <c r="Q903" s="19">
        <v>549.99</v>
      </c>
      <c r="R903" s="16">
        <v>7.0000000000000007E-2</v>
      </c>
      <c r="S903" s="16">
        <v>1099.9100000000001</v>
      </c>
      <c r="T903" s="5" t="s">
        <v>39</v>
      </c>
      <c r="U903" s="13" t="s">
        <v>304</v>
      </c>
    </row>
    <row r="904" spans="1:21" x14ac:dyDescent="0.35">
      <c r="A904" s="4">
        <v>903</v>
      </c>
      <c r="B904" s="4">
        <v>179</v>
      </c>
      <c r="C904" s="13" t="s">
        <v>1683</v>
      </c>
      <c r="D904" s="13" t="s">
        <v>1684</v>
      </c>
      <c r="E904" s="5" t="s">
        <v>5566</v>
      </c>
      <c r="F904" s="5" t="s">
        <v>4368</v>
      </c>
      <c r="G904" s="5" t="s">
        <v>4369</v>
      </c>
      <c r="H904" s="13" t="s">
        <v>2583</v>
      </c>
      <c r="I904" s="13" t="s">
        <v>2309</v>
      </c>
      <c r="J904" s="4">
        <v>14534</v>
      </c>
      <c r="K904" s="4">
        <v>1</v>
      </c>
      <c r="L904" s="4">
        <v>31</v>
      </c>
      <c r="M904" s="4">
        <v>2017</v>
      </c>
      <c r="N904" s="4">
        <v>2</v>
      </c>
      <c r="O904" s="4">
        <v>7</v>
      </c>
      <c r="P904" s="4">
        <v>2</v>
      </c>
      <c r="Q904" s="19">
        <v>1632.99</v>
      </c>
      <c r="R904" s="16">
        <v>7.0000000000000007E-2</v>
      </c>
      <c r="S904" s="16">
        <v>3265.91</v>
      </c>
      <c r="T904" s="5" t="s">
        <v>32</v>
      </c>
      <c r="U904" s="13" t="s">
        <v>304</v>
      </c>
    </row>
    <row r="905" spans="1:21" x14ac:dyDescent="0.35">
      <c r="A905" s="4">
        <v>904</v>
      </c>
      <c r="B905" s="4">
        <v>1020</v>
      </c>
      <c r="C905" s="13" t="s">
        <v>1685</v>
      </c>
      <c r="D905" s="13" t="s">
        <v>518</v>
      </c>
      <c r="E905" s="5" t="s">
        <v>5566</v>
      </c>
      <c r="F905" s="5" t="s">
        <v>4370</v>
      </c>
      <c r="G905" s="5" t="s">
        <v>4371</v>
      </c>
      <c r="H905" s="13" t="s">
        <v>2330</v>
      </c>
      <c r="I905" s="13" t="s">
        <v>2305</v>
      </c>
      <c r="J905" s="4">
        <v>94070</v>
      </c>
      <c r="K905" s="4">
        <v>1</v>
      </c>
      <c r="L905" s="4">
        <v>36</v>
      </c>
      <c r="M905" s="4">
        <v>2017</v>
      </c>
      <c r="N905" s="4">
        <v>1</v>
      </c>
      <c r="O905" s="4">
        <v>2</v>
      </c>
      <c r="P905" s="4">
        <v>2</v>
      </c>
      <c r="Q905" s="19">
        <v>832.99</v>
      </c>
      <c r="R905" s="16">
        <v>0.1</v>
      </c>
      <c r="S905" s="16">
        <v>1665.88</v>
      </c>
      <c r="T905" s="5" t="s">
        <v>37</v>
      </c>
      <c r="U905" s="13" t="s">
        <v>304</v>
      </c>
    </row>
    <row r="906" spans="1:21" x14ac:dyDescent="0.35">
      <c r="A906" s="4">
        <v>905</v>
      </c>
      <c r="B906" s="4">
        <v>609</v>
      </c>
      <c r="C906" s="13" t="s">
        <v>1686</v>
      </c>
      <c r="D906" s="13" t="s">
        <v>796</v>
      </c>
      <c r="E906" s="5" t="s">
        <v>5566</v>
      </c>
      <c r="F906" s="5" t="s">
        <v>4372</v>
      </c>
      <c r="G906" s="5" t="s">
        <v>4373</v>
      </c>
      <c r="H906" s="13" t="s">
        <v>2865</v>
      </c>
      <c r="I906" s="13" t="s">
        <v>2309</v>
      </c>
      <c r="J906" s="4">
        <v>11421</v>
      </c>
      <c r="K906" s="4">
        <v>1</v>
      </c>
      <c r="L906" s="4">
        <v>67</v>
      </c>
      <c r="M906" s="4">
        <v>2017</v>
      </c>
      <c r="N906" s="4">
        <v>2</v>
      </c>
      <c r="O906" s="4">
        <v>6</v>
      </c>
      <c r="P906" s="4">
        <v>1</v>
      </c>
      <c r="Q906" s="19">
        <v>250.99</v>
      </c>
      <c r="R906" s="16">
        <v>0.1</v>
      </c>
      <c r="S906" s="16">
        <v>250.89000000000001</v>
      </c>
      <c r="T906" s="5" t="s">
        <v>68</v>
      </c>
      <c r="U906" s="13" t="s">
        <v>301</v>
      </c>
    </row>
    <row r="907" spans="1:21" x14ac:dyDescent="0.35">
      <c r="A907" s="4">
        <v>906</v>
      </c>
      <c r="B907" s="4">
        <v>877</v>
      </c>
      <c r="C907" s="13" t="s">
        <v>1687</v>
      </c>
      <c r="D907" s="13" t="s">
        <v>713</v>
      </c>
      <c r="E907" s="5" t="s">
        <v>5566</v>
      </c>
      <c r="F907" s="5" t="s">
        <v>4374</v>
      </c>
      <c r="G907" s="5" t="s">
        <v>4375</v>
      </c>
      <c r="H907" s="13" t="s">
        <v>2690</v>
      </c>
      <c r="I907" s="13" t="s">
        <v>2309</v>
      </c>
      <c r="J907" s="4">
        <v>11414</v>
      </c>
      <c r="K907" s="4">
        <v>1</v>
      </c>
      <c r="L907" s="4">
        <v>23</v>
      </c>
      <c r="M907" s="4">
        <v>2016</v>
      </c>
      <c r="N907" s="4">
        <v>2</v>
      </c>
      <c r="O907" s="4">
        <v>7</v>
      </c>
      <c r="P907" s="4">
        <v>2</v>
      </c>
      <c r="Q907" s="19">
        <v>299.99</v>
      </c>
      <c r="R907" s="16">
        <v>0.2</v>
      </c>
      <c r="S907" s="16">
        <v>599.78</v>
      </c>
      <c r="T907" s="5" t="s">
        <v>26</v>
      </c>
      <c r="U907" s="13" t="s">
        <v>299</v>
      </c>
    </row>
    <row r="908" spans="1:21" x14ac:dyDescent="0.35">
      <c r="A908" s="4">
        <v>907</v>
      </c>
      <c r="B908" s="4">
        <v>120</v>
      </c>
      <c r="C908" s="13" t="s">
        <v>1688</v>
      </c>
      <c r="D908" s="13" t="s">
        <v>1689</v>
      </c>
      <c r="E908" s="5" t="s">
        <v>4376</v>
      </c>
      <c r="F908" s="5" t="s">
        <v>4377</v>
      </c>
      <c r="G908" s="5" t="s">
        <v>4378</v>
      </c>
      <c r="H908" s="13" t="s">
        <v>3175</v>
      </c>
      <c r="I908" s="13" t="s">
        <v>2305</v>
      </c>
      <c r="J908" s="4">
        <v>93706</v>
      </c>
      <c r="K908" s="4">
        <v>1</v>
      </c>
      <c r="L908" s="4">
        <v>84</v>
      </c>
      <c r="M908" s="4">
        <v>2017</v>
      </c>
      <c r="N908" s="4">
        <v>1</v>
      </c>
      <c r="O908" s="4">
        <v>2</v>
      </c>
      <c r="P908" s="4">
        <v>2</v>
      </c>
      <c r="Q908" s="19">
        <v>109.99</v>
      </c>
      <c r="R908" s="16">
        <v>7.0000000000000007E-2</v>
      </c>
      <c r="S908" s="16">
        <v>219.91</v>
      </c>
      <c r="T908" s="5" t="s">
        <v>85</v>
      </c>
      <c r="U908" s="13" t="s">
        <v>299</v>
      </c>
    </row>
    <row r="909" spans="1:21" x14ac:dyDescent="0.35">
      <c r="A909" s="4">
        <v>908</v>
      </c>
      <c r="B909" s="4">
        <v>402</v>
      </c>
      <c r="C909" s="13" t="s">
        <v>1603</v>
      </c>
      <c r="D909" s="13" t="s">
        <v>1078</v>
      </c>
      <c r="E909" s="5" t="s">
        <v>5566</v>
      </c>
      <c r="F909" s="5" t="s">
        <v>4379</v>
      </c>
      <c r="G909" s="5" t="s">
        <v>4380</v>
      </c>
      <c r="H909" s="13" t="s">
        <v>2583</v>
      </c>
      <c r="I909" s="13" t="s">
        <v>2309</v>
      </c>
      <c r="J909" s="4">
        <v>14534</v>
      </c>
      <c r="K909" s="4">
        <v>1</v>
      </c>
      <c r="L909" s="4">
        <v>41</v>
      </c>
      <c r="M909" s="4">
        <v>2017</v>
      </c>
      <c r="N909" s="4">
        <v>2</v>
      </c>
      <c r="O909" s="4">
        <v>7</v>
      </c>
      <c r="P909" s="4">
        <v>1</v>
      </c>
      <c r="Q909" s="19">
        <v>1469.99</v>
      </c>
      <c r="R909" s="16">
        <v>0.2</v>
      </c>
      <c r="S909" s="16">
        <v>1469.79</v>
      </c>
      <c r="T909" s="5" t="s">
        <v>42</v>
      </c>
      <c r="U909" s="13" t="s">
        <v>304</v>
      </c>
    </row>
    <row r="910" spans="1:21" x14ac:dyDescent="0.35">
      <c r="A910" s="4">
        <v>909</v>
      </c>
      <c r="B910" s="4">
        <v>188</v>
      </c>
      <c r="C910" s="13" t="s">
        <v>1690</v>
      </c>
      <c r="D910" s="13" t="s">
        <v>1691</v>
      </c>
      <c r="E910" s="5" t="s">
        <v>4381</v>
      </c>
      <c r="F910" s="5" t="s">
        <v>4382</v>
      </c>
      <c r="G910" s="5" t="s">
        <v>4383</v>
      </c>
      <c r="H910" s="13" t="s">
        <v>2704</v>
      </c>
      <c r="I910" s="13" t="s">
        <v>2305</v>
      </c>
      <c r="J910" s="4">
        <v>93035</v>
      </c>
      <c r="K910" s="4">
        <v>1</v>
      </c>
      <c r="L910" s="4">
        <v>5</v>
      </c>
      <c r="M910" s="4">
        <v>2016</v>
      </c>
      <c r="N910" s="4">
        <v>1</v>
      </c>
      <c r="O910" s="4">
        <v>2</v>
      </c>
      <c r="P910" s="4">
        <v>1</v>
      </c>
      <c r="Q910" s="19">
        <v>1320.99</v>
      </c>
      <c r="R910" s="16">
        <v>0.2</v>
      </c>
      <c r="S910" s="16">
        <v>1320.79</v>
      </c>
      <c r="T910" s="5" t="s">
        <v>10</v>
      </c>
      <c r="U910" s="13" t="s">
        <v>304</v>
      </c>
    </row>
    <row r="911" spans="1:21" x14ac:dyDescent="0.35">
      <c r="A911" s="4">
        <v>910</v>
      </c>
      <c r="B911" s="4">
        <v>342</v>
      </c>
      <c r="C911" s="13" t="s">
        <v>1692</v>
      </c>
      <c r="D911" s="13" t="s">
        <v>1693</v>
      </c>
      <c r="E911" s="5" t="s">
        <v>5566</v>
      </c>
      <c r="F911" s="5" t="s">
        <v>4384</v>
      </c>
      <c r="G911" s="5" t="s">
        <v>4385</v>
      </c>
      <c r="H911" s="13" t="s">
        <v>2393</v>
      </c>
      <c r="I911" s="13" t="s">
        <v>2309</v>
      </c>
      <c r="J911" s="4">
        <v>11566</v>
      </c>
      <c r="K911" s="4">
        <v>1</v>
      </c>
      <c r="L911" s="4">
        <v>23</v>
      </c>
      <c r="M911" s="4">
        <v>2016</v>
      </c>
      <c r="N911" s="4">
        <v>2</v>
      </c>
      <c r="O911" s="4">
        <v>7</v>
      </c>
      <c r="P911" s="4">
        <v>1</v>
      </c>
      <c r="Q911" s="19">
        <v>299.99</v>
      </c>
      <c r="R911" s="16">
        <v>0.1</v>
      </c>
      <c r="S911" s="16">
        <v>299.89</v>
      </c>
      <c r="T911" s="5" t="s">
        <v>26</v>
      </c>
      <c r="U911" s="13" t="s">
        <v>299</v>
      </c>
    </row>
    <row r="912" spans="1:21" x14ac:dyDescent="0.35">
      <c r="A912" s="4">
        <v>911</v>
      </c>
      <c r="B912" s="4">
        <v>887</v>
      </c>
      <c r="C912" s="13" t="s">
        <v>657</v>
      </c>
      <c r="D912" s="13" t="s">
        <v>1694</v>
      </c>
      <c r="E912" s="5" t="s">
        <v>5566</v>
      </c>
      <c r="F912" s="5" t="s">
        <v>4386</v>
      </c>
      <c r="G912" s="5" t="s">
        <v>4387</v>
      </c>
      <c r="H912" s="13" t="s">
        <v>3057</v>
      </c>
      <c r="I912" s="13" t="s">
        <v>2309</v>
      </c>
      <c r="J912" s="4">
        <v>11791</v>
      </c>
      <c r="K912" s="4">
        <v>1</v>
      </c>
      <c r="L912" s="4">
        <v>66</v>
      </c>
      <c r="M912" s="4">
        <v>2017</v>
      </c>
      <c r="N912" s="4">
        <v>2</v>
      </c>
      <c r="O912" s="4">
        <v>6</v>
      </c>
      <c r="P912" s="4">
        <v>2</v>
      </c>
      <c r="Q912" s="19">
        <v>250.99</v>
      </c>
      <c r="R912" s="16">
        <v>0.05</v>
      </c>
      <c r="S912" s="16">
        <v>501.93</v>
      </c>
      <c r="T912" s="5" t="s">
        <v>67</v>
      </c>
      <c r="U912" s="13" t="s">
        <v>301</v>
      </c>
    </row>
    <row r="913" spans="1:21" x14ac:dyDescent="0.35">
      <c r="A913" s="4">
        <v>912</v>
      </c>
      <c r="B913" s="4">
        <v>519</v>
      </c>
      <c r="C913" s="13" t="s">
        <v>1623</v>
      </c>
      <c r="D913" s="13" t="s">
        <v>369</v>
      </c>
      <c r="E913" s="5" t="s">
        <v>5566</v>
      </c>
      <c r="F913" s="5" t="s">
        <v>4388</v>
      </c>
      <c r="G913" s="5" t="s">
        <v>4389</v>
      </c>
      <c r="H913" s="13" t="s">
        <v>2790</v>
      </c>
      <c r="I913" s="13" t="s">
        <v>2305</v>
      </c>
      <c r="J913" s="4">
        <v>90274</v>
      </c>
      <c r="K913" s="4">
        <v>1</v>
      </c>
      <c r="L913" s="4">
        <v>22</v>
      </c>
      <c r="M913" s="4">
        <v>2016</v>
      </c>
      <c r="N913" s="4">
        <v>1</v>
      </c>
      <c r="O913" s="4">
        <v>2</v>
      </c>
      <c r="P913" s="4">
        <v>2</v>
      </c>
      <c r="Q913" s="19">
        <v>269.99</v>
      </c>
      <c r="R913" s="16">
        <v>0.2</v>
      </c>
      <c r="S913" s="16">
        <v>539.78</v>
      </c>
      <c r="T913" s="5" t="s">
        <v>19</v>
      </c>
      <c r="U913" s="13" t="s">
        <v>299</v>
      </c>
    </row>
    <row r="914" spans="1:21" x14ac:dyDescent="0.35">
      <c r="A914" s="4">
        <v>913</v>
      </c>
      <c r="B914" s="4">
        <v>699</v>
      </c>
      <c r="C914" s="13" t="s">
        <v>1695</v>
      </c>
      <c r="D914" s="13" t="s">
        <v>1696</v>
      </c>
      <c r="E914" s="5" t="s">
        <v>5566</v>
      </c>
      <c r="F914" s="5" t="s">
        <v>4390</v>
      </c>
      <c r="G914" s="5" t="s">
        <v>4391</v>
      </c>
      <c r="H914" s="13" t="s">
        <v>2580</v>
      </c>
      <c r="I914" s="13" t="s">
        <v>2309</v>
      </c>
      <c r="J914" s="4">
        <v>11570</v>
      </c>
      <c r="K914" s="4">
        <v>1</v>
      </c>
      <c r="L914" s="4">
        <v>90</v>
      </c>
      <c r="M914" s="4">
        <v>2017</v>
      </c>
      <c r="N914" s="4">
        <v>2</v>
      </c>
      <c r="O914" s="4">
        <v>6</v>
      </c>
      <c r="P914" s="4">
        <v>2</v>
      </c>
      <c r="Q914" s="19">
        <v>209.99</v>
      </c>
      <c r="R914" s="16">
        <v>0.1</v>
      </c>
      <c r="S914" s="16">
        <v>419.88</v>
      </c>
      <c r="T914" s="5" t="s">
        <v>91</v>
      </c>
      <c r="U914" s="13" t="s">
        <v>299</v>
      </c>
    </row>
    <row r="915" spans="1:21" x14ac:dyDescent="0.35">
      <c r="A915" s="4">
        <v>914</v>
      </c>
      <c r="B915" s="4">
        <v>1068</v>
      </c>
      <c r="C915" s="13" t="s">
        <v>1697</v>
      </c>
      <c r="D915" s="13" t="s">
        <v>1698</v>
      </c>
      <c r="E915" s="5" t="s">
        <v>5566</v>
      </c>
      <c r="F915" s="5" t="s">
        <v>4392</v>
      </c>
      <c r="G915" s="5" t="s">
        <v>4393</v>
      </c>
      <c r="H915" s="13" t="s">
        <v>2315</v>
      </c>
      <c r="I915" s="13" t="s">
        <v>2305</v>
      </c>
      <c r="J915" s="4">
        <v>91010</v>
      </c>
      <c r="K915" s="4">
        <v>1</v>
      </c>
      <c r="L915" s="4">
        <v>38</v>
      </c>
      <c r="M915" s="4">
        <v>2017</v>
      </c>
      <c r="N915" s="4">
        <v>1</v>
      </c>
      <c r="O915" s="4">
        <v>2</v>
      </c>
      <c r="P915" s="4">
        <v>1</v>
      </c>
      <c r="Q915" s="19">
        <v>549.99</v>
      </c>
      <c r="R915" s="16">
        <v>7.0000000000000007E-2</v>
      </c>
      <c r="S915" s="16">
        <v>549.91999999999996</v>
      </c>
      <c r="T915" s="5" t="s">
        <v>39</v>
      </c>
      <c r="U915" s="13" t="s">
        <v>304</v>
      </c>
    </row>
    <row r="916" spans="1:21" x14ac:dyDescent="0.35">
      <c r="A916" s="4">
        <v>915</v>
      </c>
      <c r="B916" s="4">
        <v>215</v>
      </c>
      <c r="C916" s="13" t="s">
        <v>1699</v>
      </c>
      <c r="D916" s="13" t="s">
        <v>1700</v>
      </c>
      <c r="E916" s="5" t="s">
        <v>5566</v>
      </c>
      <c r="F916" s="5" t="s">
        <v>4394</v>
      </c>
      <c r="G916" s="5" t="s">
        <v>4395</v>
      </c>
      <c r="H916" s="13" t="s">
        <v>3018</v>
      </c>
      <c r="I916" s="13" t="s">
        <v>2309</v>
      </c>
      <c r="J916" s="4">
        <v>11357</v>
      </c>
      <c r="K916" s="4">
        <v>1</v>
      </c>
      <c r="L916" s="4">
        <v>64</v>
      </c>
      <c r="M916" s="4">
        <v>2017</v>
      </c>
      <c r="N916" s="4">
        <v>2</v>
      </c>
      <c r="O916" s="4">
        <v>6</v>
      </c>
      <c r="P916" s="4">
        <v>1</v>
      </c>
      <c r="Q916" s="19">
        <v>489.99</v>
      </c>
      <c r="R916" s="16">
        <v>0.05</v>
      </c>
      <c r="S916" s="16">
        <v>489.94</v>
      </c>
      <c r="T916" s="5" t="s">
        <v>65</v>
      </c>
      <c r="U916" s="13" t="s">
        <v>301</v>
      </c>
    </row>
    <row r="917" spans="1:21" x14ac:dyDescent="0.35">
      <c r="A917" s="4">
        <v>916</v>
      </c>
      <c r="B917" s="4">
        <v>718</v>
      </c>
      <c r="C917" s="13" t="s">
        <v>1701</v>
      </c>
      <c r="D917" s="13" t="s">
        <v>1702</v>
      </c>
      <c r="E917" s="5" t="s">
        <v>5566</v>
      </c>
      <c r="F917" s="5" t="s">
        <v>4396</v>
      </c>
      <c r="G917" s="5" t="s">
        <v>4397</v>
      </c>
      <c r="H917" s="13" t="s">
        <v>2402</v>
      </c>
      <c r="I917" s="13" t="s">
        <v>2309</v>
      </c>
      <c r="J917" s="4">
        <v>11784</v>
      </c>
      <c r="K917" s="4">
        <v>1</v>
      </c>
      <c r="L917" s="4">
        <v>92</v>
      </c>
      <c r="M917" s="4">
        <v>2017</v>
      </c>
      <c r="N917" s="4">
        <v>2</v>
      </c>
      <c r="O917" s="4">
        <v>6</v>
      </c>
      <c r="P917" s="4">
        <v>1</v>
      </c>
      <c r="Q917" s="19">
        <v>209.99</v>
      </c>
      <c r="R917" s="16">
        <v>0.2</v>
      </c>
      <c r="S917" s="16">
        <v>209.79000000000002</v>
      </c>
      <c r="T917" s="5" t="s">
        <v>93</v>
      </c>
      <c r="U917" s="13" t="s">
        <v>299</v>
      </c>
    </row>
    <row r="918" spans="1:21" x14ac:dyDescent="0.35">
      <c r="A918" s="4">
        <v>917</v>
      </c>
      <c r="B918" s="4">
        <v>881</v>
      </c>
      <c r="C918" s="13" t="s">
        <v>1703</v>
      </c>
      <c r="D918" s="13" t="s">
        <v>1704</v>
      </c>
      <c r="E918" s="5" t="s">
        <v>5566</v>
      </c>
      <c r="F918" s="5" t="s">
        <v>4398</v>
      </c>
      <c r="G918" s="5" t="s">
        <v>4399</v>
      </c>
      <c r="H918" s="13" t="s">
        <v>2534</v>
      </c>
      <c r="I918" s="13" t="s">
        <v>2305</v>
      </c>
      <c r="J918" s="4">
        <v>90403</v>
      </c>
      <c r="K918" s="4">
        <v>1</v>
      </c>
      <c r="L918" s="4">
        <v>41</v>
      </c>
      <c r="M918" s="4">
        <v>2017</v>
      </c>
      <c r="N918" s="4">
        <v>1</v>
      </c>
      <c r="O918" s="4">
        <v>2</v>
      </c>
      <c r="P918" s="4">
        <v>1</v>
      </c>
      <c r="Q918" s="19">
        <v>1469.99</v>
      </c>
      <c r="R918" s="16">
        <v>7.0000000000000007E-2</v>
      </c>
      <c r="S918" s="16">
        <v>1469.92</v>
      </c>
      <c r="T918" s="5" t="s">
        <v>42</v>
      </c>
      <c r="U918" s="13" t="s">
        <v>304</v>
      </c>
    </row>
    <row r="919" spans="1:21" x14ac:dyDescent="0.35">
      <c r="A919" s="4">
        <v>918</v>
      </c>
      <c r="B919" s="4">
        <v>242</v>
      </c>
      <c r="C919" s="13" t="s">
        <v>1705</v>
      </c>
      <c r="D919" s="13" t="s">
        <v>1086</v>
      </c>
      <c r="E919" s="5" t="s">
        <v>5566</v>
      </c>
      <c r="F919" s="5" t="s">
        <v>4400</v>
      </c>
      <c r="G919" s="5" t="s">
        <v>4401</v>
      </c>
      <c r="H919" s="13" t="s">
        <v>2365</v>
      </c>
      <c r="I919" s="13" t="s">
        <v>2305</v>
      </c>
      <c r="J919" s="4">
        <v>91387</v>
      </c>
      <c r="K919" s="4">
        <v>1</v>
      </c>
      <c r="L919" s="4">
        <v>91</v>
      </c>
      <c r="M919" s="4">
        <v>2017</v>
      </c>
      <c r="N919" s="4">
        <v>1</v>
      </c>
      <c r="O919" s="4">
        <v>3</v>
      </c>
      <c r="P919" s="4">
        <v>1</v>
      </c>
      <c r="Q919" s="19">
        <v>349.99</v>
      </c>
      <c r="R919" s="16">
        <v>0.2</v>
      </c>
      <c r="S919" s="16">
        <v>349.79</v>
      </c>
      <c r="T919" s="5" t="s">
        <v>92</v>
      </c>
      <c r="U919" s="13" t="s">
        <v>299</v>
      </c>
    </row>
    <row r="920" spans="1:21" x14ac:dyDescent="0.35">
      <c r="A920" s="4">
        <v>919</v>
      </c>
      <c r="B920" s="4">
        <v>781</v>
      </c>
      <c r="C920" s="13" t="s">
        <v>1706</v>
      </c>
      <c r="D920" s="13" t="s">
        <v>761</v>
      </c>
      <c r="E920" s="5" t="s">
        <v>5566</v>
      </c>
      <c r="F920" s="5" t="s">
        <v>4402</v>
      </c>
      <c r="G920" s="5" t="s">
        <v>4403</v>
      </c>
      <c r="H920" s="13" t="s">
        <v>2512</v>
      </c>
      <c r="I920" s="13" t="s">
        <v>2309</v>
      </c>
      <c r="J920" s="4">
        <v>11361</v>
      </c>
      <c r="K920" s="4">
        <v>1</v>
      </c>
      <c r="L920" s="4">
        <v>7</v>
      </c>
      <c r="M920" s="4">
        <v>2016</v>
      </c>
      <c r="N920" s="4">
        <v>2</v>
      </c>
      <c r="O920" s="4">
        <v>7</v>
      </c>
      <c r="P920" s="4">
        <v>1</v>
      </c>
      <c r="Q920" s="19">
        <v>3999.99</v>
      </c>
      <c r="R920" s="16">
        <v>7.0000000000000007E-2</v>
      </c>
      <c r="S920" s="16">
        <v>3999.9199999999996</v>
      </c>
      <c r="T920" s="5" t="s">
        <v>12</v>
      </c>
      <c r="U920" s="13" t="s">
        <v>304</v>
      </c>
    </row>
    <row r="921" spans="1:21" x14ac:dyDescent="0.35">
      <c r="A921" s="4">
        <v>920</v>
      </c>
      <c r="B921" s="4">
        <v>966</v>
      </c>
      <c r="C921" s="13" t="s">
        <v>1611</v>
      </c>
      <c r="D921" s="13" t="s">
        <v>1704</v>
      </c>
      <c r="E921" s="5" t="s">
        <v>5566</v>
      </c>
      <c r="F921" s="5" t="s">
        <v>4404</v>
      </c>
      <c r="G921" s="5" t="s">
        <v>4405</v>
      </c>
      <c r="H921" s="13" t="s">
        <v>2539</v>
      </c>
      <c r="I921" s="13" t="s">
        <v>2309</v>
      </c>
      <c r="J921" s="4">
        <v>11542</v>
      </c>
      <c r="K921" s="4">
        <v>1</v>
      </c>
      <c r="L921" s="4">
        <v>76</v>
      </c>
      <c r="M921" s="4">
        <v>2017</v>
      </c>
      <c r="N921" s="4">
        <v>2</v>
      </c>
      <c r="O921" s="4">
        <v>7</v>
      </c>
      <c r="P921" s="4">
        <v>1</v>
      </c>
      <c r="Q921" s="19">
        <v>299.99</v>
      </c>
      <c r="R921" s="16">
        <v>0.05</v>
      </c>
      <c r="S921" s="16">
        <v>299.94</v>
      </c>
      <c r="T921" s="5" t="s">
        <v>77</v>
      </c>
      <c r="U921" s="13" t="s">
        <v>301</v>
      </c>
    </row>
    <row r="922" spans="1:21" x14ac:dyDescent="0.35">
      <c r="A922" s="4">
        <v>921</v>
      </c>
      <c r="B922" s="4">
        <v>628</v>
      </c>
      <c r="C922" s="13" t="s">
        <v>1707</v>
      </c>
      <c r="D922" s="13" t="s">
        <v>1134</v>
      </c>
      <c r="E922" s="5" t="s">
        <v>5566</v>
      </c>
      <c r="F922" s="5" t="s">
        <v>4406</v>
      </c>
      <c r="G922" s="5" t="s">
        <v>4407</v>
      </c>
      <c r="H922" s="13" t="s">
        <v>3811</v>
      </c>
      <c r="I922" s="13" t="s">
        <v>2309</v>
      </c>
      <c r="J922" s="4">
        <v>14094</v>
      </c>
      <c r="K922" s="4">
        <v>1</v>
      </c>
      <c r="L922" s="4">
        <v>77</v>
      </c>
      <c r="M922" s="4">
        <v>2017</v>
      </c>
      <c r="N922" s="4">
        <v>2</v>
      </c>
      <c r="O922" s="4">
        <v>6</v>
      </c>
      <c r="P922" s="4">
        <v>1</v>
      </c>
      <c r="Q922" s="19">
        <v>799.99</v>
      </c>
      <c r="R922" s="16">
        <v>0.2</v>
      </c>
      <c r="S922" s="16">
        <v>799.79</v>
      </c>
      <c r="T922" s="5" t="s">
        <v>78</v>
      </c>
      <c r="U922" s="13" t="s">
        <v>301</v>
      </c>
    </row>
    <row r="923" spans="1:21" x14ac:dyDescent="0.35">
      <c r="A923" s="4">
        <v>922</v>
      </c>
      <c r="B923" s="4">
        <v>656</v>
      </c>
      <c r="C923" s="13" t="s">
        <v>1708</v>
      </c>
      <c r="D923" s="13" t="s">
        <v>1709</v>
      </c>
      <c r="E923" s="5" t="s">
        <v>5566</v>
      </c>
      <c r="F923" s="5" t="s">
        <v>4408</v>
      </c>
      <c r="G923" s="5" t="s">
        <v>4409</v>
      </c>
      <c r="H923" s="13" t="s">
        <v>2376</v>
      </c>
      <c r="I923" s="13" t="s">
        <v>2309</v>
      </c>
      <c r="J923" s="4">
        <v>11001</v>
      </c>
      <c r="K923" s="4">
        <v>1</v>
      </c>
      <c r="L923" s="4">
        <v>68</v>
      </c>
      <c r="M923" s="4">
        <v>2017</v>
      </c>
      <c r="N923" s="4">
        <v>2</v>
      </c>
      <c r="O923" s="4">
        <v>6</v>
      </c>
      <c r="P923" s="4">
        <v>1</v>
      </c>
      <c r="Q923" s="19">
        <v>449.99</v>
      </c>
      <c r="R923" s="16">
        <v>0.2</v>
      </c>
      <c r="S923" s="16">
        <v>449.79</v>
      </c>
      <c r="T923" s="5" t="s">
        <v>69</v>
      </c>
      <c r="U923" s="13" t="s">
        <v>301</v>
      </c>
    </row>
    <row r="924" spans="1:21" x14ac:dyDescent="0.35">
      <c r="A924" s="4">
        <v>923</v>
      </c>
      <c r="B924" s="4">
        <v>769</v>
      </c>
      <c r="C924" s="13" t="s">
        <v>1217</v>
      </c>
      <c r="D924" s="13" t="s">
        <v>548</v>
      </c>
      <c r="E924" s="5" t="s">
        <v>5566</v>
      </c>
      <c r="F924" s="5" t="s">
        <v>4410</v>
      </c>
      <c r="G924" s="5" t="s">
        <v>4411</v>
      </c>
      <c r="H924" s="13" t="s">
        <v>3475</v>
      </c>
      <c r="I924" s="13" t="s">
        <v>2309</v>
      </c>
      <c r="J924" s="4">
        <v>11413</v>
      </c>
      <c r="K924" s="4">
        <v>1</v>
      </c>
      <c r="L924" s="4">
        <v>74</v>
      </c>
      <c r="M924" s="4">
        <v>2017</v>
      </c>
      <c r="N924" s="4">
        <v>2</v>
      </c>
      <c r="O924" s="4">
        <v>7</v>
      </c>
      <c r="P924" s="4">
        <v>2</v>
      </c>
      <c r="Q924" s="19">
        <v>439.99</v>
      </c>
      <c r="R924" s="16">
        <v>0.05</v>
      </c>
      <c r="S924" s="16">
        <v>879.93000000000006</v>
      </c>
      <c r="T924" s="5" t="s">
        <v>75</v>
      </c>
      <c r="U924" s="13" t="s">
        <v>301</v>
      </c>
    </row>
    <row r="925" spans="1:21" x14ac:dyDescent="0.35">
      <c r="A925" s="4">
        <v>924</v>
      </c>
      <c r="B925" s="4">
        <v>68</v>
      </c>
      <c r="C925" s="13" t="s">
        <v>1710</v>
      </c>
      <c r="D925" s="13" t="s">
        <v>1421</v>
      </c>
      <c r="E925" s="5" t="s">
        <v>5566</v>
      </c>
      <c r="F925" s="5" t="s">
        <v>4412</v>
      </c>
      <c r="G925" s="5" t="s">
        <v>4413</v>
      </c>
      <c r="H925" s="13" t="s">
        <v>3280</v>
      </c>
      <c r="I925" s="13" t="s">
        <v>2397</v>
      </c>
      <c r="J925" s="4">
        <v>75088</v>
      </c>
      <c r="K925" s="4">
        <v>1</v>
      </c>
      <c r="L925" s="4">
        <v>97</v>
      </c>
      <c r="M925" s="4">
        <v>2017</v>
      </c>
      <c r="N925" s="4">
        <v>3</v>
      </c>
      <c r="O925" s="4">
        <v>8</v>
      </c>
      <c r="P925" s="4">
        <v>2</v>
      </c>
      <c r="Q925" s="19">
        <v>349.99</v>
      </c>
      <c r="R925" s="16">
        <v>0.2</v>
      </c>
      <c r="S925" s="16">
        <v>699.78</v>
      </c>
      <c r="T925" s="5" t="s">
        <v>97</v>
      </c>
      <c r="U925" s="13" t="s">
        <v>299</v>
      </c>
    </row>
    <row r="926" spans="1:21" x14ac:dyDescent="0.35">
      <c r="A926" s="4">
        <v>925</v>
      </c>
      <c r="B926" s="4">
        <v>1316</v>
      </c>
      <c r="C926" s="13" t="s">
        <v>1711</v>
      </c>
      <c r="D926" s="13" t="s">
        <v>1712</v>
      </c>
      <c r="E926" s="5" t="s">
        <v>5566</v>
      </c>
      <c r="F926" s="5" t="s">
        <v>4414</v>
      </c>
      <c r="G926" s="5" t="s">
        <v>4415</v>
      </c>
      <c r="H926" s="13" t="s">
        <v>2835</v>
      </c>
      <c r="I926" s="13" t="s">
        <v>2309</v>
      </c>
      <c r="J926" s="4">
        <v>11758</v>
      </c>
      <c r="K926" s="4">
        <v>1</v>
      </c>
      <c r="L926" s="4">
        <v>97</v>
      </c>
      <c r="M926" s="4">
        <v>2017</v>
      </c>
      <c r="N926" s="4">
        <v>2</v>
      </c>
      <c r="O926" s="4">
        <v>7</v>
      </c>
      <c r="P926" s="4">
        <v>1</v>
      </c>
      <c r="Q926" s="19">
        <v>349.99</v>
      </c>
      <c r="R926" s="16">
        <v>7.0000000000000007E-2</v>
      </c>
      <c r="S926" s="16">
        <v>349.92</v>
      </c>
      <c r="T926" s="5" t="s">
        <v>97</v>
      </c>
      <c r="U926" s="13" t="s">
        <v>299</v>
      </c>
    </row>
    <row r="927" spans="1:21" x14ac:dyDescent="0.35">
      <c r="A927" s="4">
        <v>926</v>
      </c>
      <c r="B927" s="4">
        <v>233</v>
      </c>
      <c r="C927" s="13" t="s">
        <v>1713</v>
      </c>
      <c r="D927" s="13" t="s">
        <v>1714</v>
      </c>
      <c r="E927" s="5" t="s">
        <v>5566</v>
      </c>
      <c r="F927" s="5" t="s">
        <v>4416</v>
      </c>
      <c r="G927" s="5" t="s">
        <v>4417</v>
      </c>
      <c r="H927" s="13" t="s">
        <v>2373</v>
      </c>
      <c r="I927" s="13" t="s">
        <v>2305</v>
      </c>
      <c r="J927" s="4">
        <v>95050</v>
      </c>
      <c r="K927" s="4">
        <v>1</v>
      </c>
      <c r="L927" s="4">
        <v>37</v>
      </c>
      <c r="M927" s="4">
        <v>2017</v>
      </c>
      <c r="N927" s="4">
        <v>1</v>
      </c>
      <c r="O927" s="4">
        <v>2</v>
      </c>
      <c r="P927" s="4">
        <v>2</v>
      </c>
      <c r="Q927" s="19">
        <v>379.99</v>
      </c>
      <c r="R927" s="16">
        <v>0.2</v>
      </c>
      <c r="S927" s="16">
        <v>759.78</v>
      </c>
      <c r="T927" s="5" t="s">
        <v>38</v>
      </c>
      <c r="U927" s="13" t="s">
        <v>304</v>
      </c>
    </row>
    <row r="928" spans="1:21" x14ac:dyDescent="0.35">
      <c r="A928" s="4">
        <v>927</v>
      </c>
      <c r="B928" s="4">
        <v>1438</v>
      </c>
      <c r="C928" s="13" t="s">
        <v>1013</v>
      </c>
      <c r="D928" s="13" t="s">
        <v>837</v>
      </c>
      <c r="E928" s="5" t="s">
        <v>4418</v>
      </c>
      <c r="F928" s="5" t="s">
        <v>4419</v>
      </c>
      <c r="G928" s="5" t="s">
        <v>4420</v>
      </c>
      <c r="H928" s="13" t="s">
        <v>2741</v>
      </c>
      <c r="I928" s="13" t="s">
        <v>2305</v>
      </c>
      <c r="J928" s="4">
        <v>95127</v>
      </c>
      <c r="K928" s="4">
        <v>1</v>
      </c>
      <c r="L928" s="4">
        <v>74</v>
      </c>
      <c r="M928" s="4">
        <v>2017</v>
      </c>
      <c r="N928" s="4">
        <v>1</v>
      </c>
      <c r="O928" s="4">
        <v>2</v>
      </c>
      <c r="P928" s="4">
        <v>2</v>
      </c>
      <c r="Q928" s="19">
        <v>439.99</v>
      </c>
      <c r="R928" s="16">
        <v>0.1</v>
      </c>
      <c r="S928" s="16">
        <v>879.88</v>
      </c>
      <c r="T928" s="5" t="s">
        <v>75</v>
      </c>
      <c r="U928" s="13" t="s">
        <v>301</v>
      </c>
    </row>
    <row r="929" spans="1:21" x14ac:dyDescent="0.35">
      <c r="A929" s="4">
        <v>928</v>
      </c>
      <c r="B929" s="4">
        <v>957</v>
      </c>
      <c r="C929" s="13" t="s">
        <v>1715</v>
      </c>
      <c r="D929" s="13" t="s">
        <v>769</v>
      </c>
      <c r="E929" s="5" t="s">
        <v>4421</v>
      </c>
      <c r="F929" s="5" t="s">
        <v>4422</v>
      </c>
      <c r="G929" s="5" t="s">
        <v>4423</v>
      </c>
      <c r="H929" s="13" t="s">
        <v>2460</v>
      </c>
      <c r="I929" s="13" t="s">
        <v>2305</v>
      </c>
      <c r="J929" s="4">
        <v>92806</v>
      </c>
      <c r="K929" s="4">
        <v>1</v>
      </c>
      <c r="L929" s="4">
        <v>71</v>
      </c>
      <c r="M929" s="4">
        <v>2017</v>
      </c>
      <c r="N929" s="4">
        <v>1</v>
      </c>
      <c r="O929" s="4">
        <v>3</v>
      </c>
      <c r="P929" s="4">
        <v>2</v>
      </c>
      <c r="Q929" s="19">
        <v>416.99</v>
      </c>
      <c r="R929" s="16">
        <v>0.05</v>
      </c>
      <c r="S929" s="16">
        <v>833.93000000000006</v>
      </c>
      <c r="T929" s="5" t="s">
        <v>72</v>
      </c>
      <c r="U929" s="13" t="s">
        <v>301</v>
      </c>
    </row>
    <row r="930" spans="1:21" x14ac:dyDescent="0.35">
      <c r="A930" s="4">
        <v>929</v>
      </c>
      <c r="B930" s="4">
        <v>472</v>
      </c>
      <c r="C930" s="13" t="s">
        <v>1326</v>
      </c>
      <c r="D930" s="13" t="s">
        <v>1716</v>
      </c>
      <c r="E930" s="5" t="s">
        <v>5566</v>
      </c>
      <c r="F930" s="5" t="s">
        <v>4424</v>
      </c>
      <c r="G930" s="5" t="s">
        <v>4425</v>
      </c>
      <c r="H930" s="13" t="s">
        <v>2710</v>
      </c>
      <c r="I930" s="13" t="s">
        <v>2309</v>
      </c>
      <c r="J930" s="4">
        <v>11701</v>
      </c>
      <c r="K930" s="4">
        <v>1</v>
      </c>
      <c r="L930" s="4">
        <v>82</v>
      </c>
      <c r="M930" s="4">
        <v>2017</v>
      </c>
      <c r="N930" s="4">
        <v>2</v>
      </c>
      <c r="O930" s="4">
        <v>6</v>
      </c>
      <c r="P930" s="4">
        <v>1</v>
      </c>
      <c r="Q930" s="19">
        <v>659.99</v>
      </c>
      <c r="R930" s="16">
        <v>0.2</v>
      </c>
      <c r="S930" s="16">
        <v>659.79</v>
      </c>
      <c r="T930" s="5" t="s">
        <v>83</v>
      </c>
      <c r="U930" s="13" t="s">
        <v>301</v>
      </c>
    </row>
    <row r="931" spans="1:21" x14ac:dyDescent="0.35">
      <c r="A931" s="4">
        <v>930</v>
      </c>
      <c r="B931" s="4">
        <v>1224</v>
      </c>
      <c r="C931" s="13" t="s">
        <v>1717</v>
      </c>
      <c r="D931" s="13" t="s">
        <v>1718</v>
      </c>
      <c r="E931" s="5" t="s">
        <v>5566</v>
      </c>
      <c r="F931" s="5" t="s">
        <v>4426</v>
      </c>
      <c r="G931" s="5" t="s">
        <v>4427</v>
      </c>
      <c r="H931" s="13" t="s">
        <v>2396</v>
      </c>
      <c r="I931" s="13" t="s">
        <v>2397</v>
      </c>
      <c r="J931" s="4">
        <v>78552</v>
      </c>
      <c r="K931" s="4">
        <v>1</v>
      </c>
      <c r="L931" s="4">
        <v>56</v>
      </c>
      <c r="M931" s="4">
        <v>2017</v>
      </c>
      <c r="N931" s="4">
        <v>3</v>
      </c>
      <c r="O931" s="4">
        <v>9</v>
      </c>
      <c r="P931" s="4">
        <v>2</v>
      </c>
      <c r="Q931" s="19">
        <v>5499.99</v>
      </c>
      <c r="R931" s="16">
        <v>7.0000000000000007E-2</v>
      </c>
      <c r="S931" s="16">
        <v>10999.91</v>
      </c>
      <c r="T931" s="5" t="s">
        <v>57</v>
      </c>
      <c r="U931" s="13" t="s">
        <v>305</v>
      </c>
    </row>
    <row r="932" spans="1:21" x14ac:dyDescent="0.35">
      <c r="A932" s="4">
        <v>931</v>
      </c>
      <c r="B932" s="4">
        <v>631</v>
      </c>
      <c r="C932" s="13" t="s">
        <v>1719</v>
      </c>
      <c r="D932" s="13" t="s">
        <v>1720</v>
      </c>
      <c r="E932" s="5" t="s">
        <v>5566</v>
      </c>
      <c r="F932" s="5" t="s">
        <v>4428</v>
      </c>
      <c r="G932" s="5" t="s">
        <v>4429</v>
      </c>
      <c r="H932" s="13" t="s">
        <v>2444</v>
      </c>
      <c r="I932" s="13" t="s">
        <v>2309</v>
      </c>
      <c r="J932" s="4">
        <v>10562</v>
      </c>
      <c r="K932" s="4">
        <v>1</v>
      </c>
      <c r="L932" s="4">
        <v>49</v>
      </c>
      <c r="M932" s="4">
        <v>2017</v>
      </c>
      <c r="N932" s="4">
        <v>2</v>
      </c>
      <c r="O932" s="4">
        <v>6</v>
      </c>
      <c r="P932" s="4">
        <v>2</v>
      </c>
      <c r="Q932" s="19">
        <v>3499.99</v>
      </c>
      <c r="R932" s="16">
        <v>7.0000000000000007E-2</v>
      </c>
      <c r="S932" s="16">
        <v>6999.91</v>
      </c>
      <c r="T932" s="5" t="s">
        <v>50</v>
      </c>
      <c r="U932" s="13" t="s">
        <v>305</v>
      </c>
    </row>
    <row r="933" spans="1:21" x14ac:dyDescent="0.35">
      <c r="A933" s="4">
        <v>932</v>
      </c>
      <c r="B933" s="4">
        <v>804</v>
      </c>
      <c r="C933" s="13" t="s">
        <v>1721</v>
      </c>
      <c r="D933" s="13" t="s">
        <v>1722</v>
      </c>
      <c r="E933" s="5" t="s">
        <v>5566</v>
      </c>
      <c r="F933" s="5" t="s">
        <v>4430</v>
      </c>
      <c r="G933" s="5" t="s">
        <v>4431</v>
      </c>
      <c r="H933" s="13" t="s">
        <v>3881</v>
      </c>
      <c r="I933" s="13" t="s">
        <v>2309</v>
      </c>
      <c r="J933" s="4">
        <v>11580</v>
      </c>
      <c r="K933" s="4">
        <v>1</v>
      </c>
      <c r="L933" s="4">
        <v>74</v>
      </c>
      <c r="M933" s="4">
        <v>2017</v>
      </c>
      <c r="N933" s="4">
        <v>2</v>
      </c>
      <c r="O933" s="4">
        <v>6</v>
      </c>
      <c r="P933" s="4">
        <v>1</v>
      </c>
      <c r="Q933" s="19">
        <v>439.99</v>
      </c>
      <c r="R933" s="16">
        <v>0.05</v>
      </c>
      <c r="S933" s="16">
        <v>439.94</v>
      </c>
      <c r="T933" s="5" t="s">
        <v>75</v>
      </c>
      <c r="U933" s="13" t="s">
        <v>301</v>
      </c>
    </row>
    <row r="934" spans="1:21" x14ac:dyDescent="0.35">
      <c r="A934" s="4">
        <v>933</v>
      </c>
      <c r="B934" s="4">
        <v>909</v>
      </c>
      <c r="C934" s="13" t="s">
        <v>1723</v>
      </c>
      <c r="D934" s="13" t="s">
        <v>869</v>
      </c>
      <c r="E934" s="5" t="s">
        <v>5566</v>
      </c>
      <c r="F934" s="5" t="s">
        <v>4432</v>
      </c>
      <c r="G934" s="5" t="s">
        <v>4433</v>
      </c>
      <c r="H934" s="13" t="s">
        <v>3212</v>
      </c>
      <c r="I934" s="13" t="s">
        <v>2309</v>
      </c>
      <c r="J934" s="4">
        <v>11553</v>
      </c>
      <c r="K934" s="4">
        <v>1</v>
      </c>
      <c r="L934" s="4">
        <v>77</v>
      </c>
      <c r="M934" s="4">
        <v>2017</v>
      </c>
      <c r="N934" s="4">
        <v>2</v>
      </c>
      <c r="O934" s="4">
        <v>6</v>
      </c>
      <c r="P934" s="4">
        <v>1</v>
      </c>
      <c r="Q934" s="19">
        <v>799.99</v>
      </c>
      <c r="R934" s="16">
        <v>7.0000000000000007E-2</v>
      </c>
      <c r="S934" s="16">
        <v>799.92</v>
      </c>
      <c r="T934" s="5" t="s">
        <v>78</v>
      </c>
      <c r="U934" s="13" t="s">
        <v>301</v>
      </c>
    </row>
    <row r="935" spans="1:21" x14ac:dyDescent="0.35">
      <c r="A935" s="4">
        <v>934</v>
      </c>
      <c r="B935" s="4">
        <v>93</v>
      </c>
      <c r="C935" s="13" t="s">
        <v>1724</v>
      </c>
      <c r="D935" s="13" t="s">
        <v>1152</v>
      </c>
      <c r="E935" s="5" t="s">
        <v>4434</v>
      </c>
      <c r="F935" s="5" t="s">
        <v>4435</v>
      </c>
      <c r="G935" s="5" t="s">
        <v>4436</v>
      </c>
      <c r="H935" s="13" t="s">
        <v>3027</v>
      </c>
      <c r="I935" s="13" t="s">
        <v>2309</v>
      </c>
      <c r="J935" s="4">
        <v>12180</v>
      </c>
      <c r="K935" s="4">
        <v>1</v>
      </c>
      <c r="L935" s="4">
        <v>35</v>
      </c>
      <c r="M935" s="4">
        <v>2017</v>
      </c>
      <c r="N935" s="4">
        <v>2</v>
      </c>
      <c r="O935" s="4">
        <v>7</v>
      </c>
      <c r="P935" s="4">
        <v>2</v>
      </c>
      <c r="Q935" s="19">
        <v>832.99</v>
      </c>
      <c r="R935" s="16">
        <v>0.05</v>
      </c>
      <c r="S935" s="16">
        <v>1665.93</v>
      </c>
      <c r="T935" s="5" t="s">
        <v>36</v>
      </c>
      <c r="U935" s="13" t="s">
        <v>304</v>
      </c>
    </row>
    <row r="936" spans="1:21" x14ac:dyDescent="0.35">
      <c r="A936" s="4">
        <v>935</v>
      </c>
      <c r="B936" s="4">
        <v>43</v>
      </c>
      <c r="C936" s="13" t="s">
        <v>619</v>
      </c>
      <c r="D936" s="13" t="s">
        <v>620</v>
      </c>
      <c r="E936" s="5" t="s">
        <v>2742</v>
      </c>
      <c r="F936" s="5" t="s">
        <v>2743</v>
      </c>
      <c r="G936" s="5" t="s">
        <v>2744</v>
      </c>
      <c r="H936" s="13" t="s">
        <v>1262</v>
      </c>
      <c r="I936" s="13" t="s">
        <v>2397</v>
      </c>
      <c r="J936" s="4">
        <v>77016</v>
      </c>
      <c r="K936" s="4">
        <v>1</v>
      </c>
      <c r="L936" s="4">
        <v>65</v>
      </c>
      <c r="M936" s="4">
        <v>2017</v>
      </c>
      <c r="N936" s="4">
        <v>3</v>
      </c>
      <c r="O936" s="4">
        <v>8</v>
      </c>
      <c r="P936" s="4">
        <v>2</v>
      </c>
      <c r="Q936" s="19">
        <v>346.99</v>
      </c>
      <c r="R936" s="16">
        <v>0.2</v>
      </c>
      <c r="S936" s="16">
        <v>693.78</v>
      </c>
      <c r="T936" s="5" t="s">
        <v>66</v>
      </c>
      <c r="U936" s="13" t="s">
        <v>301</v>
      </c>
    </row>
    <row r="937" spans="1:21" x14ac:dyDescent="0.35">
      <c r="A937" s="4">
        <v>936</v>
      </c>
      <c r="B937" s="4">
        <v>265</v>
      </c>
      <c r="C937" s="13" t="s">
        <v>1725</v>
      </c>
      <c r="D937" s="13" t="s">
        <v>1726</v>
      </c>
      <c r="E937" s="5" t="s">
        <v>5566</v>
      </c>
      <c r="F937" s="5" t="s">
        <v>4437</v>
      </c>
      <c r="G937" s="5" t="s">
        <v>4438</v>
      </c>
      <c r="H937" s="13" t="s">
        <v>2441</v>
      </c>
      <c r="I937" s="13" t="s">
        <v>2309</v>
      </c>
      <c r="J937" s="4">
        <v>11722</v>
      </c>
      <c r="K937" s="4">
        <v>1</v>
      </c>
      <c r="L937" s="4">
        <v>70</v>
      </c>
      <c r="M937" s="4">
        <v>2017</v>
      </c>
      <c r="N937" s="4">
        <v>2</v>
      </c>
      <c r="O937" s="4">
        <v>6</v>
      </c>
      <c r="P937" s="4">
        <v>1</v>
      </c>
      <c r="Q937" s="19">
        <v>659.99</v>
      </c>
      <c r="R937" s="16">
        <v>0.1</v>
      </c>
      <c r="S937" s="16">
        <v>659.89</v>
      </c>
      <c r="T937" s="5" t="s">
        <v>71</v>
      </c>
      <c r="U937" s="13" t="s">
        <v>301</v>
      </c>
    </row>
    <row r="938" spans="1:21" x14ac:dyDescent="0.35">
      <c r="A938" s="4">
        <v>937</v>
      </c>
      <c r="B938" s="4">
        <v>73</v>
      </c>
      <c r="C938" s="13" t="s">
        <v>1727</v>
      </c>
      <c r="D938" s="13" t="s">
        <v>1322</v>
      </c>
      <c r="E938" s="5" t="s">
        <v>5566</v>
      </c>
      <c r="F938" s="5" t="s">
        <v>4439</v>
      </c>
      <c r="G938" s="5" t="s">
        <v>4440</v>
      </c>
      <c r="H938" s="13" t="s">
        <v>2433</v>
      </c>
      <c r="I938" s="13" t="s">
        <v>2309</v>
      </c>
      <c r="J938" s="4">
        <v>13090</v>
      </c>
      <c r="K938" s="4">
        <v>1</v>
      </c>
      <c r="L938" s="4">
        <v>108</v>
      </c>
      <c r="M938" s="4">
        <v>2017</v>
      </c>
      <c r="N938" s="4">
        <v>2</v>
      </c>
      <c r="O938" s="4">
        <v>7</v>
      </c>
      <c r="P938" s="4">
        <v>2</v>
      </c>
      <c r="Q938" s="19">
        <v>449.99</v>
      </c>
      <c r="R938" s="16">
        <v>0.1</v>
      </c>
      <c r="S938" s="16">
        <v>899.88</v>
      </c>
      <c r="T938" s="5" t="s">
        <v>105</v>
      </c>
      <c r="U938" s="13" t="s">
        <v>300</v>
      </c>
    </row>
    <row r="939" spans="1:21" x14ac:dyDescent="0.35">
      <c r="A939" s="4">
        <v>938</v>
      </c>
      <c r="B939" s="4">
        <v>129</v>
      </c>
      <c r="C939" s="13" t="s">
        <v>1728</v>
      </c>
      <c r="D939" s="13" t="s">
        <v>880</v>
      </c>
      <c r="E939" s="5" t="s">
        <v>5566</v>
      </c>
      <c r="F939" s="5" t="s">
        <v>4441</v>
      </c>
      <c r="G939" s="5" t="s">
        <v>4442</v>
      </c>
      <c r="H939" s="13" t="s">
        <v>3811</v>
      </c>
      <c r="I939" s="13" t="s">
        <v>2309</v>
      </c>
      <c r="J939" s="4">
        <v>14094</v>
      </c>
      <c r="K939" s="4">
        <v>1</v>
      </c>
      <c r="L939" s="4">
        <v>4</v>
      </c>
      <c r="M939" s="4">
        <v>2016</v>
      </c>
      <c r="N939" s="4">
        <v>2</v>
      </c>
      <c r="O939" s="4">
        <v>6</v>
      </c>
      <c r="P939" s="4">
        <v>1</v>
      </c>
      <c r="Q939" s="19">
        <v>2899.99</v>
      </c>
      <c r="R939" s="16">
        <v>0.05</v>
      </c>
      <c r="S939" s="16">
        <v>2899.9399999999996</v>
      </c>
      <c r="T939" s="5" t="s">
        <v>9</v>
      </c>
      <c r="U939" s="13" t="s">
        <v>304</v>
      </c>
    </row>
    <row r="940" spans="1:21" x14ac:dyDescent="0.35">
      <c r="A940" s="4">
        <v>939</v>
      </c>
      <c r="B940" s="4">
        <v>1407</v>
      </c>
      <c r="C940" s="13" t="s">
        <v>1729</v>
      </c>
      <c r="D940" s="13" t="s">
        <v>562</v>
      </c>
      <c r="E940" s="5" t="s">
        <v>5566</v>
      </c>
      <c r="F940" s="5" t="s">
        <v>4443</v>
      </c>
      <c r="G940" s="5" t="s">
        <v>4444</v>
      </c>
      <c r="H940" s="13" t="s">
        <v>2567</v>
      </c>
      <c r="I940" s="13" t="s">
        <v>2309</v>
      </c>
      <c r="J940" s="4">
        <v>11720</v>
      </c>
      <c r="K940" s="4">
        <v>1</v>
      </c>
      <c r="L940" s="4">
        <v>5</v>
      </c>
      <c r="M940" s="4">
        <v>2016</v>
      </c>
      <c r="N940" s="4">
        <v>2</v>
      </c>
      <c r="O940" s="4">
        <v>6</v>
      </c>
      <c r="P940" s="4">
        <v>1</v>
      </c>
      <c r="Q940" s="19">
        <v>1320.99</v>
      </c>
      <c r="R940" s="16">
        <v>0.1</v>
      </c>
      <c r="S940" s="16">
        <v>1320.89</v>
      </c>
      <c r="T940" s="5" t="s">
        <v>10</v>
      </c>
      <c r="U940" s="13" t="s">
        <v>304</v>
      </c>
    </row>
    <row r="941" spans="1:21" x14ac:dyDescent="0.35">
      <c r="A941" s="4">
        <v>940</v>
      </c>
      <c r="B941" s="4">
        <v>585</v>
      </c>
      <c r="C941" s="13" t="s">
        <v>1011</v>
      </c>
      <c r="D941" s="13" t="s">
        <v>1457</v>
      </c>
      <c r="E941" s="5" t="s">
        <v>5566</v>
      </c>
      <c r="F941" s="5" t="s">
        <v>4445</v>
      </c>
      <c r="G941" s="5" t="s">
        <v>4446</v>
      </c>
      <c r="H941" s="13" t="s">
        <v>2641</v>
      </c>
      <c r="I941" s="13" t="s">
        <v>2305</v>
      </c>
      <c r="J941" s="4">
        <v>95677</v>
      </c>
      <c r="K941" s="4">
        <v>1</v>
      </c>
      <c r="L941" s="4">
        <v>75</v>
      </c>
      <c r="M941" s="4">
        <v>2017</v>
      </c>
      <c r="N941" s="4">
        <v>1</v>
      </c>
      <c r="O941" s="4">
        <v>2</v>
      </c>
      <c r="P941" s="4">
        <v>2</v>
      </c>
      <c r="Q941" s="19">
        <v>599.99</v>
      </c>
      <c r="R941" s="16">
        <v>0.2</v>
      </c>
      <c r="S941" s="16">
        <v>1199.78</v>
      </c>
      <c r="T941" s="5" t="s">
        <v>76</v>
      </c>
      <c r="U941" s="13" t="s">
        <v>301</v>
      </c>
    </row>
    <row r="942" spans="1:21" x14ac:dyDescent="0.35">
      <c r="A942" s="4">
        <v>941</v>
      </c>
      <c r="B942" s="4">
        <v>736</v>
      </c>
      <c r="C942" s="13" t="s">
        <v>1730</v>
      </c>
      <c r="D942" s="13" t="s">
        <v>1731</v>
      </c>
      <c r="E942" s="5" t="s">
        <v>5566</v>
      </c>
      <c r="F942" s="5" t="s">
        <v>4447</v>
      </c>
      <c r="G942" s="5" t="s">
        <v>4448</v>
      </c>
      <c r="H942" s="13" t="s">
        <v>3044</v>
      </c>
      <c r="I942" s="13" t="s">
        <v>2305</v>
      </c>
      <c r="J942" s="4">
        <v>90278</v>
      </c>
      <c r="K942" s="4">
        <v>1</v>
      </c>
      <c r="L942" s="4">
        <v>25</v>
      </c>
      <c r="M942" s="4">
        <v>2016</v>
      </c>
      <c r="N942" s="4">
        <v>1</v>
      </c>
      <c r="O942" s="4">
        <v>2</v>
      </c>
      <c r="P942" s="4">
        <v>1</v>
      </c>
      <c r="Q942" s="19">
        <v>499.99</v>
      </c>
      <c r="R942" s="16">
        <v>0.1</v>
      </c>
      <c r="S942" s="16">
        <v>499.89</v>
      </c>
      <c r="T942" s="5" t="s">
        <v>27</v>
      </c>
      <c r="U942" s="13" t="s">
        <v>300</v>
      </c>
    </row>
    <row r="943" spans="1:21" x14ac:dyDescent="0.35">
      <c r="A943" s="4">
        <v>942</v>
      </c>
      <c r="B943" s="4">
        <v>537</v>
      </c>
      <c r="C943" s="13" t="s">
        <v>620</v>
      </c>
      <c r="D943" s="13" t="s">
        <v>1732</v>
      </c>
      <c r="E943" s="5" t="s">
        <v>5566</v>
      </c>
      <c r="F943" s="5" t="s">
        <v>4449</v>
      </c>
      <c r="G943" s="5" t="s">
        <v>4450</v>
      </c>
      <c r="H943" s="13" t="s">
        <v>2350</v>
      </c>
      <c r="I943" s="13" t="s">
        <v>2309</v>
      </c>
      <c r="J943" s="4">
        <v>10512</v>
      </c>
      <c r="K943" s="4">
        <v>1</v>
      </c>
      <c r="L943" s="4">
        <v>98</v>
      </c>
      <c r="M943" s="4">
        <v>2017</v>
      </c>
      <c r="N943" s="4">
        <v>2</v>
      </c>
      <c r="O943" s="4">
        <v>6</v>
      </c>
      <c r="P943" s="4">
        <v>2</v>
      </c>
      <c r="Q943" s="19">
        <v>489.99</v>
      </c>
      <c r="R943" s="16">
        <v>0.05</v>
      </c>
      <c r="S943" s="16">
        <v>979.93000000000006</v>
      </c>
      <c r="T943" s="5" t="s">
        <v>98</v>
      </c>
      <c r="U943" s="13" t="s">
        <v>299</v>
      </c>
    </row>
    <row r="944" spans="1:21" x14ac:dyDescent="0.35">
      <c r="A944" s="4">
        <v>943</v>
      </c>
      <c r="B944" s="4">
        <v>1025</v>
      </c>
      <c r="C944" s="13" t="s">
        <v>1733</v>
      </c>
      <c r="D944" s="13" t="s">
        <v>1734</v>
      </c>
      <c r="E944" s="5" t="s">
        <v>5566</v>
      </c>
      <c r="F944" s="5" t="s">
        <v>4451</v>
      </c>
      <c r="G944" s="5" t="s">
        <v>4452</v>
      </c>
      <c r="H944" s="13" t="s">
        <v>2950</v>
      </c>
      <c r="I944" s="13" t="s">
        <v>2309</v>
      </c>
      <c r="J944" s="4">
        <v>11735</v>
      </c>
      <c r="K944" s="4">
        <v>1</v>
      </c>
      <c r="L944" s="4">
        <v>25</v>
      </c>
      <c r="M944" s="4">
        <v>2016</v>
      </c>
      <c r="N944" s="4">
        <v>2</v>
      </c>
      <c r="O944" s="4">
        <v>6</v>
      </c>
      <c r="P944" s="4">
        <v>1</v>
      </c>
      <c r="Q944" s="19">
        <v>499.99</v>
      </c>
      <c r="R944" s="16">
        <v>0.2</v>
      </c>
      <c r="S944" s="16">
        <v>499.79</v>
      </c>
      <c r="T944" s="5" t="s">
        <v>27</v>
      </c>
      <c r="U944" s="13" t="s">
        <v>300</v>
      </c>
    </row>
    <row r="945" spans="1:21" x14ac:dyDescent="0.35">
      <c r="A945" s="4">
        <v>944</v>
      </c>
      <c r="B945" s="4">
        <v>138</v>
      </c>
      <c r="C945" s="13" t="s">
        <v>1735</v>
      </c>
      <c r="D945" s="13" t="s">
        <v>1736</v>
      </c>
      <c r="E945" s="5" t="s">
        <v>4453</v>
      </c>
      <c r="F945" s="5" t="s">
        <v>4454</v>
      </c>
      <c r="G945" s="5" t="s">
        <v>4455</v>
      </c>
      <c r="H945" s="13" t="s">
        <v>2460</v>
      </c>
      <c r="I945" s="13" t="s">
        <v>2305</v>
      </c>
      <c r="J945" s="4">
        <v>92806</v>
      </c>
      <c r="K945" s="4">
        <v>1</v>
      </c>
      <c r="L945" s="4">
        <v>29</v>
      </c>
      <c r="M945" s="4">
        <v>2017</v>
      </c>
      <c r="N945" s="4">
        <v>1</v>
      </c>
      <c r="O945" s="4">
        <v>3</v>
      </c>
      <c r="P945" s="4">
        <v>2</v>
      </c>
      <c r="Q945" s="19">
        <v>999.99</v>
      </c>
      <c r="R945" s="16">
        <v>7.0000000000000007E-2</v>
      </c>
      <c r="S945" s="16">
        <v>1999.91</v>
      </c>
      <c r="T945" s="5" t="s">
        <v>30</v>
      </c>
      <c r="U945" s="13" t="s">
        <v>304</v>
      </c>
    </row>
    <row r="946" spans="1:21" x14ac:dyDescent="0.35">
      <c r="A946" s="4">
        <v>945</v>
      </c>
      <c r="B946" s="4">
        <v>167</v>
      </c>
      <c r="C946" s="13" t="s">
        <v>1737</v>
      </c>
      <c r="D946" s="13" t="s">
        <v>1200</v>
      </c>
      <c r="E946" s="5" t="s">
        <v>5566</v>
      </c>
      <c r="F946" s="5" t="s">
        <v>4456</v>
      </c>
      <c r="G946" s="5" t="s">
        <v>4457</v>
      </c>
      <c r="H946" s="13" t="s">
        <v>3063</v>
      </c>
      <c r="I946" s="13" t="s">
        <v>2309</v>
      </c>
      <c r="J946" s="4">
        <v>10977</v>
      </c>
      <c r="K946" s="4">
        <v>1</v>
      </c>
      <c r="L946" s="4">
        <v>105</v>
      </c>
      <c r="M946" s="4">
        <v>2017</v>
      </c>
      <c r="N946" s="4">
        <v>2</v>
      </c>
      <c r="O946" s="4">
        <v>7</v>
      </c>
      <c r="P946" s="4">
        <v>1</v>
      </c>
      <c r="Q946" s="19">
        <v>533.99</v>
      </c>
      <c r="R946" s="16">
        <v>0.05</v>
      </c>
      <c r="S946" s="16">
        <v>533.94000000000005</v>
      </c>
      <c r="T946" s="5" t="s">
        <v>104</v>
      </c>
      <c r="U946" s="13" t="s">
        <v>300</v>
      </c>
    </row>
    <row r="947" spans="1:21" x14ac:dyDescent="0.35">
      <c r="A947" s="4">
        <v>946</v>
      </c>
      <c r="B947" s="4">
        <v>525</v>
      </c>
      <c r="C947" s="13" t="s">
        <v>1345</v>
      </c>
      <c r="D947" s="13" t="s">
        <v>1738</v>
      </c>
      <c r="E947" s="5" t="s">
        <v>5566</v>
      </c>
      <c r="F947" s="5" t="s">
        <v>4458</v>
      </c>
      <c r="G947" s="5" t="s">
        <v>4459</v>
      </c>
      <c r="H947" s="13" t="s">
        <v>3267</v>
      </c>
      <c r="I947" s="13" t="s">
        <v>2309</v>
      </c>
      <c r="J947" s="4">
        <v>10801</v>
      </c>
      <c r="K947" s="4">
        <v>1</v>
      </c>
      <c r="L947" s="4">
        <v>7</v>
      </c>
      <c r="M947" s="4">
        <v>2016</v>
      </c>
      <c r="N947" s="4">
        <v>2</v>
      </c>
      <c r="O947" s="4">
        <v>6</v>
      </c>
      <c r="P947" s="4">
        <v>1</v>
      </c>
      <c r="Q947" s="19">
        <v>3999.99</v>
      </c>
      <c r="R947" s="16">
        <v>0.1</v>
      </c>
      <c r="S947" s="16">
        <v>3999.89</v>
      </c>
      <c r="T947" s="5" t="s">
        <v>12</v>
      </c>
      <c r="U947" s="13" t="s">
        <v>304</v>
      </c>
    </row>
    <row r="948" spans="1:21" x14ac:dyDescent="0.35">
      <c r="A948" s="4">
        <v>947</v>
      </c>
      <c r="B948" s="4">
        <v>278</v>
      </c>
      <c r="C948" s="13" t="s">
        <v>1739</v>
      </c>
      <c r="D948" s="13" t="s">
        <v>1740</v>
      </c>
      <c r="E948" s="5" t="s">
        <v>5566</v>
      </c>
      <c r="F948" s="5" t="s">
        <v>4460</v>
      </c>
      <c r="G948" s="5" t="s">
        <v>4461</v>
      </c>
      <c r="H948" s="13" t="s">
        <v>1822</v>
      </c>
      <c r="I948" s="13" t="s">
        <v>2305</v>
      </c>
      <c r="J948" s="4">
        <v>95008</v>
      </c>
      <c r="K948" s="4">
        <v>1</v>
      </c>
      <c r="L948" s="4">
        <v>32</v>
      </c>
      <c r="M948" s="4">
        <v>2017</v>
      </c>
      <c r="N948" s="4">
        <v>1</v>
      </c>
      <c r="O948" s="4">
        <v>3</v>
      </c>
      <c r="P948" s="4">
        <v>1</v>
      </c>
      <c r="Q948" s="19">
        <v>469.99</v>
      </c>
      <c r="R948" s="16">
        <v>0.05</v>
      </c>
      <c r="S948" s="16">
        <v>469.94</v>
      </c>
      <c r="T948" s="5" t="s">
        <v>33</v>
      </c>
      <c r="U948" s="13" t="s">
        <v>304</v>
      </c>
    </row>
    <row r="949" spans="1:21" x14ac:dyDescent="0.35">
      <c r="A949" s="4">
        <v>948</v>
      </c>
      <c r="B949" s="4">
        <v>618</v>
      </c>
      <c r="C949" s="13" t="s">
        <v>1741</v>
      </c>
      <c r="D949" s="13" t="s">
        <v>1442</v>
      </c>
      <c r="E949" s="5" t="s">
        <v>5566</v>
      </c>
      <c r="F949" s="5" t="s">
        <v>4462</v>
      </c>
      <c r="G949" s="5" t="s">
        <v>4463</v>
      </c>
      <c r="H949" s="13" t="s">
        <v>2387</v>
      </c>
      <c r="I949" s="13" t="s">
        <v>2309</v>
      </c>
      <c r="J949" s="4">
        <v>11418</v>
      </c>
      <c r="K949" s="4">
        <v>1</v>
      </c>
      <c r="L949" s="4">
        <v>23</v>
      </c>
      <c r="M949" s="4">
        <v>2016</v>
      </c>
      <c r="N949" s="4">
        <v>2</v>
      </c>
      <c r="O949" s="4">
        <v>6</v>
      </c>
      <c r="P949" s="4">
        <v>2</v>
      </c>
      <c r="Q949" s="19">
        <v>299.99</v>
      </c>
      <c r="R949" s="16">
        <v>0.2</v>
      </c>
      <c r="S949" s="16">
        <v>599.78</v>
      </c>
      <c r="T949" s="5" t="s">
        <v>26</v>
      </c>
      <c r="U949" s="13" t="s">
        <v>299</v>
      </c>
    </row>
    <row r="950" spans="1:21" x14ac:dyDescent="0.35">
      <c r="A950" s="4">
        <v>949</v>
      </c>
      <c r="B950" s="4">
        <v>867</v>
      </c>
      <c r="C950" s="13" t="s">
        <v>1742</v>
      </c>
      <c r="D950" s="13" t="s">
        <v>1403</v>
      </c>
      <c r="E950" s="5" t="s">
        <v>5566</v>
      </c>
      <c r="F950" s="5" t="s">
        <v>4464</v>
      </c>
      <c r="G950" s="5" t="s">
        <v>4465</v>
      </c>
      <c r="H950" s="13" t="s">
        <v>1822</v>
      </c>
      <c r="I950" s="13" t="s">
        <v>2305</v>
      </c>
      <c r="J950" s="4">
        <v>95008</v>
      </c>
      <c r="K950" s="4">
        <v>1</v>
      </c>
      <c r="L950" s="4">
        <v>9</v>
      </c>
      <c r="M950" s="4">
        <v>2016</v>
      </c>
      <c r="N950" s="4">
        <v>1</v>
      </c>
      <c r="O950" s="4">
        <v>3</v>
      </c>
      <c r="P950" s="4">
        <v>2</v>
      </c>
      <c r="Q950" s="19">
        <v>2999.99</v>
      </c>
      <c r="R950" s="16">
        <v>0.1</v>
      </c>
      <c r="S950" s="16">
        <v>5999.8799999999992</v>
      </c>
      <c r="T950" s="5" t="s">
        <v>14</v>
      </c>
      <c r="U950" s="13" t="s">
        <v>303</v>
      </c>
    </row>
    <row r="951" spans="1:21" x14ac:dyDescent="0.35">
      <c r="A951" s="4">
        <v>950</v>
      </c>
      <c r="B951" s="4">
        <v>142</v>
      </c>
      <c r="C951" s="13" t="s">
        <v>1743</v>
      </c>
      <c r="D951" s="13" t="s">
        <v>746</v>
      </c>
      <c r="E951" s="5" t="s">
        <v>5566</v>
      </c>
      <c r="F951" s="5" t="s">
        <v>4466</v>
      </c>
      <c r="G951" s="5" t="s">
        <v>4467</v>
      </c>
      <c r="H951" s="13" t="s">
        <v>2409</v>
      </c>
      <c r="I951" s="13" t="s">
        <v>2309</v>
      </c>
      <c r="J951" s="4">
        <v>11552</v>
      </c>
      <c r="K951" s="4">
        <v>1</v>
      </c>
      <c r="L951" s="4">
        <v>56</v>
      </c>
      <c r="M951" s="4">
        <v>2017</v>
      </c>
      <c r="N951" s="4">
        <v>2</v>
      </c>
      <c r="O951" s="4">
        <v>6</v>
      </c>
      <c r="P951" s="4">
        <v>1</v>
      </c>
      <c r="Q951" s="19">
        <v>5499.99</v>
      </c>
      <c r="R951" s="16">
        <v>0.05</v>
      </c>
      <c r="S951" s="16">
        <v>5499.94</v>
      </c>
      <c r="T951" s="5" t="s">
        <v>57</v>
      </c>
      <c r="U951" s="13" t="s">
        <v>305</v>
      </c>
    </row>
    <row r="952" spans="1:21" x14ac:dyDescent="0.35">
      <c r="A952" s="4">
        <v>951</v>
      </c>
      <c r="B952" s="4">
        <v>339</v>
      </c>
      <c r="C952" s="13" t="s">
        <v>1744</v>
      </c>
      <c r="D952" s="13" t="s">
        <v>1745</v>
      </c>
      <c r="E952" s="5" t="s">
        <v>5566</v>
      </c>
      <c r="F952" s="5" t="s">
        <v>4468</v>
      </c>
      <c r="G952" s="5" t="s">
        <v>4469</v>
      </c>
      <c r="H952" s="13" t="s">
        <v>2441</v>
      </c>
      <c r="I952" s="13" t="s">
        <v>2309</v>
      </c>
      <c r="J952" s="4">
        <v>11722</v>
      </c>
      <c r="K952" s="4">
        <v>1</v>
      </c>
      <c r="L952" s="4">
        <v>59</v>
      </c>
      <c r="M952" s="4">
        <v>2017</v>
      </c>
      <c r="N952" s="4">
        <v>2</v>
      </c>
      <c r="O952" s="4">
        <v>7</v>
      </c>
      <c r="P952" s="4">
        <v>1</v>
      </c>
      <c r="Q952" s="19">
        <v>2599.9899999999998</v>
      </c>
      <c r="R952" s="16">
        <v>0.1</v>
      </c>
      <c r="S952" s="16">
        <v>2599.89</v>
      </c>
      <c r="T952" s="5" t="s">
        <v>60</v>
      </c>
      <c r="U952" s="13" t="s">
        <v>305</v>
      </c>
    </row>
    <row r="953" spans="1:21" x14ac:dyDescent="0.35">
      <c r="A953" s="4">
        <v>952</v>
      </c>
      <c r="B953" s="4">
        <v>355</v>
      </c>
      <c r="C953" s="13" t="s">
        <v>1746</v>
      </c>
      <c r="D953" s="13" t="s">
        <v>1720</v>
      </c>
      <c r="E953" s="5" t="s">
        <v>5566</v>
      </c>
      <c r="F953" s="5" t="s">
        <v>4470</v>
      </c>
      <c r="G953" s="5" t="s">
        <v>4471</v>
      </c>
      <c r="H953" s="13" t="s">
        <v>3013</v>
      </c>
      <c r="I953" s="13" t="s">
        <v>2309</v>
      </c>
      <c r="J953" s="4">
        <v>11706</v>
      </c>
      <c r="K953" s="4">
        <v>1</v>
      </c>
      <c r="L953" s="4">
        <v>20</v>
      </c>
      <c r="M953" s="4">
        <v>2016</v>
      </c>
      <c r="N953" s="4">
        <v>2</v>
      </c>
      <c r="O953" s="4">
        <v>7</v>
      </c>
      <c r="P953" s="4">
        <v>2</v>
      </c>
      <c r="Q953" s="19">
        <v>599.99</v>
      </c>
      <c r="R953" s="16">
        <v>7.0000000000000007E-2</v>
      </c>
      <c r="S953" s="16">
        <v>1199.9100000000001</v>
      </c>
      <c r="T953" s="5" t="s">
        <v>25</v>
      </c>
      <c r="U953" s="13" t="s">
        <v>301</v>
      </c>
    </row>
    <row r="954" spans="1:21" x14ac:dyDescent="0.35">
      <c r="A954" s="4">
        <v>953</v>
      </c>
      <c r="B954" s="4">
        <v>658</v>
      </c>
      <c r="C954" s="13" t="s">
        <v>1279</v>
      </c>
      <c r="D954" s="13" t="s">
        <v>394</v>
      </c>
      <c r="E954" s="5" t="s">
        <v>5566</v>
      </c>
      <c r="F954" s="5" t="s">
        <v>4472</v>
      </c>
      <c r="G954" s="5" t="s">
        <v>4473</v>
      </c>
      <c r="H954" s="13" t="s">
        <v>3182</v>
      </c>
      <c r="I954" s="13" t="s">
        <v>2309</v>
      </c>
      <c r="J954" s="4">
        <v>10952</v>
      </c>
      <c r="K954" s="4">
        <v>1</v>
      </c>
      <c r="L954" s="4">
        <v>23</v>
      </c>
      <c r="M954" s="4">
        <v>2016</v>
      </c>
      <c r="N954" s="4">
        <v>2</v>
      </c>
      <c r="O954" s="4">
        <v>7</v>
      </c>
      <c r="P954" s="4">
        <v>2</v>
      </c>
      <c r="Q954" s="19">
        <v>299.99</v>
      </c>
      <c r="R954" s="16">
        <v>7.0000000000000007E-2</v>
      </c>
      <c r="S954" s="16">
        <v>599.91</v>
      </c>
      <c r="T954" s="5" t="s">
        <v>26</v>
      </c>
      <c r="U954" s="13" t="s">
        <v>299</v>
      </c>
    </row>
    <row r="955" spans="1:21" x14ac:dyDescent="0.35">
      <c r="A955" s="4">
        <v>954</v>
      </c>
      <c r="B955" s="4">
        <v>611</v>
      </c>
      <c r="C955" s="13" t="s">
        <v>1210</v>
      </c>
      <c r="D955" s="13" t="s">
        <v>1622</v>
      </c>
      <c r="E955" s="5" t="s">
        <v>5566</v>
      </c>
      <c r="F955" s="5" t="s">
        <v>4474</v>
      </c>
      <c r="G955" s="5" t="s">
        <v>4475</v>
      </c>
      <c r="H955" s="13" t="s">
        <v>3258</v>
      </c>
      <c r="I955" s="13" t="s">
        <v>2309</v>
      </c>
      <c r="J955" s="4">
        <v>11756</v>
      </c>
      <c r="K955" s="4">
        <v>1</v>
      </c>
      <c r="L955" s="4">
        <v>4</v>
      </c>
      <c r="M955" s="4">
        <v>2016</v>
      </c>
      <c r="N955" s="4">
        <v>2</v>
      </c>
      <c r="O955" s="4">
        <v>6</v>
      </c>
      <c r="P955" s="4">
        <v>2</v>
      </c>
      <c r="Q955" s="19">
        <v>2899.99</v>
      </c>
      <c r="R955" s="16">
        <v>0.1</v>
      </c>
      <c r="S955" s="16">
        <v>5799.8799999999992</v>
      </c>
      <c r="T955" s="5" t="s">
        <v>9</v>
      </c>
      <c r="U955" s="13" t="s">
        <v>304</v>
      </c>
    </row>
    <row r="956" spans="1:21" x14ac:dyDescent="0.35">
      <c r="A956" s="4">
        <v>955</v>
      </c>
      <c r="B956" s="4">
        <v>880</v>
      </c>
      <c r="C956" s="13" t="s">
        <v>920</v>
      </c>
      <c r="D956" s="13" t="s">
        <v>396</v>
      </c>
      <c r="E956" s="5" t="s">
        <v>5566</v>
      </c>
      <c r="F956" s="5" t="s">
        <v>4476</v>
      </c>
      <c r="G956" s="5" t="s">
        <v>4477</v>
      </c>
      <c r="H956" s="13" t="s">
        <v>2945</v>
      </c>
      <c r="I956" s="13" t="s">
        <v>2309</v>
      </c>
      <c r="J956" s="4">
        <v>11104</v>
      </c>
      <c r="K956" s="4">
        <v>1</v>
      </c>
      <c r="L956" s="4">
        <v>43</v>
      </c>
      <c r="M956" s="4">
        <v>2017</v>
      </c>
      <c r="N956" s="4">
        <v>2</v>
      </c>
      <c r="O956" s="4">
        <v>6</v>
      </c>
      <c r="P956" s="4">
        <v>1</v>
      </c>
      <c r="Q956" s="19">
        <v>5299.99</v>
      </c>
      <c r="R956" s="16">
        <v>0.1</v>
      </c>
      <c r="S956" s="16">
        <v>5299.8899999999994</v>
      </c>
      <c r="T956" s="5" t="s">
        <v>44</v>
      </c>
      <c r="U956" s="13" t="s">
        <v>304</v>
      </c>
    </row>
    <row r="957" spans="1:21" x14ac:dyDescent="0.35">
      <c r="A957" s="4">
        <v>956</v>
      </c>
      <c r="B957" s="4">
        <v>1184</v>
      </c>
      <c r="C957" s="13" t="s">
        <v>1747</v>
      </c>
      <c r="D957" s="13" t="s">
        <v>1418</v>
      </c>
      <c r="E957" s="5" t="s">
        <v>5566</v>
      </c>
      <c r="F957" s="5" t="s">
        <v>4478</v>
      </c>
      <c r="G957" s="5" t="s">
        <v>4479</v>
      </c>
      <c r="H957" s="13" t="s">
        <v>3063</v>
      </c>
      <c r="I957" s="13" t="s">
        <v>2309</v>
      </c>
      <c r="J957" s="4">
        <v>10977</v>
      </c>
      <c r="K957" s="4">
        <v>1</v>
      </c>
      <c r="L957" s="4">
        <v>76</v>
      </c>
      <c r="M957" s="4">
        <v>2017</v>
      </c>
      <c r="N957" s="4">
        <v>2</v>
      </c>
      <c r="O957" s="4">
        <v>6</v>
      </c>
      <c r="P957" s="4">
        <v>2</v>
      </c>
      <c r="Q957" s="19">
        <v>299.99</v>
      </c>
      <c r="R957" s="16">
        <v>0.1</v>
      </c>
      <c r="S957" s="16">
        <v>599.88</v>
      </c>
      <c r="T957" s="5" t="s">
        <v>77</v>
      </c>
      <c r="U957" s="13" t="s">
        <v>301</v>
      </c>
    </row>
    <row r="958" spans="1:21" x14ac:dyDescent="0.35">
      <c r="A958" s="4">
        <v>957</v>
      </c>
      <c r="B958" s="4">
        <v>722</v>
      </c>
      <c r="C958" s="13" t="s">
        <v>1748</v>
      </c>
      <c r="D958" s="13" t="s">
        <v>688</v>
      </c>
      <c r="E958" s="5" t="s">
        <v>4480</v>
      </c>
      <c r="F958" s="5" t="s">
        <v>4481</v>
      </c>
      <c r="G958" s="5" t="s">
        <v>4482</v>
      </c>
      <c r="H958" s="13" t="s">
        <v>3715</v>
      </c>
      <c r="I958" s="13" t="s">
        <v>2397</v>
      </c>
      <c r="J958" s="4">
        <v>78213</v>
      </c>
      <c r="K958" s="4">
        <v>1</v>
      </c>
      <c r="L958" s="4">
        <v>108</v>
      </c>
      <c r="M958" s="4">
        <v>2017</v>
      </c>
      <c r="N958" s="4">
        <v>3</v>
      </c>
      <c r="O958" s="4">
        <v>9</v>
      </c>
      <c r="P958" s="4">
        <v>2</v>
      </c>
      <c r="Q958" s="19">
        <v>449.99</v>
      </c>
      <c r="R958" s="16">
        <v>0.05</v>
      </c>
      <c r="S958" s="16">
        <v>899.93000000000006</v>
      </c>
      <c r="T958" s="5" t="s">
        <v>105</v>
      </c>
      <c r="U958" s="13" t="s">
        <v>300</v>
      </c>
    </row>
    <row r="959" spans="1:21" x14ac:dyDescent="0.35">
      <c r="A959" s="4">
        <v>958</v>
      </c>
      <c r="B959" s="4">
        <v>1276</v>
      </c>
      <c r="C959" s="13" t="s">
        <v>1749</v>
      </c>
      <c r="D959" s="13" t="s">
        <v>1750</v>
      </c>
      <c r="E959" s="5" t="s">
        <v>5566</v>
      </c>
      <c r="F959" s="5" t="s">
        <v>4483</v>
      </c>
      <c r="G959" s="5" t="s">
        <v>4484</v>
      </c>
      <c r="H959" s="13" t="s">
        <v>2885</v>
      </c>
      <c r="I959" s="13" t="s">
        <v>2305</v>
      </c>
      <c r="J959" s="4">
        <v>92307</v>
      </c>
      <c r="K959" s="4">
        <v>1</v>
      </c>
      <c r="L959" s="4">
        <v>51</v>
      </c>
      <c r="M959" s="4">
        <v>2017</v>
      </c>
      <c r="N959" s="4">
        <v>1</v>
      </c>
      <c r="O959" s="4">
        <v>2</v>
      </c>
      <c r="P959" s="4">
        <v>1</v>
      </c>
      <c r="Q959" s="19">
        <v>6499.99</v>
      </c>
      <c r="R959" s="16">
        <v>0.1</v>
      </c>
      <c r="S959" s="16">
        <v>6499.8899999999994</v>
      </c>
      <c r="T959" s="5" t="s">
        <v>52</v>
      </c>
      <c r="U959" s="13" t="s">
        <v>305</v>
      </c>
    </row>
    <row r="960" spans="1:21" x14ac:dyDescent="0.35">
      <c r="A960" s="4">
        <v>959</v>
      </c>
      <c r="B960" s="4">
        <v>650</v>
      </c>
      <c r="C960" s="13" t="s">
        <v>1751</v>
      </c>
      <c r="D960" s="13" t="s">
        <v>1665</v>
      </c>
      <c r="E960" s="5" t="s">
        <v>5566</v>
      </c>
      <c r="F960" s="5" t="s">
        <v>4485</v>
      </c>
      <c r="G960" s="5" t="s">
        <v>4486</v>
      </c>
      <c r="H960" s="13" t="s">
        <v>2444</v>
      </c>
      <c r="I960" s="13" t="s">
        <v>2309</v>
      </c>
      <c r="J960" s="4">
        <v>10562</v>
      </c>
      <c r="K960" s="4">
        <v>1</v>
      </c>
      <c r="L960" s="4">
        <v>15</v>
      </c>
      <c r="M960" s="4">
        <v>2016</v>
      </c>
      <c r="N960" s="4">
        <v>2</v>
      </c>
      <c r="O960" s="4">
        <v>7</v>
      </c>
      <c r="P960" s="4">
        <v>1</v>
      </c>
      <c r="Q960" s="19">
        <v>529.99</v>
      </c>
      <c r="R960" s="16">
        <v>0.2</v>
      </c>
      <c r="S960" s="16">
        <v>529.79</v>
      </c>
      <c r="T960" s="5" t="s">
        <v>20</v>
      </c>
      <c r="U960" s="13" t="s">
        <v>301</v>
      </c>
    </row>
    <row r="961" spans="1:21" x14ac:dyDescent="0.35">
      <c r="A961" s="4">
        <v>960</v>
      </c>
      <c r="B961" s="4">
        <v>1390</v>
      </c>
      <c r="C961" s="13" t="s">
        <v>469</v>
      </c>
      <c r="D961" s="13" t="s">
        <v>728</v>
      </c>
      <c r="E961" s="5" t="s">
        <v>5566</v>
      </c>
      <c r="F961" s="5" t="s">
        <v>4487</v>
      </c>
      <c r="G961" s="5" t="s">
        <v>4488</v>
      </c>
      <c r="H961" s="13" t="s">
        <v>2512</v>
      </c>
      <c r="I961" s="13" t="s">
        <v>2309</v>
      </c>
      <c r="J961" s="4">
        <v>11361</v>
      </c>
      <c r="K961" s="4">
        <v>1</v>
      </c>
      <c r="L961" s="4">
        <v>73</v>
      </c>
      <c r="M961" s="4">
        <v>2017</v>
      </c>
      <c r="N961" s="4">
        <v>2</v>
      </c>
      <c r="O961" s="4">
        <v>7</v>
      </c>
      <c r="P961" s="4">
        <v>2</v>
      </c>
      <c r="Q961" s="19">
        <v>749.99</v>
      </c>
      <c r="R961" s="16">
        <v>0.05</v>
      </c>
      <c r="S961" s="16">
        <v>1499.93</v>
      </c>
      <c r="T961" s="5" t="s">
        <v>74</v>
      </c>
      <c r="U961" s="13" t="s">
        <v>301</v>
      </c>
    </row>
    <row r="962" spans="1:21" x14ac:dyDescent="0.35">
      <c r="A962" s="4">
        <v>961</v>
      </c>
      <c r="B962" s="4">
        <v>82</v>
      </c>
      <c r="C962" s="13" t="s">
        <v>1752</v>
      </c>
      <c r="D962" s="13" t="s">
        <v>1236</v>
      </c>
      <c r="E962" s="5" t="s">
        <v>5566</v>
      </c>
      <c r="F962" s="5" t="s">
        <v>4489</v>
      </c>
      <c r="G962" s="5" t="s">
        <v>4490</v>
      </c>
      <c r="H962" s="13" t="s">
        <v>2359</v>
      </c>
      <c r="I962" s="13" t="s">
        <v>2305</v>
      </c>
      <c r="J962" s="4">
        <v>92236</v>
      </c>
      <c r="K962" s="4">
        <v>1</v>
      </c>
      <c r="L962" s="4">
        <v>105</v>
      </c>
      <c r="M962" s="4">
        <v>2017</v>
      </c>
      <c r="N962" s="4">
        <v>1</v>
      </c>
      <c r="O962" s="4">
        <v>2</v>
      </c>
      <c r="P962" s="4">
        <v>1</v>
      </c>
      <c r="Q962" s="19">
        <v>533.99</v>
      </c>
      <c r="R962" s="16">
        <v>0.1</v>
      </c>
      <c r="S962" s="16">
        <v>533.89</v>
      </c>
      <c r="T962" s="5" t="s">
        <v>104</v>
      </c>
      <c r="U962" s="13" t="s">
        <v>300</v>
      </c>
    </row>
    <row r="963" spans="1:21" x14ac:dyDescent="0.35">
      <c r="A963" s="4">
        <v>962</v>
      </c>
      <c r="B963" s="4">
        <v>570</v>
      </c>
      <c r="C963" s="13" t="s">
        <v>1753</v>
      </c>
      <c r="D963" s="13" t="s">
        <v>546</v>
      </c>
      <c r="E963" s="5" t="s">
        <v>5566</v>
      </c>
      <c r="F963" s="5" t="s">
        <v>4491</v>
      </c>
      <c r="G963" s="5" t="s">
        <v>4492</v>
      </c>
      <c r="H963" s="13" t="s">
        <v>2422</v>
      </c>
      <c r="I963" s="13" t="s">
        <v>2309</v>
      </c>
      <c r="J963" s="4">
        <v>11412</v>
      </c>
      <c r="K963" s="4">
        <v>1</v>
      </c>
      <c r="L963" s="4">
        <v>65</v>
      </c>
      <c r="M963" s="4">
        <v>2017</v>
      </c>
      <c r="N963" s="4">
        <v>2</v>
      </c>
      <c r="O963" s="4">
        <v>7</v>
      </c>
      <c r="P963" s="4">
        <v>2</v>
      </c>
      <c r="Q963" s="19">
        <v>346.99</v>
      </c>
      <c r="R963" s="16">
        <v>7.0000000000000007E-2</v>
      </c>
      <c r="S963" s="16">
        <v>693.91</v>
      </c>
      <c r="T963" s="5" t="s">
        <v>66</v>
      </c>
      <c r="U963" s="13" t="s">
        <v>301</v>
      </c>
    </row>
    <row r="964" spans="1:21" x14ac:dyDescent="0.35">
      <c r="A964" s="4">
        <v>963</v>
      </c>
      <c r="B964" s="4">
        <v>1432</v>
      </c>
      <c r="C964" s="13" t="s">
        <v>1754</v>
      </c>
      <c r="D964" s="13" t="s">
        <v>1755</v>
      </c>
      <c r="E964" s="5" t="s">
        <v>5566</v>
      </c>
      <c r="F964" s="5" t="s">
        <v>4493</v>
      </c>
      <c r="G964" s="5" t="s">
        <v>4494</v>
      </c>
      <c r="H964" s="13" t="s">
        <v>2806</v>
      </c>
      <c r="I964" s="13" t="s">
        <v>2309</v>
      </c>
      <c r="J964" s="4">
        <v>11731</v>
      </c>
      <c r="K964" s="4">
        <v>1</v>
      </c>
      <c r="L964" s="4">
        <v>4</v>
      </c>
      <c r="M964" s="4">
        <v>2016</v>
      </c>
      <c r="N964" s="4">
        <v>2</v>
      </c>
      <c r="O964" s="4">
        <v>6</v>
      </c>
      <c r="P964" s="4">
        <v>1</v>
      </c>
      <c r="Q964" s="19">
        <v>2899.99</v>
      </c>
      <c r="R964" s="16">
        <v>7.0000000000000007E-2</v>
      </c>
      <c r="S964" s="16">
        <v>2899.9199999999996</v>
      </c>
      <c r="T964" s="5" t="s">
        <v>9</v>
      </c>
      <c r="U964" s="13" t="s">
        <v>304</v>
      </c>
    </row>
    <row r="965" spans="1:21" x14ac:dyDescent="0.35">
      <c r="A965" s="4">
        <v>964</v>
      </c>
      <c r="B965" s="4">
        <v>404</v>
      </c>
      <c r="C965" s="13" t="s">
        <v>1194</v>
      </c>
      <c r="D965" s="13" t="s">
        <v>1197</v>
      </c>
      <c r="E965" s="5" t="s">
        <v>5566</v>
      </c>
      <c r="F965" s="5" t="s">
        <v>4495</v>
      </c>
      <c r="G965" s="5" t="s">
        <v>4496</v>
      </c>
      <c r="H965" s="13" t="s">
        <v>2518</v>
      </c>
      <c r="I965" s="13" t="s">
        <v>2309</v>
      </c>
      <c r="J965" s="4">
        <v>12020</v>
      </c>
      <c r="K965" s="4">
        <v>1</v>
      </c>
      <c r="L965" s="4">
        <v>90</v>
      </c>
      <c r="M965" s="4">
        <v>2017</v>
      </c>
      <c r="N965" s="4">
        <v>2</v>
      </c>
      <c r="O965" s="4">
        <v>7</v>
      </c>
      <c r="P965" s="4">
        <v>1</v>
      </c>
      <c r="Q965" s="19">
        <v>209.99</v>
      </c>
      <c r="R965" s="16">
        <v>0.2</v>
      </c>
      <c r="S965" s="16">
        <v>209.79000000000002</v>
      </c>
      <c r="T965" s="5" t="s">
        <v>91</v>
      </c>
      <c r="U965" s="13" t="s">
        <v>299</v>
      </c>
    </row>
    <row r="966" spans="1:21" x14ac:dyDescent="0.35">
      <c r="A966" s="4">
        <v>965</v>
      </c>
      <c r="B966" s="4">
        <v>457</v>
      </c>
      <c r="C966" s="13" t="s">
        <v>1475</v>
      </c>
      <c r="D966" s="13" t="s">
        <v>1726</v>
      </c>
      <c r="E966" s="5" t="s">
        <v>5566</v>
      </c>
      <c r="F966" s="5" t="s">
        <v>4497</v>
      </c>
      <c r="G966" s="5" t="s">
        <v>4498</v>
      </c>
      <c r="H966" s="13" t="s">
        <v>2387</v>
      </c>
      <c r="I966" s="13" t="s">
        <v>2309</v>
      </c>
      <c r="J966" s="4">
        <v>11418</v>
      </c>
      <c r="K966" s="4">
        <v>1</v>
      </c>
      <c r="L966" s="4">
        <v>90</v>
      </c>
      <c r="M966" s="4">
        <v>2017</v>
      </c>
      <c r="N966" s="4">
        <v>2</v>
      </c>
      <c r="O966" s="4">
        <v>6</v>
      </c>
      <c r="P966" s="4">
        <v>2</v>
      </c>
      <c r="Q966" s="19">
        <v>209.99</v>
      </c>
      <c r="R966" s="16">
        <v>0.1</v>
      </c>
      <c r="S966" s="16">
        <v>419.88</v>
      </c>
      <c r="T966" s="5" t="s">
        <v>91</v>
      </c>
      <c r="U966" s="13" t="s">
        <v>299</v>
      </c>
    </row>
    <row r="967" spans="1:21" x14ac:dyDescent="0.35">
      <c r="A967" s="4">
        <v>966</v>
      </c>
      <c r="B967" s="4">
        <v>389</v>
      </c>
      <c r="C967" s="13" t="s">
        <v>1756</v>
      </c>
      <c r="D967" s="13" t="s">
        <v>1757</v>
      </c>
      <c r="E967" s="5" t="s">
        <v>5566</v>
      </c>
      <c r="F967" s="5" t="s">
        <v>4499</v>
      </c>
      <c r="G967" s="5" t="s">
        <v>4500</v>
      </c>
      <c r="H967" s="13" t="s">
        <v>2849</v>
      </c>
      <c r="I967" s="13" t="s">
        <v>2397</v>
      </c>
      <c r="J967" s="4">
        <v>76901</v>
      </c>
      <c r="K967" s="4">
        <v>1</v>
      </c>
      <c r="L967" s="4">
        <v>88</v>
      </c>
      <c r="M967" s="4">
        <v>2017</v>
      </c>
      <c r="N967" s="4">
        <v>3</v>
      </c>
      <c r="O967" s="4">
        <v>8</v>
      </c>
      <c r="P967" s="4">
        <v>1</v>
      </c>
      <c r="Q967" s="19">
        <v>189.99</v>
      </c>
      <c r="R967" s="16">
        <v>0.05</v>
      </c>
      <c r="S967" s="16">
        <v>189.94</v>
      </c>
      <c r="T967" s="5" t="s">
        <v>89</v>
      </c>
      <c r="U967" s="13" t="s">
        <v>299</v>
      </c>
    </row>
    <row r="968" spans="1:21" x14ac:dyDescent="0.35">
      <c r="A968" s="4">
        <v>967</v>
      </c>
      <c r="B968" s="4">
        <v>1323</v>
      </c>
      <c r="C968" s="13" t="s">
        <v>1758</v>
      </c>
      <c r="D968" s="13" t="s">
        <v>1759</v>
      </c>
      <c r="E968" s="5" t="s">
        <v>5566</v>
      </c>
      <c r="F968" s="5" t="s">
        <v>4501</v>
      </c>
      <c r="G968" s="5" t="s">
        <v>4502</v>
      </c>
      <c r="H968" s="13" t="s">
        <v>2682</v>
      </c>
      <c r="I968" s="13" t="s">
        <v>2309</v>
      </c>
      <c r="J968" s="4">
        <v>11704</v>
      </c>
      <c r="K968" s="4">
        <v>1</v>
      </c>
      <c r="L968" s="4">
        <v>66</v>
      </c>
      <c r="M968" s="4">
        <v>2017</v>
      </c>
      <c r="N968" s="4">
        <v>2</v>
      </c>
      <c r="O968" s="4">
        <v>6</v>
      </c>
      <c r="P968" s="4">
        <v>1</v>
      </c>
      <c r="Q968" s="19">
        <v>250.99</v>
      </c>
      <c r="R968" s="16">
        <v>0.2</v>
      </c>
      <c r="S968" s="16">
        <v>250.79000000000002</v>
      </c>
      <c r="T968" s="5" t="s">
        <v>67</v>
      </c>
      <c r="U968" s="13" t="s">
        <v>301</v>
      </c>
    </row>
    <row r="969" spans="1:21" x14ac:dyDescent="0.35">
      <c r="A969" s="4">
        <v>968</v>
      </c>
      <c r="B969" s="4">
        <v>1403</v>
      </c>
      <c r="C969" s="13" t="s">
        <v>1100</v>
      </c>
      <c r="D969" s="13" t="s">
        <v>1760</v>
      </c>
      <c r="E969" s="5" t="s">
        <v>4503</v>
      </c>
      <c r="F969" s="5" t="s">
        <v>4504</v>
      </c>
      <c r="G969" s="5" t="s">
        <v>4505</v>
      </c>
      <c r="H969" s="13" t="s">
        <v>3027</v>
      </c>
      <c r="I969" s="13" t="s">
        <v>2309</v>
      </c>
      <c r="J969" s="4">
        <v>12180</v>
      </c>
      <c r="K969" s="4">
        <v>1</v>
      </c>
      <c r="L969" s="4">
        <v>87</v>
      </c>
      <c r="M969" s="4">
        <v>2017</v>
      </c>
      <c r="N969" s="4">
        <v>2</v>
      </c>
      <c r="O969" s="4">
        <v>6</v>
      </c>
      <c r="P969" s="4">
        <v>1</v>
      </c>
      <c r="Q969" s="19">
        <v>189.99</v>
      </c>
      <c r="R969" s="16">
        <v>0.2</v>
      </c>
      <c r="S969" s="16">
        <v>189.79000000000002</v>
      </c>
      <c r="T969" s="5" t="s">
        <v>88</v>
      </c>
      <c r="U969" s="13" t="s">
        <v>299</v>
      </c>
    </row>
    <row r="970" spans="1:21" x14ac:dyDescent="0.35">
      <c r="A970" s="4">
        <v>969</v>
      </c>
      <c r="B970" s="4">
        <v>248</v>
      </c>
      <c r="C970" s="13" t="s">
        <v>1761</v>
      </c>
      <c r="D970" s="13" t="s">
        <v>506</v>
      </c>
      <c r="E970" s="5" t="s">
        <v>5566</v>
      </c>
      <c r="F970" s="5" t="s">
        <v>4506</v>
      </c>
      <c r="G970" s="5" t="s">
        <v>4507</v>
      </c>
      <c r="H970" s="13" t="s">
        <v>4005</v>
      </c>
      <c r="I970" s="13" t="s">
        <v>2397</v>
      </c>
      <c r="J970" s="4">
        <v>78501</v>
      </c>
      <c r="K970" s="4">
        <v>1</v>
      </c>
      <c r="L970" s="4">
        <v>74</v>
      </c>
      <c r="M970" s="4">
        <v>2017</v>
      </c>
      <c r="N970" s="4">
        <v>3</v>
      </c>
      <c r="O970" s="4">
        <v>9</v>
      </c>
      <c r="P970" s="4">
        <v>1</v>
      </c>
      <c r="Q970" s="19">
        <v>439.99</v>
      </c>
      <c r="R970" s="16">
        <v>0.2</v>
      </c>
      <c r="S970" s="16">
        <v>439.79</v>
      </c>
      <c r="T970" s="5" t="s">
        <v>75</v>
      </c>
      <c r="U970" s="13" t="s">
        <v>301</v>
      </c>
    </row>
    <row r="971" spans="1:21" x14ac:dyDescent="0.35">
      <c r="A971" s="4">
        <v>970</v>
      </c>
      <c r="B971" s="4">
        <v>836</v>
      </c>
      <c r="C971" s="13" t="s">
        <v>1762</v>
      </c>
      <c r="D971" s="13" t="s">
        <v>1763</v>
      </c>
      <c r="E971" s="5" t="s">
        <v>5566</v>
      </c>
      <c r="F971" s="5" t="s">
        <v>4508</v>
      </c>
      <c r="G971" s="5" t="s">
        <v>4509</v>
      </c>
      <c r="H971" s="13" t="s">
        <v>2737</v>
      </c>
      <c r="I971" s="13" t="s">
        <v>2309</v>
      </c>
      <c r="J971" s="4">
        <v>11422</v>
      </c>
      <c r="K971" s="4">
        <v>1</v>
      </c>
      <c r="L971" s="4">
        <v>85</v>
      </c>
      <c r="M971" s="4">
        <v>2017</v>
      </c>
      <c r="N971" s="4">
        <v>2</v>
      </c>
      <c r="O971" s="4">
        <v>7</v>
      </c>
      <c r="P971" s="4">
        <v>1</v>
      </c>
      <c r="Q971" s="19">
        <v>329.99</v>
      </c>
      <c r="R971" s="16">
        <v>0.1</v>
      </c>
      <c r="S971" s="16">
        <v>329.89</v>
      </c>
      <c r="T971" s="5" t="s">
        <v>86</v>
      </c>
      <c r="U971" s="13" t="s">
        <v>299</v>
      </c>
    </row>
    <row r="972" spans="1:21" x14ac:dyDescent="0.35">
      <c r="A972" s="4">
        <v>971</v>
      </c>
      <c r="B972" s="4">
        <v>1426</v>
      </c>
      <c r="C972" s="13" t="s">
        <v>1764</v>
      </c>
      <c r="D972" s="13" t="s">
        <v>877</v>
      </c>
      <c r="E972" s="5" t="s">
        <v>4510</v>
      </c>
      <c r="F972" s="5" t="s">
        <v>4511</v>
      </c>
      <c r="G972" s="5" t="s">
        <v>4512</v>
      </c>
      <c r="H972" s="13" t="s">
        <v>2453</v>
      </c>
      <c r="I972" s="13" t="s">
        <v>2397</v>
      </c>
      <c r="J972" s="4">
        <v>78418</v>
      </c>
      <c r="K972" s="4">
        <v>1</v>
      </c>
      <c r="L972" s="4">
        <v>70</v>
      </c>
      <c r="M972" s="4">
        <v>2017</v>
      </c>
      <c r="N972" s="4">
        <v>3</v>
      </c>
      <c r="O972" s="4">
        <v>8</v>
      </c>
      <c r="P972" s="4">
        <v>2</v>
      </c>
      <c r="Q972" s="19">
        <v>659.99</v>
      </c>
      <c r="R972" s="16">
        <v>0.05</v>
      </c>
      <c r="S972" s="16">
        <v>1319.93</v>
      </c>
      <c r="T972" s="5" t="s">
        <v>71</v>
      </c>
      <c r="U972" s="13" t="s">
        <v>301</v>
      </c>
    </row>
    <row r="973" spans="1:21" x14ac:dyDescent="0.35">
      <c r="A973" s="4">
        <v>972</v>
      </c>
      <c r="B973" s="4">
        <v>270</v>
      </c>
      <c r="C973" s="13" t="s">
        <v>1765</v>
      </c>
      <c r="D973" s="13" t="s">
        <v>1394</v>
      </c>
      <c r="E973" s="5" t="s">
        <v>5566</v>
      </c>
      <c r="F973" s="5" t="s">
        <v>4513</v>
      </c>
      <c r="G973" s="5" t="s">
        <v>4514</v>
      </c>
      <c r="H973" s="13" t="s">
        <v>2605</v>
      </c>
      <c r="I973" s="13" t="s">
        <v>2309</v>
      </c>
      <c r="J973" s="4">
        <v>12401</v>
      </c>
      <c r="K973" s="4">
        <v>1</v>
      </c>
      <c r="L973" s="4">
        <v>100</v>
      </c>
      <c r="M973" s="4">
        <v>2017</v>
      </c>
      <c r="N973" s="4">
        <v>2</v>
      </c>
      <c r="O973" s="4">
        <v>7</v>
      </c>
      <c r="P973" s="4">
        <v>1</v>
      </c>
      <c r="Q973" s="19">
        <v>489.99</v>
      </c>
      <c r="R973" s="16">
        <v>0.2</v>
      </c>
      <c r="S973" s="16">
        <v>489.79</v>
      </c>
      <c r="T973" s="5" t="s">
        <v>100</v>
      </c>
      <c r="U973" s="13" t="s">
        <v>299</v>
      </c>
    </row>
    <row r="974" spans="1:21" x14ac:dyDescent="0.35">
      <c r="A974" s="4">
        <v>973</v>
      </c>
      <c r="B974" s="4">
        <v>238</v>
      </c>
      <c r="C974" s="13" t="s">
        <v>648</v>
      </c>
      <c r="D974" s="13" t="s">
        <v>394</v>
      </c>
      <c r="E974" s="5" t="s">
        <v>5566</v>
      </c>
      <c r="F974" s="5" t="s">
        <v>4515</v>
      </c>
      <c r="G974" s="5" t="s">
        <v>4516</v>
      </c>
      <c r="H974" s="13" t="s">
        <v>2690</v>
      </c>
      <c r="I974" s="13" t="s">
        <v>2309</v>
      </c>
      <c r="J974" s="4">
        <v>11414</v>
      </c>
      <c r="K974" s="4">
        <v>1</v>
      </c>
      <c r="L974" s="4">
        <v>4</v>
      </c>
      <c r="M974" s="4">
        <v>2016</v>
      </c>
      <c r="N974" s="4">
        <v>2</v>
      </c>
      <c r="O974" s="4">
        <v>6</v>
      </c>
      <c r="P974" s="4">
        <v>2</v>
      </c>
      <c r="Q974" s="19">
        <v>2899.99</v>
      </c>
      <c r="R974" s="16">
        <v>0.1</v>
      </c>
      <c r="S974" s="16">
        <v>5799.8799999999992</v>
      </c>
      <c r="T974" s="5" t="s">
        <v>9</v>
      </c>
      <c r="U974" s="13" t="s">
        <v>304</v>
      </c>
    </row>
    <row r="975" spans="1:21" x14ac:dyDescent="0.35">
      <c r="A975" s="4">
        <v>974</v>
      </c>
      <c r="B975" s="4">
        <v>511</v>
      </c>
      <c r="C975" s="13" t="s">
        <v>1766</v>
      </c>
      <c r="D975" s="13" t="s">
        <v>1760</v>
      </c>
      <c r="E975" s="5" t="s">
        <v>4517</v>
      </c>
      <c r="F975" s="5" t="s">
        <v>4518</v>
      </c>
      <c r="G975" s="5" t="s">
        <v>4519</v>
      </c>
      <c r="H975" s="13" t="s">
        <v>2587</v>
      </c>
      <c r="I975" s="13" t="s">
        <v>2397</v>
      </c>
      <c r="J975" s="4">
        <v>76110</v>
      </c>
      <c r="K975" s="4">
        <v>1</v>
      </c>
      <c r="L975" s="4">
        <v>33</v>
      </c>
      <c r="M975" s="4">
        <v>2017</v>
      </c>
      <c r="N975" s="4">
        <v>3</v>
      </c>
      <c r="O975" s="4">
        <v>8</v>
      </c>
      <c r="P975" s="4">
        <v>2</v>
      </c>
      <c r="Q975" s="19">
        <v>469.99</v>
      </c>
      <c r="R975" s="16">
        <v>0.1</v>
      </c>
      <c r="S975" s="16">
        <v>939.88</v>
      </c>
      <c r="T975" s="5" t="s">
        <v>34</v>
      </c>
      <c r="U975" s="13" t="s">
        <v>304</v>
      </c>
    </row>
    <row r="976" spans="1:21" x14ac:dyDescent="0.35">
      <c r="A976" s="4">
        <v>975</v>
      </c>
      <c r="B976" s="4">
        <v>1092</v>
      </c>
      <c r="C976" s="13" t="s">
        <v>1767</v>
      </c>
      <c r="D976" s="13" t="s">
        <v>1759</v>
      </c>
      <c r="E976" s="5" t="s">
        <v>5566</v>
      </c>
      <c r="F976" s="5" t="s">
        <v>4520</v>
      </c>
      <c r="G976" s="5" t="s">
        <v>4521</v>
      </c>
      <c r="H976" s="13" t="s">
        <v>2806</v>
      </c>
      <c r="I976" s="13" t="s">
        <v>2309</v>
      </c>
      <c r="J976" s="4">
        <v>11731</v>
      </c>
      <c r="K976" s="4">
        <v>1</v>
      </c>
      <c r="L976" s="4">
        <v>110</v>
      </c>
      <c r="M976" s="4">
        <v>2017</v>
      </c>
      <c r="N976" s="4">
        <v>2</v>
      </c>
      <c r="O976" s="4">
        <v>6</v>
      </c>
      <c r="P976" s="4">
        <v>2</v>
      </c>
      <c r="Q976" s="19">
        <v>470.99</v>
      </c>
      <c r="R976" s="16">
        <v>0.2</v>
      </c>
      <c r="S976" s="16">
        <v>941.78</v>
      </c>
      <c r="T976" s="5" t="s">
        <v>107</v>
      </c>
      <c r="U976" s="13" t="s">
        <v>300</v>
      </c>
    </row>
    <row r="977" spans="1:21" x14ac:dyDescent="0.35">
      <c r="A977" s="4">
        <v>976</v>
      </c>
      <c r="B977" s="4">
        <v>1266</v>
      </c>
      <c r="C977" s="13" t="s">
        <v>1768</v>
      </c>
      <c r="D977" s="13" t="s">
        <v>1769</v>
      </c>
      <c r="E977" s="5" t="s">
        <v>5566</v>
      </c>
      <c r="F977" s="5" t="s">
        <v>4522</v>
      </c>
      <c r="G977" s="5" t="s">
        <v>4523</v>
      </c>
      <c r="H977" s="13" t="s">
        <v>902</v>
      </c>
      <c r="I977" s="13" t="s">
        <v>2397</v>
      </c>
      <c r="J977" s="4">
        <v>75043</v>
      </c>
      <c r="K977" s="4">
        <v>1</v>
      </c>
      <c r="L977" s="4">
        <v>26</v>
      </c>
      <c r="M977" s="4">
        <v>2016</v>
      </c>
      <c r="N977" s="4">
        <v>3</v>
      </c>
      <c r="O977" s="4">
        <v>9</v>
      </c>
      <c r="P977" s="4">
        <v>2</v>
      </c>
      <c r="Q977" s="19">
        <v>599.99</v>
      </c>
      <c r="R977" s="16">
        <v>0.1</v>
      </c>
      <c r="S977" s="16">
        <v>1199.8800000000001</v>
      </c>
      <c r="T977" s="5" t="s">
        <v>21</v>
      </c>
      <c r="U977" s="13" t="s">
        <v>300</v>
      </c>
    </row>
    <row r="978" spans="1:21" x14ac:dyDescent="0.35">
      <c r="A978" s="4">
        <v>977</v>
      </c>
      <c r="B978" s="4">
        <v>400</v>
      </c>
      <c r="C978" s="13" t="s">
        <v>1770</v>
      </c>
      <c r="D978" s="13" t="s">
        <v>1771</v>
      </c>
      <c r="E978" s="5" t="s">
        <v>5566</v>
      </c>
      <c r="F978" s="5" t="s">
        <v>4524</v>
      </c>
      <c r="G978" s="5" t="s">
        <v>4525</v>
      </c>
      <c r="H978" s="13" t="s">
        <v>4270</v>
      </c>
      <c r="I978" s="13" t="s">
        <v>2309</v>
      </c>
      <c r="J978" s="4">
        <v>14043</v>
      </c>
      <c r="K978" s="4">
        <v>1</v>
      </c>
      <c r="L978" s="4">
        <v>52</v>
      </c>
      <c r="M978" s="4">
        <v>2017</v>
      </c>
      <c r="N978" s="4">
        <v>2</v>
      </c>
      <c r="O978" s="4">
        <v>7</v>
      </c>
      <c r="P978" s="4">
        <v>2</v>
      </c>
      <c r="Q978" s="19">
        <v>875.99</v>
      </c>
      <c r="R978" s="16">
        <v>0.1</v>
      </c>
      <c r="S978" s="16">
        <v>1751.88</v>
      </c>
      <c r="T978" s="5" t="s">
        <v>53</v>
      </c>
      <c r="U978" s="13" t="s">
        <v>305</v>
      </c>
    </row>
    <row r="979" spans="1:21" x14ac:dyDescent="0.35">
      <c r="A979" s="4">
        <v>978</v>
      </c>
      <c r="B979" s="4">
        <v>1123</v>
      </c>
      <c r="C979" s="13" t="s">
        <v>1772</v>
      </c>
      <c r="D979" s="13" t="s">
        <v>2294</v>
      </c>
      <c r="E979" s="5" t="s">
        <v>5566</v>
      </c>
      <c r="F979" s="5" t="s">
        <v>4526</v>
      </c>
      <c r="G979" s="5" t="s">
        <v>4527</v>
      </c>
      <c r="H979" s="13" t="s">
        <v>4021</v>
      </c>
      <c r="I979" s="13" t="s">
        <v>2309</v>
      </c>
      <c r="J979" s="4">
        <v>14450</v>
      </c>
      <c r="K979" s="4">
        <v>1</v>
      </c>
      <c r="L979" s="4">
        <v>106</v>
      </c>
      <c r="M979" s="4">
        <v>2017</v>
      </c>
      <c r="N979" s="4">
        <v>2</v>
      </c>
      <c r="O979" s="4">
        <v>6</v>
      </c>
      <c r="P979" s="4">
        <v>2</v>
      </c>
      <c r="Q979" s="19">
        <v>449.99</v>
      </c>
      <c r="R979" s="16">
        <v>0.05</v>
      </c>
      <c r="S979" s="16">
        <v>899.93000000000006</v>
      </c>
      <c r="T979" s="5" t="s">
        <v>69</v>
      </c>
      <c r="U979" s="13" t="s">
        <v>300</v>
      </c>
    </row>
    <row r="980" spans="1:21" x14ac:dyDescent="0.35">
      <c r="A980" s="4">
        <v>979</v>
      </c>
      <c r="B980" s="4">
        <v>1190</v>
      </c>
      <c r="C980" s="13" t="s">
        <v>1773</v>
      </c>
      <c r="D980" s="13" t="s">
        <v>1197</v>
      </c>
      <c r="E980" s="5" t="s">
        <v>5566</v>
      </c>
      <c r="F980" s="5" t="s">
        <v>4528</v>
      </c>
      <c r="G980" s="5" t="s">
        <v>4529</v>
      </c>
      <c r="H980" s="13" t="s">
        <v>2729</v>
      </c>
      <c r="I980" s="13" t="s">
        <v>2309</v>
      </c>
      <c r="J980" s="4">
        <v>11776</v>
      </c>
      <c r="K980" s="4">
        <v>1</v>
      </c>
      <c r="L980" s="4">
        <v>55</v>
      </c>
      <c r="M980" s="4">
        <v>2017</v>
      </c>
      <c r="N980" s="4">
        <v>2</v>
      </c>
      <c r="O980" s="4">
        <v>6</v>
      </c>
      <c r="P980" s="4">
        <v>1</v>
      </c>
      <c r="Q980" s="19">
        <v>2699.99</v>
      </c>
      <c r="R980" s="16">
        <v>0.05</v>
      </c>
      <c r="S980" s="16">
        <v>2699.9399999999996</v>
      </c>
      <c r="T980" s="5" t="s">
        <v>56</v>
      </c>
      <c r="U980" s="13" t="s">
        <v>305</v>
      </c>
    </row>
    <row r="981" spans="1:21" x14ac:dyDescent="0.35">
      <c r="A981" s="4">
        <v>980</v>
      </c>
      <c r="B981" s="4">
        <v>328</v>
      </c>
      <c r="C981" s="13" t="s">
        <v>1515</v>
      </c>
      <c r="D981" s="13" t="s">
        <v>734</v>
      </c>
      <c r="E981" s="5" t="s">
        <v>5566</v>
      </c>
      <c r="F981" s="5" t="s">
        <v>4530</v>
      </c>
      <c r="G981" s="5" t="s">
        <v>4531</v>
      </c>
      <c r="H981" s="13" t="s">
        <v>2666</v>
      </c>
      <c r="I981" s="13" t="s">
        <v>2397</v>
      </c>
      <c r="J981" s="4">
        <v>76039</v>
      </c>
      <c r="K981" s="4">
        <v>1</v>
      </c>
      <c r="L981" s="4">
        <v>49</v>
      </c>
      <c r="M981" s="4">
        <v>2017</v>
      </c>
      <c r="N981" s="4">
        <v>3</v>
      </c>
      <c r="O981" s="4">
        <v>9</v>
      </c>
      <c r="P981" s="4">
        <v>2</v>
      </c>
      <c r="Q981" s="19">
        <v>3499.99</v>
      </c>
      <c r="R981" s="16">
        <v>0.2</v>
      </c>
      <c r="S981" s="16">
        <v>6999.78</v>
      </c>
      <c r="T981" s="5" t="s">
        <v>50</v>
      </c>
      <c r="U981" s="13" t="s">
        <v>305</v>
      </c>
    </row>
    <row r="982" spans="1:21" x14ac:dyDescent="0.35">
      <c r="A982" s="4">
        <v>981</v>
      </c>
      <c r="B982" s="4">
        <v>687</v>
      </c>
      <c r="C982" s="13" t="s">
        <v>1774</v>
      </c>
      <c r="D982" s="13" t="s">
        <v>1775</v>
      </c>
      <c r="E982" s="5" t="s">
        <v>5566</v>
      </c>
      <c r="F982" s="5" t="s">
        <v>4532</v>
      </c>
      <c r="G982" s="5" t="s">
        <v>4533</v>
      </c>
      <c r="H982" s="13" t="s">
        <v>2687</v>
      </c>
      <c r="I982" s="13" t="s">
        <v>2397</v>
      </c>
      <c r="J982" s="4">
        <v>75115</v>
      </c>
      <c r="K982" s="4">
        <v>1</v>
      </c>
      <c r="L982" s="4">
        <v>35</v>
      </c>
      <c r="M982" s="4">
        <v>2017</v>
      </c>
      <c r="N982" s="4">
        <v>3</v>
      </c>
      <c r="O982" s="4">
        <v>8</v>
      </c>
      <c r="P982" s="4">
        <v>1</v>
      </c>
      <c r="Q982" s="19">
        <v>832.99</v>
      </c>
      <c r="R982" s="16">
        <v>0.1</v>
      </c>
      <c r="S982" s="16">
        <v>832.89</v>
      </c>
      <c r="T982" s="5" t="s">
        <v>36</v>
      </c>
      <c r="U982" s="13" t="s">
        <v>304</v>
      </c>
    </row>
    <row r="983" spans="1:21" x14ac:dyDescent="0.35">
      <c r="A983" s="4">
        <v>982</v>
      </c>
      <c r="B983" s="4">
        <v>1423</v>
      </c>
      <c r="C983" s="13" t="s">
        <v>1776</v>
      </c>
      <c r="D983" s="13" t="s">
        <v>1777</v>
      </c>
      <c r="E983" s="5" t="s">
        <v>4534</v>
      </c>
      <c r="F983" s="5" t="s">
        <v>4535</v>
      </c>
      <c r="G983" s="5" t="s">
        <v>4536</v>
      </c>
      <c r="H983" s="13" t="s">
        <v>2587</v>
      </c>
      <c r="I983" s="13" t="s">
        <v>2397</v>
      </c>
      <c r="J983" s="4">
        <v>76110</v>
      </c>
      <c r="K983" s="4">
        <v>1</v>
      </c>
      <c r="L983" s="4">
        <v>22</v>
      </c>
      <c r="M983" s="4">
        <v>2016</v>
      </c>
      <c r="N983" s="4">
        <v>3</v>
      </c>
      <c r="O983" s="4">
        <v>9</v>
      </c>
      <c r="P983" s="4">
        <v>2</v>
      </c>
      <c r="Q983" s="19">
        <v>269.99</v>
      </c>
      <c r="R983" s="16">
        <v>0.1</v>
      </c>
      <c r="S983" s="16">
        <v>539.88</v>
      </c>
      <c r="T983" s="5" t="s">
        <v>19</v>
      </c>
      <c r="U983" s="13" t="s">
        <v>299</v>
      </c>
    </row>
    <row r="984" spans="1:21" x14ac:dyDescent="0.35">
      <c r="A984" s="4">
        <v>983</v>
      </c>
      <c r="B984" s="4">
        <v>1158</v>
      </c>
      <c r="C984" s="13" t="s">
        <v>1778</v>
      </c>
      <c r="D984" s="13" t="s">
        <v>1140</v>
      </c>
      <c r="E984" s="5" t="s">
        <v>5566</v>
      </c>
      <c r="F984" s="5" t="s">
        <v>4537</v>
      </c>
      <c r="G984" s="5" t="s">
        <v>4538</v>
      </c>
      <c r="H984" s="13" t="s">
        <v>3204</v>
      </c>
      <c r="I984" s="13" t="s">
        <v>2309</v>
      </c>
      <c r="J984" s="4">
        <v>14424</v>
      </c>
      <c r="K984" s="4">
        <v>1</v>
      </c>
      <c r="L984" s="4">
        <v>63</v>
      </c>
      <c r="M984" s="4">
        <v>2017</v>
      </c>
      <c r="N984" s="4">
        <v>2</v>
      </c>
      <c r="O984" s="4">
        <v>6</v>
      </c>
      <c r="P984" s="4">
        <v>1</v>
      </c>
      <c r="Q984" s="19">
        <v>3499.99</v>
      </c>
      <c r="R984" s="16">
        <v>0.1</v>
      </c>
      <c r="S984" s="16">
        <v>3499.89</v>
      </c>
      <c r="T984" s="5" t="s">
        <v>64</v>
      </c>
      <c r="U984" s="13" t="s">
        <v>302</v>
      </c>
    </row>
    <row r="985" spans="1:21" x14ac:dyDescent="0.35">
      <c r="A985" s="4">
        <v>984</v>
      </c>
      <c r="B985" s="4">
        <v>1287</v>
      </c>
      <c r="C985" s="13" t="s">
        <v>1779</v>
      </c>
      <c r="D985" s="13" t="s">
        <v>625</v>
      </c>
      <c r="E985" s="5" t="s">
        <v>5566</v>
      </c>
      <c r="F985" s="5" t="s">
        <v>4539</v>
      </c>
      <c r="G985" s="5" t="s">
        <v>4540</v>
      </c>
      <c r="H985" s="13" t="s">
        <v>3156</v>
      </c>
      <c r="I985" s="13" t="s">
        <v>2309</v>
      </c>
      <c r="J985" s="4">
        <v>11102</v>
      </c>
      <c r="K985" s="4">
        <v>1</v>
      </c>
      <c r="L985" s="4">
        <v>68</v>
      </c>
      <c r="M985" s="4">
        <v>2017</v>
      </c>
      <c r="N985" s="4">
        <v>2</v>
      </c>
      <c r="O985" s="4">
        <v>7</v>
      </c>
      <c r="P985" s="4">
        <v>1</v>
      </c>
      <c r="Q985" s="19">
        <v>449.99</v>
      </c>
      <c r="R985" s="16">
        <v>0.2</v>
      </c>
      <c r="S985" s="16">
        <v>449.79</v>
      </c>
      <c r="T985" s="5" t="s">
        <v>69</v>
      </c>
      <c r="U985" s="13" t="s">
        <v>301</v>
      </c>
    </row>
    <row r="986" spans="1:21" x14ac:dyDescent="0.35">
      <c r="A986" s="4">
        <v>985</v>
      </c>
      <c r="B986" s="4">
        <v>461</v>
      </c>
      <c r="C986" s="13" t="s">
        <v>1780</v>
      </c>
      <c r="D986" s="13" t="s">
        <v>861</v>
      </c>
      <c r="E986" s="5" t="s">
        <v>4541</v>
      </c>
      <c r="F986" s="5" t="s">
        <v>4542</v>
      </c>
      <c r="G986" s="5" t="s">
        <v>4543</v>
      </c>
      <c r="H986" s="13" t="s">
        <v>2698</v>
      </c>
      <c r="I986" s="13" t="s">
        <v>2309</v>
      </c>
      <c r="J986" s="4">
        <v>11717</v>
      </c>
      <c r="K986" s="4">
        <v>1</v>
      </c>
      <c r="L986" s="4">
        <v>5</v>
      </c>
      <c r="M986" s="4">
        <v>2016</v>
      </c>
      <c r="N986" s="4">
        <v>2</v>
      </c>
      <c r="O986" s="4">
        <v>6</v>
      </c>
      <c r="P986" s="4">
        <v>2</v>
      </c>
      <c r="Q986" s="19">
        <v>1320.99</v>
      </c>
      <c r="R986" s="16">
        <v>7.0000000000000007E-2</v>
      </c>
      <c r="S986" s="16">
        <v>2641.91</v>
      </c>
      <c r="T986" s="5" t="s">
        <v>10</v>
      </c>
      <c r="U986" s="13" t="s">
        <v>304</v>
      </c>
    </row>
    <row r="987" spans="1:21" x14ac:dyDescent="0.35">
      <c r="A987" s="4">
        <v>986</v>
      </c>
      <c r="B987" s="4">
        <v>556</v>
      </c>
      <c r="C987" s="13" t="s">
        <v>1781</v>
      </c>
      <c r="D987" s="13" t="s">
        <v>1562</v>
      </c>
      <c r="E987" s="5" t="s">
        <v>5566</v>
      </c>
      <c r="F987" s="5" t="s">
        <v>4544</v>
      </c>
      <c r="G987" s="5" t="s">
        <v>4545</v>
      </c>
      <c r="H987" s="13" t="s">
        <v>552</v>
      </c>
      <c r="I987" s="13" t="s">
        <v>2309</v>
      </c>
      <c r="J987" s="4">
        <v>10950</v>
      </c>
      <c r="K987" s="4">
        <v>1</v>
      </c>
      <c r="L987" s="4">
        <v>87</v>
      </c>
      <c r="M987" s="4">
        <v>2017</v>
      </c>
      <c r="N987" s="4">
        <v>2</v>
      </c>
      <c r="O987" s="4">
        <v>7</v>
      </c>
      <c r="P987" s="4">
        <v>1</v>
      </c>
      <c r="Q987" s="19">
        <v>189.99</v>
      </c>
      <c r="R987" s="16">
        <v>0.1</v>
      </c>
      <c r="S987" s="16">
        <v>189.89000000000001</v>
      </c>
      <c r="T987" s="5" t="s">
        <v>88</v>
      </c>
      <c r="U987" s="13" t="s">
        <v>299</v>
      </c>
    </row>
    <row r="988" spans="1:21" x14ac:dyDescent="0.35">
      <c r="A988" s="4">
        <v>987</v>
      </c>
      <c r="B988" s="4">
        <v>172</v>
      </c>
      <c r="C988" s="13" t="s">
        <v>1782</v>
      </c>
      <c r="D988" s="13" t="s">
        <v>1421</v>
      </c>
      <c r="E988" s="5" t="s">
        <v>5566</v>
      </c>
      <c r="F988" s="5" t="s">
        <v>4546</v>
      </c>
      <c r="G988" s="5" t="s">
        <v>4547</v>
      </c>
      <c r="H988" s="13" t="s">
        <v>2373</v>
      </c>
      <c r="I988" s="13" t="s">
        <v>2305</v>
      </c>
      <c r="J988" s="4">
        <v>95050</v>
      </c>
      <c r="K988" s="4">
        <v>1</v>
      </c>
      <c r="L988" s="4">
        <v>51</v>
      </c>
      <c r="M988" s="4">
        <v>2017</v>
      </c>
      <c r="N988" s="4">
        <v>1</v>
      </c>
      <c r="O988" s="4">
        <v>2</v>
      </c>
      <c r="P988" s="4">
        <v>2</v>
      </c>
      <c r="Q988" s="19">
        <v>6499.99</v>
      </c>
      <c r="R988" s="16">
        <v>0.1</v>
      </c>
      <c r="S988" s="16">
        <v>12999.88</v>
      </c>
      <c r="T988" s="5" t="s">
        <v>52</v>
      </c>
      <c r="U988" s="13" t="s">
        <v>305</v>
      </c>
    </row>
    <row r="989" spans="1:21" x14ac:dyDescent="0.35">
      <c r="A989" s="4">
        <v>988</v>
      </c>
      <c r="B989" s="4">
        <v>436</v>
      </c>
      <c r="C989" s="13" t="s">
        <v>1783</v>
      </c>
      <c r="D989" s="13" t="s">
        <v>1775</v>
      </c>
      <c r="E989" s="5" t="s">
        <v>5566</v>
      </c>
      <c r="F989" s="5" t="s">
        <v>4548</v>
      </c>
      <c r="G989" s="5" t="s">
        <v>4549</v>
      </c>
      <c r="H989" s="13" t="s">
        <v>2512</v>
      </c>
      <c r="I989" s="13" t="s">
        <v>2309</v>
      </c>
      <c r="J989" s="4">
        <v>11361</v>
      </c>
      <c r="K989" s="4">
        <v>1</v>
      </c>
      <c r="L989" s="4">
        <v>35</v>
      </c>
      <c r="M989" s="4">
        <v>2017</v>
      </c>
      <c r="N989" s="4">
        <v>2</v>
      </c>
      <c r="O989" s="4">
        <v>6</v>
      </c>
      <c r="P989" s="4">
        <v>1</v>
      </c>
      <c r="Q989" s="19">
        <v>832.99</v>
      </c>
      <c r="R989" s="16">
        <v>0.2</v>
      </c>
      <c r="S989" s="16">
        <v>832.79</v>
      </c>
      <c r="T989" s="5" t="s">
        <v>36</v>
      </c>
      <c r="U989" s="13" t="s">
        <v>304</v>
      </c>
    </row>
    <row r="990" spans="1:21" x14ac:dyDescent="0.35">
      <c r="A990" s="4">
        <v>989</v>
      </c>
      <c r="B990" s="4">
        <v>1145</v>
      </c>
      <c r="C990" s="13" t="s">
        <v>1273</v>
      </c>
      <c r="D990" s="13" t="s">
        <v>769</v>
      </c>
      <c r="E990" s="5" t="s">
        <v>4550</v>
      </c>
      <c r="F990" s="5" t="s">
        <v>4551</v>
      </c>
      <c r="G990" s="5" t="s">
        <v>4552</v>
      </c>
      <c r="H990" s="13" t="s">
        <v>2334</v>
      </c>
      <c r="I990" s="13" t="s">
        <v>2309</v>
      </c>
      <c r="J990" s="4">
        <v>10701</v>
      </c>
      <c r="K990" s="4">
        <v>1</v>
      </c>
      <c r="L990" s="4">
        <v>99</v>
      </c>
      <c r="M990" s="4">
        <v>2017</v>
      </c>
      <c r="N990" s="4">
        <v>2</v>
      </c>
      <c r="O990" s="4">
        <v>6</v>
      </c>
      <c r="P990" s="4">
        <v>1</v>
      </c>
      <c r="Q990" s="19">
        <v>299.99</v>
      </c>
      <c r="R990" s="16">
        <v>0.05</v>
      </c>
      <c r="S990" s="16">
        <v>299.94</v>
      </c>
      <c r="T990" s="5" t="s">
        <v>99</v>
      </c>
      <c r="U990" s="13" t="s">
        <v>299</v>
      </c>
    </row>
    <row r="991" spans="1:21" x14ac:dyDescent="0.35">
      <c r="A991" s="4">
        <v>990</v>
      </c>
      <c r="B991" s="4">
        <v>706</v>
      </c>
      <c r="C991" s="13" t="s">
        <v>1531</v>
      </c>
      <c r="D991" s="13" t="s">
        <v>2291</v>
      </c>
      <c r="E991" s="5" t="s">
        <v>5566</v>
      </c>
      <c r="F991" s="5" t="s">
        <v>4553</v>
      </c>
      <c r="G991" s="5" t="s">
        <v>4554</v>
      </c>
      <c r="H991" s="13" t="s">
        <v>4042</v>
      </c>
      <c r="I991" s="13" t="s">
        <v>2309</v>
      </c>
      <c r="J991" s="4">
        <v>11762</v>
      </c>
      <c r="K991" s="4">
        <v>1</v>
      </c>
      <c r="L991" s="4">
        <v>6</v>
      </c>
      <c r="M991" s="4">
        <v>2016</v>
      </c>
      <c r="N991" s="4">
        <v>2</v>
      </c>
      <c r="O991" s="4">
        <v>7</v>
      </c>
      <c r="P991" s="4">
        <v>2</v>
      </c>
      <c r="Q991" s="19">
        <v>469.99</v>
      </c>
      <c r="R991" s="16">
        <v>0.2</v>
      </c>
      <c r="S991" s="16">
        <v>939.78</v>
      </c>
      <c r="T991" s="5" t="s">
        <v>11</v>
      </c>
      <c r="U991" s="13" t="s">
        <v>304</v>
      </c>
    </row>
    <row r="992" spans="1:21" x14ac:dyDescent="0.35">
      <c r="A992" s="4">
        <v>991</v>
      </c>
      <c r="B992" s="4">
        <v>751</v>
      </c>
      <c r="C992" s="13" t="s">
        <v>1784</v>
      </c>
      <c r="D992" s="13" t="s">
        <v>1785</v>
      </c>
      <c r="E992" s="5" t="s">
        <v>5566</v>
      </c>
      <c r="F992" s="5" t="s">
        <v>4555</v>
      </c>
      <c r="G992" s="5" t="s">
        <v>4556</v>
      </c>
      <c r="H992" s="13" t="s">
        <v>2359</v>
      </c>
      <c r="I992" s="13" t="s">
        <v>2305</v>
      </c>
      <c r="J992" s="4">
        <v>92236</v>
      </c>
      <c r="K992" s="4">
        <v>1</v>
      </c>
      <c r="L992" s="4">
        <v>9</v>
      </c>
      <c r="M992" s="4">
        <v>2016</v>
      </c>
      <c r="N992" s="4">
        <v>1</v>
      </c>
      <c r="O992" s="4">
        <v>2</v>
      </c>
      <c r="P992" s="4">
        <v>2</v>
      </c>
      <c r="Q992" s="19">
        <v>2999.99</v>
      </c>
      <c r="R992" s="16">
        <v>0.2</v>
      </c>
      <c r="S992" s="16">
        <v>5999.78</v>
      </c>
      <c r="T992" s="5" t="s">
        <v>14</v>
      </c>
      <c r="U992" s="13" t="s">
        <v>303</v>
      </c>
    </row>
    <row r="993" spans="1:21" x14ac:dyDescent="0.35">
      <c r="A993" s="4">
        <v>992</v>
      </c>
      <c r="B993" s="4">
        <v>723</v>
      </c>
      <c r="C993" s="13" t="s">
        <v>1786</v>
      </c>
      <c r="D993" s="13" t="s">
        <v>1787</v>
      </c>
      <c r="E993" s="5" t="s">
        <v>5566</v>
      </c>
      <c r="F993" s="5" t="s">
        <v>4557</v>
      </c>
      <c r="G993" s="5" t="s">
        <v>4558</v>
      </c>
      <c r="H993" s="13" t="s">
        <v>2381</v>
      </c>
      <c r="I993" s="13" t="s">
        <v>2309</v>
      </c>
      <c r="J993" s="4">
        <v>12590</v>
      </c>
      <c r="K993" s="4">
        <v>1</v>
      </c>
      <c r="L993" s="4">
        <v>45</v>
      </c>
      <c r="M993" s="4">
        <v>2017</v>
      </c>
      <c r="N993" s="4">
        <v>2</v>
      </c>
      <c r="O993" s="4">
        <v>7</v>
      </c>
      <c r="P993" s="4">
        <v>1</v>
      </c>
      <c r="Q993" s="19">
        <v>869.99</v>
      </c>
      <c r="R993" s="16">
        <v>7.0000000000000007E-2</v>
      </c>
      <c r="S993" s="16">
        <v>869.92</v>
      </c>
      <c r="T993" s="5" t="s">
        <v>46</v>
      </c>
      <c r="U993" s="13" t="s">
        <v>304</v>
      </c>
    </row>
    <row r="994" spans="1:21" x14ac:dyDescent="0.35">
      <c r="A994" s="4">
        <v>993</v>
      </c>
      <c r="B994" s="4">
        <v>1415</v>
      </c>
      <c r="C994" s="13" t="s">
        <v>1788</v>
      </c>
      <c r="D994" s="13" t="s">
        <v>2295</v>
      </c>
      <c r="E994" s="5" t="s">
        <v>5566</v>
      </c>
      <c r="F994" s="5" t="s">
        <v>4559</v>
      </c>
      <c r="G994" s="5" t="s">
        <v>4560</v>
      </c>
      <c r="H994" s="13" t="s">
        <v>3127</v>
      </c>
      <c r="I994" s="13" t="s">
        <v>2305</v>
      </c>
      <c r="J994" s="4">
        <v>95060</v>
      </c>
      <c r="K994" s="4">
        <v>1</v>
      </c>
      <c r="L994" s="4">
        <v>58</v>
      </c>
      <c r="M994" s="4">
        <v>2017</v>
      </c>
      <c r="N994" s="4">
        <v>1</v>
      </c>
      <c r="O994" s="4">
        <v>3</v>
      </c>
      <c r="P994" s="4">
        <v>1</v>
      </c>
      <c r="Q994" s="19">
        <v>4999.99</v>
      </c>
      <c r="R994" s="16">
        <v>0.2</v>
      </c>
      <c r="S994" s="16">
        <v>4999.79</v>
      </c>
      <c r="T994" s="5" t="s">
        <v>59</v>
      </c>
      <c r="U994" s="13" t="s">
        <v>305</v>
      </c>
    </row>
    <row r="995" spans="1:21" x14ac:dyDescent="0.35">
      <c r="A995" s="4">
        <v>994</v>
      </c>
      <c r="B995" s="4">
        <v>419</v>
      </c>
      <c r="C995" s="13" t="s">
        <v>1789</v>
      </c>
      <c r="D995" s="13" t="s">
        <v>1041</v>
      </c>
      <c r="E995" s="5" t="s">
        <v>5566</v>
      </c>
      <c r="F995" s="5" t="s">
        <v>4561</v>
      </c>
      <c r="G995" s="5" t="s">
        <v>4562</v>
      </c>
      <c r="H995" s="13" t="s">
        <v>3037</v>
      </c>
      <c r="I995" s="13" t="s">
        <v>2309</v>
      </c>
      <c r="J995" s="4">
        <v>12601</v>
      </c>
      <c r="K995" s="4">
        <v>1</v>
      </c>
      <c r="L995" s="4">
        <v>37</v>
      </c>
      <c r="M995" s="4">
        <v>2017</v>
      </c>
      <c r="N995" s="4">
        <v>2</v>
      </c>
      <c r="O995" s="4">
        <v>7</v>
      </c>
      <c r="P995" s="4">
        <v>2</v>
      </c>
      <c r="Q995" s="19">
        <v>379.99</v>
      </c>
      <c r="R995" s="16">
        <v>0.1</v>
      </c>
      <c r="S995" s="16">
        <v>759.88</v>
      </c>
      <c r="T995" s="5" t="s">
        <v>38</v>
      </c>
      <c r="U995" s="13" t="s">
        <v>304</v>
      </c>
    </row>
    <row r="996" spans="1:21" x14ac:dyDescent="0.35">
      <c r="A996" s="4">
        <v>995</v>
      </c>
      <c r="B996" s="4">
        <v>621</v>
      </c>
      <c r="C996" s="13" t="s">
        <v>1790</v>
      </c>
      <c r="D996" s="13" t="s">
        <v>1264</v>
      </c>
      <c r="E996" s="5" t="s">
        <v>5566</v>
      </c>
      <c r="F996" s="5" t="s">
        <v>4563</v>
      </c>
      <c r="G996" s="5" t="s">
        <v>4564</v>
      </c>
      <c r="H996" s="13" t="s">
        <v>3004</v>
      </c>
      <c r="I996" s="13" t="s">
        <v>2305</v>
      </c>
      <c r="J996" s="4">
        <v>94580</v>
      </c>
      <c r="K996" s="4">
        <v>1</v>
      </c>
      <c r="L996" s="4">
        <v>16</v>
      </c>
      <c r="M996" s="4">
        <v>2016</v>
      </c>
      <c r="N996" s="4">
        <v>1</v>
      </c>
      <c r="O996" s="4">
        <v>2</v>
      </c>
      <c r="P996" s="4">
        <v>2</v>
      </c>
      <c r="Q996" s="19">
        <v>599.99</v>
      </c>
      <c r="R996" s="16">
        <v>0.1</v>
      </c>
      <c r="S996" s="16">
        <v>1199.8800000000001</v>
      </c>
      <c r="T996" s="5" t="s">
        <v>21</v>
      </c>
      <c r="U996" s="13" t="s">
        <v>301</v>
      </c>
    </row>
    <row r="997" spans="1:21" x14ac:dyDescent="0.35">
      <c r="A997" s="4">
        <v>996</v>
      </c>
      <c r="B997" s="4">
        <v>915</v>
      </c>
      <c r="C997" s="13" t="s">
        <v>1791</v>
      </c>
      <c r="D997" s="13" t="s">
        <v>1593</v>
      </c>
      <c r="E997" s="5" t="s">
        <v>4565</v>
      </c>
      <c r="F997" s="5" t="s">
        <v>4566</v>
      </c>
      <c r="G997" s="5" t="s">
        <v>4567</v>
      </c>
      <c r="H997" s="13" t="s">
        <v>2997</v>
      </c>
      <c r="I997" s="13" t="s">
        <v>2305</v>
      </c>
      <c r="J997" s="4">
        <v>95820</v>
      </c>
      <c r="K997" s="4">
        <v>1</v>
      </c>
      <c r="L997" s="4">
        <v>68</v>
      </c>
      <c r="M997" s="4">
        <v>2017</v>
      </c>
      <c r="N997" s="4">
        <v>1</v>
      </c>
      <c r="O997" s="4">
        <v>2</v>
      </c>
      <c r="P997" s="4">
        <v>2</v>
      </c>
      <c r="Q997" s="19">
        <v>449.99</v>
      </c>
      <c r="R997" s="16">
        <v>0.05</v>
      </c>
      <c r="S997" s="16">
        <v>899.93000000000006</v>
      </c>
      <c r="T997" s="5" t="s">
        <v>69</v>
      </c>
      <c r="U997" s="13" t="s">
        <v>301</v>
      </c>
    </row>
    <row r="998" spans="1:21" x14ac:dyDescent="0.35">
      <c r="A998" s="4">
        <v>997</v>
      </c>
      <c r="B998" s="4">
        <v>485</v>
      </c>
      <c r="C998" s="13" t="s">
        <v>1792</v>
      </c>
      <c r="D998" s="13" t="s">
        <v>406</v>
      </c>
      <c r="E998" s="5" t="s">
        <v>5566</v>
      </c>
      <c r="F998" s="5" t="s">
        <v>4568</v>
      </c>
      <c r="G998" s="5" t="s">
        <v>4569</v>
      </c>
      <c r="H998" s="13" t="s">
        <v>2631</v>
      </c>
      <c r="I998" s="13" t="s">
        <v>2309</v>
      </c>
      <c r="J998" s="4">
        <v>11369</v>
      </c>
      <c r="K998" s="4">
        <v>1</v>
      </c>
      <c r="L998" s="4">
        <v>86</v>
      </c>
      <c r="M998" s="4">
        <v>2017</v>
      </c>
      <c r="N998" s="4">
        <v>2</v>
      </c>
      <c r="O998" s="4">
        <v>7</v>
      </c>
      <c r="P998" s="4">
        <v>2</v>
      </c>
      <c r="Q998" s="19">
        <v>149.99</v>
      </c>
      <c r="R998" s="16">
        <v>7.0000000000000007E-2</v>
      </c>
      <c r="S998" s="16">
        <v>299.91000000000003</v>
      </c>
      <c r="T998" s="5" t="s">
        <v>87</v>
      </c>
      <c r="U998" s="13" t="s">
        <v>299</v>
      </c>
    </row>
    <row r="999" spans="1:21" x14ac:dyDescent="0.35">
      <c r="A999" s="4">
        <v>998</v>
      </c>
      <c r="B999" s="4">
        <v>219</v>
      </c>
      <c r="C999" s="13" t="s">
        <v>1793</v>
      </c>
      <c r="D999" s="13" t="s">
        <v>1794</v>
      </c>
      <c r="E999" s="5" t="s">
        <v>4570</v>
      </c>
      <c r="F999" s="5" t="s">
        <v>4571</v>
      </c>
      <c r="G999" s="5" t="s">
        <v>4572</v>
      </c>
      <c r="H999" s="13" t="s">
        <v>4573</v>
      </c>
      <c r="I999" s="13" t="s">
        <v>2309</v>
      </c>
      <c r="J999" s="4">
        <v>11572</v>
      </c>
      <c r="K999" s="4">
        <v>1</v>
      </c>
      <c r="L999" s="4">
        <v>26</v>
      </c>
      <c r="M999" s="4">
        <v>2016</v>
      </c>
      <c r="N999" s="4">
        <v>2</v>
      </c>
      <c r="O999" s="4">
        <v>7</v>
      </c>
      <c r="P999" s="4">
        <v>2</v>
      </c>
      <c r="Q999" s="19">
        <v>599.99</v>
      </c>
      <c r="R999" s="16">
        <v>0.05</v>
      </c>
      <c r="S999" s="16">
        <v>1199.93</v>
      </c>
      <c r="T999" s="5" t="s">
        <v>21</v>
      </c>
      <c r="U999" s="13" t="s">
        <v>300</v>
      </c>
    </row>
    <row r="1000" spans="1:21" x14ac:dyDescent="0.35">
      <c r="A1000" s="4">
        <v>999</v>
      </c>
      <c r="B1000" s="4">
        <v>590</v>
      </c>
      <c r="C1000" s="13" t="s">
        <v>1795</v>
      </c>
      <c r="D1000" s="13" t="s">
        <v>1796</v>
      </c>
      <c r="E1000" s="5" t="s">
        <v>5566</v>
      </c>
      <c r="F1000" s="5" t="s">
        <v>4574</v>
      </c>
      <c r="G1000" s="5" t="s">
        <v>4575</v>
      </c>
      <c r="H1000" s="13" t="s">
        <v>470</v>
      </c>
      <c r="I1000" s="13" t="s">
        <v>2309</v>
      </c>
      <c r="J1000" s="4">
        <v>11510</v>
      </c>
      <c r="K1000" s="4">
        <v>1</v>
      </c>
      <c r="L1000" s="4">
        <v>70</v>
      </c>
      <c r="M1000" s="4">
        <v>2017</v>
      </c>
      <c r="N1000" s="4">
        <v>2</v>
      </c>
      <c r="O1000" s="4">
        <v>6</v>
      </c>
      <c r="P1000" s="4">
        <v>2</v>
      </c>
      <c r="Q1000" s="19">
        <v>659.99</v>
      </c>
      <c r="R1000" s="16">
        <v>7.0000000000000007E-2</v>
      </c>
      <c r="S1000" s="16">
        <v>1319.91</v>
      </c>
      <c r="T1000" s="5" t="s">
        <v>71</v>
      </c>
      <c r="U1000" s="13" t="s">
        <v>301</v>
      </c>
    </row>
    <row r="1001" spans="1:21" x14ac:dyDescent="0.35">
      <c r="A1001" s="4">
        <v>1000</v>
      </c>
      <c r="B1001" s="4">
        <v>645</v>
      </c>
      <c r="C1001" s="13" t="s">
        <v>1797</v>
      </c>
      <c r="D1001" s="13" t="s">
        <v>997</v>
      </c>
      <c r="E1001" s="5" t="s">
        <v>4576</v>
      </c>
      <c r="F1001" s="5" t="s">
        <v>4577</v>
      </c>
      <c r="G1001" s="5" t="s">
        <v>4578</v>
      </c>
      <c r="H1001" s="13" t="s">
        <v>2698</v>
      </c>
      <c r="I1001" s="13" t="s">
        <v>2309</v>
      </c>
      <c r="J1001" s="4">
        <v>11717</v>
      </c>
      <c r="K1001" s="4">
        <v>1</v>
      </c>
      <c r="L1001" s="4">
        <v>65</v>
      </c>
      <c r="M1001" s="4">
        <v>2017</v>
      </c>
      <c r="N1001" s="4">
        <v>2</v>
      </c>
      <c r="O1001" s="4">
        <v>7</v>
      </c>
      <c r="P1001" s="4">
        <v>2</v>
      </c>
      <c r="Q1001" s="19">
        <v>346.99</v>
      </c>
      <c r="R1001" s="16">
        <v>0.05</v>
      </c>
      <c r="S1001" s="16">
        <v>693.93000000000006</v>
      </c>
      <c r="T1001" s="5" t="s">
        <v>66</v>
      </c>
      <c r="U1001" s="13" t="s">
        <v>301</v>
      </c>
    </row>
    <row r="1002" spans="1:21" x14ac:dyDescent="0.35">
      <c r="A1002" s="4">
        <v>1001</v>
      </c>
      <c r="B1002" s="4">
        <v>354</v>
      </c>
      <c r="C1002" s="13" t="s">
        <v>1201</v>
      </c>
      <c r="D1002" s="13" t="s">
        <v>1594</v>
      </c>
      <c r="E1002" s="5" t="s">
        <v>5566</v>
      </c>
      <c r="F1002" s="5" t="s">
        <v>4579</v>
      </c>
      <c r="G1002" s="5" t="s">
        <v>4580</v>
      </c>
      <c r="H1002" s="13" t="s">
        <v>2945</v>
      </c>
      <c r="I1002" s="13" t="s">
        <v>2309</v>
      </c>
      <c r="J1002" s="4">
        <v>11104</v>
      </c>
      <c r="K1002" s="4">
        <v>1</v>
      </c>
      <c r="L1002" s="4">
        <v>72</v>
      </c>
      <c r="M1002" s="4">
        <v>2017</v>
      </c>
      <c r="N1002" s="4">
        <v>2</v>
      </c>
      <c r="O1002" s="4">
        <v>6</v>
      </c>
      <c r="P1002" s="4">
        <v>1</v>
      </c>
      <c r="Q1002" s="19">
        <v>619.99</v>
      </c>
      <c r="R1002" s="16">
        <v>0.05</v>
      </c>
      <c r="S1002" s="16">
        <v>619.94000000000005</v>
      </c>
      <c r="T1002" s="5" t="s">
        <v>73</v>
      </c>
      <c r="U1002" s="13" t="s">
        <v>301</v>
      </c>
    </row>
    <row r="1003" spans="1:21" x14ac:dyDescent="0.35">
      <c r="A1003" s="4">
        <v>1002</v>
      </c>
      <c r="B1003" s="4">
        <v>1418</v>
      </c>
      <c r="C1003" s="13" t="s">
        <v>1798</v>
      </c>
      <c r="D1003" s="13" t="s">
        <v>1799</v>
      </c>
      <c r="E1003" s="5" t="s">
        <v>4581</v>
      </c>
      <c r="F1003" s="5" t="s">
        <v>4582</v>
      </c>
      <c r="G1003" s="5" t="s">
        <v>4583</v>
      </c>
      <c r="H1003" s="13" t="s">
        <v>2460</v>
      </c>
      <c r="I1003" s="13" t="s">
        <v>2305</v>
      </c>
      <c r="J1003" s="4">
        <v>92806</v>
      </c>
      <c r="K1003" s="4">
        <v>1</v>
      </c>
      <c r="L1003" s="4">
        <v>100</v>
      </c>
      <c r="M1003" s="4">
        <v>2017</v>
      </c>
      <c r="N1003" s="4">
        <v>1</v>
      </c>
      <c r="O1003" s="4">
        <v>3</v>
      </c>
      <c r="P1003" s="4">
        <v>1</v>
      </c>
      <c r="Q1003" s="19">
        <v>489.99</v>
      </c>
      <c r="R1003" s="16">
        <v>0.05</v>
      </c>
      <c r="S1003" s="16">
        <v>489.94</v>
      </c>
      <c r="T1003" s="5" t="s">
        <v>100</v>
      </c>
      <c r="U1003" s="13" t="s">
        <v>299</v>
      </c>
    </row>
    <row r="1004" spans="1:21" x14ac:dyDescent="0.35">
      <c r="A1004" s="4">
        <v>1003</v>
      </c>
      <c r="B1004" s="4">
        <v>503</v>
      </c>
      <c r="C1004" s="13" t="s">
        <v>1800</v>
      </c>
      <c r="D1004" s="13" t="s">
        <v>1590</v>
      </c>
      <c r="E1004" s="5" t="s">
        <v>5566</v>
      </c>
      <c r="F1004" s="5" t="s">
        <v>4584</v>
      </c>
      <c r="G1004" s="5" t="s">
        <v>4585</v>
      </c>
      <c r="H1004" s="13" t="s">
        <v>2344</v>
      </c>
      <c r="I1004" s="13" t="s">
        <v>2309</v>
      </c>
      <c r="J1004" s="4">
        <v>14304</v>
      </c>
      <c r="K1004" s="4">
        <v>1</v>
      </c>
      <c r="L1004" s="4">
        <v>34</v>
      </c>
      <c r="M1004" s="4">
        <v>2017</v>
      </c>
      <c r="N1004" s="4">
        <v>2</v>
      </c>
      <c r="O1004" s="4">
        <v>7</v>
      </c>
      <c r="P1004" s="4">
        <v>2</v>
      </c>
      <c r="Q1004" s="19">
        <v>469.99</v>
      </c>
      <c r="R1004" s="16">
        <v>0.05</v>
      </c>
      <c r="S1004" s="16">
        <v>939.93000000000006</v>
      </c>
      <c r="T1004" s="5" t="s">
        <v>35</v>
      </c>
      <c r="U1004" s="13" t="s">
        <v>304</v>
      </c>
    </row>
    <row r="1005" spans="1:21" x14ac:dyDescent="0.35">
      <c r="A1005" s="4">
        <v>1004</v>
      </c>
      <c r="B1005" s="4">
        <v>1389</v>
      </c>
      <c r="C1005" s="13" t="s">
        <v>1801</v>
      </c>
      <c r="D1005" s="13" t="s">
        <v>1138</v>
      </c>
      <c r="E1005" s="5" t="s">
        <v>5566</v>
      </c>
      <c r="F1005" s="5" t="s">
        <v>4586</v>
      </c>
      <c r="G1005" s="5" t="s">
        <v>4587</v>
      </c>
      <c r="H1005" s="13" t="s">
        <v>3153</v>
      </c>
      <c r="I1005" s="13" t="s">
        <v>2309</v>
      </c>
      <c r="J1005" s="4">
        <v>10573</v>
      </c>
      <c r="K1005" s="4">
        <v>1</v>
      </c>
      <c r="L1005" s="4">
        <v>36</v>
      </c>
      <c r="M1005" s="4">
        <v>2017</v>
      </c>
      <c r="N1005" s="4">
        <v>2</v>
      </c>
      <c r="O1005" s="4">
        <v>6</v>
      </c>
      <c r="P1005" s="4">
        <v>2</v>
      </c>
      <c r="Q1005" s="19">
        <v>832.99</v>
      </c>
      <c r="R1005" s="16">
        <v>0.1</v>
      </c>
      <c r="S1005" s="16">
        <v>1665.88</v>
      </c>
      <c r="T1005" s="5" t="s">
        <v>37</v>
      </c>
      <c r="U1005" s="13" t="s">
        <v>304</v>
      </c>
    </row>
    <row r="1006" spans="1:21" x14ac:dyDescent="0.35">
      <c r="A1006" s="4">
        <v>1005</v>
      </c>
      <c r="B1006" s="4">
        <v>266</v>
      </c>
      <c r="C1006" s="13" t="s">
        <v>1802</v>
      </c>
      <c r="D1006" s="13" t="s">
        <v>1533</v>
      </c>
      <c r="E1006" s="5" t="s">
        <v>5566</v>
      </c>
      <c r="F1006" s="5" t="s">
        <v>4588</v>
      </c>
      <c r="G1006" s="5" t="s">
        <v>4589</v>
      </c>
      <c r="H1006" s="13" t="s">
        <v>3074</v>
      </c>
      <c r="I1006" s="13" t="s">
        <v>2309</v>
      </c>
      <c r="J1006" s="4">
        <v>11003</v>
      </c>
      <c r="K1006" s="4">
        <v>1</v>
      </c>
      <c r="L1006" s="4">
        <v>14</v>
      </c>
      <c r="M1006" s="4">
        <v>2016</v>
      </c>
      <c r="N1006" s="4">
        <v>2</v>
      </c>
      <c r="O1006" s="4">
        <v>7</v>
      </c>
      <c r="P1006" s="4">
        <v>2</v>
      </c>
      <c r="Q1006" s="19">
        <v>269.99</v>
      </c>
      <c r="R1006" s="16">
        <v>0.2</v>
      </c>
      <c r="S1006" s="16">
        <v>539.78</v>
      </c>
      <c r="T1006" s="5" t="s">
        <v>19</v>
      </c>
      <c r="U1006" s="13" t="s">
        <v>301</v>
      </c>
    </row>
    <row r="1007" spans="1:21" x14ac:dyDescent="0.35">
      <c r="A1007" s="4">
        <v>1006</v>
      </c>
      <c r="B1007" s="4">
        <v>1070</v>
      </c>
      <c r="C1007" s="13" t="s">
        <v>1803</v>
      </c>
      <c r="D1007" s="13" t="s">
        <v>1530</v>
      </c>
      <c r="E1007" s="5" t="s">
        <v>5566</v>
      </c>
      <c r="F1007" s="5" t="s">
        <v>4590</v>
      </c>
      <c r="G1007" s="5" t="s">
        <v>4591</v>
      </c>
      <c r="H1007" s="13" t="s">
        <v>3447</v>
      </c>
      <c r="I1007" s="13" t="s">
        <v>2309</v>
      </c>
      <c r="J1007" s="4">
        <v>11364</v>
      </c>
      <c r="K1007" s="4">
        <v>1</v>
      </c>
      <c r="L1007" s="4">
        <v>20</v>
      </c>
      <c r="M1007" s="4">
        <v>2016</v>
      </c>
      <c r="N1007" s="4">
        <v>2</v>
      </c>
      <c r="O1007" s="4">
        <v>7</v>
      </c>
      <c r="P1007" s="4">
        <v>1</v>
      </c>
      <c r="Q1007" s="19">
        <v>599.99</v>
      </c>
      <c r="R1007" s="16">
        <v>7.0000000000000007E-2</v>
      </c>
      <c r="S1007" s="16">
        <v>599.91999999999996</v>
      </c>
      <c r="T1007" s="5" t="s">
        <v>25</v>
      </c>
      <c r="U1007" s="13" t="s">
        <v>301</v>
      </c>
    </row>
    <row r="1008" spans="1:21" x14ac:dyDescent="0.35">
      <c r="A1008" s="4">
        <v>1007</v>
      </c>
      <c r="B1008" s="4">
        <v>1115</v>
      </c>
      <c r="C1008" s="13" t="s">
        <v>1804</v>
      </c>
      <c r="D1008" s="13" t="s">
        <v>1805</v>
      </c>
      <c r="E1008" s="5" t="s">
        <v>5566</v>
      </c>
      <c r="F1008" s="5" t="s">
        <v>4592</v>
      </c>
      <c r="G1008" s="5" t="s">
        <v>4593</v>
      </c>
      <c r="H1008" s="13" t="s">
        <v>2539</v>
      </c>
      <c r="I1008" s="13" t="s">
        <v>2309</v>
      </c>
      <c r="J1008" s="4">
        <v>11542</v>
      </c>
      <c r="K1008" s="4">
        <v>1</v>
      </c>
      <c r="L1008" s="4">
        <v>26</v>
      </c>
      <c r="M1008" s="4">
        <v>2016</v>
      </c>
      <c r="N1008" s="4">
        <v>2</v>
      </c>
      <c r="O1008" s="4">
        <v>6</v>
      </c>
      <c r="P1008" s="4">
        <v>1</v>
      </c>
      <c r="Q1008" s="19">
        <v>599.99</v>
      </c>
      <c r="R1008" s="16">
        <v>0.2</v>
      </c>
      <c r="S1008" s="16">
        <v>599.79</v>
      </c>
      <c r="T1008" s="5" t="s">
        <v>21</v>
      </c>
      <c r="U1008" s="13" t="s">
        <v>300</v>
      </c>
    </row>
    <row r="1009" spans="1:21" x14ac:dyDescent="0.35">
      <c r="A1009" s="4">
        <v>1008</v>
      </c>
      <c r="B1009" s="4">
        <v>1345</v>
      </c>
      <c r="C1009" s="13" t="s">
        <v>1806</v>
      </c>
      <c r="D1009" s="13" t="s">
        <v>1227</v>
      </c>
      <c r="E1009" s="5" t="s">
        <v>5566</v>
      </c>
      <c r="F1009" s="5" t="s">
        <v>4594</v>
      </c>
      <c r="G1009" s="5" t="s">
        <v>4595</v>
      </c>
      <c r="H1009" s="13" t="s">
        <v>4139</v>
      </c>
      <c r="I1009" s="13" t="s">
        <v>2309</v>
      </c>
      <c r="J1009" s="4">
        <v>11354</v>
      </c>
      <c r="K1009" s="4">
        <v>1</v>
      </c>
      <c r="L1009" s="4">
        <v>71</v>
      </c>
      <c r="M1009" s="4">
        <v>2017</v>
      </c>
      <c r="N1009" s="4">
        <v>2</v>
      </c>
      <c r="O1009" s="4">
        <v>6</v>
      </c>
      <c r="P1009" s="4">
        <v>1</v>
      </c>
      <c r="Q1009" s="19">
        <v>416.99</v>
      </c>
      <c r="R1009" s="16">
        <v>0.2</v>
      </c>
      <c r="S1009" s="16">
        <v>416.79</v>
      </c>
      <c r="T1009" s="5" t="s">
        <v>72</v>
      </c>
      <c r="U1009" s="13" t="s">
        <v>301</v>
      </c>
    </row>
    <row r="1010" spans="1:21" x14ac:dyDescent="0.35">
      <c r="A1010" s="4">
        <v>1009</v>
      </c>
      <c r="B1010" s="4">
        <v>1064</v>
      </c>
      <c r="C1010" s="13" t="s">
        <v>1807</v>
      </c>
      <c r="D1010" s="13" t="s">
        <v>1808</v>
      </c>
      <c r="E1010" s="5" t="s">
        <v>5566</v>
      </c>
      <c r="F1010" s="5" t="s">
        <v>4596</v>
      </c>
      <c r="G1010" s="5" t="s">
        <v>4597</v>
      </c>
      <c r="H1010" s="13" t="s">
        <v>3280</v>
      </c>
      <c r="I1010" s="13" t="s">
        <v>2397</v>
      </c>
      <c r="J1010" s="4">
        <v>75088</v>
      </c>
      <c r="K1010" s="4">
        <v>1</v>
      </c>
      <c r="L1010" s="4">
        <v>95</v>
      </c>
      <c r="M1010" s="4">
        <v>2017</v>
      </c>
      <c r="N1010" s="4">
        <v>3</v>
      </c>
      <c r="O1010" s="4">
        <v>8</v>
      </c>
      <c r="P1010" s="4">
        <v>2</v>
      </c>
      <c r="Q1010" s="19">
        <v>299.99</v>
      </c>
      <c r="R1010" s="16">
        <v>7.0000000000000007E-2</v>
      </c>
      <c r="S1010" s="16">
        <v>599.91</v>
      </c>
      <c r="T1010" s="5" t="s">
        <v>77</v>
      </c>
      <c r="U1010" s="13" t="s">
        <v>299</v>
      </c>
    </row>
    <row r="1011" spans="1:21" x14ac:dyDescent="0.35">
      <c r="A1011" s="4">
        <v>1010</v>
      </c>
      <c r="B1011" s="4">
        <v>8</v>
      </c>
      <c r="C1011" s="13" t="s">
        <v>1180</v>
      </c>
      <c r="D1011" s="13" t="s">
        <v>616</v>
      </c>
      <c r="E1011" s="5" t="s">
        <v>5566</v>
      </c>
      <c r="F1011" s="5" t="s">
        <v>3545</v>
      </c>
      <c r="G1011" s="5" t="s">
        <v>3546</v>
      </c>
      <c r="H1011" s="13" t="s">
        <v>2763</v>
      </c>
      <c r="I1011" s="13" t="s">
        <v>2309</v>
      </c>
      <c r="J1011" s="4">
        <v>11372</v>
      </c>
      <c r="K1011" s="4">
        <v>1</v>
      </c>
      <c r="L1011" s="4">
        <v>109</v>
      </c>
      <c r="M1011" s="4">
        <v>2017</v>
      </c>
      <c r="N1011" s="4">
        <v>2</v>
      </c>
      <c r="O1011" s="4">
        <v>7</v>
      </c>
      <c r="P1011" s="4">
        <v>2</v>
      </c>
      <c r="Q1011" s="19">
        <v>416.99</v>
      </c>
      <c r="R1011" s="16">
        <v>0.1</v>
      </c>
      <c r="S1011" s="16">
        <v>833.88</v>
      </c>
      <c r="T1011" s="5" t="s">
        <v>106</v>
      </c>
      <c r="U1011" s="13" t="s">
        <v>300</v>
      </c>
    </row>
    <row r="1012" spans="1:21" x14ac:dyDescent="0.35">
      <c r="A1012" s="4">
        <v>1011</v>
      </c>
      <c r="B1012" s="4">
        <v>495</v>
      </c>
      <c r="C1012" s="13" t="s">
        <v>397</v>
      </c>
      <c r="D1012" s="13" t="s">
        <v>650</v>
      </c>
      <c r="E1012" s="5" t="s">
        <v>5566</v>
      </c>
      <c r="F1012" s="5" t="s">
        <v>4598</v>
      </c>
      <c r="G1012" s="5" t="s">
        <v>4599</v>
      </c>
      <c r="H1012" s="13" t="s">
        <v>3198</v>
      </c>
      <c r="I1012" s="13" t="s">
        <v>2305</v>
      </c>
      <c r="J1012" s="4">
        <v>93635</v>
      </c>
      <c r="K1012" s="4">
        <v>1</v>
      </c>
      <c r="L1012" s="4">
        <v>88</v>
      </c>
      <c r="M1012" s="4">
        <v>2017</v>
      </c>
      <c r="N1012" s="4">
        <v>1</v>
      </c>
      <c r="O1012" s="4">
        <v>3</v>
      </c>
      <c r="P1012" s="4">
        <v>1</v>
      </c>
      <c r="Q1012" s="19">
        <v>189.99</v>
      </c>
      <c r="R1012" s="16">
        <v>0.2</v>
      </c>
      <c r="S1012" s="16">
        <v>189.79000000000002</v>
      </c>
      <c r="T1012" s="5" t="s">
        <v>89</v>
      </c>
      <c r="U1012" s="13" t="s">
        <v>299</v>
      </c>
    </row>
    <row r="1013" spans="1:21" x14ac:dyDescent="0.35">
      <c r="A1013" s="4">
        <v>1012</v>
      </c>
      <c r="B1013" s="4">
        <v>620</v>
      </c>
      <c r="C1013" s="13" t="s">
        <v>1809</v>
      </c>
      <c r="D1013" s="13" t="s">
        <v>872</v>
      </c>
      <c r="E1013" s="5" t="s">
        <v>5566</v>
      </c>
      <c r="F1013" s="5" t="s">
        <v>4600</v>
      </c>
      <c r="G1013" s="5" t="s">
        <v>4601</v>
      </c>
      <c r="H1013" s="13" t="s">
        <v>2752</v>
      </c>
      <c r="I1013" s="13" t="s">
        <v>2309</v>
      </c>
      <c r="J1013" s="4">
        <v>11432</v>
      </c>
      <c r="K1013" s="4">
        <v>1</v>
      </c>
      <c r="L1013" s="4">
        <v>8</v>
      </c>
      <c r="M1013" s="4">
        <v>2016</v>
      </c>
      <c r="N1013" s="4">
        <v>2</v>
      </c>
      <c r="O1013" s="4">
        <v>7</v>
      </c>
      <c r="P1013" s="4">
        <v>1</v>
      </c>
      <c r="Q1013" s="19">
        <v>1799.99</v>
      </c>
      <c r="R1013" s="16">
        <v>7.0000000000000007E-2</v>
      </c>
      <c r="S1013" s="16">
        <v>1799.92</v>
      </c>
      <c r="T1013" s="5" t="s">
        <v>13</v>
      </c>
      <c r="U1013" s="13" t="s">
        <v>304</v>
      </c>
    </row>
    <row r="1014" spans="1:21" x14ac:dyDescent="0.35">
      <c r="A1014" s="4">
        <v>1013</v>
      </c>
      <c r="B1014" s="4">
        <v>174</v>
      </c>
      <c r="C1014" s="13" t="s">
        <v>1810</v>
      </c>
      <c r="D1014" s="13" t="s">
        <v>1811</v>
      </c>
      <c r="E1014" s="5" t="s">
        <v>5566</v>
      </c>
      <c r="F1014" s="5" t="s">
        <v>4602</v>
      </c>
      <c r="G1014" s="5" t="s">
        <v>4603</v>
      </c>
      <c r="H1014" s="13" t="s">
        <v>2785</v>
      </c>
      <c r="I1014" s="13" t="s">
        <v>2309</v>
      </c>
      <c r="J1014" s="4">
        <v>10583</v>
      </c>
      <c r="K1014" s="4">
        <v>1</v>
      </c>
      <c r="L1014" s="4">
        <v>60</v>
      </c>
      <c r="M1014" s="4">
        <v>2017</v>
      </c>
      <c r="N1014" s="4">
        <v>2</v>
      </c>
      <c r="O1014" s="4">
        <v>6</v>
      </c>
      <c r="P1014" s="4">
        <v>2</v>
      </c>
      <c r="Q1014" s="19">
        <v>1559.99</v>
      </c>
      <c r="R1014" s="16">
        <v>0.05</v>
      </c>
      <c r="S1014" s="16">
        <v>3119.93</v>
      </c>
      <c r="T1014" s="5" t="s">
        <v>61</v>
      </c>
      <c r="U1014" s="13" t="s">
        <v>303</v>
      </c>
    </row>
    <row r="1015" spans="1:21" x14ac:dyDescent="0.35">
      <c r="A1015" s="4">
        <v>1014</v>
      </c>
      <c r="B1015" s="4">
        <v>748</v>
      </c>
      <c r="C1015" s="13" t="s">
        <v>1812</v>
      </c>
      <c r="D1015" s="13" t="s">
        <v>936</v>
      </c>
      <c r="E1015" s="5" t="s">
        <v>5566</v>
      </c>
      <c r="F1015" s="5" t="s">
        <v>4604</v>
      </c>
      <c r="G1015" s="5" t="s">
        <v>4605</v>
      </c>
      <c r="H1015" s="13" t="s">
        <v>2456</v>
      </c>
      <c r="I1015" s="13" t="s">
        <v>2309</v>
      </c>
      <c r="J1015" s="4">
        <v>11373</v>
      </c>
      <c r="K1015" s="4">
        <v>1</v>
      </c>
      <c r="L1015" s="4">
        <v>97</v>
      </c>
      <c r="M1015" s="4">
        <v>2017</v>
      </c>
      <c r="N1015" s="4">
        <v>2</v>
      </c>
      <c r="O1015" s="4">
        <v>6</v>
      </c>
      <c r="P1015" s="4">
        <v>1</v>
      </c>
      <c r="Q1015" s="19">
        <v>349.99</v>
      </c>
      <c r="R1015" s="16">
        <v>0.2</v>
      </c>
      <c r="S1015" s="16">
        <v>349.79</v>
      </c>
      <c r="T1015" s="5" t="s">
        <v>97</v>
      </c>
      <c r="U1015" s="13" t="s">
        <v>299</v>
      </c>
    </row>
    <row r="1016" spans="1:21" x14ac:dyDescent="0.35">
      <c r="A1016" s="4">
        <v>1015</v>
      </c>
      <c r="B1016" s="4">
        <v>799</v>
      </c>
      <c r="C1016" s="13" t="s">
        <v>1813</v>
      </c>
      <c r="D1016" s="13" t="s">
        <v>541</v>
      </c>
      <c r="E1016" s="5" t="s">
        <v>5566</v>
      </c>
      <c r="F1016" s="5" t="s">
        <v>4606</v>
      </c>
      <c r="G1016" s="5" t="s">
        <v>4607</v>
      </c>
      <c r="H1016" s="13" t="s">
        <v>2964</v>
      </c>
      <c r="I1016" s="13" t="s">
        <v>2309</v>
      </c>
      <c r="J1016" s="4">
        <v>11743</v>
      </c>
      <c r="K1016" s="4">
        <v>1</v>
      </c>
      <c r="L1016" s="4">
        <v>6</v>
      </c>
      <c r="M1016" s="4">
        <v>2016</v>
      </c>
      <c r="N1016" s="4">
        <v>2</v>
      </c>
      <c r="O1016" s="4">
        <v>7</v>
      </c>
      <c r="P1016" s="4">
        <v>2</v>
      </c>
      <c r="Q1016" s="19">
        <v>469.99</v>
      </c>
      <c r="R1016" s="16">
        <v>0.1</v>
      </c>
      <c r="S1016" s="16">
        <v>939.88</v>
      </c>
      <c r="T1016" s="5" t="s">
        <v>11</v>
      </c>
      <c r="U1016" s="13" t="s">
        <v>304</v>
      </c>
    </row>
    <row r="1017" spans="1:21" x14ac:dyDescent="0.35">
      <c r="A1017" s="4">
        <v>1016</v>
      </c>
      <c r="B1017" s="4">
        <v>1417</v>
      </c>
      <c r="C1017" s="13" t="s">
        <v>1814</v>
      </c>
      <c r="D1017" s="13" t="s">
        <v>831</v>
      </c>
      <c r="E1017" s="5" t="s">
        <v>5566</v>
      </c>
      <c r="F1017" s="5" t="s">
        <v>4608</v>
      </c>
      <c r="G1017" s="5" t="s">
        <v>4609</v>
      </c>
      <c r="H1017" s="13" t="s">
        <v>3215</v>
      </c>
      <c r="I1017" s="13" t="s">
        <v>2397</v>
      </c>
      <c r="J1017" s="4">
        <v>75126</v>
      </c>
      <c r="K1017" s="4">
        <v>1</v>
      </c>
      <c r="L1017" s="4">
        <v>76</v>
      </c>
      <c r="M1017" s="4">
        <v>2017</v>
      </c>
      <c r="N1017" s="4">
        <v>3</v>
      </c>
      <c r="O1017" s="4">
        <v>9</v>
      </c>
      <c r="P1017" s="4">
        <v>2</v>
      </c>
      <c r="Q1017" s="19">
        <v>299.99</v>
      </c>
      <c r="R1017" s="16">
        <v>7.0000000000000007E-2</v>
      </c>
      <c r="S1017" s="16">
        <v>599.91</v>
      </c>
      <c r="T1017" s="5" t="s">
        <v>77</v>
      </c>
      <c r="U1017" s="13" t="s">
        <v>301</v>
      </c>
    </row>
    <row r="1018" spans="1:21" x14ac:dyDescent="0.35">
      <c r="A1018" s="4">
        <v>1017</v>
      </c>
      <c r="B1018" s="4">
        <v>168</v>
      </c>
      <c r="C1018" s="13" t="s">
        <v>1815</v>
      </c>
      <c r="D1018" s="13" t="s">
        <v>871</v>
      </c>
      <c r="E1018" s="5" t="s">
        <v>5566</v>
      </c>
      <c r="F1018" s="5" t="s">
        <v>4610</v>
      </c>
      <c r="G1018" s="5" t="s">
        <v>4611</v>
      </c>
      <c r="H1018" s="13" t="s">
        <v>3161</v>
      </c>
      <c r="I1018" s="13" t="s">
        <v>2309</v>
      </c>
      <c r="J1018" s="4">
        <v>11420</v>
      </c>
      <c r="K1018" s="4">
        <v>1</v>
      </c>
      <c r="L1018" s="4">
        <v>89</v>
      </c>
      <c r="M1018" s="4">
        <v>2017</v>
      </c>
      <c r="N1018" s="4">
        <v>2</v>
      </c>
      <c r="O1018" s="4">
        <v>6</v>
      </c>
      <c r="P1018" s="4">
        <v>1</v>
      </c>
      <c r="Q1018" s="19">
        <v>209.99</v>
      </c>
      <c r="R1018" s="16">
        <v>7.0000000000000007E-2</v>
      </c>
      <c r="S1018" s="16">
        <v>209.92000000000002</v>
      </c>
      <c r="T1018" s="5" t="s">
        <v>90</v>
      </c>
      <c r="U1018" s="13" t="s">
        <v>299</v>
      </c>
    </row>
    <row r="1019" spans="1:21" x14ac:dyDescent="0.35">
      <c r="A1019" s="4">
        <v>1018</v>
      </c>
      <c r="B1019" s="4">
        <v>290</v>
      </c>
      <c r="C1019" s="13" t="s">
        <v>380</v>
      </c>
      <c r="D1019" s="13" t="s">
        <v>790</v>
      </c>
      <c r="E1019" s="5" t="s">
        <v>5566</v>
      </c>
      <c r="F1019" s="5" t="s">
        <v>4612</v>
      </c>
      <c r="G1019" s="5" t="s">
        <v>4613</v>
      </c>
      <c r="H1019" s="13" t="s">
        <v>2567</v>
      </c>
      <c r="I1019" s="13" t="s">
        <v>2309</v>
      </c>
      <c r="J1019" s="4">
        <v>11720</v>
      </c>
      <c r="K1019" s="4">
        <v>1</v>
      </c>
      <c r="L1019" s="4">
        <v>76</v>
      </c>
      <c r="M1019" s="4">
        <v>2017</v>
      </c>
      <c r="N1019" s="4">
        <v>2</v>
      </c>
      <c r="O1019" s="4">
        <v>6</v>
      </c>
      <c r="P1019" s="4">
        <v>2</v>
      </c>
      <c r="Q1019" s="19">
        <v>299.99</v>
      </c>
      <c r="R1019" s="16">
        <v>7.0000000000000007E-2</v>
      </c>
      <c r="S1019" s="16">
        <v>599.91</v>
      </c>
      <c r="T1019" s="5" t="s">
        <v>77</v>
      </c>
      <c r="U1019" s="13" t="s">
        <v>301</v>
      </c>
    </row>
    <row r="1020" spans="1:21" x14ac:dyDescent="0.35">
      <c r="A1020" s="4">
        <v>1019</v>
      </c>
      <c r="B1020" s="4">
        <v>408</v>
      </c>
      <c r="C1020" s="13" t="s">
        <v>1816</v>
      </c>
      <c r="D1020" s="13" t="s">
        <v>1817</v>
      </c>
      <c r="E1020" s="5" t="s">
        <v>5566</v>
      </c>
      <c r="F1020" s="5" t="s">
        <v>4614</v>
      </c>
      <c r="G1020" s="5" t="s">
        <v>4615</v>
      </c>
      <c r="H1020" s="13" t="s">
        <v>2441</v>
      </c>
      <c r="I1020" s="13" t="s">
        <v>2309</v>
      </c>
      <c r="J1020" s="4">
        <v>11722</v>
      </c>
      <c r="K1020" s="4">
        <v>1</v>
      </c>
      <c r="L1020" s="4">
        <v>30</v>
      </c>
      <c r="M1020" s="4">
        <v>2017</v>
      </c>
      <c r="N1020" s="4">
        <v>2</v>
      </c>
      <c r="O1020" s="4">
        <v>7</v>
      </c>
      <c r="P1020" s="4">
        <v>1</v>
      </c>
      <c r="Q1020" s="19">
        <v>999.99</v>
      </c>
      <c r="R1020" s="16">
        <v>0.1</v>
      </c>
      <c r="S1020" s="16">
        <v>999.89</v>
      </c>
      <c r="T1020" s="5" t="s">
        <v>31</v>
      </c>
      <c r="U1020" s="13" t="s">
        <v>304</v>
      </c>
    </row>
    <row r="1021" spans="1:21" x14ac:dyDescent="0.35">
      <c r="A1021" s="4">
        <v>1020</v>
      </c>
      <c r="B1021" s="4">
        <v>16</v>
      </c>
      <c r="C1021" s="13" t="s">
        <v>941</v>
      </c>
      <c r="D1021" s="13" t="s">
        <v>942</v>
      </c>
      <c r="E1021" s="5" t="s">
        <v>3199</v>
      </c>
      <c r="F1021" s="5" t="s">
        <v>3200</v>
      </c>
      <c r="G1021" s="5" t="s">
        <v>3201</v>
      </c>
      <c r="H1021" s="13" t="s">
        <v>2647</v>
      </c>
      <c r="I1021" s="13" t="s">
        <v>2309</v>
      </c>
      <c r="J1021" s="4">
        <v>10002</v>
      </c>
      <c r="K1021" s="4">
        <v>1</v>
      </c>
      <c r="L1021" s="4">
        <v>20</v>
      </c>
      <c r="M1021" s="4">
        <v>2016</v>
      </c>
      <c r="N1021" s="4">
        <v>2</v>
      </c>
      <c r="O1021" s="4">
        <v>6</v>
      </c>
      <c r="P1021" s="4">
        <v>2</v>
      </c>
      <c r="Q1021" s="19">
        <v>599.99</v>
      </c>
      <c r="R1021" s="16">
        <v>0.05</v>
      </c>
      <c r="S1021" s="16">
        <v>1199.93</v>
      </c>
      <c r="T1021" s="5" t="s">
        <v>25</v>
      </c>
      <c r="U1021" s="13" t="s">
        <v>301</v>
      </c>
    </row>
    <row r="1022" spans="1:21" x14ac:dyDescent="0.35">
      <c r="A1022" s="4">
        <v>1021</v>
      </c>
      <c r="B1022" s="4">
        <v>125</v>
      </c>
      <c r="C1022" s="13" t="s">
        <v>1818</v>
      </c>
      <c r="D1022" s="13" t="s">
        <v>533</v>
      </c>
      <c r="E1022" s="5" t="s">
        <v>5566</v>
      </c>
      <c r="F1022" s="5" t="s">
        <v>4616</v>
      </c>
      <c r="G1022" s="5" t="s">
        <v>4617</v>
      </c>
      <c r="H1022" s="13" t="s">
        <v>3204</v>
      </c>
      <c r="I1022" s="13" t="s">
        <v>2309</v>
      </c>
      <c r="J1022" s="4">
        <v>14424</v>
      </c>
      <c r="K1022" s="4">
        <v>1</v>
      </c>
      <c r="L1022" s="4">
        <v>49</v>
      </c>
      <c r="M1022" s="4">
        <v>2017</v>
      </c>
      <c r="N1022" s="4">
        <v>2</v>
      </c>
      <c r="O1022" s="4">
        <v>6</v>
      </c>
      <c r="P1022" s="4">
        <v>2</v>
      </c>
      <c r="Q1022" s="19">
        <v>3499.99</v>
      </c>
      <c r="R1022" s="16">
        <v>7.0000000000000007E-2</v>
      </c>
      <c r="S1022" s="16">
        <v>6999.91</v>
      </c>
      <c r="T1022" s="5" t="s">
        <v>50</v>
      </c>
      <c r="U1022" s="13" t="s">
        <v>305</v>
      </c>
    </row>
    <row r="1023" spans="1:21" x14ac:dyDescent="0.35">
      <c r="A1023" s="4">
        <v>1022</v>
      </c>
      <c r="B1023" s="4">
        <v>353</v>
      </c>
      <c r="C1023" s="13" t="s">
        <v>1819</v>
      </c>
      <c r="D1023" s="13" t="s">
        <v>1132</v>
      </c>
      <c r="E1023" s="5" t="s">
        <v>5566</v>
      </c>
      <c r="F1023" s="5" t="s">
        <v>4618</v>
      </c>
      <c r="G1023" s="5" t="s">
        <v>4619</v>
      </c>
      <c r="H1023" s="13" t="s">
        <v>3182</v>
      </c>
      <c r="I1023" s="13" t="s">
        <v>2309</v>
      </c>
      <c r="J1023" s="4">
        <v>10952</v>
      </c>
      <c r="K1023" s="4">
        <v>1</v>
      </c>
      <c r="L1023" s="4">
        <v>33</v>
      </c>
      <c r="M1023" s="4">
        <v>2017</v>
      </c>
      <c r="N1023" s="4">
        <v>2</v>
      </c>
      <c r="O1023" s="4">
        <v>7</v>
      </c>
      <c r="P1023" s="4">
        <v>1</v>
      </c>
      <c r="Q1023" s="19">
        <v>469.99</v>
      </c>
      <c r="R1023" s="16">
        <v>0.2</v>
      </c>
      <c r="S1023" s="16">
        <v>469.79</v>
      </c>
      <c r="T1023" s="5" t="s">
        <v>34</v>
      </c>
      <c r="U1023" s="13" t="s">
        <v>304</v>
      </c>
    </row>
    <row r="1024" spans="1:21" x14ac:dyDescent="0.35">
      <c r="A1024" s="4">
        <v>1023</v>
      </c>
      <c r="B1024" s="4">
        <v>356</v>
      </c>
      <c r="C1024" s="13" t="s">
        <v>1820</v>
      </c>
      <c r="D1024" s="13" t="s">
        <v>1172</v>
      </c>
      <c r="E1024" s="5" t="s">
        <v>5566</v>
      </c>
      <c r="F1024" s="5" t="s">
        <v>4620</v>
      </c>
      <c r="G1024" s="5" t="s">
        <v>4621</v>
      </c>
      <c r="H1024" s="13" t="s">
        <v>2384</v>
      </c>
      <c r="I1024" s="13" t="s">
        <v>2309</v>
      </c>
      <c r="J1024" s="4">
        <v>10451</v>
      </c>
      <c r="K1024" s="4">
        <v>1</v>
      </c>
      <c r="L1024" s="4">
        <v>91</v>
      </c>
      <c r="M1024" s="4">
        <v>2017</v>
      </c>
      <c r="N1024" s="4">
        <v>2</v>
      </c>
      <c r="O1024" s="4">
        <v>6</v>
      </c>
      <c r="P1024" s="4">
        <v>1</v>
      </c>
      <c r="Q1024" s="19">
        <v>349.99</v>
      </c>
      <c r="R1024" s="16">
        <v>7.0000000000000007E-2</v>
      </c>
      <c r="S1024" s="16">
        <v>349.92</v>
      </c>
      <c r="T1024" s="5" t="s">
        <v>92</v>
      </c>
      <c r="U1024" s="13" t="s">
        <v>299</v>
      </c>
    </row>
    <row r="1025" spans="1:21" x14ac:dyDescent="0.35">
      <c r="A1025" s="4">
        <v>1024</v>
      </c>
      <c r="B1025" s="4">
        <v>837</v>
      </c>
      <c r="C1025" s="13" t="s">
        <v>1821</v>
      </c>
      <c r="D1025" s="13" t="s">
        <v>1822</v>
      </c>
      <c r="E1025" s="5" t="s">
        <v>5566</v>
      </c>
      <c r="F1025" s="5" t="s">
        <v>4622</v>
      </c>
      <c r="G1025" s="5" t="s">
        <v>4623</v>
      </c>
      <c r="H1025" s="13" t="s">
        <v>2321</v>
      </c>
      <c r="I1025" s="13" t="s">
        <v>2309</v>
      </c>
      <c r="J1025" s="4">
        <v>13027</v>
      </c>
      <c r="K1025" s="4">
        <v>1</v>
      </c>
      <c r="L1025" s="4">
        <v>104</v>
      </c>
      <c r="M1025" s="4">
        <v>2017</v>
      </c>
      <c r="N1025" s="4">
        <v>2</v>
      </c>
      <c r="O1025" s="4">
        <v>7</v>
      </c>
      <c r="P1025" s="4">
        <v>1</v>
      </c>
      <c r="Q1025" s="19">
        <v>481.99</v>
      </c>
      <c r="R1025" s="16">
        <v>0.2</v>
      </c>
      <c r="S1025" s="16">
        <v>481.79</v>
      </c>
      <c r="T1025" s="5" t="s">
        <v>103</v>
      </c>
      <c r="U1025" s="13" t="s">
        <v>300</v>
      </c>
    </row>
    <row r="1026" spans="1:21" x14ac:dyDescent="0.35">
      <c r="A1026" s="4">
        <v>1025</v>
      </c>
      <c r="B1026" s="4">
        <v>1304</v>
      </c>
      <c r="C1026" s="13" t="s">
        <v>1823</v>
      </c>
      <c r="D1026" s="13" t="s">
        <v>413</v>
      </c>
      <c r="E1026" s="5" t="s">
        <v>5566</v>
      </c>
      <c r="F1026" s="5" t="s">
        <v>4624</v>
      </c>
      <c r="G1026" s="5" t="s">
        <v>4625</v>
      </c>
      <c r="H1026" s="13" t="s">
        <v>918</v>
      </c>
      <c r="I1026" s="13" t="s">
        <v>2309</v>
      </c>
      <c r="J1026" s="4">
        <v>11423</v>
      </c>
      <c r="K1026" s="4">
        <v>1</v>
      </c>
      <c r="L1026" s="4">
        <v>89</v>
      </c>
      <c r="M1026" s="4">
        <v>2017</v>
      </c>
      <c r="N1026" s="4">
        <v>2</v>
      </c>
      <c r="O1026" s="4">
        <v>6</v>
      </c>
      <c r="P1026" s="4">
        <v>1</v>
      </c>
      <c r="Q1026" s="19">
        <v>209.99</v>
      </c>
      <c r="R1026" s="16">
        <v>7.0000000000000007E-2</v>
      </c>
      <c r="S1026" s="16">
        <v>209.92000000000002</v>
      </c>
      <c r="T1026" s="5" t="s">
        <v>90</v>
      </c>
      <c r="U1026" s="13" t="s">
        <v>299</v>
      </c>
    </row>
    <row r="1027" spans="1:21" x14ac:dyDescent="0.35">
      <c r="A1027" s="4">
        <v>1026</v>
      </c>
      <c r="B1027" s="4">
        <v>1370</v>
      </c>
      <c r="C1027" s="13" t="s">
        <v>1824</v>
      </c>
      <c r="D1027" s="13" t="s">
        <v>1105</v>
      </c>
      <c r="E1027" s="5" t="s">
        <v>4626</v>
      </c>
      <c r="F1027" s="5" t="s">
        <v>4627</v>
      </c>
      <c r="G1027" s="5" t="s">
        <v>4628</v>
      </c>
      <c r="H1027" s="13" t="s">
        <v>2741</v>
      </c>
      <c r="I1027" s="13" t="s">
        <v>2305</v>
      </c>
      <c r="J1027" s="4">
        <v>95127</v>
      </c>
      <c r="K1027" s="4">
        <v>1</v>
      </c>
      <c r="L1027" s="4">
        <v>7</v>
      </c>
      <c r="M1027" s="4">
        <v>2016</v>
      </c>
      <c r="N1027" s="4">
        <v>1</v>
      </c>
      <c r="O1027" s="4">
        <v>2</v>
      </c>
      <c r="P1027" s="4">
        <v>2</v>
      </c>
      <c r="Q1027" s="19">
        <v>3999.99</v>
      </c>
      <c r="R1027" s="16">
        <v>7.0000000000000007E-2</v>
      </c>
      <c r="S1027" s="16">
        <v>7999.91</v>
      </c>
      <c r="T1027" s="5" t="s">
        <v>12</v>
      </c>
      <c r="U1027" s="13" t="s">
        <v>304</v>
      </c>
    </row>
    <row r="1028" spans="1:21" x14ac:dyDescent="0.35">
      <c r="A1028" s="4">
        <v>1027</v>
      </c>
      <c r="B1028" s="4">
        <v>588</v>
      </c>
      <c r="C1028" s="13" t="s">
        <v>1825</v>
      </c>
      <c r="D1028" s="13" t="s">
        <v>355</v>
      </c>
      <c r="E1028" s="5" t="s">
        <v>5566</v>
      </c>
      <c r="F1028" s="5" t="s">
        <v>4629</v>
      </c>
      <c r="G1028" s="5" t="s">
        <v>4630</v>
      </c>
      <c r="H1028" s="13" t="s">
        <v>3881</v>
      </c>
      <c r="I1028" s="13" t="s">
        <v>2309</v>
      </c>
      <c r="J1028" s="4">
        <v>11580</v>
      </c>
      <c r="K1028" s="4">
        <v>1</v>
      </c>
      <c r="L1028" s="4">
        <v>95</v>
      </c>
      <c r="M1028" s="4">
        <v>2017</v>
      </c>
      <c r="N1028" s="4">
        <v>2</v>
      </c>
      <c r="O1028" s="4">
        <v>6</v>
      </c>
      <c r="P1028" s="4">
        <v>2</v>
      </c>
      <c r="Q1028" s="19">
        <v>299.99</v>
      </c>
      <c r="R1028" s="16">
        <v>0.1</v>
      </c>
      <c r="S1028" s="16">
        <v>599.88</v>
      </c>
      <c r="T1028" s="5" t="s">
        <v>77</v>
      </c>
      <c r="U1028" s="13" t="s">
        <v>299</v>
      </c>
    </row>
    <row r="1029" spans="1:21" x14ac:dyDescent="0.35">
      <c r="A1029" s="4">
        <v>1028</v>
      </c>
      <c r="B1029" s="4">
        <v>1273</v>
      </c>
      <c r="C1029" s="13" t="s">
        <v>1826</v>
      </c>
      <c r="D1029" s="13" t="s">
        <v>1827</v>
      </c>
      <c r="E1029" s="5" t="s">
        <v>5566</v>
      </c>
      <c r="F1029" s="5" t="s">
        <v>4631</v>
      </c>
      <c r="G1029" s="5" t="s">
        <v>4632</v>
      </c>
      <c r="H1029" s="13" t="s">
        <v>2669</v>
      </c>
      <c r="I1029" s="13" t="s">
        <v>2309</v>
      </c>
      <c r="J1029" s="4">
        <v>13126</v>
      </c>
      <c r="K1029" s="4">
        <v>1</v>
      </c>
      <c r="L1029" s="4">
        <v>111</v>
      </c>
      <c r="M1029" s="4">
        <v>2017</v>
      </c>
      <c r="N1029" s="4">
        <v>2</v>
      </c>
      <c r="O1029" s="4">
        <v>7</v>
      </c>
      <c r="P1029" s="4">
        <v>2</v>
      </c>
      <c r="Q1029" s="19">
        <v>470.99</v>
      </c>
      <c r="R1029" s="16">
        <v>0.1</v>
      </c>
      <c r="S1029" s="16">
        <v>941.88</v>
      </c>
      <c r="T1029" s="5" t="s">
        <v>108</v>
      </c>
      <c r="U1029" s="13" t="s">
        <v>300</v>
      </c>
    </row>
    <row r="1030" spans="1:21" x14ac:dyDescent="0.35">
      <c r="A1030" s="4">
        <v>1029</v>
      </c>
      <c r="B1030" s="4">
        <v>407</v>
      </c>
      <c r="C1030" s="13" t="s">
        <v>1828</v>
      </c>
      <c r="D1030" s="13" t="s">
        <v>345</v>
      </c>
      <c r="E1030" s="5" t="s">
        <v>5566</v>
      </c>
      <c r="F1030" s="5" t="s">
        <v>4633</v>
      </c>
      <c r="G1030" s="5" t="s">
        <v>4634</v>
      </c>
      <c r="H1030" s="13" t="s">
        <v>2564</v>
      </c>
      <c r="I1030" s="13" t="s">
        <v>2305</v>
      </c>
      <c r="J1030" s="4">
        <v>94806</v>
      </c>
      <c r="K1030" s="4">
        <v>1</v>
      </c>
      <c r="L1030" s="4">
        <v>20</v>
      </c>
      <c r="M1030" s="4">
        <v>2016</v>
      </c>
      <c r="N1030" s="4">
        <v>1</v>
      </c>
      <c r="O1030" s="4">
        <v>3</v>
      </c>
      <c r="P1030" s="4">
        <v>1</v>
      </c>
      <c r="Q1030" s="19">
        <v>599.99</v>
      </c>
      <c r="R1030" s="16">
        <v>0.2</v>
      </c>
      <c r="S1030" s="16">
        <v>599.79</v>
      </c>
      <c r="T1030" s="5" t="s">
        <v>25</v>
      </c>
      <c r="U1030" s="13" t="s">
        <v>301</v>
      </c>
    </row>
    <row r="1031" spans="1:21" x14ac:dyDescent="0.35">
      <c r="A1031" s="4">
        <v>1030</v>
      </c>
      <c r="B1031" s="4">
        <v>161</v>
      </c>
      <c r="C1031" s="13" t="s">
        <v>1829</v>
      </c>
      <c r="D1031" s="13" t="s">
        <v>369</v>
      </c>
      <c r="E1031" s="5" t="s">
        <v>5566</v>
      </c>
      <c r="F1031" s="5" t="s">
        <v>4635</v>
      </c>
      <c r="G1031" s="5" t="s">
        <v>4636</v>
      </c>
      <c r="H1031" s="13" t="s">
        <v>2797</v>
      </c>
      <c r="I1031" s="13" t="s">
        <v>2309</v>
      </c>
      <c r="J1031" s="4">
        <v>11787</v>
      </c>
      <c r="K1031" s="4">
        <v>1</v>
      </c>
      <c r="L1031" s="4">
        <v>27</v>
      </c>
      <c r="M1031" s="4">
        <v>2017</v>
      </c>
      <c r="N1031" s="4">
        <v>2</v>
      </c>
      <c r="O1031" s="4">
        <v>6</v>
      </c>
      <c r="P1031" s="4">
        <v>1</v>
      </c>
      <c r="Q1031" s="19">
        <v>999.99</v>
      </c>
      <c r="R1031" s="16">
        <v>0.05</v>
      </c>
      <c r="S1031" s="16">
        <v>999.94</v>
      </c>
      <c r="T1031" s="5" t="s">
        <v>28</v>
      </c>
      <c r="U1031" s="13" t="s">
        <v>304</v>
      </c>
    </row>
    <row r="1032" spans="1:21" x14ac:dyDescent="0.35">
      <c r="A1032" s="4">
        <v>1031</v>
      </c>
      <c r="B1032" s="4">
        <v>1308</v>
      </c>
      <c r="C1032" s="13" t="s">
        <v>1830</v>
      </c>
      <c r="D1032" s="13" t="s">
        <v>1086</v>
      </c>
      <c r="E1032" s="5" t="s">
        <v>5566</v>
      </c>
      <c r="F1032" s="5" t="s">
        <v>4637</v>
      </c>
      <c r="G1032" s="5" t="s">
        <v>4638</v>
      </c>
      <c r="H1032" s="13" t="s">
        <v>3292</v>
      </c>
      <c r="I1032" s="13" t="s">
        <v>2305</v>
      </c>
      <c r="J1032" s="4">
        <v>91733</v>
      </c>
      <c r="K1032" s="4">
        <v>1</v>
      </c>
      <c r="L1032" s="4">
        <v>27</v>
      </c>
      <c r="M1032" s="4">
        <v>2017</v>
      </c>
      <c r="N1032" s="4">
        <v>1</v>
      </c>
      <c r="O1032" s="4">
        <v>2</v>
      </c>
      <c r="P1032" s="4">
        <v>2</v>
      </c>
      <c r="Q1032" s="19">
        <v>999.99</v>
      </c>
      <c r="R1032" s="16">
        <v>0.2</v>
      </c>
      <c r="S1032" s="16">
        <v>1999.78</v>
      </c>
      <c r="T1032" s="5" t="s">
        <v>28</v>
      </c>
      <c r="U1032" s="13" t="s">
        <v>304</v>
      </c>
    </row>
    <row r="1033" spans="1:21" x14ac:dyDescent="0.35">
      <c r="A1033" s="4">
        <v>1032</v>
      </c>
      <c r="B1033" s="4">
        <v>429</v>
      </c>
      <c r="C1033" s="13" t="s">
        <v>1831</v>
      </c>
      <c r="D1033" s="13" t="s">
        <v>505</v>
      </c>
      <c r="E1033" s="5" t="s">
        <v>5566</v>
      </c>
      <c r="F1033" s="5" t="s">
        <v>4639</v>
      </c>
      <c r="G1033" s="5" t="s">
        <v>4640</v>
      </c>
      <c r="H1033" s="13" t="s">
        <v>3881</v>
      </c>
      <c r="I1033" s="13" t="s">
        <v>2309</v>
      </c>
      <c r="J1033" s="4">
        <v>11580</v>
      </c>
      <c r="K1033" s="4">
        <v>1</v>
      </c>
      <c r="L1033" s="4">
        <v>60</v>
      </c>
      <c r="M1033" s="4">
        <v>2017</v>
      </c>
      <c r="N1033" s="4">
        <v>2</v>
      </c>
      <c r="O1033" s="4">
        <v>6</v>
      </c>
      <c r="P1033" s="4">
        <v>2</v>
      </c>
      <c r="Q1033" s="19">
        <v>1559.99</v>
      </c>
      <c r="R1033" s="16">
        <v>0.1</v>
      </c>
      <c r="S1033" s="16">
        <v>3119.88</v>
      </c>
      <c r="T1033" s="5" t="s">
        <v>61</v>
      </c>
      <c r="U1033" s="13" t="s">
        <v>303</v>
      </c>
    </row>
    <row r="1034" spans="1:21" x14ac:dyDescent="0.35">
      <c r="A1034" s="4">
        <v>1033</v>
      </c>
      <c r="B1034" s="4">
        <v>582</v>
      </c>
      <c r="C1034" s="13" t="s">
        <v>1832</v>
      </c>
      <c r="D1034" s="13" t="s">
        <v>923</v>
      </c>
      <c r="E1034" s="5" t="s">
        <v>5566</v>
      </c>
      <c r="F1034" s="5" t="s">
        <v>4641</v>
      </c>
      <c r="G1034" s="5" t="s">
        <v>4642</v>
      </c>
      <c r="H1034" s="13" t="s">
        <v>2763</v>
      </c>
      <c r="I1034" s="13" t="s">
        <v>2309</v>
      </c>
      <c r="J1034" s="4">
        <v>11372</v>
      </c>
      <c r="K1034" s="4">
        <v>1</v>
      </c>
      <c r="L1034" s="4">
        <v>26</v>
      </c>
      <c r="M1034" s="4">
        <v>2016</v>
      </c>
      <c r="N1034" s="4">
        <v>2</v>
      </c>
      <c r="O1034" s="4">
        <v>7</v>
      </c>
      <c r="P1034" s="4">
        <v>1</v>
      </c>
      <c r="Q1034" s="19">
        <v>599.99</v>
      </c>
      <c r="R1034" s="16">
        <v>7.0000000000000007E-2</v>
      </c>
      <c r="S1034" s="16">
        <v>599.91999999999996</v>
      </c>
      <c r="T1034" s="5" t="s">
        <v>21</v>
      </c>
      <c r="U1034" s="13" t="s">
        <v>300</v>
      </c>
    </row>
    <row r="1035" spans="1:21" x14ac:dyDescent="0.35">
      <c r="A1035" s="4">
        <v>1034</v>
      </c>
      <c r="B1035" s="4">
        <v>895</v>
      </c>
      <c r="C1035" s="13" t="s">
        <v>1833</v>
      </c>
      <c r="D1035" s="13" t="s">
        <v>355</v>
      </c>
      <c r="E1035" s="5" t="s">
        <v>5566</v>
      </c>
      <c r="F1035" s="5" t="s">
        <v>4643</v>
      </c>
      <c r="G1035" s="5" t="s">
        <v>4644</v>
      </c>
      <c r="H1035" s="13" t="s">
        <v>2463</v>
      </c>
      <c r="I1035" s="13" t="s">
        <v>2309</v>
      </c>
      <c r="J1035" s="4">
        <v>11803</v>
      </c>
      <c r="K1035" s="4">
        <v>1</v>
      </c>
      <c r="L1035" s="4">
        <v>101</v>
      </c>
      <c r="M1035" s="4">
        <v>2017</v>
      </c>
      <c r="N1035" s="4">
        <v>2</v>
      </c>
      <c r="O1035" s="4">
        <v>7</v>
      </c>
      <c r="P1035" s="4">
        <v>1</v>
      </c>
      <c r="Q1035" s="19">
        <v>339.99</v>
      </c>
      <c r="R1035" s="16">
        <v>0.1</v>
      </c>
      <c r="S1035" s="16">
        <v>339.89</v>
      </c>
      <c r="T1035" s="5" t="s">
        <v>101</v>
      </c>
      <c r="U1035" s="13" t="s">
        <v>299</v>
      </c>
    </row>
    <row r="1036" spans="1:21" x14ac:dyDescent="0.35">
      <c r="A1036" s="4">
        <v>1035</v>
      </c>
      <c r="B1036" s="4">
        <v>1283</v>
      </c>
      <c r="C1036" s="13" t="s">
        <v>1834</v>
      </c>
      <c r="D1036" s="13" t="s">
        <v>380</v>
      </c>
      <c r="E1036" s="5" t="s">
        <v>5566</v>
      </c>
      <c r="F1036" s="5" t="s">
        <v>4645</v>
      </c>
      <c r="G1036" s="5" t="s">
        <v>4646</v>
      </c>
      <c r="H1036" s="13" t="s">
        <v>2436</v>
      </c>
      <c r="I1036" s="13" t="s">
        <v>2309</v>
      </c>
      <c r="J1036" s="4">
        <v>12533</v>
      </c>
      <c r="K1036" s="4">
        <v>1</v>
      </c>
      <c r="L1036" s="4">
        <v>96</v>
      </c>
      <c r="M1036" s="4">
        <v>2017</v>
      </c>
      <c r="N1036" s="4">
        <v>2</v>
      </c>
      <c r="O1036" s="4">
        <v>6</v>
      </c>
      <c r="P1036" s="4">
        <v>1</v>
      </c>
      <c r="Q1036" s="19">
        <v>349.99</v>
      </c>
      <c r="R1036" s="16">
        <v>0.2</v>
      </c>
      <c r="S1036" s="16">
        <v>349.79</v>
      </c>
      <c r="T1036" s="5" t="s">
        <v>96</v>
      </c>
      <c r="U1036" s="13" t="s">
        <v>299</v>
      </c>
    </row>
    <row r="1037" spans="1:21" x14ac:dyDescent="0.35">
      <c r="A1037" s="4">
        <v>1036</v>
      </c>
      <c r="B1037" s="4">
        <v>1442</v>
      </c>
      <c r="C1037" s="13" t="s">
        <v>1835</v>
      </c>
      <c r="D1037" s="13" t="s">
        <v>501</v>
      </c>
      <c r="E1037" s="5" t="s">
        <v>5566</v>
      </c>
      <c r="F1037" s="5" t="s">
        <v>4647</v>
      </c>
      <c r="G1037" s="5" t="s">
        <v>4648</v>
      </c>
      <c r="H1037" s="13" t="s">
        <v>2554</v>
      </c>
      <c r="I1037" s="13" t="s">
        <v>2309</v>
      </c>
      <c r="J1037" s="4">
        <v>11201</v>
      </c>
      <c r="K1037" s="4">
        <v>1</v>
      </c>
      <c r="L1037" s="4">
        <v>55</v>
      </c>
      <c r="M1037" s="4">
        <v>2017</v>
      </c>
      <c r="N1037" s="4">
        <v>2</v>
      </c>
      <c r="O1037" s="4">
        <v>6</v>
      </c>
      <c r="P1037" s="4">
        <v>2</v>
      </c>
      <c r="Q1037" s="19">
        <v>2699.99</v>
      </c>
      <c r="R1037" s="16">
        <v>0.1</v>
      </c>
      <c r="S1037" s="16">
        <v>5399.8799999999992</v>
      </c>
      <c r="T1037" s="5" t="s">
        <v>56</v>
      </c>
      <c r="U1037" s="13" t="s">
        <v>305</v>
      </c>
    </row>
    <row r="1038" spans="1:21" x14ac:dyDescent="0.35">
      <c r="A1038" s="4">
        <v>1037</v>
      </c>
      <c r="B1038" s="4">
        <v>1229</v>
      </c>
      <c r="C1038" s="13" t="s">
        <v>1836</v>
      </c>
      <c r="D1038" s="13" t="s">
        <v>1020</v>
      </c>
      <c r="E1038" s="5" t="s">
        <v>5566</v>
      </c>
      <c r="F1038" s="5" t="s">
        <v>4649</v>
      </c>
      <c r="G1038" s="5" t="s">
        <v>4650</v>
      </c>
      <c r="H1038" s="13" t="s">
        <v>2381</v>
      </c>
      <c r="I1038" s="13" t="s">
        <v>2309</v>
      </c>
      <c r="J1038" s="4">
        <v>12590</v>
      </c>
      <c r="K1038" s="4">
        <v>1</v>
      </c>
      <c r="L1038" s="4">
        <v>74</v>
      </c>
      <c r="M1038" s="4">
        <v>2017</v>
      </c>
      <c r="N1038" s="4">
        <v>2</v>
      </c>
      <c r="O1038" s="4">
        <v>6</v>
      </c>
      <c r="P1038" s="4">
        <v>2</v>
      </c>
      <c r="Q1038" s="19">
        <v>439.99</v>
      </c>
      <c r="R1038" s="16">
        <v>7.0000000000000007E-2</v>
      </c>
      <c r="S1038" s="16">
        <v>879.91</v>
      </c>
      <c r="T1038" s="5" t="s">
        <v>75</v>
      </c>
      <c r="U1038" s="13" t="s">
        <v>301</v>
      </c>
    </row>
    <row r="1039" spans="1:21" x14ac:dyDescent="0.35">
      <c r="A1039" s="4">
        <v>1038</v>
      </c>
      <c r="B1039" s="4">
        <v>1281</v>
      </c>
      <c r="C1039" s="13" t="s">
        <v>1837</v>
      </c>
      <c r="D1039" s="13" t="s">
        <v>685</v>
      </c>
      <c r="E1039" s="5" t="s">
        <v>5566</v>
      </c>
      <c r="F1039" s="5" t="s">
        <v>4651</v>
      </c>
      <c r="G1039" s="5" t="s">
        <v>4652</v>
      </c>
      <c r="H1039" s="13" t="s">
        <v>2415</v>
      </c>
      <c r="I1039" s="13" t="s">
        <v>2309</v>
      </c>
      <c r="J1039" s="4">
        <v>11377</v>
      </c>
      <c r="K1039" s="4">
        <v>1</v>
      </c>
      <c r="L1039" s="4">
        <v>83</v>
      </c>
      <c r="M1039" s="4">
        <v>2017</v>
      </c>
      <c r="N1039" s="4">
        <v>2</v>
      </c>
      <c r="O1039" s="4">
        <v>7</v>
      </c>
      <c r="P1039" s="4">
        <v>1</v>
      </c>
      <c r="Q1039" s="19">
        <v>149.99</v>
      </c>
      <c r="R1039" s="16">
        <v>0.05</v>
      </c>
      <c r="S1039" s="16">
        <v>149.94</v>
      </c>
      <c r="T1039" s="5" t="s">
        <v>84</v>
      </c>
      <c r="U1039" s="13" t="s">
        <v>299</v>
      </c>
    </row>
    <row r="1040" spans="1:21" x14ac:dyDescent="0.35">
      <c r="A1040" s="4">
        <v>1039</v>
      </c>
      <c r="B1040" s="4">
        <v>1077</v>
      </c>
      <c r="C1040" s="13" t="s">
        <v>1838</v>
      </c>
      <c r="D1040" s="13" t="s">
        <v>865</v>
      </c>
      <c r="E1040" s="5" t="s">
        <v>5566</v>
      </c>
      <c r="F1040" s="5" t="s">
        <v>4653</v>
      </c>
      <c r="G1040" s="5" t="s">
        <v>4654</v>
      </c>
      <c r="H1040" s="13" t="s">
        <v>2945</v>
      </c>
      <c r="I1040" s="13" t="s">
        <v>2309</v>
      </c>
      <c r="J1040" s="4">
        <v>11104</v>
      </c>
      <c r="K1040" s="4">
        <v>1</v>
      </c>
      <c r="L1040" s="4">
        <v>18</v>
      </c>
      <c r="M1040" s="4">
        <v>2016</v>
      </c>
      <c r="N1040" s="4">
        <v>2</v>
      </c>
      <c r="O1040" s="4">
        <v>7</v>
      </c>
      <c r="P1040" s="4">
        <v>2</v>
      </c>
      <c r="Q1040" s="19">
        <v>449</v>
      </c>
      <c r="R1040" s="16">
        <v>0.2</v>
      </c>
      <c r="S1040" s="16">
        <v>897.8</v>
      </c>
      <c r="T1040" s="5" t="s">
        <v>23</v>
      </c>
      <c r="U1040" s="13" t="s">
        <v>301</v>
      </c>
    </row>
    <row r="1041" spans="1:21" x14ac:dyDescent="0.35">
      <c r="A1041" s="4">
        <v>1040</v>
      </c>
      <c r="B1041" s="4">
        <v>1225</v>
      </c>
      <c r="C1041" s="13" t="s">
        <v>1725</v>
      </c>
      <c r="D1041" s="13" t="s">
        <v>1468</v>
      </c>
      <c r="E1041" s="5" t="s">
        <v>5566</v>
      </c>
      <c r="F1041" s="5" t="s">
        <v>4655</v>
      </c>
      <c r="G1041" s="5" t="s">
        <v>4656</v>
      </c>
      <c r="H1041" s="13" t="s">
        <v>3198</v>
      </c>
      <c r="I1041" s="13" t="s">
        <v>2305</v>
      </c>
      <c r="J1041" s="4">
        <v>93635</v>
      </c>
      <c r="K1041" s="4">
        <v>1</v>
      </c>
      <c r="L1041" s="4">
        <v>97</v>
      </c>
      <c r="M1041" s="4">
        <v>2017</v>
      </c>
      <c r="N1041" s="4">
        <v>1</v>
      </c>
      <c r="O1041" s="4">
        <v>2</v>
      </c>
      <c r="P1041" s="4">
        <v>1</v>
      </c>
      <c r="Q1041" s="19">
        <v>349.99</v>
      </c>
      <c r="R1041" s="16">
        <v>0.1</v>
      </c>
      <c r="S1041" s="16">
        <v>349.89</v>
      </c>
      <c r="T1041" s="5" t="s">
        <v>97</v>
      </c>
      <c r="U1041" s="13" t="s">
        <v>299</v>
      </c>
    </row>
    <row r="1042" spans="1:21" x14ac:dyDescent="0.35">
      <c r="A1042" s="4">
        <v>1041</v>
      </c>
      <c r="B1042" s="4">
        <v>70</v>
      </c>
      <c r="C1042" s="13" t="s">
        <v>1839</v>
      </c>
      <c r="D1042" s="13" t="s">
        <v>433</v>
      </c>
      <c r="E1042" s="5" t="s">
        <v>5566</v>
      </c>
      <c r="F1042" s="5" t="s">
        <v>4657</v>
      </c>
      <c r="G1042" s="5" t="s">
        <v>4658</v>
      </c>
      <c r="H1042" s="13" t="s">
        <v>2631</v>
      </c>
      <c r="I1042" s="13" t="s">
        <v>2309</v>
      </c>
      <c r="J1042" s="4">
        <v>11369</v>
      </c>
      <c r="K1042" s="4">
        <v>1</v>
      </c>
      <c r="L1042" s="4">
        <v>89</v>
      </c>
      <c r="M1042" s="4">
        <v>2017</v>
      </c>
      <c r="N1042" s="4">
        <v>2</v>
      </c>
      <c r="O1042" s="4">
        <v>7</v>
      </c>
      <c r="P1042" s="4">
        <v>1</v>
      </c>
      <c r="Q1042" s="19">
        <v>209.99</v>
      </c>
      <c r="R1042" s="16">
        <v>0.1</v>
      </c>
      <c r="S1042" s="16">
        <v>209.89000000000001</v>
      </c>
      <c r="T1042" s="5" t="s">
        <v>90</v>
      </c>
      <c r="U1042" s="13" t="s">
        <v>299</v>
      </c>
    </row>
    <row r="1043" spans="1:21" x14ac:dyDescent="0.35">
      <c r="A1043" s="4">
        <v>1042</v>
      </c>
      <c r="B1043" s="4">
        <v>539</v>
      </c>
      <c r="C1043" s="13" t="s">
        <v>747</v>
      </c>
      <c r="D1043" s="13" t="s">
        <v>1840</v>
      </c>
      <c r="E1043" s="5" t="s">
        <v>5566</v>
      </c>
      <c r="F1043" s="5" t="s">
        <v>4659</v>
      </c>
      <c r="G1043" s="5" t="s">
        <v>4660</v>
      </c>
      <c r="H1043" s="13" t="s">
        <v>3084</v>
      </c>
      <c r="I1043" s="13" t="s">
        <v>2309</v>
      </c>
      <c r="J1043" s="4">
        <v>11417</v>
      </c>
      <c r="K1043" s="4">
        <v>1</v>
      </c>
      <c r="L1043" s="4">
        <v>23</v>
      </c>
      <c r="M1043" s="4">
        <v>2016</v>
      </c>
      <c r="N1043" s="4">
        <v>2</v>
      </c>
      <c r="O1043" s="4">
        <v>7</v>
      </c>
      <c r="P1043" s="4">
        <v>1</v>
      </c>
      <c r="Q1043" s="19">
        <v>299.99</v>
      </c>
      <c r="R1043" s="16">
        <v>0.1</v>
      </c>
      <c r="S1043" s="16">
        <v>299.89</v>
      </c>
      <c r="T1043" s="5" t="s">
        <v>26</v>
      </c>
      <c r="U1043" s="13" t="s">
        <v>299</v>
      </c>
    </row>
    <row r="1044" spans="1:21" x14ac:dyDescent="0.35">
      <c r="A1044" s="4">
        <v>1043</v>
      </c>
      <c r="B1044" s="4">
        <v>1235</v>
      </c>
      <c r="C1044" s="13" t="s">
        <v>1841</v>
      </c>
      <c r="D1044" s="13" t="s">
        <v>593</v>
      </c>
      <c r="E1044" s="5" t="s">
        <v>5566</v>
      </c>
      <c r="F1044" s="5" t="s">
        <v>4661</v>
      </c>
      <c r="G1044" s="5" t="s">
        <v>4662</v>
      </c>
      <c r="H1044" s="13" t="s">
        <v>3343</v>
      </c>
      <c r="I1044" s="13" t="s">
        <v>2309</v>
      </c>
      <c r="J1044" s="4">
        <v>13760</v>
      </c>
      <c r="K1044" s="4">
        <v>1</v>
      </c>
      <c r="L1044" s="4">
        <v>55</v>
      </c>
      <c r="M1044" s="4">
        <v>2017</v>
      </c>
      <c r="N1044" s="4">
        <v>2</v>
      </c>
      <c r="O1044" s="4">
        <v>6</v>
      </c>
      <c r="P1044" s="4">
        <v>2</v>
      </c>
      <c r="Q1044" s="19">
        <v>2699.99</v>
      </c>
      <c r="R1044" s="16">
        <v>0.1</v>
      </c>
      <c r="S1044" s="16">
        <v>5399.8799999999992</v>
      </c>
      <c r="T1044" s="5" t="s">
        <v>56</v>
      </c>
      <c r="U1044" s="13" t="s">
        <v>305</v>
      </c>
    </row>
    <row r="1045" spans="1:21" x14ac:dyDescent="0.35">
      <c r="A1045" s="4">
        <v>1044</v>
      </c>
      <c r="B1045" s="4">
        <v>1270</v>
      </c>
      <c r="C1045" s="13" t="s">
        <v>1426</v>
      </c>
      <c r="D1045" s="13" t="s">
        <v>1202</v>
      </c>
      <c r="E1045" s="5" t="s">
        <v>5566</v>
      </c>
      <c r="F1045" s="5" t="s">
        <v>4663</v>
      </c>
      <c r="G1045" s="5" t="s">
        <v>4664</v>
      </c>
      <c r="H1045" s="13" t="s">
        <v>2390</v>
      </c>
      <c r="I1045" s="13" t="s">
        <v>2309</v>
      </c>
      <c r="J1045" s="4">
        <v>14127</v>
      </c>
      <c r="K1045" s="4">
        <v>1</v>
      </c>
      <c r="L1045" s="4">
        <v>97</v>
      </c>
      <c r="M1045" s="4">
        <v>2017</v>
      </c>
      <c r="N1045" s="4">
        <v>2</v>
      </c>
      <c r="O1045" s="4">
        <v>7</v>
      </c>
      <c r="P1045" s="4">
        <v>2</v>
      </c>
      <c r="Q1045" s="19">
        <v>349.99</v>
      </c>
      <c r="R1045" s="16">
        <v>0.1</v>
      </c>
      <c r="S1045" s="16">
        <v>699.88</v>
      </c>
      <c r="T1045" s="5" t="s">
        <v>97</v>
      </c>
      <c r="U1045" s="13" t="s">
        <v>299</v>
      </c>
    </row>
    <row r="1046" spans="1:21" x14ac:dyDescent="0.35">
      <c r="A1046" s="4">
        <v>1045</v>
      </c>
      <c r="B1046" s="4">
        <v>185</v>
      </c>
      <c r="C1046" s="13" t="s">
        <v>1078</v>
      </c>
      <c r="D1046" s="13" t="s">
        <v>1013</v>
      </c>
      <c r="E1046" s="5" t="s">
        <v>5566</v>
      </c>
      <c r="F1046" s="5" t="s">
        <v>4665</v>
      </c>
      <c r="G1046" s="5" t="s">
        <v>4666</v>
      </c>
      <c r="H1046" s="13" t="s">
        <v>2849</v>
      </c>
      <c r="I1046" s="13" t="s">
        <v>2397</v>
      </c>
      <c r="J1046" s="4">
        <v>76901</v>
      </c>
      <c r="K1046" s="4">
        <v>1</v>
      </c>
      <c r="L1046" s="4">
        <v>28</v>
      </c>
      <c r="M1046" s="4">
        <v>2017</v>
      </c>
      <c r="N1046" s="4">
        <v>3</v>
      </c>
      <c r="O1046" s="4">
        <v>9</v>
      </c>
      <c r="P1046" s="4">
        <v>1</v>
      </c>
      <c r="Q1046" s="19">
        <v>2499.9899999999998</v>
      </c>
      <c r="R1046" s="16">
        <v>0.05</v>
      </c>
      <c r="S1046" s="16">
        <v>2499.9399999999996</v>
      </c>
      <c r="T1046" s="5" t="s">
        <v>29</v>
      </c>
      <c r="U1046" s="13" t="s">
        <v>304</v>
      </c>
    </row>
    <row r="1047" spans="1:21" x14ac:dyDescent="0.35">
      <c r="A1047" s="4">
        <v>1046</v>
      </c>
      <c r="B1047" s="4">
        <v>1134</v>
      </c>
      <c r="C1047" s="13" t="s">
        <v>1842</v>
      </c>
      <c r="D1047" s="13" t="s">
        <v>1634</v>
      </c>
      <c r="E1047" s="5" t="s">
        <v>5566</v>
      </c>
      <c r="F1047" s="5" t="s">
        <v>4667</v>
      </c>
      <c r="G1047" s="5" t="s">
        <v>4668</v>
      </c>
      <c r="H1047" s="13" t="s">
        <v>2687</v>
      </c>
      <c r="I1047" s="13" t="s">
        <v>2397</v>
      </c>
      <c r="J1047" s="4">
        <v>75115</v>
      </c>
      <c r="K1047" s="4">
        <v>1</v>
      </c>
      <c r="L1047" s="4">
        <v>60</v>
      </c>
      <c r="M1047" s="4">
        <v>2017</v>
      </c>
      <c r="N1047" s="4">
        <v>3</v>
      </c>
      <c r="O1047" s="4">
        <v>8</v>
      </c>
      <c r="P1047" s="4">
        <v>1</v>
      </c>
      <c r="Q1047" s="19">
        <v>1559.99</v>
      </c>
      <c r="R1047" s="16">
        <v>7.0000000000000007E-2</v>
      </c>
      <c r="S1047" s="16">
        <v>1559.92</v>
      </c>
      <c r="T1047" s="5" t="s">
        <v>61</v>
      </c>
      <c r="U1047" s="13" t="s">
        <v>303</v>
      </c>
    </row>
    <row r="1048" spans="1:21" x14ac:dyDescent="0.35">
      <c r="A1048" s="4">
        <v>1047</v>
      </c>
      <c r="B1048" s="4">
        <v>116</v>
      </c>
      <c r="C1048" s="13" t="s">
        <v>1208</v>
      </c>
      <c r="D1048" s="13" t="s">
        <v>898</v>
      </c>
      <c r="E1048" s="5" t="s">
        <v>5566</v>
      </c>
      <c r="F1048" s="5" t="s">
        <v>3585</v>
      </c>
      <c r="G1048" s="5" t="s">
        <v>3586</v>
      </c>
      <c r="H1048" s="13" t="s">
        <v>2666</v>
      </c>
      <c r="I1048" s="13" t="s">
        <v>2397</v>
      </c>
      <c r="J1048" s="4">
        <v>76039</v>
      </c>
      <c r="K1048" s="4">
        <v>1</v>
      </c>
      <c r="L1048" s="4">
        <v>28</v>
      </c>
      <c r="M1048" s="4">
        <v>2017</v>
      </c>
      <c r="N1048" s="4">
        <v>3</v>
      </c>
      <c r="O1048" s="4">
        <v>8</v>
      </c>
      <c r="P1048" s="4">
        <v>2</v>
      </c>
      <c r="Q1048" s="19">
        <v>2499.9899999999998</v>
      </c>
      <c r="R1048" s="16">
        <v>0.1</v>
      </c>
      <c r="S1048" s="16">
        <v>4999.8799999999992</v>
      </c>
      <c r="T1048" s="5" t="s">
        <v>29</v>
      </c>
      <c r="U1048" s="13" t="s">
        <v>304</v>
      </c>
    </row>
    <row r="1049" spans="1:21" x14ac:dyDescent="0.35">
      <c r="A1049" s="4">
        <v>1048</v>
      </c>
      <c r="B1049" s="4">
        <v>777</v>
      </c>
      <c r="C1049" s="13" t="s">
        <v>1843</v>
      </c>
      <c r="D1049" s="13" t="s">
        <v>1844</v>
      </c>
      <c r="E1049" s="5" t="s">
        <v>5566</v>
      </c>
      <c r="F1049" s="5" t="s">
        <v>4669</v>
      </c>
      <c r="G1049" s="5" t="s">
        <v>4670</v>
      </c>
      <c r="H1049" s="13" t="s">
        <v>2605</v>
      </c>
      <c r="I1049" s="13" t="s">
        <v>2309</v>
      </c>
      <c r="J1049" s="4">
        <v>12401</v>
      </c>
      <c r="K1049" s="4">
        <v>1</v>
      </c>
      <c r="L1049" s="4">
        <v>3</v>
      </c>
      <c r="M1049" s="4">
        <v>2016</v>
      </c>
      <c r="N1049" s="4">
        <v>2</v>
      </c>
      <c r="O1049" s="4">
        <v>7</v>
      </c>
      <c r="P1049" s="4">
        <v>2</v>
      </c>
      <c r="Q1049" s="19">
        <v>999.99</v>
      </c>
      <c r="R1049" s="16">
        <v>0.1</v>
      </c>
      <c r="S1049" s="16">
        <v>1999.88</v>
      </c>
      <c r="T1049" s="5" t="s">
        <v>8</v>
      </c>
      <c r="U1049" s="13" t="s">
        <v>304</v>
      </c>
    </row>
    <row r="1050" spans="1:21" x14ac:dyDescent="0.35">
      <c r="A1050" s="4">
        <v>1049</v>
      </c>
      <c r="B1050" s="4">
        <v>194</v>
      </c>
      <c r="C1050" s="13" t="s">
        <v>1845</v>
      </c>
      <c r="D1050" s="13" t="s">
        <v>1844</v>
      </c>
      <c r="E1050" s="5" t="s">
        <v>5566</v>
      </c>
      <c r="F1050" s="5" t="s">
        <v>4671</v>
      </c>
      <c r="G1050" s="5" t="s">
        <v>4672</v>
      </c>
      <c r="H1050" s="13" t="s">
        <v>3127</v>
      </c>
      <c r="I1050" s="13" t="s">
        <v>2305</v>
      </c>
      <c r="J1050" s="4">
        <v>95060</v>
      </c>
      <c r="K1050" s="4">
        <v>1</v>
      </c>
      <c r="L1050" s="4">
        <v>9</v>
      </c>
      <c r="M1050" s="4">
        <v>2016</v>
      </c>
      <c r="N1050" s="4">
        <v>1</v>
      </c>
      <c r="O1050" s="4">
        <v>2</v>
      </c>
      <c r="P1050" s="4">
        <v>1</v>
      </c>
      <c r="Q1050" s="19">
        <v>2999.99</v>
      </c>
      <c r="R1050" s="16">
        <v>0.1</v>
      </c>
      <c r="S1050" s="16">
        <v>2999.89</v>
      </c>
      <c r="T1050" s="5" t="s">
        <v>14</v>
      </c>
      <c r="U1050" s="13" t="s">
        <v>303</v>
      </c>
    </row>
    <row r="1051" spans="1:21" x14ac:dyDescent="0.35">
      <c r="A1051" s="4">
        <v>1050</v>
      </c>
      <c r="B1051" s="4">
        <v>239</v>
      </c>
      <c r="C1051" s="13" t="s">
        <v>1846</v>
      </c>
      <c r="D1051" s="13" t="s">
        <v>1847</v>
      </c>
      <c r="E1051" s="5" t="s">
        <v>5566</v>
      </c>
      <c r="F1051" s="5" t="s">
        <v>4673</v>
      </c>
      <c r="G1051" s="5" t="s">
        <v>4674</v>
      </c>
      <c r="H1051" s="13" t="s">
        <v>2365</v>
      </c>
      <c r="I1051" s="13" t="s">
        <v>2305</v>
      </c>
      <c r="J1051" s="4">
        <v>91387</v>
      </c>
      <c r="K1051" s="4">
        <v>1</v>
      </c>
      <c r="L1051" s="4">
        <v>96</v>
      </c>
      <c r="M1051" s="4">
        <v>2017</v>
      </c>
      <c r="N1051" s="4">
        <v>1</v>
      </c>
      <c r="O1051" s="4">
        <v>3</v>
      </c>
      <c r="P1051" s="4">
        <v>2</v>
      </c>
      <c r="Q1051" s="19">
        <v>349.99</v>
      </c>
      <c r="R1051" s="16">
        <v>7.0000000000000007E-2</v>
      </c>
      <c r="S1051" s="16">
        <v>699.91</v>
      </c>
      <c r="T1051" s="5" t="s">
        <v>96</v>
      </c>
      <c r="U1051" s="13" t="s">
        <v>299</v>
      </c>
    </row>
    <row r="1052" spans="1:21" x14ac:dyDescent="0.35">
      <c r="A1052" s="4">
        <v>1051</v>
      </c>
      <c r="B1052" s="4">
        <v>209</v>
      </c>
      <c r="C1052" s="13" t="s">
        <v>1848</v>
      </c>
      <c r="D1052" s="13" t="s">
        <v>1849</v>
      </c>
      <c r="E1052" s="5" t="s">
        <v>5566</v>
      </c>
      <c r="F1052" s="5" t="s">
        <v>4675</v>
      </c>
      <c r="G1052" s="5" t="s">
        <v>4676</v>
      </c>
      <c r="H1052" s="13" t="s">
        <v>2402</v>
      </c>
      <c r="I1052" s="13" t="s">
        <v>2309</v>
      </c>
      <c r="J1052" s="4">
        <v>11784</v>
      </c>
      <c r="K1052" s="4">
        <v>1</v>
      </c>
      <c r="L1052" s="4">
        <v>46</v>
      </c>
      <c r="M1052" s="4">
        <v>2017</v>
      </c>
      <c r="N1052" s="4">
        <v>2</v>
      </c>
      <c r="O1052" s="4">
        <v>7</v>
      </c>
      <c r="P1052" s="4">
        <v>1</v>
      </c>
      <c r="Q1052" s="19">
        <v>1409.99</v>
      </c>
      <c r="R1052" s="16">
        <v>0.2</v>
      </c>
      <c r="S1052" s="16">
        <v>1409.79</v>
      </c>
      <c r="T1052" s="5" t="s">
        <v>47</v>
      </c>
      <c r="U1052" s="13" t="s">
        <v>304</v>
      </c>
    </row>
    <row r="1053" spans="1:21" x14ac:dyDescent="0.35">
      <c r="A1053" s="4">
        <v>1052</v>
      </c>
      <c r="B1053" s="4">
        <v>460</v>
      </c>
      <c r="C1053" s="13" t="s">
        <v>1850</v>
      </c>
      <c r="D1053" s="13" t="s">
        <v>1851</v>
      </c>
      <c r="E1053" s="5" t="s">
        <v>5566</v>
      </c>
      <c r="F1053" s="5" t="s">
        <v>4677</v>
      </c>
      <c r="G1053" s="5" t="s">
        <v>4678</v>
      </c>
      <c r="H1053" s="13" t="s">
        <v>2469</v>
      </c>
      <c r="I1053" s="13" t="s">
        <v>2309</v>
      </c>
      <c r="J1053" s="4">
        <v>11530</v>
      </c>
      <c r="K1053" s="4">
        <v>1</v>
      </c>
      <c r="L1053" s="4">
        <v>7</v>
      </c>
      <c r="M1053" s="4">
        <v>2016</v>
      </c>
      <c r="N1053" s="4">
        <v>2</v>
      </c>
      <c r="O1053" s="4">
        <v>6</v>
      </c>
      <c r="P1053" s="4">
        <v>1</v>
      </c>
      <c r="Q1053" s="19">
        <v>3999.99</v>
      </c>
      <c r="R1053" s="16">
        <v>0.05</v>
      </c>
      <c r="S1053" s="16">
        <v>3999.9399999999996</v>
      </c>
      <c r="T1053" s="5" t="s">
        <v>12</v>
      </c>
      <c r="U1053" s="13" t="s">
        <v>304</v>
      </c>
    </row>
    <row r="1054" spans="1:21" x14ac:dyDescent="0.35">
      <c r="A1054" s="4">
        <v>1053</v>
      </c>
      <c r="B1054" s="4">
        <v>1439</v>
      </c>
      <c r="C1054" s="13" t="s">
        <v>1852</v>
      </c>
      <c r="D1054" s="13" t="s">
        <v>1058</v>
      </c>
      <c r="E1054" s="5" t="s">
        <v>5566</v>
      </c>
      <c r="F1054" s="5" t="s">
        <v>4679</v>
      </c>
      <c r="G1054" s="5" t="s">
        <v>4680</v>
      </c>
      <c r="H1054" s="13" t="s">
        <v>3267</v>
      </c>
      <c r="I1054" s="13" t="s">
        <v>2309</v>
      </c>
      <c r="J1054" s="4">
        <v>10801</v>
      </c>
      <c r="K1054" s="4">
        <v>1</v>
      </c>
      <c r="L1054" s="4">
        <v>49</v>
      </c>
      <c r="M1054" s="4">
        <v>2017</v>
      </c>
      <c r="N1054" s="4">
        <v>2</v>
      </c>
      <c r="O1054" s="4">
        <v>6</v>
      </c>
      <c r="P1054" s="4">
        <v>2</v>
      </c>
      <c r="Q1054" s="19">
        <v>3499.99</v>
      </c>
      <c r="R1054" s="16">
        <v>0.05</v>
      </c>
      <c r="S1054" s="16">
        <v>6999.9299999999994</v>
      </c>
      <c r="T1054" s="5" t="s">
        <v>50</v>
      </c>
      <c r="U1054" s="13" t="s">
        <v>305</v>
      </c>
    </row>
    <row r="1055" spans="1:21" x14ac:dyDescent="0.35">
      <c r="A1055" s="4">
        <v>1054</v>
      </c>
      <c r="B1055" s="4">
        <v>189</v>
      </c>
      <c r="C1055" s="13" t="s">
        <v>1853</v>
      </c>
      <c r="D1055" s="13" t="s">
        <v>685</v>
      </c>
      <c r="E1055" s="5" t="s">
        <v>5566</v>
      </c>
      <c r="F1055" s="5" t="s">
        <v>4681</v>
      </c>
      <c r="G1055" s="5" t="s">
        <v>4682</v>
      </c>
      <c r="H1055" s="13" t="s">
        <v>2433</v>
      </c>
      <c r="I1055" s="13" t="s">
        <v>2309</v>
      </c>
      <c r="J1055" s="4">
        <v>13090</v>
      </c>
      <c r="K1055" s="4">
        <v>1</v>
      </c>
      <c r="L1055" s="4">
        <v>36</v>
      </c>
      <c r="M1055" s="4">
        <v>2017</v>
      </c>
      <c r="N1055" s="4">
        <v>2</v>
      </c>
      <c r="O1055" s="4">
        <v>7</v>
      </c>
      <c r="P1055" s="4">
        <v>2</v>
      </c>
      <c r="Q1055" s="19">
        <v>832.99</v>
      </c>
      <c r="R1055" s="16">
        <v>0.1</v>
      </c>
      <c r="S1055" s="16">
        <v>1665.88</v>
      </c>
      <c r="T1055" s="5" t="s">
        <v>37</v>
      </c>
      <c r="U1055" s="13" t="s">
        <v>304</v>
      </c>
    </row>
    <row r="1056" spans="1:21" x14ac:dyDescent="0.35">
      <c r="A1056" s="4">
        <v>1055</v>
      </c>
      <c r="B1056" s="4">
        <v>140</v>
      </c>
      <c r="C1056" s="13" t="s">
        <v>1854</v>
      </c>
      <c r="D1056" s="13" t="s">
        <v>419</v>
      </c>
      <c r="E1056" s="5" t="s">
        <v>5566</v>
      </c>
      <c r="F1056" s="5" t="s">
        <v>4683</v>
      </c>
      <c r="G1056" s="5" t="s">
        <v>4684</v>
      </c>
      <c r="H1056" s="13" t="s">
        <v>2631</v>
      </c>
      <c r="I1056" s="13" t="s">
        <v>2309</v>
      </c>
      <c r="J1056" s="4">
        <v>11369</v>
      </c>
      <c r="K1056" s="4">
        <v>1</v>
      </c>
      <c r="L1056" s="4">
        <v>43</v>
      </c>
      <c r="M1056" s="4">
        <v>2017</v>
      </c>
      <c r="N1056" s="4">
        <v>2</v>
      </c>
      <c r="O1056" s="4">
        <v>6</v>
      </c>
      <c r="P1056" s="4">
        <v>2</v>
      </c>
      <c r="Q1056" s="19">
        <v>5299.99</v>
      </c>
      <c r="R1056" s="16">
        <v>7.0000000000000007E-2</v>
      </c>
      <c r="S1056" s="16">
        <v>10599.91</v>
      </c>
      <c r="T1056" s="5" t="s">
        <v>44</v>
      </c>
      <c r="U1056" s="13" t="s">
        <v>304</v>
      </c>
    </row>
    <row r="1057" spans="1:21" x14ac:dyDescent="0.35">
      <c r="A1057" s="4">
        <v>1056</v>
      </c>
      <c r="B1057" s="4">
        <v>325</v>
      </c>
      <c r="C1057" s="13" t="s">
        <v>1855</v>
      </c>
      <c r="D1057" s="13" t="s">
        <v>1599</v>
      </c>
      <c r="E1057" s="5" t="s">
        <v>5566</v>
      </c>
      <c r="F1057" s="5" t="s">
        <v>4685</v>
      </c>
      <c r="G1057" s="5" t="s">
        <v>4686</v>
      </c>
      <c r="H1057" s="13" t="s">
        <v>2384</v>
      </c>
      <c r="I1057" s="13" t="s">
        <v>2309</v>
      </c>
      <c r="J1057" s="4">
        <v>10451</v>
      </c>
      <c r="K1057" s="4">
        <v>1</v>
      </c>
      <c r="L1057" s="4">
        <v>3</v>
      </c>
      <c r="M1057" s="4">
        <v>2016</v>
      </c>
      <c r="N1057" s="4">
        <v>2</v>
      </c>
      <c r="O1057" s="4">
        <v>7</v>
      </c>
      <c r="P1057" s="4">
        <v>1</v>
      </c>
      <c r="Q1057" s="19">
        <v>999.99</v>
      </c>
      <c r="R1057" s="16">
        <v>0.05</v>
      </c>
      <c r="S1057" s="16">
        <v>999.94</v>
      </c>
      <c r="T1057" s="5" t="s">
        <v>8</v>
      </c>
      <c r="U1057" s="13" t="s">
        <v>304</v>
      </c>
    </row>
    <row r="1058" spans="1:21" x14ac:dyDescent="0.35">
      <c r="A1058" s="4">
        <v>1057</v>
      </c>
      <c r="B1058" s="4">
        <v>456</v>
      </c>
      <c r="C1058" s="13" t="s">
        <v>1856</v>
      </c>
      <c r="D1058" s="13" t="s">
        <v>1731</v>
      </c>
      <c r="E1058" s="5" t="s">
        <v>5566</v>
      </c>
      <c r="F1058" s="5" t="s">
        <v>4687</v>
      </c>
      <c r="G1058" s="5" t="s">
        <v>4688</v>
      </c>
      <c r="H1058" s="13" t="s">
        <v>2752</v>
      </c>
      <c r="I1058" s="13" t="s">
        <v>2309</v>
      </c>
      <c r="J1058" s="4">
        <v>11432</v>
      </c>
      <c r="K1058" s="4">
        <v>1</v>
      </c>
      <c r="L1058" s="4">
        <v>105</v>
      </c>
      <c r="M1058" s="4">
        <v>2017</v>
      </c>
      <c r="N1058" s="4">
        <v>2</v>
      </c>
      <c r="O1058" s="4">
        <v>7</v>
      </c>
      <c r="P1058" s="4">
        <v>1</v>
      </c>
      <c r="Q1058" s="19">
        <v>533.99</v>
      </c>
      <c r="R1058" s="16">
        <v>0.2</v>
      </c>
      <c r="S1058" s="16">
        <v>533.79</v>
      </c>
      <c r="T1058" s="5" t="s">
        <v>104</v>
      </c>
      <c r="U1058" s="13" t="s">
        <v>300</v>
      </c>
    </row>
    <row r="1059" spans="1:21" x14ac:dyDescent="0.35">
      <c r="A1059" s="4">
        <v>1058</v>
      </c>
      <c r="B1059" s="4">
        <v>782</v>
      </c>
      <c r="C1059" s="13" t="s">
        <v>1857</v>
      </c>
      <c r="D1059" s="13" t="s">
        <v>662</v>
      </c>
      <c r="E1059" s="5" t="s">
        <v>5566</v>
      </c>
      <c r="F1059" s="5" t="s">
        <v>4689</v>
      </c>
      <c r="G1059" s="5" t="s">
        <v>4690</v>
      </c>
      <c r="H1059" s="13" t="s">
        <v>2415</v>
      </c>
      <c r="I1059" s="13" t="s">
        <v>2309</v>
      </c>
      <c r="J1059" s="4">
        <v>11377</v>
      </c>
      <c r="K1059" s="4">
        <v>1</v>
      </c>
      <c r="L1059" s="4">
        <v>43</v>
      </c>
      <c r="M1059" s="4">
        <v>2017</v>
      </c>
      <c r="N1059" s="4">
        <v>2</v>
      </c>
      <c r="O1059" s="4">
        <v>6</v>
      </c>
      <c r="P1059" s="4">
        <v>1</v>
      </c>
      <c r="Q1059" s="19">
        <v>5299.99</v>
      </c>
      <c r="R1059" s="16">
        <v>0.1</v>
      </c>
      <c r="S1059" s="16">
        <v>5299.8899999999994</v>
      </c>
      <c r="T1059" s="5" t="s">
        <v>44</v>
      </c>
      <c r="U1059" s="13" t="s">
        <v>304</v>
      </c>
    </row>
    <row r="1060" spans="1:21" x14ac:dyDescent="0.35">
      <c r="A1060" s="4">
        <v>1059</v>
      </c>
      <c r="B1060" s="4">
        <v>6</v>
      </c>
      <c r="C1060" s="13" t="s">
        <v>1858</v>
      </c>
      <c r="D1060" s="13" t="s">
        <v>1166</v>
      </c>
      <c r="E1060" s="5" t="s">
        <v>5566</v>
      </c>
      <c r="F1060" s="5" t="s">
        <v>4691</v>
      </c>
      <c r="G1060" s="5" t="s">
        <v>4692</v>
      </c>
      <c r="H1060" s="13" t="s">
        <v>4021</v>
      </c>
      <c r="I1060" s="13" t="s">
        <v>2309</v>
      </c>
      <c r="J1060" s="4">
        <v>14450</v>
      </c>
      <c r="K1060" s="4">
        <v>1</v>
      </c>
      <c r="L1060" s="4">
        <v>46</v>
      </c>
      <c r="M1060" s="4">
        <v>2017</v>
      </c>
      <c r="N1060" s="4">
        <v>2</v>
      </c>
      <c r="O1060" s="4">
        <v>7</v>
      </c>
      <c r="P1060" s="4">
        <v>2</v>
      </c>
      <c r="Q1060" s="19">
        <v>1409.99</v>
      </c>
      <c r="R1060" s="16">
        <v>0.05</v>
      </c>
      <c r="S1060" s="16">
        <v>2819.93</v>
      </c>
      <c r="T1060" s="5" t="s">
        <v>47</v>
      </c>
      <c r="U1060" s="13" t="s">
        <v>304</v>
      </c>
    </row>
    <row r="1061" spans="1:21" x14ac:dyDescent="0.35">
      <c r="A1061" s="4">
        <v>1060</v>
      </c>
      <c r="B1061" s="4">
        <v>182</v>
      </c>
      <c r="C1061" s="13" t="s">
        <v>1859</v>
      </c>
      <c r="D1061" s="13" t="s">
        <v>662</v>
      </c>
      <c r="E1061" s="5" t="s">
        <v>5566</v>
      </c>
      <c r="F1061" s="5" t="s">
        <v>4693</v>
      </c>
      <c r="G1061" s="5" t="s">
        <v>4694</v>
      </c>
      <c r="H1061" s="13" t="s">
        <v>3013</v>
      </c>
      <c r="I1061" s="13" t="s">
        <v>2309</v>
      </c>
      <c r="J1061" s="4">
        <v>11706</v>
      </c>
      <c r="K1061" s="4">
        <v>1</v>
      </c>
      <c r="L1061" s="4">
        <v>7</v>
      </c>
      <c r="M1061" s="4">
        <v>2016</v>
      </c>
      <c r="N1061" s="4">
        <v>2</v>
      </c>
      <c r="O1061" s="4">
        <v>6</v>
      </c>
      <c r="P1061" s="4">
        <v>1</v>
      </c>
      <c r="Q1061" s="19">
        <v>3999.99</v>
      </c>
      <c r="R1061" s="16">
        <v>7.0000000000000007E-2</v>
      </c>
      <c r="S1061" s="16">
        <v>3999.9199999999996</v>
      </c>
      <c r="T1061" s="5" t="s">
        <v>12</v>
      </c>
      <c r="U1061" s="13" t="s">
        <v>304</v>
      </c>
    </row>
    <row r="1062" spans="1:21" x14ac:dyDescent="0.35">
      <c r="A1062" s="4">
        <v>1061</v>
      </c>
      <c r="B1062" s="4">
        <v>655</v>
      </c>
      <c r="C1062" s="13" t="s">
        <v>1860</v>
      </c>
      <c r="D1062" s="13" t="s">
        <v>537</v>
      </c>
      <c r="E1062" s="5" t="s">
        <v>5566</v>
      </c>
      <c r="F1062" s="5" t="s">
        <v>4695</v>
      </c>
      <c r="G1062" s="5" t="s">
        <v>4696</v>
      </c>
      <c r="H1062" s="13" t="s">
        <v>2785</v>
      </c>
      <c r="I1062" s="13" t="s">
        <v>2309</v>
      </c>
      <c r="J1062" s="4">
        <v>10583</v>
      </c>
      <c r="K1062" s="4">
        <v>1</v>
      </c>
      <c r="L1062" s="4">
        <v>14</v>
      </c>
      <c r="M1062" s="4">
        <v>2016</v>
      </c>
      <c r="N1062" s="4">
        <v>2</v>
      </c>
      <c r="O1062" s="4">
        <v>7</v>
      </c>
      <c r="P1062" s="4">
        <v>1</v>
      </c>
      <c r="Q1062" s="19">
        <v>269.99</v>
      </c>
      <c r="R1062" s="16">
        <v>7.0000000000000007E-2</v>
      </c>
      <c r="S1062" s="16">
        <v>269.92</v>
      </c>
      <c r="T1062" s="5" t="s">
        <v>19</v>
      </c>
      <c r="U1062" s="13" t="s">
        <v>301</v>
      </c>
    </row>
    <row r="1063" spans="1:21" x14ac:dyDescent="0.35">
      <c r="A1063" s="4">
        <v>1062</v>
      </c>
      <c r="B1063" s="4">
        <v>1210</v>
      </c>
      <c r="C1063" s="13" t="s">
        <v>1861</v>
      </c>
      <c r="D1063" s="13" t="s">
        <v>1622</v>
      </c>
      <c r="E1063" s="5" t="s">
        <v>5566</v>
      </c>
      <c r="F1063" s="5" t="s">
        <v>4697</v>
      </c>
      <c r="G1063" s="5" t="s">
        <v>4698</v>
      </c>
      <c r="H1063" s="13" t="s">
        <v>2415</v>
      </c>
      <c r="I1063" s="13" t="s">
        <v>2309</v>
      </c>
      <c r="J1063" s="4">
        <v>11377</v>
      </c>
      <c r="K1063" s="4">
        <v>1</v>
      </c>
      <c r="L1063" s="4">
        <v>13</v>
      </c>
      <c r="M1063" s="4">
        <v>2016</v>
      </c>
      <c r="N1063" s="4">
        <v>2</v>
      </c>
      <c r="O1063" s="4">
        <v>6</v>
      </c>
      <c r="P1063" s="4">
        <v>1</v>
      </c>
      <c r="Q1063" s="19">
        <v>269.99</v>
      </c>
      <c r="R1063" s="16">
        <v>0.05</v>
      </c>
      <c r="S1063" s="16">
        <v>269.94</v>
      </c>
      <c r="T1063" s="5" t="s">
        <v>18</v>
      </c>
      <c r="U1063" s="13" t="s">
        <v>301</v>
      </c>
    </row>
    <row r="1064" spans="1:21" x14ac:dyDescent="0.35">
      <c r="A1064" s="4">
        <v>1063</v>
      </c>
      <c r="B1064" s="4">
        <v>198</v>
      </c>
      <c r="C1064" s="13" t="s">
        <v>1862</v>
      </c>
      <c r="D1064" s="13" t="s">
        <v>1258</v>
      </c>
      <c r="E1064" s="5" t="s">
        <v>5566</v>
      </c>
      <c r="F1064" s="5" t="s">
        <v>4699</v>
      </c>
      <c r="G1064" s="5" t="s">
        <v>4700</v>
      </c>
      <c r="H1064" s="13" t="s">
        <v>4701</v>
      </c>
      <c r="I1064" s="13" t="s">
        <v>2397</v>
      </c>
      <c r="J1064" s="4">
        <v>79106</v>
      </c>
      <c r="K1064" s="4">
        <v>1</v>
      </c>
      <c r="L1064" s="4">
        <v>33</v>
      </c>
      <c r="M1064" s="4">
        <v>2017</v>
      </c>
      <c r="N1064" s="4">
        <v>3</v>
      </c>
      <c r="O1064" s="4">
        <v>8</v>
      </c>
      <c r="P1064" s="4">
        <v>2</v>
      </c>
      <c r="Q1064" s="19">
        <v>469.99</v>
      </c>
      <c r="R1064" s="16">
        <v>0.1</v>
      </c>
      <c r="S1064" s="16">
        <v>939.88</v>
      </c>
      <c r="T1064" s="5" t="s">
        <v>34</v>
      </c>
      <c r="U1064" s="13" t="s">
        <v>304</v>
      </c>
    </row>
    <row r="1065" spans="1:21" x14ac:dyDescent="0.35">
      <c r="A1065" s="4">
        <v>1064</v>
      </c>
      <c r="B1065" s="4">
        <v>898</v>
      </c>
      <c r="C1065" s="13" t="s">
        <v>1863</v>
      </c>
      <c r="D1065" s="13" t="s">
        <v>1864</v>
      </c>
      <c r="E1065" s="5" t="s">
        <v>4702</v>
      </c>
      <c r="F1065" s="5" t="s">
        <v>4703</v>
      </c>
      <c r="G1065" s="5" t="s">
        <v>4704</v>
      </c>
      <c r="H1065" s="13" t="s">
        <v>1262</v>
      </c>
      <c r="I1065" s="13" t="s">
        <v>2397</v>
      </c>
      <c r="J1065" s="4">
        <v>77016</v>
      </c>
      <c r="K1065" s="4">
        <v>1</v>
      </c>
      <c r="L1065" s="4">
        <v>18</v>
      </c>
      <c r="M1065" s="4">
        <v>2016</v>
      </c>
      <c r="N1065" s="4">
        <v>3</v>
      </c>
      <c r="O1065" s="4">
        <v>9</v>
      </c>
      <c r="P1065" s="4">
        <v>1</v>
      </c>
      <c r="Q1065" s="19">
        <v>449</v>
      </c>
      <c r="R1065" s="16">
        <v>7.0000000000000007E-2</v>
      </c>
      <c r="S1065" s="16">
        <v>448.93</v>
      </c>
      <c r="T1065" s="5" t="s">
        <v>23</v>
      </c>
      <c r="U1065" s="13" t="s">
        <v>301</v>
      </c>
    </row>
    <row r="1066" spans="1:21" x14ac:dyDescent="0.35">
      <c r="A1066" s="4">
        <v>1065</v>
      </c>
      <c r="B1066" s="4">
        <v>25</v>
      </c>
      <c r="C1066" s="13" t="s">
        <v>1865</v>
      </c>
      <c r="D1066" s="13" t="s">
        <v>1866</v>
      </c>
      <c r="E1066" s="5" t="s">
        <v>5566</v>
      </c>
      <c r="F1066" s="5" t="s">
        <v>4705</v>
      </c>
      <c r="G1066" s="5" t="s">
        <v>4706</v>
      </c>
      <c r="H1066" s="13" t="s">
        <v>3870</v>
      </c>
      <c r="I1066" s="13" t="s">
        <v>2309</v>
      </c>
      <c r="J1066" s="4">
        <v>10541</v>
      </c>
      <c r="K1066" s="4">
        <v>1</v>
      </c>
      <c r="L1066" s="4">
        <v>48</v>
      </c>
      <c r="M1066" s="4">
        <v>2017</v>
      </c>
      <c r="N1066" s="4">
        <v>2</v>
      </c>
      <c r="O1066" s="4">
        <v>7</v>
      </c>
      <c r="P1066" s="4">
        <v>2</v>
      </c>
      <c r="Q1066" s="19">
        <v>1499.99</v>
      </c>
      <c r="R1066" s="16">
        <v>7.0000000000000007E-2</v>
      </c>
      <c r="S1066" s="16">
        <v>2999.91</v>
      </c>
      <c r="T1066" s="5" t="s">
        <v>49</v>
      </c>
      <c r="U1066" s="13" t="s">
        <v>305</v>
      </c>
    </row>
    <row r="1067" spans="1:21" x14ac:dyDescent="0.35">
      <c r="A1067" s="4">
        <v>1066</v>
      </c>
      <c r="B1067" s="4">
        <v>106</v>
      </c>
      <c r="C1067" s="13" t="s">
        <v>1867</v>
      </c>
      <c r="D1067" s="13" t="s">
        <v>1868</v>
      </c>
      <c r="E1067" s="5" t="s">
        <v>5566</v>
      </c>
      <c r="F1067" s="5" t="s">
        <v>4707</v>
      </c>
      <c r="G1067" s="5" t="s">
        <v>4708</v>
      </c>
      <c r="H1067" s="13" t="s">
        <v>2456</v>
      </c>
      <c r="I1067" s="13" t="s">
        <v>2309</v>
      </c>
      <c r="J1067" s="4">
        <v>11373</v>
      </c>
      <c r="K1067" s="4">
        <v>1</v>
      </c>
      <c r="L1067" s="4">
        <v>15</v>
      </c>
      <c r="M1067" s="4">
        <v>2016</v>
      </c>
      <c r="N1067" s="4">
        <v>2</v>
      </c>
      <c r="O1067" s="4">
        <v>7</v>
      </c>
      <c r="P1067" s="4">
        <v>2</v>
      </c>
      <c r="Q1067" s="19">
        <v>529.99</v>
      </c>
      <c r="R1067" s="16">
        <v>0.05</v>
      </c>
      <c r="S1067" s="16">
        <v>1059.93</v>
      </c>
      <c r="T1067" s="5" t="s">
        <v>20</v>
      </c>
      <c r="U1067" s="13" t="s">
        <v>301</v>
      </c>
    </row>
    <row r="1068" spans="1:21" x14ac:dyDescent="0.35">
      <c r="A1068" s="4">
        <v>1067</v>
      </c>
      <c r="B1068" s="4">
        <v>225</v>
      </c>
      <c r="C1068" s="13" t="s">
        <v>1869</v>
      </c>
      <c r="D1068" s="13" t="s">
        <v>884</v>
      </c>
      <c r="E1068" s="5" t="s">
        <v>5566</v>
      </c>
      <c r="F1068" s="5" t="s">
        <v>4709</v>
      </c>
      <c r="G1068" s="5" t="s">
        <v>4710</v>
      </c>
      <c r="H1068" s="13" t="s">
        <v>2463</v>
      </c>
      <c r="I1068" s="13" t="s">
        <v>2309</v>
      </c>
      <c r="J1068" s="4">
        <v>11803</v>
      </c>
      <c r="K1068" s="4">
        <v>1</v>
      </c>
      <c r="L1068" s="4">
        <v>74</v>
      </c>
      <c r="M1068" s="4">
        <v>2017</v>
      </c>
      <c r="N1068" s="4">
        <v>2</v>
      </c>
      <c r="O1068" s="4">
        <v>7</v>
      </c>
      <c r="P1068" s="4">
        <v>2</v>
      </c>
      <c r="Q1068" s="19">
        <v>439.99</v>
      </c>
      <c r="R1068" s="16">
        <v>7.0000000000000007E-2</v>
      </c>
      <c r="S1068" s="16">
        <v>879.91</v>
      </c>
      <c r="T1068" s="5" t="s">
        <v>75</v>
      </c>
      <c r="U1068" s="13" t="s">
        <v>301</v>
      </c>
    </row>
    <row r="1069" spans="1:21" x14ac:dyDescent="0.35">
      <c r="A1069" s="4">
        <v>1068</v>
      </c>
      <c r="B1069" s="4">
        <v>453</v>
      </c>
      <c r="C1069" s="13" t="s">
        <v>1870</v>
      </c>
      <c r="D1069" s="13" t="s">
        <v>972</v>
      </c>
      <c r="E1069" s="5" t="s">
        <v>5566</v>
      </c>
      <c r="F1069" s="5" t="s">
        <v>4711</v>
      </c>
      <c r="G1069" s="5" t="s">
        <v>4712</v>
      </c>
      <c r="H1069" s="13" t="s">
        <v>2469</v>
      </c>
      <c r="I1069" s="13" t="s">
        <v>2309</v>
      </c>
      <c r="J1069" s="4">
        <v>11530</v>
      </c>
      <c r="K1069" s="4">
        <v>1</v>
      </c>
      <c r="L1069" s="4">
        <v>87</v>
      </c>
      <c r="M1069" s="4">
        <v>2017</v>
      </c>
      <c r="N1069" s="4">
        <v>2</v>
      </c>
      <c r="O1069" s="4">
        <v>7</v>
      </c>
      <c r="P1069" s="4">
        <v>2</v>
      </c>
      <c r="Q1069" s="19">
        <v>189.99</v>
      </c>
      <c r="R1069" s="16">
        <v>0.2</v>
      </c>
      <c r="S1069" s="16">
        <v>379.78000000000003</v>
      </c>
      <c r="T1069" s="5" t="s">
        <v>88</v>
      </c>
      <c r="U1069" s="13" t="s">
        <v>299</v>
      </c>
    </row>
    <row r="1070" spans="1:21" x14ac:dyDescent="0.35">
      <c r="A1070" s="4">
        <v>1069</v>
      </c>
      <c r="B1070" s="4">
        <v>493</v>
      </c>
      <c r="C1070" s="13" t="s">
        <v>1417</v>
      </c>
      <c r="D1070" s="13" t="s">
        <v>1634</v>
      </c>
      <c r="E1070" s="5" t="s">
        <v>5566</v>
      </c>
      <c r="F1070" s="5" t="s">
        <v>4713</v>
      </c>
      <c r="G1070" s="5" t="s">
        <v>4714</v>
      </c>
      <c r="H1070" s="13" t="s">
        <v>3247</v>
      </c>
      <c r="I1070" s="13" t="s">
        <v>2309</v>
      </c>
      <c r="J1070" s="4">
        <v>14075</v>
      </c>
      <c r="K1070" s="4">
        <v>1</v>
      </c>
      <c r="L1070" s="4">
        <v>109</v>
      </c>
      <c r="M1070" s="4">
        <v>2017</v>
      </c>
      <c r="N1070" s="4">
        <v>2</v>
      </c>
      <c r="O1070" s="4">
        <v>6</v>
      </c>
      <c r="P1070" s="4">
        <v>1</v>
      </c>
      <c r="Q1070" s="19">
        <v>416.99</v>
      </c>
      <c r="R1070" s="16">
        <v>7.0000000000000007E-2</v>
      </c>
      <c r="S1070" s="16">
        <v>416.92</v>
      </c>
      <c r="T1070" s="5" t="s">
        <v>106</v>
      </c>
      <c r="U1070" s="13" t="s">
        <v>300</v>
      </c>
    </row>
    <row r="1071" spans="1:21" x14ac:dyDescent="0.35">
      <c r="A1071" s="4">
        <v>1070</v>
      </c>
      <c r="B1071" s="4">
        <v>596</v>
      </c>
      <c r="C1071" s="13" t="s">
        <v>1871</v>
      </c>
      <c r="D1071" s="13" t="s">
        <v>895</v>
      </c>
      <c r="E1071" s="5" t="s">
        <v>5566</v>
      </c>
      <c r="F1071" s="5" t="s">
        <v>4715</v>
      </c>
      <c r="G1071" s="5" t="s">
        <v>4716</v>
      </c>
      <c r="H1071" s="13" t="s">
        <v>3247</v>
      </c>
      <c r="I1071" s="13" t="s">
        <v>2309</v>
      </c>
      <c r="J1071" s="4">
        <v>14075</v>
      </c>
      <c r="K1071" s="4">
        <v>1</v>
      </c>
      <c r="L1071" s="4">
        <v>110</v>
      </c>
      <c r="M1071" s="4">
        <v>2017</v>
      </c>
      <c r="N1071" s="4">
        <v>2</v>
      </c>
      <c r="O1071" s="4">
        <v>7</v>
      </c>
      <c r="P1071" s="4">
        <v>1</v>
      </c>
      <c r="Q1071" s="19">
        <v>470.99</v>
      </c>
      <c r="R1071" s="16">
        <v>0.2</v>
      </c>
      <c r="S1071" s="16">
        <v>470.79</v>
      </c>
      <c r="T1071" s="5" t="s">
        <v>107</v>
      </c>
      <c r="U1071" s="13" t="s">
        <v>300</v>
      </c>
    </row>
    <row r="1072" spans="1:21" x14ac:dyDescent="0.35">
      <c r="A1072" s="4">
        <v>1071</v>
      </c>
      <c r="B1072" s="4">
        <v>602</v>
      </c>
      <c r="C1072" s="13" t="s">
        <v>1872</v>
      </c>
      <c r="D1072" s="13" t="s">
        <v>1081</v>
      </c>
      <c r="E1072" s="5" t="s">
        <v>5566</v>
      </c>
      <c r="F1072" s="5" t="s">
        <v>4717</v>
      </c>
      <c r="G1072" s="5" t="s">
        <v>4718</v>
      </c>
      <c r="H1072" s="13" t="s">
        <v>4701</v>
      </c>
      <c r="I1072" s="13" t="s">
        <v>2397</v>
      </c>
      <c r="J1072" s="4">
        <v>79106</v>
      </c>
      <c r="K1072" s="4">
        <v>1</v>
      </c>
      <c r="L1072" s="4">
        <v>25</v>
      </c>
      <c r="M1072" s="4">
        <v>2016</v>
      </c>
      <c r="N1072" s="4">
        <v>3</v>
      </c>
      <c r="O1072" s="4">
        <v>8</v>
      </c>
      <c r="P1072" s="4">
        <v>2</v>
      </c>
      <c r="Q1072" s="19">
        <v>499.99</v>
      </c>
      <c r="R1072" s="16">
        <v>0.2</v>
      </c>
      <c r="S1072" s="16">
        <v>999.78</v>
      </c>
      <c r="T1072" s="5" t="s">
        <v>27</v>
      </c>
      <c r="U1072" s="13" t="s">
        <v>300</v>
      </c>
    </row>
    <row r="1073" spans="1:21" x14ac:dyDescent="0.35">
      <c r="A1073" s="4">
        <v>1072</v>
      </c>
      <c r="B1073" s="4">
        <v>47</v>
      </c>
      <c r="C1073" s="13" t="s">
        <v>1676</v>
      </c>
      <c r="D1073" s="13" t="s">
        <v>602</v>
      </c>
      <c r="E1073" s="5" t="s">
        <v>5566</v>
      </c>
      <c r="F1073" s="5" t="s">
        <v>4353</v>
      </c>
      <c r="G1073" s="5" t="s">
        <v>4354</v>
      </c>
      <c r="H1073" s="13" t="s">
        <v>3004</v>
      </c>
      <c r="I1073" s="13" t="s">
        <v>2305</v>
      </c>
      <c r="J1073" s="4">
        <v>94580</v>
      </c>
      <c r="K1073" s="4">
        <v>1</v>
      </c>
      <c r="L1073" s="4">
        <v>83</v>
      </c>
      <c r="M1073" s="4">
        <v>2017</v>
      </c>
      <c r="N1073" s="4">
        <v>1</v>
      </c>
      <c r="O1073" s="4">
        <v>3</v>
      </c>
      <c r="P1073" s="4">
        <v>1</v>
      </c>
      <c r="Q1073" s="19">
        <v>149.99</v>
      </c>
      <c r="R1073" s="16">
        <v>0.2</v>
      </c>
      <c r="S1073" s="16">
        <v>149.79000000000002</v>
      </c>
      <c r="T1073" s="5" t="s">
        <v>84</v>
      </c>
      <c r="U1073" s="13" t="s">
        <v>299</v>
      </c>
    </row>
    <row r="1074" spans="1:21" x14ac:dyDescent="0.35">
      <c r="A1074" s="4">
        <v>1073</v>
      </c>
      <c r="B1074" s="4">
        <v>911</v>
      </c>
      <c r="C1074" s="13" t="s">
        <v>1873</v>
      </c>
      <c r="D1074" s="13" t="s">
        <v>1438</v>
      </c>
      <c r="E1074" s="5" t="s">
        <v>5566</v>
      </c>
      <c r="F1074" s="5" t="s">
        <v>4719</v>
      </c>
      <c r="G1074" s="5" t="s">
        <v>4720</v>
      </c>
      <c r="H1074" s="13" t="s">
        <v>2583</v>
      </c>
      <c r="I1074" s="13" t="s">
        <v>2309</v>
      </c>
      <c r="J1074" s="4">
        <v>14534</v>
      </c>
      <c r="K1074" s="4">
        <v>1</v>
      </c>
      <c r="L1074" s="4">
        <v>81</v>
      </c>
      <c r="M1074" s="4">
        <v>2017</v>
      </c>
      <c r="N1074" s="4">
        <v>2</v>
      </c>
      <c r="O1074" s="4">
        <v>7</v>
      </c>
      <c r="P1074" s="4">
        <v>1</v>
      </c>
      <c r="Q1074" s="19">
        <v>1099.99</v>
      </c>
      <c r="R1074" s="16">
        <v>0.2</v>
      </c>
      <c r="S1074" s="16">
        <v>1099.79</v>
      </c>
      <c r="T1074" s="5" t="s">
        <v>82</v>
      </c>
      <c r="U1074" s="13" t="s">
        <v>301</v>
      </c>
    </row>
    <row r="1075" spans="1:21" x14ac:dyDescent="0.35">
      <c r="A1075" s="4">
        <v>1074</v>
      </c>
      <c r="B1075" s="4">
        <v>11</v>
      </c>
      <c r="C1075" s="13" t="s">
        <v>1874</v>
      </c>
      <c r="D1075" s="13" t="s">
        <v>1875</v>
      </c>
      <c r="E1075" s="5" t="s">
        <v>5566</v>
      </c>
      <c r="F1075" s="5" t="s">
        <v>4721</v>
      </c>
      <c r="G1075" s="5" t="s">
        <v>4722</v>
      </c>
      <c r="H1075" s="13" t="s">
        <v>3182</v>
      </c>
      <c r="I1075" s="13" t="s">
        <v>2309</v>
      </c>
      <c r="J1075" s="4">
        <v>10952</v>
      </c>
      <c r="K1075" s="4">
        <v>1</v>
      </c>
      <c r="L1075" s="4">
        <v>59</v>
      </c>
      <c r="M1075" s="4">
        <v>2017</v>
      </c>
      <c r="N1075" s="4">
        <v>2</v>
      </c>
      <c r="O1075" s="4">
        <v>6</v>
      </c>
      <c r="P1075" s="4">
        <v>1</v>
      </c>
      <c r="Q1075" s="19">
        <v>2599.9899999999998</v>
      </c>
      <c r="R1075" s="16">
        <v>0.1</v>
      </c>
      <c r="S1075" s="16">
        <v>2599.89</v>
      </c>
      <c r="T1075" s="5" t="s">
        <v>60</v>
      </c>
      <c r="U1075" s="13" t="s">
        <v>305</v>
      </c>
    </row>
    <row r="1076" spans="1:21" x14ac:dyDescent="0.35">
      <c r="A1076" s="4">
        <v>1075</v>
      </c>
      <c r="B1076" s="4">
        <v>1003</v>
      </c>
      <c r="C1076" s="13" t="s">
        <v>1876</v>
      </c>
      <c r="D1076" s="13" t="s">
        <v>1612</v>
      </c>
      <c r="E1076" s="5" t="s">
        <v>5566</v>
      </c>
      <c r="F1076" s="5" t="s">
        <v>4723</v>
      </c>
      <c r="G1076" s="5" t="s">
        <v>4724</v>
      </c>
      <c r="H1076" s="13" t="s">
        <v>2989</v>
      </c>
      <c r="I1076" s="13" t="s">
        <v>2305</v>
      </c>
      <c r="J1076" s="4">
        <v>92083</v>
      </c>
      <c r="K1076" s="4">
        <v>1</v>
      </c>
      <c r="L1076" s="4">
        <v>48</v>
      </c>
      <c r="M1076" s="4">
        <v>2017</v>
      </c>
      <c r="N1076" s="4">
        <v>1</v>
      </c>
      <c r="O1076" s="4">
        <v>3</v>
      </c>
      <c r="P1076" s="4">
        <v>2</v>
      </c>
      <c r="Q1076" s="19">
        <v>1499.99</v>
      </c>
      <c r="R1076" s="16">
        <v>0.1</v>
      </c>
      <c r="S1076" s="16">
        <v>2999.88</v>
      </c>
      <c r="T1076" s="5" t="s">
        <v>49</v>
      </c>
      <c r="U1076" s="13" t="s">
        <v>305</v>
      </c>
    </row>
    <row r="1077" spans="1:21" x14ac:dyDescent="0.35">
      <c r="A1077" s="4">
        <v>1076</v>
      </c>
      <c r="B1077" s="4">
        <v>42</v>
      </c>
      <c r="C1077" s="13" t="s">
        <v>366</v>
      </c>
      <c r="D1077" s="13" t="s">
        <v>383</v>
      </c>
      <c r="E1077" s="5" t="s">
        <v>5566</v>
      </c>
      <c r="F1077" s="5" t="s">
        <v>4725</v>
      </c>
      <c r="G1077" s="5" t="s">
        <v>4726</v>
      </c>
      <c r="H1077" s="13" t="s">
        <v>2387</v>
      </c>
      <c r="I1077" s="13" t="s">
        <v>2309</v>
      </c>
      <c r="J1077" s="4">
        <v>11418</v>
      </c>
      <c r="K1077" s="4">
        <v>1</v>
      </c>
      <c r="L1077" s="4">
        <v>95</v>
      </c>
      <c r="M1077" s="4">
        <v>2017</v>
      </c>
      <c r="N1077" s="4">
        <v>2</v>
      </c>
      <c r="O1077" s="4">
        <v>6</v>
      </c>
      <c r="P1077" s="4">
        <v>1</v>
      </c>
      <c r="Q1077" s="19">
        <v>299.99</v>
      </c>
      <c r="R1077" s="16">
        <v>0.1</v>
      </c>
      <c r="S1077" s="16">
        <v>299.89</v>
      </c>
      <c r="T1077" s="5" t="s">
        <v>77</v>
      </c>
      <c r="U1077" s="13" t="s">
        <v>299</v>
      </c>
    </row>
    <row r="1078" spans="1:21" x14ac:dyDescent="0.35">
      <c r="A1078" s="4">
        <v>1077</v>
      </c>
      <c r="B1078" s="4">
        <v>412</v>
      </c>
      <c r="C1078" s="13" t="s">
        <v>1877</v>
      </c>
      <c r="D1078" s="13" t="s">
        <v>1435</v>
      </c>
      <c r="E1078" s="5" t="s">
        <v>5566</v>
      </c>
      <c r="F1078" s="5" t="s">
        <v>4727</v>
      </c>
      <c r="G1078" s="5" t="s">
        <v>4728</v>
      </c>
      <c r="H1078" s="13" t="s">
        <v>2945</v>
      </c>
      <c r="I1078" s="13" t="s">
        <v>2309</v>
      </c>
      <c r="J1078" s="4">
        <v>11104</v>
      </c>
      <c r="K1078" s="4">
        <v>1</v>
      </c>
      <c r="L1078" s="4">
        <v>60</v>
      </c>
      <c r="M1078" s="4">
        <v>2017</v>
      </c>
      <c r="N1078" s="4">
        <v>2</v>
      </c>
      <c r="O1078" s="4">
        <v>6</v>
      </c>
      <c r="P1078" s="4">
        <v>2</v>
      </c>
      <c r="Q1078" s="19">
        <v>1559.99</v>
      </c>
      <c r="R1078" s="16">
        <v>0.05</v>
      </c>
      <c r="S1078" s="16">
        <v>3119.93</v>
      </c>
      <c r="T1078" s="5" t="s">
        <v>61</v>
      </c>
      <c r="U1078" s="13" t="s">
        <v>303</v>
      </c>
    </row>
    <row r="1079" spans="1:21" x14ac:dyDescent="0.35">
      <c r="A1079" s="4">
        <v>1078</v>
      </c>
      <c r="B1079" s="4">
        <v>793</v>
      </c>
      <c r="C1079" s="13" t="s">
        <v>1878</v>
      </c>
      <c r="D1079" s="13" t="s">
        <v>1215</v>
      </c>
      <c r="E1079" s="5" t="s">
        <v>5566</v>
      </c>
      <c r="F1079" s="5" t="s">
        <v>4729</v>
      </c>
      <c r="G1079" s="5" t="s">
        <v>4730</v>
      </c>
      <c r="H1079" s="13" t="s">
        <v>2456</v>
      </c>
      <c r="I1079" s="13" t="s">
        <v>2309</v>
      </c>
      <c r="J1079" s="4">
        <v>11373</v>
      </c>
      <c r="K1079" s="4">
        <v>1</v>
      </c>
      <c r="L1079" s="4">
        <v>76</v>
      </c>
      <c r="M1079" s="4">
        <v>2017</v>
      </c>
      <c r="N1079" s="4">
        <v>2</v>
      </c>
      <c r="O1079" s="4">
        <v>6</v>
      </c>
      <c r="P1079" s="4">
        <v>2</v>
      </c>
      <c r="Q1079" s="19">
        <v>299.99</v>
      </c>
      <c r="R1079" s="16">
        <v>7.0000000000000007E-2</v>
      </c>
      <c r="S1079" s="16">
        <v>599.91</v>
      </c>
      <c r="T1079" s="5" t="s">
        <v>77</v>
      </c>
      <c r="U1079" s="13" t="s">
        <v>301</v>
      </c>
    </row>
    <row r="1080" spans="1:21" x14ac:dyDescent="0.35">
      <c r="A1080" s="4">
        <v>1079</v>
      </c>
      <c r="B1080" s="4">
        <v>812</v>
      </c>
      <c r="C1080" s="13" t="s">
        <v>1879</v>
      </c>
      <c r="D1080" s="13" t="s">
        <v>1740</v>
      </c>
      <c r="E1080" s="5" t="s">
        <v>5566</v>
      </c>
      <c r="F1080" s="5" t="s">
        <v>4731</v>
      </c>
      <c r="G1080" s="5" t="s">
        <v>4732</v>
      </c>
      <c r="H1080" s="13" t="s">
        <v>2865</v>
      </c>
      <c r="I1080" s="13" t="s">
        <v>2309</v>
      </c>
      <c r="J1080" s="4">
        <v>11421</v>
      </c>
      <c r="K1080" s="4">
        <v>1</v>
      </c>
      <c r="L1080" s="4">
        <v>70</v>
      </c>
      <c r="M1080" s="4">
        <v>2017</v>
      </c>
      <c r="N1080" s="4">
        <v>2</v>
      </c>
      <c r="O1080" s="4">
        <v>7</v>
      </c>
      <c r="P1080" s="4">
        <v>2</v>
      </c>
      <c r="Q1080" s="19">
        <v>659.99</v>
      </c>
      <c r="R1080" s="16">
        <v>7.0000000000000007E-2</v>
      </c>
      <c r="S1080" s="16">
        <v>1319.91</v>
      </c>
      <c r="T1080" s="5" t="s">
        <v>71</v>
      </c>
      <c r="U1080" s="13" t="s">
        <v>301</v>
      </c>
    </row>
    <row r="1081" spans="1:21" x14ac:dyDescent="0.35">
      <c r="A1081" s="4">
        <v>1080</v>
      </c>
      <c r="B1081" s="4">
        <v>1086</v>
      </c>
      <c r="C1081" s="13" t="s">
        <v>1880</v>
      </c>
      <c r="D1081" s="13" t="s">
        <v>1881</v>
      </c>
      <c r="E1081" s="5" t="s">
        <v>5566</v>
      </c>
      <c r="F1081" s="5" t="s">
        <v>4733</v>
      </c>
      <c r="G1081" s="5" t="s">
        <v>4734</v>
      </c>
      <c r="H1081" s="13" t="s">
        <v>2752</v>
      </c>
      <c r="I1081" s="13" t="s">
        <v>2309</v>
      </c>
      <c r="J1081" s="4">
        <v>11432</v>
      </c>
      <c r="K1081" s="4">
        <v>1</v>
      </c>
      <c r="L1081" s="4">
        <v>31</v>
      </c>
      <c r="M1081" s="4">
        <v>2017</v>
      </c>
      <c r="N1081" s="4">
        <v>2</v>
      </c>
      <c r="O1081" s="4">
        <v>7</v>
      </c>
      <c r="P1081" s="4">
        <v>1</v>
      </c>
      <c r="Q1081" s="19">
        <v>1632.99</v>
      </c>
      <c r="R1081" s="16">
        <v>0.2</v>
      </c>
      <c r="S1081" s="16">
        <v>1632.79</v>
      </c>
      <c r="T1081" s="5" t="s">
        <v>32</v>
      </c>
      <c r="U1081" s="13" t="s">
        <v>304</v>
      </c>
    </row>
    <row r="1082" spans="1:21" x14ac:dyDescent="0.35">
      <c r="A1082" s="4">
        <v>1081</v>
      </c>
      <c r="B1082" s="4">
        <v>1106</v>
      </c>
      <c r="C1082" s="13" t="s">
        <v>1066</v>
      </c>
      <c r="D1082" s="13" t="s">
        <v>377</v>
      </c>
      <c r="E1082" s="5" t="s">
        <v>5566</v>
      </c>
      <c r="F1082" s="5" t="s">
        <v>4735</v>
      </c>
      <c r="G1082" s="5" t="s">
        <v>4736</v>
      </c>
      <c r="H1082" s="13" t="s">
        <v>3063</v>
      </c>
      <c r="I1082" s="13" t="s">
        <v>2309</v>
      </c>
      <c r="J1082" s="4">
        <v>10977</v>
      </c>
      <c r="K1082" s="4">
        <v>1</v>
      </c>
      <c r="L1082" s="4">
        <v>52</v>
      </c>
      <c r="M1082" s="4">
        <v>2017</v>
      </c>
      <c r="N1082" s="4">
        <v>2</v>
      </c>
      <c r="O1082" s="4">
        <v>6</v>
      </c>
      <c r="P1082" s="4">
        <v>2</v>
      </c>
      <c r="Q1082" s="19">
        <v>875.99</v>
      </c>
      <c r="R1082" s="16">
        <v>0.1</v>
      </c>
      <c r="S1082" s="16">
        <v>1751.88</v>
      </c>
      <c r="T1082" s="5" t="s">
        <v>53</v>
      </c>
      <c r="U1082" s="13" t="s">
        <v>305</v>
      </c>
    </row>
    <row r="1083" spans="1:21" x14ac:dyDescent="0.35">
      <c r="A1083" s="4">
        <v>1082</v>
      </c>
      <c r="B1083" s="4">
        <v>1327</v>
      </c>
      <c r="C1083" s="13" t="s">
        <v>1358</v>
      </c>
      <c r="D1083" s="13" t="s">
        <v>1882</v>
      </c>
      <c r="E1083" s="5" t="s">
        <v>5566</v>
      </c>
      <c r="F1083" s="5" t="s">
        <v>4737</v>
      </c>
      <c r="G1083" s="5" t="s">
        <v>4738</v>
      </c>
      <c r="H1083" s="13" t="s">
        <v>552</v>
      </c>
      <c r="I1083" s="13" t="s">
        <v>2309</v>
      </c>
      <c r="J1083" s="4">
        <v>10950</v>
      </c>
      <c r="K1083" s="4">
        <v>1</v>
      </c>
      <c r="L1083" s="4">
        <v>29</v>
      </c>
      <c r="M1083" s="4">
        <v>2017</v>
      </c>
      <c r="N1083" s="4">
        <v>2</v>
      </c>
      <c r="O1083" s="4">
        <v>6</v>
      </c>
      <c r="P1083" s="4">
        <v>2</v>
      </c>
      <c r="Q1083" s="19">
        <v>999.99</v>
      </c>
      <c r="R1083" s="16">
        <v>0.2</v>
      </c>
      <c r="S1083" s="16">
        <v>1999.78</v>
      </c>
      <c r="T1083" s="5" t="s">
        <v>30</v>
      </c>
      <c r="U1083" s="13" t="s">
        <v>304</v>
      </c>
    </row>
    <row r="1084" spans="1:21" x14ac:dyDescent="0.35">
      <c r="A1084" s="4">
        <v>1083</v>
      </c>
      <c r="B1084" s="4">
        <v>1372</v>
      </c>
      <c r="C1084" s="13" t="s">
        <v>1883</v>
      </c>
      <c r="D1084" s="13" t="s">
        <v>1884</v>
      </c>
      <c r="E1084" s="5" t="s">
        <v>5566</v>
      </c>
      <c r="F1084" s="5" t="s">
        <v>4739</v>
      </c>
      <c r="G1084" s="5" t="s">
        <v>4740</v>
      </c>
      <c r="H1084" s="13" t="s">
        <v>3161</v>
      </c>
      <c r="I1084" s="13" t="s">
        <v>2309</v>
      </c>
      <c r="J1084" s="4">
        <v>11420</v>
      </c>
      <c r="K1084" s="4">
        <v>1</v>
      </c>
      <c r="L1084" s="4">
        <v>65</v>
      </c>
      <c r="M1084" s="4">
        <v>2017</v>
      </c>
      <c r="N1084" s="4">
        <v>2</v>
      </c>
      <c r="O1084" s="4">
        <v>6</v>
      </c>
      <c r="P1084" s="4">
        <v>2</v>
      </c>
      <c r="Q1084" s="19">
        <v>346.99</v>
      </c>
      <c r="R1084" s="16">
        <v>0.2</v>
      </c>
      <c r="S1084" s="16">
        <v>693.78</v>
      </c>
      <c r="T1084" s="5" t="s">
        <v>66</v>
      </c>
      <c r="U1084" s="13" t="s">
        <v>301</v>
      </c>
    </row>
    <row r="1085" spans="1:21" x14ac:dyDescent="0.35">
      <c r="A1085" s="4">
        <v>1084</v>
      </c>
      <c r="B1085" s="4">
        <v>2</v>
      </c>
      <c r="C1085" s="13" t="s">
        <v>690</v>
      </c>
      <c r="D1085" s="13" t="s">
        <v>1416</v>
      </c>
      <c r="E1085" s="5" t="s">
        <v>5566</v>
      </c>
      <c r="F1085" s="5" t="s">
        <v>3924</v>
      </c>
      <c r="G1085" s="5" t="s">
        <v>3925</v>
      </c>
      <c r="H1085" s="13" t="s">
        <v>1822</v>
      </c>
      <c r="I1085" s="13" t="s">
        <v>2305</v>
      </c>
      <c r="J1085" s="4">
        <v>95008</v>
      </c>
      <c r="K1085" s="4">
        <v>1</v>
      </c>
      <c r="L1085" s="4">
        <v>30</v>
      </c>
      <c r="M1085" s="4">
        <v>2017</v>
      </c>
      <c r="N1085" s="4">
        <v>1</v>
      </c>
      <c r="O1085" s="4">
        <v>2</v>
      </c>
      <c r="P1085" s="4">
        <v>1</v>
      </c>
      <c r="Q1085" s="19">
        <v>999.99</v>
      </c>
      <c r="R1085" s="16">
        <v>0.05</v>
      </c>
      <c r="S1085" s="16">
        <v>999.94</v>
      </c>
      <c r="T1085" s="5" t="s">
        <v>31</v>
      </c>
      <c r="U1085" s="13" t="s">
        <v>304</v>
      </c>
    </row>
    <row r="1086" spans="1:21" x14ac:dyDescent="0.35">
      <c r="A1086" s="4">
        <v>1085</v>
      </c>
      <c r="B1086" s="4">
        <v>305</v>
      </c>
      <c r="C1086" s="13" t="s">
        <v>1885</v>
      </c>
      <c r="D1086" s="13" t="s">
        <v>1759</v>
      </c>
      <c r="E1086" s="5" t="s">
        <v>5566</v>
      </c>
      <c r="F1086" s="5" t="s">
        <v>4741</v>
      </c>
      <c r="G1086" s="5" t="s">
        <v>4742</v>
      </c>
      <c r="H1086" s="13" t="s">
        <v>3044</v>
      </c>
      <c r="I1086" s="13" t="s">
        <v>2305</v>
      </c>
      <c r="J1086" s="4">
        <v>90278</v>
      </c>
      <c r="K1086" s="4">
        <v>1</v>
      </c>
      <c r="L1086" s="4">
        <v>66</v>
      </c>
      <c r="M1086" s="4">
        <v>2017</v>
      </c>
      <c r="N1086" s="4">
        <v>1</v>
      </c>
      <c r="O1086" s="4">
        <v>3</v>
      </c>
      <c r="P1086" s="4">
        <v>2</v>
      </c>
      <c r="Q1086" s="19">
        <v>250.99</v>
      </c>
      <c r="R1086" s="16">
        <v>0.2</v>
      </c>
      <c r="S1086" s="16">
        <v>501.78000000000003</v>
      </c>
      <c r="T1086" s="5" t="s">
        <v>67</v>
      </c>
      <c r="U1086" s="13" t="s">
        <v>301</v>
      </c>
    </row>
    <row r="1087" spans="1:21" x14ac:dyDescent="0.35">
      <c r="A1087" s="4">
        <v>1086</v>
      </c>
      <c r="B1087" s="4">
        <v>220</v>
      </c>
      <c r="C1087" s="13" t="s">
        <v>1886</v>
      </c>
      <c r="D1087" s="13" t="s">
        <v>631</v>
      </c>
      <c r="E1087" s="5" t="s">
        <v>5566</v>
      </c>
      <c r="F1087" s="5" t="s">
        <v>4743</v>
      </c>
      <c r="G1087" s="5" t="s">
        <v>4744</v>
      </c>
      <c r="H1087" s="13" t="s">
        <v>2797</v>
      </c>
      <c r="I1087" s="13" t="s">
        <v>2309</v>
      </c>
      <c r="J1087" s="4">
        <v>11787</v>
      </c>
      <c r="K1087" s="4">
        <v>1</v>
      </c>
      <c r="L1087" s="4">
        <v>108</v>
      </c>
      <c r="M1087" s="4">
        <v>2017</v>
      </c>
      <c r="N1087" s="4">
        <v>2</v>
      </c>
      <c r="O1087" s="4">
        <v>7</v>
      </c>
      <c r="P1087" s="4">
        <v>1</v>
      </c>
      <c r="Q1087" s="19">
        <v>449.99</v>
      </c>
      <c r="R1087" s="16">
        <v>7.0000000000000007E-2</v>
      </c>
      <c r="S1087" s="16">
        <v>449.92</v>
      </c>
      <c r="T1087" s="5" t="s">
        <v>105</v>
      </c>
      <c r="U1087" s="13" t="s">
        <v>300</v>
      </c>
    </row>
    <row r="1088" spans="1:21" x14ac:dyDescent="0.35">
      <c r="A1088" s="4">
        <v>1087</v>
      </c>
      <c r="B1088" s="4">
        <v>675</v>
      </c>
      <c r="C1088" s="13" t="s">
        <v>1630</v>
      </c>
      <c r="D1088" s="13" t="s">
        <v>1887</v>
      </c>
      <c r="E1088" s="5" t="s">
        <v>4745</v>
      </c>
      <c r="F1088" s="5" t="s">
        <v>4746</v>
      </c>
      <c r="G1088" s="5" t="s">
        <v>4747</v>
      </c>
      <c r="H1088" s="13" t="s">
        <v>3189</v>
      </c>
      <c r="I1088" s="13" t="s">
        <v>2397</v>
      </c>
      <c r="J1088" s="4">
        <v>79930</v>
      </c>
      <c r="K1088" s="4">
        <v>1</v>
      </c>
      <c r="L1088" s="4">
        <v>15</v>
      </c>
      <c r="M1088" s="4">
        <v>2016</v>
      </c>
      <c r="N1088" s="4">
        <v>3</v>
      </c>
      <c r="O1088" s="4">
        <v>8</v>
      </c>
      <c r="P1088" s="4">
        <v>1</v>
      </c>
      <c r="Q1088" s="19">
        <v>529.99</v>
      </c>
      <c r="R1088" s="16">
        <v>7.0000000000000007E-2</v>
      </c>
      <c r="S1088" s="16">
        <v>529.91999999999996</v>
      </c>
      <c r="T1088" s="5" t="s">
        <v>20</v>
      </c>
      <c r="U1088" s="13" t="s">
        <v>301</v>
      </c>
    </row>
    <row r="1089" spans="1:21" x14ac:dyDescent="0.35">
      <c r="A1089" s="4">
        <v>1088</v>
      </c>
      <c r="B1089" s="4">
        <v>1160</v>
      </c>
      <c r="C1089" s="13" t="s">
        <v>1888</v>
      </c>
      <c r="D1089" s="13" t="s">
        <v>1889</v>
      </c>
      <c r="E1089" s="5" t="s">
        <v>5566</v>
      </c>
      <c r="F1089" s="5" t="s">
        <v>4748</v>
      </c>
      <c r="G1089" s="5" t="s">
        <v>4749</v>
      </c>
      <c r="H1089" s="13" t="s">
        <v>2666</v>
      </c>
      <c r="I1089" s="13" t="s">
        <v>2397</v>
      </c>
      <c r="J1089" s="4">
        <v>76039</v>
      </c>
      <c r="K1089" s="4">
        <v>1</v>
      </c>
      <c r="L1089" s="4">
        <v>64</v>
      </c>
      <c r="M1089" s="4">
        <v>2017</v>
      </c>
      <c r="N1089" s="4">
        <v>3</v>
      </c>
      <c r="O1089" s="4">
        <v>8</v>
      </c>
      <c r="P1089" s="4">
        <v>1</v>
      </c>
      <c r="Q1089" s="19">
        <v>489.99</v>
      </c>
      <c r="R1089" s="16">
        <v>0.1</v>
      </c>
      <c r="S1089" s="16">
        <v>489.89</v>
      </c>
      <c r="T1089" s="5" t="s">
        <v>65</v>
      </c>
      <c r="U1089" s="13" t="s">
        <v>301</v>
      </c>
    </row>
    <row r="1090" spans="1:21" x14ac:dyDescent="0.35">
      <c r="A1090" s="4">
        <v>1089</v>
      </c>
      <c r="B1090" s="4">
        <v>46</v>
      </c>
      <c r="C1090" s="13" t="s">
        <v>574</v>
      </c>
      <c r="D1090" s="13" t="s">
        <v>413</v>
      </c>
      <c r="E1090" s="5" t="s">
        <v>5566</v>
      </c>
      <c r="F1090" s="5" t="s">
        <v>2676</v>
      </c>
      <c r="G1090" s="5" t="s">
        <v>2677</v>
      </c>
      <c r="H1090" s="13" t="s">
        <v>2362</v>
      </c>
      <c r="I1090" s="13" t="s">
        <v>2305</v>
      </c>
      <c r="J1090" s="4">
        <v>91316</v>
      </c>
      <c r="K1090" s="4">
        <v>1</v>
      </c>
      <c r="L1090" s="4">
        <v>70</v>
      </c>
      <c r="M1090" s="4">
        <v>2017</v>
      </c>
      <c r="N1090" s="4">
        <v>1</v>
      </c>
      <c r="O1090" s="4">
        <v>2</v>
      </c>
      <c r="P1090" s="4">
        <v>2</v>
      </c>
      <c r="Q1090" s="19">
        <v>659.99</v>
      </c>
      <c r="R1090" s="16">
        <v>7.0000000000000007E-2</v>
      </c>
      <c r="S1090" s="16">
        <v>1319.91</v>
      </c>
      <c r="T1090" s="5" t="s">
        <v>71</v>
      </c>
      <c r="U1090" s="13" t="s">
        <v>301</v>
      </c>
    </row>
    <row r="1091" spans="1:21" x14ac:dyDescent="0.35">
      <c r="A1091" s="4">
        <v>1090</v>
      </c>
      <c r="B1091" s="4">
        <v>1427</v>
      </c>
      <c r="C1091" s="13" t="s">
        <v>1890</v>
      </c>
      <c r="D1091" s="13" t="s">
        <v>1018</v>
      </c>
      <c r="E1091" s="5" t="s">
        <v>5566</v>
      </c>
      <c r="F1091" s="5" t="s">
        <v>4750</v>
      </c>
      <c r="G1091" s="5" t="s">
        <v>4751</v>
      </c>
      <c r="H1091" s="13" t="s">
        <v>2484</v>
      </c>
      <c r="I1091" s="13" t="s">
        <v>2305</v>
      </c>
      <c r="J1091" s="4">
        <v>95301</v>
      </c>
      <c r="K1091" s="4">
        <v>1</v>
      </c>
      <c r="L1091" s="4">
        <v>74</v>
      </c>
      <c r="M1091" s="4">
        <v>2017</v>
      </c>
      <c r="N1091" s="4">
        <v>1</v>
      </c>
      <c r="O1091" s="4">
        <v>2</v>
      </c>
      <c r="P1091" s="4">
        <v>1</v>
      </c>
      <c r="Q1091" s="19">
        <v>439.99</v>
      </c>
      <c r="R1091" s="16">
        <v>0.2</v>
      </c>
      <c r="S1091" s="16">
        <v>439.79</v>
      </c>
      <c r="T1091" s="5" t="s">
        <v>75</v>
      </c>
      <c r="U1091" s="13" t="s">
        <v>301</v>
      </c>
    </row>
    <row r="1092" spans="1:21" x14ac:dyDescent="0.35">
      <c r="A1092" s="4">
        <v>1091</v>
      </c>
      <c r="B1092" s="4">
        <v>1260</v>
      </c>
      <c r="C1092" s="13" t="s">
        <v>1891</v>
      </c>
      <c r="D1092" s="13" t="s">
        <v>1892</v>
      </c>
      <c r="E1092" s="5" t="s">
        <v>5566</v>
      </c>
      <c r="F1092" s="5" t="s">
        <v>4752</v>
      </c>
      <c r="G1092" s="5" t="s">
        <v>4753</v>
      </c>
      <c r="H1092" s="13" t="s">
        <v>2656</v>
      </c>
      <c r="I1092" s="13" t="s">
        <v>2309</v>
      </c>
      <c r="J1092" s="4">
        <v>12302</v>
      </c>
      <c r="K1092" s="4">
        <v>1</v>
      </c>
      <c r="L1092" s="4">
        <v>97</v>
      </c>
      <c r="M1092" s="4">
        <v>2017</v>
      </c>
      <c r="N1092" s="4">
        <v>2</v>
      </c>
      <c r="O1092" s="4">
        <v>7</v>
      </c>
      <c r="P1092" s="4">
        <v>1</v>
      </c>
      <c r="Q1092" s="19">
        <v>349.99</v>
      </c>
      <c r="R1092" s="16">
        <v>0.05</v>
      </c>
      <c r="S1092" s="16">
        <v>349.94</v>
      </c>
      <c r="T1092" s="5" t="s">
        <v>97</v>
      </c>
      <c r="U1092" s="13" t="s">
        <v>299</v>
      </c>
    </row>
    <row r="1093" spans="1:21" x14ac:dyDescent="0.35">
      <c r="A1093" s="4">
        <v>1092</v>
      </c>
      <c r="B1093" s="4">
        <v>40</v>
      </c>
      <c r="C1093" s="13" t="s">
        <v>1292</v>
      </c>
      <c r="D1093" s="13" t="s">
        <v>1293</v>
      </c>
      <c r="E1093" s="5" t="s">
        <v>5566</v>
      </c>
      <c r="F1093" s="5" t="s">
        <v>3722</v>
      </c>
      <c r="G1093" s="5" t="s">
        <v>3723</v>
      </c>
      <c r="H1093" s="13" t="s">
        <v>2362</v>
      </c>
      <c r="I1093" s="13" t="s">
        <v>2305</v>
      </c>
      <c r="J1093" s="4">
        <v>91316</v>
      </c>
      <c r="K1093" s="4">
        <v>1</v>
      </c>
      <c r="L1093" s="4">
        <v>34</v>
      </c>
      <c r="M1093" s="4">
        <v>2017</v>
      </c>
      <c r="N1093" s="4">
        <v>1</v>
      </c>
      <c r="O1093" s="4">
        <v>2</v>
      </c>
      <c r="P1093" s="4">
        <v>1</v>
      </c>
      <c r="Q1093" s="19">
        <v>469.99</v>
      </c>
      <c r="R1093" s="16">
        <v>0.05</v>
      </c>
      <c r="S1093" s="16">
        <v>469.94</v>
      </c>
      <c r="T1093" s="5" t="s">
        <v>35</v>
      </c>
      <c r="U1093" s="13" t="s">
        <v>304</v>
      </c>
    </row>
    <row r="1094" spans="1:21" x14ac:dyDescent="0.35">
      <c r="A1094" s="4">
        <v>1093</v>
      </c>
      <c r="B1094" s="4">
        <v>326</v>
      </c>
      <c r="C1094" s="13" t="s">
        <v>1893</v>
      </c>
      <c r="D1094" s="13" t="s">
        <v>1108</v>
      </c>
      <c r="E1094" s="5" t="s">
        <v>5566</v>
      </c>
      <c r="F1094" s="5" t="s">
        <v>4754</v>
      </c>
      <c r="G1094" s="5" t="s">
        <v>4755</v>
      </c>
      <c r="H1094" s="13" t="s">
        <v>2641</v>
      </c>
      <c r="I1094" s="13" t="s">
        <v>2305</v>
      </c>
      <c r="J1094" s="4">
        <v>95677</v>
      </c>
      <c r="K1094" s="4">
        <v>1</v>
      </c>
      <c r="L1094" s="4">
        <v>45</v>
      </c>
      <c r="M1094" s="4">
        <v>2017</v>
      </c>
      <c r="N1094" s="4">
        <v>1</v>
      </c>
      <c r="O1094" s="4">
        <v>3</v>
      </c>
      <c r="P1094" s="4">
        <v>2</v>
      </c>
      <c r="Q1094" s="19">
        <v>869.99</v>
      </c>
      <c r="R1094" s="16">
        <v>7.0000000000000007E-2</v>
      </c>
      <c r="S1094" s="16">
        <v>1739.91</v>
      </c>
      <c r="T1094" s="5" t="s">
        <v>46</v>
      </c>
      <c r="U1094" s="13" t="s">
        <v>304</v>
      </c>
    </row>
    <row r="1095" spans="1:21" x14ac:dyDescent="0.35">
      <c r="A1095" s="4">
        <v>1094</v>
      </c>
      <c r="B1095" s="4">
        <v>828</v>
      </c>
      <c r="C1095" s="13" t="s">
        <v>1894</v>
      </c>
      <c r="D1095" s="13" t="s">
        <v>1078</v>
      </c>
      <c r="E1095" s="5" t="s">
        <v>5566</v>
      </c>
      <c r="F1095" s="5" t="s">
        <v>4756</v>
      </c>
      <c r="G1095" s="5" t="s">
        <v>4757</v>
      </c>
      <c r="H1095" s="13" t="s">
        <v>2368</v>
      </c>
      <c r="I1095" s="13" t="s">
        <v>2309</v>
      </c>
      <c r="J1095" s="4">
        <v>10550</v>
      </c>
      <c r="K1095" s="4">
        <v>1</v>
      </c>
      <c r="L1095" s="4">
        <v>71</v>
      </c>
      <c r="M1095" s="4">
        <v>2017</v>
      </c>
      <c r="N1095" s="4">
        <v>2</v>
      </c>
      <c r="O1095" s="4">
        <v>6</v>
      </c>
      <c r="P1095" s="4">
        <v>1</v>
      </c>
      <c r="Q1095" s="19">
        <v>416.99</v>
      </c>
      <c r="R1095" s="16">
        <v>0.1</v>
      </c>
      <c r="S1095" s="16">
        <v>416.89</v>
      </c>
      <c r="T1095" s="5" t="s">
        <v>72</v>
      </c>
      <c r="U1095" s="13" t="s">
        <v>301</v>
      </c>
    </row>
    <row r="1096" spans="1:21" x14ac:dyDescent="0.35">
      <c r="A1096" s="4">
        <v>1095</v>
      </c>
      <c r="B1096" s="4">
        <v>1382</v>
      </c>
      <c r="C1096" s="13" t="s">
        <v>1895</v>
      </c>
      <c r="D1096" s="13" t="s">
        <v>1721</v>
      </c>
      <c r="E1096" s="5" t="s">
        <v>5566</v>
      </c>
      <c r="F1096" s="5" t="s">
        <v>4758</v>
      </c>
      <c r="G1096" s="5" t="s">
        <v>4759</v>
      </c>
      <c r="H1096" s="13" t="s">
        <v>2396</v>
      </c>
      <c r="I1096" s="13" t="s">
        <v>2397</v>
      </c>
      <c r="J1096" s="4">
        <v>78552</v>
      </c>
      <c r="K1096" s="4">
        <v>1</v>
      </c>
      <c r="L1096" s="4">
        <v>78</v>
      </c>
      <c r="M1096" s="4">
        <v>2017</v>
      </c>
      <c r="N1096" s="4">
        <v>3</v>
      </c>
      <c r="O1096" s="4">
        <v>9</v>
      </c>
      <c r="P1096" s="4">
        <v>2</v>
      </c>
      <c r="Q1096" s="19">
        <v>647.99</v>
      </c>
      <c r="R1096" s="16">
        <v>0.05</v>
      </c>
      <c r="S1096" s="16">
        <v>1295.93</v>
      </c>
      <c r="T1096" s="5" t="s">
        <v>79</v>
      </c>
      <c r="U1096" s="13" t="s">
        <v>301</v>
      </c>
    </row>
    <row r="1097" spans="1:21" x14ac:dyDescent="0.35">
      <c r="A1097" s="4">
        <v>1096</v>
      </c>
      <c r="B1097" s="4">
        <v>589</v>
      </c>
      <c r="C1097" s="13" t="s">
        <v>1896</v>
      </c>
      <c r="D1097" s="13" t="s">
        <v>1897</v>
      </c>
      <c r="E1097" s="5" t="s">
        <v>5566</v>
      </c>
      <c r="F1097" s="5" t="s">
        <v>4760</v>
      </c>
      <c r="G1097" s="5" t="s">
        <v>4761</v>
      </c>
      <c r="H1097" s="13" t="s">
        <v>2304</v>
      </c>
      <c r="I1097" s="13" t="s">
        <v>2305</v>
      </c>
      <c r="J1097" s="4">
        <v>94566</v>
      </c>
      <c r="K1097" s="4">
        <v>1</v>
      </c>
      <c r="L1097" s="4">
        <v>11</v>
      </c>
      <c r="M1097" s="4">
        <v>2016</v>
      </c>
      <c r="N1097" s="4">
        <v>1</v>
      </c>
      <c r="O1097" s="4">
        <v>2</v>
      </c>
      <c r="P1097" s="4">
        <v>1</v>
      </c>
      <c r="Q1097" s="19">
        <v>1680.99</v>
      </c>
      <c r="R1097" s="16">
        <v>0.1</v>
      </c>
      <c r="S1097" s="16">
        <v>1680.89</v>
      </c>
      <c r="T1097" s="5" t="s">
        <v>16</v>
      </c>
      <c r="U1097" s="13" t="s">
        <v>302</v>
      </c>
    </row>
    <row r="1098" spans="1:21" x14ac:dyDescent="0.35">
      <c r="A1098" s="4">
        <v>1097</v>
      </c>
      <c r="B1098" s="4">
        <v>1311</v>
      </c>
      <c r="C1098" s="13" t="s">
        <v>398</v>
      </c>
      <c r="D1098" s="13" t="s">
        <v>1694</v>
      </c>
      <c r="E1098" s="5" t="s">
        <v>5566</v>
      </c>
      <c r="F1098" s="5" t="s">
        <v>4762</v>
      </c>
      <c r="G1098" s="5" t="s">
        <v>4763</v>
      </c>
      <c r="H1098" s="13" t="s">
        <v>2888</v>
      </c>
      <c r="I1098" s="13" t="s">
        <v>2309</v>
      </c>
      <c r="J1098" s="4">
        <v>11727</v>
      </c>
      <c r="K1098" s="4">
        <v>1</v>
      </c>
      <c r="L1098" s="4">
        <v>99</v>
      </c>
      <c r="M1098" s="4">
        <v>2017</v>
      </c>
      <c r="N1098" s="4">
        <v>2</v>
      </c>
      <c r="O1098" s="4">
        <v>6</v>
      </c>
      <c r="P1098" s="4">
        <v>1</v>
      </c>
      <c r="Q1098" s="19">
        <v>299.99</v>
      </c>
      <c r="R1098" s="16">
        <v>0.05</v>
      </c>
      <c r="S1098" s="16">
        <v>299.94</v>
      </c>
      <c r="T1098" s="5" t="s">
        <v>99</v>
      </c>
      <c r="U1098" s="13" t="s">
        <v>299</v>
      </c>
    </row>
    <row r="1099" spans="1:21" x14ac:dyDescent="0.35">
      <c r="A1099" s="4">
        <v>1098</v>
      </c>
      <c r="B1099" s="4">
        <v>752</v>
      </c>
      <c r="C1099" s="13" t="s">
        <v>728</v>
      </c>
      <c r="D1099" s="13" t="s">
        <v>892</v>
      </c>
      <c r="E1099" s="5" t="s">
        <v>5566</v>
      </c>
      <c r="F1099" s="5" t="s">
        <v>4764</v>
      </c>
      <c r="G1099" s="5" t="s">
        <v>4765</v>
      </c>
      <c r="H1099" s="13" t="s">
        <v>2362</v>
      </c>
      <c r="I1099" s="13" t="s">
        <v>2305</v>
      </c>
      <c r="J1099" s="4">
        <v>91316</v>
      </c>
      <c r="K1099" s="4">
        <v>1</v>
      </c>
      <c r="L1099" s="4">
        <v>88</v>
      </c>
      <c r="M1099" s="4">
        <v>2017</v>
      </c>
      <c r="N1099" s="4">
        <v>1</v>
      </c>
      <c r="O1099" s="4">
        <v>2</v>
      </c>
      <c r="P1099" s="4">
        <v>1</v>
      </c>
      <c r="Q1099" s="19">
        <v>189.99</v>
      </c>
      <c r="R1099" s="16">
        <v>0.1</v>
      </c>
      <c r="S1099" s="16">
        <v>189.89000000000001</v>
      </c>
      <c r="T1099" s="5" t="s">
        <v>89</v>
      </c>
      <c r="U1099" s="13" t="s">
        <v>299</v>
      </c>
    </row>
    <row r="1100" spans="1:21" x14ac:dyDescent="0.35">
      <c r="A1100" s="4">
        <v>1099</v>
      </c>
      <c r="B1100" s="4">
        <v>1128</v>
      </c>
      <c r="C1100" s="13" t="s">
        <v>1898</v>
      </c>
      <c r="D1100" s="13" t="s">
        <v>1899</v>
      </c>
      <c r="E1100" s="5" t="s">
        <v>5566</v>
      </c>
      <c r="F1100" s="5" t="s">
        <v>4766</v>
      </c>
      <c r="G1100" s="5" t="s">
        <v>4767</v>
      </c>
      <c r="H1100" s="13" t="s">
        <v>3870</v>
      </c>
      <c r="I1100" s="13" t="s">
        <v>2309</v>
      </c>
      <c r="J1100" s="4">
        <v>10541</v>
      </c>
      <c r="K1100" s="4">
        <v>1</v>
      </c>
      <c r="L1100" s="4">
        <v>64</v>
      </c>
      <c r="M1100" s="4">
        <v>2017</v>
      </c>
      <c r="N1100" s="4">
        <v>2</v>
      </c>
      <c r="O1100" s="4">
        <v>6</v>
      </c>
      <c r="P1100" s="4">
        <v>1</v>
      </c>
      <c r="Q1100" s="19">
        <v>489.99</v>
      </c>
      <c r="R1100" s="16">
        <v>0.1</v>
      </c>
      <c r="S1100" s="16">
        <v>489.89</v>
      </c>
      <c r="T1100" s="5" t="s">
        <v>65</v>
      </c>
      <c r="U1100" s="13" t="s">
        <v>301</v>
      </c>
    </row>
    <row r="1101" spans="1:21" x14ac:dyDescent="0.35">
      <c r="A1101" s="4">
        <v>1100</v>
      </c>
      <c r="B1101" s="4">
        <v>1392</v>
      </c>
      <c r="C1101" s="13" t="s">
        <v>1900</v>
      </c>
      <c r="D1101" s="13" t="s">
        <v>1901</v>
      </c>
      <c r="E1101" s="5" t="s">
        <v>5566</v>
      </c>
      <c r="F1101" s="5" t="s">
        <v>4768</v>
      </c>
      <c r="G1101" s="5" t="s">
        <v>4769</v>
      </c>
      <c r="H1101" s="13" t="s">
        <v>4021</v>
      </c>
      <c r="I1101" s="13" t="s">
        <v>2309</v>
      </c>
      <c r="J1101" s="4">
        <v>14450</v>
      </c>
      <c r="K1101" s="4">
        <v>1</v>
      </c>
      <c r="L1101" s="4">
        <v>12</v>
      </c>
      <c r="M1101" s="4">
        <v>2016</v>
      </c>
      <c r="N1101" s="4">
        <v>2</v>
      </c>
      <c r="O1101" s="4">
        <v>7</v>
      </c>
      <c r="P1101" s="4">
        <v>1</v>
      </c>
      <c r="Q1101" s="19">
        <v>549.99</v>
      </c>
      <c r="R1101" s="16">
        <v>0.05</v>
      </c>
      <c r="S1101" s="16">
        <v>549.94000000000005</v>
      </c>
      <c r="T1101" s="5" t="s">
        <v>17</v>
      </c>
      <c r="U1101" s="13" t="s">
        <v>301</v>
      </c>
    </row>
    <row r="1102" spans="1:21" x14ac:dyDescent="0.35">
      <c r="A1102" s="4">
        <v>1101</v>
      </c>
      <c r="B1102" s="4">
        <v>379</v>
      </c>
      <c r="C1102" s="13" t="s">
        <v>1902</v>
      </c>
      <c r="D1102" s="13" t="s">
        <v>1903</v>
      </c>
      <c r="E1102" s="5" t="s">
        <v>5566</v>
      </c>
      <c r="F1102" s="5" t="s">
        <v>4770</v>
      </c>
      <c r="G1102" s="5" t="s">
        <v>4771</v>
      </c>
      <c r="H1102" s="13" t="s">
        <v>3212</v>
      </c>
      <c r="I1102" s="13" t="s">
        <v>2309</v>
      </c>
      <c r="J1102" s="4">
        <v>11553</v>
      </c>
      <c r="K1102" s="4">
        <v>1</v>
      </c>
      <c r="L1102" s="4">
        <v>105</v>
      </c>
      <c r="M1102" s="4">
        <v>2017</v>
      </c>
      <c r="N1102" s="4">
        <v>2</v>
      </c>
      <c r="O1102" s="4">
        <v>7</v>
      </c>
      <c r="P1102" s="4">
        <v>1</v>
      </c>
      <c r="Q1102" s="19">
        <v>533.99</v>
      </c>
      <c r="R1102" s="16">
        <v>7.0000000000000007E-2</v>
      </c>
      <c r="S1102" s="16">
        <v>533.91999999999996</v>
      </c>
      <c r="T1102" s="5" t="s">
        <v>104</v>
      </c>
      <c r="U1102" s="13" t="s">
        <v>300</v>
      </c>
    </row>
    <row r="1103" spans="1:21" x14ac:dyDescent="0.35">
      <c r="A1103" s="4">
        <v>1102</v>
      </c>
      <c r="B1103" s="4">
        <v>1317</v>
      </c>
      <c r="C1103" s="13" t="s">
        <v>1904</v>
      </c>
      <c r="D1103" s="13" t="s">
        <v>1905</v>
      </c>
      <c r="E1103" s="5" t="s">
        <v>5566</v>
      </c>
      <c r="F1103" s="5" t="s">
        <v>4772</v>
      </c>
      <c r="G1103" s="5" t="s">
        <v>4773</v>
      </c>
      <c r="H1103" s="13" t="s">
        <v>3057</v>
      </c>
      <c r="I1103" s="13" t="s">
        <v>2309</v>
      </c>
      <c r="J1103" s="4">
        <v>11791</v>
      </c>
      <c r="K1103" s="4">
        <v>1</v>
      </c>
      <c r="L1103" s="4">
        <v>91</v>
      </c>
      <c r="M1103" s="4">
        <v>2017</v>
      </c>
      <c r="N1103" s="4">
        <v>2</v>
      </c>
      <c r="O1103" s="4">
        <v>6</v>
      </c>
      <c r="P1103" s="4">
        <v>1</v>
      </c>
      <c r="Q1103" s="19">
        <v>349.99</v>
      </c>
      <c r="R1103" s="16">
        <v>7.0000000000000007E-2</v>
      </c>
      <c r="S1103" s="16">
        <v>349.92</v>
      </c>
      <c r="T1103" s="5" t="s">
        <v>92</v>
      </c>
      <c r="U1103" s="13" t="s">
        <v>299</v>
      </c>
    </row>
    <row r="1104" spans="1:21" x14ac:dyDescent="0.35">
      <c r="A1104" s="4">
        <v>1103</v>
      </c>
      <c r="B1104" s="4">
        <v>1394</v>
      </c>
      <c r="C1104" s="13" t="s">
        <v>1730</v>
      </c>
      <c r="D1104" s="13" t="s">
        <v>451</v>
      </c>
      <c r="E1104" s="5" t="s">
        <v>5566</v>
      </c>
      <c r="F1104" s="5" t="s">
        <v>4774</v>
      </c>
      <c r="G1104" s="5" t="s">
        <v>4775</v>
      </c>
      <c r="H1104" s="13" t="s">
        <v>2710</v>
      </c>
      <c r="I1104" s="13" t="s">
        <v>2309</v>
      </c>
      <c r="J1104" s="4">
        <v>11701</v>
      </c>
      <c r="K1104" s="4">
        <v>1</v>
      </c>
      <c r="L1104" s="4">
        <v>106</v>
      </c>
      <c r="M1104" s="4">
        <v>2017</v>
      </c>
      <c r="N1104" s="4">
        <v>2</v>
      </c>
      <c r="O1104" s="4">
        <v>7</v>
      </c>
      <c r="P1104" s="4">
        <v>1</v>
      </c>
      <c r="Q1104" s="19">
        <v>449.99</v>
      </c>
      <c r="R1104" s="16">
        <v>0.2</v>
      </c>
      <c r="S1104" s="16">
        <v>449.79</v>
      </c>
      <c r="T1104" s="5" t="s">
        <v>69</v>
      </c>
      <c r="U1104" s="13" t="s">
        <v>300</v>
      </c>
    </row>
    <row r="1105" spans="1:21" x14ac:dyDescent="0.35">
      <c r="A1105" s="4">
        <v>1104</v>
      </c>
      <c r="B1105" s="4">
        <v>268</v>
      </c>
      <c r="C1105" s="13" t="s">
        <v>1906</v>
      </c>
      <c r="D1105" s="13" t="s">
        <v>761</v>
      </c>
      <c r="E1105" s="5" t="s">
        <v>5566</v>
      </c>
      <c r="F1105" s="5" t="s">
        <v>4776</v>
      </c>
      <c r="G1105" s="5" t="s">
        <v>4777</v>
      </c>
      <c r="H1105" s="13" t="s">
        <v>2518</v>
      </c>
      <c r="I1105" s="13" t="s">
        <v>2309</v>
      </c>
      <c r="J1105" s="4">
        <v>12020</v>
      </c>
      <c r="K1105" s="4">
        <v>1</v>
      </c>
      <c r="L1105" s="4">
        <v>17</v>
      </c>
      <c r="M1105" s="4">
        <v>2016</v>
      </c>
      <c r="N1105" s="4">
        <v>2</v>
      </c>
      <c r="O1105" s="4">
        <v>6</v>
      </c>
      <c r="P1105" s="4">
        <v>1</v>
      </c>
      <c r="Q1105" s="19">
        <v>429</v>
      </c>
      <c r="R1105" s="16">
        <v>0.1</v>
      </c>
      <c r="S1105" s="16">
        <v>428.9</v>
      </c>
      <c r="T1105" s="5" t="s">
        <v>22</v>
      </c>
      <c r="U1105" s="13" t="s">
        <v>301</v>
      </c>
    </row>
    <row r="1106" spans="1:21" x14ac:dyDescent="0.35">
      <c r="A1106" s="4">
        <v>1105</v>
      </c>
      <c r="B1106" s="4">
        <v>747</v>
      </c>
      <c r="C1106" s="13" t="s">
        <v>1907</v>
      </c>
      <c r="D1106" s="13" t="s">
        <v>1164</v>
      </c>
      <c r="E1106" s="5" t="s">
        <v>5566</v>
      </c>
      <c r="F1106" s="5" t="s">
        <v>4778</v>
      </c>
      <c r="G1106" s="5" t="s">
        <v>4779</v>
      </c>
      <c r="H1106" s="13" t="s">
        <v>3215</v>
      </c>
      <c r="I1106" s="13" t="s">
        <v>2397</v>
      </c>
      <c r="J1106" s="4">
        <v>75126</v>
      </c>
      <c r="K1106" s="4">
        <v>1</v>
      </c>
      <c r="L1106" s="4">
        <v>60</v>
      </c>
      <c r="M1106" s="4">
        <v>2017</v>
      </c>
      <c r="N1106" s="4">
        <v>3</v>
      </c>
      <c r="O1106" s="4">
        <v>8</v>
      </c>
      <c r="P1106" s="4">
        <v>1</v>
      </c>
      <c r="Q1106" s="19">
        <v>1559.99</v>
      </c>
      <c r="R1106" s="16">
        <v>0.05</v>
      </c>
      <c r="S1106" s="16">
        <v>1559.94</v>
      </c>
      <c r="T1106" s="5" t="s">
        <v>61</v>
      </c>
      <c r="U1106" s="13" t="s">
        <v>303</v>
      </c>
    </row>
    <row r="1107" spans="1:21" x14ac:dyDescent="0.35">
      <c r="A1107" s="4">
        <v>1106</v>
      </c>
      <c r="B1107" s="4">
        <v>1009</v>
      </c>
      <c r="C1107" s="13" t="s">
        <v>1908</v>
      </c>
      <c r="D1107" s="13" t="s">
        <v>1308</v>
      </c>
      <c r="E1107" s="5" t="s">
        <v>5566</v>
      </c>
      <c r="F1107" s="5" t="s">
        <v>4780</v>
      </c>
      <c r="G1107" s="5" t="s">
        <v>4781</v>
      </c>
      <c r="H1107" s="13" t="s">
        <v>2737</v>
      </c>
      <c r="I1107" s="13" t="s">
        <v>2309</v>
      </c>
      <c r="J1107" s="4">
        <v>11422</v>
      </c>
      <c r="K1107" s="4">
        <v>1</v>
      </c>
      <c r="L1107" s="4">
        <v>96</v>
      </c>
      <c r="M1107" s="4">
        <v>2017</v>
      </c>
      <c r="N1107" s="4">
        <v>2</v>
      </c>
      <c r="O1107" s="4">
        <v>6</v>
      </c>
      <c r="P1107" s="4">
        <v>1</v>
      </c>
      <c r="Q1107" s="19">
        <v>349.99</v>
      </c>
      <c r="R1107" s="16">
        <v>0.1</v>
      </c>
      <c r="S1107" s="16">
        <v>349.89</v>
      </c>
      <c r="T1107" s="5" t="s">
        <v>96</v>
      </c>
      <c r="U1107" s="13" t="s">
        <v>299</v>
      </c>
    </row>
    <row r="1108" spans="1:21" x14ac:dyDescent="0.35">
      <c r="A1108" s="4">
        <v>1107</v>
      </c>
      <c r="B1108" s="4">
        <v>1424</v>
      </c>
      <c r="C1108" s="13" t="s">
        <v>1909</v>
      </c>
      <c r="D1108" s="13" t="s">
        <v>618</v>
      </c>
      <c r="E1108" s="5" t="s">
        <v>5566</v>
      </c>
      <c r="F1108" s="5" t="s">
        <v>4782</v>
      </c>
      <c r="G1108" s="5" t="s">
        <v>4783</v>
      </c>
      <c r="H1108" s="13" t="s">
        <v>3182</v>
      </c>
      <c r="I1108" s="13" t="s">
        <v>2309</v>
      </c>
      <c r="J1108" s="4">
        <v>10952</v>
      </c>
      <c r="K1108" s="4">
        <v>1</v>
      </c>
      <c r="L1108" s="4">
        <v>43</v>
      </c>
      <c r="M1108" s="4">
        <v>2017</v>
      </c>
      <c r="N1108" s="4">
        <v>2</v>
      </c>
      <c r="O1108" s="4">
        <v>7</v>
      </c>
      <c r="P1108" s="4">
        <v>1</v>
      </c>
      <c r="Q1108" s="19">
        <v>5299.99</v>
      </c>
      <c r="R1108" s="16">
        <v>0.2</v>
      </c>
      <c r="S1108" s="16">
        <v>5299.79</v>
      </c>
      <c r="T1108" s="5" t="s">
        <v>44</v>
      </c>
      <c r="U1108" s="13" t="s">
        <v>304</v>
      </c>
    </row>
    <row r="1109" spans="1:21" x14ac:dyDescent="0.35">
      <c r="A1109" s="4">
        <v>1108</v>
      </c>
      <c r="B1109" s="4">
        <v>735</v>
      </c>
      <c r="C1109" s="13" t="s">
        <v>1910</v>
      </c>
      <c r="D1109" s="13" t="s">
        <v>1567</v>
      </c>
      <c r="E1109" s="5" t="s">
        <v>5566</v>
      </c>
      <c r="F1109" s="5" t="s">
        <v>4784</v>
      </c>
      <c r="G1109" s="5" t="s">
        <v>4785</v>
      </c>
      <c r="H1109" s="13" t="s">
        <v>2484</v>
      </c>
      <c r="I1109" s="13" t="s">
        <v>2305</v>
      </c>
      <c r="J1109" s="4">
        <v>95301</v>
      </c>
      <c r="K1109" s="4">
        <v>1</v>
      </c>
      <c r="L1109" s="4">
        <v>45</v>
      </c>
      <c r="M1109" s="4">
        <v>2017</v>
      </c>
      <c r="N1109" s="4">
        <v>1</v>
      </c>
      <c r="O1109" s="4">
        <v>3</v>
      </c>
      <c r="P1109" s="4">
        <v>2</v>
      </c>
      <c r="Q1109" s="19">
        <v>869.99</v>
      </c>
      <c r="R1109" s="16">
        <v>0.05</v>
      </c>
      <c r="S1109" s="16">
        <v>1739.93</v>
      </c>
      <c r="T1109" s="5" t="s">
        <v>46</v>
      </c>
      <c r="U1109" s="13" t="s">
        <v>304</v>
      </c>
    </row>
    <row r="1110" spans="1:21" x14ac:dyDescent="0.35">
      <c r="A1110" s="4">
        <v>1109</v>
      </c>
      <c r="B1110" s="4">
        <v>23</v>
      </c>
      <c r="C1110" s="13" t="s">
        <v>1911</v>
      </c>
      <c r="D1110" s="13" t="s">
        <v>1912</v>
      </c>
      <c r="E1110" s="5" t="s">
        <v>5566</v>
      </c>
      <c r="F1110" s="5" t="s">
        <v>4786</v>
      </c>
      <c r="G1110" s="5" t="s">
        <v>4787</v>
      </c>
      <c r="H1110" s="13" t="s">
        <v>918</v>
      </c>
      <c r="I1110" s="13" t="s">
        <v>2309</v>
      </c>
      <c r="J1110" s="4">
        <v>11423</v>
      </c>
      <c r="K1110" s="4">
        <v>1</v>
      </c>
      <c r="L1110" s="4">
        <v>72</v>
      </c>
      <c r="M1110" s="4">
        <v>2017</v>
      </c>
      <c r="N1110" s="4">
        <v>2</v>
      </c>
      <c r="O1110" s="4">
        <v>6</v>
      </c>
      <c r="P1110" s="4">
        <v>2</v>
      </c>
      <c r="Q1110" s="19">
        <v>619.99</v>
      </c>
      <c r="R1110" s="16">
        <v>0.1</v>
      </c>
      <c r="S1110" s="16">
        <v>1239.8800000000001</v>
      </c>
      <c r="T1110" s="5" t="s">
        <v>73</v>
      </c>
      <c r="U1110" s="13" t="s">
        <v>301</v>
      </c>
    </row>
    <row r="1111" spans="1:21" x14ac:dyDescent="0.35">
      <c r="A1111" s="4">
        <v>1110</v>
      </c>
      <c r="B1111" s="4">
        <v>912</v>
      </c>
      <c r="C1111" s="13" t="s">
        <v>1913</v>
      </c>
      <c r="D1111" s="13" t="s">
        <v>355</v>
      </c>
      <c r="E1111" s="5" t="s">
        <v>5566</v>
      </c>
      <c r="F1111" s="5" t="s">
        <v>4788</v>
      </c>
      <c r="G1111" s="5" t="s">
        <v>4789</v>
      </c>
      <c r="H1111" s="13" t="s">
        <v>4042</v>
      </c>
      <c r="I1111" s="13" t="s">
        <v>2309</v>
      </c>
      <c r="J1111" s="4">
        <v>11762</v>
      </c>
      <c r="K1111" s="4">
        <v>1</v>
      </c>
      <c r="L1111" s="4">
        <v>56</v>
      </c>
      <c r="M1111" s="4">
        <v>2017</v>
      </c>
      <c r="N1111" s="4">
        <v>2</v>
      </c>
      <c r="O1111" s="4">
        <v>6</v>
      </c>
      <c r="P1111" s="4">
        <v>1</v>
      </c>
      <c r="Q1111" s="19">
        <v>5499.99</v>
      </c>
      <c r="R1111" s="16">
        <v>0.1</v>
      </c>
      <c r="S1111" s="16">
        <v>5499.8899999999994</v>
      </c>
      <c r="T1111" s="5" t="s">
        <v>57</v>
      </c>
      <c r="U1111" s="13" t="s">
        <v>305</v>
      </c>
    </row>
    <row r="1112" spans="1:21" x14ac:dyDescent="0.35">
      <c r="A1112" s="4">
        <v>1111</v>
      </c>
      <c r="B1112" s="4">
        <v>930</v>
      </c>
      <c r="C1112" s="13" t="s">
        <v>1219</v>
      </c>
      <c r="D1112" s="13" t="s">
        <v>465</v>
      </c>
      <c r="E1112" s="5" t="s">
        <v>5566</v>
      </c>
      <c r="F1112" s="5" t="s">
        <v>4790</v>
      </c>
      <c r="G1112" s="5" t="s">
        <v>4791</v>
      </c>
      <c r="H1112" s="13" t="s">
        <v>2494</v>
      </c>
      <c r="I1112" s="13" t="s">
        <v>2309</v>
      </c>
      <c r="J1112" s="4">
        <v>12065</v>
      </c>
      <c r="K1112" s="4">
        <v>1</v>
      </c>
      <c r="L1112" s="4">
        <v>95</v>
      </c>
      <c r="M1112" s="4">
        <v>2017</v>
      </c>
      <c r="N1112" s="4">
        <v>2</v>
      </c>
      <c r="O1112" s="4">
        <v>6</v>
      </c>
      <c r="P1112" s="4">
        <v>1</v>
      </c>
      <c r="Q1112" s="19">
        <v>299.99</v>
      </c>
      <c r="R1112" s="16">
        <v>0.05</v>
      </c>
      <c r="S1112" s="16">
        <v>299.94</v>
      </c>
      <c r="T1112" s="5" t="s">
        <v>77</v>
      </c>
      <c r="U1112" s="13" t="s">
        <v>299</v>
      </c>
    </row>
    <row r="1113" spans="1:21" x14ac:dyDescent="0.35">
      <c r="A1113" s="4">
        <v>1112</v>
      </c>
      <c r="B1113" s="4">
        <v>798</v>
      </c>
      <c r="C1113" s="13" t="s">
        <v>1914</v>
      </c>
      <c r="D1113" s="13" t="s">
        <v>1043</v>
      </c>
      <c r="E1113" s="5" t="s">
        <v>5566</v>
      </c>
      <c r="F1113" s="5" t="s">
        <v>4792</v>
      </c>
      <c r="G1113" s="5" t="s">
        <v>4793</v>
      </c>
      <c r="H1113" s="13" t="s">
        <v>4042</v>
      </c>
      <c r="I1113" s="13" t="s">
        <v>2309</v>
      </c>
      <c r="J1113" s="4">
        <v>11762</v>
      </c>
      <c r="K1113" s="4">
        <v>1</v>
      </c>
      <c r="L1113" s="4">
        <v>71</v>
      </c>
      <c r="M1113" s="4">
        <v>2017</v>
      </c>
      <c r="N1113" s="4">
        <v>2</v>
      </c>
      <c r="O1113" s="4">
        <v>7</v>
      </c>
      <c r="P1113" s="4">
        <v>2</v>
      </c>
      <c r="Q1113" s="19">
        <v>416.99</v>
      </c>
      <c r="R1113" s="16">
        <v>0.05</v>
      </c>
      <c r="S1113" s="16">
        <v>833.93000000000006</v>
      </c>
      <c r="T1113" s="5" t="s">
        <v>72</v>
      </c>
      <c r="U1113" s="13" t="s">
        <v>301</v>
      </c>
    </row>
    <row r="1114" spans="1:21" x14ac:dyDescent="0.35">
      <c r="A1114" s="4">
        <v>1113</v>
      </c>
      <c r="B1114" s="4">
        <v>388</v>
      </c>
      <c r="C1114" s="13" t="s">
        <v>986</v>
      </c>
      <c r="D1114" s="13" t="s">
        <v>533</v>
      </c>
      <c r="E1114" s="5" t="s">
        <v>5566</v>
      </c>
      <c r="F1114" s="5" t="s">
        <v>4794</v>
      </c>
      <c r="G1114" s="5" t="s">
        <v>4795</v>
      </c>
      <c r="H1114" s="13" t="s">
        <v>3018</v>
      </c>
      <c r="I1114" s="13" t="s">
        <v>2309</v>
      </c>
      <c r="J1114" s="4">
        <v>11357</v>
      </c>
      <c r="K1114" s="4">
        <v>1</v>
      </c>
      <c r="L1114" s="4">
        <v>106</v>
      </c>
      <c r="M1114" s="4">
        <v>2017</v>
      </c>
      <c r="N1114" s="4">
        <v>2</v>
      </c>
      <c r="O1114" s="4">
        <v>7</v>
      </c>
      <c r="P1114" s="4">
        <v>1</v>
      </c>
      <c r="Q1114" s="19">
        <v>449.99</v>
      </c>
      <c r="R1114" s="16">
        <v>7.0000000000000007E-2</v>
      </c>
      <c r="S1114" s="16">
        <v>449.92</v>
      </c>
      <c r="T1114" s="5" t="s">
        <v>69</v>
      </c>
      <c r="U1114" s="13" t="s">
        <v>300</v>
      </c>
    </row>
    <row r="1115" spans="1:21" x14ac:dyDescent="0.35">
      <c r="A1115" s="4">
        <v>1114</v>
      </c>
      <c r="B1115" s="4">
        <v>1036</v>
      </c>
      <c r="C1115" s="13" t="s">
        <v>362</v>
      </c>
      <c r="D1115" s="13" t="s">
        <v>373</v>
      </c>
      <c r="E1115" s="5" t="s">
        <v>5566</v>
      </c>
      <c r="F1115" s="5" t="s">
        <v>4796</v>
      </c>
      <c r="G1115" s="5" t="s">
        <v>4797</v>
      </c>
      <c r="H1115" s="13" t="s">
        <v>2567</v>
      </c>
      <c r="I1115" s="13" t="s">
        <v>2309</v>
      </c>
      <c r="J1115" s="4">
        <v>11720</v>
      </c>
      <c r="K1115" s="4">
        <v>1</v>
      </c>
      <c r="L1115" s="4">
        <v>52</v>
      </c>
      <c r="M1115" s="4">
        <v>2017</v>
      </c>
      <c r="N1115" s="4">
        <v>2</v>
      </c>
      <c r="O1115" s="4">
        <v>6</v>
      </c>
      <c r="P1115" s="4">
        <v>1</v>
      </c>
      <c r="Q1115" s="19">
        <v>875.99</v>
      </c>
      <c r="R1115" s="16">
        <v>0.2</v>
      </c>
      <c r="S1115" s="16">
        <v>875.79</v>
      </c>
      <c r="T1115" s="5" t="s">
        <v>53</v>
      </c>
      <c r="U1115" s="13" t="s">
        <v>305</v>
      </c>
    </row>
    <row r="1116" spans="1:21" x14ac:dyDescent="0.35">
      <c r="A1116" s="4">
        <v>1115</v>
      </c>
      <c r="B1116" s="4">
        <v>1100</v>
      </c>
      <c r="C1116" s="13" t="s">
        <v>1915</v>
      </c>
      <c r="D1116" s="13" t="s">
        <v>1840</v>
      </c>
      <c r="E1116" s="5" t="s">
        <v>5566</v>
      </c>
      <c r="F1116" s="5" t="s">
        <v>4798</v>
      </c>
      <c r="G1116" s="5" t="s">
        <v>4799</v>
      </c>
      <c r="H1116" s="13" t="s">
        <v>2518</v>
      </c>
      <c r="I1116" s="13" t="s">
        <v>2309</v>
      </c>
      <c r="J1116" s="4">
        <v>12020</v>
      </c>
      <c r="K1116" s="4">
        <v>1</v>
      </c>
      <c r="L1116" s="4">
        <v>97</v>
      </c>
      <c r="M1116" s="4">
        <v>2017</v>
      </c>
      <c r="N1116" s="4">
        <v>2</v>
      </c>
      <c r="O1116" s="4">
        <v>6</v>
      </c>
      <c r="P1116" s="4">
        <v>2</v>
      </c>
      <c r="Q1116" s="19">
        <v>349.99</v>
      </c>
      <c r="R1116" s="16">
        <v>0.2</v>
      </c>
      <c r="S1116" s="16">
        <v>699.78</v>
      </c>
      <c r="T1116" s="5" t="s">
        <v>97</v>
      </c>
      <c r="U1116" s="13" t="s">
        <v>299</v>
      </c>
    </row>
    <row r="1117" spans="1:21" x14ac:dyDescent="0.35">
      <c r="A1117" s="4">
        <v>1116</v>
      </c>
      <c r="B1117" s="4">
        <v>52</v>
      </c>
      <c r="C1117" s="13" t="s">
        <v>1916</v>
      </c>
      <c r="D1117" s="13" t="s">
        <v>1917</v>
      </c>
      <c r="E1117" s="5" t="s">
        <v>5566</v>
      </c>
      <c r="F1117" s="5" t="s">
        <v>4800</v>
      </c>
      <c r="G1117" s="5" t="s">
        <v>4801</v>
      </c>
      <c r="H1117" s="13" t="s">
        <v>2631</v>
      </c>
      <c r="I1117" s="13" t="s">
        <v>2309</v>
      </c>
      <c r="J1117" s="4">
        <v>11369</v>
      </c>
      <c r="K1117" s="4">
        <v>1</v>
      </c>
      <c r="L1117" s="4">
        <v>11</v>
      </c>
      <c r="M1117" s="4">
        <v>2016</v>
      </c>
      <c r="N1117" s="4">
        <v>2</v>
      </c>
      <c r="O1117" s="4">
        <v>7</v>
      </c>
      <c r="P1117" s="4">
        <v>2</v>
      </c>
      <c r="Q1117" s="19">
        <v>1680.99</v>
      </c>
      <c r="R1117" s="16">
        <v>7.0000000000000007E-2</v>
      </c>
      <c r="S1117" s="16">
        <v>3361.91</v>
      </c>
      <c r="T1117" s="5" t="s">
        <v>16</v>
      </c>
      <c r="U1117" s="13" t="s">
        <v>302</v>
      </c>
    </row>
    <row r="1118" spans="1:21" x14ac:dyDescent="0.35">
      <c r="A1118" s="4">
        <v>1117</v>
      </c>
      <c r="B1118" s="4">
        <v>334</v>
      </c>
      <c r="C1118" s="13" t="s">
        <v>1918</v>
      </c>
      <c r="D1118" s="13" t="s">
        <v>1919</v>
      </c>
      <c r="E1118" s="5" t="s">
        <v>5566</v>
      </c>
      <c r="F1118" s="5" t="s">
        <v>4802</v>
      </c>
      <c r="G1118" s="5" t="s">
        <v>4803</v>
      </c>
      <c r="H1118" s="13" t="s">
        <v>2308</v>
      </c>
      <c r="I1118" s="13" t="s">
        <v>2309</v>
      </c>
      <c r="J1118" s="4">
        <v>11746</v>
      </c>
      <c r="K1118" s="4">
        <v>1</v>
      </c>
      <c r="L1118" s="4">
        <v>37</v>
      </c>
      <c r="M1118" s="4">
        <v>2017</v>
      </c>
      <c r="N1118" s="4">
        <v>2</v>
      </c>
      <c r="O1118" s="4">
        <v>6</v>
      </c>
      <c r="P1118" s="4">
        <v>2</v>
      </c>
      <c r="Q1118" s="19">
        <v>379.99</v>
      </c>
      <c r="R1118" s="16">
        <v>0.1</v>
      </c>
      <c r="S1118" s="16">
        <v>759.88</v>
      </c>
      <c r="T1118" s="5" t="s">
        <v>38</v>
      </c>
      <c r="U1118" s="13" t="s">
        <v>304</v>
      </c>
    </row>
    <row r="1119" spans="1:21" x14ac:dyDescent="0.35">
      <c r="A1119" s="4">
        <v>1118</v>
      </c>
      <c r="B1119" s="4">
        <v>1023</v>
      </c>
      <c r="C1119" s="13" t="s">
        <v>1920</v>
      </c>
      <c r="D1119" s="13" t="s">
        <v>1921</v>
      </c>
      <c r="E1119" s="5" t="s">
        <v>5566</v>
      </c>
      <c r="F1119" s="5" t="s">
        <v>4804</v>
      </c>
      <c r="G1119" s="5" t="s">
        <v>4805</v>
      </c>
      <c r="H1119" s="13" t="s">
        <v>2518</v>
      </c>
      <c r="I1119" s="13" t="s">
        <v>2309</v>
      </c>
      <c r="J1119" s="4">
        <v>12020</v>
      </c>
      <c r="K1119" s="4">
        <v>1</v>
      </c>
      <c r="L1119" s="4">
        <v>55</v>
      </c>
      <c r="M1119" s="4">
        <v>2017</v>
      </c>
      <c r="N1119" s="4">
        <v>2</v>
      </c>
      <c r="O1119" s="4">
        <v>6</v>
      </c>
      <c r="P1119" s="4">
        <v>2</v>
      </c>
      <c r="Q1119" s="19">
        <v>2699.99</v>
      </c>
      <c r="R1119" s="16">
        <v>0.2</v>
      </c>
      <c r="S1119" s="16">
        <v>5399.78</v>
      </c>
      <c r="T1119" s="5" t="s">
        <v>56</v>
      </c>
      <c r="U1119" s="13" t="s">
        <v>305</v>
      </c>
    </row>
    <row r="1120" spans="1:21" x14ac:dyDescent="0.35">
      <c r="A1120" s="4">
        <v>1119</v>
      </c>
      <c r="B1120" s="4">
        <v>749</v>
      </c>
      <c r="C1120" s="13" t="s">
        <v>1922</v>
      </c>
      <c r="D1120" s="13" t="s">
        <v>1726</v>
      </c>
      <c r="E1120" s="5" t="s">
        <v>5566</v>
      </c>
      <c r="F1120" s="5" t="s">
        <v>4806</v>
      </c>
      <c r="G1120" s="5" t="s">
        <v>4807</v>
      </c>
      <c r="H1120" s="13" t="s">
        <v>2544</v>
      </c>
      <c r="I1120" s="13" t="s">
        <v>2305</v>
      </c>
      <c r="J1120" s="4">
        <v>91784</v>
      </c>
      <c r="K1120" s="4">
        <v>1</v>
      </c>
      <c r="L1120" s="4">
        <v>93</v>
      </c>
      <c r="M1120" s="4">
        <v>2017</v>
      </c>
      <c r="N1120" s="4">
        <v>1</v>
      </c>
      <c r="O1120" s="4">
        <v>2</v>
      </c>
      <c r="P1120" s="4">
        <v>2</v>
      </c>
      <c r="Q1120" s="19">
        <v>209.99</v>
      </c>
      <c r="R1120" s="16">
        <v>0.1</v>
      </c>
      <c r="S1120" s="16">
        <v>419.88</v>
      </c>
      <c r="T1120" s="5" t="s">
        <v>94</v>
      </c>
      <c r="U1120" s="13" t="s">
        <v>299</v>
      </c>
    </row>
    <row r="1121" spans="1:21" x14ac:dyDescent="0.35">
      <c r="A1121" s="4">
        <v>1120</v>
      </c>
      <c r="B1121" s="4">
        <v>1269</v>
      </c>
      <c r="C1121" s="13" t="s">
        <v>1923</v>
      </c>
      <c r="D1121" s="13" t="s">
        <v>1310</v>
      </c>
      <c r="E1121" s="5" t="s">
        <v>5566</v>
      </c>
      <c r="F1121" s="5" t="s">
        <v>4808</v>
      </c>
      <c r="G1121" s="5" t="s">
        <v>4809</v>
      </c>
      <c r="H1121" s="13" t="s">
        <v>2525</v>
      </c>
      <c r="I1121" s="13" t="s">
        <v>2309</v>
      </c>
      <c r="J1121" s="4">
        <v>11050</v>
      </c>
      <c r="K1121" s="4">
        <v>1</v>
      </c>
      <c r="L1121" s="4">
        <v>92</v>
      </c>
      <c r="M1121" s="4">
        <v>2017</v>
      </c>
      <c r="N1121" s="4">
        <v>2</v>
      </c>
      <c r="O1121" s="4">
        <v>7</v>
      </c>
      <c r="P1121" s="4">
        <v>2</v>
      </c>
      <c r="Q1121" s="19">
        <v>209.99</v>
      </c>
      <c r="R1121" s="16">
        <v>7.0000000000000007E-2</v>
      </c>
      <c r="S1121" s="16">
        <v>419.91</v>
      </c>
      <c r="T1121" s="5" t="s">
        <v>93</v>
      </c>
      <c r="U1121" s="13" t="s">
        <v>299</v>
      </c>
    </row>
    <row r="1122" spans="1:21" x14ac:dyDescent="0.35">
      <c r="A1122" s="4">
        <v>1121</v>
      </c>
      <c r="B1122" s="4">
        <v>143</v>
      </c>
      <c r="C1122" s="13" t="s">
        <v>1924</v>
      </c>
      <c r="D1122" s="13" t="s">
        <v>1925</v>
      </c>
      <c r="E1122" s="5" t="s">
        <v>5566</v>
      </c>
      <c r="F1122" s="5" t="s">
        <v>4810</v>
      </c>
      <c r="G1122" s="5" t="s">
        <v>4811</v>
      </c>
      <c r="H1122" s="13" t="s">
        <v>2763</v>
      </c>
      <c r="I1122" s="13" t="s">
        <v>2309</v>
      </c>
      <c r="J1122" s="4">
        <v>11372</v>
      </c>
      <c r="K1122" s="4">
        <v>1</v>
      </c>
      <c r="L1122" s="4">
        <v>11</v>
      </c>
      <c r="M1122" s="4">
        <v>2016</v>
      </c>
      <c r="N1122" s="4">
        <v>2</v>
      </c>
      <c r="O1122" s="4">
        <v>7</v>
      </c>
      <c r="P1122" s="4">
        <v>2</v>
      </c>
      <c r="Q1122" s="19">
        <v>1680.99</v>
      </c>
      <c r="R1122" s="16">
        <v>0.1</v>
      </c>
      <c r="S1122" s="16">
        <v>3361.88</v>
      </c>
      <c r="T1122" s="5" t="s">
        <v>16</v>
      </c>
      <c r="U1122" s="13" t="s">
        <v>302</v>
      </c>
    </row>
    <row r="1123" spans="1:21" x14ac:dyDescent="0.35">
      <c r="A1123" s="4">
        <v>1122</v>
      </c>
      <c r="B1123" s="4">
        <v>1132</v>
      </c>
      <c r="C1123" s="13" t="s">
        <v>1926</v>
      </c>
      <c r="D1123" s="13" t="s">
        <v>1927</v>
      </c>
      <c r="E1123" s="5" t="s">
        <v>5566</v>
      </c>
      <c r="F1123" s="5" t="s">
        <v>4812</v>
      </c>
      <c r="G1123" s="5" t="s">
        <v>4813</v>
      </c>
      <c r="H1123" s="13" t="s">
        <v>2427</v>
      </c>
      <c r="I1123" s="13" t="s">
        <v>2309</v>
      </c>
      <c r="J1123" s="4">
        <v>14850</v>
      </c>
      <c r="K1123" s="4">
        <v>1</v>
      </c>
      <c r="L1123" s="4">
        <v>9</v>
      </c>
      <c r="M1123" s="4">
        <v>2016</v>
      </c>
      <c r="N1123" s="4">
        <v>2</v>
      </c>
      <c r="O1123" s="4">
        <v>6</v>
      </c>
      <c r="P1123" s="4">
        <v>2</v>
      </c>
      <c r="Q1123" s="19">
        <v>2999.99</v>
      </c>
      <c r="R1123" s="16">
        <v>7.0000000000000007E-2</v>
      </c>
      <c r="S1123" s="16">
        <v>5999.91</v>
      </c>
      <c r="T1123" s="5" t="s">
        <v>14</v>
      </c>
      <c r="U1123" s="13" t="s">
        <v>303</v>
      </c>
    </row>
    <row r="1124" spans="1:21" x14ac:dyDescent="0.35">
      <c r="A1124" s="4">
        <v>1123</v>
      </c>
      <c r="B1124" s="4">
        <v>598</v>
      </c>
      <c r="C1124" s="13" t="s">
        <v>1928</v>
      </c>
      <c r="D1124" s="13" t="s">
        <v>1929</v>
      </c>
      <c r="E1124" s="5" t="s">
        <v>5566</v>
      </c>
      <c r="F1124" s="5" t="s">
        <v>4814</v>
      </c>
      <c r="G1124" s="5" t="s">
        <v>4815</v>
      </c>
      <c r="H1124" s="13" t="s">
        <v>4270</v>
      </c>
      <c r="I1124" s="13" t="s">
        <v>2309</v>
      </c>
      <c r="J1124" s="4">
        <v>14043</v>
      </c>
      <c r="K1124" s="4">
        <v>1</v>
      </c>
      <c r="L1124" s="4">
        <v>65</v>
      </c>
      <c r="M1124" s="4">
        <v>2017</v>
      </c>
      <c r="N1124" s="4">
        <v>2</v>
      </c>
      <c r="O1124" s="4">
        <v>7</v>
      </c>
      <c r="P1124" s="4">
        <v>2</v>
      </c>
      <c r="Q1124" s="19">
        <v>346.99</v>
      </c>
      <c r="R1124" s="16">
        <v>7.0000000000000007E-2</v>
      </c>
      <c r="S1124" s="16">
        <v>693.91</v>
      </c>
      <c r="T1124" s="5" t="s">
        <v>66</v>
      </c>
      <c r="U1124" s="13" t="s">
        <v>301</v>
      </c>
    </row>
    <row r="1125" spans="1:21" x14ac:dyDescent="0.35">
      <c r="A1125" s="4">
        <v>1124</v>
      </c>
      <c r="B1125" s="4">
        <v>275</v>
      </c>
      <c r="C1125" s="13" t="s">
        <v>1930</v>
      </c>
      <c r="D1125" s="13" t="s">
        <v>1421</v>
      </c>
      <c r="E1125" s="5" t="s">
        <v>5566</v>
      </c>
      <c r="F1125" s="5" t="s">
        <v>4816</v>
      </c>
      <c r="G1125" s="5" t="s">
        <v>4817</v>
      </c>
      <c r="H1125" s="13" t="s">
        <v>2849</v>
      </c>
      <c r="I1125" s="13" t="s">
        <v>2397</v>
      </c>
      <c r="J1125" s="4">
        <v>76901</v>
      </c>
      <c r="K1125" s="4">
        <v>1</v>
      </c>
      <c r="L1125" s="4">
        <v>7</v>
      </c>
      <c r="M1125" s="4">
        <v>2016</v>
      </c>
      <c r="N1125" s="4">
        <v>3</v>
      </c>
      <c r="O1125" s="4">
        <v>9</v>
      </c>
      <c r="P1125" s="4">
        <v>2</v>
      </c>
      <c r="Q1125" s="19">
        <v>3999.99</v>
      </c>
      <c r="R1125" s="16">
        <v>0.1</v>
      </c>
      <c r="S1125" s="16">
        <v>7999.8799999999992</v>
      </c>
      <c r="T1125" s="5" t="s">
        <v>12</v>
      </c>
      <c r="U1125" s="13" t="s">
        <v>304</v>
      </c>
    </row>
    <row r="1126" spans="1:21" x14ac:dyDescent="0.35">
      <c r="A1126" s="4">
        <v>1125</v>
      </c>
      <c r="B1126" s="4">
        <v>945</v>
      </c>
      <c r="C1126" s="13" t="s">
        <v>1931</v>
      </c>
      <c r="D1126" s="13" t="s">
        <v>1811</v>
      </c>
      <c r="E1126" s="5" t="s">
        <v>5566</v>
      </c>
      <c r="F1126" s="5" t="s">
        <v>4818</v>
      </c>
      <c r="G1126" s="5" t="s">
        <v>4819</v>
      </c>
      <c r="H1126" s="13" t="s">
        <v>2525</v>
      </c>
      <c r="I1126" s="13" t="s">
        <v>2309</v>
      </c>
      <c r="J1126" s="4">
        <v>11050</v>
      </c>
      <c r="K1126" s="4">
        <v>1</v>
      </c>
      <c r="L1126" s="4">
        <v>16</v>
      </c>
      <c r="M1126" s="4">
        <v>2016</v>
      </c>
      <c r="N1126" s="4">
        <v>2</v>
      </c>
      <c r="O1126" s="4">
        <v>7</v>
      </c>
      <c r="P1126" s="4">
        <v>2</v>
      </c>
      <c r="Q1126" s="19">
        <v>599.99</v>
      </c>
      <c r="R1126" s="16">
        <v>0.05</v>
      </c>
      <c r="S1126" s="16">
        <v>1199.93</v>
      </c>
      <c r="T1126" s="5" t="s">
        <v>21</v>
      </c>
      <c r="U1126" s="13" t="s">
        <v>301</v>
      </c>
    </row>
    <row r="1127" spans="1:21" x14ac:dyDescent="0.35">
      <c r="A1127" s="4">
        <v>1126</v>
      </c>
      <c r="B1127" s="4">
        <v>1213</v>
      </c>
      <c r="C1127" s="13" t="s">
        <v>913</v>
      </c>
      <c r="D1127" s="13" t="s">
        <v>1651</v>
      </c>
      <c r="E1127" s="5" t="s">
        <v>5566</v>
      </c>
      <c r="F1127" s="5" t="s">
        <v>4820</v>
      </c>
      <c r="G1127" s="5" t="s">
        <v>4821</v>
      </c>
      <c r="H1127" s="13" t="s">
        <v>2849</v>
      </c>
      <c r="I1127" s="13" t="s">
        <v>2397</v>
      </c>
      <c r="J1127" s="4">
        <v>76901</v>
      </c>
      <c r="K1127" s="4">
        <v>1</v>
      </c>
      <c r="L1127" s="4">
        <v>33</v>
      </c>
      <c r="M1127" s="4">
        <v>2017</v>
      </c>
      <c r="N1127" s="4">
        <v>3</v>
      </c>
      <c r="O1127" s="4">
        <v>8</v>
      </c>
      <c r="P1127" s="4">
        <v>2</v>
      </c>
      <c r="Q1127" s="19">
        <v>469.99</v>
      </c>
      <c r="R1127" s="16">
        <v>0.1</v>
      </c>
      <c r="S1127" s="16">
        <v>939.88</v>
      </c>
      <c r="T1127" s="5" t="s">
        <v>34</v>
      </c>
      <c r="U1127" s="13" t="s">
        <v>304</v>
      </c>
    </row>
    <row r="1128" spans="1:21" x14ac:dyDescent="0.35">
      <c r="A1128" s="4">
        <v>1127</v>
      </c>
      <c r="B1128" s="4">
        <v>494</v>
      </c>
      <c r="C1128" s="13" t="s">
        <v>1932</v>
      </c>
      <c r="D1128" s="13" t="s">
        <v>1933</v>
      </c>
      <c r="E1128" s="5" t="s">
        <v>5566</v>
      </c>
      <c r="F1128" s="5" t="s">
        <v>4822</v>
      </c>
      <c r="G1128" s="5" t="s">
        <v>4823</v>
      </c>
      <c r="H1128" s="13" t="s">
        <v>3212</v>
      </c>
      <c r="I1128" s="13" t="s">
        <v>2309</v>
      </c>
      <c r="J1128" s="4">
        <v>11553</v>
      </c>
      <c r="K1128" s="4">
        <v>1</v>
      </c>
      <c r="L1128" s="4">
        <v>23</v>
      </c>
      <c r="M1128" s="4">
        <v>2016</v>
      </c>
      <c r="N1128" s="4">
        <v>2</v>
      </c>
      <c r="O1128" s="4">
        <v>7</v>
      </c>
      <c r="P1128" s="4">
        <v>2</v>
      </c>
      <c r="Q1128" s="19">
        <v>299.99</v>
      </c>
      <c r="R1128" s="16">
        <v>0.1</v>
      </c>
      <c r="S1128" s="16">
        <v>599.88</v>
      </c>
      <c r="T1128" s="5" t="s">
        <v>26</v>
      </c>
      <c r="U1128" s="13" t="s">
        <v>299</v>
      </c>
    </row>
    <row r="1129" spans="1:21" x14ac:dyDescent="0.35">
      <c r="A1129" s="4">
        <v>1128</v>
      </c>
      <c r="B1129" s="4">
        <v>936</v>
      </c>
      <c r="C1129" s="13" t="s">
        <v>1934</v>
      </c>
      <c r="D1129" s="13" t="s">
        <v>478</v>
      </c>
      <c r="E1129" s="5" t="s">
        <v>5566</v>
      </c>
      <c r="F1129" s="5" t="s">
        <v>4824</v>
      </c>
      <c r="G1129" s="5" t="s">
        <v>4825</v>
      </c>
      <c r="H1129" s="13" t="s">
        <v>2444</v>
      </c>
      <c r="I1129" s="13" t="s">
        <v>2309</v>
      </c>
      <c r="J1129" s="4">
        <v>10562</v>
      </c>
      <c r="K1129" s="4">
        <v>1</v>
      </c>
      <c r="L1129" s="4">
        <v>44</v>
      </c>
      <c r="M1129" s="4">
        <v>2017</v>
      </c>
      <c r="N1129" s="4">
        <v>2</v>
      </c>
      <c r="O1129" s="4">
        <v>6</v>
      </c>
      <c r="P1129" s="4">
        <v>1</v>
      </c>
      <c r="Q1129" s="19">
        <v>539.99</v>
      </c>
      <c r="R1129" s="16">
        <v>0.05</v>
      </c>
      <c r="S1129" s="16">
        <v>539.94000000000005</v>
      </c>
      <c r="T1129" s="5" t="s">
        <v>45</v>
      </c>
      <c r="U1129" s="13" t="s">
        <v>304</v>
      </c>
    </row>
    <row r="1130" spans="1:21" x14ac:dyDescent="0.35">
      <c r="A1130" s="4">
        <v>1129</v>
      </c>
      <c r="B1130" s="4">
        <v>663</v>
      </c>
      <c r="C1130" s="13" t="s">
        <v>1234</v>
      </c>
      <c r="D1130" s="13" t="s">
        <v>1325</v>
      </c>
      <c r="E1130" s="5" t="s">
        <v>5566</v>
      </c>
      <c r="F1130" s="5" t="s">
        <v>4826</v>
      </c>
      <c r="G1130" s="5" t="s">
        <v>4827</v>
      </c>
      <c r="H1130" s="13" t="s">
        <v>2507</v>
      </c>
      <c r="I1130" s="13" t="s">
        <v>2309</v>
      </c>
      <c r="J1130" s="4">
        <v>12553</v>
      </c>
      <c r="K1130" s="4">
        <v>1</v>
      </c>
      <c r="L1130" s="4">
        <v>71</v>
      </c>
      <c r="M1130" s="4">
        <v>2017</v>
      </c>
      <c r="N1130" s="4">
        <v>2</v>
      </c>
      <c r="O1130" s="4">
        <v>6</v>
      </c>
      <c r="P1130" s="4">
        <v>2</v>
      </c>
      <c r="Q1130" s="19">
        <v>416.99</v>
      </c>
      <c r="R1130" s="16">
        <v>0.2</v>
      </c>
      <c r="S1130" s="16">
        <v>833.78</v>
      </c>
      <c r="T1130" s="5" t="s">
        <v>72</v>
      </c>
      <c r="U1130" s="13" t="s">
        <v>301</v>
      </c>
    </row>
    <row r="1131" spans="1:21" x14ac:dyDescent="0.35">
      <c r="A1131" s="4">
        <v>1130</v>
      </c>
      <c r="B1131" s="4">
        <v>69</v>
      </c>
      <c r="C1131" s="13" t="s">
        <v>1935</v>
      </c>
      <c r="D1131" s="13" t="s">
        <v>851</v>
      </c>
      <c r="E1131" s="5" t="s">
        <v>5566</v>
      </c>
      <c r="F1131" s="5" t="s">
        <v>4828</v>
      </c>
      <c r="G1131" s="5" t="s">
        <v>4829</v>
      </c>
      <c r="H1131" s="13" t="s">
        <v>2641</v>
      </c>
      <c r="I1131" s="13" t="s">
        <v>2305</v>
      </c>
      <c r="J1131" s="4">
        <v>95677</v>
      </c>
      <c r="K1131" s="4">
        <v>1</v>
      </c>
      <c r="L1131" s="4">
        <v>54</v>
      </c>
      <c r="M1131" s="4">
        <v>2017</v>
      </c>
      <c r="N1131" s="4">
        <v>1</v>
      </c>
      <c r="O1131" s="4">
        <v>3</v>
      </c>
      <c r="P1131" s="4">
        <v>2</v>
      </c>
      <c r="Q1131" s="19">
        <v>3199.99</v>
      </c>
      <c r="R1131" s="16">
        <v>0.2</v>
      </c>
      <c r="S1131" s="16">
        <v>6399.78</v>
      </c>
      <c r="T1131" s="5" t="s">
        <v>55</v>
      </c>
      <c r="U1131" s="13" t="s">
        <v>305</v>
      </c>
    </row>
    <row r="1132" spans="1:21" x14ac:dyDescent="0.35">
      <c r="A1132" s="4">
        <v>1131</v>
      </c>
      <c r="B1132" s="4">
        <v>1178</v>
      </c>
      <c r="C1132" s="13" t="s">
        <v>1936</v>
      </c>
      <c r="D1132" s="13" t="s">
        <v>980</v>
      </c>
      <c r="E1132" s="5" t="s">
        <v>4830</v>
      </c>
      <c r="F1132" s="5" t="s">
        <v>4831</v>
      </c>
      <c r="G1132" s="5" t="s">
        <v>4832</v>
      </c>
      <c r="H1132" s="13" t="s">
        <v>2704</v>
      </c>
      <c r="I1132" s="13" t="s">
        <v>2305</v>
      </c>
      <c r="J1132" s="4">
        <v>93035</v>
      </c>
      <c r="K1132" s="4">
        <v>1</v>
      </c>
      <c r="L1132" s="4">
        <v>60</v>
      </c>
      <c r="M1132" s="4">
        <v>2017</v>
      </c>
      <c r="N1132" s="4">
        <v>1</v>
      </c>
      <c r="O1132" s="4">
        <v>3</v>
      </c>
      <c r="P1132" s="4">
        <v>2</v>
      </c>
      <c r="Q1132" s="19">
        <v>1559.99</v>
      </c>
      <c r="R1132" s="16">
        <v>7.0000000000000007E-2</v>
      </c>
      <c r="S1132" s="16">
        <v>3119.91</v>
      </c>
      <c r="T1132" s="5" t="s">
        <v>61</v>
      </c>
      <c r="U1132" s="13" t="s">
        <v>303</v>
      </c>
    </row>
    <row r="1133" spans="1:21" x14ac:dyDescent="0.35">
      <c r="A1133" s="4">
        <v>1132</v>
      </c>
      <c r="B1133" s="4">
        <v>351</v>
      </c>
      <c r="C1133" s="13" t="s">
        <v>1937</v>
      </c>
      <c r="D1133" s="13" t="s">
        <v>1938</v>
      </c>
      <c r="E1133" s="5" t="s">
        <v>5566</v>
      </c>
      <c r="F1133" s="5" t="s">
        <v>4833</v>
      </c>
      <c r="G1133" s="5" t="s">
        <v>4834</v>
      </c>
      <c r="H1133" s="13" t="s">
        <v>3182</v>
      </c>
      <c r="I1133" s="13" t="s">
        <v>2309</v>
      </c>
      <c r="J1133" s="4">
        <v>10952</v>
      </c>
      <c r="K1133" s="4">
        <v>1</v>
      </c>
      <c r="L1133" s="4">
        <v>43</v>
      </c>
      <c r="M1133" s="4">
        <v>2017</v>
      </c>
      <c r="N1133" s="4">
        <v>2</v>
      </c>
      <c r="O1133" s="4">
        <v>6</v>
      </c>
      <c r="P1133" s="4">
        <v>1</v>
      </c>
      <c r="Q1133" s="19">
        <v>5299.99</v>
      </c>
      <c r="R1133" s="16">
        <v>0.05</v>
      </c>
      <c r="S1133" s="16">
        <v>5299.94</v>
      </c>
      <c r="T1133" s="5" t="s">
        <v>44</v>
      </c>
      <c r="U1133" s="13" t="s">
        <v>304</v>
      </c>
    </row>
    <row r="1134" spans="1:21" x14ac:dyDescent="0.35">
      <c r="A1134" s="4">
        <v>1133</v>
      </c>
      <c r="B1134" s="4">
        <v>517</v>
      </c>
      <c r="C1134" s="13" t="s">
        <v>1242</v>
      </c>
      <c r="D1134" s="13" t="s">
        <v>1350</v>
      </c>
      <c r="E1134" s="5" t="s">
        <v>5566</v>
      </c>
      <c r="F1134" s="5" t="s">
        <v>4835</v>
      </c>
      <c r="G1134" s="5" t="s">
        <v>4836</v>
      </c>
      <c r="H1134" s="13" t="s">
        <v>2324</v>
      </c>
      <c r="I1134" s="13" t="s">
        <v>2309</v>
      </c>
      <c r="J1134" s="4">
        <v>11710</v>
      </c>
      <c r="K1134" s="4">
        <v>1</v>
      </c>
      <c r="L1134" s="4">
        <v>4</v>
      </c>
      <c r="M1134" s="4">
        <v>2016</v>
      </c>
      <c r="N1134" s="4">
        <v>2</v>
      </c>
      <c r="O1134" s="4">
        <v>7</v>
      </c>
      <c r="P1134" s="4">
        <v>2</v>
      </c>
      <c r="Q1134" s="19">
        <v>2899.99</v>
      </c>
      <c r="R1134" s="16">
        <v>0.05</v>
      </c>
      <c r="S1134" s="16">
        <v>5799.9299999999994</v>
      </c>
      <c r="T1134" s="5" t="s">
        <v>9</v>
      </c>
      <c r="U1134" s="13" t="s">
        <v>304</v>
      </c>
    </row>
    <row r="1135" spans="1:21" x14ac:dyDescent="0.35">
      <c r="A1135" s="4">
        <v>1134</v>
      </c>
      <c r="B1135" s="4">
        <v>978</v>
      </c>
      <c r="C1135" s="13" t="s">
        <v>601</v>
      </c>
      <c r="D1135" s="13" t="s">
        <v>827</v>
      </c>
      <c r="E1135" s="5" t="s">
        <v>5566</v>
      </c>
      <c r="F1135" s="5" t="s">
        <v>4837</v>
      </c>
      <c r="G1135" s="5" t="s">
        <v>4838</v>
      </c>
      <c r="H1135" s="13" t="s">
        <v>2384</v>
      </c>
      <c r="I1135" s="13" t="s">
        <v>2309</v>
      </c>
      <c r="J1135" s="4">
        <v>10451</v>
      </c>
      <c r="K1135" s="4">
        <v>1</v>
      </c>
      <c r="L1135" s="4">
        <v>97</v>
      </c>
      <c r="M1135" s="4">
        <v>2017</v>
      </c>
      <c r="N1135" s="4">
        <v>2</v>
      </c>
      <c r="O1135" s="4">
        <v>6</v>
      </c>
      <c r="P1135" s="4">
        <v>1</v>
      </c>
      <c r="Q1135" s="19">
        <v>349.99</v>
      </c>
      <c r="R1135" s="16">
        <v>0.1</v>
      </c>
      <c r="S1135" s="16">
        <v>349.89</v>
      </c>
      <c r="T1135" s="5" t="s">
        <v>97</v>
      </c>
      <c r="U1135" s="13" t="s">
        <v>299</v>
      </c>
    </row>
    <row r="1136" spans="1:21" x14ac:dyDescent="0.35">
      <c r="A1136" s="4">
        <v>1135</v>
      </c>
      <c r="B1136" s="4">
        <v>1347</v>
      </c>
      <c r="C1136" s="13" t="s">
        <v>1939</v>
      </c>
      <c r="D1136" s="13" t="s">
        <v>783</v>
      </c>
      <c r="E1136" s="5" t="s">
        <v>5566</v>
      </c>
      <c r="F1136" s="5" t="s">
        <v>4839</v>
      </c>
      <c r="G1136" s="5" t="s">
        <v>4840</v>
      </c>
      <c r="H1136" s="13" t="s">
        <v>2327</v>
      </c>
      <c r="I1136" s="13" t="s">
        <v>2309</v>
      </c>
      <c r="J1136" s="4">
        <v>12866</v>
      </c>
      <c r="K1136" s="4">
        <v>1</v>
      </c>
      <c r="L1136" s="4">
        <v>101</v>
      </c>
      <c r="M1136" s="4">
        <v>2017</v>
      </c>
      <c r="N1136" s="4">
        <v>2</v>
      </c>
      <c r="O1136" s="4">
        <v>6</v>
      </c>
      <c r="P1136" s="4">
        <v>2</v>
      </c>
      <c r="Q1136" s="19">
        <v>339.99</v>
      </c>
      <c r="R1136" s="16">
        <v>0.05</v>
      </c>
      <c r="S1136" s="16">
        <v>679.93000000000006</v>
      </c>
      <c r="T1136" s="5" t="s">
        <v>101</v>
      </c>
      <c r="U1136" s="13" t="s">
        <v>299</v>
      </c>
    </row>
    <row r="1137" spans="1:21" x14ac:dyDescent="0.35">
      <c r="A1137" s="4">
        <v>1136</v>
      </c>
      <c r="B1137" s="4">
        <v>1050</v>
      </c>
      <c r="C1137" s="13" t="s">
        <v>1940</v>
      </c>
      <c r="D1137" s="13" t="s">
        <v>1817</v>
      </c>
      <c r="E1137" s="5" t="s">
        <v>5566</v>
      </c>
      <c r="F1137" s="5" t="s">
        <v>4841</v>
      </c>
      <c r="G1137" s="5" t="s">
        <v>4842</v>
      </c>
      <c r="H1137" s="13" t="s">
        <v>2449</v>
      </c>
      <c r="I1137" s="13" t="s">
        <v>2309</v>
      </c>
      <c r="J1137" s="4">
        <v>11967</v>
      </c>
      <c r="K1137" s="4">
        <v>1</v>
      </c>
      <c r="L1137" s="4">
        <v>105</v>
      </c>
      <c r="M1137" s="4">
        <v>2017</v>
      </c>
      <c r="N1137" s="4">
        <v>2</v>
      </c>
      <c r="O1137" s="4">
        <v>6</v>
      </c>
      <c r="P1137" s="4">
        <v>1</v>
      </c>
      <c r="Q1137" s="19">
        <v>533.99</v>
      </c>
      <c r="R1137" s="16">
        <v>0.1</v>
      </c>
      <c r="S1137" s="16">
        <v>533.89</v>
      </c>
      <c r="T1137" s="5" t="s">
        <v>104</v>
      </c>
      <c r="U1137" s="13" t="s">
        <v>300</v>
      </c>
    </row>
    <row r="1138" spans="1:21" x14ac:dyDescent="0.35">
      <c r="A1138" s="4">
        <v>1137</v>
      </c>
      <c r="B1138" s="4">
        <v>810</v>
      </c>
      <c r="C1138" s="13" t="s">
        <v>1941</v>
      </c>
      <c r="D1138" s="13" t="s">
        <v>1942</v>
      </c>
      <c r="E1138" s="5" t="s">
        <v>4843</v>
      </c>
      <c r="F1138" s="5" t="s">
        <v>4844</v>
      </c>
      <c r="G1138" s="5" t="s">
        <v>4845</v>
      </c>
      <c r="H1138" s="13" t="s">
        <v>1262</v>
      </c>
      <c r="I1138" s="13" t="s">
        <v>2397</v>
      </c>
      <c r="J1138" s="4">
        <v>77016</v>
      </c>
      <c r="K1138" s="4">
        <v>1</v>
      </c>
      <c r="L1138" s="4">
        <v>28</v>
      </c>
      <c r="M1138" s="4">
        <v>2017</v>
      </c>
      <c r="N1138" s="4">
        <v>3</v>
      </c>
      <c r="O1138" s="4">
        <v>8</v>
      </c>
      <c r="P1138" s="4">
        <v>1</v>
      </c>
      <c r="Q1138" s="19">
        <v>2499.9899999999998</v>
      </c>
      <c r="R1138" s="16">
        <v>0.2</v>
      </c>
      <c r="S1138" s="16">
        <v>2499.79</v>
      </c>
      <c r="T1138" s="5" t="s">
        <v>29</v>
      </c>
      <c r="U1138" s="13" t="s">
        <v>304</v>
      </c>
    </row>
    <row r="1139" spans="1:21" x14ac:dyDescent="0.35">
      <c r="A1139" s="4">
        <v>1138</v>
      </c>
      <c r="B1139" s="4">
        <v>254</v>
      </c>
      <c r="C1139" s="13" t="s">
        <v>1943</v>
      </c>
      <c r="D1139" s="13" t="s">
        <v>1473</v>
      </c>
      <c r="E1139" s="5" t="s">
        <v>5566</v>
      </c>
      <c r="F1139" s="5" t="s">
        <v>4846</v>
      </c>
      <c r="G1139" s="5" t="s">
        <v>4847</v>
      </c>
      <c r="H1139" s="13" t="s">
        <v>2570</v>
      </c>
      <c r="I1139" s="13" t="s">
        <v>2305</v>
      </c>
      <c r="J1139" s="4">
        <v>90260</v>
      </c>
      <c r="K1139" s="4">
        <v>1</v>
      </c>
      <c r="L1139" s="4">
        <v>13</v>
      </c>
      <c r="M1139" s="4">
        <v>2016</v>
      </c>
      <c r="N1139" s="4">
        <v>1</v>
      </c>
      <c r="O1139" s="4">
        <v>2</v>
      </c>
      <c r="P1139" s="4">
        <v>2</v>
      </c>
      <c r="Q1139" s="19">
        <v>269.99</v>
      </c>
      <c r="R1139" s="16">
        <v>0.05</v>
      </c>
      <c r="S1139" s="16">
        <v>539.93000000000006</v>
      </c>
      <c r="T1139" s="5" t="s">
        <v>18</v>
      </c>
      <c r="U1139" s="13" t="s">
        <v>301</v>
      </c>
    </row>
    <row r="1140" spans="1:21" x14ac:dyDescent="0.35">
      <c r="A1140" s="4">
        <v>1139</v>
      </c>
      <c r="B1140" s="4">
        <v>1006</v>
      </c>
      <c r="C1140" s="13" t="s">
        <v>1944</v>
      </c>
      <c r="D1140" s="13" t="s">
        <v>1945</v>
      </c>
      <c r="E1140" s="5" t="s">
        <v>5566</v>
      </c>
      <c r="F1140" s="5" t="s">
        <v>4848</v>
      </c>
      <c r="G1140" s="5" t="s">
        <v>4849</v>
      </c>
      <c r="H1140" s="13" t="s">
        <v>2885</v>
      </c>
      <c r="I1140" s="13" t="s">
        <v>2305</v>
      </c>
      <c r="J1140" s="4">
        <v>92307</v>
      </c>
      <c r="K1140" s="4">
        <v>1</v>
      </c>
      <c r="L1140" s="4">
        <v>106</v>
      </c>
      <c r="M1140" s="4">
        <v>2017</v>
      </c>
      <c r="N1140" s="4">
        <v>1</v>
      </c>
      <c r="O1140" s="4">
        <v>2</v>
      </c>
      <c r="P1140" s="4">
        <v>2</v>
      </c>
      <c r="Q1140" s="19">
        <v>449.99</v>
      </c>
      <c r="R1140" s="16">
        <v>0.05</v>
      </c>
      <c r="S1140" s="16">
        <v>899.93000000000006</v>
      </c>
      <c r="T1140" s="5" t="s">
        <v>69</v>
      </c>
      <c r="U1140" s="13" t="s">
        <v>300</v>
      </c>
    </row>
    <row r="1141" spans="1:21" x14ac:dyDescent="0.35">
      <c r="A1141" s="4">
        <v>1140</v>
      </c>
      <c r="B1141" s="4">
        <v>1063</v>
      </c>
      <c r="C1141" s="13" t="s">
        <v>1946</v>
      </c>
      <c r="D1141" s="13" t="s">
        <v>856</v>
      </c>
      <c r="E1141" s="5" t="s">
        <v>5566</v>
      </c>
      <c r="F1141" s="5" t="s">
        <v>4850</v>
      </c>
      <c r="G1141" s="5" t="s">
        <v>4851</v>
      </c>
      <c r="H1141" s="13" t="s">
        <v>2559</v>
      </c>
      <c r="I1141" s="13" t="s">
        <v>2397</v>
      </c>
      <c r="J1141" s="4">
        <v>77566</v>
      </c>
      <c r="K1141" s="4">
        <v>1</v>
      </c>
      <c r="L1141" s="4">
        <v>39</v>
      </c>
      <c r="M1141" s="4">
        <v>2017</v>
      </c>
      <c r="N1141" s="4">
        <v>3</v>
      </c>
      <c r="O1141" s="4">
        <v>8</v>
      </c>
      <c r="P1141" s="4">
        <v>2</v>
      </c>
      <c r="Q1141" s="19">
        <v>1499.99</v>
      </c>
      <c r="R1141" s="16">
        <v>0.1</v>
      </c>
      <c r="S1141" s="16">
        <v>2999.88</v>
      </c>
      <c r="T1141" s="5" t="s">
        <v>40</v>
      </c>
      <c r="U1141" s="13" t="s">
        <v>304</v>
      </c>
    </row>
    <row r="1142" spans="1:21" x14ac:dyDescent="0.35">
      <c r="A1142" s="4">
        <v>1141</v>
      </c>
      <c r="B1142" s="4">
        <v>1076</v>
      </c>
      <c r="C1142" s="13" t="s">
        <v>1947</v>
      </c>
      <c r="D1142" s="13" t="s">
        <v>1483</v>
      </c>
      <c r="E1142" s="5" t="s">
        <v>5566</v>
      </c>
      <c r="F1142" s="5" t="s">
        <v>4852</v>
      </c>
      <c r="G1142" s="5" t="s">
        <v>4853</v>
      </c>
      <c r="H1142" s="13" t="s">
        <v>2989</v>
      </c>
      <c r="I1142" s="13" t="s">
        <v>2305</v>
      </c>
      <c r="J1142" s="4">
        <v>92083</v>
      </c>
      <c r="K1142" s="4">
        <v>1</v>
      </c>
      <c r="L1142" s="4">
        <v>8</v>
      </c>
      <c r="M1142" s="4">
        <v>2016</v>
      </c>
      <c r="N1142" s="4">
        <v>1</v>
      </c>
      <c r="O1142" s="4">
        <v>2</v>
      </c>
      <c r="P1142" s="4">
        <v>1</v>
      </c>
      <c r="Q1142" s="19">
        <v>1799.99</v>
      </c>
      <c r="R1142" s="16">
        <v>0.1</v>
      </c>
      <c r="S1142" s="16">
        <v>1799.89</v>
      </c>
      <c r="T1142" s="5" t="s">
        <v>13</v>
      </c>
      <c r="U1142" s="13" t="s">
        <v>304</v>
      </c>
    </row>
    <row r="1143" spans="1:21" x14ac:dyDescent="0.35">
      <c r="A1143" s="4">
        <v>1142</v>
      </c>
      <c r="B1143" s="4">
        <v>554</v>
      </c>
      <c r="C1143" s="13" t="s">
        <v>1948</v>
      </c>
      <c r="D1143" s="13" t="s">
        <v>385</v>
      </c>
      <c r="E1143" s="5" t="s">
        <v>5566</v>
      </c>
      <c r="F1143" s="5" t="s">
        <v>4854</v>
      </c>
      <c r="G1143" s="5" t="s">
        <v>4855</v>
      </c>
      <c r="H1143" s="13" t="s">
        <v>1822</v>
      </c>
      <c r="I1143" s="13" t="s">
        <v>2305</v>
      </c>
      <c r="J1143" s="4">
        <v>95008</v>
      </c>
      <c r="K1143" s="4">
        <v>1</v>
      </c>
      <c r="L1143" s="4">
        <v>20</v>
      </c>
      <c r="M1143" s="4">
        <v>2016</v>
      </c>
      <c r="N1143" s="4">
        <v>1</v>
      </c>
      <c r="O1143" s="4">
        <v>3</v>
      </c>
      <c r="P1143" s="4">
        <v>2</v>
      </c>
      <c r="Q1143" s="19">
        <v>599.99</v>
      </c>
      <c r="R1143" s="16">
        <v>7.0000000000000007E-2</v>
      </c>
      <c r="S1143" s="16">
        <v>1199.9100000000001</v>
      </c>
      <c r="T1143" s="5" t="s">
        <v>25</v>
      </c>
      <c r="U1143" s="13" t="s">
        <v>301</v>
      </c>
    </row>
    <row r="1144" spans="1:21" x14ac:dyDescent="0.35">
      <c r="A1144" s="4">
        <v>1143</v>
      </c>
      <c r="B1144" s="4">
        <v>1087</v>
      </c>
      <c r="C1144" s="13" t="s">
        <v>1949</v>
      </c>
      <c r="D1144" s="13" t="s">
        <v>1950</v>
      </c>
      <c r="E1144" s="5" t="s">
        <v>5566</v>
      </c>
      <c r="F1144" s="5" t="s">
        <v>4856</v>
      </c>
      <c r="G1144" s="5" t="s">
        <v>4857</v>
      </c>
      <c r="H1144" s="13" t="s">
        <v>2304</v>
      </c>
      <c r="I1144" s="13" t="s">
        <v>2305</v>
      </c>
      <c r="J1144" s="4">
        <v>94566</v>
      </c>
      <c r="K1144" s="4">
        <v>1</v>
      </c>
      <c r="L1144" s="4">
        <v>99</v>
      </c>
      <c r="M1144" s="4">
        <v>2017</v>
      </c>
      <c r="N1144" s="4">
        <v>1</v>
      </c>
      <c r="O1144" s="4">
        <v>2</v>
      </c>
      <c r="P1144" s="4">
        <v>1</v>
      </c>
      <c r="Q1144" s="19">
        <v>299.99</v>
      </c>
      <c r="R1144" s="16">
        <v>0.2</v>
      </c>
      <c r="S1144" s="16">
        <v>299.79000000000002</v>
      </c>
      <c r="T1144" s="5" t="s">
        <v>99</v>
      </c>
      <c r="U1144" s="13" t="s">
        <v>299</v>
      </c>
    </row>
    <row r="1145" spans="1:21" x14ac:dyDescent="0.35">
      <c r="A1145" s="4">
        <v>1144</v>
      </c>
      <c r="B1145" s="4">
        <v>1414</v>
      </c>
      <c r="C1145" s="13" t="s">
        <v>1951</v>
      </c>
      <c r="D1145" s="13" t="s">
        <v>1952</v>
      </c>
      <c r="E1145" s="5" t="s">
        <v>5566</v>
      </c>
      <c r="F1145" s="5" t="s">
        <v>4858</v>
      </c>
      <c r="G1145" s="5" t="s">
        <v>4859</v>
      </c>
      <c r="H1145" s="13" t="s">
        <v>2663</v>
      </c>
      <c r="I1145" s="13" t="s">
        <v>2309</v>
      </c>
      <c r="J1145" s="4">
        <v>12804</v>
      </c>
      <c r="K1145" s="4">
        <v>1</v>
      </c>
      <c r="L1145" s="4">
        <v>88</v>
      </c>
      <c r="M1145" s="4">
        <v>2017</v>
      </c>
      <c r="N1145" s="4">
        <v>2</v>
      </c>
      <c r="O1145" s="4">
        <v>7</v>
      </c>
      <c r="P1145" s="4">
        <v>1</v>
      </c>
      <c r="Q1145" s="19">
        <v>189.99</v>
      </c>
      <c r="R1145" s="16">
        <v>7.0000000000000007E-2</v>
      </c>
      <c r="S1145" s="16">
        <v>189.92000000000002</v>
      </c>
      <c r="T1145" s="5" t="s">
        <v>89</v>
      </c>
      <c r="U1145" s="13" t="s">
        <v>299</v>
      </c>
    </row>
    <row r="1146" spans="1:21" x14ac:dyDescent="0.35">
      <c r="A1146" s="4">
        <v>1145</v>
      </c>
      <c r="B1146" s="4">
        <v>617</v>
      </c>
      <c r="C1146" s="13" t="s">
        <v>1953</v>
      </c>
      <c r="D1146" s="13" t="s">
        <v>527</v>
      </c>
      <c r="E1146" s="5" t="s">
        <v>5566</v>
      </c>
      <c r="F1146" s="5" t="s">
        <v>4860</v>
      </c>
      <c r="G1146" s="5" t="s">
        <v>4861</v>
      </c>
      <c r="H1146" s="13" t="s">
        <v>3185</v>
      </c>
      <c r="I1146" s="13" t="s">
        <v>2309</v>
      </c>
      <c r="J1146" s="4">
        <v>10598</v>
      </c>
      <c r="K1146" s="4">
        <v>1</v>
      </c>
      <c r="L1146" s="4">
        <v>105</v>
      </c>
      <c r="M1146" s="4">
        <v>2017</v>
      </c>
      <c r="N1146" s="4">
        <v>2</v>
      </c>
      <c r="O1146" s="4">
        <v>6</v>
      </c>
      <c r="P1146" s="4">
        <v>2</v>
      </c>
      <c r="Q1146" s="19">
        <v>533.99</v>
      </c>
      <c r="R1146" s="16">
        <v>7.0000000000000007E-2</v>
      </c>
      <c r="S1146" s="16">
        <v>1067.9100000000001</v>
      </c>
      <c r="T1146" s="5" t="s">
        <v>104</v>
      </c>
      <c r="U1146" s="13" t="s">
        <v>300</v>
      </c>
    </row>
    <row r="1147" spans="1:21" x14ac:dyDescent="0.35">
      <c r="A1147" s="4">
        <v>1146</v>
      </c>
      <c r="B1147" s="4">
        <v>757</v>
      </c>
      <c r="C1147" s="13" t="s">
        <v>1954</v>
      </c>
      <c r="D1147" s="13" t="s">
        <v>412</v>
      </c>
      <c r="E1147" s="5" t="s">
        <v>5566</v>
      </c>
      <c r="F1147" s="5" t="s">
        <v>4862</v>
      </c>
      <c r="G1147" s="5" t="s">
        <v>4863</v>
      </c>
      <c r="H1147" s="13" t="s">
        <v>3258</v>
      </c>
      <c r="I1147" s="13" t="s">
        <v>2309</v>
      </c>
      <c r="J1147" s="4">
        <v>11756</v>
      </c>
      <c r="K1147" s="4">
        <v>1</v>
      </c>
      <c r="L1147" s="4">
        <v>36</v>
      </c>
      <c r="M1147" s="4">
        <v>2017</v>
      </c>
      <c r="N1147" s="4">
        <v>2</v>
      </c>
      <c r="O1147" s="4">
        <v>7</v>
      </c>
      <c r="P1147" s="4">
        <v>1</v>
      </c>
      <c r="Q1147" s="19">
        <v>832.99</v>
      </c>
      <c r="R1147" s="16">
        <v>7.0000000000000007E-2</v>
      </c>
      <c r="S1147" s="16">
        <v>832.92</v>
      </c>
      <c r="T1147" s="5" t="s">
        <v>37</v>
      </c>
      <c r="U1147" s="13" t="s">
        <v>304</v>
      </c>
    </row>
    <row r="1148" spans="1:21" x14ac:dyDescent="0.35">
      <c r="A1148" s="4">
        <v>1147</v>
      </c>
      <c r="B1148" s="4">
        <v>1344</v>
      </c>
      <c r="C1148" s="13" t="s">
        <v>1955</v>
      </c>
      <c r="D1148" s="13" t="s">
        <v>1956</v>
      </c>
      <c r="E1148" s="5" t="s">
        <v>5566</v>
      </c>
      <c r="F1148" s="5" t="s">
        <v>4864</v>
      </c>
      <c r="G1148" s="5" t="s">
        <v>4865</v>
      </c>
      <c r="H1148" s="13" t="s">
        <v>2690</v>
      </c>
      <c r="I1148" s="13" t="s">
        <v>2309</v>
      </c>
      <c r="J1148" s="4">
        <v>11414</v>
      </c>
      <c r="K1148" s="4">
        <v>1</v>
      </c>
      <c r="L1148" s="4">
        <v>82</v>
      </c>
      <c r="M1148" s="4">
        <v>2017</v>
      </c>
      <c r="N1148" s="4">
        <v>2</v>
      </c>
      <c r="O1148" s="4">
        <v>6</v>
      </c>
      <c r="P1148" s="4">
        <v>1</v>
      </c>
      <c r="Q1148" s="19">
        <v>659.99</v>
      </c>
      <c r="R1148" s="16">
        <v>0.2</v>
      </c>
      <c r="S1148" s="16">
        <v>659.79</v>
      </c>
      <c r="T1148" s="5" t="s">
        <v>83</v>
      </c>
      <c r="U1148" s="13" t="s">
        <v>301</v>
      </c>
    </row>
    <row r="1149" spans="1:21" x14ac:dyDescent="0.35">
      <c r="A1149" s="4">
        <v>1148</v>
      </c>
      <c r="B1149" s="4">
        <v>1379</v>
      </c>
      <c r="C1149" s="13" t="s">
        <v>1845</v>
      </c>
      <c r="D1149" s="13" t="s">
        <v>1072</v>
      </c>
      <c r="E1149" s="5" t="s">
        <v>5566</v>
      </c>
      <c r="F1149" s="5" t="s">
        <v>4866</v>
      </c>
      <c r="G1149" s="5" t="s">
        <v>4867</v>
      </c>
      <c r="H1149" s="13" t="s">
        <v>2945</v>
      </c>
      <c r="I1149" s="13" t="s">
        <v>2309</v>
      </c>
      <c r="J1149" s="4">
        <v>11104</v>
      </c>
      <c r="K1149" s="4">
        <v>1</v>
      </c>
      <c r="L1149" s="4">
        <v>82</v>
      </c>
      <c r="M1149" s="4">
        <v>2017</v>
      </c>
      <c r="N1149" s="4">
        <v>2</v>
      </c>
      <c r="O1149" s="4">
        <v>7</v>
      </c>
      <c r="P1149" s="4">
        <v>1</v>
      </c>
      <c r="Q1149" s="19">
        <v>659.99</v>
      </c>
      <c r="R1149" s="16">
        <v>7.0000000000000007E-2</v>
      </c>
      <c r="S1149" s="16">
        <v>659.92</v>
      </c>
      <c r="T1149" s="5" t="s">
        <v>83</v>
      </c>
      <c r="U1149" s="13" t="s">
        <v>301</v>
      </c>
    </row>
    <row r="1150" spans="1:21" x14ac:dyDescent="0.35">
      <c r="A1150" s="4">
        <v>1149</v>
      </c>
      <c r="B1150" s="4">
        <v>787</v>
      </c>
      <c r="C1150" s="13" t="s">
        <v>1957</v>
      </c>
      <c r="D1150" s="13" t="s">
        <v>1958</v>
      </c>
      <c r="E1150" s="5" t="s">
        <v>5566</v>
      </c>
      <c r="F1150" s="5" t="s">
        <v>4868</v>
      </c>
      <c r="G1150" s="5" t="s">
        <v>4869</v>
      </c>
      <c r="H1150" s="13" t="s">
        <v>2368</v>
      </c>
      <c r="I1150" s="13" t="s">
        <v>2309</v>
      </c>
      <c r="J1150" s="4">
        <v>10550</v>
      </c>
      <c r="K1150" s="4">
        <v>1</v>
      </c>
      <c r="L1150" s="4">
        <v>98</v>
      </c>
      <c r="M1150" s="4">
        <v>2017</v>
      </c>
      <c r="N1150" s="4">
        <v>2</v>
      </c>
      <c r="O1150" s="4">
        <v>7</v>
      </c>
      <c r="P1150" s="4">
        <v>2</v>
      </c>
      <c r="Q1150" s="19">
        <v>489.99</v>
      </c>
      <c r="R1150" s="16">
        <v>7.0000000000000007E-2</v>
      </c>
      <c r="S1150" s="16">
        <v>979.91</v>
      </c>
      <c r="T1150" s="5" t="s">
        <v>98</v>
      </c>
      <c r="U1150" s="13" t="s">
        <v>299</v>
      </c>
    </row>
    <row r="1151" spans="1:21" x14ac:dyDescent="0.35">
      <c r="A1151" s="4">
        <v>1150</v>
      </c>
      <c r="B1151" s="4">
        <v>1183</v>
      </c>
      <c r="C1151" s="13" t="s">
        <v>1389</v>
      </c>
      <c r="D1151" s="13" t="s">
        <v>1959</v>
      </c>
      <c r="E1151" s="5" t="s">
        <v>5566</v>
      </c>
      <c r="F1151" s="5" t="s">
        <v>4870</v>
      </c>
      <c r="G1151" s="5" t="s">
        <v>4871</v>
      </c>
      <c r="H1151" s="13" t="s">
        <v>2393</v>
      </c>
      <c r="I1151" s="13" t="s">
        <v>2309</v>
      </c>
      <c r="J1151" s="4">
        <v>11566</v>
      </c>
      <c r="K1151" s="4">
        <v>1</v>
      </c>
      <c r="L1151" s="4">
        <v>29</v>
      </c>
      <c r="M1151" s="4">
        <v>2017</v>
      </c>
      <c r="N1151" s="4">
        <v>2</v>
      </c>
      <c r="O1151" s="4">
        <v>7</v>
      </c>
      <c r="P1151" s="4">
        <v>1</v>
      </c>
      <c r="Q1151" s="19">
        <v>999.99</v>
      </c>
      <c r="R1151" s="16">
        <v>0.05</v>
      </c>
      <c r="S1151" s="16">
        <v>999.94</v>
      </c>
      <c r="T1151" s="5" t="s">
        <v>30</v>
      </c>
      <c r="U1151" s="13" t="s">
        <v>304</v>
      </c>
    </row>
    <row r="1152" spans="1:21" x14ac:dyDescent="0.35">
      <c r="A1152" s="4">
        <v>1151</v>
      </c>
      <c r="B1152" s="4">
        <v>708</v>
      </c>
      <c r="C1152" s="13" t="s">
        <v>971</v>
      </c>
      <c r="D1152" s="13" t="s">
        <v>734</v>
      </c>
      <c r="E1152" s="5" t="s">
        <v>5566</v>
      </c>
      <c r="F1152" s="5" t="s">
        <v>4872</v>
      </c>
      <c r="G1152" s="5" t="s">
        <v>4873</v>
      </c>
      <c r="H1152" s="13" t="s">
        <v>2885</v>
      </c>
      <c r="I1152" s="13" t="s">
        <v>2305</v>
      </c>
      <c r="J1152" s="4">
        <v>92307</v>
      </c>
      <c r="K1152" s="4">
        <v>1</v>
      </c>
      <c r="L1152" s="4">
        <v>30</v>
      </c>
      <c r="M1152" s="4">
        <v>2017</v>
      </c>
      <c r="N1152" s="4">
        <v>1</v>
      </c>
      <c r="O1152" s="4">
        <v>3</v>
      </c>
      <c r="P1152" s="4">
        <v>2</v>
      </c>
      <c r="Q1152" s="19">
        <v>999.99</v>
      </c>
      <c r="R1152" s="16">
        <v>0.05</v>
      </c>
      <c r="S1152" s="16">
        <v>1999.93</v>
      </c>
      <c r="T1152" s="5" t="s">
        <v>31</v>
      </c>
      <c r="U1152" s="13" t="s">
        <v>304</v>
      </c>
    </row>
    <row r="1153" spans="1:21" x14ac:dyDescent="0.35">
      <c r="A1153" s="4">
        <v>1152</v>
      </c>
      <c r="B1153" s="4">
        <v>1244</v>
      </c>
      <c r="C1153" s="13" t="s">
        <v>1960</v>
      </c>
      <c r="D1153" s="13" t="s">
        <v>872</v>
      </c>
      <c r="E1153" s="5" t="s">
        <v>5566</v>
      </c>
      <c r="F1153" s="5" t="s">
        <v>4874</v>
      </c>
      <c r="G1153" s="5" t="s">
        <v>4875</v>
      </c>
      <c r="H1153" s="13" t="s">
        <v>4270</v>
      </c>
      <c r="I1153" s="13" t="s">
        <v>2309</v>
      </c>
      <c r="J1153" s="4">
        <v>14043</v>
      </c>
      <c r="K1153" s="4">
        <v>1</v>
      </c>
      <c r="L1153" s="4">
        <v>58</v>
      </c>
      <c r="M1153" s="4">
        <v>2017</v>
      </c>
      <c r="N1153" s="4">
        <v>2</v>
      </c>
      <c r="O1153" s="4">
        <v>6</v>
      </c>
      <c r="P1153" s="4">
        <v>1</v>
      </c>
      <c r="Q1153" s="19">
        <v>4999.99</v>
      </c>
      <c r="R1153" s="16">
        <v>7.0000000000000007E-2</v>
      </c>
      <c r="S1153" s="16">
        <v>4999.92</v>
      </c>
      <c r="T1153" s="5" t="s">
        <v>59</v>
      </c>
      <c r="U1153" s="13" t="s">
        <v>305</v>
      </c>
    </row>
    <row r="1154" spans="1:21" x14ac:dyDescent="0.35">
      <c r="A1154" s="4">
        <v>1153</v>
      </c>
      <c r="B1154" s="4">
        <v>720</v>
      </c>
      <c r="C1154" s="13" t="s">
        <v>589</v>
      </c>
      <c r="D1154" s="13" t="s">
        <v>1961</v>
      </c>
      <c r="E1154" s="5" t="s">
        <v>4876</v>
      </c>
      <c r="F1154" s="5" t="s">
        <v>4877</v>
      </c>
      <c r="G1154" s="5" t="s">
        <v>4878</v>
      </c>
      <c r="H1154" s="13" t="s">
        <v>2476</v>
      </c>
      <c r="I1154" s="13" t="s">
        <v>2309</v>
      </c>
      <c r="J1154" s="4">
        <v>14606</v>
      </c>
      <c r="K1154" s="4">
        <v>1</v>
      </c>
      <c r="L1154" s="4">
        <v>103</v>
      </c>
      <c r="M1154" s="4">
        <v>2017</v>
      </c>
      <c r="N1154" s="4">
        <v>2</v>
      </c>
      <c r="O1154" s="4">
        <v>7</v>
      </c>
      <c r="P1154" s="4">
        <v>1</v>
      </c>
      <c r="Q1154" s="19">
        <v>551.99</v>
      </c>
      <c r="R1154" s="16">
        <v>0.1</v>
      </c>
      <c r="S1154" s="16">
        <v>551.89</v>
      </c>
      <c r="T1154" s="5" t="s">
        <v>102</v>
      </c>
      <c r="U1154" s="13" t="s">
        <v>300</v>
      </c>
    </row>
    <row r="1155" spans="1:21" x14ac:dyDescent="0.35">
      <c r="A1155" s="4">
        <v>1154</v>
      </c>
      <c r="B1155" s="4">
        <v>789</v>
      </c>
      <c r="C1155" s="13" t="s">
        <v>1962</v>
      </c>
      <c r="D1155" s="13" t="s">
        <v>1950</v>
      </c>
      <c r="E1155" s="5" t="s">
        <v>5566</v>
      </c>
      <c r="F1155" s="5" t="s">
        <v>4879</v>
      </c>
      <c r="G1155" s="5" t="s">
        <v>4880</v>
      </c>
      <c r="H1155" s="13" t="s">
        <v>2344</v>
      </c>
      <c r="I1155" s="13" t="s">
        <v>2309</v>
      </c>
      <c r="J1155" s="4">
        <v>14304</v>
      </c>
      <c r="K1155" s="4">
        <v>1</v>
      </c>
      <c r="L1155" s="4">
        <v>17</v>
      </c>
      <c r="M1155" s="4">
        <v>2016</v>
      </c>
      <c r="N1155" s="4">
        <v>2</v>
      </c>
      <c r="O1155" s="4">
        <v>7</v>
      </c>
      <c r="P1155" s="4">
        <v>1</v>
      </c>
      <c r="Q1155" s="19">
        <v>429</v>
      </c>
      <c r="R1155" s="16">
        <v>0.2</v>
      </c>
      <c r="S1155" s="16">
        <v>428.8</v>
      </c>
      <c r="T1155" s="5" t="s">
        <v>22</v>
      </c>
      <c r="U1155" s="13" t="s">
        <v>301</v>
      </c>
    </row>
    <row r="1156" spans="1:21" x14ac:dyDescent="0.35">
      <c r="A1156" s="4">
        <v>1155</v>
      </c>
      <c r="B1156" s="4">
        <v>865</v>
      </c>
      <c r="C1156" s="13" t="s">
        <v>1963</v>
      </c>
      <c r="D1156" s="13" t="s">
        <v>1236</v>
      </c>
      <c r="E1156" s="5" t="s">
        <v>5566</v>
      </c>
      <c r="F1156" s="5" t="s">
        <v>4881</v>
      </c>
      <c r="G1156" s="5" t="s">
        <v>4882</v>
      </c>
      <c r="H1156" s="13" t="s">
        <v>3156</v>
      </c>
      <c r="I1156" s="13" t="s">
        <v>2309</v>
      </c>
      <c r="J1156" s="4">
        <v>11102</v>
      </c>
      <c r="K1156" s="4">
        <v>1</v>
      </c>
      <c r="L1156" s="4">
        <v>68</v>
      </c>
      <c r="M1156" s="4">
        <v>2017</v>
      </c>
      <c r="N1156" s="4">
        <v>2</v>
      </c>
      <c r="O1156" s="4">
        <v>7</v>
      </c>
      <c r="P1156" s="4">
        <v>2</v>
      </c>
      <c r="Q1156" s="19">
        <v>449.99</v>
      </c>
      <c r="R1156" s="16">
        <v>0.05</v>
      </c>
      <c r="S1156" s="16">
        <v>899.93000000000006</v>
      </c>
      <c r="T1156" s="5" t="s">
        <v>69</v>
      </c>
      <c r="U1156" s="13" t="s">
        <v>301</v>
      </c>
    </row>
    <row r="1157" spans="1:21" x14ac:dyDescent="0.35">
      <c r="A1157" s="4">
        <v>1156</v>
      </c>
      <c r="B1157" s="4">
        <v>869</v>
      </c>
      <c r="C1157" s="13" t="s">
        <v>1964</v>
      </c>
      <c r="D1157" s="13" t="s">
        <v>645</v>
      </c>
      <c r="E1157" s="5" t="s">
        <v>5566</v>
      </c>
      <c r="F1157" s="5" t="s">
        <v>4883</v>
      </c>
      <c r="G1157" s="5" t="s">
        <v>4884</v>
      </c>
      <c r="H1157" s="13" t="s">
        <v>2387</v>
      </c>
      <c r="I1157" s="13" t="s">
        <v>2309</v>
      </c>
      <c r="J1157" s="4">
        <v>11418</v>
      </c>
      <c r="K1157" s="4">
        <v>1</v>
      </c>
      <c r="L1157" s="4">
        <v>111</v>
      </c>
      <c r="M1157" s="4">
        <v>2017</v>
      </c>
      <c r="N1157" s="4">
        <v>2</v>
      </c>
      <c r="O1157" s="4">
        <v>7</v>
      </c>
      <c r="P1157" s="4">
        <v>2</v>
      </c>
      <c r="Q1157" s="19">
        <v>470.99</v>
      </c>
      <c r="R1157" s="16">
        <v>0.05</v>
      </c>
      <c r="S1157" s="16">
        <v>941.93000000000006</v>
      </c>
      <c r="T1157" s="5" t="s">
        <v>108</v>
      </c>
      <c r="U1157" s="13" t="s">
        <v>300</v>
      </c>
    </row>
    <row r="1158" spans="1:21" x14ac:dyDescent="0.35">
      <c r="A1158" s="4">
        <v>1157</v>
      </c>
      <c r="B1158" s="4">
        <v>24</v>
      </c>
      <c r="C1158" s="13" t="s">
        <v>403</v>
      </c>
      <c r="D1158" s="13" t="s">
        <v>671</v>
      </c>
      <c r="E1158" s="5" t="s">
        <v>5566</v>
      </c>
      <c r="F1158" s="5" t="s">
        <v>2810</v>
      </c>
      <c r="G1158" s="5" t="s">
        <v>2811</v>
      </c>
      <c r="H1158" s="13" t="s">
        <v>2484</v>
      </c>
      <c r="I1158" s="13" t="s">
        <v>2305</v>
      </c>
      <c r="J1158" s="4">
        <v>95301</v>
      </c>
      <c r="K1158" s="4">
        <v>1</v>
      </c>
      <c r="L1158" s="4">
        <v>20</v>
      </c>
      <c r="M1158" s="4">
        <v>2016</v>
      </c>
      <c r="N1158" s="4">
        <v>1</v>
      </c>
      <c r="O1158" s="4">
        <v>3</v>
      </c>
      <c r="P1158" s="4">
        <v>1</v>
      </c>
      <c r="Q1158" s="19">
        <v>599.99</v>
      </c>
      <c r="R1158" s="16">
        <v>0.1</v>
      </c>
      <c r="S1158" s="16">
        <v>599.89</v>
      </c>
      <c r="T1158" s="5" t="s">
        <v>25</v>
      </c>
      <c r="U1158" s="13" t="s">
        <v>301</v>
      </c>
    </row>
    <row r="1159" spans="1:21" x14ac:dyDescent="0.35">
      <c r="A1159" s="4">
        <v>1158</v>
      </c>
      <c r="B1159" s="4">
        <v>889</v>
      </c>
      <c r="C1159" s="13" t="s">
        <v>1965</v>
      </c>
      <c r="D1159" s="13" t="s">
        <v>1884</v>
      </c>
      <c r="E1159" s="5" t="s">
        <v>5566</v>
      </c>
      <c r="F1159" s="5" t="s">
        <v>4885</v>
      </c>
      <c r="G1159" s="5" t="s">
        <v>4886</v>
      </c>
      <c r="H1159" s="13" t="s">
        <v>2330</v>
      </c>
      <c r="I1159" s="13" t="s">
        <v>2305</v>
      </c>
      <c r="J1159" s="4">
        <v>94070</v>
      </c>
      <c r="K1159" s="4">
        <v>1</v>
      </c>
      <c r="L1159" s="4">
        <v>95</v>
      </c>
      <c r="M1159" s="4">
        <v>2017</v>
      </c>
      <c r="N1159" s="4">
        <v>1</v>
      </c>
      <c r="O1159" s="4">
        <v>2</v>
      </c>
      <c r="P1159" s="4">
        <v>2</v>
      </c>
      <c r="Q1159" s="19">
        <v>299.99</v>
      </c>
      <c r="R1159" s="16">
        <v>0.1</v>
      </c>
      <c r="S1159" s="16">
        <v>599.88</v>
      </c>
      <c r="T1159" s="5" t="s">
        <v>77</v>
      </c>
      <c r="U1159" s="13" t="s">
        <v>299</v>
      </c>
    </row>
    <row r="1160" spans="1:21" x14ac:dyDescent="0.35">
      <c r="A1160" s="4">
        <v>1159</v>
      </c>
      <c r="B1160" s="4">
        <v>1221</v>
      </c>
      <c r="C1160" s="13" t="s">
        <v>1966</v>
      </c>
      <c r="D1160" s="13" t="s">
        <v>1967</v>
      </c>
      <c r="E1160" s="5" t="s">
        <v>5566</v>
      </c>
      <c r="F1160" s="5" t="s">
        <v>4887</v>
      </c>
      <c r="G1160" s="5" t="s">
        <v>4888</v>
      </c>
      <c r="H1160" s="13" t="s">
        <v>2885</v>
      </c>
      <c r="I1160" s="13" t="s">
        <v>2305</v>
      </c>
      <c r="J1160" s="4">
        <v>92307</v>
      </c>
      <c r="K1160" s="4">
        <v>1</v>
      </c>
      <c r="L1160" s="4">
        <v>12</v>
      </c>
      <c r="M1160" s="4">
        <v>2016</v>
      </c>
      <c r="N1160" s="4">
        <v>1</v>
      </c>
      <c r="O1160" s="4">
        <v>3</v>
      </c>
      <c r="P1160" s="4">
        <v>2</v>
      </c>
      <c r="Q1160" s="19">
        <v>549.99</v>
      </c>
      <c r="R1160" s="16">
        <v>0.1</v>
      </c>
      <c r="S1160" s="16">
        <v>1099.8800000000001</v>
      </c>
      <c r="T1160" s="5" t="s">
        <v>17</v>
      </c>
      <c r="U1160" s="13" t="s">
        <v>301</v>
      </c>
    </row>
    <row r="1161" spans="1:21" x14ac:dyDescent="0.35">
      <c r="A1161" s="4">
        <v>1160</v>
      </c>
      <c r="B1161" s="4">
        <v>1262</v>
      </c>
      <c r="C1161" s="13" t="s">
        <v>1968</v>
      </c>
      <c r="D1161" s="13" t="s">
        <v>523</v>
      </c>
      <c r="E1161" s="5" t="s">
        <v>5566</v>
      </c>
      <c r="F1161" s="5" t="s">
        <v>4889</v>
      </c>
      <c r="G1161" s="5" t="s">
        <v>4890</v>
      </c>
      <c r="H1161" s="13" t="s">
        <v>2564</v>
      </c>
      <c r="I1161" s="13" t="s">
        <v>2305</v>
      </c>
      <c r="J1161" s="4">
        <v>94806</v>
      </c>
      <c r="K1161" s="4">
        <v>1</v>
      </c>
      <c r="L1161" s="4">
        <v>41</v>
      </c>
      <c r="M1161" s="4">
        <v>2017</v>
      </c>
      <c r="N1161" s="4">
        <v>1</v>
      </c>
      <c r="O1161" s="4">
        <v>2</v>
      </c>
      <c r="P1161" s="4">
        <v>1</v>
      </c>
      <c r="Q1161" s="19">
        <v>1469.99</v>
      </c>
      <c r="R1161" s="16">
        <v>0.1</v>
      </c>
      <c r="S1161" s="16">
        <v>1469.89</v>
      </c>
      <c r="T1161" s="5" t="s">
        <v>42</v>
      </c>
      <c r="U1161" s="13" t="s">
        <v>304</v>
      </c>
    </row>
    <row r="1162" spans="1:21" x14ac:dyDescent="0.35">
      <c r="A1162" s="4">
        <v>1161</v>
      </c>
      <c r="B1162" s="4">
        <v>41</v>
      </c>
      <c r="C1162" s="13" t="s">
        <v>1969</v>
      </c>
      <c r="D1162" s="13" t="s">
        <v>1970</v>
      </c>
      <c r="E1162" s="5" t="s">
        <v>5566</v>
      </c>
      <c r="F1162" s="5" t="s">
        <v>4891</v>
      </c>
      <c r="G1162" s="5" t="s">
        <v>4892</v>
      </c>
      <c r="H1162" s="13" t="s">
        <v>2663</v>
      </c>
      <c r="I1162" s="13" t="s">
        <v>2309</v>
      </c>
      <c r="J1162" s="4">
        <v>12804</v>
      </c>
      <c r="K1162" s="4">
        <v>1</v>
      </c>
      <c r="L1162" s="4">
        <v>71</v>
      </c>
      <c r="M1162" s="4">
        <v>2017</v>
      </c>
      <c r="N1162" s="4">
        <v>2</v>
      </c>
      <c r="O1162" s="4">
        <v>7</v>
      </c>
      <c r="P1162" s="4">
        <v>2</v>
      </c>
      <c r="Q1162" s="19">
        <v>416.99</v>
      </c>
      <c r="R1162" s="16">
        <v>0.1</v>
      </c>
      <c r="S1162" s="16">
        <v>833.88</v>
      </c>
      <c r="T1162" s="5" t="s">
        <v>72</v>
      </c>
      <c r="U1162" s="13" t="s">
        <v>301</v>
      </c>
    </row>
    <row r="1163" spans="1:21" x14ac:dyDescent="0.35">
      <c r="A1163" s="4">
        <v>1162</v>
      </c>
      <c r="B1163" s="4">
        <v>888</v>
      </c>
      <c r="C1163" s="13" t="s">
        <v>1971</v>
      </c>
      <c r="D1163" s="13" t="s">
        <v>1972</v>
      </c>
      <c r="E1163" s="5" t="s">
        <v>5566</v>
      </c>
      <c r="F1163" s="5" t="s">
        <v>4893</v>
      </c>
      <c r="G1163" s="5" t="s">
        <v>4894</v>
      </c>
      <c r="H1163" s="13" t="s">
        <v>1457</v>
      </c>
      <c r="I1163" s="13" t="s">
        <v>2309</v>
      </c>
      <c r="J1163" s="4">
        <v>14580</v>
      </c>
      <c r="K1163" s="4">
        <v>1</v>
      </c>
      <c r="L1163" s="4">
        <v>88</v>
      </c>
      <c r="M1163" s="4">
        <v>2017</v>
      </c>
      <c r="N1163" s="4">
        <v>2</v>
      </c>
      <c r="O1163" s="4">
        <v>6</v>
      </c>
      <c r="P1163" s="4">
        <v>1</v>
      </c>
      <c r="Q1163" s="19">
        <v>189.99</v>
      </c>
      <c r="R1163" s="16">
        <v>0.2</v>
      </c>
      <c r="S1163" s="16">
        <v>189.79000000000002</v>
      </c>
      <c r="T1163" s="5" t="s">
        <v>89</v>
      </c>
      <c r="U1163" s="13" t="s">
        <v>299</v>
      </c>
    </row>
    <row r="1164" spans="1:21" x14ac:dyDescent="0.35">
      <c r="A1164" s="4">
        <v>1163</v>
      </c>
      <c r="B1164" s="4">
        <v>934</v>
      </c>
      <c r="C1164" s="13" t="s">
        <v>1973</v>
      </c>
      <c r="D1164" s="13" t="s">
        <v>989</v>
      </c>
      <c r="E1164" s="5" t="s">
        <v>5566</v>
      </c>
      <c r="F1164" s="5" t="s">
        <v>4895</v>
      </c>
      <c r="G1164" s="5" t="s">
        <v>4896</v>
      </c>
      <c r="H1164" s="13" t="s">
        <v>3247</v>
      </c>
      <c r="I1164" s="13" t="s">
        <v>2309</v>
      </c>
      <c r="J1164" s="4">
        <v>14075</v>
      </c>
      <c r="K1164" s="4">
        <v>1</v>
      </c>
      <c r="L1164" s="4">
        <v>63</v>
      </c>
      <c r="M1164" s="4">
        <v>2017</v>
      </c>
      <c r="N1164" s="4">
        <v>2</v>
      </c>
      <c r="O1164" s="4">
        <v>6</v>
      </c>
      <c r="P1164" s="4">
        <v>2</v>
      </c>
      <c r="Q1164" s="19">
        <v>3499.99</v>
      </c>
      <c r="R1164" s="16">
        <v>0.05</v>
      </c>
      <c r="S1164" s="16">
        <v>6999.9299999999994</v>
      </c>
      <c r="T1164" s="5" t="s">
        <v>64</v>
      </c>
      <c r="U1164" s="13" t="s">
        <v>302</v>
      </c>
    </row>
    <row r="1165" spans="1:21" x14ac:dyDescent="0.35">
      <c r="A1165" s="4">
        <v>1164</v>
      </c>
      <c r="B1165" s="4">
        <v>1067</v>
      </c>
      <c r="C1165" s="13" t="s">
        <v>1974</v>
      </c>
      <c r="D1165" s="13" t="s">
        <v>1975</v>
      </c>
      <c r="E1165" s="5" t="s">
        <v>5566</v>
      </c>
      <c r="F1165" s="5" t="s">
        <v>4897</v>
      </c>
      <c r="G1165" s="5" t="s">
        <v>4898</v>
      </c>
      <c r="H1165" s="13" t="s">
        <v>2430</v>
      </c>
      <c r="I1165" s="13" t="s">
        <v>2309</v>
      </c>
      <c r="J1165" s="4">
        <v>11374</v>
      </c>
      <c r="K1165" s="4">
        <v>1</v>
      </c>
      <c r="L1165" s="4">
        <v>8</v>
      </c>
      <c r="M1165" s="4">
        <v>2016</v>
      </c>
      <c r="N1165" s="4">
        <v>2</v>
      </c>
      <c r="O1165" s="4">
        <v>6</v>
      </c>
      <c r="P1165" s="4">
        <v>1</v>
      </c>
      <c r="Q1165" s="19">
        <v>1799.99</v>
      </c>
      <c r="R1165" s="16">
        <v>0.2</v>
      </c>
      <c r="S1165" s="16">
        <v>1799.79</v>
      </c>
      <c r="T1165" s="5" t="s">
        <v>13</v>
      </c>
      <c r="U1165" s="13" t="s">
        <v>304</v>
      </c>
    </row>
    <row r="1166" spans="1:21" x14ac:dyDescent="0.35">
      <c r="A1166" s="4">
        <v>1165</v>
      </c>
      <c r="B1166" s="4">
        <v>652</v>
      </c>
      <c r="C1166" s="13" t="s">
        <v>1976</v>
      </c>
      <c r="D1166" s="13" t="s">
        <v>548</v>
      </c>
      <c r="E1166" s="5" t="s">
        <v>4899</v>
      </c>
      <c r="F1166" s="5" t="s">
        <v>4900</v>
      </c>
      <c r="G1166" s="5" t="s">
        <v>4901</v>
      </c>
      <c r="H1166" s="13" t="s">
        <v>3027</v>
      </c>
      <c r="I1166" s="13" t="s">
        <v>2309</v>
      </c>
      <c r="J1166" s="4">
        <v>12180</v>
      </c>
      <c r="K1166" s="4">
        <v>1</v>
      </c>
      <c r="L1166" s="4">
        <v>65</v>
      </c>
      <c r="M1166" s="4">
        <v>2017</v>
      </c>
      <c r="N1166" s="4">
        <v>2</v>
      </c>
      <c r="O1166" s="4">
        <v>7</v>
      </c>
      <c r="P1166" s="4">
        <v>2</v>
      </c>
      <c r="Q1166" s="19">
        <v>346.99</v>
      </c>
      <c r="R1166" s="16">
        <v>7.0000000000000007E-2</v>
      </c>
      <c r="S1166" s="16">
        <v>693.91</v>
      </c>
      <c r="T1166" s="5" t="s">
        <v>66</v>
      </c>
      <c r="U1166" s="13" t="s">
        <v>301</v>
      </c>
    </row>
    <row r="1167" spans="1:21" x14ac:dyDescent="0.35">
      <c r="A1167" s="4">
        <v>1166</v>
      </c>
      <c r="B1167" s="4">
        <v>286</v>
      </c>
      <c r="C1167" s="13" t="s">
        <v>1977</v>
      </c>
      <c r="D1167" s="13" t="s">
        <v>1373</v>
      </c>
      <c r="E1167" s="5" t="s">
        <v>5566</v>
      </c>
      <c r="F1167" s="5" t="s">
        <v>4902</v>
      </c>
      <c r="G1167" s="5" t="s">
        <v>4903</v>
      </c>
      <c r="H1167" s="13" t="s">
        <v>3258</v>
      </c>
      <c r="I1167" s="13" t="s">
        <v>2309</v>
      </c>
      <c r="J1167" s="4">
        <v>11756</v>
      </c>
      <c r="K1167" s="4">
        <v>1</v>
      </c>
      <c r="L1167" s="4">
        <v>103</v>
      </c>
      <c r="M1167" s="4">
        <v>2017</v>
      </c>
      <c r="N1167" s="4">
        <v>2</v>
      </c>
      <c r="O1167" s="4">
        <v>7</v>
      </c>
      <c r="P1167" s="4">
        <v>2</v>
      </c>
      <c r="Q1167" s="19">
        <v>551.99</v>
      </c>
      <c r="R1167" s="16">
        <v>7.0000000000000007E-2</v>
      </c>
      <c r="S1167" s="16">
        <v>1103.9100000000001</v>
      </c>
      <c r="T1167" s="5" t="s">
        <v>102</v>
      </c>
      <c r="U1167" s="13" t="s">
        <v>300</v>
      </c>
    </row>
    <row r="1168" spans="1:21" x14ac:dyDescent="0.35">
      <c r="A1168" s="4">
        <v>1167</v>
      </c>
      <c r="B1168" s="4">
        <v>900</v>
      </c>
      <c r="C1168" s="13" t="s">
        <v>1978</v>
      </c>
      <c r="D1168" s="13" t="s">
        <v>1553</v>
      </c>
      <c r="E1168" s="5" t="s">
        <v>5566</v>
      </c>
      <c r="F1168" s="5" t="s">
        <v>4904</v>
      </c>
      <c r="G1168" s="5" t="s">
        <v>4905</v>
      </c>
      <c r="H1168" s="13" t="s">
        <v>2330</v>
      </c>
      <c r="I1168" s="13" t="s">
        <v>2305</v>
      </c>
      <c r="J1168" s="4">
        <v>94070</v>
      </c>
      <c r="K1168" s="4">
        <v>1</v>
      </c>
      <c r="L1168" s="4">
        <v>29</v>
      </c>
      <c r="M1168" s="4">
        <v>2017</v>
      </c>
      <c r="N1168" s="4">
        <v>1</v>
      </c>
      <c r="O1168" s="4">
        <v>2</v>
      </c>
      <c r="P1168" s="4">
        <v>2</v>
      </c>
      <c r="Q1168" s="19">
        <v>999.99</v>
      </c>
      <c r="R1168" s="16">
        <v>0.05</v>
      </c>
      <c r="S1168" s="16">
        <v>1999.93</v>
      </c>
      <c r="T1168" s="5" t="s">
        <v>30</v>
      </c>
      <c r="U1168" s="13" t="s">
        <v>304</v>
      </c>
    </row>
    <row r="1169" spans="1:21" x14ac:dyDescent="0.35">
      <c r="A1169" s="4">
        <v>1168</v>
      </c>
      <c r="B1169" s="4">
        <v>1031</v>
      </c>
      <c r="C1169" s="13" t="s">
        <v>1056</v>
      </c>
      <c r="D1169" s="13" t="s">
        <v>1166</v>
      </c>
      <c r="E1169" s="5" t="s">
        <v>5566</v>
      </c>
      <c r="F1169" s="5" t="s">
        <v>4906</v>
      </c>
      <c r="G1169" s="5" t="s">
        <v>4907</v>
      </c>
      <c r="H1169" s="13" t="s">
        <v>4021</v>
      </c>
      <c r="I1169" s="13" t="s">
        <v>2309</v>
      </c>
      <c r="J1169" s="4">
        <v>14450</v>
      </c>
      <c r="K1169" s="4">
        <v>1</v>
      </c>
      <c r="L1169" s="4">
        <v>23</v>
      </c>
      <c r="M1169" s="4">
        <v>2016</v>
      </c>
      <c r="N1169" s="4">
        <v>2</v>
      </c>
      <c r="O1169" s="4">
        <v>6</v>
      </c>
      <c r="P1169" s="4">
        <v>2</v>
      </c>
      <c r="Q1169" s="19">
        <v>299.99</v>
      </c>
      <c r="R1169" s="16">
        <v>0.1</v>
      </c>
      <c r="S1169" s="16">
        <v>599.88</v>
      </c>
      <c r="T1169" s="5" t="s">
        <v>26</v>
      </c>
      <c r="U1169" s="13" t="s">
        <v>299</v>
      </c>
    </row>
    <row r="1170" spans="1:21" x14ac:dyDescent="0.35">
      <c r="A1170" s="4">
        <v>1169</v>
      </c>
      <c r="B1170" s="4">
        <v>1421</v>
      </c>
      <c r="C1170" s="13" t="s">
        <v>1979</v>
      </c>
      <c r="D1170" s="13" t="s">
        <v>774</v>
      </c>
      <c r="E1170" s="5" t="s">
        <v>5566</v>
      </c>
      <c r="F1170" s="5" t="s">
        <v>4908</v>
      </c>
      <c r="G1170" s="5" t="s">
        <v>4909</v>
      </c>
      <c r="H1170" s="13" t="s">
        <v>2822</v>
      </c>
      <c r="I1170" s="13" t="s">
        <v>2309</v>
      </c>
      <c r="J1170" s="4">
        <v>12901</v>
      </c>
      <c r="K1170" s="4">
        <v>1</v>
      </c>
      <c r="L1170" s="4">
        <v>91</v>
      </c>
      <c r="M1170" s="4">
        <v>2017</v>
      </c>
      <c r="N1170" s="4">
        <v>2</v>
      </c>
      <c r="O1170" s="4">
        <v>7</v>
      </c>
      <c r="P1170" s="4">
        <v>2</v>
      </c>
      <c r="Q1170" s="19">
        <v>349.99</v>
      </c>
      <c r="R1170" s="16">
        <v>0.2</v>
      </c>
      <c r="S1170" s="16">
        <v>699.78</v>
      </c>
      <c r="T1170" s="5" t="s">
        <v>92</v>
      </c>
      <c r="U1170" s="13" t="s">
        <v>299</v>
      </c>
    </row>
    <row r="1171" spans="1:21" x14ac:dyDescent="0.35">
      <c r="A1171" s="4">
        <v>1170</v>
      </c>
      <c r="B1171" s="4">
        <v>534</v>
      </c>
      <c r="C1171" s="13" t="s">
        <v>1423</v>
      </c>
      <c r="D1171" s="13" t="s">
        <v>1980</v>
      </c>
      <c r="E1171" s="5" t="s">
        <v>5566</v>
      </c>
      <c r="F1171" s="5" t="s">
        <v>4910</v>
      </c>
      <c r="G1171" s="5" t="s">
        <v>4911</v>
      </c>
      <c r="H1171" s="13" t="s">
        <v>3558</v>
      </c>
      <c r="I1171" s="13" t="s">
        <v>2309</v>
      </c>
      <c r="J1171" s="4">
        <v>11793</v>
      </c>
      <c r="K1171" s="4">
        <v>1</v>
      </c>
      <c r="L1171" s="4">
        <v>15</v>
      </c>
      <c r="M1171" s="4">
        <v>2016</v>
      </c>
      <c r="N1171" s="4">
        <v>2</v>
      </c>
      <c r="O1171" s="4">
        <v>6</v>
      </c>
      <c r="P1171" s="4">
        <v>1</v>
      </c>
      <c r="Q1171" s="19">
        <v>529.99</v>
      </c>
      <c r="R1171" s="16">
        <v>0.1</v>
      </c>
      <c r="S1171" s="16">
        <v>529.89</v>
      </c>
      <c r="T1171" s="5" t="s">
        <v>20</v>
      </c>
      <c r="U1171" s="13" t="s">
        <v>301</v>
      </c>
    </row>
    <row r="1172" spans="1:21" x14ac:dyDescent="0.35">
      <c r="A1172" s="4">
        <v>1171</v>
      </c>
      <c r="B1172" s="4">
        <v>826</v>
      </c>
      <c r="C1172" s="13" t="s">
        <v>1981</v>
      </c>
      <c r="D1172" s="13" t="s">
        <v>1388</v>
      </c>
      <c r="E1172" s="5" t="s">
        <v>5566</v>
      </c>
      <c r="F1172" s="5" t="s">
        <v>4912</v>
      </c>
      <c r="G1172" s="5" t="s">
        <v>4913</v>
      </c>
      <c r="H1172" s="13" t="s">
        <v>2797</v>
      </c>
      <c r="I1172" s="13" t="s">
        <v>2309</v>
      </c>
      <c r="J1172" s="4">
        <v>11787</v>
      </c>
      <c r="K1172" s="4">
        <v>1</v>
      </c>
      <c r="L1172" s="4">
        <v>94</v>
      </c>
      <c r="M1172" s="4">
        <v>2017</v>
      </c>
      <c r="N1172" s="4">
        <v>2</v>
      </c>
      <c r="O1172" s="4">
        <v>6</v>
      </c>
      <c r="P1172" s="4">
        <v>2</v>
      </c>
      <c r="Q1172" s="19">
        <v>249.99</v>
      </c>
      <c r="R1172" s="16">
        <v>0.2</v>
      </c>
      <c r="S1172" s="16">
        <v>499.78000000000003</v>
      </c>
      <c r="T1172" s="5" t="s">
        <v>95</v>
      </c>
      <c r="U1172" s="13" t="s">
        <v>299</v>
      </c>
    </row>
    <row r="1173" spans="1:21" x14ac:dyDescent="0.35">
      <c r="A1173" s="4">
        <v>1172</v>
      </c>
      <c r="B1173" s="4">
        <v>1339</v>
      </c>
      <c r="C1173" s="13" t="s">
        <v>1982</v>
      </c>
      <c r="D1173" s="13" t="s">
        <v>510</v>
      </c>
      <c r="E1173" s="5" t="s">
        <v>4914</v>
      </c>
      <c r="F1173" s="5" t="s">
        <v>4915</v>
      </c>
      <c r="G1173" s="5" t="s">
        <v>4916</v>
      </c>
      <c r="H1173" s="13" t="s">
        <v>4573</v>
      </c>
      <c r="I1173" s="13" t="s">
        <v>2309</v>
      </c>
      <c r="J1173" s="4">
        <v>11572</v>
      </c>
      <c r="K1173" s="4">
        <v>1</v>
      </c>
      <c r="L1173" s="4">
        <v>78</v>
      </c>
      <c r="M1173" s="4">
        <v>2017</v>
      </c>
      <c r="N1173" s="4">
        <v>2</v>
      </c>
      <c r="O1173" s="4">
        <v>7</v>
      </c>
      <c r="P1173" s="4">
        <v>2</v>
      </c>
      <c r="Q1173" s="19">
        <v>647.99</v>
      </c>
      <c r="R1173" s="16">
        <v>7.0000000000000007E-2</v>
      </c>
      <c r="S1173" s="16">
        <v>1295.9100000000001</v>
      </c>
      <c r="T1173" s="5" t="s">
        <v>79</v>
      </c>
      <c r="U1173" s="13" t="s">
        <v>301</v>
      </c>
    </row>
    <row r="1174" spans="1:21" x14ac:dyDescent="0.35">
      <c r="A1174" s="4">
        <v>1173</v>
      </c>
      <c r="B1174" s="4">
        <v>548</v>
      </c>
      <c r="C1174" s="13" t="s">
        <v>1983</v>
      </c>
      <c r="D1174" s="13" t="s">
        <v>455</v>
      </c>
      <c r="E1174" s="5" t="s">
        <v>5566</v>
      </c>
      <c r="F1174" s="5" t="s">
        <v>4917</v>
      </c>
      <c r="G1174" s="5" t="s">
        <v>4918</v>
      </c>
      <c r="H1174" s="13" t="s">
        <v>2605</v>
      </c>
      <c r="I1174" s="13" t="s">
        <v>2309</v>
      </c>
      <c r="J1174" s="4">
        <v>12401</v>
      </c>
      <c r="K1174" s="4">
        <v>1</v>
      </c>
      <c r="L1174" s="4">
        <v>95</v>
      </c>
      <c r="M1174" s="4">
        <v>2017</v>
      </c>
      <c r="N1174" s="4">
        <v>2</v>
      </c>
      <c r="O1174" s="4">
        <v>7</v>
      </c>
      <c r="P1174" s="4">
        <v>1</v>
      </c>
      <c r="Q1174" s="19">
        <v>299.99</v>
      </c>
      <c r="R1174" s="16">
        <v>0.2</v>
      </c>
      <c r="S1174" s="16">
        <v>299.79000000000002</v>
      </c>
      <c r="T1174" s="5" t="s">
        <v>77</v>
      </c>
      <c r="U1174" s="13" t="s">
        <v>299</v>
      </c>
    </row>
    <row r="1175" spans="1:21" x14ac:dyDescent="0.35">
      <c r="A1175" s="4">
        <v>1174</v>
      </c>
      <c r="B1175" s="4">
        <v>1109</v>
      </c>
      <c r="C1175" s="13" t="s">
        <v>1984</v>
      </c>
      <c r="D1175" s="13" t="s">
        <v>1985</v>
      </c>
      <c r="E1175" s="5" t="s">
        <v>5566</v>
      </c>
      <c r="F1175" s="5" t="s">
        <v>4919</v>
      </c>
      <c r="G1175" s="5" t="s">
        <v>4920</v>
      </c>
      <c r="H1175" s="13" t="s">
        <v>3093</v>
      </c>
      <c r="I1175" s="13" t="s">
        <v>2309</v>
      </c>
      <c r="J1175" s="4">
        <v>11729</v>
      </c>
      <c r="K1175" s="4">
        <v>1</v>
      </c>
      <c r="L1175" s="4">
        <v>110</v>
      </c>
      <c r="M1175" s="4">
        <v>2017</v>
      </c>
      <c r="N1175" s="4">
        <v>2</v>
      </c>
      <c r="O1175" s="4">
        <v>6</v>
      </c>
      <c r="P1175" s="4">
        <v>2</v>
      </c>
      <c r="Q1175" s="19">
        <v>470.99</v>
      </c>
      <c r="R1175" s="16">
        <v>0.2</v>
      </c>
      <c r="S1175" s="16">
        <v>941.78</v>
      </c>
      <c r="T1175" s="5" t="s">
        <v>107</v>
      </c>
      <c r="U1175" s="13" t="s">
        <v>300</v>
      </c>
    </row>
    <row r="1176" spans="1:21" x14ac:dyDescent="0.35">
      <c r="A1176" s="4">
        <v>1175</v>
      </c>
      <c r="B1176" s="4">
        <v>292</v>
      </c>
      <c r="C1176" s="13" t="s">
        <v>1986</v>
      </c>
      <c r="D1176" s="13" t="s">
        <v>1373</v>
      </c>
      <c r="E1176" s="5" t="s">
        <v>4921</v>
      </c>
      <c r="F1176" s="5" t="s">
        <v>4922</v>
      </c>
      <c r="G1176" s="5" t="s">
        <v>4923</v>
      </c>
      <c r="H1176" s="13" t="s">
        <v>2615</v>
      </c>
      <c r="I1176" s="13" t="s">
        <v>2309</v>
      </c>
      <c r="J1176" s="4">
        <v>11550</v>
      </c>
      <c r="K1176" s="4">
        <v>1</v>
      </c>
      <c r="L1176" s="4">
        <v>58</v>
      </c>
      <c r="M1176" s="4">
        <v>2017</v>
      </c>
      <c r="N1176" s="4">
        <v>2</v>
      </c>
      <c r="O1176" s="4">
        <v>6</v>
      </c>
      <c r="P1176" s="4">
        <v>2</v>
      </c>
      <c r="Q1176" s="19">
        <v>4999.99</v>
      </c>
      <c r="R1176" s="16">
        <v>7.0000000000000007E-2</v>
      </c>
      <c r="S1176" s="16">
        <v>9999.91</v>
      </c>
      <c r="T1176" s="5" t="s">
        <v>59</v>
      </c>
      <c r="U1176" s="13" t="s">
        <v>305</v>
      </c>
    </row>
    <row r="1177" spans="1:21" x14ac:dyDescent="0.35">
      <c r="A1177" s="4">
        <v>1176</v>
      </c>
      <c r="B1177" s="4">
        <v>1111</v>
      </c>
      <c r="C1177" s="13" t="s">
        <v>1987</v>
      </c>
      <c r="D1177" s="13" t="s">
        <v>861</v>
      </c>
      <c r="E1177" s="5" t="s">
        <v>5566</v>
      </c>
      <c r="F1177" s="5" t="s">
        <v>4924</v>
      </c>
      <c r="G1177" s="5" t="s">
        <v>4925</v>
      </c>
      <c r="H1177" s="13" t="s">
        <v>1639</v>
      </c>
      <c r="I1177" s="13" t="s">
        <v>2397</v>
      </c>
      <c r="J1177" s="4">
        <v>75080</v>
      </c>
      <c r="K1177" s="4">
        <v>1</v>
      </c>
      <c r="L1177" s="4">
        <v>87</v>
      </c>
      <c r="M1177" s="4">
        <v>2017</v>
      </c>
      <c r="N1177" s="4">
        <v>3</v>
      </c>
      <c r="O1177" s="4">
        <v>9</v>
      </c>
      <c r="P1177" s="4">
        <v>1</v>
      </c>
      <c r="Q1177" s="19">
        <v>189.99</v>
      </c>
      <c r="R1177" s="16">
        <v>0.1</v>
      </c>
      <c r="S1177" s="16">
        <v>189.89000000000001</v>
      </c>
      <c r="T1177" s="5" t="s">
        <v>88</v>
      </c>
      <c r="U1177" s="13" t="s">
        <v>299</v>
      </c>
    </row>
    <row r="1178" spans="1:21" x14ac:dyDescent="0.35">
      <c r="A1178" s="4">
        <v>1177</v>
      </c>
      <c r="B1178" s="4">
        <v>21</v>
      </c>
      <c r="C1178" s="13" t="s">
        <v>1988</v>
      </c>
      <c r="D1178" s="13" t="s">
        <v>1058</v>
      </c>
      <c r="E1178" s="5" t="s">
        <v>5566</v>
      </c>
      <c r="F1178" s="5" t="s">
        <v>4926</v>
      </c>
      <c r="G1178" s="5" t="s">
        <v>4927</v>
      </c>
      <c r="H1178" s="13" t="s">
        <v>2608</v>
      </c>
      <c r="I1178" s="13" t="s">
        <v>2397</v>
      </c>
      <c r="J1178" s="4">
        <v>77904</v>
      </c>
      <c r="K1178" s="4">
        <v>1</v>
      </c>
      <c r="L1178" s="4">
        <v>62</v>
      </c>
      <c r="M1178" s="4">
        <v>2017</v>
      </c>
      <c r="N1178" s="4">
        <v>3</v>
      </c>
      <c r="O1178" s="4">
        <v>9</v>
      </c>
      <c r="P1178" s="4">
        <v>2</v>
      </c>
      <c r="Q1178" s="19">
        <v>3499.99</v>
      </c>
      <c r="R1178" s="16">
        <v>7.0000000000000007E-2</v>
      </c>
      <c r="S1178" s="16">
        <v>6999.91</v>
      </c>
      <c r="T1178" s="5" t="s">
        <v>63</v>
      </c>
      <c r="U1178" s="13" t="s">
        <v>302</v>
      </c>
    </row>
    <row r="1179" spans="1:21" x14ac:dyDescent="0.35">
      <c r="A1179" s="4">
        <v>1178</v>
      </c>
      <c r="B1179" s="4">
        <v>771</v>
      </c>
      <c r="C1179" s="13" t="s">
        <v>1989</v>
      </c>
      <c r="D1179" s="13" t="s">
        <v>1990</v>
      </c>
      <c r="E1179" s="5" t="s">
        <v>4928</v>
      </c>
      <c r="F1179" s="5" t="s">
        <v>4929</v>
      </c>
      <c r="G1179" s="5" t="s">
        <v>4930</v>
      </c>
      <c r="H1179" s="13" t="s">
        <v>2406</v>
      </c>
      <c r="I1179" s="13" t="s">
        <v>2309</v>
      </c>
      <c r="J1179" s="4">
        <v>14215</v>
      </c>
      <c r="K1179" s="4">
        <v>1</v>
      </c>
      <c r="L1179" s="4">
        <v>46</v>
      </c>
      <c r="M1179" s="4">
        <v>2017</v>
      </c>
      <c r="N1179" s="4">
        <v>2</v>
      </c>
      <c r="O1179" s="4">
        <v>6</v>
      </c>
      <c r="P1179" s="4">
        <v>1</v>
      </c>
      <c r="Q1179" s="19">
        <v>1409.99</v>
      </c>
      <c r="R1179" s="16">
        <v>7.0000000000000007E-2</v>
      </c>
      <c r="S1179" s="16">
        <v>1409.92</v>
      </c>
      <c r="T1179" s="5" t="s">
        <v>47</v>
      </c>
      <c r="U1179" s="13" t="s">
        <v>304</v>
      </c>
    </row>
    <row r="1180" spans="1:21" x14ac:dyDescent="0.35">
      <c r="A1180" s="4">
        <v>1179</v>
      </c>
      <c r="B1180" s="4">
        <v>1150</v>
      </c>
      <c r="C1180" s="13" t="s">
        <v>599</v>
      </c>
      <c r="D1180" s="13" t="s">
        <v>1991</v>
      </c>
      <c r="E1180" s="5" t="s">
        <v>4931</v>
      </c>
      <c r="F1180" s="5" t="s">
        <v>4932</v>
      </c>
      <c r="G1180" s="5" t="s">
        <v>4933</v>
      </c>
      <c r="H1180" s="13" t="s">
        <v>2453</v>
      </c>
      <c r="I1180" s="13" t="s">
        <v>2397</v>
      </c>
      <c r="J1180" s="4">
        <v>78418</v>
      </c>
      <c r="K1180" s="4">
        <v>1</v>
      </c>
      <c r="L1180" s="4">
        <v>93</v>
      </c>
      <c r="M1180" s="4">
        <v>2017</v>
      </c>
      <c r="N1180" s="4">
        <v>3</v>
      </c>
      <c r="O1180" s="4">
        <v>9</v>
      </c>
      <c r="P1180" s="4">
        <v>2</v>
      </c>
      <c r="Q1180" s="19">
        <v>209.99</v>
      </c>
      <c r="R1180" s="16">
        <v>0.05</v>
      </c>
      <c r="S1180" s="16">
        <v>419.93</v>
      </c>
      <c r="T1180" s="5" t="s">
        <v>94</v>
      </c>
      <c r="U1180" s="13" t="s">
        <v>299</v>
      </c>
    </row>
    <row r="1181" spans="1:21" x14ac:dyDescent="0.35">
      <c r="A1181" s="4">
        <v>1180</v>
      </c>
      <c r="B1181" s="4">
        <v>1065</v>
      </c>
      <c r="C1181" s="13" t="s">
        <v>1992</v>
      </c>
      <c r="D1181" s="13" t="s">
        <v>1993</v>
      </c>
      <c r="E1181" s="5" t="s">
        <v>5566</v>
      </c>
      <c r="F1181" s="5" t="s">
        <v>4934</v>
      </c>
      <c r="G1181" s="5" t="s">
        <v>4935</v>
      </c>
      <c r="H1181" s="13" t="s">
        <v>3004</v>
      </c>
      <c r="I1181" s="13" t="s">
        <v>2305</v>
      </c>
      <c r="J1181" s="4">
        <v>94580</v>
      </c>
      <c r="K1181" s="4">
        <v>1</v>
      </c>
      <c r="L1181" s="4">
        <v>66</v>
      </c>
      <c r="M1181" s="4">
        <v>2017</v>
      </c>
      <c r="N1181" s="4">
        <v>1</v>
      </c>
      <c r="O1181" s="4">
        <v>3</v>
      </c>
      <c r="P1181" s="4">
        <v>2</v>
      </c>
      <c r="Q1181" s="19">
        <v>250.99</v>
      </c>
      <c r="R1181" s="16">
        <v>7.0000000000000007E-2</v>
      </c>
      <c r="S1181" s="16">
        <v>501.91</v>
      </c>
      <c r="T1181" s="5" t="s">
        <v>67</v>
      </c>
      <c r="U1181" s="13" t="s">
        <v>301</v>
      </c>
    </row>
    <row r="1182" spans="1:21" x14ac:dyDescent="0.35">
      <c r="A1182" s="4">
        <v>1181</v>
      </c>
      <c r="B1182" s="4">
        <v>1022</v>
      </c>
      <c r="C1182" s="13" t="s">
        <v>1994</v>
      </c>
      <c r="D1182" s="13" t="s">
        <v>1483</v>
      </c>
      <c r="E1182" s="5" t="s">
        <v>5566</v>
      </c>
      <c r="F1182" s="5" t="s">
        <v>4936</v>
      </c>
      <c r="G1182" s="5" t="s">
        <v>4937</v>
      </c>
      <c r="H1182" s="13" t="s">
        <v>3870</v>
      </c>
      <c r="I1182" s="13" t="s">
        <v>2309</v>
      </c>
      <c r="J1182" s="4">
        <v>10541</v>
      </c>
      <c r="K1182" s="4">
        <v>1</v>
      </c>
      <c r="L1182" s="4">
        <v>98</v>
      </c>
      <c r="M1182" s="4">
        <v>2017</v>
      </c>
      <c r="N1182" s="4">
        <v>2</v>
      </c>
      <c r="O1182" s="4">
        <v>7</v>
      </c>
      <c r="P1182" s="4">
        <v>1</v>
      </c>
      <c r="Q1182" s="19">
        <v>489.99</v>
      </c>
      <c r="R1182" s="16">
        <v>0.1</v>
      </c>
      <c r="S1182" s="16">
        <v>489.89</v>
      </c>
      <c r="T1182" s="5" t="s">
        <v>98</v>
      </c>
      <c r="U1182" s="13" t="s">
        <v>299</v>
      </c>
    </row>
    <row r="1183" spans="1:21" x14ac:dyDescent="0.35">
      <c r="A1183" s="4">
        <v>1182</v>
      </c>
      <c r="B1183" s="4">
        <v>1422</v>
      </c>
      <c r="C1183" s="13" t="s">
        <v>1995</v>
      </c>
      <c r="D1183" s="13" t="s">
        <v>1043</v>
      </c>
      <c r="E1183" s="5" t="s">
        <v>5566</v>
      </c>
      <c r="F1183" s="5" t="s">
        <v>4938</v>
      </c>
      <c r="G1183" s="5" t="s">
        <v>4939</v>
      </c>
      <c r="H1183" s="13" t="s">
        <v>2797</v>
      </c>
      <c r="I1183" s="13" t="s">
        <v>2309</v>
      </c>
      <c r="J1183" s="4">
        <v>11787</v>
      </c>
      <c r="K1183" s="4">
        <v>1</v>
      </c>
      <c r="L1183" s="4">
        <v>35</v>
      </c>
      <c r="M1183" s="4">
        <v>2017</v>
      </c>
      <c r="N1183" s="4">
        <v>2</v>
      </c>
      <c r="O1183" s="4">
        <v>7</v>
      </c>
      <c r="P1183" s="4">
        <v>1</v>
      </c>
      <c r="Q1183" s="19">
        <v>832.99</v>
      </c>
      <c r="R1183" s="16">
        <v>0.1</v>
      </c>
      <c r="S1183" s="16">
        <v>832.89</v>
      </c>
      <c r="T1183" s="5" t="s">
        <v>36</v>
      </c>
      <c r="U1183" s="13" t="s">
        <v>304</v>
      </c>
    </row>
    <row r="1184" spans="1:21" x14ac:dyDescent="0.35">
      <c r="A1184" s="4">
        <v>1183</v>
      </c>
      <c r="B1184" s="4">
        <v>216</v>
      </c>
      <c r="C1184" s="13" t="s">
        <v>1996</v>
      </c>
      <c r="D1184" s="13" t="s">
        <v>921</v>
      </c>
      <c r="E1184" s="5" t="s">
        <v>5566</v>
      </c>
      <c r="F1184" s="5" t="s">
        <v>4940</v>
      </c>
      <c r="G1184" s="5" t="s">
        <v>4941</v>
      </c>
      <c r="H1184" s="13" t="s">
        <v>2590</v>
      </c>
      <c r="I1184" s="13" t="s">
        <v>2309</v>
      </c>
      <c r="J1184" s="4">
        <v>11714</v>
      </c>
      <c r="K1184" s="4">
        <v>1</v>
      </c>
      <c r="L1184" s="4">
        <v>63</v>
      </c>
      <c r="M1184" s="4">
        <v>2017</v>
      </c>
      <c r="N1184" s="4">
        <v>2</v>
      </c>
      <c r="O1184" s="4">
        <v>6</v>
      </c>
      <c r="P1184" s="4">
        <v>1</v>
      </c>
      <c r="Q1184" s="19">
        <v>3499.99</v>
      </c>
      <c r="R1184" s="16">
        <v>0.2</v>
      </c>
      <c r="S1184" s="16">
        <v>3499.79</v>
      </c>
      <c r="T1184" s="5" t="s">
        <v>64</v>
      </c>
      <c r="U1184" s="13" t="s">
        <v>302</v>
      </c>
    </row>
    <row r="1185" spans="1:21" x14ac:dyDescent="0.35">
      <c r="A1185" s="4">
        <v>1184</v>
      </c>
      <c r="B1185" s="4">
        <v>369</v>
      </c>
      <c r="C1185" s="13" t="s">
        <v>1997</v>
      </c>
      <c r="D1185" s="13" t="s">
        <v>1998</v>
      </c>
      <c r="E1185" s="5" t="s">
        <v>5566</v>
      </c>
      <c r="F1185" s="5" t="s">
        <v>4942</v>
      </c>
      <c r="G1185" s="5" t="s">
        <v>4943</v>
      </c>
      <c r="H1185" s="13" t="s">
        <v>2415</v>
      </c>
      <c r="I1185" s="13" t="s">
        <v>2309</v>
      </c>
      <c r="J1185" s="4">
        <v>11377</v>
      </c>
      <c r="K1185" s="4">
        <v>1</v>
      </c>
      <c r="L1185" s="4">
        <v>16</v>
      </c>
      <c r="M1185" s="4">
        <v>2016</v>
      </c>
      <c r="N1185" s="4">
        <v>2</v>
      </c>
      <c r="O1185" s="4">
        <v>6</v>
      </c>
      <c r="P1185" s="4">
        <v>2</v>
      </c>
      <c r="Q1185" s="19">
        <v>599.99</v>
      </c>
      <c r="R1185" s="16">
        <v>0.05</v>
      </c>
      <c r="S1185" s="16">
        <v>1199.93</v>
      </c>
      <c r="T1185" s="5" t="s">
        <v>21</v>
      </c>
      <c r="U1185" s="13" t="s">
        <v>301</v>
      </c>
    </row>
    <row r="1186" spans="1:21" x14ac:dyDescent="0.35">
      <c r="A1186" s="4">
        <v>1185</v>
      </c>
      <c r="B1186" s="4">
        <v>960</v>
      </c>
      <c r="C1186" s="13" t="s">
        <v>1999</v>
      </c>
      <c r="D1186" s="13" t="s">
        <v>2000</v>
      </c>
      <c r="E1186" s="5" t="s">
        <v>4944</v>
      </c>
      <c r="F1186" s="5" t="s">
        <v>4945</v>
      </c>
      <c r="G1186" s="5" t="s">
        <v>4946</v>
      </c>
      <c r="H1186" s="13" t="s">
        <v>2615</v>
      </c>
      <c r="I1186" s="13" t="s">
        <v>2309</v>
      </c>
      <c r="J1186" s="4">
        <v>11550</v>
      </c>
      <c r="K1186" s="4">
        <v>1</v>
      </c>
      <c r="L1186" s="4">
        <v>19</v>
      </c>
      <c r="M1186" s="4">
        <v>2016</v>
      </c>
      <c r="N1186" s="4">
        <v>2</v>
      </c>
      <c r="O1186" s="4">
        <v>6</v>
      </c>
      <c r="P1186" s="4">
        <v>2</v>
      </c>
      <c r="Q1186" s="19">
        <v>449</v>
      </c>
      <c r="R1186" s="16">
        <v>7.0000000000000007E-2</v>
      </c>
      <c r="S1186" s="16">
        <v>897.93</v>
      </c>
      <c r="T1186" s="5" t="s">
        <v>24</v>
      </c>
      <c r="U1186" s="13" t="s">
        <v>301</v>
      </c>
    </row>
    <row r="1187" spans="1:21" x14ac:dyDescent="0.35">
      <c r="A1187" s="4">
        <v>1186</v>
      </c>
      <c r="B1187" s="4">
        <v>1120</v>
      </c>
      <c r="C1187" s="13" t="s">
        <v>2001</v>
      </c>
      <c r="D1187" s="13" t="s">
        <v>455</v>
      </c>
      <c r="E1187" s="5" t="s">
        <v>5566</v>
      </c>
      <c r="F1187" s="5" t="s">
        <v>4947</v>
      </c>
      <c r="G1187" s="5" t="s">
        <v>4948</v>
      </c>
      <c r="H1187" s="13" t="s">
        <v>2806</v>
      </c>
      <c r="I1187" s="13" t="s">
        <v>2309</v>
      </c>
      <c r="J1187" s="4">
        <v>11731</v>
      </c>
      <c r="K1187" s="4">
        <v>1</v>
      </c>
      <c r="L1187" s="4">
        <v>48</v>
      </c>
      <c r="M1187" s="4">
        <v>2017</v>
      </c>
      <c r="N1187" s="4">
        <v>2</v>
      </c>
      <c r="O1187" s="4">
        <v>6</v>
      </c>
      <c r="P1187" s="4">
        <v>2</v>
      </c>
      <c r="Q1187" s="19">
        <v>1499.99</v>
      </c>
      <c r="R1187" s="16">
        <v>0.1</v>
      </c>
      <c r="S1187" s="16">
        <v>2999.88</v>
      </c>
      <c r="T1187" s="5" t="s">
        <v>49</v>
      </c>
      <c r="U1187" s="13" t="s">
        <v>305</v>
      </c>
    </row>
    <row r="1188" spans="1:21" x14ac:dyDescent="0.35">
      <c r="A1188" s="4">
        <v>1187</v>
      </c>
      <c r="B1188" s="4">
        <v>486</v>
      </c>
      <c r="C1188" s="13" t="s">
        <v>2002</v>
      </c>
      <c r="D1188" s="13" t="s">
        <v>1041</v>
      </c>
      <c r="E1188" s="5" t="s">
        <v>5566</v>
      </c>
      <c r="F1188" s="5" t="s">
        <v>4949</v>
      </c>
      <c r="G1188" s="5" t="s">
        <v>4950</v>
      </c>
      <c r="H1188" s="13" t="s">
        <v>4136</v>
      </c>
      <c r="I1188" s="13" t="s">
        <v>2309</v>
      </c>
      <c r="J1188" s="4">
        <v>11554</v>
      </c>
      <c r="K1188" s="4">
        <v>1</v>
      </c>
      <c r="L1188" s="4">
        <v>36</v>
      </c>
      <c r="M1188" s="4">
        <v>2017</v>
      </c>
      <c r="N1188" s="4">
        <v>2</v>
      </c>
      <c r="O1188" s="4">
        <v>6</v>
      </c>
      <c r="P1188" s="4">
        <v>2</v>
      </c>
      <c r="Q1188" s="19">
        <v>832.99</v>
      </c>
      <c r="R1188" s="16">
        <v>0.1</v>
      </c>
      <c r="S1188" s="16">
        <v>1665.88</v>
      </c>
      <c r="T1188" s="5" t="s">
        <v>37</v>
      </c>
      <c r="U1188" s="13" t="s">
        <v>304</v>
      </c>
    </row>
    <row r="1189" spans="1:21" x14ac:dyDescent="0.35">
      <c r="A1189" s="4">
        <v>1188</v>
      </c>
      <c r="B1189" s="4">
        <v>647</v>
      </c>
      <c r="C1189" s="13" t="s">
        <v>2003</v>
      </c>
      <c r="D1189" s="13" t="s">
        <v>2004</v>
      </c>
      <c r="E1189" s="5" t="s">
        <v>5566</v>
      </c>
      <c r="F1189" s="5" t="s">
        <v>4951</v>
      </c>
      <c r="G1189" s="5" t="s">
        <v>4952</v>
      </c>
      <c r="H1189" s="13" t="s">
        <v>2387</v>
      </c>
      <c r="I1189" s="13" t="s">
        <v>2309</v>
      </c>
      <c r="J1189" s="4">
        <v>11418</v>
      </c>
      <c r="K1189" s="4">
        <v>1</v>
      </c>
      <c r="L1189" s="4">
        <v>66</v>
      </c>
      <c r="M1189" s="4">
        <v>2017</v>
      </c>
      <c r="N1189" s="4">
        <v>2</v>
      </c>
      <c r="O1189" s="4">
        <v>7</v>
      </c>
      <c r="P1189" s="4">
        <v>2</v>
      </c>
      <c r="Q1189" s="19">
        <v>250.99</v>
      </c>
      <c r="R1189" s="16">
        <v>0.1</v>
      </c>
      <c r="S1189" s="16">
        <v>501.88</v>
      </c>
      <c r="T1189" s="5" t="s">
        <v>67</v>
      </c>
      <c r="U1189" s="13" t="s">
        <v>301</v>
      </c>
    </row>
    <row r="1190" spans="1:21" x14ac:dyDescent="0.35">
      <c r="A1190" s="4">
        <v>1189</v>
      </c>
      <c r="B1190" s="4">
        <v>1090</v>
      </c>
      <c r="C1190" s="13" t="s">
        <v>1598</v>
      </c>
      <c r="D1190" s="13" t="s">
        <v>525</v>
      </c>
      <c r="E1190" s="5" t="s">
        <v>5566</v>
      </c>
      <c r="F1190" s="5" t="s">
        <v>4953</v>
      </c>
      <c r="G1190" s="5" t="s">
        <v>4954</v>
      </c>
      <c r="H1190" s="13" t="s">
        <v>2729</v>
      </c>
      <c r="I1190" s="13" t="s">
        <v>2309</v>
      </c>
      <c r="J1190" s="4">
        <v>11776</v>
      </c>
      <c r="K1190" s="4">
        <v>1</v>
      </c>
      <c r="L1190" s="4">
        <v>55</v>
      </c>
      <c r="M1190" s="4">
        <v>2017</v>
      </c>
      <c r="N1190" s="4">
        <v>2</v>
      </c>
      <c r="O1190" s="4">
        <v>6</v>
      </c>
      <c r="P1190" s="4">
        <v>1</v>
      </c>
      <c r="Q1190" s="19">
        <v>2699.99</v>
      </c>
      <c r="R1190" s="16">
        <v>7.0000000000000007E-2</v>
      </c>
      <c r="S1190" s="16">
        <v>2699.9199999999996</v>
      </c>
      <c r="T1190" s="5" t="s">
        <v>56</v>
      </c>
      <c r="U1190" s="13" t="s">
        <v>305</v>
      </c>
    </row>
    <row r="1191" spans="1:21" x14ac:dyDescent="0.35">
      <c r="A1191" s="4">
        <v>1190</v>
      </c>
      <c r="B1191" s="4">
        <v>34</v>
      </c>
      <c r="C1191" s="13" t="s">
        <v>1104</v>
      </c>
      <c r="D1191" s="13" t="s">
        <v>2005</v>
      </c>
      <c r="E1191" s="5" t="s">
        <v>5566</v>
      </c>
      <c r="F1191" s="5" t="s">
        <v>4955</v>
      </c>
      <c r="G1191" s="5" t="s">
        <v>4956</v>
      </c>
      <c r="H1191" s="13" t="s">
        <v>2806</v>
      </c>
      <c r="I1191" s="13" t="s">
        <v>2309</v>
      </c>
      <c r="J1191" s="4">
        <v>11731</v>
      </c>
      <c r="K1191" s="4">
        <v>1</v>
      </c>
      <c r="L1191" s="4">
        <v>71</v>
      </c>
      <c r="M1191" s="4">
        <v>2017</v>
      </c>
      <c r="N1191" s="4">
        <v>2</v>
      </c>
      <c r="O1191" s="4">
        <v>6</v>
      </c>
      <c r="P1191" s="4">
        <v>1</v>
      </c>
      <c r="Q1191" s="19">
        <v>416.99</v>
      </c>
      <c r="R1191" s="16">
        <v>7.0000000000000007E-2</v>
      </c>
      <c r="S1191" s="16">
        <v>416.92</v>
      </c>
      <c r="T1191" s="5" t="s">
        <v>72</v>
      </c>
      <c r="U1191" s="13" t="s">
        <v>301</v>
      </c>
    </row>
    <row r="1192" spans="1:21" x14ac:dyDescent="0.35">
      <c r="A1192" s="4">
        <v>1191</v>
      </c>
      <c r="B1192" s="4">
        <v>186</v>
      </c>
      <c r="C1192" s="13" t="s">
        <v>2006</v>
      </c>
      <c r="D1192" s="13" t="s">
        <v>480</v>
      </c>
      <c r="E1192" s="5" t="s">
        <v>5566</v>
      </c>
      <c r="F1192" s="5" t="s">
        <v>4957</v>
      </c>
      <c r="G1192" s="5" t="s">
        <v>4958</v>
      </c>
      <c r="H1192" s="13" t="s">
        <v>3182</v>
      </c>
      <c r="I1192" s="13" t="s">
        <v>2309</v>
      </c>
      <c r="J1192" s="4">
        <v>10952</v>
      </c>
      <c r="K1192" s="4">
        <v>1</v>
      </c>
      <c r="L1192" s="4">
        <v>40</v>
      </c>
      <c r="M1192" s="4">
        <v>2017</v>
      </c>
      <c r="N1192" s="4">
        <v>2</v>
      </c>
      <c r="O1192" s="4">
        <v>6</v>
      </c>
      <c r="P1192" s="4">
        <v>2</v>
      </c>
      <c r="Q1192" s="19">
        <v>4999.99</v>
      </c>
      <c r="R1192" s="16">
        <v>0.1</v>
      </c>
      <c r="S1192" s="16">
        <v>9999.8799999999992</v>
      </c>
      <c r="T1192" s="5" t="s">
        <v>41</v>
      </c>
      <c r="U1192" s="13" t="s">
        <v>304</v>
      </c>
    </row>
    <row r="1193" spans="1:21" x14ac:dyDescent="0.35">
      <c r="A1193" s="4">
        <v>1192</v>
      </c>
      <c r="B1193" s="4">
        <v>1114</v>
      </c>
      <c r="C1193" s="13" t="s">
        <v>1057</v>
      </c>
      <c r="D1193" s="13" t="s">
        <v>1448</v>
      </c>
      <c r="E1193" s="5" t="s">
        <v>4959</v>
      </c>
      <c r="F1193" s="5" t="s">
        <v>4960</v>
      </c>
      <c r="G1193" s="5" t="s">
        <v>4961</v>
      </c>
      <c r="H1193" s="13" t="s">
        <v>4365</v>
      </c>
      <c r="I1193" s="13" t="s">
        <v>2309</v>
      </c>
      <c r="J1193" s="4">
        <v>12203</v>
      </c>
      <c r="K1193" s="4">
        <v>1</v>
      </c>
      <c r="L1193" s="4">
        <v>24</v>
      </c>
      <c r="M1193" s="4">
        <v>2016</v>
      </c>
      <c r="N1193" s="4">
        <v>2</v>
      </c>
      <c r="O1193" s="4">
        <v>6</v>
      </c>
      <c r="P1193" s="4">
        <v>2</v>
      </c>
      <c r="Q1193" s="19">
        <v>549.99</v>
      </c>
      <c r="R1193" s="16">
        <v>0.1</v>
      </c>
      <c r="S1193" s="16">
        <v>1099.8800000000001</v>
      </c>
      <c r="T1193" s="5" t="s">
        <v>17</v>
      </c>
      <c r="U1193" s="13" t="s">
        <v>300</v>
      </c>
    </row>
    <row r="1194" spans="1:21" x14ac:dyDescent="0.35">
      <c r="A1194" s="4">
        <v>1193</v>
      </c>
      <c r="B1194" s="4">
        <v>1412</v>
      </c>
      <c r="C1194" s="13" t="s">
        <v>2007</v>
      </c>
      <c r="D1194" s="13" t="s">
        <v>1227</v>
      </c>
      <c r="E1194" s="5" t="s">
        <v>5566</v>
      </c>
      <c r="F1194" s="5" t="s">
        <v>4962</v>
      </c>
      <c r="G1194" s="5" t="s">
        <v>4963</v>
      </c>
      <c r="H1194" s="13" t="s">
        <v>2430</v>
      </c>
      <c r="I1194" s="13" t="s">
        <v>2309</v>
      </c>
      <c r="J1194" s="4">
        <v>11374</v>
      </c>
      <c r="K1194" s="4">
        <v>1</v>
      </c>
      <c r="L1194" s="4">
        <v>83</v>
      </c>
      <c r="M1194" s="4">
        <v>2017</v>
      </c>
      <c r="N1194" s="4">
        <v>2</v>
      </c>
      <c r="O1194" s="4">
        <v>7</v>
      </c>
      <c r="P1194" s="4">
        <v>2</v>
      </c>
      <c r="Q1194" s="19">
        <v>149.99</v>
      </c>
      <c r="R1194" s="16">
        <v>0.05</v>
      </c>
      <c r="S1194" s="16">
        <v>299.93</v>
      </c>
      <c r="T1194" s="5" t="s">
        <v>84</v>
      </c>
      <c r="U1194" s="13" t="s">
        <v>299</v>
      </c>
    </row>
    <row r="1195" spans="1:21" x14ac:dyDescent="0.35">
      <c r="A1195" s="4">
        <v>1194</v>
      </c>
      <c r="B1195" s="4">
        <v>192</v>
      </c>
      <c r="C1195" s="13" t="s">
        <v>2008</v>
      </c>
      <c r="D1195" s="13" t="s">
        <v>1418</v>
      </c>
      <c r="E1195" s="5" t="s">
        <v>5566</v>
      </c>
      <c r="F1195" s="5" t="s">
        <v>4964</v>
      </c>
      <c r="G1195" s="5" t="s">
        <v>4965</v>
      </c>
      <c r="H1195" s="13" t="s">
        <v>2347</v>
      </c>
      <c r="I1195" s="13" t="s">
        <v>2305</v>
      </c>
      <c r="J1195" s="4">
        <v>90505</v>
      </c>
      <c r="K1195" s="4">
        <v>1</v>
      </c>
      <c r="L1195" s="4">
        <v>71</v>
      </c>
      <c r="M1195" s="4">
        <v>2017</v>
      </c>
      <c r="N1195" s="4">
        <v>1</v>
      </c>
      <c r="O1195" s="4">
        <v>2</v>
      </c>
      <c r="P1195" s="4">
        <v>1</v>
      </c>
      <c r="Q1195" s="19">
        <v>416.99</v>
      </c>
      <c r="R1195" s="16">
        <v>0.05</v>
      </c>
      <c r="S1195" s="16">
        <v>416.94</v>
      </c>
      <c r="T1195" s="5" t="s">
        <v>72</v>
      </c>
      <c r="U1195" s="13" t="s">
        <v>301</v>
      </c>
    </row>
    <row r="1196" spans="1:21" x14ac:dyDescent="0.35">
      <c r="A1196" s="4">
        <v>1195</v>
      </c>
      <c r="B1196" s="4">
        <v>229</v>
      </c>
      <c r="C1196" s="13" t="s">
        <v>2009</v>
      </c>
      <c r="D1196" s="13" t="s">
        <v>2010</v>
      </c>
      <c r="E1196" s="5" t="s">
        <v>5566</v>
      </c>
      <c r="F1196" s="5" t="s">
        <v>4966</v>
      </c>
      <c r="G1196" s="5" t="s">
        <v>4967</v>
      </c>
      <c r="H1196" s="13" t="s">
        <v>3867</v>
      </c>
      <c r="I1196" s="13" t="s">
        <v>2309</v>
      </c>
      <c r="J1196" s="4">
        <v>11741</v>
      </c>
      <c r="K1196" s="4">
        <v>1</v>
      </c>
      <c r="L1196" s="4">
        <v>52</v>
      </c>
      <c r="M1196" s="4">
        <v>2017</v>
      </c>
      <c r="N1196" s="4">
        <v>2</v>
      </c>
      <c r="O1196" s="4">
        <v>7</v>
      </c>
      <c r="P1196" s="4">
        <v>1</v>
      </c>
      <c r="Q1196" s="19">
        <v>875.99</v>
      </c>
      <c r="R1196" s="16">
        <v>7.0000000000000007E-2</v>
      </c>
      <c r="S1196" s="16">
        <v>875.92</v>
      </c>
      <c r="T1196" s="5" t="s">
        <v>53</v>
      </c>
      <c r="U1196" s="13" t="s">
        <v>305</v>
      </c>
    </row>
    <row r="1197" spans="1:21" x14ac:dyDescent="0.35">
      <c r="A1197" s="4">
        <v>1196</v>
      </c>
      <c r="B1197" s="4">
        <v>508</v>
      </c>
      <c r="C1197" s="13" t="s">
        <v>2011</v>
      </c>
      <c r="D1197" s="13" t="s">
        <v>1314</v>
      </c>
      <c r="E1197" s="5" t="s">
        <v>4968</v>
      </c>
      <c r="F1197" s="5" t="s">
        <v>4969</v>
      </c>
      <c r="G1197" s="5" t="s">
        <v>4970</v>
      </c>
      <c r="H1197" s="13" t="s">
        <v>2597</v>
      </c>
      <c r="I1197" s="13" t="s">
        <v>2309</v>
      </c>
      <c r="J1197" s="4">
        <v>14086</v>
      </c>
      <c r="K1197" s="4">
        <v>1</v>
      </c>
      <c r="L1197" s="4">
        <v>53</v>
      </c>
      <c r="M1197" s="4">
        <v>2017</v>
      </c>
      <c r="N1197" s="4">
        <v>2</v>
      </c>
      <c r="O1197" s="4">
        <v>6</v>
      </c>
      <c r="P1197" s="4">
        <v>1</v>
      </c>
      <c r="Q1197" s="19">
        <v>749.99</v>
      </c>
      <c r="R1197" s="16">
        <v>7.0000000000000007E-2</v>
      </c>
      <c r="S1197" s="16">
        <v>749.92</v>
      </c>
      <c r="T1197" s="5" t="s">
        <v>54</v>
      </c>
      <c r="U1197" s="13" t="s">
        <v>305</v>
      </c>
    </row>
    <row r="1198" spans="1:21" x14ac:dyDescent="0.35">
      <c r="A1198" s="4">
        <v>1197</v>
      </c>
      <c r="B1198" s="4">
        <v>269</v>
      </c>
      <c r="C1198" s="13" t="s">
        <v>1161</v>
      </c>
      <c r="D1198" s="13" t="s">
        <v>2012</v>
      </c>
      <c r="E1198" s="5" t="s">
        <v>5566</v>
      </c>
      <c r="F1198" s="5" t="s">
        <v>4971</v>
      </c>
      <c r="G1198" s="5" t="s">
        <v>4972</v>
      </c>
      <c r="H1198" s="13" t="s">
        <v>2324</v>
      </c>
      <c r="I1198" s="13" t="s">
        <v>2309</v>
      </c>
      <c r="J1198" s="4">
        <v>11710</v>
      </c>
      <c r="K1198" s="4">
        <v>1</v>
      </c>
      <c r="L1198" s="4">
        <v>13</v>
      </c>
      <c r="M1198" s="4">
        <v>2016</v>
      </c>
      <c r="N1198" s="4">
        <v>2</v>
      </c>
      <c r="O1198" s="4">
        <v>6</v>
      </c>
      <c r="P1198" s="4">
        <v>1</v>
      </c>
      <c r="Q1198" s="19">
        <v>269.99</v>
      </c>
      <c r="R1198" s="16">
        <v>7.0000000000000007E-2</v>
      </c>
      <c r="S1198" s="16">
        <v>269.92</v>
      </c>
      <c r="T1198" s="5" t="s">
        <v>18</v>
      </c>
      <c r="U1198" s="13" t="s">
        <v>301</v>
      </c>
    </row>
    <row r="1199" spans="1:21" x14ac:dyDescent="0.35">
      <c r="A1199" s="4">
        <v>1198</v>
      </c>
      <c r="B1199" s="4">
        <v>1289</v>
      </c>
      <c r="C1199" s="13" t="s">
        <v>2013</v>
      </c>
      <c r="D1199" s="13" t="s">
        <v>357</v>
      </c>
      <c r="E1199" s="5" t="s">
        <v>5566</v>
      </c>
      <c r="F1199" s="5" t="s">
        <v>4973</v>
      </c>
      <c r="G1199" s="5" t="s">
        <v>4974</v>
      </c>
      <c r="H1199" s="13" t="s">
        <v>2590</v>
      </c>
      <c r="I1199" s="13" t="s">
        <v>2309</v>
      </c>
      <c r="J1199" s="4">
        <v>11714</v>
      </c>
      <c r="K1199" s="4">
        <v>1</v>
      </c>
      <c r="L1199" s="4">
        <v>105</v>
      </c>
      <c r="M1199" s="4">
        <v>2017</v>
      </c>
      <c r="N1199" s="4">
        <v>2</v>
      </c>
      <c r="O1199" s="4">
        <v>7</v>
      </c>
      <c r="P1199" s="4">
        <v>1</v>
      </c>
      <c r="Q1199" s="19">
        <v>533.99</v>
      </c>
      <c r="R1199" s="16">
        <v>0.05</v>
      </c>
      <c r="S1199" s="16">
        <v>533.94000000000005</v>
      </c>
      <c r="T1199" s="5" t="s">
        <v>104</v>
      </c>
      <c r="U1199" s="13" t="s">
        <v>300</v>
      </c>
    </row>
    <row r="1200" spans="1:21" x14ac:dyDescent="0.35">
      <c r="A1200" s="4">
        <v>1199</v>
      </c>
      <c r="B1200" s="4">
        <v>318</v>
      </c>
      <c r="C1200" s="13" t="s">
        <v>1026</v>
      </c>
      <c r="D1200" s="13" t="s">
        <v>1132</v>
      </c>
      <c r="E1200" s="5" t="s">
        <v>5566</v>
      </c>
      <c r="F1200" s="5" t="s">
        <v>4975</v>
      </c>
      <c r="G1200" s="5" t="s">
        <v>4976</v>
      </c>
      <c r="H1200" s="13" t="s">
        <v>2749</v>
      </c>
      <c r="I1200" s="13" t="s">
        <v>2305</v>
      </c>
      <c r="J1200" s="4">
        <v>92831</v>
      </c>
      <c r="K1200" s="4">
        <v>1</v>
      </c>
      <c r="L1200" s="4">
        <v>32</v>
      </c>
      <c r="M1200" s="4">
        <v>2017</v>
      </c>
      <c r="N1200" s="4">
        <v>1</v>
      </c>
      <c r="O1200" s="4">
        <v>2</v>
      </c>
      <c r="P1200" s="4">
        <v>1</v>
      </c>
      <c r="Q1200" s="19">
        <v>469.99</v>
      </c>
      <c r="R1200" s="16">
        <v>0.05</v>
      </c>
      <c r="S1200" s="16">
        <v>469.94</v>
      </c>
      <c r="T1200" s="5" t="s">
        <v>33</v>
      </c>
      <c r="U1200" s="13" t="s">
        <v>304</v>
      </c>
    </row>
    <row r="1201" spans="1:21" x14ac:dyDescent="0.35">
      <c r="A1201" s="4">
        <v>1200</v>
      </c>
      <c r="B1201" s="4">
        <v>48</v>
      </c>
      <c r="C1201" s="13" t="s">
        <v>462</v>
      </c>
      <c r="D1201" s="13" t="s">
        <v>1520</v>
      </c>
      <c r="E1201" s="5" t="s">
        <v>5566</v>
      </c>
      <c r="F1201" s="5" t="s">
        <v>4977</v>
      </c>
      <c r="G1201" s="5" t="s">
        <v>4978</v>
      </c>
      <c r="H1201" s="13" t="s">
        <v>2433</v>
      </c>
      <c r="I1201" s="13" t="s">
        <v>2309</v>
      </c>
      <c r="J1201" s="4">
        <v>13090</v>
      </c>
      <c r="K1201" s="4">
        <v>1</v>
      </c>
      <c r="L1201" s="4">
        <v>42</v>
      </c>
      <c r="M1201" s="4">
        <v>2017</v>
      </c>
      <c r="N1201" s="4">
        <v>2</v>
      </c>
      <c r="O1201" s="4">
        <v>6</v>
      </c>
      <c r="P1201" s="4">
        <v>2</v>
      </c>
      <c r="Q1201" s="19">
        <v>2299.9899999999998</v>
      </c>
      <c r="R1201" s="16">
        <v>0.2</v>
      </c>
      <c r="S1201" s="16">
        <v>4599.78</v>
      </c>
      <c r="T1201" s="5" t="s">
        <v>43</v>
      </c>
      <c r="U1201" s="13" t="s">
        <v>304</v>
      </c>
    </row>
    <row r="1202" spans="1:21" x14ac:dyDescent="0.35">
      <c r="A1202" s="4">
        <v>1201</v>
      </c>
      <c r="B1202" s="4">
        <v>201</v>
      </c>
      <c r="C1202" s="13" t="s">
        <v>2014</v>
      </c>
      <c r="D1202" s="13" t="s">
        <v>1985</v>
      </c>
      <c r="E1202" s="5" t="s">
        <v>5566</v>
      </c>
      <c r="F1202" s="5" t="s">
        <v>4979</v>
      </c>
      <c r="G1202" s="5" t="s">
        <v>4980</v>
      </c>
      <c r="H1202" s="13" t="s">
        <v>2518</v>
      </c>
      <c r="I1202" s="13" t="s">
        <v>2309</v>
      </c>
      <c r="J1202" s="4">
        <v>12020</v>
      </c>
      <c r="K1202" s="4">
        <v>1</v>
      </c>
      <c r="L1202" s="4">
        <v>95</v>
      </c>
      <c r="M1202" s="4">
        <v>2017</v>
      </c>
      <c r="N1202" s="4">
        <v>2</v>
      </c>
      <c r="O1202" s="4">
        <v>6</v>
      </c>
      <c r="P1202" s="4">
        <v>1</v>
      </c>
      <c r="Q1202" s="19">
        <v>299.99</v>
      </c>
      <c r="R1202" s="16">
        <v>7.0000000000000007E-2</v>
      </c>
      <c r="S1202" s="16">
        <v>299.92</v>
      </c>
      <c r="T1202" s="5" t="s">
        <v>77</v>
      </c>
      <c r="U1202" s="13" t="s">
        <v>299</v>
      </c>
    </row>
    <row r="1203" spans="1:21" x14ac:dyDescent="0.35">
      <c r="A1203" s="4">
        <v>1202</v>
      </c>
      <c r="B1203" s="4">
        <v>593</v>
      </c>
      <c r="C1203" s="13" t="s">
        <v>2015</v>
      </c>
      <c r="D1203" s="13" t="s">
        <v>1275</v>
      </c>
      <c r="E1203" s="5" t="s">
        <v>5566</v>
      </c>
      <c r="F1203" s="5" t="s">
        <v>4981</v>
      </c>
      <c r="G1203" s="5" t="s">
        <v>4982</v>
      </c>
      <c r="H1203" s="13" t="s">
        <v>2797</v>
      </c>
      <c r="I1203" s="13" t="s">
        <v>2309</v>
      </c>
      <c r="J1203" s="4">
        <v>11787</v>
      </c>
      <c r="K1203" s="4">
        <v>1</v>
      </c>
      <c r="L1203" s="4">
        <v>84</v>
      </c>
      <c r="M1203" s="4">
        <v>2017</v>
      </c>
      <c r="N1203" s="4">
        <v>2</v>
      </c>
      <c r="O1203" s="4">
        <v>6</v>
      </c>
      <c r="P1203" s="4">
        <v>2</v>
      </c>
      <c r="Q1203" s="19">
        <v>109.99</v>
      </c>
      <c r="R1203" s="16">
        <v>0.05</v>
      </c>
      <c r="S1203" s="16">
        <v>219.92999999999998</v>
      </c>
      <c r="T1203" s="5" t="s">
        <v>85</v>
      </c>
      <c r="U1203" s="13" t="s">
        <v>299</v>
      </c>
    </row>
    <row r="1204" spans="1:21" x14ac:dyDescent="0.35">
      <c r="A1204" s="4">
        <v>1203</v>
      </c>
      <c r="B1204" s="4">
        <v>1191</v>
      </c>
      <c r="C1204" s="13" t="s">
        <v>2016</v>
      </c>
      <c r="D1204" s="13" t="s">
        <v>2017</v>
      </c>
      <c r="E1204" s="5" t="s">
        <v>4983</v>
      </c>
      <c r="F1204" s="5" t="s">
        <v>4984</v>
      </c>
      <c r="G1204" s="5" t="s">
        <v>4985</v>
      </c>
      <c r="H1204" s="13" t="s">
        <v>2476</v>
      </c>
      <c r="I1204" s="13" t="s">
        <v>2309</v>
      </c>
      <c r="J1204" s="4">
        <v>14606</v>
      </c>
      <c r="K1204" s="4">
        <v>1</v>
      </c>
      <c r="L1204" s="4">
        <v>6</v>
      </c>
      <c r="M1204" s="4">
        <v>2016</v>
      </c>
      <c r="N1204" s="4">
        <v>2</v>
      </c>
      <c r="O1204" s="4">
        <v>7</v>
      </c>
      <c r="P1204" s="4">
        <v>2</v>
      </c>
      <c r="Q1204" s="19">
        <v>469.99</v>
      </c>
      <c r="R1204" s="16">
        <v>7.0000000000000007E-2</v>
      </c>
      <c r="S1204" s="16">
        <v>939.91</v>
      </c>
      <c r="T1204" s="5" t="s">
        <v>11</v>
      </c>
      <c r="U1204" s="13" t="s">
        <v>304</v>
      </c>
    </row>
    <row r="1205" spans="1:21" x14ac:dyDescent="0.35">
      <c r="A1205" s="4">
        <v>1204</v>
      </c>
      <c r="B1205" s="4">
        <v>1277</v>
      </c>
      <c r="C1205" s="13" t="s">
        <v>2018</v>
      </c>
      <c r="D1205" s="13" t="s">
        <v>899</v>
      </c>
      <c r="E1205" s="5" t="s">
        <v>5566</v>
      </c>
      <c r="F1205" s="5" t="s">
        <v>4986</v>
      </c>
      <c r="G1205" s="5" t="s">
        <v>4987</v>
      </c>
      <c r="H1205" s="13" t="s">
        <v>2888</v>
      </c>
      <c r="I1205" s="13" t="s">
        <v>2309</v>
      </c>
      <c r="J1205" s="4">
        <v>11727</v>
      </c>
      <c r="K1205" s="4">
        <v>1</v>
      </c>
      <c r="L1205" s="4">
        <v>37</v>
      </c>
      <c r="M1205" s="4">
        <v>2017</v>
      </c>
      <c r="N1205" s="4">
        <v>2</v>
      </c>
      <c r="O1205" s="4">
        <v>6</v>
      </c>
      <c r="P1205" s="4">
        <v>2</v>
      </c>
      <c r="Q1205" s="19">
        <v>379.99</v>
      </c>
      <c r="R1205" s="16">
        <v>7.0000000000000007E-2</v>
      </c>
      <c r="S1205" s="16">
        <v>759.91</v>
      </c>
      <c r="T1205" s="5" t="s">
        <v>38</v>
      </c>
      <c r="U1205" s="13" t="s">
        <v>304</v>
      </c>
    </row>
    <row r="1206" spans="1:21" x14ac:dyDescent="0.35">
      <c r="A1206" s="4">
        <v>1205</v>
      </c>
      <c r="B1206" s="4">
        <v>1091</v>
      </c>
      <c r="C1206" s="13" t="s">
        <v>2019</v>
      </c>
      <c r="D1206" s="13" t="s">
        <v>2020</v>
      </c>
      <c r="E1206" s="5" t="s">
        <v>5566</v>
      </c>
      <c r="F1206" s="5" t="s">
        <v>4988</v>
      </c>
      <c r="G1206" s="5" t="s">
        <v>4989</v>
      </c>
      <c r="H1206" s="13" t="s">
        <v>2641</v>
      </c>
      <c r="I1206" s="13" t="s">
        <v>2305</v>
      </c>
      <c r="J1206" s="4">
        <v>95677</v>
      </c>
      <c r="K1206" s="4">
        <v>1</v>
      </c>
      <c r="L1206" s="4">
        <v>105</v>
      </c>
      <c r="M1206" s="4">
        <v>2017</v>
      </c>
      <c r="N1206" s="4">
        <v>1</v>
      </c>
      <c r="O1206" s="4">
        <v>2</v>
      </c>
      <c r="P1206" s="4">
        <v>2</v>
      </c>
      <c r="Q1206" s="19">
        <v>533.99</v>
      </c>
      <c r="R1206" s="16">
        <v>0.2</v>
      </c>
      <c r="S1206" s="16">
        <v>1067.78</v>
      </c>
      <c r="T1206" s="5" t="s">
        <v>104</v>
      </c>
      <c r="U1206" s="13" t="s">
        <v>300</v>
      </c>
    </row>
    <row r="1207" spans="1:21" x14ac:dyDescent="0.35">
      <c r="A1207" s="4">
        <v>1206</v>
      </c>
      <c r="B1207" s="4">
        <v>222</v>
      </c>
      <c r="C1207" s="13" t="s">
        <v>2021</v>
      </c>
      <c r="D1207" s="13" t="s">
        <v>759</v>
      </c>
      <c r="E1207" s="5" t="s">
        <v>5566</v>
      </c>
      <c r="F1207" s="5" t="s">
        <v>4990</v>
      </c>
      <c r="G1207" s="5" t="s">
        <v>4991</v>
      </c>
      <c r="H1207" s="13" t="s">
        <v>2806</v>
      </c>
      <c r="I1207" s="13" t="s">
        <v>2309</v>
      </c>
      <c r="J1207" s="4">
        <v>11731</v>
      </c>
      <c r="K1207" s="4">
        <v>1</v>
      </c>
      <c r="L1207" s="4">
        <v>73</v>
      </c>
      <c r="M1207" s="4">
        <v>2017</v>
      </c>
      <c r="N1207" s="4">
        <v>2</v>
      </c>
      <c r="O1207" s="4">
        <v>6</v>
      </c>
      <c r="P1207" s="4">
        <v>1</v>
      </c>
      <c r="Q1207" s="19">
        <v>749.99</v>
      </c>
      <c r="R1207" s="16">
        <v>7.0000000000000007E-2</v>
      </c>
      <c r="S1207" s="16">
        <v>749.92</v>
      </c>
      <c r="T1207" s="5" t="s">
        <v>74</v>
      </c>
      <c r="U1207" s="13" t="s">
        <v>301</v>
      </c>
    </row>
    <row r="1208" spans="1:21" x14ac:dyDescent="0.35">
      <c r="A1208" s="4">
        <v>1207</v>
      </c>
      <c r="B1208" s="4">
        <v>1002</v>
      </c>
      <c r="C1208" s="13" t="s">
        <v>2022</v>
      </c>
      <c r="D1208" s="13" t="s">
        <v>2023</v>
      </c>
      <c r="E1208" s="5" t="s">
        <v>5566</v>
      </c>
      <c r="F1208" s="5" t="s">
        <v>4992</v>
      </c>
      <c r="G1208" s="5" t="s">
        <v>4993</v>
      </c>
      <c r="H1208" s="13" t="s">
        <v>2835</v>
      </c>
      <c r="I1208" s="13" t="s">
        <v>2309</v>
      </c>
      <c r="J1208" s="4">
        <v>11758</v>
      </c>
      <c r="K1208" s="4">
        <v>1</v>
      </c>
      <c r="L1208" s="4">
        <v>104</v>
      </c>
      <c r="M1208" s="4">
        <v>2017</v>
      </c>
      <c r="N1208" s="4">
        <v>2</v>
      </c>
      <c r="O1208" s="4">
        <v>6</v>
      </c>
      <c r="P1208" s="4">
        <v>1</v>
      </c>
      <c r="Q1208" s="19">
        <v>481.99</v>
      </c>
      <c r="R1208" s="16">
        <v>0.05</v>
      </c>
      <c r="S1208" s="16">
        <v>481.94</v>
      </c>
      <c r="T1208" s="5" t="s">
        <v>103</v>
      </c>
      <c r="U1208" s="13" t="s">
        <v>300</v>
      </c>
    </row>
    <row r="1209" spans="1:21" x14ac:dyDescent="0.35">
      <c r="A1209" s="4">
        <v>1208</v>
      </c>
      <c r="B1209" s="4">
        <v>1226</v>
      </c>
      <c r="C1209" s="13" t="s">
        <v>2024</v>
      </c>
      <c r="D1209" s="13" t="s">
        <v>1520</v>
      </c>
      <c r="E1209" s="5" t="s">
        <v>5566</v>
      </c>
      <c r="F1209" s="5" t="s">
        <v>4994</v>
      </c>
      <c r="G1209" s="5" t="s">
        <v>4995</v>
      </c>
      <c r="H1209" s="13" t="s">
        <v>2806</v>
      </c>
      <c r="I1209" s="13" t="s">
        <v>2309</v>
      </c>
      <c r="J1209" s="4">
        <v>11731</v>
      </c>
      <c r="K1209" s="4">
        <v>1</v>
      </c>
      <c r="L1209" s="4">
        <v>12</v>
      </c>
      <c r="M1209" s="4">
        <v>2016</v>
      </c>
      <c r="N1209" s="4">
        <v>2</v>
      </c>
      <c r="O1209" s="4">
        <v>7</v>
      </c>
      <c r="P1209" s="4">
        <v>1</v>
      </c>
      <c r="Q1209" s="19">
        <v>549.99</v>
      </c>
      <c r="R1209" s="16">
        <v>0.2</v>
      </c>
      <c r="S1209" s="16">
        <v>549.79</v>
      </c>
      <c r="T1209" s="5" t="s">
        <v>17</v>
      </c>
      <c r="U1209" s="13" t="s">
        <v>301</v>
      </c>
    </row>
    <row r="1210" spans="1:21" x14ac:dyDescent="0.35">
      <c r="A1210" s="4">
        <v>1209</v>
      </c>
      <c r="B1210" s="4">
        <v>1342</v>
      </c>
      <c r="C1210" s="13" t="s">
        <v>2025</v>
      </c>
      <c r="D1210" s="13" t="s">
        <v>1442</v>
      </c>
      <c r="E1210" s="5" t="s">
        <v>5566</v>
      </c>
      <c r="F1210" s="5" t="s">
        <v>4996</v>
      </c>
      <c r="G1210" s="5" t="s">
        <v>4997</v>
      </c>
      <c r="H1210" s="13" t="s">
        <v>2636</v>
      </c>
      <c r="I1210" s="13" t="s">
        <v>2309</v>
      </c>
      <c r="J1210" s="4">
        <v>11520</v>
      </c>
      <c r="K1210" s="4">
        <v>1</v>
      </c>
      <c r="L1210" s="4">
        <v>89</v>
      </c>
      <c r="M1210" s="4">
        <v>2017</v>
      </c>
      <c r="N1210" s="4">
        <v>2</v>
      </c>
      <c r="O1210" s="4">
        <v>7</v>
      </c>
      <c r="P1210" s="4">
        <v>1</v>
      </c>
      <c r="Q1210" s="19">
        <v>209.99</v>
      </c>
      <c r="R1210" s="16">
        <v>7.0000000000000007E-2</v>
      </c>
      <c r="S1210" s="16">
        <v>209.92000000000002</v>
      </c>
      <c r="T1210" s="5" t="s">
        <v>90</v>
      </c>
      <c r="U1210" s="13" t="s">
        <v>299</v>
      </c>
    </row>
    <row r="1211" spans="1:21" x14ac:dyDescent="0.35">
      <c r="A1211" s="4">
        <v>1210</v>
      </c>
      <c r="B1211" s="4">
        <v>730</v>
      </c>
      <c r="C1211" s="13" t="s">
        <v>2026</v>
      </c>
      <c r="D1211" s="13" t="s">
        <v>814</v>
      </c>
      <c r="E1211" s="5" t="s">
        <v>5566</v>
      </c>
      <c r="F1211" s="5" t="s">
        <v>4998</v>
      </c>
      <c r="G1211" s="5" t="s">
        <v>4999</v>
      </c>
      <c r="H1211" s="13" t="s">
        <v>4701</v>
      </c>
      <c r="I1211" s="13" t="s">
        <v>2397</v>
      </c>
      <c r="J1211" s="4">
        <v>79106</v>
      </c>
      <c r="K1211" s="4">
        <v>1</v>
      </c>
      <c r="L1211" s="4">
        <v>26</v>
      </c>
      <c r="M1211" s="4">
        <v>2016</v>
      </c>
      <c r="N1211" s="4">
        <v>3</v>
      </c>
      <c r="O1211" s="4">
        <v>8</v>
      </c>
      <c r="P1211" s="4">
        <v>1</v>
      </c>
      <c r="Q1211" s="19">
        <v>599.99</v>
      </c>
      <c r="R1211" s="16">
        <v>0.1</v>
      </c>
      <c r="S1211" s="16">
        <v>599.89</v>
      </c>
      <c r="T1211" s="5" t="s">
        <v>21</v>
      </c>
      <c r="U1211" s="13" t="s">
        <v>300</v>
      </c>
    </row>
    <row r="1212" spans="1:21" x14ac:dyDescent="0.35">
      <c r="A1212" s="4">
        <v>1211</v>
      </c>
      <c r="B1212" s="4">
        <v>19</v>
      </c>
      <c r="C1212" s="13" t="s">
        <v>2027</v>
      </c>
      <c r="D1212" s="13" t="s">
        <v>2028</v>
      </c>
      <c r="E1212" s="5" t="s">
        <v>5566</v>
      </c>
      <c r="F1212" s="5" t="s">
        <v>5000</v>
      </c>
      <c r="G1212" s="5" t="s">
        <v>5001</v>
      </c>
      <c r="H1212" s="13" t="s">
        <v>2390</v>
      </c>
      <c r="I1212" s="13" t="s">
        <v>2309</v>
      </c>
      <c r="J1212" s="4">
        <v>14127</v>
      </c>
      <c r="K1212" s="4">
        <v>1</v>
      </c>
      <c r="L1212" s="4">
        <v>15</v>
      </c>
      <c r="M1212" s="4">
        <v>2016</v>
      </c>
      <c r="N1212" s="4">
        <v>2</v>
      </c>
      <c r="O1212" s="4">
        <v>7</v>
      </c>
      <c r="P1212" s="4">
        <v>2</v>
      </c>
      <c r="Q1212" s="19">
        <v>529.99</v>
      </c>
      <c r="R1212" s="16">
        <v>0.2</v>
      </c>
      <c r="S1212" s="16">
        <v>1059.78</v>
      </c>
      <c r="T1212" s="5" t="s">
        <v>20</v>
      </c>
      <c r="U1212" s="13" t="s">
        <v>301</v>
      </c>
    </row>
    <row r="1213" spans="1:21" x14ac:dyDescent="0.35">
      <c r="A1213" s="4">
        <v>1212</v>
      </c>
      <c r="B1213" s="4">
        <v>213</v>
      </c>
      <c r="C1213" s="13" t="s">
        <v>1471</v>
      </c>
      <c r="D1213" s="13" t="s">
        <v>1731</v>
      </c>
      <c r="E1213" s="5" t="s">
        <v>5566</v>
      </c>
      <c r="F1213" s="5" t="s">
        <v>5002</v>
      </c>
      <c r="G1213" s="5" t="s">
        <v>5003</v>
      </c>
      <c r="H1213" s="13" t="s">
        <v>3247</v>
      </c>
      <c r="I1213" s="13" t="s">
        <v>2309</v>
      </c>
      <c r="J1213" s="4">
        <v>14075</v>
      </c>
      <c r="K1213" s="4">
        <v>1</v>
      </c>
      <c r="L1213" s="4">
        <v>74</v>
      </c>
      <c r="M1213" s="4">
        <v>2017</v>
      </c>
      <c r="N1213" s="4">
        <v>2</v>
      </c>
      <c r="O1213" s="4">
        <v>6</v>
      </c>
      <c r="P1213" s="4">
        <v>1</v>
      </c>
      <c r="Q1213" s="19">
        <v>439.99</v>
      </c>
      <c r="R1213" s="16">
        <v>0.1</v>
      </c>
      <c r="S1213" s="16">
        <v>439.89</v>
      </c>
      <c r="T1213" s="5" t="s">
        <v>75</v>
      </c>
      <c r="U1213" s="13" t="s">
        <v>301</v>
      </c>
    </row>
    <row r="1214" spans="1:21" x14ac:dyDescent="0.35">
      <c r="A1214" s="4">
        <v>1213</v>
      </c>
      <c r="B1214" s="4">
        <v>669</v>
      </c>
      <c r="C1214" s="13" t="s">
        <v>1734</v>
      </c>
      <c r="D1214" s="13" t="s">
        <v>815</v>
      </c>
      <c r="E1214" s="5" t="s">
        <v>5566</v>
      </c>
      <c r="F1214" s="5" t="s">
        <v>5004</v>
      </c>
      <c r="G1214" s="5" t="s">
        <v>5005</v>
      </c>
      <c r="H1214" s="13" t="s">
        <v>2396</v>
      </c>
      <c r="I1214" s="13" t="s">
        <v>2397</v>
      </c>
      <c r="J1214" s="4">
        <v>78552</v>
      </c>
      <c r="K1214" s="4">
        <v>1</v>
      </c>
      <c r="L1214" s="4">
        <v>64</v>
      </c>
      <c r="M1214" s="4">
        <v>2017</v>
      </c>
      <c r="N1214" s="4">
        <v>3</v>
      </c>
      <c r="O1214" s="4">
        <v>9</v>
      </c>
      <c r="P1214" s="4">
        <v>2</v>
      </c>
      <c r="Q1214" s="19">
        <v>489.99</v>
      </c>
      <c r="R1214" s="16">
        <v>7.0000000000000007E-2</v>
      </c>
      <c r="S1214" s="16">
        <v>979.91</v>
      </c>
      <c r="T1214" s="5" t="s">
        <v>65</v>
      </c>
      <c r="U1214" s="13" t="s">
        <v>301</v>
      </c>
    </row>
    <row r="1215" spans="1:21" x14ac:dyDescent="0.35">
      <c r="A1215" s="4">
        <v>1214</v>
      </c>
      <c r="B1215" s="4">
        <v>783</v>
      </c>
      <c r="C1215" s="13" t="s">
        <v>2029</v>
      </c>
      <c r="D1215" s="13" t="s">
        <v>2030</v>
      </c>
      <c r="E1215" s="5" t="s">
        <v>5006</v>
      </c>
      <c r="F1215" s="5" t="s">
        <v>5007</v>
      </c>
      <c r="G1215" s="5" t="s">
        <v>5008</v>
      </c>
      <c r="H1215" s="13" t="s">
        <v>2597</v>
      </c>
      <c r="I1215" s="13" t="s">
        <v>2309</v>
      </c>
      <c r="J1215" s="4">
        <v>14086</v>
      </c>
      <c r="K1215" s="4">
        <v>1</v>
      </c>
      <c r="L1215" s="4">
        <v>9</v>
      </c>
      <c r="M1215" s="4">
        <v>2016</v>
      </c>
      <c r="N1215" s="4">
        <v>2</v>
      </c>
      <c r="O1215" s="4">
        <v>6</v>
      </c>
      <c r="P1215" s="4">
        <v>2</v>
      </c>
      <c r="Q1215" s="19">
        <v>2999.99</v>
      </c>
      <c r="R1215" s="16">
        <v>0.05</v>
      </c>
      <c r="S1215" s="16">
        <v>5999.9299999999994</v>
      </c>
      <c r="T1215" s="5" t="s">
        <v>14</v>
      </c>
      <c r="U1215" s="13" t="s">
        <v>303</v>
      </c>
    </row>
    <row r="1216" spans="1:21" x14ac:dyDescent="0.35">
      <c r="A1216" s="4">
        <v>1215</v>
      </c>
      <c r="B1216" s="4">
        <v>807</v>
      </c>
      <c r="C1216" s="13" t="s">
        <v>2031</v>
      </c>
      <c r="D1216" s="13" t="s">
        <v>1301</v>
      </c>
      <c r="E1216" s="5" t="s">
        <v>5566</v>
      </c>
      <c r="F1216" s="5" t="s">
        <v>5009</v>
      </c>
      <c r="G1216" s="5" t="s">
        <v>5010</v>
      </c>
      <c r="H1216" s="13" t="s">
        <v>2412</v>
      </c>
      <c r="I1216" s="13" t="s">
        <v>2309</v>
      </c>
      <c r="J1216" s="4">
        <v>11795</v>
      </c>
      <c r="K1216" s="4">
        <v>1</v>
      </c>
      <c r="L1216" s="4">
        <v>73</v>
      </c>
      <c r="M1216" s="4">
        <v>2017</v>
      </c>
      <c r="N1216" s="4">
        <v>2</v>
      </c>
      <c r="O1216" s="4">
        <v>7</v>
      </c>
      <c r="P1216" s="4">
        <v>2</v>
      </c>
      <c r="Q1216" s="19">
        <v>749.99</v>
      </c>
      <c r="R1216" s="16">
        <v>0.1</v>
      </c>
      <c r="S1216" s="16">
        <v>1499.88</v>
      </c>
      <c r="T1216" s="5" t="s">
        <v>74</v>
      </c>
      <c r="U1216" s="13" t="s">
        <v>301</v>
      </c>
    </row>
    <row r="1217" spans="1:21" x14ac:dyDescent="0.35">
      <c r="A1217" s="4">
        <v>1216</v>
      </c>
      <c r="B1217" s="4">
        <v>886</v>
      </c>
      <c r="C1217" s="13" t="s">
        <v>2032</v>
      </c>
      <c r="D1217" s="13" t="s">
        <v>429</v>
      </c>
      <c r="E1217" s="5" t="s">
        <v>5566</v>
      </c>
      <c r="F1217" s="5" t="s">
        <v>5011</v>
      </c>
      <c r="G1217" s="5" t="s">
        <v>5012</v>
      </c>
      <c r="H1217" s="13" t="s">
        <v>2732</v>
      </c>
      <c r="I1217" s="13" t="s">
        <v>2309</v>
      </c>
      <c r="J1217" s="4">
        <v>14120</v>
      </c>
      <c r="K1217" s="4">
        <v>1</v>
      </c>
      <c r="L1217" s="4">
        <v>64</v>
      </c>
      <c r="M1217" s="4">
        <v>2017</v>
      </c>
      <c r="N1217" s="4">
        <v>2</v>
      </c>
      <c r="O1217" s="4">
        <v>7</v>
      </c>
      <c r="P1217" s="4">
        <v>2</v>
      </c>
      <c r="Q1217" s="19">
        <v>489.99</v>
      </c>
      <c r="R1217" s="16">
        <v>0.1</v>
      </c>
      <c r="S1217" s="16">
        <v>979.88</v>
      </c>
      <c r="T1217" s="5" t="s">
        <v>65</v>
      </c>
      <c r="U1217" s="13" t="s">
        <v>301</v>
      </c>
    </row>
    <row r="1218" spans="1:21" x14ac:dyDescent="0.35">
      <c r="A1218" s="4">
        <v>1217</v>
      </c>
      <c r="B1218" s="4">
        <v>1155</v>
      </c>
      <c r="C1218" s="13" t="s">
        <v>2033</v>
      </c>
      <c r="D1218" s="13" t="s">
        <v>1236</v>
      </c>
      <c r="E1218" s="5" t="s">
        <v>5566</v>
      </c>
      <c r="F1218" s="5" t="s">
        <v>5013</v>
      </c>
      <c r="G1218" s="5" t="s">
        <v>5014</v>
      </c>
      <c r="H1218" s="13" t="s">
        <v>2499</v>
      </c>
      <c r="I1218" s="13" t="s">
        <v>2309</v>
      </c>
      <c r="J1218" s="4">
        <v>11691</v>
      </c>
      <c r="K1218" s="4">
        <v>1</v>
      </c>
      <c r="L1218" s="4">
        <v>73</v>
      </c>
      <c r="M1218" s="4">
        <v>2017</v>
      </c>
      <c r="N1218" s="4">
        <v>2</v>
      </c>
      <c r="O1218" s="4">
        <v>7</v>
      </c>
      <c r="P1218" s="4">
        <v>1</v>
      </c>
      <c r="Q1218" s="19">
        <v>749.99</v>
      </c>
      <c r="R1218" s="16">
        <v>0.05</v>
      </c>
      <c r="S1218" s="16">
        <v>749.94</v>
      </c>
      <c r="T1218" s="5" t="s">
        <v>74</v>
      </c>
      <c r="U1218" s="13" t="s">
        <v>301</v>
      </c>
    </row>
    <row r="1219" spans="1:21" x14ac:dyDescent="0.35">
      <c r="A1219" s="4">
        <v>1218</v>
      </c>
      <c r="B1219" s="4">
        <v>1017</v>
      </c>
      <c r="C1219" s="13" t="s">
        <v>2034</v>
      </c>
      <c r="D1219" s="13" t="s">
        <v>1076</v>
      </c>
      <c r="E1219" s="5" t="s">
        <v>5015</v>
      </c>
      <c r="F1219" s="5" t="s">
        <v>5016</v>
      </c>
      <c r="G1219" s="5" t="s">
        <v>5017</v>
      </c>
      <c r="H1219" s="13" t="s">
        <v>2758</v>
      </c>
      <c r="I1219" s="13" t="s">
        <v>2305</v>
      </c>
      <c r="J1219" s="4">
        <v>94603</v>
      </c>
      <c r="K1219" s="4">
        <v>1</v>
      </c>
      <c r="L1219" s="4">
        <v>32</v>
      </c>
      <c r="M1219" s="4">
        <v>2017</v>
      </c>
      <c r="N1219" s="4">
        <v>1</v>
      </c>
      <c r="O1219" s="4">
        <v>2</v>
      </c>
      <c r="P1219" s="4">
        <v>1</v>
      </c>
      <c r="Q1219" s="19">
        <v>469.99</v>
      </c>
      <c r="R1219" s="16">
        <v>7.0000000000000007E-2</v>
      </c>
      <c r="S1219" s="16">
        <v>469.92</v>
      </c>
      <c r="T1219" s="5" t="s">
        <v>33</v>
      </c>
      <c r="U1219" s="13" t="s">
        <v>304</v>
      </c>
    </row>
    <row r="1220" spans="1:21" x14ac:dyDescent="0.35">
      <c r="A1220" s="4">
        <v>1219</v>
      </c>
      <c r="B1220" s="4">
        <v>840</v>
      </c>
      <c r="C1220" s="13" t="s">
        <v>1350</v>
      </c>
      <c r="D1220" s="13" t="s">
        <v>2035</v>
      </c>
      <c r="E1220" s="5" t="s">
        <v>5566</v>
      </c>
      <c r="F1220" s="5" t="s">
        <v>5018</v>
      </c>
      <c r="G1220" s="5" t="s">
        <v>5019</v>
      </c>
      <c r="H1220" s="13" t="s">
        <v>2631</v>
      </c>
      <c r="I1220" s="13" t="s">
        <v>2309</v>
      </c>
      <c r="J1220" s="4">
        <v>11369</v>
      </c>
      <c r="K1220" s="4">
        <v>1</v>
      </c>
      <c r="L1220" s="4">
        <v>17</v>
      </c>
      <c r="M1220" s="4">
        <v>2016</v>
      </c>
      <c r="N1220" s="4">
        <v>2</v>
      </c>
      <c r="O1220" s="4">
        <v>7</v>
      </c>
      <c r="P1220" s="4">
        <v>2</v>
      </c>
      <c r="Q1220" s="19">
        <v>429</v>
      </c>
      <c r="R1220" s="16">
        <v>7.0000000000000007E-2</v>
      </c>
      <c r="S1220" s="16">
        <v>857.93</v>
      </c>
      <c r="T1220" s="5" t="s">
        <v>22</v>
      </c>
      <c r="U1220" s="13" t="s">
        <v>301</v>
      </c>
    </row>
    <row r="1221" spans="1:21" x14ac:dyDescent="0.35">
      <c r="A1221" s="4">
        <v>1220</v>
      </c>
      <c r="B1221" s="4">
        <v>803</v>
      </c>
      <c r="C1221" s="13" t="s">
        <v>2036</v>
      </c>
      <c r="D1221" s="13" t="s">
        <v>584</v>
      </c>
      <c r="E1221" s="5" t="s">
        <v>5566</v>
      </c>
      <c r="F1221" s="5" t="s">
        <v>5020</v>
      </c>
      <c r="G1221" s="5" t="s">
        <v>5021</v>
      </c>
      <c r="H1221" s="13" t="s">
        <v>3018</v>
      </c>
      <c r="I1221" s="13" t="s">
        <v>2309</v>
      </c>
      <c r="J1221" s="4">
        <v>11357</v>
      </c>
      <c r="K1221" s="4">
        <v>1</v>
      </c>
      <c r="L1221" s="4">
        <v>47</v>
      </c>
      <c r="M1221" s="4">
        <v>2017</v>
      </c>
      <c r="N1221" s="4">
        <v>2</v>
      </c>
      <c r="O1221" s="4">
        <v>6</v>
      </c>
      <c r="P1221" s="4">
        <v>2</v>
      </c>
      <c r="Q1221" s="19">
        <v>5299.99</v>
      </c>
      <c r="R1221" s="16">
        <v>0.1</v>
      </c>
      <c r="S1221" s="16">
        <v>10599.88</v>
      </c>
      <c r="T1221" s="5" t="s">
        <v>48</v>
      </c>
      <c r="U1221" s="13" t="s">
        <v>304</v>
      </c>
    </row>
    <row r="1222" spans="1:21" x14ac:dyDescent="0.35">
      <c r="A1222" s="4">
        <v>1221</v>
      </c>
      <c r="B1222" s="4">
        <v>1290</v>
      </c>
      <c r="C1222" s="13" t="s">
        <v>2037</v>
      </c>
      <c r="D1222" s="13" t="s">
        <v>1328</v>
      </c>
      <c r="E1222" s="5" t="s">
        <v>5566</v>
      </c>
      <c r="F1222" s="5" t="s">
        <v>5022</v>
      </c>
      <c r="G1222" s="5" t="s">
        <v>5023</v>
      </c>
      <c r="H1222" s="13" t="s">
        <v>2653</v>
      </c>
      <c r="I1222" s="13" t="s">
        <v>2309</v>
      </c>
      <c r="J1222" s="4">
        <v>11419</v>
      </c>
      <c r="K1222" s="4">
        <v>1</v>
      </c>
      <c r="L1222" s="4">
        <v>100</v>
      </c>
      <c r="M1222" s="4">
        <v>2017</v>
      </c>
      <c r="N1222" s="4">
        <v>2</v>
      </c>
      <c r="O1222" s="4">
        <v>7</v>
      </c>
      <c r="P1222" s="4">
        <v>1</v>
      </c>
      <c r="Q1222" s="19">
        <v>489.99</v>
      </c>
      <c r="R1222" s="16">
        <v>0.05</v>
      </c>
      <c r="S1222" s="16">
        <v>489.94</v>
      </c>
      <c r="T1222" s="5" t="s">
        <v>100</v>
      </c>
      <c r="U1222" s="13" t="s">
        <v>299</v>
      </c>
    </row>
    <row r="1223" spans="1:21" x14ac:dyDescent="0.35">
      <c r="A1223" s="4">
        <v>1222</v>
      </c>
      <c r="B1223" s="4">
        <v>482</v>
      </c>
      <c r="C1223" s="13" t="s">
        <v>2038</v>
      </c>
      <c r="D1223" s="13" t="s">
        <v>487</v>
      </c>
      <c r="E1223" s="5" t="s">
        <v>5566</v>
      </c>
      <c r="F1223" s="5" t="s">
        <v>5024</v>
      </c>
      <c r="G1223" s="5" t="s">
        <v>5025</v>
      </c>
      <c r="H1223" s="13" t="s">
        <v>4701</v>
      </c>
      <c r="I1223" s="13" t="s">
        <v>2397</v>
      </c>
      <c r="J1223" s="4">
        <v>79106</v>
      </c>
      <c r="K1223" s="4">
        <v>1</v>
      </c>
      <c r="L1223" s="4">
        <v>97</v>
      </c>
      <c r="M1223" s="4">
        <v>2017</v>
      </c>
      <c r="N1223" s="4">
        <v>3</v>
      </c>
      <c r="O1223" s="4">
        <v>9</v>
      </c>
      <c r="P1223" s="4">
        <v>1</v>
      </c>
      <c r="Q1223" s="19">
        <v>349.99</v>
      </c>
      <c r="R1223" s="16">
        <v>0.2</v>
      </c>
      <c r="S1223" s="16">
        <v>349.79</v>
      </c>
      <c r="T1223" s="5" t="s">
        <v>97</v>
      </c>
      <c r="U1223" s="13" t="s">
        <v>299</v>
      </c>
    </row>
    <row r="1224" spans="1:21" x14ac:dyDescent="0.35">
      <c r="A1224" s="4">
        <v>1223</v>
      </c>
      <c r="B1224" s="4">
        <v>1207</v>
      </c>
      <c r="C1224" s="13" t="s">
        <v>2039</v>
      </c>
      <c r="D1224" s="13" t="s">
        <v>2012</v>
      </c>
      <c r="E1224" s="5" t="s">
        <v>5026</v>
      </c>
      <c r="F1224" s="5" t="s">
        <v>5027</v>
      </c>
      <c r="G1224" s="5" t="s">
        <v>5028</v>
      </c>
      <c r="H1224" s="13" t="s">
        <v>2698</v>
      </c>
      <c r="I1224" s="13" t="s">
        <v>2309</v>
      </c>
      <c r="J1224" s="4">
        <v>11717</v>
      </c>
      <c r="K1224" s="4">
        <v>1</v>
      </c>
      <c r="L1224" s="4">
        <v>103</v>
      </c>
      <c r="M1224" s="4">
        <v>2017</v>
      </c>
      <c r="N1224" s="4">
        <v>2</v>
      </c>
      <c r="O1224" s="4">
        <v>6</v>
      </c>
      <c r="P1224" s="4">
        <v>1</v>
      </c>
      <c r="Q1224" s="19">
        <v>551.99</v>
      </c>
      <c r="R1224" s="16">
        <v>0.05</v>
      </c>
      <c r="S1224" s="16">
        <v>551.94000000000005</v>
      </c>
      <c r="T1224" s="5" t="s">
        <v>102</v>
      </c>
      <c r="U1224" s="13" t="s">
        <v>300</v>
      </c>
    </row>
    <row r="1225" spans="1:21" x14ac:dyDescent="0.35">
      <c r="A1225" s="4">
        <v>1224</v>
      </c>
      <c r="B1225" s="4">
        <v>544</v>
      </c>
      <c r="C1225" s="13" t="s">
        <v>2040</v>
      </c>
      <c r="D1225" s="13" t="s">
        <v>2041</v>
      </c>
      <c r="E1225" s="5" t="s">
        <v>5566</v>
      </c>
      <c r="F1225" s="5" t="s">
        <v>5029</v>
      </c>
      <c r="G1225" s="5" t="s">
        <v>5030</v>
      </c>
      <c r="H1225" s="13" t="s">
        <v>2412</v>
      </c>
      <c r="I1225" s="13" t="s">
        <v>2309</v>
      </c>
      <c r="J1225" s="4">
        <v>11795</v>
      </c>
      <c r="K1225" s="4">
        <v>1</v>
      </c>
      <c r="L1225" s="4">
        <v>62</v>
      </c>
      <c r="M1225" s="4">
        <v>2017</v>
      </c>
      <c r="N1225" s="4">
        <v>2</v>
      </c>
      <c r="O1225" s="4">
        <v>6</v>
      </c>
      <c r="P1225" s="4">
        <v>1</v>
      </c>
      <c r="Q1225" s="19">
        <v>3499.99</v>
      </c>
      <c r="R1225" s="16">
        <v>7.0000000000000007E-2</v>
      </c>
      <c r="S1225" s="16">
        <v>3499.9199999999996</v>
      </c>
      <c r="T1225" s="5" t="s">
        <v>63</v>
      </c>
      <c r="U1225" s="13" t="s">
        <v>302</v>
      </c>
    </row>
    <row r="1226" spans="1:21" x14ac:dyDescent="0.35">
      <c r="A1226" s="4">
        <v>1225</v>
      </c>
      <c r="B1226" s="4">
        <v>768</v>
      </c>
      <c r="C1226" s="13" t="s">
        <v>381</v>
      </c>
      <c r="D1226" s="13" t="s">
        <v>779</v>
      </c>
      <c r="E1226" s="5" t="s">
        <v>5566</v>
      </c>
      <c r="F1226" s="5" t="s">
        <v>5031</v>
      </c>
      <c r="G1226" s="5" t="s">
        <v>5032</v>
      </c>
      <c r="H1226" s="13" t="s">
        <v>2564</v>
      </c>
      <c r="I1226" s="13" t="s">
        <v>2305</v>
      </c>
      <c r="J1226" s="4">
        <v>94806</v>
      </c>
      <c r="K1226" s="4">
        <v>1</v>
      </c>
      <c r="L1226" s="4">
        <v>81</v>
      </c>
      <c r="M1226" s="4">
        <v>2017</v>
      </c>
      <c r="N1226" s="4">
        <v>1</v>
      </c>
      <c r="O1226" s="4">
        <v>2</v>
      </c>
      <c r="P1226" s="4">
        <v>1</v>
      </c>
      <c r="Q1226" s="19">
        <v>1099.99</v>
      </c>
      <c r="R1226" s="16">
        <v>0.1</v>
      </c>
      <c r="S1226" s="16">
        <v>1099.8900000000001</v>
      </c>
      <c r="T1226" s="5" t="s">
        <v>82</v>
      </c>
      <c r="U1226" s="13" t="s">
        <v>301</v>
      </c>
    </row>
    <row r="1227" spans="1:21" x14ac:dyDescent="0.35">
      <c r="A1227" s="4">
        <v>1226</v>
      </c>
      <c r="B1227" s="4">
        <v>226</v>
      </c>
      <c r="C1227" s="13" t="s">
        <v>2042</v>
      </c>
      <c r="D1227" s="13" t="s">
        <v>635</v>
      </c>
      <c r="E1227" s="5" t="s">
        <v>5566</v>
      </c>
      <c r="F1227" s="5" t="s">
        <v>5033</v>
      </c>
      <c r="G1227" s="5" t="s">
        <v>5034</v>
      </c>
      <c r="H1227" s="13" t="s">
        <v>2387</v>
      </c>
      <c r="I1227" s="13" t="s">
        <v>2309</v>
      </c>
      <c r="J1227" s="4">
        <v>11418</v>
      </c>
      <c r="K1227" s="4">
        <v>1</v>
      </c>
      <c r="L1227" s="4">
        <v>77</v>
      </c>
      <c r="M1227" s="4">
        <v>2017</v>
      </c>
      <c r="N1227" s="4">
        <v>2</v>
      </c>
      <c r="O1227" s="4">
        <v>7</v>
      </c>
      <c r="P1227" s="4">
        <v>2</v>
      </c>
      <c r="Q1227" s="19">
        <v>799.99</v>
      </c>
      <c r="R1227" s="16">
        <v>0.05</v>
      </c>
      <c r="S1227" s="16">
        <v>1599.93</v>
      </c>
      <c r="T1227" s="5" t="s">
        <v>78</v>
      </c>
      <c r="U1227" s="13" t="s">
        <v>301</v>
      </c>
    </row>
    <row r="1228" spans="1:21" x14ac:dyDescent="0.35">
      <c r="A1228" s="4">
        <v>1227</v>
      </c>
      <c r="B1228" s="4">
        <v>702</v>
      </c>
      <c r="C1228" s="13" t="s">
        <v>553</v>
      </c>
      <c r="D1228" s="13" t="s">
        <v>1282</v>
      </c>
      <c r="E1228" s="5" t="s">
        <v>5566</v>
      </c>
      <c r="F1228" s="5" t="s">
        <v>5035</v>
      </c>
      <c r="G1228" s="5" t="s">
        <v>5036</v>
      </c>
      <c r="H1228" s="13" t="s">
        <v>2393</v>
      </c>
      <c r="I1228" s="13" t="s">
        <v>2309</v>
      </c>
      <c r="J1228" s="4">
        <v>11566</v>
      </c>
      <c r="K1228" s="4">
        <v>1</v>
      </c>
      <c r="L1228" s="4">
        <v>90</v>
      </c>
      <c r="M1228" s="4">
        <v>2017</v>
      </c>
      <c r="N1228" s="4">
        <v>2</v>
      </c>
      <c r="O1228" s="4">
        <v>6</v>
      </c>
      <c r="P1228" s="4">
        <v>2</v>
      </c>
      <c r="Q1228" s="19">
        <v>209.99</v>
      </c>
      <c r="R1228" s="16">
        <v>0.2</v>
      </c>
      <c r="S1228" s="16">
        <v>419.78000000000003</v>
      </c>
      <c r="T1228" s="5" t="s">
        <v>91</v>
      </c>
      <c r="U1228" s="13" t="s">
        <v>299</v>
      </c>
    </row>
    <row r="1229" spans="1:21" x14ac:dyDescent="0.35">
      <c r="A1229" s="4">
        <v>1228</v>
      </c>
      <c r="B1229" s="4">
        <v>1041</v>
      </c>
      <c r="C1229" s="13" t="s">
        <v>2043</v>
      </c>
      <c r="D1229" s="13" t="s">
        <v>564</v>
      </c>
      <c r="E1229" s="5" t="s">
        <v>5566</v>
      </c>
      <c r="F1229" s="5" t="s">
        <v>5037</v>
      </c>
      <c r="G1229" s="5" t="s">
        <v>5038</v>
      </c>
      <c r="H1229" s="13" t="s">
        <v>2669</v>
      </c>
      <c r="I1229" s="13" t="s">
        <v>2309</v>
      </c>
      <c r="J1229" s="4">
        <v>13126</v>
      </c>
      <c r="K1229" s="4">
        <v>1</v>
      </c>
      <c r="L1229" s="4">
        <v>92</v>
      </c>
      <c r="M1229" s="4">
        <v>2017</v>
      </c>
      <c r="N1229" s="4">
        <v>2</v>
      </c>
      <c r="O1229" s="4">
        <v>6</v>
      </c>
      <c r="P1229" s="4">
        <v>1</v>
      </c>
      <c r="Q1229" s="19">
        <v>209.99</v>
      </c>
      <c r="R1229" s="16">
        <v>0.2</v>
      </c>
      <c r="S1229" s="16">
        <v>209.79000000000002</v>
      </c>
      <c r="T1229" s="5" t="s">
        <v>93</v>
      </c>
      <c r="U1229" s="13" t="s">
        <v>299</v>
      </c>
    </row>
    <row r="1230" spans="1:21" x14ac:dyDescent="0.35">
      <c r="A1230" s="4">
        <v>1229</v>
      </c>
      <c r="B1230" s="4">
        <v>89</v>
      </c>
      <c r="C1230" s="13" t="s">
        <v>1746</v>
      </c>
      <c r="D1230" s="13" t="s">
        <v>425</v>
      </c>
      <c r="E1230" s="5" t="s">
        <v>5566</v>
      </c>
      <c r="F1230" s="5" t="s">
        <v>5039</v>
      </c>
      <c r="G1230" s="5" t="s">
        <v>5040</v>
      </c>
      <c r="H1230" s="13" t="s">
        <v>2544</v>
      </c>
      <c r="I1230" s="13" t="s">
        <v>2305</v>
      </c>
      <c r="J1230" s="4">
        <v>91784</v>
      </c>
      <c r="K1230" s="4">
        <v>1</v>
      </c>
      <c r="L1230" s="4">
        <v>36</v>
      </c>
      <c r="M1230" s="4">
        <v>2017</v>
      </c>
      <c r="N1230" s="4">
        <v>1</v>
      </c>
      <c r="O1230" s="4">
        <v>3</v>
      </c>
      <c r="P1230" s="4">
        <v>2</v>
      </c>
      <c r="Q1230" s="19">
        <v>832.99</v>
      </c>
      <c r="R1230" s="16">
        <v>7.0000000000000007E-2</v>
      </c>
      <c r="S1230" s="16">
        <v>1665.91</v>
      </c>
      <c r="T1230" s="5" t="s">
        <v>37</v>
      </c>
      <c r="U1230" s="13" t="s">
        <v>304</v>
      </c>
    </row>
    <row r="1231" spans="1:21" x14ac:dyDescent="0.35">
      <c r="A1231" s="4">
        <v>1230</v>
      </c>
      <c r="B1231" s="4">
        <v>1107</v>
      </c>
      <c r="C1231" s="13" t="s">
        <v>2044</v>
      </c>
      <c r="D1231" s="13" t="s">
        <v>1592</v>
      </c>
      <c r="E1231" s="5" t="s">
        <v>5566</v>
      </c>
      <c r="F1231" s="5" t="s">
        <v>5041</v>
      </c>
      <c r="G1231" s="5" t="s">
        <v>5042</v>
      </c>
      <c r="H1231" s="13" t="s">
        <v>2327</v>
      </c>
      <c r="I1231" s="13" t="s">
        <v>2309</v>
      </c>
      <c r="J1231" s="4">
        <v>12866</v>
      </c>
      <c r="K1231" s="4">
        <v>1</v>
      </c>
      <c r="L1231" s="4">
        <v>32</v>
      </c>
      <c r="M1231" s="4">
        <v>2017</v>
      </c>
      <c r="N1231" s="4">
        <v>2</v>
      </c>
      <c r="O1231" s="4">
        <v>6</v>
      </c>
      <c r="P1231" s="4">
        <v>2</v>
      </c>
      <c r="Q1231" s="19">
        <v>469.99</v>
      </c>
      <c r="R1231" s="16">
        <v>0.1</v>
      </c>
      <c r="S1231" s="16">
        <v>939.88</v>
      </c>
      <c r="T1231" s="5" t="s">
        <v>33</v>
      </c>
      <c r="U1231" s="13" t="s">
        <v>304</v>
      </c>
    </row>
    <row r="1232" spans="1:21" x14ac:dyDescent="0.35">
      <c r="A1232" s="4">
        <v>1231</v>
      </c>
      <c r="B1232" s="4">
        <v>1180</v>
      </c>
      <c r="C1232" s="13" t="s">
        <v>2045</v>
      </c>
      <c r="D1232" s="13" t="s">
        <v>1950</v>
      </c>
      <c r="E1232" s="5" t="s">
        <v>5566</v>
      </c>
      <c r="F1232" s="5" t="s">
        <v>5043</v>
      </c>
      <c r="G1232" s="5" t="s">
        <v>5044</v>
      </c>
      <c r="H1232" s="13" t="s">
        <v>2950</v>
      </c>
      <c r="I1232" s="13" t="s">
        <v>2309</v>
      </c>
      <c r="J1232" s="4">
        <v>11735</v>
      </c>
      <c r="K1232" s="4">
        <v>1</v>
      </c>
      <c r="L1232" s="4">
        <v>75</v>
      </c>
      <c r="M1232" s="4">
        <v>2017</v>
      </c>
      <c r="N1232" s="4">
        <v>2</v>
      </c>
      <c r="O1232" s="4">
        <v>6</v>
      </c>
      <c r="P1232" s="4">
        <v>2</v>
      </c>
      <c r="Q1232" s="19">
        <v>599.99</v>
      </c>
      <c r="R1232" s="16">
        <v>0.05</v>
      </c>
      <c r="S1232" s="16">
        <v>1199.93</v>
      </c>
      <c r="T1232" s="5" t="s">
        <v>76</v>
      </c>
      <c r="U1232" s="13" t="s">
        <v>301</v>
      </c>
    </row>
    <row r="1233" spans="1:21" x14ac:dyDescent="0.35">
      <c r="A1233" s="4">
        <v>1232</v>
      </c>
      <c r="B1233" s="4">
        <v>665</v>
      </c>
      <c r="C1233" s="13" t="s">
        <v>2046</v>
      </c>
      <c r="D1233" s="13" t="s">
        <v>1990</v>
      </c>
      <c r="E1233" s="5" t="s">
        <v>5045</v>
      </c>
      <c r="F1233" s="5" t="s">
        <v>5046</v>
      </c>
      <c r="G1233" s="5" t="s">
        <v>5047</v>
      </c>
      <c r="H1233" s="13" t="s">
        <v>2758</v>
      </c>
      <c r="I1233" s="13" t="s">
        <v>2305</v>
      </c>
      <c r="J1233" s="4">
        <v>94603</v>
      </c>
      <c r="K1233" s="4">
        <v>1</v>
      </c>
      <c r="L1233" s="4">
        <v>4</v>
      </c>
      <c r="M1233" s="4">
        <v>2016</v>
      </c>
      <c r="N1233" s="4">
        <v>1</v>
      </c>
      <c r="O1233" s="4">
        <v>3</v>
      </c>
      <c r="P1233" s="4">
        <v>2</v>
      </c>
      <c r="Q1233" s="19">
        <v>2899.99</v>
      </c>
      <c r="R1233" s="16">
        <v>7.0000000000000007E-2</v>
      </c>
      <c r="S1233" s="16">
        <v>5799.91</v>
      </c>
      <c r="T1233" s="5" t="s">
        <v>9</v>
      </c>
      <c r="U1233" s="13" t="s">
        <v>304</v>
      </c>
    </row>
    <row r="1234" spans="1:21" x14ac:dyDescent="0.35">
      <c r="A1234" s="4">
        <v>1233</v>
      </c>
      <c r="B1234" s="4">
        <v>462</v>
      </c>
      <c r="C1234" s="13" t="s">
        <v>1888</v>
      </c>
      <c r="D1234" s="13" t="s">
        <v>2047</v>
      </c>
      <c r="E1234" s="5" t="s">
        <v>5566</v>
      </c>
      <c r="F1234" s="5" t="s">
        <v>5048</v>
      </c>
      <c r="G1234" s="5" t="s">
        <v>5049</v>
      </c>
      <c r="H1234" s="13" t="s">
        <v>2918</v>
      </c>
      <c r="I1234" s="13" t="s">
        <v>2309</v>
      </c>
      <c r="J1234" s="4">
        <v>10954</v>
      </c>
      <c r="K1234" s="4">
        <v>1</v>
      </c>
      <c r="L1234" s="4">
        <v>87</v>
      </c>
      <c r="M1234" s="4">
        <v>2017</v>
      </c>
      <c r="N1234" s="4">
        <v>2</v>
      </c>
      <c r="O1234" s="4">
        <v>6</v>
      </c>
      <c r="P1234" s="4">
        <v>2</v>
      </c>
      <c r="Q1234" s="19">
        <v>189.99</v>
      </c>
      <c r="R1234" s="16">
        <v>0.2</v>
      </c>
      <c r="S1234" s="16">
        <v>379.78000000000003</v>
      </c>
      <c r="T1234" s="5" t="s">
        <v>88</v>
      </c>
      <c r="U1234" s="13" t="s">
        <v>299</v>
      </c>
    </row>
    <row r="1235" spans="1:21" x14ac:dyDescent="0.35">
      <c r="A1235" s="4">
        <v>1234</v>
      </c>
      <c r="B1235" s="4">
        <v>19</v>
      </c>
      <c r="C1235" s="13" t="s">
        <v>2027</v>
      </c>
      <c r="D1235" s="13" t="s">
        <v>2028</v>
      </c>
      <c r="E1235" s="5" t="s">
        <v>5566</v>
      </c>
      <c r="F1235" s="5" t="s">
        <v>5000</v>
      </c>
      <c r="G1235" s="5" t="s">
        <v>5001</v>
      </c>
      <c r="H1235" s="13" t="s">
        <v>2390</v>
      </c>
      <c r="I1235" s="13" t="s">
        <v>2309</v>
      </c>
      <c r="J1235" s="4">
        <v>14127</v>
      </c>
      <c r="K1235" s="4">
        <v>1</v>
      </c>
      <c r="L1235" s="4">
        <v>56</v>
      </c>
      <c r="M1235" s="4">
        <v>2017</v>
      </c>
      <c r="N1235" s="4">
        <v>2</v>
      </c>
      <c r="O1235" s="4">
        <v>6</v>
      </c>
      <c r="P1235" s="4">
        <v>2</v>
      </c>
      <c r="Q1235" s="19">
        <v>5499.99</v>
      </c>
      <c r="R1235" s="16">
        <v>7.0000000000000007E-2</v>
      </c>
      <c r="S1235" s="16">
        <v>10999.91</v>
      </c>
      <c r="T1235" s="5" t="s">
        <v>57</v>
      </c>
      <c r="U1235" s="13" t="s">
        <v>305</v>
      </c>
    </row>
    <row r="1236" spans="1:21" x14ac:dyDescent="0.35">
      <c r="A1236" s="4">
        <v>1235</v>
      </c>
      <c r="B1236" s="4">
        <v>210</v>
      </c>
      <c r="C1236" s="13" t="s">
        <v>2048</v>
      </c>
      <c r="D1236" s="13" t="s">
        <v>463</v>
      </c>
      <c r="E1236" s="5" t="s">
        <v>5050</v>
      </c>
      <c r="F1236" s="5" t="s">
        <v>5051</v>
      </c>
      <c r="G1236" s="5" t="s">
        <v>5052</v>
      </c>
      <c r="H1236" s="13" t="s">
        <v>4365</v>
      </c>
      <c r="I1236" s="13" t="s">
        <v>2309</v>
      </c>
      <c r="J1236" s="4">
        <v>12203</v>
      </c>
      <c r="K1236" s="4">
        <v>1</v>
      </c>
      <c r="L1236" s="4">
        <v>7</v>
      </c>
      <c r="M1236" s="4">
        <v>2016</v>
      </c>
      <c r="N1236" s="4">
        <v>2</v>
      </c>
      <c r="O1236" s="4">
        <v>6</v>
      </c>
      <c r="P1236" s="4">
        <v>1</v>
      </c>
      <c r="Q1236" s="19">
        <v>3999.99</v>
      </c>
      <c r="R1236" s="16">
        <v>0.1</v>
      </c>
      <c r="S1236" s="16">
        <v>3999.89</v>
      </c>
      <c r="T1236" s="5" t="s">
        <v>12</v>
      </c>
      <c r="U1236" s="13" t="s">
        <v>304</v>
      </c>
    </row>
    <row r="1237" spans="1:21" x14ac:dyDescent="0.35">
      <c r="A1237" s="4">
        <v>1236</v>
      </c>
      <c r="B1237" s="4">
        <v>243</v>
      </c>
      <c r="C1237" s="13" t="s">
        <v>2049</v>
      </c>
      <c r="D1237" s="13" t="s">
        <v>2050</v>
      </c>
      <c r="E1237" s="5" t="s">
        <v>5566</v>
      </c>
      <c r="F1237" s="5" t="s">
        <v>5053</v>
      </c>
      <c r="G1237" s="5" t="s">
        <v>5054</v>
      </c>
      <c r="H1237" s="13" t="s">
        <v>2518</v>
      </c>
      <c r="I1237" s="13" t="s">
        <v>2309</v>
      </c>
      <c r="J1237" s="4">
        <v>12020</v>
      </c>
      <c r="K1237" s="4">
        <v>1</v>
      </c>
      <c r="L1237" s="4">
        <v>60</v>
      </c>
      <c r="M1237" s="4">
        <v>2017</v>
      </c>
      <c r="N1237" s="4">
        <v>2</v>
      </c>
      <c r="O1237" s="4">
        <v>7</v>
      </c>
      <c r="P1237" s="4">
        <v>1</v>
      </c>
      <c r="Q1237" s="19">
        <v>1559.99</v>
      </c>
      <c r="R1237" s="16">
        <v>7.0000000000000007E-2</v>
      </c>
      <c r="S1237" s="16">
        <v>1559.92</v>
      </c>
      <c r="T1237" s="5" t="s">
        <v>61</v>
      </c>
      <c r="U1237" s="13" t="s">
        <v>303</v>
      </c>
    </row>
    <row r="1238" spans="1:21" x14ac:dyDescent="0.35">
      <c r="A1238" s="4">
        <v>1237</v>
      </c>
      <c r="B1238" s="4">
        <v>571</v>
      </c>
      <c r="C1238" s="13" t="s">
        <v>2051</v>
      </c>
      <c r="D1238" s="13" t="s">
        <v>748</v>
      </c>
      <c r="E1238" s="5" t="s">
        <v>5566</v>
      </c>
      <c r="F1238" s="5" t="s">
        <v>5055</v>
      </c>
      <c r="G1238" s="5" t="s">
        <v>5056</v>
      </c>
      <c r="H1238" s="13" t="s">
        <v>2790</v>
      </c>
      <c r="I1238" s="13" t="s">
        <v>2305</v>
      </c>
      <c r="J1238" s="4">
        <v>90274</v>
      </c>
      <c r="K1238" s="4">
        <v>1</v>
      </c>
      <c r="L1238" s="4">
        <v>23</v>
      </c>
      <c r="M1238" s="4">
        <v>2016</v>
      </c>
      <c r="N1238" s="4">
        <v>1</v>
      </c>
      <c r="O1238" s="4">
        <v>2</v>
      </c>
      <c r="P1238" s="4">
        <v>1</v>
      </c>
      <c r="Q1238" s="19">
        <v>299.99</v>
      </c>
      <c r="R1238" s="16">
        <v>0.1</v>
      </c>
      <c r="S1238" s="16">
        <v>299.89</v>
      </c>
      <c r="T1238" s="5" t="s">
        <v>26</v>
      </c>
      <c r="U1238" s="13" t="s">
        <v>299</v>
      </c>
    </row>
    <row r="1239" spans="1:21" x14ac:dyDescent="0.35">
      <c r="A1239" s="4">
        <v>1238</v>
      </c>
      <c r="B1239" s="4">
        <v>998</v>
      </c>
      <c r="C1239" s="13" t="s">
        <v>1838</v>
      </c>
      <c r="D1239" s="13" t="s">
        <v>1062</v>
      </c>
      <c r="E1239" s="5" t="s">
        <v>5566</v>
      </c>
      <c r="F1239" s="5" t="s">
        <v>5057</v>
      </c>
      <c r="G1239" s="5" t="s">
        <v>5058</v>
      </c>
      <c r="H1239" s="13" t="s">
        <v>2933</v>
      </c>
      <c r="I1239" s="13" t="s">
        <v>2309</v>
      </c>
      <c r="J1239" s="4">
        <v>14701</v>
      </c>
      <c r="K1239" s="4">
        <v>1</v>
      </c>
      <c r="L1239" s="4">
        <v>40</v>
      </c>
      <c r="M1239" s="4">
        <v>2017</v>
      </c>
      <c r="N1239" s="4">
        <v>2</v>
      </c>
      <c r="O1239" s="4">
        <v>6</v>
      </c>
      <c r="P1239" s="4">
        <v>1</v>
      </c>
      <c r="Q1239" s="19">
        <v>4999.99</v>
      </c>
      <c r="R1239" s="16">
        <v>0.1</v>
      </c>
      <c r="S1239" s="16">
        <v>4999.8899999999994</v>
      </c>
      <c r="T1239" s="5" t="s">
        <v>41</v>
      </c>
      <c r="U1239" s="13" t="s">
        <v>304</v>
      </c>
    </row>
    <row r="1240" spans="1:21" x14ac:dyDescent="0.35">
      <c r="A1240" s="4">
        <v>1239</v>
      </c>
      <c r="B1240" s="4">
        <v>1197</v>
      </c>
      <c r="C1240" s="13" t="s">
        <v>2052</v>
      </c>
      <c r="D1240" s="13" t="s">
        <v>2053</v>
      </c>
      <c r="E1240" s="5" t="s">
        <v>5566</v>
      </c>
      <c r="F1240" s="5" t="s">
        <v>5059</v>
      </c>
      <c r="G1240" s="5" t="s">
        <v>5060</v>
      </c>
      <c r="H1240" s="13" t="s">
        <v>2525</v>
      </c>
      <c r="I1240" s="13" t="s">
        <v>2309</v>
      </c>
      <c r="J1240" s="4">
        <v>11050</v>
      </c>
      <c r="K1240" s="4">
        <v>1</v>
      </c>
      <c r="L1240" s="4">
        <v>15</v>
      </c>
      <c r="M1240" s="4">
        <v>2016</v>
      </c>
      <c r="N1240" s="4">
        <v>2</v>
      </c>
      <c r="O1240" s="4">
        <v>7</v>
      </c>
      <c r="P1240" s="4">
        <v>2</v>
      </c>
      <c r="Q1240" s="19">
        <v>529.99</v>
      </c>
      <c r="R1240" s="16">
        <v>0.2</v>
      </c>
      <c r="S1240" s="16">
        <v>1059.78</v>
      </c>
      <c r="T1240" s="5" t="s">
        <v>20</v>
      </c>
      <c r="U1240" s="13" t="s">
        <v>301</v>
      </c>
    </row>
    <row r="1241" spans="1:21" x14ac:dyDescent="0.35">
      <c r="A1241" s="4">
        <v>1240</v>
      </c>
      <c r="B1241" s="4">
        <v>903</v>
      </c>
      <c r="C1241" s="13" t="s">
        <v>2054</v>
      </c>
      <c r="D1241" s="13" t="s">
        <v>1247</v>
      </c>
      <c r="E1241" s="5" t="s">
        <v>5566</v>
      </c>
      <c r="F1241" s="5" t="s">
        <v>5061</v>
      </c>
      <c r="G1241" s="5" t="s">
        <v>5062</v>
      </c>
      <c r="H1241" s="13" t="s">
        <v>2858</v>
      </c>
      <c r="I1241" s="13" t="s">
        <v>2309</v>
      </c>
      <c r="J1241" s="4">
        <v>11801</v>
      </c>
      <c r="K1241" s="4">
        <v>1</v>
      </c>
      <c r="L1241" s="4">
        <v>107</v>
      </c>
      <c r="M1241" s="4">
        <v>2017</v>
      </c>
      <c r="N1241" s="4">
        <v>2</v>
      </c>
      <c r="O1241" s="4">
        <v>7</v>
      </c>
      <c r="P1241" s="4">
        <v>2</v>
      </c>
      <c r="Q1241" s="19">
        <v>416.99</v>
      </c>
      <c r="R1241" s="16">
        <v>0.1</v>
      </c>
      <c r="S1241" s="16">
        <v>833.88</v>
      </c>
      <c r="T1241" s="5" t="s">
        <v>70</v>
      </c>
      <c r="U1241" s="13" t="s">
        <v>300</v>
      </c>
    </row>
    <row r="1242" spans="1:21" x14ac:dyDescent="0.35">
      <c r="A1242" s="4">
        <v>1241</v>
      </c>
      <c r="B1242" s="4">
        <v>1170</v>
      </c>
      <c r="C1242" s="13" t="s">
        <v>2055</v>
      </c>
      <c r="D1242" s="13" t="s">
        <v>1138</v>
      </c>
      <c r="E1242" s="5" t="s">
        <v>5566</v>
      </c>
      <c r="F1242" s="5" t="s">
        <v>5063</v>
      </c>
      <c r="G1242" s="5" t="s">
        <v>5064</v>
      </c>
      <c r="H1242" s="13" t="s">
        <v>2387</v>
      </c>
      <c r="I1242" s="13" t="s">
        <v>2309</v>
      </c>
      <c r="J1242" s="4">
        <v>11418</v>
      </c>
      <c r="K1242" s="4">
        <v>1</v>
      </c>
      <c r="L1242" s="4">
        <v>74</v>
      </c>
      <c r="M1242" s="4">
        <v>2017</v>
      </c>
      <c r="N1242" s="4">
        <v>2</v>
      </c>
      <c r="O1242" s="4">
        <v>7</v>
      </c>
      <c r="P1242" s="4">
        <v>1</v>
      </c>
      <c r="Q1242" s="19">
        <v>439.99</v>
      </c>
      <c r="R1242" s="16">
        <v>0.05</v>
      </c>
      <c r="S1242" s="16">
        <v>439.94</v>
      </c>
      <c r="T1242" s="5" t="s">
        <v>75</v>
      </c>
      <c r="U1242" s="13" t="s">
        <v>301</v>
      </c>
    </row>
    <row r="1243" spans="1:21" x14ac:dyDescent="0.35">
      <c r="A1243" s="4">
        <v>1242</v>
      </c>
      <c r="B1243" s="4">
        <v>303</v>
      </c>
      <c r="C1243" s="13" t="s">
        <v>2056</v>
      </c>
      <c r="D1243" s="13" t="s">
        <v>668</v>
      </c>
      <c r="E1243" s="5" t="s">
        <v>5566</v>
      </c>
      <c r="F1243" s="5" t="s">
        <v>5065</v>
      </c>
      <c r="G1243" s="5" t="s">
        <v>5066</v>
      </c>
      <c r="H1243" s="13" t="s">
        <v>2865</v>
      </c>
      <c r="I1243" s="13" t="s">
        <v>2309</v>
      </c>
      <c r="J1243" s="4">
        <v>11421</v>
      </c>
      <c r="K1243" s="4">
        <v>1</v>
      </c>
      <c r="L1243" s="4">
        <v>94</v>
      </c>
      <c r="M1243" s="4">
        <v>2017</v>
      </c>
      <c r="N1243" s="4">
        <v>2</v>
      </c>
      <c r="O1243" s="4">
        <v>6</v>
      </c>
      <c r="P1243" s="4">
        <v>1</v>
      </c>
      <c r="Q1243" s="19">
        <v>249.99</v>
      </c>
      <c r="R1243" s="16">
        <v>0.05</v>
      </c>
      <c r="S1243" s="16">
        <v>249.94</v>
      </c>
      <c r="T1243" s="5" t="s">
        <v>95</v>
      </c>
      <c r="U1243" s="13" t="s">
        <v>299</v>
      </c>
    </row>
    <row r="1244" spans="1:21" x14ac:dyDescent="0.35">
      <c r="A1244" s="4">
        <v>1243</v>
      </c>
      <c r="B1244" s="4">
        <v>346</v>
      </c>
      <c r="C1244" s="13" t="s">
        <v>2057</v>
      </c>
      <c r="D1244" s="13" t="s">
        <v>1164</v>
      </c>
      <c r="E1244" s="5" t="s">
        <v>5566</v>
      </c>
      <c r="F1244" s="5" t="s">
        <v>5067</v>
      </c>
      <c r="G1244" s="5" t="s">
        <v>5068</v>
      </c>
      <c r="H1244" s="13" t="s">
        <v>2838</v>
      </c>
      <c r="I1244" s="13" t="s">
        <v>2309</v>
      </c>
      <c r="J1244" s="4">
        <v>11378</v>
      </c>
      <c r="K1244" s="4">
        <v>1</v>
      </c>
      <c r="L1244" s="4">
        <v>44</v>
      </c>
      <c r="M1244" s="4">
        <v>2017</v>
      </c>
      <c r="N1244" s="4">
        <v>2</v>
      </c>
      <c r="O1244" s="4">
        <v>6</v>
      </c>
      <c r="P1244" s="4">
        <v>1</v>
      </c>
      <c r="Q1244" s="19">
        <v>539.99</v>
      </c>
      <c r="R1244" s="16">
        <v>7.0000000000000007E-2</v>
      </c>
      <c r="S1244" s="16">
        <v>539.91999999999996</v>
      </c>
      <c r="T1244" s="5" t="s">
        <v>45</v>
      </c>
      <c r="U1244" s="13" t="s">
        <v>304</v>
      </c>
    </row>
    <row r="1245" spans="1:21" x14ac:dyDescent="0.35">
      <c r="A1245" s="4">
        <v>1244</v>
      </c>
      <c r="B1245" s="4">
        <v>333</v>
      </c>
      <c r="C1245" s="13" t="s">
        <v>2058</v>
      </c>
      <c r="D1245" s="13" t="s">
        <v>717</v>
      </c>
      <c r="E1245" s="5" t="s">
        <v>5566</v>
      </c>
      <c r="F1245" s="5" t="s">
        <v>5069</v>
      </c>
      <c r="G1245" s="5" t="s">
        <v>5070</v>
      </c>
      <c r="H1245" s="13" t="s">
        <v>2945</v>
      </c>
      <c r="I1245" s="13" t="s">
        <v>2309</v>
      </c>
      <c r="J1245" s="4">
        <v>11104</v>
      </c>
      <c r="K1245" s="4">
        <v>1</v>
      </c>
      <c r="L1245" s="4">
        <v>45</v>
      </c>
      <c r="M1245" s="4">
        <v>2017</v>
      </c>
      <c r="N1245" s="4">
        <v>2</v>
      </c>
      <c r="O1245" s="4">
        <v>6</v>
      </c>
      <c r="P1245" s="4">
        <v>1</v>
      </c>
      <c r="Q1245" s="19">
        <v>869.99</v>
      </c>
      <c r="R1245" s="16">
        <v>0.2</v>
      </c>
      <c r="S1245" s="16">
        <v>869.79</v>
      </c>
      <c r="T1245" s="5" t="s">
        <v>46</v>
      </c>
      <c r="U1245" s="13" t="s">
        <v>304</v>
      </c>
    </row>
    <row r="1246" spans="1:21" x14ac:dyDescent="0.35">
      <c r="A1246" s="4">
        <v>1245</v>
      </c>
      <c r="B1246" s="4">
        <v>1166</v>
      </c>
      <c r="C1246" s="13" t="s">
        <v>2059</v>
      </c>
      <c r="D1246" s="13" t="s">
        <v>796</v>
      </c>
      <c r="E1246" s="5" t="s">
        <v>5566</v>
      </c>
      <c r="F1246" s="5" t="s">
        <v>5071</v>
      </c>
      <c r="G1246" s="5" t="s">
        <v>5072</v>
      </c>
      <c r="H1246" s="13" t="s">
        <v>3013</v>
      </c>
      <c r="I1246" s="13" t="s">
        <v>2309</v>
      </c>
      <c r="J1246" s="4">
        <v>11706</v>
      </c>
      <c r="K1246" s="4">
        <v>1</v>
      </c>
      <c r="L1246" s="4">
        <v>13</v>
      </c>
      <c r="M1246" s="4">
        <v>2016</v>
      </c>
      <c r="N1246" s="4">
        <v>2</v>
      </c>
      <c r="O1246" s="4">
        <v>7</v>
      </c>
      <c r="P1246" s="4">
        <v>1</v>
      </c>
      <c r="Q1246" s="19">
        <v>269.99</v>
      </c>
      <c r="R1246" s="16">
        <v>0.1</v>
      </c>
      <c r="S1246" s="16">
        <v>269.89</v>
      </c>
      <c r="T1246" s="5" t="s">
        <v>18</v>
      </c>
      <c r="U1246" s="13" t="s">
        <v>301</v>
      </c>
    </row>
    <row r="1247" spans="1:21" x14ac:dyDescent="0.35">
      <c r="A1247" s="4">
        <v>1246</v>
      </c>
      <c r="B1247" s="4">
        <v>1329</v>
      </c>
      <c r="C1247" s="13" t="s">
        <v>334</v>
      </c>
      <c r="D1247" s="13" t="s">
        <v>2060</v>
      </c>
      <c r="E1247" s="5" t="s">
        <v>5566</v>
      </c>
      <c r="F1247" s="5" t="s">
        <v>5073</v>
      </c>
      <c r="G1247" s="5" t="s">
        <v>5074</v>
      </c>
      <c r="H1247" s="13" t="s">
        <v>918</v>
      </c>
      <c r="I1247" s="13" t="s">
        <v>2309</v>
      </c>
      <c r="J1247" s="4">
        <v>11423</v>
      </c>
      <c r="K1247" s="4">
        <v>1</v>
      </c>
      <c r="L1247" s="4">
        <v>78</v>
      </c>
      <c r="M1247" s="4">
        <v>2017</v>
      </c>
      <c r="N1247" s="4">
        <v>2</v>
      </c>
      <c r="O1247" s="4">
        <v>7</v>
      </c>
      <c r="P1247" s="4">
        <v>2</v>
      </c>
      <c r="Q1247" s="19">
        <v>647.99</v>
      </c>
      <c r="R1247" s="16">
        <v>0.2</v>
      </c>
      <c r="S1247" s="16">
        <v>1295.78</v>
      </c>
      <c r="T1247" s="5" t="s">
        <v>79</v>
      </c>
      <c r="U1247" s="13" t="s">
        <v>301</v>
      </c>
    </row>
    <row r="1248" spans="1:21" x14ac:dyDescent="0.35">
      <c r="A1248" s="4">
        <v>1247</v>
      </c>
      <c r="B1248" s="4">
        <v>426</v>
      </c>
      <c r="C1248" s="13" t="s">
        <v>2061</v>
      </c>
      <c r="D1248" s="13" t="s">
        <v>472</v>
      </c>
      <c r="E1248" s="5" t="s">
        <v>5566</v>
      </c>
      <c r="F1248" s="5" t="s">
        <v>5075</v>
      </c>
      <c r="G1248" s="5" t="s">
        <v>5076</v>
      </c>
      <c r="H1248" s="13" t="s">
        <v>2356</v>
      </c>
      <c r="I1248" s="13" t="s">
        <v>2305</v>
      </c>
      <c r="J1248" s="4">
        <v>91768</v>
      </c>
      <c r="K1248" s="4">
        <v>1</v>
      </c>
      <c r="L1248" s="4">
        <v>15</v>
      </c>
      <c r="M1248" s="4">
        <v>2016</v>
      </c>
      <c r="N1248" s="4">
        <v>1</v>
      </c>
      <c r="O1248" s="4">
        <v>2</v>
      </c>
      <c r="P1248" s="4">
        <v>2</v>
      </c>
      <c r="Q1248" s="19">
        <v>529.99</v>
      </c>
      <c r="R1248" s="16">
        <v>0.1</v>
      </c>
      <c r="S1248" s="16">
        <v>1059.8800000000001</v>
      </c>
      <c r="T1248" s="5" t="s">
        <v>20</v>
      </c>
      <c r="U1248" s="13" t="s">
        <v>301</v>
      </c>
    </row>
    <row r="1249" spans="1:21" x14ac:dyDescent="0.35">
      <c r="A1249" s="4">
        <v>1248</v>
      </c>
      <c r="B1249" s="4">
        <v>1367</v>
      </c>
      <c r="C1249" s="13" t="s">
        <v>2062</v>
      </c>
      <c r="D1249" s="13" t="s">
        <v>713</v>
      </c>
      <c r="E1249" s="5" t="s">
        <v>5566</v>
      </c>
      <c r="F1249" s="5" t="s">
        <v>5077</v>
      </c>
      <c r="G1249" s="5" t="s">
        <v>5078</v>
      </c>
      <c r="H1249" s="13" t="s">
        <v>1822</v>
      </c>
      <c r="I1249" s="13" t="s">
        <v>2305</v>
      </c>
      <c r="J1249" s="4">
        <v>95008</v>
      </c>
      <c r="K1249" s="4">
        <v>1</v>
      </c>
      <c r="L1249" s="4">
        <v>94</v>
      </c>
      <c r="M1249" s="4">
        <v>2017</v>
      </c>
      <c r="N1249" s="4">
        <v>1</v>
      </c>
      <c r="O1249" s="4">
        <v>3</v>
      </c>
      <c r="P1249" s="4">
        <v>2</v>
      </c>
      <c r="Q1249" s="19">
        <v>249.99</v>
      </c>
      <c r="R1249" s="16">
        <v>0.05</v>
      </c>
      <c r="S1249" s="16">
        <v>499.93</v>
      </c>
      <c r="T1249" s="5" t="s">
        <v>95</v>
      </c>
      <c r="U1249" s="13" t="s">
        <v>299</v>
      </c>
    </row>
    <row r="1250" spans="1:21" x14ac:dyDescent="0.35">
      <c r="A1250" s="4">
        <v>1249</v>
      </c>
      <c r="B1250" s="4">
        <v>545</v>
      </c>
      <c r="C1250" s="13" t="s">
        <v>1706</v>
      </c>
      <c r="D1250" s="13" t="s">
        <v>924</v>
      </c>
      <c r="E1250" s="5" t="s">
        <v>5566</v>
      </c>
      <c r="F1250" s="5" t="s">
        <v>5079</v>
      </c>
      <c r="G1250" s="5" t="s">
        <v>5080</v>
      </c>
      <c r="H1250" s="13" t="s">
        <v>2669</v>
      </c>
      <c r="I1250" s="13" t="s">
        <v>2309</v>
      </c>
      <c r="J1250" s="4">
        <v>13126</v>
      </c>
      <c r="K1250" s="4">
        <v>1</v>
      </c>
      <c r="L1250" s="4">
        <v>62</v>
      </c>
      <c r="M1250" s="4">
        <v>2017</v>
      </c>
      <c r="N1250" s="4">
        <v>2</v>
      </c>
      <c r="O1250" s="4">
        <v>6</v>
      </c>
      <c r="P1250" s="4">
        <v>1</v>
      </c>
      <c r="Q1250" s="19">
        <v>3499.99</v>
      </c>
      <c r="R1250" s="16">
        <v>0.05</v>
      </c>
      <c r="S1250" s="16">
        <v>3499.9399999999996</v>
      </c>
      <c r="T1250" s="5" t="s">
        <v>63</v>
      </c>
      <c r="U1250" s="13" t="s">
        <v>302</v>
      </c>
    </row>
    <row r="1251" spans="1:21" x14ac:dyDescent="0.35">
      <c r="A1251" s="4">
        <v>1250</v>
      </c>
      <c r="B1251" s="4">
        <v>1188</v>
      </c>
      <c r="C1251" s="13" t="s">
        <v>2063</v>
      </c>
      <c r="D1251" s="13" t="s">
        <v>833</v>
      </c>
      <c r="E1251" s="5" t="s">
        <v>5081</v>
      </c>
      <c r="F1251" s="5" t="s">
        <v>5082</v>
      </c>
      <c r="G1251" s="5" t="s">
        <v>5083</v>
      </c>
      <c r="H1251" s="13" t="s">
        <v>2334</v>
      </c>
      <c r="I1251" s="13" t="s">
        <v>2309</v>
      </c>
      <c r="J1251" s="4">
        <v>10701</v>
      </c>
      <c r="K1251" s="4">
        <v>1</v>
      </c>
      <c r="L1251" s="4">
        <v>78</v>
      </c>
      <c r="M1251" s="4">
        <v>2017</v>
      </c>
      <c r="N1251" s="4">
        <v>2</v>
      </c>
      <c r="O1251" s="4">
        <v>6</v>
      </c>
      <c r="P1251" s="4">
        <v>2</v>
      </c>
      <c r="Q1251" s="19">
        <v>647.99</v>
      </c>
      <c r="R1251" s="16">
        <v>0.05</v>
      </c>
      <c r="S1251" s="16">
        <v>1295.93</v>
      </c>
      <c r="T1251" s="5" t="s">
        <v>79</v>
      </c>
      <c r="U1251" s="13" t="s">
        <v>301</v>
      </c>
    </row>
    <row r="1252" spans="1:21" x14ac:dyDescent="0.35">
      <c r="A1252" s="4">
        <v>1251</v>
      </c>
      <c r="B1252" s="4">
        <v>289</v>
      </c>
      <c r="C1252" s="13" t="s">
        <v>2064</v>
      </c>
      <c r="D1252" s="13" t="s">
        <v>1457</v>
      </c>
      <c r="E1252" s="5" t="s">
        <v>5566</v>
      </c>
      <c r="F1252" s="5" t="s">
        <v>5084</v>
      </c>
      <c r="G1252" s="5" t="s">
        <v>5085</v>
      </c>
      <c r="H1252" s="13" t="s">
        <v>1639</v>
      </c>
      <c r="I1252" s="13" t="s">
        <v>2397</v>
      </c>
      <c r="J1252" s="4">
        <v>75080</v>
      </c>
      <c r="K1252" s="4">
        <v>1</v>
      </c>
      <c r="L1252" s="4">
        <v>40</v>
      </c>
      <c r="M1252" s="4">
        <v>2017</v>
      </c>
      <c r="N1252" s="4">
        <v>3</v>
      </c>
      <c r="O1252" s="4">
        <v>9</v>
      </c>
      <c r="P1252" s="4">
        <v>2</v>
      </c>
      <c r="Q1252" s="19">
        <v>4999.99</v>
      </c>
      <c r="R1252" s="16">
        <v>0.1</v>
      </c>
      <c r="S1252" s="16">
        <v>9999.8799999999992</v>
      </c>
      <c r="T1252" s="5" t="s">
        <v>41</v>
      </c>
      <c r="U1252" s="13" t="s">
        <v>304</v>
      </c>
    </row>
    <row r="1253" spans="1:21" x14ac:dyDescent="0.35">
      <c r="A1253" s="4">
        <v>1252</v>
      </c>
      <c r="B1253" s="4">
        <v>110</v>
      </c>
      <c r="C1253" s="13" t="s">
        <v>2065</v>
      </c>
      <c r="D1253" s="13" t="s">
        <v>2066</v>
      </c>
      <c r="E1253" s="5" t="s">
        <v>5086</v>
      </c>
      <c r="F1253" s="5" t="s">
        <v>5087</v>
      </c>
      <c r="G1253" s="5" t="s">
        <v>5088</v>
      </c>
      <c r="H1253" s="13" t="s">
        <v>2460</v>
      </c>
      <c r="I1253" s="13" t="s">
        <v>2305</v>
      </c>
      <c r="J1253" s="4">
        <v>92806</v>
      </c>
      <c r="K1253" s="4">
        <v>1</v>
      </c>
      <c r="L1253" s="4">
        <v>79</v>
      </c>
      <c r="M1253" s="4">
        <v>2017</v>
      </c>
      <c r="N1253" s="4">
        <v>1</v>
      </c>
      <c r="O1253" s="4">
        <v>3</v>
      </c>
      <c r="P1253" s="4">
        <v>1</v>
      </c>
      <c r="Q1253" s="19">
        <v>402.99</v>
      </c>
      <c r="R1253" s="16">
        <v>0.2</v>
      </c>
      <c r="S1253" s="16">
        <v>402.79</v>
      </c>
      <c r="T1253" s="5" t="s">
        <v>80</v>
      </c>
      <c r="U1253" s="13" t="s">
        <v>301</v>
      </c>
    </row>
    <row r="1254" spans="1:21" x14ac:dyDescent="0.35">
      <c r="A1254" s="4">
        <v>1253</v>
      </c>
      <c r="B1254" s="4">
        <v>44</v>
      </c>
      <c r="C1254" s="13" t="s">
        <v>1144</v>
      </c>
      <c r="D1254" s="13" t="s">
        <v>896</v>
      </c>
      <c r="E1254" s="5" t="s">
        <v>5566</v>
      </c>
      <c r="F1254" s="5" t="s">
        <v>5089</v>
      </c>
      <c r="G1254" s="5" t="s">
        <v>5090</v>
      </c>
      <c r="H1254" s="13" t="s">
        <v>3074</v>
      </c>
      <c r="I1254" s="13" t="s">
        <v>2309</v>
      </c>
      <c r="J1254" s="4">
        <v>11003</v>
      </c>
      <c r="K1254" s="4">
        <v>1</v>
      </c>
      <c r="L1254" s="4">
        <v>25</v>
      </c>
      <c r="M1254" s="4">
        <v>2016</v>
      </c>
      <c r="N1254" s="4">
        <v>2</v>
      </c>
      <c r="O1254" s="4">
        <v>6</v>
      </c>
      <c r="P1254" s="4">
        <v>2</v>
      </c>
      <c r="Q1254" s="19">
        <v>499.99</v>
      </c>
      <c r="R1254" s="16">
        <v>0.1</v>
      </c>
      <c r="S1254" s="16">
        <v>999.88</v>
      </c>
      <c r="T1254" s="5" t="s">
        <v>27</v>
      </c>
      <c r="U1254" s="13" t="s">
        <v>300</v>
      </c>
    </row>
    <row r="1255" spans="1:21" x14ac:dyDescent="0.35">
      <c r="A1255" s="4">
        <v>1254</v>
      </c>
      <c r="B1255" s="4">
        <v>1098</v>
      </c>
      <c r="C1255" s="13" t="s">
        <v>2067</v>
      </c>
      <c r="D1255" s="13" t="s">
        <v>895</v>
      </c>
      <c r="E1255" s="5" t="s">
        <v>5566</v>
      </c>
      <c r="F1255" s="5" t="s">
        <v>5091</v>
      </c>
      <c r="G1255" s="5" t="s">
        <v>5092</v>
      </c>
      <c r="H1255" s="13" t="s">
        <v>2580</v>
      </c>
      <c r="I1255" s="13" t="s">
        <v>2309</v>
      </c>
      <c r="J1255" s="4">
        <v>11570</v>
      </c>
      <c r="K1255" s="4">
        <v>1</v>
      </c>
      <c r="L1255" s="4">
        <v>80</v>
      </c>
      <c r="M1255" s="4">
        <v>2017</v>
      </c>
      <c r="N1255" s="4">
        <v>2</v>
      </c>
      <c r="O1255" s="4">
        <v>7</v>
      </c>
      <c r="P1255" s="4">
        <v>1</v>
      </c>
      <c r="Q1255" s="19">
        <v>761.99</v>
      </c>
      <c r="R1255" s="16">
        <v>0.2</v>
      </c>
      <c r="S1255" s="16">
        <v>761.79</v>
      </c>
      <c r="T1255" s="5" t="s">
        <v>81</v>
      </c>
      <c r="U1255" s="13" t="s">
        <v>301</v>
      </c>
    </row>
    <row r="1256" spans="1:21" x14ac:dyDescent="0.35">
      <c r="A1256" s="4">
        <v>1255</v>
      </c>
      <c r="B1256" s="4">
        <v>375</v>
      </c>
      <c r="C1256" s="13" t="s">
        <v>1487</v>
      </c>
      <c r="D1256" s="13" t="s">
        <v>958</v>
      </c>
      <c r="E1256" s="5" t="s">
        <v>5566</v>
      </c>
      <c r="F1256" s="5" t="s">
        <v>5093</v>
      </c>
      <c r="G1256" s="5" t="s">
        <v>5094</v>
      </c>
      <c r="H1256" s="13" t="s">
        <v>3212</v>
      </c>
      <c r="I1256" s="13" t="s">
        <v>2309</v>
      </c>
      <c r="J1256" s="4">
        <v>11553</v>
      </c>
      <c r="K1256" s="4">
        <v>1</v>
      </c>
      <c r="L1256" s="4">
        <v>43</v>
      </c>
      <c r="M1256" s="4">
        <v>2017</v>
      </c>
      <c r="N1256" s="4">
        <v>2</v>
      </c>
      <c r="O1256" s="4">
        <v>6</v>
      </c>
      <c r="P1256" s="4">
        <v>2</v>
      </c>
      <c r="Q1256" s="19">
        <v>5299.99</v>
      </c>
      <c r="R1256" s="16">
        <v>0.2</v>
      </c>
      <c r="S1256" s="16">
        <v>10599.779999999999</v>
      </c>
      <c r="T1256" s="5" t="s">
        <v>44</v>
      </c>
      <c r="U1256" s="13" t="s">
        <v>304</v>
      </c>
    </row>
    <row r="1257" spans="1:21" x14ac:dyDescent="0.35">
      <c r="A1257" s="4">
        <v>1256</v>
      </c>
      <c r="B1257" s="4">
        <v>458</v>
      </c>
      <c r="C1257" s="13" t="s">
        <v>1849</v>
      </c>
      <c r="D1257" s="13" t="s">
        <v>769</v>
      </c>
      <c r="E1257" s="5" t="s">
        <v>5566</v>
      </c>
      <c r="F1257" s="5" t="s">
        <v>5095</v>
      </c>
      <c r="G1257" s="5" t="s">
        <v>5096</v>
      </c>
      <c r="H1257" s="13" t="s">
        <v>3867</v>
      </c>
      <c r="I1257" s="13" t="s">
        <v>2309</v>
      </c>
      <c r="J1257" s="4">
        <v>11741</v>
      </c>
      <c r="K1257" s="4">
        <v>1</v>
      </c>
      <c r="L1257" s="4">
        <v>44</v>
      </c>
      <c r="M1257" s="4">
        <v>2017</v>
      </c>
      <c r="N1257" s="4">
        <v>2</v>
      </c>
      <c r="O1257" s="4">
        <v>6</v>
      </c>
      <c r="P1257" s="4">
        <v>2</v>
      </c>
      <c r="Q1257" s="19">
        <v>539.99</v>
      </c>
      <c r="R1257" s="16">
        <v>0.2</v>
      </c>
      <c r="S1257" s="16">
        <v>1079.78</v>
      </c>
      <c r="T1257" s="5" t="s">
        <v>45</v>
      </c>
      <c r="U1257" s="13" t="s">
        <v>304</v>
      </c>
    </row>
    <row r="1258" spans="1:21" x14ac:dyDescent="0.35">
      <c r="A1258" s="4">
        <v>1257</v>
      </c>
      <c r="B1258" s="4">
        <v>1136</v>
      </c>
      <c r="C1258" s="13" t="s">
        <v>2068</v>
      </c>
      <c r="D1258" s="13" t="s">
        <v>1799</v>
      </c>
      <c r="E1258" s="5" t="s">
        <v>5097</v>
      </c>
      <c r="F1258" s="5" t="s">
        <v>5098</v>
      </c>
      <c r="G1258" s="5" t="s">
        <v>5099</v>
      </c>
      <c r="H1258" s="13" t="s">
        <v>2476</v>
      </c>
      <c r="I1258" s="13" t="s">
        <v>2309</v>
      </c>
      <c r="J1258" s="4">
        <v>14606</v>
      </c>
      <c r="K1258" s="4">
        <v>1</v>
      </c>
      <c r="L1258" s="4">
        <v>30</v>
      </c>
      <c r="M1258" s="4">
        <v>2017</v>
      </c>
      <c r="N1258" s="4">
        <v>2</v>
      </c>
      <c r="O1258" s="4">
        <v>7</v>
      </c>
      <c r="P1258" s="4">
        <v>2</v>
      </c>
      <c r="Q1258" s="19">
        <v>999.99</v>
      </c>
      <c r="R1258" s="16">
        <v>0.05</v>
      </c>
      <c r="S1258" s="16">
        <v>1999.93</v>
      </c>
      <c r="T1258" s="5" t="s">
        <v>31</v>
      </c>
      <c r="U1258" s="13" t="s">
        <v>304</v>
      </c>
    </row>
    <row r="1259" spans="1:21" x14ac:dyDescent="0.35">
      <c r="A1259" s="4">
        <v>1258</v>
      </c>
      <c r="B1259" s="4">
        <v>1099</v>
      </c>
      <c r="C1259" s="13" t="s">
        <v>2069</v>
      </c>
      <c r="D1259" s="13" t="s">
        <v>827</v>
      </c>
      <c r="E1259" s="5" t="s">
        <v>5566</v>
      </c>
      <c r="F1259" s="5" t="s">
        <v>5100</v>
      </c>
      <c r="G1259" s="5" t="s">
        <v>5101</v>
      </c>
      <c r="H1259" s="13" t="s">
        <v>2763</v>
      </c>
      <c r="I1259" s="13" t="s">
        <v>2309</v>
      </c>
      <c r="J1259" s="4">
        <v>11372</v>
      </c>
      <c r="K1259" s="4">
        <v>1</v>
      </c>
      <c r="L1259" s="4">
        <v>94</v>
      </c>
      <c r="M1259" s="4">
        <v>2017</v>
      </c>
      <c r="N1259" s="4">
        <v>2</v>
      </c>
      <c r="O1259" s="4">
        <v>7</v>
      </c>
      <c r="P1259" s="4">
        <v>2</v>
      </c>
      <c r="Q1259" s="19">
        <v>249.99</v>
      </c>
      <c r="R1259" s="16">
        <v>0.1</v>
      </c>
      <c r="S1259" s="16">
        <v>499.88</v>
      </c>
      <c r="T1259" s="5" t="s">
        <v>95</v>
      </c>
      <c r="U1259" s="13" t="s">
        <v>299</v>
      </c>
    </row>
    <row r="1260" spans="1:21" x14ac:dyDescent="0.35">
      <c r="A1260" s="4">
        <v>1259</v>
      </c>
      <c r="B1260" s="4">
        <v>4</v>
      </c>
      <c r="C1260" s="13" t="s">
        <v>1428</v>
      </c>
      <c r="D1260" s="13" t="s">
        <v>1429</v>
      </c>
      <c r="E1260" s="5" t="s">
        <v>5566</v>
      </c>
      <c r="F1260" s="5" t="s">
        <v>3940</v>
      </c>
      <c r="G1260" s="5" t="s">
        <v>3941</v>
      </c>
      <c r="H1260" s="13" t="s">
        <v>3212</v>
      </c>
      <c r="I1260" s="13" t="s">
        <v>2309</v>
      </c>
      <c r="J1260" s="4">
        <v>11553</v>
      </c>
      <c r="K1260" s="4">
        <v>1</v>
      </c>
      <c r="L1260" s="4">
        <v>60</v>
      </c>
      <c r="M1260" s="4">
        <v>2017</v>
      </c>
      <c r="N1260" s="4">
        <v>2</v>
      </c>
      <c r="O1260" s="4">
        <v>7</v>
      </c>
      <c r="P1260" s="4">
        <v>1</v>
      </c>
      <c r="Q1260" s="19">
        <v>1559.99</v>
      </c>
      <c r="R1260" s="16">
        <v>0.1</v>
      </c>
      <c r="S1260" s="16">
        <v>1559.89</v>
      </c>
      <c r="T1260" s="5" t="s">
        <v>61</v>
      </c>
      <c r="U1260" s="13" t="s">
        <v>303</v>
      </c>
    </row>
    <row r="1261" spans="1:21" x14ac:dyDescent="0.35">
      <c r="A1261" s="4">
        <v>1260</v>
      </c>
      <c r="B1261" s="4">
        <v>1117</v>
      </c>
      <c r="C1261" s="13" t="s">
        <v>2070</v>
      </c>
      <c r="D1261" s="13" t="s">
        <v>849</v>
      </c>
      <c r="E1261" s="5" t="s">
        <v>5566</v>
      </c>
      <c r="F1261" s="5" t="s">
        <v>5102</v>
      </c>
      <c r="G1261" s="5" t="s">
        <v>5103</v>
      </c>
      <c r="H1261" s="13" t="s">
        <v>2737</v>
      </c>
      <c r="I1261" s="13" t="s">
        <v>2309</v>
      </c>
      <c r="J1261" s="4">
        <v>11422</v>
      </c>
      <c r="K1261" s="4">
        <v>1</v>
      </c>
      <c r="L1261" s="4">
        <v>8</v>
      </c>
      <c r="M1261" s="4">
        <v>2016</v>
      </c>
      <c r="N1261" s="4">
        <v>2</v>
      </c>
      <c r="O1261" s="4">
        <v>6</v>
      </c>
      <c r="P1261" s="4">
        <v>1</v>
      </c>
      <c r="Q1261" s="19">
        <v>1799.99</v>
      </c>
      <c r="R1261" s="16">
        <v>0.1</v>
      </c>
      <c r="S1261" s="16">
        <v>1799.89</v>
      </c>
      <c r="T1261" s="5" t="s">
        <v>13</v>
      </c>
      <c r="U1261" s="13" t="s">
        <v>304</v>
      </c>
    </row>
    <row r="1262" spans="1:21" x14ac:dyDescent="0.35">
      <c r="A1262" s="4">
        <v>1261</v>
      </c>
      <c r="B1262" s="4">
        <v>435</v>
      </c>
      <c r="C1262" s="13" t="s">
        <v>2071</v>
      </c>
      <c r="D1262" s="13" t="s">
        <v>2072</v>
      </c>
      <c r="E1262" s="5" t="s">
        <v>5566</v>
      </c>
      <c r="F1262" s="5" t="s">
        <v>5104</v>
      </c>
      <c r="G1262" s="5" t="s">
        <v>5105</v>
      </c>
      <c r="H1262" s="13" t="s">
        <v>2865</v>
      </c>
      <c r="I1262" s="13" t="s">
        <v>2309</v>
      </c>
      <c r="J1262" s="4">
        <v>11421</v>
      </c>
      <c r="K1262" s="4">
        <v>1</v>
      </c>
      <c r="L1262" s="4">
        <v>73</v>
      </c>
      <c r="M1262" s="4">
        <v>2017</v>
      </c>
      <c r="N1262" s="4">
        <v>2</v>
      </c>
      <c r="O1262" s="4">
        <v>7</v>
      </c>
      <c r="P1262" s="4">
        <v>1</v>
      </c>
      <c r="Q1262" s="19">
        <v>749.99</v>
      </c>
      <c r="R1262" s="16">
        <v>0.2</v>
      </c>
      <c r="S1262" s="16">
        <v>749.79</v>
      </c>
      <c r="T1262" s="5" t="s">
        <v>74</v>
      </c>
      <c r="U1262" s="13" t="s">
        <v>301</v>
      </c>
    </row>
    <row r="1263" spans="1:21" x14ac:dyDescent="0.35">
      <c r="A1263" s="4">
        <v>1262</v>
      </c>
      <c r="B1263" s="4">
        <v>509</v>
      </c>
      <c r="C1263" s="13" t="s">
        <v>2073</v>
      </c>
      <c r="D1263" s="13" t="s">
        <v>1140</v>
      </c>
      <c r="E1263" s="5" t="s">
        <v>5566</v>
      </c>
      <c r="F1263" s="5" t="s">
        <v>5106</v>
      </c>
      <c r="G1263" s="5" t="s">
        <v>5107</v>
      </c>
      <c r="H1263" s="13" t="s">
        <v>2623</v>
      </c>
      <c r="I1263" s="13" t="s">
        <v>2309</v>
      </c>
      <c r="J1263" s="4">
        <v>12010</v>
      </c>
      <c r="K1263" s="4">
        <v>1</v>
      </c>
      <c r="L1263" s="4">
        <v>37</v>
      </c>
      <c r="M1263" s="4">
        <v>2017</v>
      </c>
      <c r="N1263" s="4">
        <v>2</v>
      </c>
      <c r="O1263" s="4">
        <v>6</v>
      </c>
      <c r="P1263" s="4">
        <v>1</v>
      </c>
      <c r="Q1263" s="19">
        <v>379.99</v>
      </c>
      <c r="R1263" s="16">
        <v>7.0000000000000007E-2</v>
      </c>
      <c r="S1263" s="16">
        <v>379.92</v>
      </c>
      <c r="T1263" s="5" t="s">
        <v>38</v>
      </c>
      <c r="U1263" s="13" t="s">
        <v>304</v>
      </c>
    </row>
    <row r="1264" spans="1:21" x14ac:dyDescent="0.35">
      <c r="A1264" s="4">
        <v>1263</v>
      </c>
      <c r="B1264" s="4">
        <v>1408</v>
      </c>
      <c r="C1264" s="13" t="s">
        <v>2074</v>
      </c>
      <c r="D1264" s="13" t="s">
        <v>2041</v>
      </c>
      <c r="E1264" s="5" t="s">
        <v>5566</v>
      </c>
      <c r="F1264" s="5" t="s">
        <v>5108</v>
      </c>
      <c r="G1264" s="5" t="s">
        <v>5109</v>
      </c>
      <c r="H1264" s="13" t="s">
        <v>3153</v>
      </c>
      <c r="I1264" s="13" t="s">
        <v>2309</v>
      </c>
      <c r="J1264" s="4">
        <v>10573</v>
      </c>
      <c r="K1264" s="4">
        <v>1</v>
      </c>
      <c r="L1264" s="4">
        <v>45</v>
      </c>
      <c r="M1264" s="4">
        <v>2017</v>
      </c>
      <c r="N1264" s="4">
        <v>2</v>
      </c>
      <c r="O1264" s="4">
        <v>6</v>
      </c>
      <c r="P1264" s="4">
        <v>1</v>
      </c>
      <c r="Q1264" s="19">
        <v>869.99</v>
      </c>
      <c r="R1264" s="16">
        <v>0.2</v>
      </c>
      <c r="S1264" s="16">
        <v>869.79</v>
      </c>
      <c r="T1264" s="5" t="s">
        <v>46</v>
      </c>
      <c r="U1264" s="13" t="s">
        <v>304</v>
      </c>
    </row>
    <row r="1265" spans="1:21" x14ac:dyDescent="0.35">
      <c r="A1265" s="4">
        <v>1264</v>
      </c>
      <c r="B1265" s="4">
        <v>113</v>
      </c>
      <c r="C1265" s="13" t="s">
        <v>1686</v>
      </c>
      <c r="D1265" s="13" t="s">
        <v>588</v>
      </c>
      <c r="E1265" s="5" t="s">
        <v>5566</v>
      </c>
      <c r="F1265" s="5" t="s">
        <v>5110</v>
      </c>
      <c r="G1265" s="5" t="s">
        <v>5111</v>
      </c>
      <c r="H1265" s="13" t="s">
        <v>2950</v>
      </c>
      <c r="I1265" s="13" t="s">
        <v>2309</v>
      </c>
      <c r="J1265" s="4">
        <v>11735</v>
      </c>
      <c r="K1265" s="4">
        <v>1</v>
      </c>
      <c r="L1265" s="4">
        <v>101</v>
      </c>
      <c r="M1265" s="4">
        <v>2017</v>
      </c>
      <c r="N1265" s="4">
        <v>2</v>
      </c>
      <c r="O1265" s="4">
        <v>6</v>
      </c>
      <c r="P1265" s="4">
        <v>1</v>
      </c>
      <c r="Q1265" s="19">
        <v>339.99</v>
      </c>
      <c r="R1265" s="16">
        <v>7.0000000000000007E-2</v>
      </c>
      <c r="S1265" s="16">
        <v>339.92</v>
      </c>
      <c r="T1265" s="5" t="s">
        <v>101</v>
      </c>
      <c r="U1265" s="13" t="s">
        <v>299</v>
      </c>
    </row>
    <row r="1266" spans="1:21" x14ac:dyDescent="0.35">
      <c r="A1266" s="4">
        <v>1265</v>
      </c>
      <c r="B1266" s="4">
        <v>950</v>
      </c>
      <c r="C1266" s="13" t="s">
        <v>2075</v>
      </c>
      <c r="D1266" s="13" t="s">
        <v>1466</v>
      </c>
      <c r="E1266" s="5" t="s">
        <v>5112</v>
      </c>
      <c r="F1266" s="5" t="s">
        <v>5113</v>
      </c>
      <c r="G1266" s="5" t="s">
        <v>5114</v>
      </c>
      <c r="H1266" s="13" t="s">
        <v>2476</v>
      </c>
      <c r="I1266" s="13" t="s">
        <v>2309</v>
      </c>
      <c r="J1266" s="4">
        <v>14606</v>
      </c>
      <c r="K1266" s="4">
        <v>1</v>
      </c>
      <c r="L1266" s="4">
        <v>41</v>
      </c>
      <c r="M1266" s="4">
        <v>2017</v>
      </c>
      <c r="N1266" s="4">
        <v>2</v>
      </c>
      <c r="O1266" s="4">
        <v>7</v>
      </c>
      <c r="P1266" s="4">
        <v>2</v>
      </c>
      <c r="Q1266" s="19">
        <v>1469.99</v>
      </c>
      <c r="R1266" s="16">
        <v>0.1</v>
      </c>
      <c r="S1266" s="16">
        <v>2939.88</v>
      </c>
      <c r="T1266" s="5" t="s">
        <v>42</v>
      </c>
      <c r="U1266" s="13" t="s">
        <v>304</v>
      </c>
    </row>
    <row r="1267" spans="1:21" x14ac:dyDescent="0.35">
      <c r="A1267" s="4">
        <v>1266</v>
      </c>
      <c r="B1267" s="4">
        <v>387</v>
      </c>
      <c r="C1267" s="13" t="s">
        <v>2076</v>
      </c>
      <c r="D1267" s="13" t="s">
        <v>2077</v>
      </c>
      <c r="E1267" s="5" t="s">
        <v>5566</v>
      </c>
      <c r="F1267" s="5" t="s">
        <v>5115</v>
      </c>
      <c r="G1267" s="5" t="s">
        <v>5116</v>
      </c>
      <c r="H1267" s="13" t="s">
        <v>2456</v>
      </c>
      <c r="I1267" s="13" t="s">
        <v>2309</v>
      </c>
      <c r="J1267" s="4">
        <v>11373</v>
      </c>
      <c r="K1267" s="4">
        <v>1</v>
      </c>
      <c r="L1267" s="4">
        <v>90</v>
      </c>
      <c r="M1267" s="4">
        <v>2017</v>
      </c>
      <c r="N1267" s="4">
        <v>2</v>
      </c>
      <c r="O1267" s="4">
        <v>6</v>
      </c>
      <c r="P1267" s="4">
        <v>1</v>
      </c>
      <c r="Q1267" s="19">
        <v>209.99</v>
      </c>
      <c r="R1267" s="16">
        <v>0.2</v>
      </c>
      <c r="S1267" s="16">
        <v>209.79000000000002</v>
      </c>
      <c r="T1267" s="5" t="s">
        <v>91</v>
      </c>
      <c r="U1267" s="13" t="s">
        <v>299</v>
      </c>
    </row>
    <row r="1268" spans="1:21" x14ac:dyDescent="0.35">
      <c r="A1268" s="4">
        <v>1267</v>
      </c>
      <c r="B1268" s="4">
        <v>467</v>
      </c>
      <c r="C1268" s="13" t="s">
        <v>2078</v>
      </c>
      <c r="D1268" s="13" t="s">
        <v>787</v>
      </c>
      <c r="E1268" s="5" t="s">
        <v>5566</v>
      </c>
      <c r="F1268" s="5" t="s">
        <v>5117</v>
      </c>
      <c r="G1268" s="5" t="s">
        <v>5118</v>
      </c>
      <c r="H1268" s="13" t="s">
        <v>3870</v>
      </c>
      <c r="I1268" s="13" t="s">
        <v>2309</v>
      </c>
      <c r="J1268" s="4">
        <v>10541</v>
      </c>
      <c r="K1268" s="4">
        <v>1</v>
      </c>
      <c r="L1268" s="4">
        <v>45</v>
      </c>
      <c r="M1268" s="4">
        <v>2017</v>
      </c>
      <c r="N1268" s="4">
        <v>2</v>
      </c>
      <c r="O1268" s="4">
        <v>6</v>
      </c>
      <c r="P1268" s="4">
        <v>1</v>
      </c>
      <c r="Q1268" s="19">
        <v>869.99</v>
      </c>
      <c r="R1268" s="16">
        <v>0.1</v>
      </c>
      <c r="S1268" s="16">
        <v>869.89</v>
      </c>
      <c r="T1268" s="5" t="s">
        <v>46</v>
      </c>
      <c r="U1268" s="13" t="s">
        <v>304</v>
      </c>
    </row>
    <row r="1269" spans="1:21" x14ac:dyDescent="0.35">
      <c r="A1269" s="4">
        <v>1268</v>
      </c>
      <c r="B1269" s="4">
        <v>774</v>
      </c>
      <c r="C1269" s="13" t="s">
        <v>2079</v>
      </c>
      <c r="D1269" s="13" t="s">
        <v>1581</v>
      </c>
      <c r="E1269" s="5" t="s">
        <v>5566</v>
      </c>
      <c r="F1269" s="5" t="s">
        <v>5119</v>
      </c>
      <c r="G1269" s="5" t="s">
        <v>5120</v>
      </c>
      <c r="H1269" s="13" t="s">
        <v>2570</v>
      </c>
      <c r="I1269" s="13" t="s">
        <v>2305</v>
      </c>
      <c r="J1269" s="4">
        <v>90260</v>
      </c>
      <c r="K1269" s="4">
        <v>1</v>
      </c>
      <c r="L1269" s="4">
        <v>68</v>
      </c>
      <c r="M1269" s="4">
        <v>2017</v>
      </c>
      <c r="N1269" s="4">
        <v>1</v>
      </c>
      <c r="O1269" s="4">
        <v>3</v>
      </c>
      <c r="P1269" s="4">
        <v>2</v>
      </c>
      <c r="Q1269" s="19">
        <v>449.99</v>
      </c>
      <c r="R1269" s="16">
        <v>7.0000000000000007E-2</v>
      </c>
      <c r="S1269" s="16">
        <v>899.91</v>
      </c>
      <c r="T1269" s="5" t="s">
        <v>69</v>
      </c>
      <c r="U1269" s="13" t="s">
        <v>301</v>
      </c>
    </row>
    <row r="1270" spans="1:21" x14ac:dyDescent="0.35">
      <c r="A1270" s="4">
        <v>1269</v>
      </c>
      <c r="B1270" s="4">
        <v>1236</v>
      </c>
      <c r="C1270" s="13" t="s">
        <v>2080</v>
      </c>
      <c r="D1270" s="13" t="s">
        <v>1864</v>
      </c>
      <c r="E1270" s="5" t="s">
        <v>5566</v>
      </c>
      <c r="F1270" s="5" t="s">
        <v>5121</v>
      </c>
      <c r="G1270" s="5" t="s">
        <v>5122</v>
      </c>
      <c r="H1270" s="13" t="s">
        <v>2368</v>
      </c>
      <c r="I1270" s="13" t="s">
        <v>2309</v>
      </c>
      <c r="J1270" s="4">
        <v>10550</v>
      </c>
      <c r="K1270" s="4">
        <v>1</v>
      </c>
      <c r="L1270" s="4">
        <v>4</v>
      </c>
      <c r="M1270" s="4">
        <v>2016</v>
      </c>
      <c r="N1270" s="4">
        <v>2</v>
      </c>
      <c r="O1270" s="4">
        <v>6</v>
      </c>
      <c r="P1270" s="4">
        <v>2</v>
      </c>
      <c r="Q1270" s="19">
        <v>2899.99</v>
      </c>
      <c r="R1270" s="16">
        <v>0.2</v>
      </c>
      <c r="S1270" s="16">
        <v>5799.78</v>
      </c>
      <c r="T1270" s="5" t="s">
        <v>9</v>
      </c>
      <c r="U1270" s="13" t="s">
        <v>304</v>
      </c>
    </row>
    <row r="1271" spans="1:21" x14ac:dyDescent="0.35">
      <c r="A1271" s="4">
        <v>1270</v>
      </c>
      <c r="B1271" s="4">
        <v>1388</v>
      </c>
      <c r="C1271" s="13" t="s">
        <v>1576</v>
      </c>
      <c r="D1271" s="13" t="s">
        <v>624</v>
      </c>
      <c r="E1271" s="5" t="s">
        <v>5566</v>
      </c>
      <c r="F1271" s="5" t="s">
        <v>5123</v>
      </c>
      <c r="G1271" s="5" t="s">
        <v>5124</v>
      </c>
      <c r="H1271" s="13" t="s">
        <v>4136</v>
      </c>
      <c r="I1271" s="13" t="s">
        <v>2309</v>
      </c>
      <c r="J1271" s="4">
        <v>11554</v>
      </c>
      <c r="K1271" s="4">
        <v>1</v>
      </c>
      <c r="L1271" s="4">
        <v>54</v>
      </c>
      <c r="M1271" s="4">
        <v>2017</v>
      </c>
      <c r="N1271" s="4">
        <v>2</v>
      </c>
      <c r="O1271" s="4">
        <v>6</v>
      </c>
      <c r="P1271" s="4">
        <v>1</v>
      </c>
      <c r="Q1271" s="19">
        <v>3199.99</v>
      </c>
      <c r="R1271" s="16">
        <v>0.2</v>
      </c>
      <c r="S1271" s="16">
        <v>3199.79</v>
      </c>
      <c r="T1271" s="5" t="s">
        <v>55</v>
      </c>
      <c r="U1271" s="13" t="s">
        <v>305</v>
      </c>
    </row>
    <row r="1272" spans="1:21" x14ac:dyDescent="0.35">
      <c r="A1272" s="4">
        <v>1271</v>
      </c>
      <c r="B1272" s="4">
        <v>734</v>
      </c>
      <c r="C1272" s="13" t="s">
        <v>2081</v>
      </c>
      <c r="D1272" s="13" t="s">
        <v>2082</v>
      </c>
      <c r="E1272" s="5" t="s">
        <v>5566</v>
      </c>
      <c r="F1272" s="5" t="s">
        <v>5125</v>
      </c>
      <c r="G1272" s="5" t="s">
        <v>5126</v>
      </c>
      <c r="H1272" s="13" t="s">
        <v>2312</v>
      </c>
      <c r="I1272" s="13" t="s">
        <v>2309</v>
      </c>
      <c r="J1272" s="4">
        <v>11772</v>
      </c>
      <c r="K1272" s="4">
        <v>1</v>
      </c>
      <c r="L1272" s="4">
        <v>25</v>
      </c>
      <c r="M1272" s="4">
        <v>2016</v>
      </c>
      <c r="N1272" s="4">
        <v>2</v>
      </c>
      <c r="O1272" s="4">
        <v>6</v>
      </c>
      <c r="P1272" s="4">
        <v>2</v>
      </c>
      <c r="Q1272" s="19">
        <v>499.99</v>
      </c>
      <c r="R1272" s="16">
        <v>0.1</v>
      </c>
      <c r="S1272" s="16">
        <v>999.88</v>
      </c>
      <c r="T1272" s="5" t="s">
        <v>27</v>
      </c>
      <c r="U1272" s="13" t="s">
        <v>300</v>
      </c>
    </row>
    <row r="1273" spans="1:21" x14ac:dyDescent="0.35">
      <c r="A1273" s="4">
        <v>1272</v>
      </c>
      <c r="B1273" s="4">
        <v>935</v>
      </c>
      <c r="C1273" s="13" t="s">
        <v>2083</v>
      </c>
      <c r="D1273" s="13" t="s">
        <v>406</v>
      </c>
      <c r="E1273" s="5" t="s">
        <v>5566</v>
      </c>
      <c r="F1273" s="5" t="s">
        <v>5127</v>
      </c>
      <c r="G1273" s="5" t="s">
        <v>5128</v>
      </c>
      <c r="H1273" s="13" t="s">
        <v>552</v>
      </c>
      <c r="I1273" s="13" t="s">
        <v>2309</v>
      </c>
      <c r="J1273" s="4">
        <v>10950</v>
      </c>
      <c r="K1273" s="4">
        <v>1</v>
      </c>
      <c r="L1273" s="4">
        <v>16</v>
      </c>
      <c r="M1273" s="4">
        <v>2016</v>
      </c>
      <c r="N1273" s="4">
        <v>2</v>
      </c>
      <c r="O1273" s="4">
        <v>6</v>
      </c>
      <c r="P1273" s="4">
        <v>2</v>
      </c>
      <c r="Q1273" s="19">
        <v>599.99</v>
      </c>
      <c r="R1273" s="16">
        <v>0.2</v>
      </c>
      <c r="S1273" s="16">
        <v>1199.78</v>
      </c>
      <c r="T1273" s="5" t="s">
        <v>21</v>
      </c>
      <c r="U1273" s="13" t="s">
        <v>301</v>
      </c>
    </row>
    <row r="1274" spans="1:21" x14ac:dyDescent="0.35">
      <c r="A1274" s="4">
        <v>1273</v>
      </c>
      <c r="B1274" s="4">
        <v>1268</v>
      </c>
      <c r="C1274" s="13" t="s">
        <v>2084</v>
      </c>
      <c r="D1274" s="13" t="s">
        <v>699</v>
      </c>
      <c r="E1274" s="5" t="s">
        <v>5566</v>
      </c>
      <c r="F1274" s="5" t="s">
        <v>5129</v>
      </c>
      <c r="G1274" s="5" t="s">
        <v>5130</v>
      </c>
      <c r="H1274" s="13" t="s">
        <v>2605</v>
      </c>
      <c r="I1274" s="13" t="s">
        <v>2309</v>
      </c>
      <c r="J1274" s="4">
        <v>12401</v>
      </c>
      <c r="K1274" s="4">
        <v>1</v>
      </c>
      <c r="L1274" s="4">
        <v>95</v>
      </c>
      <c r="M1274" s="4">
        <v>2017</v>
      </c>
      <c r="N1274" s="4">
        <v>2</v>
      </c>
      <c r="O1274" s="4">
        <v>6</v>
      </c>
      <c r="P1274" s="4">
        <v>2</v>
      </c>
      <c r="Q1274" s="19">
        <v>299.99</v>
      </c>
      <c r="R1274" s="16">
        <v>7.0000000000000007E-2</v>
      </c>
      <c r="S1274" s="16">
        <v>599.91</v>
      </c>
      <c r="T1274" s="5" t="s">
        <v>77</v>
      </c>
      <c r="U1274" s="13" t="s">
        <v>299</v>
      </c>
    </row>
    <row r="1275" spans="1:21" x14ac:dyDescent="0.35">
      <c r="A1275" s="4">
        <v>1274</v>
      </c>
      <c r="B1275" s="4">
        <v>1364</v>
      </c>
      <c r="C1275" s="13" t="s">
        <v>2085</v>
      </c>
      <c r="D1275" s="13" t="s">
        <v>1215</v>
      </c>
      <c r="E1275" s="5" t="s">
        <v>5566</v>
      </c>
      <c r="F1275" s="5" t="s">
        <v>5131</v>
      </c>
      <c r="G1275" s="5" t="s">
        <v>5132</v>
      </c>
      <c r="H1275" s="13" t="s">
        <v>2518</v>
      </c>
      <c r="I1275" s="13" t="s">
        <v>2309</v>
      </c>
      <c r="J1275" s="4">
        <v>12020</v>
      </c>
      <c r="K1275" s="4">
        <v>1</v>
      </c>
      <c r="L1275" s="4">
        <v>81</v>
      </c>
      <c r="M1275" s="4">
        <v>2017</v>
      </c>
      <c r="N1275" s="4">
        <v>2</v>
      </c>
      <c r="O1275" s="4">
        <v>7</v>
      </c>
      <c r="P1275" s="4">
        <v>1</v>
      </c>
      <c r="Q1275" s="19">
        <v>1099.99</v>
      </c>
      <c r="R1275" s="16">
        <v>0.1</v>
      </c>
      <c r="S1275" s="16">
        <v>1099.8900000000001</v>
      </c>
      <c r="T1275" s="5" t="s">
        <v>82</v>
      </c>
      <c r="U1275" s="13" t="s">
        <v>301</v>
      </c>
    </row>
    <row r="1276" spans="1:21" x14ac:dyDescent="0.35">
      <c r="A1276" s="4">
        <v>1275</v>
      </c>
      <c r="B1276" s="4">
        <v>165</v>
      </c>
      <c r="C1276" s="13" t="s">
        <v>1174</v>
      </c>
      <c r="D1276" s="13" t="s">
        <v>1642</v>
      </c>
      <c r="E1276" s="5" t="s">
        <v>5133</v>
      </c>
      <c r="F1276" s="5" t="s">
        <v>5134</v>
      </c>
      <c r="G1276" s="5" t="s">
        <v>5135</v>
      </c>
      <c r="H1276" s="13" t="s">
        <v>2741</v>
      </c>
      <c r="I1276" s="13" t="s">
        <v>2305</v>
      </c>
      <c r="J1276" s="4">
        <v>95127</v>
      </c>
      <c r="K1276" s="4">
        <v>1</v>
      </c>
      <c r="L1276" s="4">
        <v>58</v>
      </c>
      <c r="M1276" s="4">
        <v>2017</v>
      </c>
      <c r="N1276" s="4">
        <v>1</v>
      </c>
      <c r="O1276" s="4">
        <v>2</v>
      </c>
      <c r="P1276" s="4">
        <v>1</v>
      </c>
      <c r="Q1276" s="19">
        <v>4999.99</v>
      </c>
      <c r="R1276" s="16">
        <v>7.0000000000000007E-2</v>
      </c>
      <c r="S1276" s="16">
        <v>4999.92</v>
      </c>
      <c r="T1276" s="5" t="s">
        <v>59</v>
      </c>
      <c r="U1276" s="13" t="s">
        <v>305</v>
      </c>
    </row>
    <row r="1277" spans="1:21" x14ac:dyDescent="0.35">
      <c r="A1277" s="4">
        <v>1276</v>
      </c>
      <c r="B1277" s="4">
        <v>893</v>
      </c>
      <c r="C1277" s="13" t="s">
        <v>2086</v>
      </c>
      <c r="D1277" s="13" t="s">
        <v>1134</v>
      </c>
      <c r="E1277" s="5" t="s">
        <v>5566</v>
      </c>
      <c r="F1277" s="5" t="s">
        <v>5136</v>
      </c>
      <c r="G1277" s="5" t="s">
        <v>5137</v>
      </c>
      <c r="H1277" s="13" t="s">
        <v>4270</v>
      </c>
      <c r="I1277" s="13" t="s">
        <v>2309</v>
      </c>
      <c r="J1277" s="4">
        <v>14043</v>
      </c>
      <c r="K1277" s="4">
        <v>1</v>
      </c>
      <c r="L1277" s="4">
        <v>18</v>
      </c>
      <c r="M1277" s="4">
        <v>2016</v>
      </c>
      <c r="N1277" s="4">
        <v>2</v>
      </c>
      <c r="O1277" s="4">
        <v>6</v>
      </c>
      <c r="P1277" s="4">
        <v>2</v>
      </c>
      <c r="Q1277" s="19">
        <v>449</v>
      </c>
      <c r="R1277" s="16">
        <v>0.2</v>
      </c>
      <c r="S1277" s="16">
        <v>897.8</v>
      </c>
      <c r="T1277" s="5" t="s">
        <v>23</v>
      </c>
      <c r="U1277" s="13" t="s">
        <v>301</v>
      </c>
    </row>
    <row r="1278" spans="1:21" x14ac:dyDescent="0.35">
      <c r="A1278" s="4">
        <v>1277</v>
      </c>
      <c r="B1278" s="4">
        <v>227</v>
      </c>
      <c r="C1278" s="13" t="s">
        <v>2087</v>
      </c>
      <c r="D1278" s="13" t="s">
        <v>2088</v>
      </c>
      <c r="E1278" s="5" t="s">
        <v>5566</v>
      </c>
      <c r="F1278" s="5" t="s">
        <v>5138</v>
      </c>
      <c r="G1278" s="5" t="s">
        <v>5139</v>
      </c>
      <c r="H1278" s="13" t="s">
        <v>2312</v>
      </c>
      <c r="I1278" s="13" t="s">
        <v>2309</v>
      </c>
      <c r="J1278" s="4">
        <v>11772</v>
      </c>
      <c r="K1278" s="4">
        <v>1</v>
      </c>
      <c r="L1278" s="4">
        <v>56</v>
      </c>
      <c r="M1278" s="4">
        <v>2017</v>
      </c>
      <c r="N1278" s="4">
        <v>2</v>
      </c>
      <c r="O1278" s="4">
        <v>6</v>
      </c>
      <c r="P1278" s="4">
        <v>2</v>
      </c>
      <c r="Q1278" s="19">
        <v>5499.99</v>
      </c>
      <c r="R1278" s="16">
        <v>0.2</v>
      </c>
      <c r="S1278" s="16">
        <v>10999.779999999999</v>
      </c>
      <c r="T1278" s="5" t="s">
        <v>57</v>
      </c>
      <c r="U1278" s="13" t="s">
        <v>305</v>
      </c>
    </row>
    <row r="1279" spans="1:21" x14ac:dyDescent="0.35">
      <c r="A1279" s="4">
        <v>1278</v>
      </c>
      <c r="B1279" s="4">
        <v>980</v>
      </c>
      <c r="C1279" s="13" t="s">
        <v>620</v>
      </c>
      <c r="D1279" s="13" t="s">
        <v>459</v>
      </c>
      <c r="E1279" s="5" t="s">
        <v>5566</v>
      </c>
      <c r="F1279" s="5" t="s">
        <v>5140</v>
      </c>
      <c r="G1279" s="5" t="s">
        <v>5141</v>
      </c>
      <c r="H1279" s="13" t="s">
        <v>3153</v>
      </c>
      <c r="I1279" s="13" t="s">
        <v>2309</v>
      </c>
      <c r="J1279" s="4">
        <v>10573</v>
      </c>
      <c r="K1279" s="4">
        <v>1</v>
      </c>
      <c r="L1279" s="4">
        <v>103</v>
      </c>
      <c r="M1279" s="4">
        <v>2017</v>
      </c>
      <c r="N1279" s="4">
        <v>2</v>
      </c>
      <c r="O1279" s="4">
        <v>7</v>
      </c>
      <c r="P1279" s="4">
        <v>2</v>
      </c>
      <c r="Q1279" s="19">
        <v>551.99</v>
      </c>
      <c r="R1279" s="16">
        <v>0.1</v>
      </c>
      <c r="S1279" s="16">
        <v>1103.8800000000001</v>
      </c>
      <c r="T1279" s="5" t="s">
        <v>102</v>
      </c>
      <c r="U1279" s="13" t="s">
        <v>300</v>
      </c>
    </row>
    <row r="1280" spans="1:21" x14ac:dyDescent="0.35">
      <c r="A1280" s="4">
        <v>1279</v>
      </c>
      <c r="B1280" s="4">
        <v>1014</v>
      </c>
      <c r="C1280" s="13" t="s">
        <v>2089</v>
      </c>
      <c r="D1280" s="13" t="s">
        <v>1592</v>
      </c>
      <c r="E1280" s="5" t="s">
        <v>5566</v>
      </c>
      <c r="F1280" s="5" t="s">
        <v>5142</v>
      </c>
      <c r="G1280" s="5" t="s">
        <v>5143</v>
      </c>
      <c r="H1280" s="13" t="s">
        <v>2653</v>
      </c>
      <c r="I1280" s="13" t="s">
        <v>2309</v>
      </c>
      <c r="J1280" s="4">
        <v>11419</v>
      </c>
      <c r="K1280" s="4">
        <v>1</v>
      </c>
      <c r="L1280" s="4">
        <v>9</v>
      </c>
      <c r="M1280" s="4">
        <v>2016</v>
      </c>
      <c r="N1280" s="4">
        <v>2</v>
      </c>
      <c r="O1280" s="4">
        <v>6</v>
      </c>
      <c r="P1280" s="4">
        <v>2</v>
      </c>
      <c r="Q1280" s="19">
        <v>2999.99</v>
      </c>
      <c r="R1280" s="16">
        <v>0.05</v>
      </c>
      <c r="S1280" s="16">
        <v>5999.9299999999994</v>
      </c>
      <c r="T1280" s="5" t="s">
        <v>14</v>
      </c>
      <c r="U1280" s="13" t="s">
        <v>303</v>
      </c>
    </row>
    <row r="1281" spans="1:21" x14ac:dyDescent="0.35">
      <c r="A1281" s="4">
        <v>1280</v>
      </c>
      <c r="B1281" s="4">
        <v>123</v>
      </c>
      <c r="C1281" s="13" t="s">
        <v>2090</v>
      </c>
      <c r="D1281" s="13" t="s">
        <v>849</v>
      </c>
      <c r="E1281" s="5" t="s">
        <v>5144</v>
      </c>
      <c r="F1281" s="5" t="s">
        <v>5145</v>
      </c>
      <c r="G1281" s="5" t="s">
        <v>5146</v>
      </c>
      <c r="H1281" s="13" t="s">
        <v>2453</v>
      </c>
      <c r="I1281" s="13" t="s">
        <v>2397</v>
      </c>
      <c r="J1281" s="4">
        <v>78418</v>
      </c>
      <c r="K1281" s="4">
        <v>1</v>
      </c>
      <c r="L1281" s="4">
        <v>72</v>
      </c>
      <c r="M1281" s="4">
        <v>2017</v>
      </c>
      <c r="N1281" s="4">
        <v>3</v>
      </c>
      <c r="O1281" s="4">
        <v>9</v>
      </c>
      <c r="P1281" s="4">
        <v>2</v>
      </c>
      <c r="Q1281" s="19">
        <v>619.99</v>
      </c>
      <c r="R1281" s="16">
        <v>7.0000000000000007E-2</v>
      </c>
      <c r="S1281" s="16">
        <v>1239.9100000000001</v>
      </c>
      <c r="T1281" s="5" t="s">
        <v>73</v>
      </c>
      <c r="U1281" s="13" t="s">
        <v>301</v>
      </c>
    </row>
    <row r="1282" spans="1:21" x14ac:dyDescent="0.35">
      <c r="A1282" s="4">
        <v>1281</v>
      </c>
      <c r="B1282" s="4">
        <v>1060</v>
      </c>
      <c r="C1282" s="13" t="s">
        <v>1053</v>
      </c>
      <c r="D1282" s="13" t="s">
        <v>1308</v>
      </c>
      <c r="E1282" s="5" t="s">
        <v>5147</v>
      </c>
      <c r="F1282" s="5" t="s">
        <v>5148</v>
      </c>
      <c r="G1282" s="5" t="s">
        <v>5149</v>
      </c>
      <c r="H1282" s="13" t="s">
        <v>2597</v>
      </c>
      <c r="I1282" s="13" t="s">
        <v>2309</v>
      </c>
      <c r="J1282" s="4">
        <v>14086</v>
      </c>
      <c r="K1282" s="4">
        <v>1</v>
      </c>
      <c r="L1282" s="4">
        <v>36</v>
      </c>
      <c r="M1282" s="4">
        <v>2017</v>
      </c>
      <c r="N1282" s="4">
        <v>2</v>
      </c>
      <c r="O1282" s="4">
        <v>6</v>
      </c>
      <c r="P1282" s="4">
        <v>1</v>
      </c>
      <c r="Q1282" s="19">
        <v>832.99</v>
      </c>
      <c r="R1282" s="16">
        <v>0.05</v>
      </c>
      <c r="S1282" s="16">
        <v>832.94</v>
      </c>
      <c r="T1282" s="5" t="s">
        <v>37</v>
      </c>
      <c r="U1282" s="13" t="s">
        <v>304</v>
      </c>
    </row>
    <row r="1283" spans="1:21" x14ac:dyDescent="0.35">
      <c r="A1283" s="4">
        <v>1282</v>
      </c>
      <c r="B1283" s="4">
        <v>320</v>
      </c>
      <c r="C1283" s="13" t="s">
        <v>2091</v>
      </c>
      <c r="D1283" s="13" t="s">
        <v>1787</v>
      </c>
      <c r="E1283" s="5" t="s">
        <v>5150</v>
      </c>
      <c r="F1283" s="5" t="s">
        <v>5151</v>
      </c>
      <c r="G1283" s="5" t="s">
        <v>5152</v>
      </c>
      <c r="H1283" s="13" t="s">
        <v>4573</v>
      </c>
      <c r="I1283" s="13" t="s">
        <v>2309</v>
      </c>
      <c r="J1283" s="4">
        <v>11572</v>
      </c>
      <c r="K1283" s="4">
        <v>1</v>
      </c>
      <c r="L1283" s="4">
        <v>111</v>
      </c>
      <c r="M1283" s="4">
        <v>2017</v>
      </c>
      <c r="N1283" s="4">
        <v>2</v>
      </c>
      <c r="O1283" s="4">
        <v>6</v>
      </c>
      <c r="P1283" s="4">
        <v>1</v>
      </c>
      <c r="Q1283" s="19">
        <v>470.99</v>
      </c>
      <c r="R1283" s="16">
        <v>0.05</v>
      </c>
      <c r="S1283" s="16">
        <v>470.94</v>
      </c>
      <c r="T1283" s="5" t="s">
        <v>108</v>
      </c>
      <c r="U1283" s="13" t="s">
        <v>300</v>
      </c>
    </row>
    <row r="1284" spans="1:21" x14ac:dyDescent="0.35">
      <c r="A1284" s="4">
        <v>1283</v>
      </c>
      <c r="B1284" s="4">
        <v>85</v>
      </c>
      <c r="C1284" s="13" t="s">
        <v>2092</v>
      </c>
      <c r="D1284" s="13" t="s">
        <v>1004</v>
      </c>
      <c r="E1284" s="5" t="s">
        <v>5566</v>
      </c>
      <c r="F1284" s="5" t="s">
        <v>5153</v>
      </c>
      <c r="G1284" s="5" t="s">
        <v>5154</v>
      </c>
      <c r="H1284" s="13" t="s">
        <v>2308</v>
      </c>
      <c r="I1284" s="13" t="s">
        <v>2309</v>
      </c>
      <c r="J1284" s="4">
        <v>11746</v>
      </c>
      <c r="K1284" s="4">
        <v>1</v>
      </c>
      <c r="L1284" s="4">
        <v>61</v>
      </c>
      <c r="M1284" s="4">
        <v>2017</v>
      </c>
      <c r="N1284" s="4">
        <v>2</v>
      </c>
      <c r="O1284" s="4">
        <v>7</v>
      </c>
      <c r="P1284" s="4">
        <v>2</v>
      </c>
      <c r="Q1284" s="19">
        <v>4999.99</v>
      </c>
      <c r="R1284" s="16">
        <v>0.05</v>
      </c>
      <c r="S1284" s="16">
        <v>9999.93</v>
      </c>
      <c r="T1284" s="5" t="s">
        <v>62</v>
      </c>
      <c r="U1284" s="13" t="s">
        <v>303</v>
      </c>
    </row>
    <row r="1285" spans="1:21" x14ac:dyDescent="0.35">
      <c r="A1285" s="4">
        <v>1284</v>
      </c>
      <c r="B1285" s="4">
        <v>128</v>
      </c>
      <c r="C1285" s="13" t="s">
        <v>2093</v>
      </c>
      <c r="D1285" s="13" t="s">
        <v>716</v>
      </c>
      <c r="E1285" s="5" t="s">
        <v>5566</v>
      </c>
      <c r="F1285" s="5" t="s">
        <v>5155</v>
      </c>
      <c r="G1285" s="5" t="s">
        <v>5156</v>
      </c>
      <c r="H1285" s="13" t="s">
        <v>2822</v>
      </c>
      <c r="I1285" s="13" t="s">
        <v>2309</v>
      </c>
      <c r="J1285" s="4">
        <v>12901</v>
      </c>
      <c r="K1285" s="4">
        <v>1</v>
      </c>
      <c r="L1285" s="4">
        <v>101</v>
      </c>
      <c r="M1285" s="4">
        <v>2017</v>
      </c>
      <c r="N1285" s="4">
        <v>2</v>
      </c>
      <c r="O1285" s="4">
        <v>7</v>
      </c>
      <c r="P1285" s="4">
        <v>1</v>
      </c>
      <c r="Q1285" s="19">
        <v>339.99</v>
      </c>
      <c r="R1285" s="16">
        <v>7.0000000000000007E-2</v>
      </c>
      <c r="S1285" s="16">
        <v>339.92</v>
      </c>
      <c r="T1285" s="5" t="s">
        <v>101</v>
      </c>
      <c r="U1285" s="13" t="s">
        <v>299</v>
      </c>
    </row>
    <row r="1286" spans="1:21" x14ac:dyDescent="0.35">
      <c r="A1286" s="4">
        <v>1285</v>
      </c>
      <c r="B1286" s="4">
        <v>262</v>
      </c>
      <c r="C1286" s="13" t="s">
        <v>2094</v>
      </c>
      <c r="D1286" s="13" t="s">
        <v>457</v>
      </c>
      <c r="E1286" s="5" t="s">
        <v>5157</v>
      </c>
      <c r="F1286" s="5" t="s">
        <v>5158</v>
      </c>
      <c r="G1286" s="5" t="s">
        <v>5159</v>
      </c>
      <c r="H1286" s="13" t="s">
        <v>2406</v>
      </c>
      <c r="I1286" s="13" t="s">
        <v>2309</v>
      </c>
      <c r="J1286" s="4">
        <v>14215</v>
      </c>
      <c r="K1286" s="4">
        <v>1</v>
      </c>
      <c r="L1286" s="4">
        <v>78</v>
      </c>
      <c r="M1286" s="4">
        <v>2017</v>
      </c>
      <c r="N1286" s="4">
        <v>2</v>
      </c>
      <c r="O1286" s="4">
        <v>7</v>
      </c>
      <c r="P1286" s="4">
        <v>2</v>
      </c>
      <c r="Q1286" s="19">
        <v>647.99</v>
      </c>
      <c r="R1286" s="16">
        <v>7.0000000000000007E-2</v>
      </c>
      <c r="S1286" s="16">
        <v>1295.9100000000001</v>
      </c>
      <c r="T1286" s="5" t="s">
        <v>79</v>
      </c>
      <c r="U1286" s="13" t="s">
        <v>301</v>
      </c>
    </row>
    <row r="1287" spans="1:21" x14ac:dyDescent="0.35">
      <c r="A1287" s="4">
        <v>1286</v>
      </c>
      <c r="B1287" s="4">
        <v>1033</v>
      </c>
      <c r="C1287" s="13" t="s">
        <v>2095</v>
      </c>
      <c r="D1287" s="13" t="s">
        <v>905</v>
      </c>
      <c r="E1287" s="5" t="s">
        <v>5566</v>
      </c>
      <c r="F1287" s="5" t="s">
        <v>5160</v>
      </c>
      <c r="G1287" s="5" t="s">
        <v>5161</v>
      </c>
      <c r="H1287" s="13" t="s">
        <v>2628</v>
      </c>
      <c r="I1287" s="13" t="s">
        <v>2309</v>
      </c>
      <c r="J1287" s="4">
        <v>11375</v>
      </c>
      <c r="K1287" s="4">
        <v>1</v>
      </c>
      <c r="L1287" s="4">
        <v>109</v>
      </c>
      <c r="M1287" s="4">
        <v>2017</v>
      </c>
      <c r="N1287" s="4">
        <v>2</v>
      </c>
      <c r="O1287" s="4">
        <v>7</v>
      </c>
      <c r="P1287" s="4">
        <v>2</v>
      </c>
      <c r="Q1287" s="19">
        <v>416.99</v>
      </c>
      <c r="R1287" s="16">
        <v>0.2</v>
      </c>
      <c r="S1287" s="16">
        <v>833.78</v>
      </c>
      <c r="T1287" s="5" t="s">
        <v>106</v>
      </c>
      <c r="U1287" s="13" t="s">
        <v>300</v>
      </c>
    </row>
    <row r="1288" spans="1:21" x14ac:dyDescent="0.35">
      <c r="A1288" s="4">
        <v>1287</v>
      </c>
      <c r="B1288" s="4">
        <v>279</v>
      </c>
      <c r="C1288" s="13" t="s">
        <v>860</v>
      </c>
      <c r="D1288" s="13" t="s">
        <v>1247</v>
      </c>
      <c r="E1288" s="5" t="s">
        <v>5566</v>
      </c>
      <c r="F1288" s="5" t="s">
        <v>5162</v>
      </c>
      <c r="G1288" s="5" t="s">
        <v>5163</v>
      </c>
      <c r="H1288" s="13" t="s">
        <v>3292</v>
      </c>
      <c r="I1288" s="13" t="s">
        <v>2305</v>
      </c>
      <c r="J1288" s="4">
        <v>91733</v>
      </c>
      <c r="K1288" s="4">
        <v>1</v>
      </c>
      <c r="L1288" s="4">
        <v>27</v>
      </c>
      <c r="M1288" s="4">
        <v>2017</v>
      </c>
      <c r="N1288" s="4">
        <v>1</v>
      </c>
      <c r="O1288" s="4">
        <v>3</v>
      </c>
      <c r="P1288" s="4">
        <v>2</v>
      </c>
      <c r="Q1288" s="19">
        <v>999.99</v>
      </c>
      <c r="R1288" s="16">
        <v>0.2</v>
      </c>
      <c r="S1288" s="16">
        <v>1999.78</v>
      </c>
      <c r="T1288" s="5" t="s">
        <v>28</v>
      </c>
      <c r="U1288" s="13" t="s">
        <v>304</v>
      </c>
    </row>
    <row r="1289" spans="1:21" x14ac:dyDescent="0.35">
      <c r="A1289" s="4">
        <v>1288</v>
      </c>
      <c r="B1289" s="4">
        <v>778</v>
      </c>
      <c r="C1289" s="13" t="s">
        <v>2096</v>
      </c>
      <c r="D1289" s="13" t="s">
        <v>798</v>
      </c>
      <c r="E1289" s="5" t="s">
        <v>5566</v>
      </c>
      <c r="F1289" s="5" t="s">
        <v>5164</v>
      </c>
      <c r="G1289" s="5" t="s">
        <v>5165</v>
      </c>
      <c r="H1289" s="13" t="s">
        <v>2608</v>
      </c>
      <c r="I1289" s="13" t="s">
        <v>2397</v>
      </c>
      <c r="J1289" s="4">
        <v>77904</v>
      </c>
      <c r="K1289" s="4">
        <v>1</v>
      </c>
      <c r="L1289" s="4">
        <v>73</v>
      </c>
      <c r="M1289" s="4">
        <v>2017</v>
      </c>
      <c r="N1289" s="4">
        <v>3</v>
      </c>
      <c r="O1289" s="4">
        <v>9</v>
      </c>
      <c r="P1289" s="4">
        <v>1</v>
      </c>
      <c r="Q1289" s="19">
        <v>749.99</v>
      </c>
      <c r="R1289" s="16">
        <v>0.2</v>
      </c>
      <c r="S1289" s="16">
        <v>749.79</v>
      </c>
      <c r="T1289" s="5" t="s">
        <v>74</v>
      </c>
      <c r="U1289" s="13" t="s">
        <v>301</v>
      </c>
    </row>
    <row r="1290" spans="1:21" x14ac:dyDescent="0.35">
      <c r="A1290" s="4">
        <v>1289</v>
      </c>
      <c r="B1290" s="4">
        <v>1292</v>
      </c>
      <c r="C1290" s="13" t="s">
        <v>2097</v>
      </c>
      <c r="D1290" s="13" t="s">
        <v>2047</v>
      </c>
      <c r="E1290" s="5" t="s">
        <v>5566</v>
      </c>
      <c r="F1290" s="5" t="s">
        <v>5166</v>
      </c>
      <c r="G1290" s="5" t="s">
        <v>5167</v>
      </c>
      <c r="H1290" s="13" t="s">
        <v>3004</v>
      </c>
      <c r="I1290" s="13" t="s">
        <v>2305</v>
      </c>
      <c r="J1290" s="4">
        <v>94580</v>
      </c>
      <c r="K1290" s="4">
        <v>1</v>
      </c>
      <c r="L1290" s="4">
        <v>89</v>
      </c>
      <c r="M1290" s="4">
        <v>2017</v>
      </c>
      <c r="N1290" s="4">
        <v>1</v>
      </c>
      <c r="O1290" s="4">
        <v>3</v>
      </c>
      <c r="P1290" s="4">
        <v>1</v>
      </c>
      <c r="Q1290" s="19">
        <v>209.99</v>
      </c>
      <c r="R1290" s="16">
        <v>0.05</v>
      </c>
      <c r="S1290" s="16">
        <v>209.94</v>
      </c>
      <c r="T1290" s="5" t="s">
        <v>90</v>
      </c>
      <c r="U1290" s="13" t="s">
        <v>299</v>
      </c>
    </row>
    <row r="1291" spans="1:21" x14ac:dyDescent="0.35">
      <c r="A1291" s="4">
        <v>1290</v>
      </c>
      <c r="B1291" s="4">
        <v>967</v>
      </c>
      <c r="C1291" s="13" t="s">
        <v>2098</v>
      </c>
      <c r="D1291" s="13" t="s">
        <v>1418</v>
      </c>
      <c r="E1291" s="5" t="s">
        <v>5566</v>
      </c>
      <c r="F1291" s="5" t="s">
        <v>5168</v>
      </c>
      <c r="G1291" s="5" t="s">
        <v>5169</v>
      </c>
      <c r="H1291" s="13" t="s">
        <v>3204</v>
      </c>
      <c r="I1291" s="13" t="s">
        <v>2309</v>
      </c>
      <c r="J1291" s="4">
        <v>14424</v>
      </c>
      <c r="K1291" s="4">
        <v>1</v>
      </c>
      <c r="L1291" s="4">
        <v>75</v>
      </c>
      <c r="M1291" s="4">
        <v>2017</v>
      </c>
      <c r="N1291" s="4">
        <v>2</v>
      </c>
      <c r="O1291" s="4">
        <v>6</v>
      </c>
      <c r="P1291" s="4">
        <v>2</v>
      </c>
      <c r="Q1291" s="19">
        <v>599.99</v>
      </c>
      <c r="R1291" s="16">
        <v>0.05</v>
      </c>
      <c r="S1291" s="16">
        <v>1199.93</v>
      </c>
      <c r="T1291" s="5" t="s">
        <v>76</v>
      </c>
      <c r="U1291" s="13" t="s">
        <v>301</v>
      </c>
    </row>
    <row r="1292" spans="1:21" x14ac:dyDescent="0.35">
      <c r="A1292" s="4">
        <v>1291</v>
      </c>
      <c r="B1292" s="4">
        <v>1284</v>
      </c>
      <c r="C1292" s="13" t="s">
        <v>2099</v>
      </c>
      <c r="D1292" s="13" t="s">
        <v>2100</v>
      </c>
      <c r="E1292" s="5" t="s">
        <v>5566</v>
      </c>
      <c r="F1292" s="5" t="s">
        <v>5170</v>
      </c>
      <c r="G1292" s="5" t="s">
        <v>5171</v>
      </c>
      <c r="H1292" s="13" t="s">
        <v>2554</v>
      </c>
      <c r="I1292" s="13" t="s">
        <v>2309</v>
      </c>
      <c r="J1292" s="4">
        <v>11201</v>
      </c>
      <c r="K1292" s="4">
        <v>1</v>
      </c>
      <c r="L1292" s="4">
        <v>57</v>
      </c>
      <c r="M1292" s="4">
        <v>2017</v>
      </c>
      <c r="N1292" s="4">
        <v>2</v>
      </c>
      <c r="O1292" s="4">
        <v>6</v>
      </c>
      <c r="P1292" s="4">
        <v>1</v>
      </c>
      <c r="Q1292" s="19">
        <v>1999.99</v>
      </c>
      <c r="R1292" s="16">
        <v>0.1</v>
      </c>
      <c r="S1292" s="16">
        <v>1999.89</v>
      </c>
      <c r="T1292" s="5" t="s">
        <v>58</v>
      </c>
      <c r="U1292" s="13" t="s">
        <v>305</v>
      </c>
    </row>
    <row r="1293" spans="1:21" x14ac:dyDescent="0.35">
      <c r="A1293" s="4">
        <v>1292</v>
      </c>
      <c r="B1293" s="4">
        <v>285</v>
      </c>
      <c r="C1293" s="13" t="s">
        <v>2101</v>
      </c>
      <c r="D1293" s="13" t="s">
        <v>877</v>
      </c>
      <c r="E1293" s="5" t="s">
        <v>5566</v>
      </c>
      <c r="F1293" s="5" t="s">
        <v>5172</v>
      </c>
      <c r="G1293" s="5" t="s">
        <v>5173</v>
      </c>
      <c r="H1293" s="13" t="s">
        <v>3156</v>
      </c>
      <c r="I1293" s="13" t="s">
        <v>2309</v>
      </c>
      <c r="J1293" s="4">
        <v>11102</v>
      </c>
      <c r="K1293" s="4">
        <v>1</v>
      </c>
      <c r="L1293" s="4">
        <v>70</v>
      </c>
      <c r="M1293" s="4">
        <v>2017</v>
      </c>
      <c r="N1293" s="4">
        <v>2</v>
      </c>
      <c r="O1293" s="4">
        <v>6</v>
      </c>
      <c r="P1293" s="4">
        <v>1</v>
      </c>
      <c r="Q1293" s="19">
        <v>659.99</v>
      </c>
      <c r="R1293" s="16">
        <v>7.0000000000000007E-2</v>
      </c>
      <c r="S1293" s="16">
        <v>659.92</v>
      </c>
      <c r="T1293" s="5" t="s">
        <v>71</v>
      </c>
      <c r="U1293" s="13" t="s">
        <v>301</v>
      </c>
    </row>
    <row r="1294" spans="1:21" x14ac:dyDescent="0.35">
      <c r="A1294" s="4">
        <v>1293</v>
      </c>
      <c r="B1294" s="4">
        <v>1401</v>
      </c>
      <c r="C1294" s="13" t="s">
        <v>2102</v>
      </c>
      <c r="D1294" s="13" t="s">
        <v>2103</v>
      </c>
      <c r="E1294" s="5" t="s">
        <v>5566</v>
      </c>
      <c r="F1294" s="5" t="s">
        <v>5174</v>
      </c>
      <c r="G1294" s="5" t="s">
        <v>5175</v>
      </c>
      <c r="H1294" s="13" t="s">
        <v>2631</v>
      </c>
      <c r="I1294" s="13" t="s">
        <v>2309</v>
      </c>
      <c r="J1294" s="4">
        <v>11369</v>
      </c>
      <c r="K1294" s="4">
        <v>1</v>
      </c>
      <c r="L1294" s="4">
        <v>88</v>
      </c>
      <c r="M1294" s="4">
        <v>2017</v>
      </c>
      <c r="N1294" s="4">
        <v>2</v>
      </c>
      <c r="O1294" s="4">
        <v>7</v>
      </c>
      <c r="P1294" s="4">
        <v>2</v>
      </c>
      <c r="Q1294" s="19">
        <v>189.99</v>
      </c>
      <c r="R1294" s="16">
        <v>0.1</v>
      </c>
      <c r="S1294" s="16">
        <v>379.88</v>
      </c>
      <c r="T1294" s="5" t="s">
        <v>89</v>
      </c>
      <c r="U1294" s="13" t="s">
        <v>299</v>
      </c>
    </row>
    <row r="1295" spans="1:21" x14ac:dyDescent="0.35">
      <c r="A1295" s="4">
        <v>1294</v>
      </c>
      <c r="B1295" s="4">
        <v>947</v>
      </c>
      <c r="C1295" s="13" t="s">
        <v>909</v>
      </c>
      <c r="D1295" s="13" t="s">
        <v>831</v>
      </c>
      <c r="E1295" s="5" t="s">
        <v>5566</v>
      </c>
      <c r="F1295" s="5" t="s">
        <v>5176</v>
      </c>
      <c r="G1295" s="5" t="s">
        <v>5177</v>
      </c>
      <c r="H1295" s="13" t="s">
        <v>2790</v>
      </c>
      <c r="I1295" s="13" t="s">
        <v>2305</v>
      </c>
      <c r="J1295" s="4">
        <v>90274</v>
      </c>
      <c r="K1295" s="4">
        <v>1</v>
      </c>
      <c r="L1295" s="4">
        <v>95</v>
      </c>
      <c r="M1295" s="4">
        <v>2017</v>
      </c>
      <c r="N1295" s="4">
        <v>1</v>
      </c>
      <c r="O1295" s="4">
        <v>2</v>
      </c>
      <c r="P1295" s="4">
        <v>2</v>
      </c>
      <c r="Q1295" s="19">
        <v>299.99</v>
      </c>
      <c r="R1295" s="16">
        <v>0.05</v>
      </c>
      <c r="S1295" s="16">
        <v>599.93000000000006</v>
      </c>
      <c r="T1295" s="5" t="s">
        <v>77</v>
      </c>
      <c r="U1295" s="13" t="s">
        <v>299</v>
      </c>
    </row>
    <row r="1296" spans="1:21" x14ac:dyDescent="0.35">
      <c r="A1296" s="4">
        <v>1295</v>
      </c>
      <c r="B1296" s="4">
        <v>37</v>
      </c>
      <c r="C1296" s="13" t="s">
        <v>2104</v>
      </c>
      <c r="D1296" s="13" t="s">
        <v>2105</v>
      </c>
      <c r="E1296" s="5" t="s">
        <v>5566</v>
      </c>
      <c r="F1296" s="5" t="s">
        <v>5178</v>
      </c>
      <c r="G1296" s="5" t="s">
        <v>5179</v>
      </c>
      <c r="H1296" s="13" t="s">
        <v>2838</v>
      </c>
      <c r="I1296" s="13" t="s">
        <v>2309</v>
      </c>
      <c r="J1296" s="4">
        <v>11378</v>
      </c>
      <c r="K1296" s="4">
        <v>1</v>
      </c>
      <c r="L1296" s="4">
        <v>5</v>
      </c>
      <c r="M1296" s="4">
        <v>2016</v>
      </c>
      <c r="N1296" s="4">
        <v>2</v>
      </c>
      <c r="O1296" s="4">
        <v>7</v>
      </c>
      <c r="P1296" s="4">
        <v>2</v>
      </c>
      <c r="Q1296" s="19">
        <v>1320.99</v>
      </c>
      <c r="R1296" s="16">
        <v>0.2</v>
      </c>
      <c r="S1296" s="16">
        <v>2641.78</v>
      </c>
      <c r="T1296" s="5" t="s">
        <v>10</v>
      </c>
      <c r="U1296" s="13" t="s">
        <v>304</v>
      </c>
    </row>
    <row r="1297" spans="1:21" x14ac:dyDescent="0.35">
      <c r="A1297" s="4">
        <v>1296</v>
      </c>
      <c r="B1297" s="4">
        <v>231</v>
      </c>
      <c r="C1297" s="13" t="s">
        <v>2106</v>
      </c>
      <c r="D1297" s="13" t="s">
        <v>919</v>
      </c>
      <c r="E1297" s="5" t="s">
        <v>5180</v>
      </c>
      <c r="F1297" s="5" t="s">
        <v>5181</v>
      </c>
      <c r="G1297" s="5" t="s">
        <v>5182</v>
      </c>
      <c r="H1297" s="13" t="s">
        <v>2997</v>
      </c>
      <c r="I1297" s="13" t="s">
        <v>2305</v>
      </c>
      <c r="J1297" s="4">
        <v>95820</v>
      </c>
      <c r="K1297" s="4">
        <v>1</v>
      </c>
      <c r="L1297" s="4">
        <v>25</v>
      </c>
      <c r="M1297" s="4">
        <v>2016</v>
      </c>
      <c r="N1297" s="4">
        <v>1</v>
      </c>
      <c r="O1297" s="4">
        <v>3</v>
      </c>
      <c r="P1297" s="4">
        <v>2</v>
      </c>
      <c r="Q1297" s="19">
        <v>499.99</v>
      </c>
      <c r="R1297" s="16">
        <v>0.05</v>
      </c>
      <c r="S1297" s="16">
        <v>999.93000000000006</v>
      </c>
      <c r="T1297" s="5" t="s">
        <v>27</v>
      </c>
      <c r="U1297" s="13" t="s">
        <v>300</v>
      </c>
    </row>
    <row r="1298" spans="1:21" x14ac:dyDescent="0.35">
      <c r="A1298" s="4">
        <v>1297</v>
      </c>
      <c r="B1298" s="4">
        <v>108</v>
      </c>
      <c r="C1298" s="13" t="s">
        <v>2107</v>
      </c>
      <c r="D1298" s="13" t="s">
        <v>2108</v>
      </c>
      <c r="E1298" s="5" t="s">
        <v>5566</v>
      </c>
      <c r="F1298" s="5" t="s">
        <v>5183</v>
      </c>
      <c r="G1298" s="5" t="s">
        <v>5184</v>
      </c>
      <c r="H1298" s="13" t="s">
        <v>2376</v>
      </c>
      <c r="I1298" s="13" t="s">
        <v>2309</v>
      </c>
      <c r="J1298" s="4">
        <v>11001</v>
      </c>
      <c r="K1298" s="4">
        <v>1</v>
      </c>
      <c r="L1298" s="4">
        <v>104</v>
      </c>
      <c r="M1298" s="4">
        <v>2017</v>
      </c>
      <c r="N1298" s="4">
        <v>2</v>
      </c>
      <c r="O1298" s="4">
        <v>6</v>
      </c>
      <c r="P1298" s="4">
        <v>2</v>
      </c>
      <c r="Q1298" s="19">
        <v>481.99</v>
      </c>
      <c r="R1298" s="16">
        <v>7.0000000000000007E-2</v>
      </c>
      <c r="S1298" s="16">
        <v>963.91</v>
      </c>
      <c r="T1298" s="5" t="s">
        <v>103</v>
      </c>
      <c r="U1298" s="13" t="s">
        <v>300</v>
      </c>
    </row>
    <row r="1299" spans="1:21" x14ac:dyDescent="0.35">
      <c r="A1299" s="4">
        <v>1298</v>
      </c>
      <c r="B1299" s="4">
        <v>533</v>
      </c>
      <c r="C1299" s="13" t="s">
        <v>2109</v>
      </c>
      <c r="D1299" s="13" t="s">
        <v>2053</v>
      </c>
      <c r="E1299" s="5" t="s">
        <v>5185</v>
      </c>
      <c r="F1299" s="5" t="s">
        <v>5186</v>
      </c>
      <c r="G1299" s="5" t="s">
        <v>5187</v>
      </c>
      <c r="H1299" s="13" t="s">
        <v>2453</v>
      </c>
      <c r="I1299" s="13" t="s">
        <v>2397</v>
      </c>
      <c r="J1299" s="4">
        <v>78418</v>
      </c>
      <c r="K1299" s="4">
        <v>1</v>
      </c>
      <c r="L1299" s="4">
        <v>59</v>
      </c>
      <c r="M1299" s="4">
        <v>2017</v>
      </c>
      <c r="N1299" s="4">
        <v>3</v>
      </c>
      <c r="O1299" s="4">
        <v>9</v>
      </c>
      <c r="P1299" s="4">
        <v>1</v>
      </c>
      <c r="Q1299" s="19">
        <v>2599.9899999999998</v>
      </c>
      <c r="R1299" s="16">
        <v>0.05</v>
      </c>
      <c r="S1299" s="16">
        <v>2599.9399999999996</v>
      </c>
      <c r="T1299" s="5" t="s">
        <v>60</v>
      </c>
      <c r="U1299" s="13" t="s">
        <v>305</v>
      </c>
    </row>
    <row r="1300" spans="1:21" x14ac:dyDescent="0.35">
      <c r="A1300" s="4">
        <v>1299</v>
      </c>
      <c r="B1300" s="4">
        <v>1216</v>
      </c>
      <c r="C1300" s="13" t="s">
        <v>2110</v>
      </c>
      <c r="D1300" s="13" t="s">
        <v>2111</v>
      </c>
      <c r="E1300" s="5" t="s">
        <v>5566</v>
      </c>
      <c r="F1300" s="5" t="s">
        <v>5188</v>
      </c>
      <c r="G1300" s="5" t="s">
        <v>5189</v>
      </c>
      <c r="H1300" s="13" t="s">
        <v>2304</v>
      </c>
      <c r="I1300" s="13" t="s">
        <v>2305</v>
      </c>
      <c r="J1300" s="4">
        <v>94566</v>
      </c>
      <c r="K1300" s="4">
        <v>1</v>
      </c>
      <c r="L1300" s="4">
        <v>14</v>
      </c>
      <c r="M1300" s="4">
        <v>2016</v>
      </c>
      <c r="N1300" s="4">
        <v>1</v>
      </c>
      <c r="O1300" s="4">
        <v>2</v>
      </c>
      <c r="P1300" s="4">
        <v>2</v>
      </c>
      <c r="Q1300" s="19">
        <v>269.99</v>
      </c>
      <c r="R1300" s="16">
        <v>0.1</v>
      </c>
      <c r="S1300" s="16">
        <v>539.88</v>
      </c>
      <c r="T1300" s="5" t="s">
        <v>19</v>
      </c>
      <c r="U1300" s="13" t="s">
        <v>301</v>
      </c>
    </row>
    <row r="1301" spans="1:21" x14ac:dyDescent="0.35">
      <c r="A1301" s="4">
        <v>1300</v>
      </c>
      <c r="B1301" s="4">
        <v>824</v>
      </c>
      <c r="C1301" s="13" t="s">
        <v>2112</v>
      </c>
      <c r="D1301" s="13" t="s">
        <v>924</v>
      </c>
      <c r="E1301" s="5" t="s">
        <v>5566</v>
      </c>
      <c r="F1301" s="5" t="s">
        <v>5190</v>
      </c>
      <c r="G1301" s="5" t="s">
        <v>5191</v>
      </c>
      <c r="H1301" s="13" t="s">
        <v>1457</v>
      </c>
      <c r="I1301" s="13" t="s">
        <v>2309</v>
      </c>
      <c r="J1301" s="4">
        <v>14580</v>
      </c>
      <c r="K1301" s="4">
        <v>1</v>
      </c>
      <c r="L1301" s="4">
        <v>101</v>
      </c>
      <c r="M1301" s="4">
        <v>2017</v>
      </c>
      <c r="N1301" s="4">
        <v>2</v>
      </c>
      <c r="O1301" s="4">
        <v>6</v>
      </c>
      <c r="P1301" s="4">
        <v>2</v>
      </c>
      <c r="Q1301" s="19">
        <v>339.99</v>
      </c>
      <c r="R1301" s="16">
        <v>7.0000000000000007E-2</v>
      </c>
      <c r="S1301" s="16">
        <v>679.91</v>
      </c>
      <c r="T1301" s="5" t="s">
        <v>101</v>
      </c>
      <c r="U1301" s="13" t="s">
        <v>299</v>
      </c>
    </row>
    <row r="1302" spans="1:21" x14ac:dyDescent="0.35">
      <c r="A1302" s="4">
        <v>1301</v>
      </c>
      <c r="B1302" s="4">
        <v>1088</v>
      </c>
      <c r="C1302" s="13" t="s">
        <v>2113</v>
      </c>
      <c r="D1302" s="13" t="s">
        <v>435</v>
      </c>
      <c r="E1302" s="5" t="s">
        <v>5566</v>
      </c>
      <c r="F1302" s="5" t="s">
        <v>5192</v>
      </c>
      <c r="G1302" s="5" t="s">
        <v>5193</v>
      </c>
      <c r="H1302" s="13" t="s">
        <v>2885</v>
      </c>
      <c r="I1302" s="13" t="s">
        <v>2305</v>
      </c>
      <c r="J1302" s="4">
        <v>92307</v>
      </c>
      <c r="K1302" s="4">
        <v>1</v>
      </c>
      <c r="L1302" s="4">
        <v>45</v>
      </c>
      <c r="M1302" s="4">
        <v>2017</v>
      </c>
      <c r="N1302" s="4">
        <v>1</v>
      </c>
      <c r="O1302" s="4">
        <v>3</v>
      </c>
      <c r="P1302" s="4">
        <v>2</v>
      </c>
      <c r="Q1302" s="19">
        <v>869.99</v>
      </c>
      <c r="R1302" s="16">
        <v>0.2</v>
      </c>
      <c r="S1302" s="16">
        <v>1739.78</v>
      </c>
      <c r="T1302" s="5" t="s">
        <v>46</v>
      </c>
      <c r="U1302" s="13" t="s">
        <v>304</v>
      </c>
    </row>
    <row r="1303" spans="1:21" x14ac:dyDescent="0.35">
      <c r="A1303" s="4">
        <v>1302</v>
      </c>
      <c r="B1303" s="4">
        <v>322</v>
      </c>
      <c r="C1303" s="13" t="s">
        <v>2114</v>
      </c>
      <c r="D1303" s="13" t="s">
        <v>1554</v>
      </c>
      <c r="E1303" s="5" t="s">
        <v>5566</v>
      </c>
      <c r="F1303" s="5" t="s">
        <v>5194</v>
      </c>
      <c r="G1303" s="5" t="s">
        <v>5195</v>
      </c>
      <c r="H1303" s="13" t="s">
        <v>3037</v>
      </c>
      <c r="I1303" s="13" t="s">
        <v>2309</v>
      </c>
      <c r="J1303" s="4">
        <v>12601</v>
      </c>
      <c r="K1303" s="4">
        <v>1</v>
      </c>
      <c r="L1303" s="4">
        <v>38</v>
      </c>
      <c r="M1303" s="4">
        <v>2017</v>
      </c>
      <c r="N1303" s="4">
        <v>2</v>
      </c>
      <c r="O1303" s="4">
        <v>7</v>
      </c>
      <c r="P1303" s="4">
        <v>1</v>
      </c>
      <c r="Q1303" s="19">
        <v>549.99</v>
      </c>
      <c r="R1303" s="16">
        <v>0.05</v>
      </c>
      <c r="S1303" s="16">
        <v>549.94000000000005</v>
      </c>
      <c r="T1303" s="5" t="s">
        <v>39</v>
      </c>
      <c r="U1303" s="13" t="s">
        <v>304</v>
      </c>
    </row>
    <row r="1304" spans="1:21" x14ac:dyDescent="0.35">
      <c r="A1304" s="4">
        <v>1303</v>
      </c>
      <c r="B1304" s="4">
        <v>878</v>
      </c>
      <c r="C1304" s="13" t="s">
        <v>2115</v>
      </c>
      <c r="D1304" s="13" t="s">
        <v>548</v>
      </c>
      <c r="E1304" s="5" t="s">
        <v>5566</v>
      </c>
      <c r="F1304" s="5" t="s">
        <v>5196</v>
      </c>
      <c r="G1304" s="5" t="s">
        <v>5197</v>
      </c>
      <c r="H1304" s="13" t="s">
        <v>2797</v>
      </c>
      <c r="I1304" s="13" t="s">
        <v>2309</v>
      </c>
      <c r="J1304" s="4">
        <v>11787</v>
      </c>
      <c r="K1304" s="4">
        <v>1</v>
      </c>
      <c r="L1304" s="4">
        <v>96</v>
      </c>
      <c r="M1304" s="4">
        <v>2017</v>
      </c>
      <c r="N1304" s="4">
        <v>2</v>
      </c>
      <c r="O1304" s="4">
        <v>7</v>
      </c>
      <c r="P1304" s="4">
        <v>1</v>
      </c>
      <c r="Q1304" s="19">
        <v>349.99</v>
      </c>
      <c r="R1304" s="16">
        <v>0.1</v>
      </c>
      <c r="S1304" s="16">
        <v>349.89</v>
      </c>
      <c r="T1304" s="5" t="s">
        <v>96</v>
      </c>
      <c r="U1304" s="13" t="s">
        <v>299</v>
      </c>
    </row>
    <row r="1305" spans="1:21" x14ac:dyDescent="0.35">
      <c r="A1305" s="4">
        <v>1304</v>
      </c>
      <c r="B1305" s="4">
        <v>1409</v>
      </c>
      <c r="C1305" s="13" t="s">
        <v>1954</v>
      </c>
      <c r="D1305" s="13" t="s">
        <v>1299</v>
      </c>
      <c r="E1305" s="5" t="s">
        <v>5198</v>
      </c>
      <c r="F1305" s="5" t="s">
        <v>5199</v>
      </c>
      <c r="G1305" s="5" t="s">
        <v>5200</v>
      </c>
      <c r="H1305" s="13" t="s">
        <v>2406</v>
      </c>
      <c r="I1305" s="13" t="s">
        <v>2309</v>
      </c>
      <c r="J1305" s="4">
        <v>14215</v>
      </c>
      <c r="K1305" s="4">
        <v>1</v>
      </c>
      <c r="L1305" s="4">
        <v>80</v>
      </c>
      <c r="M1305" s="4">
        <v>2017</v>
      </c>
      <c r="N1305" s="4">
        <v>2</v>
      </c>
      <c r="O1305" s="4">
        <v>6</v>
      </c>
      <c r="P1305" s="4">
        <v>1</v>
      </c>
      <c r="Q1305" s="19">
        <v>761.99</v>
      </c>
      <c r="R1305" s="16">
        <v>0.05</v>
      </c>
      <c r="S1305" s="16">
        <v>761.94</v>
      </c>
      <c r="T1305" s="5" t="s">
        <v>81</v>
      </c>
      <c r="U1305" s="13" t="s">
        <v>301</v>
      </c>
    </row>
    <row r="1306" spans="1:21" x14ac:dyDescent="0.35">
      <c r="A1306" s="4">
        <v>1305</v>
      </c>
      <c r="B1306" s="4">
        <v>257</v>
      </c>
      <c r="C1306" s="13" t="s">
        <v>2116</v>
      </c>
      <c r="D1306" s="13" t="s">
        <v>845</v>
      </c>
      <c r="E1306" s="5" t="s">
        <v>5566</v>
      </c>
      <c r="F1306" s="5" t="s">
        <v>5201</v>
      </c>
      <c r="G1306" s="5" t="s">
        <v>5202</v>
      </c>
      <c r="H1306" s="13" t="s">
        <v>2456</v>
      </c>
      <c r="I1306" s="13" t="s">
        <v>2309</v>
      </c>
      <c r="J1306" s="4">
        <v>11373</v>
      </c>
      <c r="K1306" s="4">
        <v>1</v>
      </c>
      <c r="L1306" s="4">
        <v>85</v>
      </c>
      <c r="M1306" s="4">
        <v>2017</v>
      </c>
      <c r="N1306" s="4">
        <v>2</v>
      </c>
      <c r="O1306" s="4">
        <v>7</v>
      </c>
      <c r="P1306" s="4">
        <v>1</v>
      </c>
      <c r="Q1306" s="19">
        <v>329.99</v>
      </c>
      <c r="R1306" s="16">
        <v>0.2</v>
      </c>
      <c r="S1306" s="16">
        <v>329.79</v>
      </c>
      <c r="T1306" s="5" t="s">
        <v>86</v>
      </c>
      <c r="U1306" s="13" t="s">
        <v>299</v>
      </c>
    </row>
    <row r="1307" spans="1:21" x14ac:dyDescent="0.35">
      <c r="A1307" s="4">
        <v>1306</v>
      </c>
      <c r="B1307" s="4">
        <v>28</v>
      </c>
      <c r="C1307" s="13" t="s">
        <v>2117</v>
      </c>
      <c r="D1307" s="13" t="s">
        <v>1373</v>
      </c>
      <c r="E1307" s="5" t="s">
        <v>5566</v>
      </c>
      <c r="F1307" s="5" t="s">
        <v>5203</v>
      </c>
      <c r="G1307" s="5" t="s">
        <v>5204</v>
      </c>
      <c r="H1307" s="13" t="s">
        <v>2444</v>
      </c>
      <c r="I1307" s="13" t="s">
        <v>2309</v>
      </c>
      <c r="J1307" s="4">
        <v>10562</v>
      </c>
      <c r="K1307" s="4">
        <v>1</v>
      </c>
      <c r="L1307" s="4">
        <v>103</v>
      </c>
      <c r="M1307" s="4">
        <v>2017</v>
      </c>
      <c r="N1307" s="4">
        <v>2</v>
      </c>
      <c r="O1307" s="4">
        <v>6</v>
      </c>
      <c r="P1307" s="4">
        <v>2</v>
      </c>
      <c r="Q1307" s="19">
        <v>551.99</v>
      </c>
      <c r="R1307" s="16">
        <v>0.05</v>
      </c>
      <c r="S1307" s="16">
        <v>1103.93</v>
      </c>
      <c r="T1307" s="5" t="s">
        <v>102</v>
      </c>
      <c r="U1307" s="13" t="s">
        <v>300</v>
      </c>
    </row>
    <row r="1308" spans="1:21" x14ac:dyDescent="0.35">
      <c r="A1308" s="4">
        <v>1307</v>
      </c>
      <c r="B1308" s="4">
        <v>1384</v>
      </c>
      <c r="C1308" s="13" t="s">
        <v>1121</v>
      </c>
      <c r="D1308" s="13" t="s">
        <v>2118</v>
      </c>
      <c r="E1308" s="5" t="s">
        <v>5566</v>
      </c>
      <c r="F1308" s="5" t="s">
        <v>5205</v>
      </c>
      <c r="G1308" s="5" t="s">
        <v>5206</v>
      </c>
      <c r="H1308" s="13" t="s">
        <v>2330</v>
      </c>
      <c r="I1308" s="13" t="s">
        <v>2305</v>
      </c>
      <c r="J1308" s="4">
        <v>94070</v>
      </c>
      <c r="K1308" s="4">
        <v>1</v>
      </c>
      <c r="L1308" s="4">
        <v>96</v>
      </c>
      <c r="M1308" s="4">
        <v>2017</v>
      </c>
      <c r="N1308" s="4">
        <v>1</v>
      </c>
      <c r="O1308" s="4">
        <v>2</v>
      </c>
      <c r="P1308" s="4">
        <v>2</v>
      </c>
      <c r="Q1308" s="19">
        <v>349.99</v>
      </c>
      <c r="R1308" s="16">
        <v>7.0000000000000007E-2</v>
      </c>
      <c r="S1308" s="16">
        <v>699.91</v>
      </c>
      <c r="T1308" s="5" t="s">
        <v>96</v>
      </c>
      <c r="U1308" s="13" t="s">
        <v>299</v>
      </c>
    </row>
    <row r="1309" spans="1:21" x14ac:dyDescent="0.35">
      <c r="A1309" s="4">
        <v>1308</v>
      </c>
      <c r="B1309" s="4">
        <v>713</v>
      </c>
      <c r="C1309" s="13" t="s">
        <v>2119</v>
      </c>
      <c r="D1309" s="13" t="s">
        <v>2100</v>
      </c>
      <c r="E1309" s="5" t="s">
        <v>5566</v>
      </c>
      <c r="F1309" s="5" t="s">
        <v>5207</v>
      </c>
      <c r="G1309" s="5" t="s">
        <v>5208</v>
      </c>
      <c r="H1309" s="13" t="s">
        <v>2729</v>
      </c>
      <c r="I1309" s="13" t="s">
        <v>2309</v>
      </c>
      <c r="J1309" s="4">
        <v>11776</v>
      </c>
      <c r="K1309" s="4">
        <v>1</v>
      </c>
      <c r="L1309" s="4">
        <v>54</v>
      </c>
      <c r="M1309" s="4">
        <v>2017</v>
      </c>
      <c r="N1309" s="4">
        <v>2</v>
      </c>
      <c r="O1309" s="4">
        <v>7</v>
      </c>
      <c r="P1309" s="4">
        <v>1</v>
      </c>
      <c r="Q1309" s="19">
        <v>3199.99</v>
      </c>
      <c r="R1309" s="16">
        <v>0.05</v>
      </c>
      <c r="S1309" s="16">
        <v>3199.9399999999996</v>
      </c>
      <c r="T1309" s="5" t="s">
        <v>55</v>
      </c>
      <c r="U1309" s="13" t="s">
        <v>305</v>
      </c>
    </row>
    <row r="1310" spans="1:21" x14ac:dyDescent="0.35">
      <c r="A1310" s="4">
        <v>1309</v>
      </c>
      <c r="B1310" s="4">
        <v>821</v>
      </c>
      <c r="C1310" s="13" t="s">
        <v>2120</v>
      </c>
      <c r="D1310" s="13" t="s">
        <v>1959</v>
      </c>
      <c r="E1310" s="5" t="s">
        <v>5566</v>
      </c>
      <c r="F1310" s="5" t="s">
        <v>5209</v>
      </c>
      <c r="G1310" s="5" t="s">
        <v>5210</v>
      </c>
      <c r="H1310" s="13" t="s">
        <v>3156</v>
      </c>
      <c r="I1310" s="13" t="s">
        <v>2309</v>
      </c>
      <c r="J1310" s="4">
        <v>11102</v>
      </c>
      <c r="K1310" s="4">
        <v>1</v>
      </c>
      <c r="L1310" s="4">
        <v>65</v>
      </c>
      <c r="M1310" s="4">
        <v>2017</v>
      </c>
      <c r="N1310" s="4">
        <v>2</v>
      </c>
      <c r="O1310" s="4">
        <v>6</v>
      </c>
      <c r="P1310" s="4">
        <v>1</v>
      </c>
      <c r="Q1310" s="19">
        <v>346.99</v>
      </c>
      <c r="R1310" s="16">
        <v>0.05</v>
      </c>
      <c r="S1310" s="16">
        <v>346.94</v>
      </c>
      <c r="T1310" s="5" t="s">
        <v>66</v>
      </c>
      <c r="U1310" s="13" t="s">
        <v>301</v>
      </c>
    </row>
    <row r="1311" spans="1:21" x14ac:dyDescent="0.35">
      <c r="A1311" s="4">
        <v>1310</v>
      </c>
      <c r="B1311" s="4">
        <v>444</v>
      </c>
      <c r="C1311" s="13" t="s">
        <v>2121</v>
      </c>
      <c r="D1311" s="13" t="s">
        <v>1328</v>
      </c>
      <c r="E1311" s="5" t="s">
        <v>5566</v>
      </c>
      <c r="F1311" s="5" t="s">
        <v>5211</v>
      </c>
      <c r="G1311" s="5" t="s">
        <v>5212</v>
      </c>
      <c r="H1311" s="13" t="s">
        <v>3004</v>
      </c>
      <c r="I1311" s="13" t="s">
        <v>2305</v>
      </c>
      <c r="J1311" s="4">
        <v>94580</v>
      </c>
      <c r="K1311" s="4">
        <v>1</v>
      </c>
      <c r="L1311" s="4">
        <v>59</v>
      </c>
      <c r="M1311" s="4">
        <v>2017</v>
      </c>
      <c r="N1311" s="4">
        <v>1</v>
      </c>
      <c r="O1311" s="4">
        <v>3</v>
      </c>
      <c r="P1311" s="4">
        <v>1</v>
      </c>
      <c r="Q1311" s="19">
        <v>2599.9899999999998</v>
      </c>
      <c r="R1311" s="16">
        <v>0.2</v>
      </c>
      <c r="S1311" s="16">
        <v>2599.79</v>
      </c>
      <c r="T1311" s="5" t="s">
        <v>60</v>
      </c>
      <c r="U1311" s="13" t="s">
        <v>305</v>
      </c>
    </row>
    <row r="1312" spans="1:21" x14ac:dyDescent="0.35">
      <c r="A1312" s="4">
        <v>1311</v>
      </c>
      <c r="B1312" s="4">
        <v>1021</v>
      </c>
      <c r="C1312" s="13" t="s">
        <v>2122</v>
      </c>
      <c r="D1312" s="13" t="s">
        <v>1464</v>
      </c>
      <c r="E1312" s="5" t="s">
        <v>5566</v>
      </c>
      <c r="F1312" s="5" t="s">
        <v>5213</v>
      </c>
      <c r="G1312" s="5" t="s">
        <v>5214</v>
      </c>
      <c r="H1312" s="13" t="s">
        <v>2422</v>
      </c>
      <c r="I1312" s="13" t="s">
        <v>2309</v>
      </c>
      <c r="J1312" s="4">
        <v>11412</v>
      </c>
      <c r="K1312" s="4">
        <v>1</v>
      </c>
      <c r="L1312" s="4">
        <v>69</v>
      </c>
      <c r="M1312" s="4">
        <v>2017</v>
      </c>
      <c r="N1312" s="4">
        <v>2</v>
      </c>
      <c r="O1312" s="4">
        <v>6</v>
      </c>
      <c r="P1312" s="4">
        <v>1</v>
      </c>
      <c r="Q1312" s="19">
        <v>416.99</v>
      </c>
      <c r="R1312" s="16">
        <v>0.1</v>
      </c>
      <c r="S1312" s="16">
        <v>416.89</v>
      </c>
      <c r="T1312" s="5" t="s">
        <v>70</v>
      </c>
      <c r="U1312" s="13" t="s">
        <v>301</v>
      </c>
    </row>
    <row r="1313" spans="1:21" x14ac:dyDescent="0.35">
      <c r="A1313" s="4">
        <v>1312</v>
      </c>
      <c r="B1313" s="4">
        <v>311</v>
      </c>
      <c r="C1313" s="13" t="s">
        <v>2123</v>
      </c>
      <c r="D1313" s="13" t="s">
        <v>1147</v>
      </c>
      <c r="E1313" s="5" t="s">
        <v>5215</v>
      </c>
      <c r="F1313" s="5" t="s">
        <v>5216</v>
      </c>
      <c r="G1313" s="5" t="s">
        <v>5217</v>
      </c>
      <c r="H1313" s="13" t="s">
        <v>3175</v>
      </c>
      <c r="I1313" s="13" t="s">
        <v>2305</v>
      </c>
      <c r="J1313" s="4">
        <v>93706</v>
      </c>
      <c r="K1313" s="4">
        <v>1</v>
      </c>
      <c r="L1313" s="4">
        <v>67</v>
      </c>
      <c r="M1313" s="4">
        <v>2017</v>
      </c>
      <c r="N1313" s="4">
        <v>1</v>
      </c>
      <c r="O1313" s="4">
        <v>3</v>
      </c>
      <c r="P1313" s="4">
        <v>2</v>
      </c>
      <c r="Q1313" s="19">
        <v>250.99</v>
      </c>
      <c r="R1313" s="16">
        <v>0.05</v>
      </c>
      <c r="S1313" s="16">
        <v>501.93</v>
      </c>
      <c r="T1313" s="5" t="s">
        <v>68</v>
      </c>
      <c r="U1313" s="13" t="s">
        <v>301</v>
      </c>
    </row>
    <row r="1314" spans="1:21" x14ac:dyDescent="0.35">
      <c r="A1314" s="4">
        <v>1313</v>
      </c>
      <c r="B1314" s="4">
        <v>1294</v>
      </c>
      <c r="C1314" s="13" t="s">
        <v>2124</v>
      </c>
      <c r="D1314" s="13" t="s">
        <v>1553</v>
      </c>
      <c r="E1314" s="5" t="s">
        <v>5566</v>
      </c>
      <c r="F1314" s="5" t="s">
        <v>5218</v>
      </c>
      <c r="G1314" s="5" t="s">
        <v>5219</v>
      </c>
      <c r="H1314" s="13" t="s">
        <v>2980</v>
      </c>
      <c r="I1314" s="13" t="s">
        <v>2305</v>
      </c>
      <c r="J1314" s="4">
        <v>91762</v>
      </c>
      <c r="K1314" s="4">
        <v>1</v>
      </c>
      <c r="L1314" s="4">
        <v>75</v>
      </c>
      <c r="M1314" s="4">
        <v>2017</v>
      </c>
      <c r="N1314" s="4">
        <v>1</v>
      </c>
      <c r="O1314" s="4">
        <v>3</v>
      </c>
      <c r="P1314" s="4">
        <v>1</v>
      </c>
      <c r="Q1314" s="19">
        <v>599.99</v>
      </c>
      <c r="R1314" s="16">
        <v>0.2</v>
      </c>
      <c r="S1314" s="16">
        <v>599.79</v>
      </c>
      <c r="T1314" s="5" t="s">
        <v>76</v>
      </c>
      <c r="U1314" s="13" t="s">
        <v>301</v>
      </c>
    </row>
    <row r="1315" spans="1:21" x14ac:dyDescent="0.35">
      <c r="A1315" s="4">
        <v>1314</v>
      </c>
      <c r="B1315" s="4">
        <v>1027</v>
      </c>
      <c r="C1315" s="13" t="s">
        <v>2125</v>
      </c>
      <c r="D1315" s="13" t="s">
        <v>2126</v>
      </c>
      <c r="E1315" s="5" t="s">
        <v>5566</v>
      </c>
      <c r="F1315" s="5" t="s">
        <v>5220</v>
      </c>
      <c r="G1315" s="5" t="s">
        <v>5221</v>
      </c>
      <c r="H1315" s="13" t="s">
        <v>2422</v>
      </c>
      <c r="I1315" s="13" t="s">
        <v>2309</v>
      </c>
      <c r="J1315" s="4">
        <v>11412</v>
      </c>
      <c r="K1315" s="4">
        <v>1</v>
      </c>
      <c r="L1315" s="4">
        <v>52</v>
      </c>
      <c r="M1315" s="4">
        <v>2017</v>
      </c>
      <c r="N1315" s="4">
        <v>2</v>
      </c>
      <c r="O1315" s="4">
        <v>7</v>
      </c>
      <c r="P1315" s="4">
        <v>1</v>
      </c>
      <c r="Q1315" s="19">
        <v>875.99</v>
      </c>
      <c r="R1315" s="16">
        <v>7.0000000000000007E-2</v>
      </c>
      <c r="S1315" s="16">
        <v>875.92</v>
      </c>
      <c r="T1315" s="5" t="s">
        <v>53</v>
      </c>
      <c r="U1315" s="13" t="s">
        <v>305</v>
      </c>
    </row>
    <row r="1316" spans="1:21" x14ac:dyDescent="0.35">
      <c r="A1316" s="4">
        <v>1315</v>
      </c>
      <c r="B1316" s="4">
        <v>931</v>
      </c>
      <c r="C1316" s="13" t="s">
        <v>2127</v>
      </c>
      <c r="D1316" s="13" t="s">
        <v>1506</v>
      </c>
      <c r="E1316" s="5" t="s">
        <v>5566</v>
      </c>
      <c r="F1316" s="5" t="s">
        <v>5222</v>
      </c>
      <c r="G1316" s="5" t="s">
        <v>5223</v>
      </c>
      <c r="H1316" s="13" t="s">
        <v>2849</v>
      </c>
      <c r="I1316" s="13" t="s">
        <v>2397</v>
      </c>
      <c r="J1316" s="4">
        <v>76901</v>
      </c>
      <c r="K1316" s="4">
        <v>1</v>
      </c>
      <c r="L1316" s="4">
        <v>104</v>
      </c>
      <c r="M1316" s="4">
        <v>2017</v>
      </c>
      <c r="N1316" s="4">
        <v>3</v>
      </c>
      <c r="O1316" s="4">
        <v>9</v>
      </c>
      <c r="P1316" s="4">
        <v>2</v>
      </c>
      <c r="Q1316" s="19">
        <v>481.99</v>
      </c>
      <c r="R1316" s="16">
        <v>7.0000000000000007E-2</v>
      </c>
      <c r="S1316" s="16">
        <v>963.91</v>
      </c>
      <c r="T1316" s="5" t="s">
        <v>103</v>
      </c>
      <c r="U1316" s="13" t="s">
        <v>300</v>
      </c>
    </row>
    <row r="1317" spans="1:21" x14ac:dyDescent="0.35">
      <c r="A1317" s="4">
        <v>1316</v>
      </c>
      <c r="B1317" s="4">
        <v>846</v>
      </c>
      <c r="C1317" s="13" t="s">
        <v>2128</v>
      </c>
      <c r="D1317" s="13" t="s">
        <v>1138</v>
      </c>
      <c r="E1317" s="5" t="s">
        <v>5566</v>
      </c>
      <c r="F1317" s="5" t="s">
        <v>5224</v>
      </c>
      <c r="G1317" s="5" t="s">
        <v>5225</v>
      </c>
      <c r="H1317" s="13" t="s">
        <v>2641</v>
      </c>
      <c r="I1317" s="13" t="s">
        <v>2305</v>
      </c>
      <c r="J1317" s="4">
        <v>95677</v>
      </c>
      <c r="K1317" s="4">
        <v>1</v>
      </c>
      <c r="L1317" s="4">
        <v>76</v>
      </c>
      <c r="M1317" s="4">
        <v>2017</v>
      </c>
      <c r="N1317" s="4">
        <v>1</v>
      </c>
      <c r="O1317" s="4">
        <v>3</v>
      </c>
      <c r="P1317" s="4">
        <v>2</v>
      </c>
      <c r="Q1317" s="19">
        <v>299.99</v>
      </c>
      <c r="R1317" s="16">
        <v>0.1</v>
      </c>
      <c r="S1317" s="16">
        <v>599.88</v>
      </c>
      <c r="T1317" s="5" t="s">
        <v>77</v>
      </c>
      <c r="U1317" s="13" t="s">
        <v>301</v>
      </c>
    </row>
    <row r="1318" spans="1:21" x14ac:dyDescent="0.35">
      <c r="A1318" s="4">
        <v>1317</v>
      </c>
      <c r="B1318" s="4">
        <v>418</v>
      </c>
      <c r="C1318" s="13" t="s">
        <v>2129</v>
      </c>
      <c r="D1318" s="13" t="s">
        <v>1457</v>
      </c>
      <c r="E1318" s="5" t="s">
        <v>5226</v>
      </c>
      <c r="F1318" s="5" t="s">
        <v>5227</v>
      </c>
      <c r="G1318" s="5" t="s">
        <v>5228</v>
      </c>
      <c r="H1318" s="13" t="s">
        <v>2704</v>
      </c>
      <c r="I1318" s="13" t="s">
        <v>2305</v>
      </c>
      <c r="J1318" s="4">
        <v>93035</v>
      </c>
      <c r="K1318" s="4">
        <v>1</v>
      </c>
      <c r="L1318" s="4">
        <v>82</v>
      </c>
      <c r="M1318" s="4">
        <v>2017</v>
      </c>
      <c r="N1318" s="4">
        <v>1</v>
      </c>
      <c r="O1318" s="4">
        <v>3</v>
      </c>
      <c r="P1318" s="4">
        <v>1</v>
      </c>
      <c r="Q1318" s="19">
        <v>659.99</v>
      </c>
      <c r="R1318" s="16">
        <v>0.1</v>
      </c>
      <c r="S1318" s="16">
        <v>659.89</v>
      </c>
      <c r="T1318" s="5" t="s">
        <v>83</v>
      </c>
      <c r="U1318" s="13" t="s">
        <v>301</v>
      </c>
    </row>
    <row r="1319" spans="1:21" x14ac:dyDescent="0.35">
      <c r="A1319" s="4">
        <v>1318</v>
      </c>
      <c r="B1319" s="4">
        <v>75</v>
      </c>
      <c r="C1319" s="13" t="s">
        <v>2130</v>
      </c>
      <c r="D1319" s="13" t="s">
        <v>1310</v>
      </c>
      <c r="E1319" s="5" t="s">
        <v>5566</v>
      </c>
      <c r="F1319" s="5" t="s">
        <v>5229</v>
      </c>
      <c r="G1319" s="5" t="s">
        <v>5230</v>
      </c>
      <c r="H1319" s="13" t="s">
        <v>2710</v>
      </c>
      <c r="I1319" s="13" t="s">
        <v>2309</v>
      </c>
      <c r="J1319" s="4">
        <v>11701</v>
      </c>
      <c r="K1319" s="4">
        <v>1</v>
      </c>
      <c r="L1319" s="4">
        <v>82</v>
      </c>
      <c r="M1319" s="4">
        <v>2017</v>
      </c>
      <c r="N1319" s="4">
        <v>2</v>
      </c>
      <c r="O1319" s="4">
        <v>6</v>
      </c>
      <c r="P1319" s="4">
        <v>2</v>
      </c>
      <c r="Q1319" s="19">
        <v>659.99</v>
      </c>
      <c r="R1319" s="16">
        <v>0.2</v>
      </c>
      <c r="S1319" s="16">
        <v>1319.78</v>
      </c>
      <c r="T1319" s="5" t="s">
        <v>83</v>
      </c>
      <c r="U1319" s="13" t="s">
        <v>301</v>
      </c>
    </row>
    <row r="1320" spans="1:21" x14ac:dyDescent="0.35">
      <c r="A1320" s="4">
        <v>1319</v>
      </c>
      <c r="B1320" s="4">
        <v>604</v>
      </c>
      <c r="C1320" s="13" t="s">
        <v>2131</v>
      </c>
      <c r="D1320" s="13" t="s">
        <v>2132</v>
      </c>
      <c r="E1320" s="5" t="s">
        <v>5566</v>
      </c>
      <c r="F1320" s="5" t="s">
        <v>5231</v>
      </c>
      <c r="G1320" s="5" t="s">
        <v>5232</v>
      </c>
      <c r="H1320" s="13" t="s">
        <v>2710</v>
      </c>
      <c r="I1320" s="13" t="s">
        <v>2309</v>
      </c>
      <c r="J1320" s="4">
        <v>11701</v>
      </c>
      <c r="K1320" s="4">
        <v>1</v>
      </c>
      <c r="L1320" s="4">
        <v>75</v>
      </c>
      <c r="M1320" s="4">
        <v>2017</v>
      </c>
      <c r="N1320" s="4">
        <v>2</v>
      </c>
      <c r="O1320" s="4">
        <v>6</v>
      </c>
      <c r="P1320" s="4">
        <v>1</v>
      </c>
      <c r="Q1320" s="19">
        <v>599.99</v>
      </c>
      <c r="R1320" s="16">
        <v>7.0000000000000007E-2</v>
      </c>
      <c r="S1320" s="16">
        <v>599.91999999999996</v>
      </c>
      <c r="T1320" s="5" t="s">
        <v>76</v>
      </c>
      <c r="U1320" s="13" t="s">
        <v>301</v>
      </c>
    </row>
    <row r="1321" spans="1:21" x14ac:dyDescent="0.35">
      <c r="A1321" s="4">
        <v>1320</v>
      </c>
      <c r="B1321" s="4">
        <v>244</v>
      </c>
      <c r="C1321" s="13" t="s">
        <v>2133</v>
      </c>
      <c r="D1321" s="13" t="s">
        <v>2134</v>
      </c>
      <c r="E1321" s="5" t="s">
        <v>5566</v>
      </c>
      <c r="F1321" s="5" t="s">
        <v>5233</v>
      </c>
      <c r="G1321" s="5" t="s">
        <v>5234</v>
      </c>
      <c r="H1321" s="13" t="s">
        <v>2564</v>
      </c>
      <c r="I1321" s="13" t="s">
        <v>2305</v>
      </c>
      <c r="J1321" s="4">
        <v>94806</v>
      </c>
      <c r="K1321" s="4">
        <v>1</v>
      </c>
      <c r="L1321" s="4">
        <v>104</v>
      </c>
      <c r="M1321" s="4">
        <v>2017</v>
      </c>
      <c r="N1321" s="4">
        <v>1</v>
      </c>
      <c r="O1321" s="4">
        <v>3</v>
      </c>
      <c r="P1321" s="4">
        <v>1</v>
      </c>
      <c r="Q1321" s="19">
        <v>481.99</v>
      </c>
      <c r="R1321" s="16">
        <v>0.1</v>
      </c>
      <c r="S1321" s="16">
        <v>481.89</v>
      </c>
      <c r="T1321" s="5" t="s">
        <v>103</v>
      </c>
      <c r="U1321" s="13" t="s">
        <v>300</v>
      </c>
    </row>
    <row r="1322" spans="1:21" x14ac:dyDescent="0.35">
      <c r="A1322" s="4">
        <v>1321</v>
      </c>
      <c r="B1322" s="4">
        <v>217</v>
      </c>
      <c r="C1322" s="13" t="s">
        <v>2135</v>
      </c>
      <c r="D1322" s="13" t="s">
        <v>1359</v>
      </c>
      <c r="E1322" s="5" t="s">
        <v>5235</v>
      </c>
      <c r="F1322" s="5" t="s">
        <v>5236</v>
      </c>
      <c r="G1322" s="5" t="s">
        <v>5237</v>
      </c>
      <c r="H1322" s="13" t="s">
        <v>3175</v>
      </c>
      <c r="I1322" s="13" t="s">
        <v>2305</v>
      </c>
      <c r="J1322" s="4">
        <v>93706</v>
      </c>
      <c r="K1322" s="4">
        <v>1</v>
      </c>
      <c r="L1322" s="4">
        <v>34</v>
      </c>
      <c r="M1322" s="4">
        <v>2017</v>
      </c>
      <c r="N1322" s="4">
        <v>1</v>
      </c>
      <c r="O1322" s="4">
        <v>3</v>
      </c>
      <c r="P1322" s="4">
        <v>1</v>
      </c>
      <c r="Q1322" s="19">
        <v>469.99</v>
      </c>
      <c r="R1322" s="16">
        <v>0.1</v>
      </c>
      <c r="S1322" s="16">
        <v>469.89</v>
      </c>
      <c r="T1322" s="5" t="s">
        <v>35</v>
      </c>
      <c r="U1322" s="13" t="s">
        <v>304</v>
      </c>
    </row>
    <row r="1323" spans="1:21" x14ac:dyDescent="0.35">
      <c r="A1323" s="4">
        <v>1322</v>
      </c>
      <c r="B1323" s="4">
        <v>39</v>
      </c>
      <c r="C1323" s="13" t="s">
        <v>2136</v>
      </c>
      <c r="D1323" s="13" t="s">
        <v>2137</v>
      </c>
      <c r="E1323" s="5" t="s">
        <v>5238</v>
      </c>
      <c r="F1323" s="5" t="s">
        <v>5239</v>
      </c>
      <c r="G1323" s="5" t="s">
        <v>5240</v>
      </c>
      <c r="H1323" s="13" t="s">
        <v>2597</v>
      </c>
      <c r="I1323" s="13" t="s">
        <v>2309</v>
      </c>
      <c r="J1323" s="4">
        <v>14086</v>
      </c>
      <c r="K1323" s="4">
        <v>1</v>
      </c>
      <c r="L1323" s="4">
        <v>28</v>
      </c>
      <c r="M1323" s="4">
        <v>2017</v>
      </c>
      <c r="N1323" s="4">
        <v>2</v>
      </c>
      <c r="O1323" s="4">
        <v>7</v>
      </c>
      <c r="P1323" s="4">
        <v>2</v>
      </c>
      <c r="Q1323" s="19">
        <v>2499.9899999999998</v>
      </c>
      <c r="R1323" s="16">
        <v>0.05</v>
      </c>
      <c r="S1323" s="16">
        <v>4999.9299999999994</v>
      </c>
      <c r="T1323" s="5" t="s">
        <v>29</v>
      </c>
      <c r="U1323" s="13" t="s">
        <v>304</v>
      </c>
    </row>
    <row r="1324" spans="1:21" x14ac:dyDescent="0.35">
      <c r="A1324" s="4">
        <v>1323</v>
      </c>
      <c r="B1324" s="4">
        <v>273</v>
      </c>
      <c r="C1324" s="13" t="s">
        <v>2138</v>
      </c>
      <c r="D1324" s="13" t="s">
        <v>2011</v>
      </c>
      <c r="E1324" s="5" t="s">
        <v>5566</v>
      </c>
      <c r="F1324" s="5" t="s">
        <v>5241</v>
      </c>
      <c r="G1324" s="5" t="s">
        <v>5242</v>
      </c>
      <c r="H1324" s="13" t="s">
        <v>3084</v>
      </c>
      <c r="I1324" s="13" t="s">
        <v>2309</v>
      </c>
      <c r="J1324" s="4">
        <v>11417</v>
      </c>
      <c r="K1324" s="4">
        <v>1</v>
      </c>
      <c r="L1324" s="4">
        <v>27</v>
      </c>
      <c r="M1324" s="4">
        <v>2017</v>
      </c>
      <c r="N1324" s="4">
        <v>2</v>
      </c>
      <c r="O1324" s="4">
        <v>6</v>
      </c>
      <c r="P1324" s="4">
        <v>2</v>
      </c>
      <c r="Q1324" s="19">
        <v>999.99</v>
      </c>
      <c r="R1324" s="16">
        <v>7.0000000000000007E-2</v>
      </c>
      <c r="S1324" s="16">
        <v>1999.91</v>
      </c>
      <c r="T1324" s="5" t="s">
        <v>28</v>
      </c>
      <c r="U1324" s="13" t="s">
        <v>304</v>
      </c>
    </row>
    <row r="1325" spans="1:21" x14ac:dyDescent="0.35">
      <c r="A1325" s="4">
        <v>1324</v>
      </c>
      <c r="B1325" s="4">
        <v>862</v>
      </c>
      <c r="C1325" s="13" t="s">
        <v>2139</v>
      </c>
      <c r="D1325" s="13" t="s">
        <v>2140</v>
      </c>
      <c r="E1325" s="5" t="s">
        <v>5566</v>
      </c>
      <c r="F1325" s="5" t="s">
        <v>5243</v>
      </c>
      <c r="G1325" s="5" t="s">
        <v>5244</v>
      </c>
      <c r="H1325" s="13" t="s">
        <v>2913</v>
      </c>
      <c r="I1325" s="13" t="s">
        <v>2309</v>
      </c>
      <c r="J1325" s="4">
        <v>11365</v>
      </c>
      <c r="K1325" s="4">
        <v>1</v>
      </c>
      <c r="L1325" s="4">
        <v>66</v>
      </c>
      <c r="M1325" s="4">
        <v>2017</v>
      </c>
      <c r="N1325" s="4">
        <v>2</v>
      </c>
      <c r="O1325" s="4">
        <v>6</v>
      </c>
      <c r="P1325" s="4">
        <v>1</v>
      </c>
      <c r="Q1325" s="19">
        <v>250.99</v>
      </c>
      <c r="R1325" s="16">
        <v>0.1</v>
      </c>
      <c r="S1325" s="16">
        <v>250.89000000000001</v>
      </c>
      <c r="T1325" s="5" t="s">
        <v>67</v>
      </c>
      <c r="U1325" s="13" t="s">
        <v>301</v>
      </c>
    </row>
    <row r="1326" spans="1:21" x14ac:dyDescent="0.35">
      <c r="A1326" s="4">
        <v>1325</v>
      </c>
      <c r="B1326" s="4">
        <v>68</v>
      </c>
      <c r="C1326" s="13" t="s">
        <v>1710</v>
      </c>
      <c r="D1326" s="13" t="s">
        <v>1421</v>
      </c>
      <c r="E1326" s="5" t="s">
        <v>5566</v>
      </c>
      <c r="F1326" s="5" t="s">
        <v>4412</v>
      </c>
      <c r="G1326" s="5" t="s">
        <v>4413</v>
      </c>
      <c r="H1326" s="13" t="s">
        <v>3280</v>
      </c>
      <c r="I1326" s="13" t="s">
        <v>2397</v>
      </c>
      <c r="J1326" s="4">
        <v>75088</v>
      </c>
      <c r="K1326" s="4">
        <v>1</v>
      </c>
      <c r="L1326" s="4">
        <v>139</v>
      </c>
      <c r="M1326" s="4">
        <v>2018</v>
      </c>
      <c r="N1326" s="4">
        <v>3</v>
      </c>
      <c r="O1326" s="4">
        <v>8</v>
      </c>
      <c r="P1326" s="4">
        <v>1</v>
      </c>
      <c r="Q1326" s="19">
        <v>2999.99</v>
      </c>
      <c r="R1326" s="16">
        <v>0.05</v>
      </c>
      <c r="S1326" s="16">
        <v>2999.9399999999996</v>
      </c>
      <c r="T1326" s="5" t="s">
        <v>136</v>
      </c>
      <c r="U1326" s="13" t="s">
        <v>304</v>
      </c>
    </row>
    <row r="1327" spans="1:21" x14ac:dyDescent="0.35">
      <c r="A1327" s="4">
        <v>1326</v>
      </c>
      <c r="B1327" s="4">
        <v>567</v>
      </c>
      <c r="C1327" s="13" t="s">
        <v>948</v>
      </c>
      <c r="D1327" s="13" t="s">
        <v>397</v>
      </c>
      <c r="E1327" s="5" t="s">
        <v>5566</v>
      </c>
      <c r="F1327" s="5" t="s">
        <v>5245</v>
      </c>
      <c r="G1327" s="5" t="s">
        <v>5246</v>
      </c>
      <c r="H1327" s="13" t="s">
        <v>2593</v>
      </c>
      <c r="I1327" s="13" t="s">
        <v>2397</v>
      </c>
      <c r="J1327" s="4">
        <v>75604</v>
      </c>
      <c r="K1327" s="4">
        <v>1</v>
      </c>
      <c r="L1327" s="4">
        <v>190</v>
      </c>
      <c r="M1327" s="4">
        <v>2018</v>
      </c>
      <c r="N1327" s="4">
        <v>3</v>
      </c>
      <c r="O1327" s="4">
        <v>9</v>
      </c>
      <c r="P1327" s="4">
        <v>2</v>
      </c>
      <c r="Q1327" s="19">
        <v>2799.99</v>
      </c>
      <c r="R1327" s="16">
        <v>7.0000000000000007E-2</v>
      </c>
      <c r="S1327" s="16">
        <v>5599.91</v>
      </c>
      <c r="T1327" s="5" t="s">
        <v>187</v>
      </c>
      <c r="U1327" s="13" t="s">
        <v>303</v>
      </c>
    </row>
    <row r="1328" spans="1:21" x14ac:dyDescent="0.35">
      <c r="A1328" s="4">
        <v>1327</v>
      </c>
      <c r="B1328" s="4">
        <v>1026</v>
      </c>
      <c r="C1328" s="13" t="s">
        <v>945</v>
      </c>
      <c r="D1328" s="13" t="s">
        <v>685</v>
      </c>
      <c r="E1328" s="5" t="s">
        <v>5566</v>
      </c>
      <c r="F1328" s="5" t="s">
        <v>5247</v>
      </c>
      <c r="G1328" s="5" t="s">
        <v>5248</v>
      </c>
      <c r="H1328" s="13" t="s">
        <v>3343</v>
      </c>
      <c r="I1328" s="13" t="s">
        <v>2309</v>
      </c>
      <c r="J1328" s="4">
        <v>13760</v>
      </c>
      <c r="K1328" s="4">
        <v>1</v>
      </c>
      <c r="L1328" s="4">
        <v>151</v>
      </c>
      <c r="M1328" s="4">
        <v>2018</v>
      </c>
      <c r="N1328" s="4">
        <v>2</v>
      </c>
      <c r="O1328" s="4">
        <v>6</v>
      </c>
      <c r="P1328" s="4">
        <v>2</v>
      </c>
      <c r="Q1328" s="19">
        <v>1549.99</v>
      </c>
      <c r="R1328" s="16">
        <v>7.0000000000000007E-2</v>
      </c>
      <c r="S1328" s="16">
        <v>3099.91</v>
      </c>
      <c r="T1328" s="5" t="s">
        <v>148</v>
      </c>
      <c r="U1328" s="13" t="s">
        <v>305</v>
      </c>
    </row>
    <row r="1329" spans="1:21" x14ac:dyDescent="0.35">
      <c r="A1329" s="4">
        <v>1328</v>
      </c>
      <c r="B1329" s="4">
        <v>1083</v>
      </c>
      <c r="C1329" s="13" t="s">
        <v>2141</v>
      </c>
      <c r="D1329" s="13" t="s">
        <v>1555</v>
      </c>
      <c r="E1329" s="5" t="s">
        <v>5566</v>
      </c>
      <c r="F1329" s="5" t="s">
        <v>5249</v>
      </c>
      <c r="G1329" s="5" t="s">
        <v>5250</v>
      </c>
      <c r="H1329" s="13" t="s">
        <v>3558</v>
      </c>
      <c r="I1329" s="13" t="s">
        <v>2309</v>
      </c>
      <c r="J1329" s="4">
        <v>11793</v>
      </c>
      <c r="K1329" s="4">
        <v>1</v>
      </c>
      <c r="L1329" s="4">
        <v>241</v>
      </c>
      <c r="M1329" s="4">
        <v>2018</v>
      </c>
      <c r="N1329" s="4">
        <v>2</v>
      </c>
      <c r="O1329" s="4">
        <v>6</v>
      </c>
      <c r="P1329" s="4">
        <v>1</v>
      </c>
      <c r="Q1329" s="19">
        <v>749.99</v>
      </c>
      <c r="R1329" s="16">
        <v>7.0000000000000007E-2</v>
      </c>
      <c r="S1329" s="16">
        <v>749.92</v>
      </c>
      <c r="T1329" s="5" t="s">
        <v>236</v>
      </c>
      <c r="U1329" s="13" t="s">
        <v>301</v>
      </c>
    </row>
    <row r="1330" spans="1:21" x14ac:dyDescent="0.35">
      <c r="A1330" s="4">
        <v>1329</v>
      </c>
      <c r="B1330" s="4">
        <v>443</v>
      </c>
      <c r="C1330" s="13" t="s">
        <v>2142</v>
      </c>
      <c r="D1330" s="13" t="s">
        <v>2143</v>
      </c>
      <c r="E1330" s="5" t="s">
        <v>5251</v>
      </c>
      <c r="F1330" s="5" t="s">
        <v>5252</v>
      </c>
      <c r="G1330" s="5" t="s">
        <v>5253</v>
      </c>
      <c r="H1330" s="13" t="s">
        <v>2704</v>
      </c>
      <c r="I1330" s="13" t="s">
        <v>2305</v>
      </c>
      <c r="J1330" s="4">
        <v>93035</v>
      </c>
      <c r="K1330" s="4">
        <v>1</v>
      </c>
      <c r="L1330" s="4">
        <v>143</v>
      </c>
      <c r="M1330" s="4">
        <v>2018</v>
      </c>
      <c r="N1330" s="4">
        <v>1</v>
      </c>
      <c r="O1330" s="4">
        <v>3</v>
      </c>
      <c r="P1330" s="4">
        <v>1</v>
      </c>
      <c r="Q1330" s="19">
        <v>1099.99</v>
      </c>
      <c r="R1330" s="16">
        <v>7.0000000000000007E-2</v>
      </c>
      <c r="S1330" s="16">
        <v>1099.92</v>
      </c>
      <c r="T1330" s="5" t="s">
        <v>140</v>
      </c>
      <c r="U1330" s="13" t="s">
        <v>305</v>
      </c>
    </row>
    <row r="1331" spans="1:21" x14ac:dyDescent="0.35">
      <c r="A1331" s="4">
        <v>1330</v>
      </c>
      <c r="B1331" s="4">
        <v>761</v>
      </c>
      <c r="C1331" s="13" t="s">
        <v>2144</v>
      </c>
      <c r="D1331" s="13" t="s">
        <v>2145</v>
      </c>
      <c r="E1331" s="5" t="s">
        <v>5566</v>
      </c>
      <c r="F1331" s="5" t="s">
        <v>5254</v>
      </c>
      <c r="G1331" s="5" t="s">
        <v>5255</v>
      </c>
      <c r="H1331" s="13" t="s">
        <v>2531</v>
      </c>
      <c r="I1331" s="13" t="s">
        <v>2309</v>
      </c>
      <c r="J1331" s="4">
        <v>11779</v>
      </c>
      <c r="K1331" s="4">
        <v>1</v>
      </c>
      <c r="L1331" s="4">
        <v>232</v>
      </c>
      <c r="M1331" s="4">
        <v>2018</v>
      </c>
      <c r="N1331" s="4">
        <v>2</v>
      </c>
      <c r="O1331" s="4">
        <v>7</v>
      </c>
      <c r="P1331" s="4">
        <v>1</v>
      </c>
      <c r="Q1331" s="19">
        <v>479.99</v>
      </c>
      <c r="R1331" s="16">
        <v>0.2</v>
      </c>
      <c r="S1331" s="16">
        <v>479.79</v>
      </c>
      <c r="T1331" s="5" t="s">
        <v>227</v>
      </c>
      <c r="U1331" s="13" t="s">
        <v>301</v>
      </c>
    </row>
    <row r="1332" spans="1:21" x14ac:dyDescent="0.35">
      <c r="A1332" s="4">
        <v>1331</v>
      </c>
      <c r="B1332" s="4">
        <v>1122</v>
      </c>
      <c r="C1332" s="13" t="s">
        <v>2146</v>
      </c>
      <c r="D1332" s="13" t="s">
        <v>529</v>
      </c>
      <c r="E1332" s="5" t="s">
        <v>5566</v>
      </c>
      <c r="F1332" s="5" t="s">
        <v>5256</v>
      </c>
      <c r="G1332" s="5" t="s">
        <v>5257</v>
      </c>
      <c r="H1332" s="13" t="s">
        <v>4042</v>
      </c>
      <c r="I1332" s="13" t="s">
        <v>2309</v>
      </c>
      <c r="J1332" s="4">
        <v>11762</v>
      </c>
      <c r="K1332" s="4">
        <v>1</v>
      </c>
      <c r="L1332" s="4">
        <v>253</v>
      </c>
      <c r="M1332" s="4">
        <v>2018</v>
      </c>
      <c r="N1332" s="4">
        <v>2</v>
      </c>
      <c r="O1332" s="4">
        <v>6</v>
      </c>
      <c r="P1332" s="4">
        <v>1</v>
      </c>
      <c r="Q1332" s="19">
        <v>2599.9899999999998</v>
      </c>
      <c r="R1332" s="16">
        <v>0.05</v>
      </c>
      <c r="S1332" s="16">
        <v>2599.9399999999996</v>
      </c>
      <c r="T1332" s="5" t="s">
        <v>192</v>
      </c>
      <c r="U1332" s="13" t="s">
        <v>301</v>
      </c>
    </row>
    <row r="1333" spans="1:21" x14ac:dyDescent="0.35">
      <c r="A1333" s="4">
        <v>1332</v>
      </c>
      <c r="B1333" s="4">
        <v>256</v>
      </c>
      <c r="C1333" s="13" t="s">
        <v>2147</v>
      </c>
      <c r="D1333" s="13" t="s">
        <v>869</v>
      </c>
      <c r="E1333" s="5" t="s">
        <v>5566</v>
      </c>
      <c r="F1333" s="5" t="s">
        <v>5258</v>
      </c>
      <c r="G1333" s="5" t="s">
        <v>5259</v>
      </c>
      <c r="H1333" s="13" t="s">
        <v>2393</v>
      </c>
      <c r="I1333" s="13" t="s">
        <v>2309</v>
      </c>
      <c r="J1333" s="4">
        <v>11566</v>
      </c>
      <c r="K1333" s="4">
        <v>1</v>
      </c>
      <c r="L1333" s="4">
        <v>296</v>
      </c>
      <c r="M1333" s="4">
        <v>2018</v>
      </c>
      <c r="N1333" s="4">
        <v>2</v>
      </c>
      <c r="O1333" s="4">
        <v>7</v>
      </c>
      <c r="P1333" s="4">
        <v>1</v>
      </c>
      <c r="Q1333" s="19">
        <v>369.99</v>
      </c>
      <c r="R1333" s="16">
        <v>0.2</v>
      </c>
      <c r="S1333" s="16">
        <v>369.79</v>
      </c>
      <c r="T1333" s="5" t="s">
        <v>286</v>
      </c>
      <c r="U1333" s="13" t="s">
        <v>299</v>
      </c>
    </row>
    <row r="1334" spans="1:21" x14ac:dyDescent="0.35">
      <c r="A1334" s="4">
        <v>1333</v>
      </c>
      <c r="B1334" s="4">
        <v>203</v>
      </c>
      <c r="C1334" s="13" t="s">
        <v>2148</v>
      </c>
      <c r="D1334" s="13" t="s">
        <v>457</v>
      </c>
      <c r="E1334" s="5" t="s">
        <v>5260</v>
      </c>
      <c r="F1334" s="5" t="s">
        <v>5261</v>
      </c>
      <c r="G1334" s="5" t="s">
        <v>5262</v>
      </c>
      <c r="H1334" s="13" t="s">
        <v>1262</v>
      </c>
      <c r="I1334" s="13" t="s">
        <v>2397</v>
      </c>
      <c r="J1334" s="4">
        <v>77016</v>
      </c>
      <c r="K1334" s="4">
        <v>1</v>
      </c>
      <c r="L1334" s="4">
        <v>205</v>
      </c>
      <c r="M1334" s="4">
        <v>2018</v>
      </c>
      <c r="N1334" s="4">
        <v>3</v>
      </c>
      <c r="O1334" s="4">
        <v>8</v>
      </c>
      <c r="P1334" s="4">
        <v>2</v>
      </c>
      <c r="Q1334" s="19">
        <v>4999.99</v>
      </c>
      <c r="R1334" s="16">
        <v>0.05</v>
      </c>
      <c r="S1334" s="16">
        <v>9999.93</v>
      </c>
      <c r="T1334" s="5" t="s">
        <v>202</v>
      </c>
      <c r="U1334" s="13" t="s">
        <v>303</v>
      </c>
    </row>
    <row r="1335" spans="1:21" x14ac:dyDescent="0.35">
      <c r="A1335" s="4">
        <v>1334</v>
      </c>
      <c r="B1335" s="4">
        <v>425</v>
      </c>
      <c r="C1335" s="13" t="s">
        <v>2149</v>
      </c>
      <c r="D1335" s="13" t="s">
        <v>1236</v>
      </c>
      <c r="E1335" s="5" t="s">
        <v>5566</v>
      </c>
      <c r="F1335" s="5" t="s">
        <v>5263</v>
      </c>
      <c r="G1335" s="5" t="s">
        <v>5264</v>
      </c>
      <c r="H1335" s="13" t="s">
        <v>2368</v>
      </c>
      <c r="I1335" s="13" t="s">
        <v>2309</v>
      </c>
      <c r="J1335" s="4">
        <v>10550</v>
      </c>
      <c r="K1335" s="4">
        <v>1</v>
      </c>
      <c r="L1335" s="4">
        <v>203</v>
      </c>
      <c r="M1335" s="4">
        <v>2018</v>
      </c>
      <c r="N1335" s="4">
        <v>2</v>
      </c>
      <c r="O1335" s="4">
        <v>6</v>
      </c>
      <c r="P1335" s="4">
        <v>2</v>
      </c>
      <c r="Q1335" s="19">
        <v>4999.99</v>
      </c>
      <c r="R1335" s="16">
        <v>0.05</v>
      </c>
      <c r="S1335" s="16">
        <v>9999.93</v>
      </c>
      <c r="T1335" s="5" t="s">
        <v>200</v>
      </c>
      <c r="U1335" s="13" t="s">
        <v>303</v>
      </c>
    </row>
    <row r="1336" spans="1:21" x14ac:dyDescent="0.35">
      <c r="A1336" s="4">
        <v>1335</v>
      </c>
      <c r="B1336" s="4">
        <v>955</v>
      </c>
      <c r="C1336" s="13" t="s">
        <v>2150</v>
      </c>
      <c r="D1336" s="13" t="s">
        <v>369</v>
      </c>
      <c r="E1336" s="5" t="s">
        <v>5566</v>
      </c>
      <c r="F1336" s="5" t="s">
        <v>5265</v>
      </c>
      <c r="G1336" s="5" t="s">
        <v>5266</v>
      </c>
      <c r="H1336" s="13" t="s">
        <v>2682</v>
      </c>
      <c r="I1336" s="13" t="s">
        <v>2309</v>
      </c>
      <c r="J1336" s="4">
        <v>11704</v>
      </c>
      <c r="K1336" s="4">
        <v>1</v>
      </c>
      <c r="L1336" s="4">
        <v>138</v>
      </c>
      <c r="M1336" s="4">
        <v>2018</v>
      </c>
      <c r="N1336" s="4">
        <v>2</v>
      </c>
      <c r="O1336" s="4">
        <v>7</v>
      </c>
      <c r="P1336" s="4">
        <v>2</v>
      </c>
      <c r="Q1336" s="19">
        <v>2249.9899999999998</v>
      </c>
      <c r="R1336" s="16">
        <v>0.05</v>
      </c>
      <c r="S1336" s="16">
        <v>4499.9299999999994</v>
      </c>
      <c r="T1336" s="5" t="s">
        <v>135</v>
      </c>
      <c r="U1336" s="13" t="s">
        <v>304</v>
      </c>
    </row>
    <row r="1337" spans="1:21" x14ac:dyDescent="0.35">
      <c r="A1337" s="4">
        <v>1336</v>
      </c>
      <c r="B1337" s="4">
        <v>904</v>
      </c>
      <c r="C1337" s="13" t="s">
        <v>2151</v>
      </c>
      <c r="D1337" s="13" t="s">
        <v>812</v>
      </c>
      <c r="E1337" s="5" t="s">
        <v>5267</v>
      </c>
      <c r="F1337" s="5" t="s">
        <v>5268</v>
      </c>
      <c r="G1337" s="5" t="s">
        <v>5269</v>
      </c>
      <c r="H1337" s="13" t="s">
        <v>2741</v>
      </c>
      <c r="I1337" s="13" t="s">
        <v>2305</v>
      </c>
      <c r="J1337" s="4">
        <v>95127</v>
      </c>
      <c r="K1337" s="4">
        <v>1</v>
      </c>
      <c r="L1337" s="4">
        <v>29</v>
      </c>
      <c r="M1337" s="4">
        <v>2017</v>
      </c>
      <c r="N1337" s="4">
        <v>1</v>
      </c>
      <c r="O1337" s="4">
        <v>2</v>
      </c>
      <c r="P1337" s="4">
        <v>2</v>
      </c>
      <c r="Q1337" s="19">
        <v>999.99</v>
      </c>
      <c r="R1337" s="16">
        <v>0.2</v>
      </c>
      <c r="S1337" s="16">
        <v>1999.78</v>
      </c>
      <c r="T1337" s="5" t="s">
        <v>30</v>
      </c>
      <c r="U1337" s="13" t="s">
        <v>304</v>
      </c>
    </row>
    <row r="1338" spans="1:21" x14ac:dyDescent="0.35">
      <c r="A1338" s="4">
        <v>1337</v>
      </c>
      <c r="B1338" s="4">
        <v>970</v>
      </c>
      <c r="C1338" s="13" t="s">
        <v>2152</v>
      </c>
      <c r="D1338" s="13" t="s">
        <v>2153</v>
      </c>
      <c r="E1338" s="5" t="s">
        <v>5566</v>
      </c>
      <c r="F1338" s="5" t="s">
        <v>5270</v>
      </c>
      <c r="G1338" s="5" t="s">
        <v>5271</v>
      </c>
      <c r="H1338" s="13" t="s">
        <v>918</v>
      </c>
      <c r="I1338" s="13" t="s">
        <v>2309</v>
      </c>
      <c r="J1338" s="4">
        <v>11423</v>
      </c>
      <c r="K1338" s="4">
        <v>1</v>
      </c>
      <c r="L1338" s="4">
        <v>153</v>
      </c>
      <c r="M1338" s="4">
        <v>2018</v>
      </c>
      <c r="N1338" s="4">
        <v>2</v>
      </c>
      <c r="O1338" s="4">
        <v>7</v>
      </c>
      <c r="P1338" s="4">
        <v>1</v>
      </c>
      <c r="Q1338" s="19">
        <v>4999.99</v>
      </c>
      <c r="R1338" s="16">
        <v>0.1</v>
      </c>
      <c r="S1338" s="16">
        <v>4999.8899999999994</v>
      </c>
      <c r="T1338" s="5" t="s">
        <v>150</v>
      </c>
      <c r="U1338" s="13" t="s">
        <v>305</v>
      </c>
    </row>
    <row r="1339" spans="1:21" x14ac:dyDescent="0.35">
      <c r="A1339" s="4">
        <v>1338</v>
      </c>
      <c r="B1339" s="4">
        <v>905</v>
      </c>
      <c r="C1339" s="13" t="s">
        <v>2154</v>
      </c>
      <c r="D1339" s="13" t="s">
        <v>1917</v>
      </c>
      <c r="E1339" s="5" t="s">
        <v>5566</v>
      </c>
      <c r="F1339" s="5" t="s">
        <v>5272</v>
      </c>
      <c r="G1339" s="5" t="s">
        <v>5273</v>
      </c>
      <c r="H1339" s="13" t="s">
        <v>2321</v>
      </c>
      <c r="I1339" s="13" t="s">
        <v>2309</v>
      </c>
      <c r="J1339" s="4">
        <v>13027</v>
      </c>
      <c r="K1339" s="4">
        <v>1</v>
      </c>
      <c r="L1339" s="4">
        <v>169</v>
      </c>
      <c r="M1339" s="4">
        <v>2018</v>
      </c>
      <c r="N1339" s="4">
        <v>2</v>
      </c>
      <c r="O1339" s="4">
        <v>6</v>
      </c>
      <c r="P1339" s="4">
        <v>2</v>
      </c>
      <c r="Q1339" s="19">
        <v>6499.99</v>
      </c>
      <c r="R1339" s="16">
        <v>7.0000000000000007E-2</v>
      </c>
      <c r="S1339" s="16">
        <v>12999.91</v>
      </c>
      <c r="T1339" s="5" t="s">
        <v>166</v>
      </c>
      <c r="U1339" s="13" t="s">
        <v>305</v>
      </c>
    </row>
    <row r="1340" spans="1:21" x14ac:dyDescent="0.35">
      <c r="A1340" s="4">
        <v>1339</v>
      </c>
      <c r="B1340" s="4">
        <v>580</v>
      </c>
      <c r="C1340" s="13" t="s">
        <v>1725</v>
      </c>
      <c r="D1340" s="13" t="s">
        <v>1389</v>
      </c>
      <c r="E1340" s="5" t="s">
        <v>5274</v>
      </c>
      <c r="F1340" s="5" t="s">
        <v>5275</v>
      </c>
      <c r="G1340" s="5" t="s">
        <v>5276</v>
      </c>
      <c r="H1340" s="13" t="s">
        <v>3827</v>
      </c>
      <c r="I1340" s="13" t="s">
        <v>2305</v>
      </c>
      <c r="J1340" s="4">
        <v>90008</v>
      </c>
      <c r="K1340" s="4">
        <v>1</v>
      </c>
      <c r="L1340" s="4">
        <v>175</v>
      </c>
      <c r="M1340" s="4">
        <v>2018</v>
      </c>
      <c r="N1340" s="4">
        <v>1</v>
      </c>
      <c r="O1340" s="4">
        <v>3</v>
      </c>
      <c r="P1340" s="4">
        <v>1</v>
      </c>
      <c r="Q1340" s="19">
        <v>3199.99</v>
      </c>
      <c r="R1340" s="16">
        <v>7.0000000000000007E-2</v>
      </c>
      <c r="S1340" s="16">
        <v>3199.9199999999996</v>
      </c>
      <c r="T1340" s="5" t="s">
        <v>172</v>
      </c>
      <c r="U1340" s="13" t="s">
        <v>305</v>
      </c>
    </row>
    <row r="1341" spans="1:21" x14ac:dyDescent="0.35">
      <c r="A1341" s="4">
        <v>1340</v>
      </c>
      <c r="B1341" s="4">
        <v>1066</v>
      </c>
      <c r="C1341" s="13" t="s">
        <v>2155</v>
      </c>
      <c r="D1341" s="13" t="s">
        <v>616</v>
      </c>
      <c r="E1341" s="5" t="s">
        <v>5277</v>
      </c>
      <c r="F1341" s="5" t="s">
        <v>5278</v>
      </c>
      <c r="G1341" s="5" t="s">
        <v>5279</v>
      </c>
      <c r="H1341" s="13" t="s">
        <v>2460</v>
      </c>
      <c r="I1341" s="13" t="s">
        <v>2305</v>
      </c>
      <c r="J1341" s="4">
        <v>92806</v>
      </c>
      <c r="K1341" s="4">
        <v>1</v>
      </c>
      <c r="L1341" s="4">
        <v>253</v>
      </c>
      <c r="M1341" s="4">
        <v>2018</v>
      </c>
      <c r="N1341" s="4">
        <v>1</v>
      </c>
      <c r="O1341" s="4">
        <v>3</v>
      </c>
      <c r="P1341" s="4">
        <v>1</v>
      </c>
      <c r="Q1341" s="19">
        <v>2599.9899999999998</v>
      </c>
      <c r="R1341" s="16">
        <v>0.2</v>
      </c>
      <c r="S1341" s="16">
        <v>2599.79</v>
      </c>
      <c r="T1341" s="5" t="s">
        <v>192</v>
      </c>
      <c r="U1341" s="13" t="s">
        <v>301</v>
      </c>
    </row>
    <row r="1342" spans="1:21" x14ac:dyDescent="0.35">
      <c r="A1342" s="4">
        <v>1341</v>
      </c>
      <c r="B1342" s="4">
        <v>1258</v>
      </c>
      <c r="C1342" s="13" t="s">
        <v>1416</v>
      </c>
      <c r="D1342" s="13" t="s">
        <v>2156</v>
      </c>
      <c r="E1342" s="5" t="s">
        <v>5566</v>
      </c>
      <c r="F1342" s="5" t="s">
        <v>5280</v>
      </c>
      <c r="G1342" s="5" t="s">
        <v>5281</v>
      </c>
      <c r="H1342" s="13" t="s">
        <v>3013</v>
      </c>
      <c r="I1342" s="13" t="s">
        <v>2309</v>
      </c>
      <c r="J1342" s="4">
        <v>11706</v>
      </c>
      <c r="K1342" s="4">
        <v>1</v>
      </c>
      <c r="L1342" s="4">
        <v>215</v>
      </c>
      <c r="M1342" s="4">
        <v>2018</v>
      </c>
      <c r="N1342" s="4">
        <v>2</v>
      </c>
      <c r="O1342" s="4">
        <v>7</v>
      </c>
      <c r="P1342" s="4">
        <v>2</v>
      </c>
      <c r="Q1342" s="19">
        <v>749.99</v>
      </c>
      <c r="R1342" s="16">
        <v>7.0000000000000007E-2</v>
      </c>
      <c r="S1342" s="16">
        <v>1499.91</v>
      </c>
      <c r="T1342" s="5" t="s">
        <v>210</v>
      </c>
      <c r="U1342" s="13" t="s">
        <v>301</v>
      </c>
    </row>
    <row r="1343" spans="1:21" x14ac:dyDescent="0.35">
      <c r="A1343" s="4">
        <v>1342</v>
      </c>
      <c r="B1343" s="4">
        <v>1393</v>
      </c>
      <c r="C1343" s="13" t="s">
        <v>2157</v>
      </c>
      <c r="D1343" s="13" t="s">
        <v>529</v>
      </c>
      <c r="E1343" s="5" t="s">
        <v>5566</v>
      </c>
      <c r="F1343" s="5" t="s">
        <v>5282</v>
      </c>
      <c r="G1343" s="5" t="s">
        <v>5283</v>
      </c>
      <c r="H1343" s="13" t="s">
        <v>2752</v>
      </c>
      <c r="I1343" s="13" t="s">
        <v>2309</v>
      </c>
      <c r="J1343" s="4">
        <v>11432</v>
      </c>
      <c r="K1343" s="4">
        <v>1</v>
      </c>
      <c r="L1343" s="4">
        <v>60</v>
      </c>
      <c r="M1343" s="4">
        <v>2017</v>
      </c>
      <c r="N1343" s="4">
        <v>2</v>
      </c>
      <c r="O1343" s="4">
        <v>7</v>
      </c>
      <c r="P1343" s="4">
        <v>1</v>
      </c>
      <c r="Q1343" s="19">
        <v>1559.99</v>
      </c>
      <c r="R1343" s="16">
        <v>0.05</v>
      </c>
      <c r="S1343" s="16">
        <v>1559.94</v>
      </c>
      <c r="T1343" s="5" t="s">
        <v>61</v>
      </c>
      <c r="U1343" s="13" t="s">
        <v>303</v>
      </c>
    </row>
    <row r="1344" spans="1:21" x14ac:dyDescent="0.35">
      <c r="A1344" s="4">
        <v>1343</v>
      </c>
      <c r="B1344" s="4">
        <v>594</v>
      </c>
      <c r="C1344" s="13" t="s">
        <v>2158</v>
      </c>
      <c r="D1344" s="13" t="s">
        <v>1193</v>
      </c>
      <c r="E1344" s="5" t="s">
        <v>5566</v>
      </c>
      <c r="F1344" s="5" t="s">
        <v>5284</v>
      </c>
      <c r="G1344" s="5" t="s">
        <v>5285</v>
      </c>
      <c r="H1344" s="13" t="s">
        <v>2577</v>
      </c>
      <c r="I1344" s="13" t="s">
        <v>2309</v>
      </c>
      <c r="J1344" s="4">
        <v>11757</v>
      </c>
      <c r="K1344" s="4">
        <v>1</v>
      </c>
      <c r="L1344" s="4">
        <v>244</v>
      </c>
      <c r="M1344" s="4">
        <v>2018</v>
      </c>
      <c r="N1344" s="4">
        <v>2</v>
      </c>
      <c r="O1344" s="4">
        <v>6</v>
      </c>
      <c r="P1344" s="4">
        <v>1</v>
      </c>
      <c r="Q1344" s="19">
        <v>559.99</v>
      </c>
      <c r="R1344" s="16">
        <v>0.05</v>
      </c>
      <c r="S1344" s="16">
        <v>559.94000000000005</v>
      </c>
      <c r="T1344" s="5" t="s">
        <v>239</v>
      </c>
      <c r="U1344" s="13" t="s">
        <v>301</v>
      </c>
    </row>
    <row r="1345" spans="1:21" x14ac:dyDescent="0.35">
      <c r="A1345" s="4">
        <v>1344</v>
      </c>
      <c r="B1345" s="4">
        <v>916</v>
      </c>
      <c r="C1345" s="13" t="s">
        <v>2159</v>
      </c>
      <c r="D1345" s="13" t="s">
        <v>1175</v>
      </c>
      <c r="E1345" s="5" t="s">
        <v>5566</v>
      </c>
      <c r="F1345" s="5" t="s">
        <v>5286</v>
      </c>
      <c r="G1345" s="5" t="s">
        <v>5287</v>
      </c>
      <c r="H1345" s="13" t="s">
        <v>2368</v>
      </c>
      <c r="I1345" s="13" t="s">
        <v>2309</v>
      </c>
      <c r="J1345" s="4">
        <v>10550</v>
      </c>
      <c r="K1345" s="4">
        <v>1</v>
      </c>
      <c r="L1345" s="4">
        <v>77</v>
      </c>
      <c r="M1345" s="4">
        <v>2017</v>
      </c>
      <c r="N1345" s="4">
        <v>2</v>
      </c>
      <c r="O1345" s="4">
        <v>6</v>
      </c>
      <c r="P1345" s="4">
        <v>2</v>
      </c>
      <c r="Q1345" s="19">
        <v>799.99</v>
      </c>
      <c r="R1345" s="16">
        <v>7.0000000000000007E-2</v>
      </c>
      <c r="S1345" s="16">
        <v>1599.91</v>
      </c>
      <c r="T1345" s="5" t="s">
        <v>78</v>
      </c>
      <c r="U1345" s="13" t="s">
        <v>301</v>
      </c>
    </row>
    <row r="1346" spans="1:21" x14ac:dyDescent="0.35">
      <c r="A1346" s="4">
        <v>1345</v>
      </c>
      <c r="B1346" s="4">
        <v>1037</v>
      </c>
      <c r="C1346" s="13" t="s">
        <v>1439</v>
      </c>
      <c r="D1346" s="13" t="s">
        <v>1342</v>
      </c>
      <c r="E1346" s="5" t="s">
        <v>5566</v>
      </c>
      <c r="F1346" s="5" t="s">
        <v>5288</v>
      </c>
      <c r="G1346" s="5" t="s">
        <v>5289</v>
      </c>
      <c r="H1346" s="13" t="s">
        <v>2918</v>
      </c>
      <c r="I1346" s="13" t="s">
        <v>2309</v>
      </c>
      <c r="J1346" s="4">
        <v>10954</v>
      </c>
      <c r="K1346" s="4">
        <v>1</v>
      </c>
      <c r="L1346" s="4">
        <v>40</v>
      </c>
      <c r="M1346" s="4">
        <v>2017</v>
      </c>
      <c r="N1346" s="4">
        <v>2</v>
      </c>
      <c r="O1346" s="4">
        <v>6</v>
      </c>
      <c r="P1346" s="4">
        <v>2</v>
      </c>
      <c r="Q1346" s="19">
        <v>4999.99</v>
      </c>
      <c r="R1346" s="16">
        <v>0.2</v>
      </c>
      <c r="S1346" s="16">
        <v>9999.7799999999988</v>
      </c>
      <c r="T1346" s="5" t="s">
        <v>41</v>
      </c>
      <c r="U1346" s="13" t="s">
        <v>304</v>
      </c>
    </row>
    <row r="1347" spans="1:21" x14ac:dyDescent="0.35">
      <c r="A1347" s="4">
        <v>1346</v>
      </c>
      <c r="B1347" s="4">
        <v>136</v>
      </c>
      <c r="C1347" s="13" t="s">
        <v>2160</v>
      </c>
      <c r="D1347" s="13" t="s">
        <v>1440</v>
      </c>
      <c r="E1347" s="5" t="s">
        <v>5566</v>
      </c>
      <c r="F1347" s="5" t="s">
        <v>5290</v>
      </c>
      <c r="G1347" s="5" t="s">
        <v>5291</v>
      </c>
      <c r="H1347" s="13" t="s">
        <v>3215</v>
      </c>
      <c r="I1347" s="13" t="s">
        <v>2397</v>
      </c>
      <c r="J1347" s="4">
        <v>75126</v>
      </c>
      <c r="K1347" s="4">
        <v>1</v>
      </c>
      <c r="L1347" s="4">
        <v>134</v>
      </c>
      <c r="M1347" s="4">
        <v>2018</v>
      </c>
      <c r="N1347" s="4">
        <v>3</v>
      </c>
      <c r="O1347" s="4">
        <v>8</v>
      </c>
      <c r="P1347" s="4">
        <v>2</v>
      </c>
      <c r="Q1347" s="19">
        <v>1499.99</v>
      </c>
      <c r="R1347" s="16">
        <v>0.05</v>
      </c>
      <c r="S1347" s="16">
        <v>2999.93</v>
      </c>
      <c r="T1347" s="5" t="s">
        <v>131</v>
      </c>
      <c r="U1347" s="13" t="s">
        <v>304</v>
      </c>
    </row>
    <row r="1348" spans="1:21" x14ac:dyDescent="0.35">
      <c r="A1348" s="4">
        <v>1347</v>
      </c>
      <c r="B1348" s="4">
        <v>247</v>
      </c>
      <c r="C1348" s="13" t="s">
        <v>2161</v>
      </c>
      <c r="D1348" s="13" t="s">
        <v>964</v>
      </c>
      <c r="E1348" s="5" t="s">
        <v>5566</v>
      </c>
      <c r="F1348" s="5" t="s">
        <v>5292</v>
      </c>
      <c r="G1348" s="5" t="s">
        <v>5293</v>
      </c>
      <c r="H1348" s="13" t="s">
        <v>2790</v>
      </c>
      <c r="I1348" s="13" t="s">
        <v>2305</v>
      </c>
      <c r="J1348" s="4">
        <v>90274</v>
      </c>
      <c r="K1348" s="4">
        <v>1</v>
      </c>
      <c r="L1348" s="4">
        <v>43</v>
      </c>
      <c r="M1348" s="4">
        <v>2017</v>
      </c>
      <c r="N1348" s="4">
        <v>1</v>
      </c>
      <c r="O1348" s="4">
        <v>2</v>
      </c>
      <c r="P1348" s="4">
        <v>2</v>
      </c>
      <c r="Q1348" s="19">
        <v>5299.99</v>
      </c>
      <c r="R1348" s="16">
        <v>7.0000000000000007E-2</v>
      </c>
      <c r="S1348" s="16">
        <v>10599.91</v>
      </c>
      <c r="T1348" s="5" t="s">
        <v>44</v>
      </c>
      <c r="U1348" s="13" t="s">
        <v>304</v>
      </c>
    </row>
    <row r="1349" spans="1:21" x14ac:dyDescent="0.35">
      <c r="A1349" s="4">
        <v>1348</v>
      </c>
      <c r="B1349" s="4">
        <v>1214</v>
      </c>
      <c r="C1349" s="13" t="s">
        <v>2162</v>
      </c>
      <c r="D1349" s="13" t="s">
        <v>2163</v>
      </c>
      <c r="E1349" s="5" t="s">
        <v>5566</v>
      </c>
      <c r="F1349" s="5" t="s">
        <v>5294</v>
      </c>
      <c r="G1349" s="5" t="s">
        <v>5295</v>
      </c>
      <c r="H1349" s="13" t="s">
        <v>2373</v>
      </c>
      <c r="I1349" s="13" t="s">
        <v>2305</v>
      </c>
      <c r="J1349" s="4">
        <v>95050</v>
      </c>
      <c r="K1349" s="4">
        <v>1</v>
      </c>
      <c r="L1349" s="4">
        <v>203</v>
      </c>
      <c r="M1349" s="4">
        <v>2018</v>
      </c>
      <c r="N1349" s="4">
        <v>1</v>
      </c>
      <c r="O1349" s="4">
        <v>2</v>
      </c>
      <c r="P1349" s="4">
        <v>1</v>
      </c>
      <c r="Q1349" s="19">
        <v>4999.99</v>
      </c>
      <c r="R1349" s="16">
        <v>0.05</v>
      </c>
      <c r="S1349" s="16">
        <v>4999.9399999999996</v>
      </c>
      <c r="T1349" s="5" t="s">
        <v>200</v>
      </c>
      <c r="U1349" s="13" t="s">
        <v>303</v>
      </c>
    </row>
    <row r="1350" spans="1:21" x14ac:dyDescent="0.35">
      <c r="A1350" s="4">
        <v>1349</v>
      </c>
      <c r="B1350" s="4">
        <v>464</v>
      </c>
      <c r="C1350" s="13" t="s">
        <v>2164</v>
      </c>
      <c r="D1350" s="13" t="s">
        <v>571</v>
      </c>
      <c r="E1350" s="5" t="s">
        <v>5566</v>
      </c>
      <c r="F1350" s="5" t="s">
        <v>5296</v>
      </c>
      <c r="G1350" s="5" t="s">
        <v>5297</v>
      </c>
      <c r="H1350" s="13" t="s">
        <v>2469</v>
      </c>
      <c r="I1350" s="13" t="s">
        <v>2309</v>
      </c>
      <c r="J1350" s="4">
        <v>11530</v>
      </c>
      <c r="K1350" s="4">
        <v>1</v>
      </c>
      <c r="L1350" s="4">
        <v>138</v>
      </c>
      <c r="M1350" s="4">
        <v>2018</v>
      </c>
      <c r="N1350" s="4">
        <v>2</v>
      </c>
      <c r="O1350" s="4">
        <v>6</v>
      </c>
      <c r="P1350" s="4">
        <v>2</v>
      </c>
      <c r="Q1350" s="19">
        <v>2249.9899999999998</v>
      </c>
      <c r="R1350" s="16">
        <v>0.05</v>
      </c>
      <c r="S1350" s="16">
        <v>4499.9299999999994</v>
      </c>
      <c r="T1350" s="5" t="s">
        <v>135</v>
      </c>
      <c r="U1350" s="13" t="s">
        <v>304</v>
      </c>
    </row>
    <row r="1351" spans="1:21" x14ac:dyDescent="0.35">
      <c r="A1351" s="4">
        <v>1350</v>
      </c>
      <c r="B1351" s="4">
        <v>637</v>
      </c>
      <c r="C1351" s="13" t="s">
        <v>2165</v>
      </c>
      <c r="D1351" s="13" t="s">
        <v>339</v>
      </c>
      <c r="E1351" s="5" t="s">
        <v>5566</v>
      </c>
      <c r="F1351" s="5" t="s">
        <v>5298</v>
      </c>
      <c r="G1351" s="5" t="s">
        <v>5299</v>
      </c>
      <c r="H1351" s="13" t="s">
        <v>2444</v>
      </c>
      <c r="I1351" s="13" t="s">
        <v>2309</v>
      </c>
      <c r="J1351" s="4">
        <v>10562</v>
      </c>
      <c r="K1351" s="4">
        <v>1</v>
      </c>
      <c r="L1351" s="4">
        <v>305</v>
      </c>
      <c r="M1351" s="4">
        <v>2018</v>
      </c>
      <c r="N1351" s="4">
        <v>2</v>
      </c>
      <c r="O1351" s="4">
        <v>7</v>
      </c>
      <c r="P1351" s="4">
        <v>1</v>
      </c>
      <c r="Q1351" s="19">
        <v>749.99</v>
      </c>
      <c r="R1351" s="16">
        <v>0.1</v>
      </c>
      <c r="S1351" s="16">
        <v>749.89</v>
      </c>
      <c r="T1351" s="5" t="s">
        <v>245</v>
      </c>
      <c r="U1351" s="13" t="s">
        <v>300</v>
      </c>
    </row>
    <row r="1352" spans="1:21" x14ac:dyDescent="0.35">
      <c r="A1352" s="4">
        <v>1351</v>
      </c>
      <c r="B1352" s="4">
        <v>1016</v>
      </c>
      <c r="C1352" s="13" t="s">
        <v>563</v>
      </c>
      <c r="D1352" s="13" t="s">
        <v>542</v>
      </c>
      <c r="E1352" s="5" t="s">
        <v>5300</v>
      </c>
      <c r="F1352" s="5" t="s">
        <v>5301</v>
      </c>
      <c r="G1352" s="5" t="s">
        <v>5302</v>
      </c>
      <c r="H1352" s="13" t="s">
        <v>2647</v>
      </c>
      <c r="I1352" s="13" t="s">
        <v>2309</v>
      </c>
      <c r="J1352" s="4">
        <v>10002</v>
      </c>
      <c r="K1352" s="4">
        <v>1</v>
      </c>
      <c r="L1352" s="4">
        <v>297</v>
      </c>
      <c r="M1352" s="4">
        <v>2018</v>
      </c>
      <c r="N1352" s="4">
        <v>2</v>
      </c>
      <c r="O1352" s="4">
        <v>7</v>
      </c>
      <c r="P1352" s="4">
        <v>2</v>
      </c>
      <c r="Q1352" s="19">
        <v>279.99</v>
      </c>
      <c r="R1352" s="16">
        <v>0.2</v>
      </c>
      <c r="S1352" s="16">
        <v>559.78</v>
      </c>
      <c r="T1352" s="5" t="s">
        <v>287</v>
      </c>
      <c r="U1352" s="13" t="s">
        <v>299</v>
      </c>
    </row>
    <row r="1353" spans="1:21" x14ac:dyDescent="0.35">
      <c r="A1353" s="4">
        <v>1352</v>
      </c>
      <c r="B1353" s="4">
        <v>1433</v>
      </c>
      <c r="C1353" s="13" t="s">
        <v>2166</v>
      </c>
      <c r="D1353" s="13" t="s">
        <v>1610</v>
      </c>
      <c r="E1353" s="5" t="s">
        <v>5566</v>
      </c>
      <c r="F1353" s="5" t="s">
        <v>5303</v>
      </c>
      <c r="G1353" s="5" t="s">
        <v>5304</v>
      </c>
      <c r="H1353" s="13" t="s">
        <v>2785</v>
      </c>
      <c r="I1353" s="13" t="s">
        <v>2309</v>
      </c>
      <c r="J1353" s="4">
        <v>10583</v>
      </c>
      <c r="K1353" s="4">
        <v>1</v>
      </c>
      <c r="L1353" s="4">
        <v>136</v>
      </c>
      <c r="M1353" s="4">
        <v>2018</v>
      </c>
      <c r="N1353" s="4">
        <v>2</v>
      </c>
      <c r="O1353" s="4">
        <v>6</v>
      </c>
      <c r="P1353" s="4">
        <v>1</v>
      </c>
      <c r="Q1353" s="19">
        <v>1799.99</v>
      </c>
      <c r="R1353" s="16">
        <v>0.2</v>
      </c>
      <c r="S1353" s="16">
        <v>1799.79</v>
      </c>
      <c r="T1353" s="5" t="s">
        <v>133</v>
      </c>
      <c r="U1353" s="13" t="s">
        <v>304</v>
      </c>
    </row>
    <row r="1354" spans="1:21" x14ac:dyDescent="0.35">
      <c r="A1354" s="4">
        <v>1353</v>
      </c>
      <c r="B1354" s="4">
        <v>502</v>
      </c>
      <c r="C1354" s="13" t="s">
        <v>2167</v>
      </c>
      <c r="D1354" s="13" t="s">
        <v>2168</v>
      </c>
      <c r="E1354" s="5" t="s">
        <v>5566</v>
      </c>
      <c r="F1354" s="5" t="s">
        <v>5305</v>
      </c>
      <c r="G1354" s="5" t="s">
        <v>5306</v>
      </c>
      <c r="H1354" s="13" t="s">
        <v>3018</v>
      </c>
      <c r="I1354" s="13" t="s">
        <v>2309</v>
      </c>
      <c r="J1354" s="4">
        <v>11357</v>
      </c>
      <c r="K1354" s="4">
        <v>1</v>
      </c>
      <c r="L1354" s="4">
        <v>107</v>
      </c>
      <c r="M1354" s="4">
        <v>2017</v>
      </c>
      <c r="N1354" s="4">
        <v>2</v>
      </c>
      <c r="O1354" s="4">
        <v>6</v>
      </c>
      <c r="P1354" s="4">
        <v>2</v>
      </c>
      <c r="Q1354" s="19">
        <v>416.99</v>
      </c>
      <c r="R1354" s="16">
        <v>0.05</v>
      </c>
      <c r="S1354" s="16">
        <v>833.93000000000006</v>
      </c>
      <c r="T1354" s="5" t="s">
        <v>70</v>
      </c>
      <c r="U1354" s="13" t="s">
        <v>300</v>
      </c>
    </row>
    <row r="1355" spans="1:21" x14ac:dyDescent="0.35">
      <c r="A1355" s="4">
        <v>1354</v>
      </c>
      <c r="B1355" s="4">
        <v>476</v>
      </c>
      <c r="C1355" s="13" t="s">
        <v>2169</v>
      </c>
      <c r="D1355" s="13" t="s">
        <v>1639</v>
      </c>
      <c r="E1355" s="5" t="s">
        <v>5566</v>
      </c>
      <c r="F1355" s="5" t="s">
        <v>5307</v>
      </c>
      <c r="G1355" s="5" t="s">
        <v>5308</v>
      </c>
      <c r="H1355" s="13" t="s">
        <v>3127</v>
      </c>
      <c r="I1355" s="13" t="s">
        <v>2305</v>
      </c>
      <c r="J1355" s="4">
        <v>95060</v>
      </c>
      <c r="K1355" s="4">
        <v>1</v>
      </c>
      <c r="L1355" s="4">
        <v>166</v>
      </c>
      <c r="M1355" s="4">
        <v>2018</v>
      </c>
      <c r="N1355" s="4">
        <v>1</v>
      </c>
      <c r="O1355" s="4">
        <v>3</v>
      </c>
      <c r="P1355" s="4">
        <v>2</v>
      </c>
      <c r="Q1355" s="19">
        <v>749.99</v>
      </c>
      <c r="R1355" s="16">
        <v>7.0000000000000007E-2</v>
      </c>
      <c r="S1355" s="16">
        <v>1499.91</v>
      </c>
      <c r="T1355" s="5" t="s">
        <v>163</v>
      </c>
      <c r="U1355" s="13" t="s">
        <v>305</v>
      </c>
    </row>
    <row r="1356" spans="1:21" x14ac:dyDescent="0.35">
      <c r="A1356" s="4">
        <v>1355</v>
      </c>
      <c r="B1356" s="4">
        <v>1010</v>
      </c>
      <c r="C1356" s="13" t="s">
        <v>2170</v>
      </c>
      <c r="D1356" s="13" t="s">
        <v>377</v>
      </c>
      <c r="E1356" s="5" t="s">
        <v>5566</v>
      </c>
      <c r="F1356" s="5" t="s">
        <v>5309</v>
      </c>
      <c r="G1356" s="5" t="s">
        <v>5310</v>
      </c>
      <c r="H1356" s="13" t="s">
        <v>2590</v>
      </c>
      <c r="I1356" s="13" t="s">
        <v>2309</v>
      </c>
      <c r="J1356" s="4">
        <v>11714</v>
      </c>
      <c r="K1356" s="4">
        <v>1</v>
      </c>
      <c r="L1356" s="4">
        <v>297</v>
      </c>
      <c r="M1356" s="4">
        <v>2018</v>
      </c>
      <c r="N1356" s="4">
        <v>2</v>
      </c>
      <c r="O1356" s="4">
        <v>7</v>
      </c>
      <c r="P1356" s="4">
        <v>1</v>
      </c>
      <c r="Q1356" s="19">
        <v>279.99</v>
      </c>
      <c r="R1356" s="16">
        <v>0.1</v>
      </c>
      <c r="S1356" s="16">
        <v>279.89</v>
      </c>
      <c r="T1356" s="5" t="s">
        <v>287</v>
      </c>
      <c r="U1356" s="13" t="s">
        <v>299</v>
      </c>
    </row>
    <row r="1357" spans="1:21" x14ac:dyDescent="0.35">
      <c r="A1357" s="4">
        <v>1356</v>
      </c>
      <c r="B1357" s="4">
        <v>1161</v>
      </c>
      <c r="C1357" s="13" t="s">
        <v>2171</v>
      </c>
      <c r="D1357" s="13" t="s">
        <v>394</v>
      </c>
      <c r="E1357" s="5" t="s">
        <v>5566</v>
      </c>
      <c r="F1357" s="5" t="s">
        <v>5311</v>
      </c>
      <c r="G1357" s="5" t="s">
        <v>5312</v>
      </c>
      <c r="H1357" s="13" t="s">
        <v>3881</v>
      </c>
      <c r="I1357" s="13" t="s">
        <v>2309</v>
      </c>
      <c r="J1357" s="4">
        <v>11580</v>
      </c>
      <c r="K1357" s="4">
        <v>1</v>
      </c>
      <c r="L1357" s="4">
        <v>192</v>
      </c>
      <c r="M1357" s="4">
        <v>2018</v>
      </c>
      <c r="N1357" s="4">
        <v>2</v>
      </c>
      <c r="O1357" s="4">
        <v>6</v>
      </c>
      <c r="P1357" s="4">
        <v>1</v>
      </c>
      <c r="Q1357" s="19">
        <v>2599.9899999999998</v>
      </c>
      <c r="R1357" s="16">
        <v>0.05</v>
      </c>
      <c r="S1357" s="16">
        <v>2599.9399999999996</v>
      </c>
      <c r="T1357" s="5" t="s">
        <v>189</v>
      </c>
      <c r="U1357" s="13" t="s">
        <v>303</v>
      </c>
    </row>
    <row r="1358" spans="1:21" x14ac:dyDescent="0.35">
      <c r="A1358" s="4">
        <v>1357</v>
      </c>
      <c r="B1358" s="4">
        <v>440</v>
      </c>
      <c r="C1358" s="13" t="s">
        <v>1524</v>
      </c>
      <c r="D1358" s="13" t="s">
        <v>1416</v>
      </c>
      <c r="E1358" s="5" t="s">
        <v>5566</v>
      </c>
      <c r="F1358" s="5" t="s">
        <v>5313</v>
      </c>
      <c r="G1358" s="5" t="s">
        <v>5314</v>
      </c>
      <c r="H1358" s="13" t="s">
        <v>2518</v>
      </c>
      <c r="I1358" s="13" t="s">
        <v>2309</v>
      </c>
      <c r="J1358" s="4">
        <v>12020</v>
      </c>
      <c r="K1358" s="4">
        <v>1</v>
      </c>
      <c r="L1358" s="4">
        <v>145</v>
      </c>
      <c r="M1358" s="4">
        <v>2018</v>
      </c>
      <c r="N1358" s="4">
        <v>2</v>
      </c>
      <c r="O1358" s="4">
        <v>6</v>
      </c>
      <c r="P1358" s="4">
        <v>2</v>
      </c>
      <c r="Q1358" s="19">
        <v>1799.99</v>
      </c>
      <c r="R1358" s="16">
        <v>0.2</v>
      </c>
      <c r="S1358" s="16">
        <v>3599.78</v>
      </c>
      <c r="T1358" s="5" t="s">
        <v>142</v>
      </c>
      <c r="U1358" s="13" t="s">
        <v>305</v>
      </c>
    </row>
    <row r="1359" spans="1:21" x14ac:dyDescent="0.35">
      <c r="A1359" s="4">
        <v>1358</v>
      </c>
      <c r="B1359" s="4">
        <v>253</v>
      </c>
      <c r="C1359" s="13" t="s">
        <v>2172</v>
      </c>
      <c r="D1359" s="13" t="s">
        <v>2173</v>
      </c>
      <c r="E1359" s="5" t="s">
        <v>5566</v>
      </c>
      <c r="F1359" s="5" t="s">
        <v>5315</v>
      </c>
      <c r="G1359" s="5" t="s">
        <v>5316</v>
      </c>
      <c r="H1359" s="13" t="s">
        <v>2484</v>
      </c>
      <c r="I1359" s="13" t="s">
        <v>2305</v>
      </c>
      <c r="J1359" s="4">
        <v>95301</v>
      </c>
      <c r="K1359" s="4">
        <v>1</v>
      </c>
      <c r="L1359" s="4">
        <v>257</v>
      </c>
      <c r="M1359" s="4">
        <v>2018</v>
      </c>
      <c r="N1359" s="4">
        <v>1</v>
      </c>
      <c r="O1359" s="4">
        <v>2</v>
      </c>
      <c r="P1359" s="4">
        <v>2</v>
      </c>
      <c r="Q1359" s="19">
        <v>899.99</v>
      </c>
      <c r="R1359" s="16">
        <v>0.2</v>
      </c>
      <c r="S1359" s="16">
        <v>1799.78</v>
      </c>
      <c r="T1359" s="5" t="s">
        <v>248</v>
      </c>
      <c r="U1359" s="13" t="s">
        <v>301</v>
      </c>
    </row>
    <row r="1360" spans="1:21" x14ac:dyDescent="0.35">
      <c r="A1360" s="4">
        <v>1359</v>
      </c>
      <c r="B1360" s="4">
        <v>1008</v>
      </c>
      <c r="C1360" s="13" t="s">
        <v>2174</v>
      </c>
      <c r="D1360" s="13" t="s">
        <v>677</v>
      </c>
      <c r="E1360" s="5" t="s">
        <v>5566</v>
      </c>
      <c r="F1360" s="5" t="s">
        <v>5317</v>
      </c>
      <c r="G1360" s="5" t="s">
        <v>5318</v>
      </c>
      <c r="H1360" s="13" t="s">
        <v>3215</v>
      </c>
      <c r="I1360" s="13" t="s">
        <v>2397</v>
      </c>
      <c r="J1360" s="4">
        <v>75126</v>
      </c>
      <c r="K1360" s="4">
        <v>1</v>
      </c>
      <c r="L1360" s="4">
        <v>282</v>
      </c>
      <c r="M1360" s="4">
        <v>2018</v>
      </c>
      <c r="N1360" s="4">
        <v>3</v>
      </c>
      <c r="O1360" s="4">
        <v>9</v>
      </c>
      <c r="P1360" s="4">
        <v>1</v>
      </c>
      <c r="Q1360" s="19">
        <v>279.99</v>
      </c>
      <c r="R1360" s="16">
        <v>0.05</v>
      </c>
      <c r="S1360" s="16">
        <v>279.94</v>
      </c>
      <c r="T1360" s="5" t="s">
        <v>272</v>
      </c>
      <c r="U1360" s="13" t="s">
        <v>299</v>
      </c>
    </row>
    <row r="1361" spans="1:21" x14ac:dyDescent="0.35">
      <c r="A1361" s="4">
        <v>1360</v>
      </c>
      <c r="B1361" s="4">
        <v>71</v>
      </c>
      <c r="C1361" s="13" t="s">
        <v>2175</v>
      </c>
      <c r="D1361" s="13" t="s">
        <v>505</v>
      </c>
      <c r="E1361" s="5" t="s">
        <v>5566</v>
      </c>
      <c r="F1361" s="5" t="s">
        <v>5319</v>
      </c>
      <c r="G1361" s="5" t="s">
        <v>5320</v>
      </c>
      <c r="H1361" s="13" t="s">
        <v>2384</v>
      </c>
      <c r="I1361" s="13" t="s">
        <v>2309</v>
      </c>
      <c r="J1361" s="4">
        <v>10451</v>
      </c>
      <c r="K1361" s="4">
        <v>1</v>
      </c>
      <c r="L1361" s="4">
        <v>31</v>
      </c>
      <c r="M1361" s="4">
        <v>2017</v>
      </c>
      <c r="N1361" s="4">
        <v>2</v>
      </c>
      <c r="O1361" s="4">
        <v>6</v>
      </c>
      <c r="P1361" s="4">
        <v>1</v>
      </c>
      <c r="Q1361" s="19">
        <v>1632.99</v>
      </c>
      <c r="R1361" s="16">
        <v>0.05</v>
      </c>
      <c r="S1361" s="16">
        <v>1632.94</v>
      </c>
      <c r="T1361" s="5" t="s">
        <v>32</v>
      </c>
      <c r="U1361" s="13" t="s">
        <v>304</v>
      </c>
    </row>
    <row r="1362" spans="1:21" x14ac:dyDescent="0.35">
      <c r="A1362" s="4">
        <v>1361</v>
      </c>
      <c r="B1362" s="4">
        <v>1084</v>
      </c>
      <c r="C1362" s="13" t="s">
        <v>592</v>
      </c>
      <c r="D1362" s="13" t="s">
        <v>437</v>
      </c>
      <c r="E1362" s="5" t="s">
        <v>5566</v>
      </c>
      <c r="F1362" s="5" t="s">
        <v>5321</v>
      </c>
      <c r="G1362" s="5" t="s">
        <v>5322</v>
      </c>
      <c r="H1362" s="13" t="s">
        <v>2479</v>
      </c>
      <c r="I1362" s="13" t="s">
        <v>2309</v>
      </c>
      <c r="J1362" s="4">
        <v>11010</v>
      </c>
      <c r="K1362" s="4">
        <v>1</v>
      </c>
      <c r="L1362" s="4">
        <v>307</v>
      </c>
      <c r="M1362" s="4">
        <v>2018</v>
      </c>
      <c r="N1362" s="4">
        <v>2</v>
      </c>
      <c r="O1362" s="4">
        <v>7</v>
      </c>
      <c r="P1362" s="4">
        <v>2</v>
      </c>
      <c r="Q1362" s="19">
        <v>749.99</v>
      </c>
      <c r="R1362" s="16">
        <v>7.0000000000000007E-2</v>
      </c>
      <c r="S1362" s="16">
        <v>1499.91</v>
      </c>
      <c r="T1362" s="5" t="s">
        <v>233</v>
      </c>
      <c r="U1362" s="13" t="s">
        <v>300</v>
      </c>
    </row>
    <row r="1363" spans="1:21" x14ac:dyDescent="0.35">
      <c r="A1363" s="4">
        <v>1362</v>
      </c>
      <c r="B1363" s="4">
        <v>310</v>
      </c>
      <c r="C1363" s="13" t="s">
        <v>1370</v>
      </c>
      <c r="D1363" s="13" t="s">
        <v>1193</v>
      </c>
      <c r="E1363" s="5" t="s">
        <v>5566</v>
      </c>
      <c r="F1363" s="5" t="s">
        <v>5323</v>
      </c>
      <c r="G1363" s="5" t="s">
        <v>5324</v>
      </c>
      <c r="H1363" s="13" t="s">
        <v>5325</v>
      </c>
      <c r="I1363" s="13" t="s">
        <v>2309</v>
      </c>
      <c r="J1363" s="4">
        <v>11379</v>
      </c>
      <c r="K1363" s="4">
        <v>1</v>
      </c>
      <c r="L1363" s="4">
        <v>27</v>
      </c>
      <c r="M1363" s="4">
        <v>2017</v>
      </c>
      <c r="N1363" s="4">
        <v>2</v>
      </c>
      <c r="O1363" s="4">
        <v>6</v>
      </c>
      <c r="P1363" s="4">
        <v>2</v>
      </c>
      <c r="Q1363" s="19">
        <v>999.99</v>
      </c>
      <c r="R1363" s="16">
        <v>0.2</v>
      </c>
      <c r="S1363" s="16">
        <v>1999.78</v>
      </c>
      <c r="T1363" s="5" t="s">
        <v>28</v>
      </c>
      <c r="U1363" s="13" t="s">
        <v>304</v>
      </c>
    </row>
    <row r="1364" spans="1:21" x14ac:dyDescent="0.35">
      <c r="A1364" s="4">
        <v>1363</v>
      </c>
      <c r="B1364" s="4">
        <v>860</v>
      </c>
      <c r="C1364" s="13" t="s">
        <v>615</v>
      </c>
      <c r="D1364" s="13" t="s">
        <v>2176</v>
      </c>
      <c r="E1364" s="5" t="s">
        <v>5566</v>
      </c>
      <c r="F1364" s="5" t="s">
        <v>5326</v>
      </c>
      <c r="G1364" s="5" t="s">
        <v>5327</v>
      </c>
      <c r="H1364" s="13" t="s">
        <v>3161</v>
      </c>
      <c r="I1364" s="13" t="s">
        <v>2309</v>
      </c>
      <c r="J1364" s="4">
        <v>11420</v>
      </c>
      <c r="K1364" s="4">
        <v>1</v>
      </c>
      <c r="L1364" s="4">
        <v>66</v>
      </c>
      <c r="M1364" s="4">
        <v>2017</v>
      </c>
      <c r="N1364" s="4">
        <v>2</v>
      </c>
      <c r="O1364" s="4">
        <v>6</v>
      </c>
      <c r="P1364" s="4">
        <v>2</v>
      </c>
      <c r="Q1364" s="19">
        <v>250.99</v>
      </c>
      <c r="R1364" s="16">
        <v>0.1</v>
      </c>
      <c r="S1364" s="16">
        <v>501.88</v>
      </c>
      <c r="T1364" s="5" t="s">
        <v>67</v>
      </c>
      <c r="U1364" s="13" t="s">
        <v>301</v>
      </c>
    </row>
    <row r="1365" spans="1:21" x14ac:dyDescent="0.35">
      <c r="A1365" s="4">
        <v>1364</v>
      </c>
      <c r="B1365" s="4">
        <v>122</v>
      </c>
      <c r="C1365" s="13" t="s">
        <v>2177</v>
      </c>
      <c r="D1365" s="13" t="s">
        <v>620</v>
      </c>
      <c r="E1365" s="5" t="s">
        <v>5566</v>
      </c>
      <c r="F1365" s="5" t="s">
        <v>5328</v>
      </c>
      <c r="G1365" s="5" t="s">
        <v>5329</v>
      </c>
      <c r="H1365" s="13" t="s">
        <v>2690</v>
      </c>
      <c r="I1365" s="13" t="s">
        <v>2309</v>
      </c>
      <c r="J1365" s="4">
        <v>11414</v>
      </c>
      <c r="K1365" s="4">
        <v>1</v>
      </c>
      <c r="L1365" s="4">
        <v>78</v>
      </c>
      <c r="M1365" s="4">
        <v>2017</v>
      </c>
      <c r="N1365" s="4">
        <v>2</v>
      </c>
      <c r="O1365" s="4">
        <v>6</v>
      </c>
      <c r="P1365" s="4">
        <v>1</v>
      </c>
      <c r="Q1365" s="19">
        <v>647.99</v>
      </c>
      <c r="R1365" s="16">
        <v>7.0000000000000007E-2</v>
      </c>
      <c r="S1365" s="16">
        <v>647.91999999999996</v>
      </c>
      <c r="T1365" s="5" t="s">
        <v>79</v>
      </c>
      <c r="U1365" s="13" t="s">
        <v>301</v>
      </c>
    </row>
    <row r="1366" spans="1:21" x14ac:dyDescent="0.35">
      <c r="A1366" s="4">
        <v>1365</v>
      </c>
      <c r="B1366" s="4">
        <v>689</v>
      </c>
      <c r="C1366" s="13" t="s">
        <v>2178</v>
      </c>
      <c r="D1366" s="13" t="s">
        <v>750</v>
      </c>
      <c r="E1366" s="5" t="s">
        <v>5566</v>
      </c>
      <c r="F1366" s="5" t="s">
        <v>5330</v>
      </c>
      <c r="G1366" s="5" t="s">
        <v>5331</v>
      </c>
      <c r="H1366" s="13" t="s">
        <v>2318</v>
      </c>
      <c r="I1366" s="13" t="s">
        <v>2309</v>
      </c>
      <c r="J1366" s="4">
        <v>13501</v>
      </c>
      <c r="K1366" s="4">
        <v>1</v>
      </c>
      <c r="L1366" s="4">
        <v>144</v>
      </c>
      <c r="M1366" s="4">
        <v>2018</v>
      </c>
      <c r="N1366" s="4">
        <v>2</v>
      </c>
      <c r="O1366" s="4">
        <v>7</v>
      </c>
      <c r="P1366" s="4">
        <v>1</v>
      </c>
      <c r="Q1366" s="19">
        <v>1549.99</v>
      </c>
      <c r="R1366" s="16">
        <v>7.0000000000000007E-2</v>
      </c>
      <c r="S1366" s="16">
        <v>1549.92</v>
      </c>
      <c r="T1366" s="5" t="s">
        <v>141</v>
      </c>
      <c r="U1366" s="13" t="s">
        <v>305</v>
      </c>
    </row>
    <row r="1367" spans="1:21" x14ac:dyDescent="0.35">
      <c r="A1367" s="4">
        <v>1366</v>
      </c>
      <c r="B1367" s="4">
        <v>1441</v>
      </c>
      <c r="C1367" s="13" t="s">
        <v>420</v>
      </c>
      <c r="D1367" s="13" t="s">
        <v>2179</v>
      </c>
      <c r="E1367" s="5" t="s">
        <v>5566</v>
      </c>
      <c r="F1367" s="5" t="s">
        <v>5332</v>
      </c>
      <c r="G1367" s="5" t="s">
        <v>5333</v>
      </c>
      <c r="H1367" s="13" t="s">
        <v>2961</v>
      </c>
      <c r="I1367" s="13" t="s">
        <v>2309</v>
      </c>
      <c r="J1367" s="4">
        <v>10301</v>
      </c>
      <c r="K1367" s="4">
        <v>1</v>
      </c>
      <c r="L1367" s="4">
        <v>115</v>
      </c>
      <c r="M1367" s="4">
        <v>2018</v>
      </c>
      <c r="N1367" s="4">
        <v>2</v>
      </c>
      <c r="O1367" s="4">
        <v>6</v>
      </c>
      <c r="P1367" s="4">
        <v>1</v>
      </c>
      <c r="Q1367" s="19">
        <v>3199.99</v>
      </c>
      <c r="R1367" s="16">
        <v>0.1</v>
      </c>
      <c r="S1367" s="16">
        <v>3199.89</v>
      </c>
      <c r="T1367" s="5" t="s">
        <v>112</v>
      </c>
      <c r="U1367" s="13" t="s">
        <v>304</v>
      </c>
    </row>
    <row r="1368" spans="1:21" x14ac:dyDescent="0.35">
      <c r="A1368" s="4">
        <v>1367</v>
      </c>
      <c r="B1368" s="4">
        <v>1118</v>
      </c>
      <c r="C1368" s="13" t="s">
        <v>2180</v>
      </c>
      <c r="D1368" s="13" t="s">
        <v>1190</v>
      </c>
      <c r="E1368" s="5" t="s">
        <v>5566</v>
      </c>
      <c r="F1368" s="5" t="s">
        <v>5334</v>
      </c>
      <c r="G1368" s="5" t="s">
        <v>5335</v>
      </c>
      <c r="H1368" s="13" t="s">
        <v>2365</v>
      </c>
      <c r="I1368" s="13" t="s">
        <v>2305</v>
      </c>
      <c r="J1368" s="4">
        <v>91387</v>
      </c>
      <c r="K1368" s="4">
        <v>1</v>
      </c>
      <c r="L1368" s="4">
        <v>132</v>
      </c>
      <c r="M1368" s="4">
        <v>2018</v>
      </c>
      <c r="N1368" s="4">
        <v>1</v>
      </c>
      <c r="O1368" s="4">
        <v>3</v>
      </c>
      <c r="P1368" s="4">
        <v>1</v>
      </c>
      <c r="Q1368" s="19">
        <v>1499.99</v>
      </c>
      <c r="R1368" s="16">
        <v>0.1</v>
      </c>
      <c r="S1368" s="16">
        <v>1499.89</v>
      </c>
      <c r="T1368" s="5" t="s">
        <v>129</v>
      </c>
      <c r="U1368" s="13" t="s">
        <v>304</v>
      </c>
    </row>
    <row r="1369" spans="1:21" x14ac:dyDescent="0.35">
      <c r="A1369" s="4">
        <v>1368</v>
      </c>
      <c r="B1369" s="4">
        <v>765</v>
      </c>
      <c r="C1369" s="13" t="s">
        <v>2181</v>
      </c>
      <c r="D1369" s="13" t="s">
        <v>1322</v>
      </c>
      <c r="E1369" s="5" t="s">
        <v>5566</v>
      </c>
      <c r="F1369" s="5" t="s">
        <v>5336</v>
      </c>
      <c r="G1369" s="5" t="s">
        <v>5337</v>
      </c>
      <c r="H1369" s="13" t="s">
        <v>2444</v>
      </c>
      <c r="I1369" s="13" t="s">
        <v>2309</v>
      </c>
      <c r="J1369" s="4">
        <v>10562</v>
      </c>
      <c r="K1369" s="4">
        <v>1</v>
      </c>
      <c r="L1369" s="4">
        <v>66</v>
      </c>
      <c r="M1369" s="4">
        <v>2017</v>
      </c>
      <c r="N1369" s="4">
        <v>2</v>
      </c>
      <c r="O1369" s="4">
        <v>6</v>
      </c>
      <c r="P1369" s="4">
        <v>1</v>
      </c>
      <c r="Q1369" s="19">
        <v>250.99</v>
      </c>
      <c r="R1369" s="16">
        <v>0.1</v>
      </c>
      <c r="S1369" s="16">
        <v>250.89000000000001</v>
      </c>
      <c r="T1369" s="5" t="s">
        <v>67</v>
      </c>
      <c r="U1369" s="13" t="s">
        <v>301</v>
      </c>
    </row>
    <row r="1370" spans="1:21" x14ac:dyDescent="0.35">
      <c r="A1370" s="4">
        <v>1369</v>
      </c>
      <c r="B1370" s="4">
        <v>92</v>
      </c>
      <c r="C1370" s="13" t="s">
        <v>2182</v>
      </c>
      <c r="D1370" s="13" t="s">
        <v>2183</v>
      </c>
      <c r="E1370" s="5" t="s">
        <v>5566</v>
      </c>
      <c r="F1370" s="5" t="s">
        <v>5338</v>
      </c>
      <c r="G1370" s="5" t="s">
        <v>5339</v>
      </c>
      <c r="H1370" s="13" t="s">
        <v>2950</v>
      </c>
      <c r="I1370" s="13" t="s">
        <v>2309</v>
      </c>
      <c r="J1370" s="4">
        <v>11735</v>
      </c>
      <c r="K1370" s="4">
        <v>1</v>
      </c>
      <c r="L1370" s="4">
        <v>213</v>
      </c>
      <c r="M1370" s="4">
        <v>2018</v>
      </c>
      <c r="N1370" s="4">
        <v>2</v>
      </c>
      <c r="O1370" s="4">
        <v>6</v>
      </c>
      <c r="P1370" s="4">
        <v>2</v>
      </c>
      <c r="Q1370" s="19">
        <v>269.99</v>
      </c>
      <c r="R1370" s="16">
        <v>0.05</v>
      </c>
      <c r="S1370" s="16">
        <v>539.93000000000006</v>
      </c>
      <c r="T1370" s="5" t="s">
        <v>208</v>
      </c>
      <c r="U1370" s="13" t="s">
        <v>301</v>
      </c>
    </row>
    <row r="1371" spans="1:21" x14ac:dyDescent="0.35">
      <c r="A1371" s="4">
        <v>1370</v>
      </c>
      <c r="B1371" s="4">
        <v>115</v>
      </c>
      <c r="C1371" s="13" t="s">
        <v>2184</v>
      </c>
      <c r="D1371" s="13" t="s">
        <v>1184</v>
      </c>
      <c r="E1371" s="5" t="s">
        <v>5566</v>
      </c>
      <c r="F1371" s="5" t="s">
        <v>5340</v>
      </c>
      <c r="G1371" s="5" t="s">
        <v>5341</v>
      </c>
      <c r="H1371" s="13" t="s">
        <v>552</v>
      </c>
      <c r="I1371" s="13" t="s">
        <v>2309</v>
      </c>
      <c r="J1371" s="4">
        <v>10950</v>
      </c>
      <c r="K1371" s="4">
        <v>1</v>
      </c>
      <c r="L1371" s="4">
        <v>7</v>
      </c>
      <c r="M1371" s="4">
        <v>2016</v>
      </c>
      <c r="N1371" s="4">
        <v>2</v>
      </c>
      <c r="O1371" s="4">
        <v>7</v>
      </c>
      <c r="P1371" s="4">
        <v>1</v>
      </c>
      <c r="Q1371" s="19">
        <v>3999.99</v>
      </c>
      <c r="R1371" s="16">
        <v>7.0000000000000007E-2</v>
      </c>
      <c r="S1371" s="16">
        <v>3999.9199999999996</v>
      </c>
      <c r="T1371" s="5" t="s">
        <v>12</v>
      </c>
      <c r="U1371" s="13" t="s">
        <v>304</v>
      </c>
    </row>
    <row r="1372" spans="1:21" x14ac:dyDescent="0.35">
      <c r="A1372" s="4">
        <v>1371</v>
      </c>
      <c r="B1372" s="4">
        <v>937</v>
      </c>
      <c r="C1372" s="13" t="s">
        <v>2185</v>
      </c>
      <c r="D1372" s="13" t="s">
        <v>1427</v>
      </c>
      <c r="E1372" s="5" t="s">
        <v>5566</v>
      </c>
      <c r="F1372" s="5" t="s">
        <v>5342</v>
      </c>
      <c r="G1372" s="5" t="s">
        <v>5343</v>
      </c>
      <c r="H1372" s="13" t="s">
        <v>2409</v>
      </c>
      <c r="I1372" s="13" t="s">
        <v>2309</v>
      </c>
      <c r="J1372" s="4">
        <v>11552</v>
      </c>
      <c r="K1372" s="4">
        <v>1</v>
      </c>
      <c r="L1372" s="4">
        <v>223</v>
      </c>
      <c r="M1372" s="4">
        <v>2018</v>
      </c>
      <c r="N1372" s="4">
        <v>2</v>
      </c>
      <c r="O1372" s="4">
        <v>7</v>
      </c>
      <c r="P1372" s="4">
        <v>2</v>
      </c>
      <c r="Q1372" s="19">
        <v>529.99</v>
      </c>
      <c r="R1372" s="16">
        <v>7.0000000000000007E-2</v>
      </c>
      <c r="S1372" s="16">
        <v>1059.9100000000001</v>
      </c>
      <c r="T1372" s="5" t="s">
        <v>218</v>
      </c>
      <c r="U1372" s="13" t="s">
        <v>301</v>
      </c>
    </row>
    <row r="1373" spans="1:21" x14ac:dyDescent="0.35">
      <c r="A1373" s="4">
        <v>1372</v>
      </c>
      <c r="B1373" s="4">
        <v>1013</v>
      </c>
      <c r="C1373" s="13" t="s">
        <v>2186</v>
      </c>
      <c r="D1373" s="13" t="s">
        <v>647</v>
      </c>
      <c r="E1373" s="5" t="s">
        <v>5566</v>
      </c>
      <c r="F1373" s="5" t="s">
        <v>5344</v>
      </c>
      <c r="G1373" s="5" t="s">
        <v>5345</v>
      </c>
      <c r="H1373" s="13" t="s">
        <v>3410</v>
      </c>
      <c r="I1373" s="13" t="s">
        <v>2309</v>
      </c>
      <c r="J1373" s="4">
        <v>11368</v>
      </c>
      <c r="K1373" s="4">
        <v>1</v>
      </c>
      <c r="L1373" s="4">
        <v>307</v>
      </c>
      <c r="M1373" s="4">
        <v>2018</v>
      </c>
      <c r="N1373" s="4">
        <v>2</v>
      </c>
      <c r="O1373" s="4">
        <v>6</v>
      </c>
      <c r="P1373" s="4">
        <v>1</v>
      </c>
      <c r="Q1373" s="19">
        <v>749.99</v>
      </c>
      <c r="R1373" s="16">
        <v>7.0000000000000007E-2</v>
      </c>
      <c r="S1373" s="16">
        <v>749.92</v>
      </c>
      <c r="T1373" s="5" t="s">
        <v>233</v>
      </c>
      <c r="U1373" s="13" t="s">
        <v>300</v>
      </c>
    </row>
    <row r="1374" spans="1:21" x14ac:dyDescent="0.35">
      <c r="A1374" s="4">
        <v>1373</v>
      </c>
      <c r="B1374" s="4">
        <v>427</v>
      </c>
      <c r="C1374" s="13" t="s">
        <v>2187</v>
      </c>
      <c r="D1374" s="13" t="s">
        <v>829</v>
      </c>
      <c r="E1374" s="5" t="s">
        <v>5566</v>
      </c>
      <c r="F1374" s="5" t="s">
        <v>5346</v>
      </c>
      <c r="G1374" s="5" t="s">
        <v>5347</v>
      </c>
      <c r="H1374" s="13" t="s">
        <v>902</v>
      </c>
      <c r="I1374" s="13" t="s">
        <v>2397</v>
      </c>
      <c r="J1374" s="4">
        <v>75043</v>
      </c>
      <c r="K1374" s="4">
        <v>1</v>
      </c>
      <c r="L1374" s="4">
        <v>63</v>
      </c>
      <c r="M1374" s="4">
        <v>2017</v>
      </c>
      <c r="N1374" s="4">
        <v>3</v>
      </c>
      <c r="O1374" s="4">
        <v>9</v>
      </c>
      <c r="P1374" s="4">
        <v>1</v>
      </c>
      <c r="Q1374" s="19">
        <v>3499.99</v>
      </c>
      <c r="R1374" s="16">
        <v>0.1</v>
      </c>
      <c r="S1374" s="16">
        <v>3499.89</v>
      </c>
      <c r="T1374" s="5" t="s">
        <v>64</v>
      </c>
      <c r="U1374" s="13" t="s">
        <v>302</v>
      </c>
    </row>
    <row r="1375" spans="1:21" x14ac:dyDescent="0.35">
      <c r="A1375" s="4">
        <v>1374</v>
      </c>
      <c r="B1375" s="4">
        <v>1330</v>
      </c>
      <c r="C1375" s="13" t="s">
        <v>929</v>
      </c>
      <c r="D1375" s="13" t="s">
        <v>1504</v>
      </c>
      <c r="E1375" s="5" t="s">
        <v>5566</v>
      </c>
      <c r="F1375" s="5" t="s">
        <v>5348</v>
      </c>
      <c r="G1375" s="5" t="s">
        <v>5349</v>
      </c>
      <c r="H1375" s="13" t="s">
        <v>2330</v>
      </c>
      <c r="I1375" s="13" t="s">
        <v>2305</v>
      </c>
      <c r="J1375" s="4">
        <v>94070</v>
      </c>
      <c r="K1375" s="4">
        <v>1</v>
      </c>
      <c r="L1375" s="4">
        <v>181</v>
      </c>
      <c r="M1375" s="4">
        <v>2018</v>
      </c>
      <c r="N1375" s="4">
        <v>1</v>
      </c>
      <c r="O1375" s="4">
        <v>3</v>
      </c>
      <c r="P1375" s="4">
        <v>2</v>
      </c>
      <c r="Q1375" s="19">
        <v>2199.9899999999998</v>
      </c>
      <c r="R1375" s="16">
        <v>0.05</v>
      </c>
      <c r="S1375" s="16">
        <v>4399.9299999999994</v>
      </c>
      <c r="T1375" s="5" t="s">
        <v>178</v>
      </c>
      <c r="U1375" s="13" t="s">
        <v>305</v>
      </c>
    </row>
    <row r="1376" spans="1:21" x14ac:dyDescent="0.35">
      <c r="A1376" s="4">
        <v>1375</v>
      </c>
      <c r="B1376" s="4">
        <v>312</v>
      </c>
      <c r="C1376" s="13" t="s">
        <v>1755</v>
      </c>
      <c r="D1376" s="13" t="s">
        <v>688</v>
      </c>
      <c r="E1376" s="5" t="s">
        <v>5566</v>
      </c>
      <c r="F1376" s="5" t="s">
        <v>5350</v>
      </c>
      <c r="G1376" s="5" t="s">
        <v>5351</v>
      </c>
      <c r="H1376" s="13" t="s">
        <v>2593</v>
      </c>
      <c r="I1376" s="13" t="s">
        <v>2397</v>
      </c>
      <c r="J1376" s="4">
        <v>75604</v>
      </c>
      <c r="K1376" s="4">
        <v>1</v>
      </c>
      <c r="L1376" s="4">
        <v>147</v>
      </c>
      <c r="M1376" s="4">
        <v>2018</v>
      </c>
      <c r="N1376" s="4">
        <v>3</v>
      </c>
      <c r="O1376" s="4">
        <v>8</v>
      </c>
      <c r="P1376" s="4">
        <v>2</v>
      </c>
      <c r="Q1376" s="19">
        <v>1799.99</v>
      </c>
      <c r="R1376" s="16">
        <v>0.05</v>
      </c>
      <c r="S1376" s="16">
        <v>3599.93</v>
      </c>
      <c r="T1376" s="5" t="s">
        <v>144</v>
      </c>
      <c r="U1376" s="13" t="s">
        <v>305</v>
      </c>
    </row>
    <row r="1377" spans="1:21" x14ac:dyDescent="0.35">
      <c r="A1377" s="4">
        <v>1376</v>
      </c>
      <c r="B1377" s="4">
        <v>1186</v>
      </c>
      <c r="C1377" s="13" t="s">
        <v>2188</v>
      </c>
      <c r="D1377" s="13" t="s">
        <v>2088</v>
      </c>
      <c r="E1377" s="5" t="s">
        <v>5566</v>
      </c>
      <c r="F1377" s="5" t="s">
        <v>5352</v>
      </c>
      <c r="G1377" s="5" t="s">
        <v>5353</v>
      </c>
      <c r="H1377" s="13" t="s">
        <v>2330</v>
      </c>
      <c r="I1377" s="13" t="s">
        <v>2305</v>
      </c>
      <c r="J1377" s="4">
        <v>94070</v>
      </c>
      <c r="K1377" s="4">
        <v>1</v>
      </c>
      <c r="L1377" s="4">
        <v>5</v>
      </c>
      <c r="M1377" s="4">
        <v>2016</v>
      </c>
      <c r="N1377" s="4">
        <v>1</v>
      </c>
      <c r="O1377" s="4">
        <v>2</v>
      </c>
      <c r="P1377" s="4">
        <v>1</v>
      </c>
      <c r="Q1377" s="19">
        <v>1320.99</v>
      </c>
      <c r="R1377" s="16">
        <v>7.0000000000000007E-2</v>
      </c>
      <c r="S1377" s="16">
        <v>1320.92</v>
      </c>
      <c r="T1377" s="5" t="s">
        <v>10</v>
      </c>
      <c r="U1377" s="13" t="s">
        <v>304</v>
      </c>
    </row>
    <row r="1378" spans="1:21" x14ac:dyDescent="0.35">
      <c r="A1378" s="4">
        <v>1377</v>
      </c>
      <c r="B1378" s="4">
        <v>1007</v>
      </c>
      <c r="C1378" s="13" t="s">
        <v>2189</v>
      </c>
      <c r="D1378" s="13" t="s">
        <v>2190</v>
      </c>
      <c r="E1378" s="5" t="s">
        <v>5566</v>
      </c>
      <c r="F1378" s="5" t="s">
        <v>5354</v>
      </c>
      <c r="G1378" s="5" t="s">
        <v>5355</v>
      </c>
      <c r="H1378" s="13" t="s">
        <v>2690</v>
      </c>
      <c r="I1378" s="13" t="s">
        <v>2309</v>
      </c>
      <c r="J1378" s="4">
        <v>11414</v>
      </c>
      <c r="K1378" s="4">
        <v>1</v>
      </c>
      <c r="L1378" s="4">
        <v>153</v>
      </c>
      <c r="M1378" s="4">
        <v>2018</v>
      </c>
      <c r="N1378" s="4">
        <v>2</v>
      </c>
      <c r="O1378" s="4">
        <v>7</v>
      </c>
      <c r="P1378" s="4">
        <v>2</v>
      </c>
      <c r="Q1378" s="19">
        <v>4999.99</v>
      </c>
      <c r="R1378" s="16">
        <v>0.05</v>
      </c>
      <c r="S1378" s="16">
        <v>9999.93</v>
      </c>
      <c r="T1378" s="5" t="s">
        <v>150</v>
      </c>
      <c r="U1378" s="13" t="s">
        <v>305</v>
      </c>
    </row>
    <row r="1379" spans="1:21" x14ac:dyDescent="0.35">
      <c r="A1379" s="4">
        <v>1378</v>
      </c>
      <c r="B1379" s="4">
        <v>983</v>
      </c>
      <c r="C1379" s="13" t="s">
        <v>2191</v>
      </c>
      <c r="D1379" s="13" t="s">
        <v>1269</v>
      </c>
      <c r="E1379" s="5" t="s">
        <v>5566</v>
      </c>
      <c r="F1379" s="5" t="s">
        <v>5356</v>
      </c>
      <c r="G1379" s="5" t="s">
        <v>5357</v>
      </c>
      <c r="H1379" s="13" t="s">
        <v>2749</v>
      </c>
      <c r="I1379" s="13" t="s">
        <v>2305</v>
      </c>
      <c r="J1379" s="4">
        <v>92831</v>
      </c>
      <c r="K1379" s="4">
        <v>1</v>
      </c>
      <c r="L1379" s="4">
        <v>96</v>
      </c>
      <c r="M1379" s="4">
        <v>2017</v>
      </c>
      <c r="N1379" s="4">
        <v>1</v>
      </c>
      <c r="O1379" s="4">
        <v>2</v>
      </c>
      <c r="P1379" s="4">
        <v>2</v>
      </c>
      <c r="Q1379" s="19">
        <v>349.99</v>
      </c>
      <c r="R1379" s="16">
        <v>7.0000000000000007E-2</v>
      </c>
      <c r="S1379" s="16">
        <v>699.91</v>
      </c>
      <c r="T1379" s="5" t="s">
        <v>96</v>
      </c>
      <c r="U1379" s="13" t="s">
        <v>299</v>
      </c>
    </row>
    <row r="1380" spans="1:21" x14ac:dyDescent="0.35">
      <c r="A1380" s="4">
        <v>1379</v>
      </c>
      <c r="B1380" s="4">
        <v>1256</v>
      </c>
      <c r="C1380" s="13" t="s">
        <v>2192</v>
      </c>
      <c r="D1380" s="13" t="s">
        <v>357</v>
      </c>
      <c r="E1380" s="5" t="s">
        <v>5566</v>
      </c>
      <c r="F1380" s="5" t="s">
        <v>5358</v>
      </c>
      <c r="G1380" s="5" t="s">
        <v>5359</v>
      </c>
      <c r="H1380" s="13" t="s">
        <v>2531</v>
      </c>
      <c r="I1380" s="13" t="s">
        <v>2309</v>
      </c>
      <c r="J1380" s="4">
        <v>11779</v>
      </c>
      <c r="K1380" s="4">
        <v>1</v>
      </c>
      <c r="L1380" s="4">
        <v>15</v>
      </c>
      <c r="M1380" s="4">
        <v>2016</v>
      </c>
      <c r="N1380" s="4">
        <v>2</v>
      </c>
      <c r="O1380" s="4">
        <v>6</v>
      </c>
      <c r="P1380" s="4">
        <v>1</v>
      </c>
      <c r="Q1380" s="19">
        <v>529.99</v>
      </c>
      <c r="R1380" s="16">
        <v>0.1</v>
      </c>
      <c r="S1380" s="16">
        <v>529.89</v>
      </c>
      <c r="T1380" s="5" t="s">
        <v>20</v>
      </c>
      <c r="U1380" s="13" t="s">
        <v>301</v>
      </c>
    </row>
    <row r="1381" spans="1:21" x14ac:dyDescent="0.35">
      <c r="A1381" s="4">
        <v>1380</v>
      </c>
      <c r="B1381" s="4">
        <v>818</v>
      </c>
      <c r="C1381" s="13" t="s">
        <v>2193</v>
      </c>
      <c r="D1381" s="13" t="s">
        <v>1938</v>
      </c>
      <c r="E1381" s="5" t="s">
        <v>5360</v>
      </c>
      <c r="F1381" s="5" t="s">
        <v>5361</v>
      </c>
      <c r="G1381" s="5" t="s">
        <v>5362</v>
      </c>
      <c r="H1381" s="13" t="s">
        <v>2341</v>
      </c>
      <c r="I1381" s="13" t="s">
        <v>2305</v>
      </c>
      <c r="J1381" s="4">
        <v>92111</v>
      </c>
      <c r="K1381" s="4">
        <v>1</v>
      </c>
      <c r="L1381" s="4">
        <v>255</v>
      </c>
      <c r="M1381" s="4">
        <v>2018</v>
      </c>
      <c r="N1381" s="4">
        <v>1</v>
      </c>
      <c r="O1381" s="4">
        <v>3</v>
      </c>
      <c r="P1381" s="4">
        <v>2</v>
      </c>
      <c r="Q1381" s="19">
        <v>899.99</v>
      </c>
      <c r="R1381" s="16">
        <v>0.1</v>
      </c>
      <c r="S1381" s="16">
        <v>1799.88</v>
      </c>
      <c r="T1381" s="5" t="s">
        <v>246</v>
      </c>
      <c r="U1381" s="13" t="s">
        <v>301</v>
      </c>
    </row>
    <row r="1382" spans="1:21" x14ac:dyDescent="0.35">
      <c r="A1382" s="4">
        <v>1381</v>
      </c>
      <c r="B1382" s="4">
        <v>680</v>
      </c>
      <c r="C1382" s="13" t="s">
        <v>2194</v>
      </c>
      <c r="D1382" s="13" t="s">
        <v>2195</v>
      </c>
      <c r="E1382" s="5" t="s">
        <v>5363</v>
      </c>
      <c r="F1382" s="5" t="s">
        <v>5364</v>
      </c>
      <c r="G1382" s="5" t="s">
        <v>5365</v>
      </c>
      <c r="H1382" s="13" t="s">
        <v>2842</v>
      </c>
      <c r="I1382" s="13" t="s">
        <v>2309</v>
      </c>
      <c r="J1382" s="4">
        <v>10956</v>
      </c>
      <c r="K1382" s="4">
        <v>1</v>
      </c>
      <c r="L1382" s="4">
        <v>274</v>
      </c>
      <c r="M1382" s="4">
        <v>2018</v>
      </c>
      <c r="N1382" s="4">
        <v>2</v>
      </c>
      <c r="O1382" s="4">
        <v>7</v>
      </c>
      <c r="P1382" s="4">
        <v>2</v>
      </c>
      <c r="Q1382" s="19">
        <v>229.99</v>
      </c>
      <c r="R1382" s="16">
        <v>0.2</v>
      </c>
      <c r="S1382" s="16">
        <v>459.78000000000003</v>
      </c>
      <c r="T1382" s="5" t="s">
        <v>265</v>
      </c>
      <c r="U1382" s="13" t="s">
        <v>299</v>
      </c>
    </row>
    <row r="1383" spans="1:21" x14ac:dyDescent="0.35">
      <c r="A1383" s="4">
        <v>1382</v>
      </c>
      <c r="B1383" s="4">
        <v>1303</v>
      </c>
      <c r="C1383" s="13" t="s">
        <v>2196</v>
      </c>
      <c r="D1383" s="13" t="s">
        <v>2197</v>
      </c>
      <c r="E1383" s="5" t="s">
        <v>5566</v>
      </c>
      <c r="F1383" s="5" t="s">
        <v>5366</v>
      </c>
      <c r="G1383" s="5" t="s">
        <v>5367</v>
      </c>
      <c r="H1383" s="13" t="s">
        <v>2415</v>
      </c>
      <c r="I1383" s="13" t="s">
        <v>2309</v>
      </c>
      <c r="J1383" s="4">
        <v>11377</v>
      </c>
      <c r="K1383" s="4">
        <v>1</v>
      </c>
      <c r="L1383" s="4">
        <v>232</v>
      </c>
      <c r="M1383" s="4">
        <v>2018</v>
      </c>
      <c r="N1383" s="4">
        <v>2</v>
      </c>
      <c r="O1383" s="4">
        <v>6</v>
      </c>
      <c r="P1383" s="4">
        <v>1</v>
      </c>
      <c r="Q1383" s="19">
        <v>479.99</v>
      </c>
      <c r="R1383" s="16">
        <v>0.2</v>
      </c>
      <c r="S1383" s="16">
        <v>479.79</v>
      </c>
      <c r="T1383" s="5" t="s">
        <v>227</v>
      </c>
      <c r="U1383" s="13" t="s">
        <v>301</v>
      </c>
    </row>
    <row r="1384" spans="1:21" x14ac:dyDescent="0.35">
      <c r="A1384" s="4">
        <v>1383</v>
      </c>
      <c r="B1384" s="4">
        <v>488</v>
      </c>
      <c r="C1384" s="13" t="s">
        <v>2198</v>
      </c>
      <c r="D1384" s="13" t="s">
        <v>2199</v>
      </c>
      <c r="E1384" s="5" t="s">
        <v>5368</v>
      </c>
      <c r="F1384" s="5" t="s">
        <v>5369</v>
      </c>
      <c r="G1384" s="5" t="s">
        <v>5370</v>
      </c>
      <c r="H1384" s="13" t="s">
        <v>2460</v>
      </c>
      <c r="I1384" s="13" t="s">
        <v>2305</v>
      </c>
      <c r="J1384" s="4">
        <v>92806</v>
      </c>
      <c r="K1384" s="4">
        <v>1</v>
      </c>
      <c r="L1384" s="4">
        <v>188</v>
      </c>
      <c r="M1384" s="4">
        <v>2018</v>
      </c>
      <c r="N1384" s="4">
        <v>1</v>
      </c>
      <c r="O1384" s="4">
        <v>3</v>
      </c>
      <c r="P1384" s="4">
        <v>2</v>
      </c>
      <c r="Q1384" s="19">
        <v>3499.99</v>
      </c>
      <c r="R1384" s="16">
        <v>0.2</v>
      </c>
      <c r="S1384" s="16">
        <v>6999.78</v>
      </c>
      <c r="T1384" s="5" t="s">
        <v>185</v>
      </c>
      <c r="U1384" s="13" t="s">
        <v>303</v>
      </c>
    </row>
    <row r="1385" spans="1:21" x14ac:dyDescent="0.35">
      <c r="A1385" s="4">
        <v>1384</v>
      </c>
      <c r="B1385" s="4">
        <v>1126</v>
      </c>
      <c r="C1385" s="13" t="s">
        <v>2200</v>
      </c>
      <c r="D1385" s="13" t="s">
        <v>2201</v>
      </c>
      <c r="E1385" s="5" t="s">
        <v>5566</v>
      </c>
      <c r="F1385" s="5" t="s">
        <v>5371</v>
      </c>
      <c r="G1385" s="5" t="s">
        <v>5372</v>
      </c>
      <c r="H1385" s="13" t="s">
        <v>3063</v>
      </c>
      <c r="I1385" s="13" t="s">
        <v>2309</v>
      </c>
      <c r="J1385" s="4">
        <v>10977</v>
      </c>
      <c r="K1385" s="4">
        <v>1</v>
      </c>
      <c r="L1385" s="4">
        <v>32</v>
      </c>
      <c r="M1385" s="4">
        <v>2017</v>
      </c>
      <c r="N1385" s="4">
        <v>2</v>
      </c>
      <c r="O1385" s="4">
        <v>7</v>
      </c>
      <c r="P1385" s="4">
        <v>1</v>
      </c>
      <c r="Q1385" s="19">
        <v>469.99</v>
      </c>
      <c r="R1385" s="16">
        <v>7.0000000000000007E-2</v>
      </c>
      <c r="S1385" s="16">
        <v>469.92</v>
      </c>
      <c r="T1385" s="5" t="s">
        <v>33</v>
      </c>
      <c r="U1385" s="13" t="s">
        <v>304</v>
      </c>
    </row>
    <row r="1386" spans="1:21" x14ac:dyDescent="0.35">
      <c r="A1386" s="4">
        <v>1385</v>
      </c>
      <c r="B1386" s="4">
        <v>866</v>
      </c>
      <c r="C1386" s="13" t="s">
        <v>2202</v>
      </c>
      <c r="D1386" s="13" t="s">
        <v>1520</v>
      </c>
      <c r="E1386" s="5" t="s">
        <v>5566</v>
      </c>
      <c r="F1386" s="5" t="s">
        <v>5373</v>
      </c>
      <c r="G1386" s="5" t="s">
        <v>5374</v>
      </c>
      <c r="H1386" s="13" t="s">
        <v>2593</v>
      </c>
      <c r="I1386" s="13" t="s">
        <v>2397</v>
      </c>
      <c r="J1386" s="4">
        <v>75604</v>
      </c>
      <c r="K1386" s="4">
        <v>1</v>
      </c>
      <c r="L1386" s="4">
        <v>24</v>
      </c>
      <c r="M1386" s="4">
        <v>2016</v>
      </c>
      <c r="N1386" s="4">
        <v>3</v>
      </c>
      <c r="O1386" s="4">
        <v>9</v>
      </c>
      <c r="P1386" s="4">
        <v>2</v>
      </c>
      <c r="Q1386" s="19">
        <v>549.99</v>
      </c>
      <c r="R1386" s="16">
        <v>0.05</v>
      </c>
      <c r="S1386" s="16">
        <v>1099.93</v>
      </c>
      <c r="T1386" s="5" t="s">
        <v>17</v>
      </c>
      <c r="U1386" s="13" t="s">
        <v>300</v>
      </c>
    </row>
    <row r="1387" spans="1:21" x14ac:dyDescent="0.35">
      <c r="A1387" s="4">
        <v>1386</v>
      </c>
      <c r="B1387" s="4">
        <v>1254</v>
      </c>
      <c r="C1387" s="13" t="s">
        <v>1615</v>
      </c>
      <c r="D1387" s="13" t="s">
        <v>1991</v>
      </c>
      <c r="E1387" s="5" t="s">
        <v>5566</v>
      </c>
      <c r="F1387" s="5" t="s">
        <v>5375</v>
      </c>
      <c r="G1387" s="5" t="s">
        <v>5376</v>
      </c>
      <c r="H1387" s="13" t="s">
        <v>2365</v>
      </c>
      <c r="I1387" s="13" t="s">
        <v>2305</v>
      </c>
      <c r="J1387" s="4">
        <v>91387</v>
      </c>
      <c r="K1387" s="4">
        <v>1</v>
      </c>
      <c r="L1387" s="4">
        <v>292</v>
      </c>
      <c r="M1387" s="4">
        <v>2018</v>
      </c>
      <c r="N1387" s="4">
        <v>1</v>
      </c>
      <c r="O1387" s="4">
        <v>2</v>
      </c>
      <c r="P1387" s="4">
        <v>1</v>
      </c>
      <c r="Q1387" s="19">
        <v>369.99</v>
      </c>
      <c r="R1387" s="16">
        <v>0.2</v>
      </c>
      <c r="S1387" s="16">
        <v>369.79</v>
      </c>
      <c r="T1387" s="5" t="s">
        <v>282</v>
      </c>
      <c r="U1387" s="13" t="s">
        <v>299</v>
      </c>
    </row>
    <row r="1388" spans="1:21" x14ac:dyDescent="0.35">
      <c r="A1388" s="4">
        <v>1387</v>
      </c>
      <c r="B1388" s="4">
        <v>11</v>
      </c>
      <c r="C1388" s="13" t="s">
        <v>1874</v>
      </c>
      <c r="D1388" s="13" t="s">
        <v>1875</v>
      </c>
      <c r="E1388" s="5" t="s">
        <v>5566</v>
      </c>
      <c r="F1388" s="5" t="s">
        <v>4721</v>
      </c>
      <c r="G1388" s="5" t="s">
        <v>4722</v>
      </c>
      <c r="H1388" s="13" t="s">
        <v>3182</v>
      </c>
      <c r="I1388" s="13" t="s">
        <v>2309</v>
      </c>
      <c r="J1388" s="4">
        <v>10952</v>
      </c>
      <c r="K1388" s="4">
        <v>1</v>
      </c>
      <c r="L1388" s="4">
        <v>106</v>
      </c>
      <c r="M1388" s="4">
        <v>2017</v>
      </c>
      <c r="N1388" s="4">
        <v>2</v>
      </c>
      <c r="O1388" s="4">
        <v>7</v>
      </c>
      <c r="P1388" s="4">
        <v>1</v>
      </c>
      <c r="Q1388" s="19">
        <v>449.99</v>
      </c>
      <c r="R1388" s="16">
        <v>0.1</v>
      </c>
      <c r="S1388" s="16">
        <v>449.89</v>
      </c>
      <c r="T1388" s="5" t="s">
        <v>69</v>
      </c>
      <c r="U1388" s="13" t="s">
        <v>300</v>
      </c>
    </row>
    <row r="1389" spans="1:21" x14ac:dyDescent="0.35">
      <c r="A1389" s="4">
        <v>1388</v>
      </c>
      <c r="B1389" s="4">
        <v>323</v>
      </c>
      <c r="C1389" s="13" t="s">
        <v>674</v>
      </c>
      <c r="D1389" s="13" t="s">
        <v>989</v>
      </c>
      <c r="E1389" s="5" t="s">
        <v>5566</v>
      </c>
      <c r="F1389" s="5" t="s">
        <v>5377</v>
      </c>
      <c r="G1389" s="5" t="s">
        <v>5378</v>
      </c>
      <c r="H1389" s="13" t="s">
        <v>2656</v>
      </c>
      <c r="I1389" s="13" t="s">
        <v>2309</v>
      </c>
      <c r="J1389" s="4">
        <v>12302</v>
      </c>
      <c r="K1389" s="4">
        <v>1</v>
      </c>
      <c r="L1389" s="4">
        <v>251</v>
      </c>
      <c r="M1389" s="4">
        <v>2018</v>
      </c>
      <c r="N1389" s="4">
        <v>2</v>
      </c>
      <c r="O1389" s="4">
        <v>7</v>
      </c>
      <c r="P1389" s="4">
        <v>1</v>
      </c>
      <c r="Q1389" s="19">
        <v>2999.99</v>
      </c>
      <c r="R1389" s="16">
        <v>0.1</v>
      </c>
      <c r="S1389" s="16">
        <v>2999.89</v>
      </c>
      <c r="T1389" s="5" t="s">
        <v>195</v>
      </c>
      <c r="U1389" s="13" t="s">
        <v>301</v>
      </c>
    </row>
    <row r="1390" spans="1:21" x14ac:dyDescent="0.35">
      <c r="A1390" s="4">
        <v>1389</v>
      </c>
      <c r="B1390" s="4">
        <v>491</v>
      </c>
      <c r="C1390" s="13" t="s">
        <v>2029</v>
      </c>
      <c r="D1390" s="13" t="s">
        <v>2203</v>
      </c>
      <c r="E1390" s="5" t="s">
        <v>5566</v>
      </c>
      <c r="F1390" s="5" t="s">
        <v>5379</v>
      </c>
      <c r="G1390" s="5" t="s">
        <v>5380</v>
      </c>
      <c r="H1390" s="13" t="s">
        <v>2835</v>
      </c>
      <c r="I1390" s="13" t="s">
        <v>2309</v>
      </c>
      <c r="J1390" s="4">
        <v>11758</v>
      </c>
      <c r="K1390" s="4">
        <v>1</v>
      </c>
      <c r="L1390" s="4">
        <v>85</v>
      </c>
      <c r="M1390" s="4">
        <v>2017</v>
      </c>
      <c r="N1390" s="4">
        <v>2</v>
      </c>
      <c r="O1390" s="4">
        <v>7</v>
      </c>
      <c r="P1390" s="4">
        <v>2</v>
      </c>
      <c r="Q1390" s="19">
        <v>329.99</v>
      </c>
      <c r="R1390" s="16">
        <v>0.1</v>
      </c>
      <c r="S1390" s="16">
        <v>659.88</v>
      </c>
      <c r="T1390" s="5" t="s">
        <v>86</v>
      </c>
      <c r="U1390" s="13" t="s">
        <v>299</v>
      </c>
    </row>
    <row r="1391" spans="1:21" x14ac:dyDescent="0.35">
      <c r="A1391" s="4">
        <v>1390</v>
      </c>
      <c r="B1391" s="4">
        <v>63</v>
      </c>
      <c r="C1391" s="13" t="s">
        <v>2204</v>
      </c>
      <c r="D1391" s="13" t="s">
        <v>1030</v>
      </c>
      <c r="E1391" s="5" t="s">
        <v>5566</v>
      </c>
      <c r="F1391" s="5" t="s">
        <v>5381</v>
      </c>
      <c r="G1391" s="5" t="s">
        <v>5382</v>
      </c>
      <c r="H1391" s="13" t="s">
        <v>2710</v>
      </c>
      <c r="I1391" s="13" t="s">
        <v>2309</v>
      </c>
      <c r="J1391" s="4">
        <v>11701</v>
      </c>
      <c r="K1391" s="4">
        <v>1</v>
      </c>
      <c r="L1391" s="4">
        <v>41</v>
      </c>
      <c r="M1391" s="4">
        <v>2017</v>
      </c>
      <c r="N1391" s="4">
        <v>2</v>
      </c>
      <c r="O1391" s="4">
        <v>7</v>
      </c>
      <c r="P1391" s="4">
        <v>2</v>
      </c>
      <c r="Q1391" s="19">
        <v>1469.99</v>
      </c>
      <c r="R1391" s="16">
        <v>0.05</v>
      </c>
      <c r="S1391" s="16">
        <v>2939.93</v>
      </c>
      <c r="T1391" s="5" t="s">
        <v>42</v>
      </c>
      <c r="U1391" s="13" t="s">
        <v>304</v>
      </c>
    </row>
    <row r="1392" spans="1:21" x14ac:dyDescent="0.35">
      <c r="A1392" s="4">
        <v>1391</v>
      </c>
      <c r="B1392" s="4">
        <v>914</v>
      </c>
      <c r="C1392" s="13" t="s">
        <v>572</v>
      </c>
      <c r="D1392" s="13" t="s">
        <v>2294</v>
      </c>
      <c r="E1392" s="5" t="s">
        <v>5566</v>
      </c>
      <c r="F1392" s="5" t="s">
        <v>5383</v>
      </c>
      <c r="G1392" s="5" t="s">
        <v>5384</v>
      </c>
      <c r="H1392" s="13" t="s">
        <v>2580</v>
      </c>
      <c r="I1392" s="13" t="s">
        <v>2309</v>
      </c>
      <c r="J1392" s="4">
        <v>11570</v>
      </c>
      <c r="K1392" s="4">
        <v>1</v>
      </c>
      <c r="L1392" s="4">
        <v>223</v>
      </c>
      <c r="M1392" s="4">
        <v>2018</v>
      </c>
      <c r="N1392" s="4">
        <v>2</v>
      </c>
      <c r="O1392" s="4">
        <v>7</v>
      </c>
      <c r="P1392" s="4">
        <v>2</v>
      </c>
      <c r="Q1392" s="19">
        <v>529.99</v>
      </c>
      <c r="R1392" s="16">
        <v>7.0000000000000007E-2</v>
      </c>
      <c r="S1392" s="16">
        <v>1059.9100000000001</v>
      </c>
      <c r="T1392" s="5" t="s">
        <v>218</v>
      </c>
      <c r="U1392" s="13" t="s">
        <v>301</v>
      </c>
    </row>
    <row r="1393" spans="1:21" x14ac:dyDescent="0.35">
      <c r="A1393" s="4">
        <v>1392</v>
      </c>
      <c r="B1393" s="4">
        <v>1187</v>
      </c>
      <c r="C1393" s="13" t="s">
        <v>2205</v>
      </c>
      <c r="D1393" s="13" t="s">
        <v>2206</v>
      </c>
      <c r="E1393" s="5" t="s">
        <v>5566</v>
      </c>
      <c r="F1393" s="5" t="s">
        <v>5385</v>
      </c>
      <c r="G1393" s="5" t="s">
        <v>5386</v>
      </c>
      <c r="H1393" s="13" t="s">
        <v>4139</v>
      </c>
      <c r="I1393" s="13" t="s">
        <v>2309</v>
      </c>
      <c r="J1393" s="4">
        <v>11354</v>
      </c>
      <c r="K1393" s="4">
        <v>1</v>
      </c>
      <c r="L1393" s="4">
        <v>87</v>
      </c>
      <c r="M1393" s="4">
        <v>2017</v>
      </c>
      <c r="N1393" s="4">
        <v>2</v>
      </c>
      <c r="O1393" s="4">
        <v>6</v>
      </c>
      <c r="P1393" s="4">
        <v>2</v>
      </c>
      <c r="Q1393" s="19">
        <v>189.99</v>
      </c>
      <c r="R1393" s="16">
        <v>0.2</v>
      </c>
      <c r="S1393" s="16">
        <v>379.78000000000003</v>
      </c>
      <c r="T1393" s="5" t="s">
        <v>88</v>
      </c>
      <c r="U1393" s="13" t="s">
        <v>299</v>
      </c>
    </row>
    <row r="1394" spans="1:21" x14ac:dyDescent="0.35">
      <c r="A1394" s="4">
        <v>1393</v>
      </c>
      <c r="B1394" s="4">
        <v>547</v>
      </c>
      <c r="C1394" s="13" t="s">
        <v>2182</v>
      </c>
      <c r="D1394" s="13" t="s">
        <v>867</v>
      </c>
      <c r="E1394" s="5" t="s">
        <v>5566</v>
      </c>
      <c r="F1394" s="5" t="s">
        <v>5387</v>
      </c>
      <c r="G1394" s="5" t="s">
        <v>5388</v>
      </c>
      <c r="H1394" s="13" t="s">
        <v>3122</v>
      </c>
      <c r="I1394" s="13" t="s">
        <v>2309</v>
      </c>
      <c r="J1394" s="4">
        <v>12550</v>
      </c>
      <c r="K1394" s="4">
        <v>1</v>
      </c>
      <c r="L1394" s="4">
        <v>92</v>
      </c>
      <c r="M1394" s="4">
        <v>2017</v>
      </c>
      <c r="N1394" s="4">
        <v>2</v>
      </c>
      <c r="O1394" s="4">
        <v>7</v>
      </c>
      <c r="P1394" s="4">
        <v>1</v>
      </c>
      <c r="Q1394" s="19">
        <v>209.99</v>
      </c>
      <c r="R1394" s="16">
        <v>7.0000000000000007E-2</v>
      </c>
      <c r="S1394" s="16">
        <v>209.92000000000002</v>
      </c>
      <c r="T1394" s="5" t="s">
        <v>93</v>
      </c>
      <c r="U1394" s="13" t="s">
        <v>299</v>
      </c>
    </row>
    <row r="1395" spans="1:21" x14ac:dyDescent="0.35">
      <c r="A1395" s="4">
        <v>1394</v>
      </c>
      <c r="B1395" s="4">
        <v>906</v>
      </c>
      <c r="C1395" s="13" t="s">
        <v>2207</v>
      </c>
      <c r="D1395" s="13" t="s">
        <v>2208</v>
      </c>
      <c r="E1395" s="5" t="s">
        <v>5566</v>
      </c>
      <c r="F1395" s="5" t="s">
        <v>5389</v>
      </c>
      <c r="G1395" s="5" t="s">
        <v>5390</v>
      </c>
      <c r="H1395" s="13" t="s">
        <v>2502</v>
      </c>
      <c r="I1395" s="13" t="s">
        <v>2397</v>
      </c>
      <c r="J1395" s="4">
        <v>77478</v>
      </c>
      <c r="K1395" s="4">
        <v>1</v>
      </c>
      <c r="L1395" s="4">
        <v>165</v>
      </c>
      <c r="M1395" s="4">
        <v>2018</v>
      </c>
      <c r="N1395" s="4">
        <v>3</v>
      </c>
      <c r="O1395" s="4">
        <v>8</v>
      </c>
      <c r="P1395" s="4">
        <v>2</v>
      </c>
      <c r="Q1395" s="19">
        <v>2499.9899999999998</v>
      </c>
      <c r="R1395" s="16">
        <v>0.05</v>
      </c>
      <c r="S1395" s="16">
        <v>4999.9299999999994</v>
      </c>
      <c r="T1395" s="5" t="s">
        <v>162</v>
      </c>
      <c r="U1395" s="13" t="s">
        <v>305</v>
      </c>
    </row>
    <row r="1396" spans="1:21" x14ac:dyDescent="0.35">
      <c r="A1396" s="4">
        <v>1395</v>
      </c>
      <c r="B1396" s="4">
        <v>1052</v>
      </c>
      <c r="C1396" s="13" t="s">
        <v>2209</v>
      </c>
      <c r="D1396" s="13" t="s">
        <v>1396</v>
      </c>
      <c r="E1396" s="5" t="s">
        <v>5391</v>
      </c>
      <c r="F1396" s="5" t="s">
        <v>5392</v>
      </c>
      <c r="G1396" s="5" t="s">
        <v>5393</v>
      </c>
      <c r="H1396" s="13" t="s">
        <v>2997</v>
      </c>
      <c r="I1396" s="13" t="s">
        <v>2305</v>
      </c>
      <c r="J1396" s="4">
        <v>95820</v>
      </c>
      <c r="K1396" s="4">
        <v>1</v>
      </c>
      <c r="L1396" s="4">
        <v>204</v>
      </c>
      <c r="M1396" s="4">
        <v>2018</v>
      </c>
      <c r="N1396" s="4">
        <v>1</v>
      </c>
      <c r="O1396" s="4">
        <v>3</v>
      </c>
      <c r="P1396" s="4">
        <v>1</v>
      </c>
      <c r="Q1396" s="19">
        <v>3599.99</v>
      </c>
      <c r="R1396" s="16">
        <v>0.2</v>
      </c>
      <c r="S1396" s="16">
        <v>3599.79</v>
      </c>
      <c r="T1396" s="5" t="s">
        <v>201</v>
      </c>
      <c r="U1396" s="13" t="s">
        <v>303</v>
      </c>
    </row>
    <row r="1397" spans="1:21" x14ac:dyDescent="0.35">
      <c r="A1397" s="4">
        <v>1396</v>
      </c>
      <c r="B1397" s="4">
        <v>856</v>
      </c>
      <c r="C1397" s="13" t="s">
        <v>2210</v>
      </c>
      <c r="D1397" s="13" t="s">
        <v>1496</v>
      </c>
      <c r="E1397" s="5" t="s">
        <v>5566</v>
      </c>
      <c r="F1397" s="5" t="s">
        <v>5394</v>
      </c>
      <c r="G1397" s="5" t="s">
        <v>5395</v>
      </c>
      <c r="H1397" s="13" t="s">
        <v>2531</v>
      </c>
      <c r="I1397" s="13" t="s">
        <v>2309</v>
      </c>
      <c r="J1397" s="4">
        <v>11779</v>
      </c>
      <c r="K1397" s="4">
        <v>1</v>
      </c>
      <c r="L1397" s="4">
        <v>57</v>
      </c>
      <c r="M1397" s="4">
        <v>2017</v>
      </c>
      <c r="N1397" s="4">
        <v>2</v>
      </c>
      <c r="O1397" s="4">
        <v>7</v>
      </c>
      <c r="P1397" s="4">
        <v>1</v>
      </c>
      <c r="Q1397" s="19">
        <v>1999.99</v>
      </c>
      <c r="R1397" s="16">
        <v>0.05</v>
      </c>
      <c r="S1397" s="16">
        <v>1999.94</v>
      </c>
      <c r="T1397" s="5" t="s">
        <v>58</v>
      </c>
      <c r="U1397" s="13" t="s">
        <v>305</v>
      </c>
    </row>
    <row r="1398" spans="1:21" x14ac:dyDescent="0.35">
      <c r="A1398" s="4">
        <v>1397</v>
      </c>
      <c r="B1398" s="4">
        <v>920</v>
      </c>
      <c r="C1398" s="13" t="s">
        <v>708</v>
      </c>
      <c r="D1398" s="13" t="s">
        <v>1511</v>
      </c>
      <c r="E1398" s="5" t="s">
        <v>5566</v>
      </c>
      <c r="F1398" s="5" t="s">
        <v>5396</v>
      </c>
      <c r="G1398" s="5" t="s">
        <v>5397</v>
      </c>
      <c r="H1398" s="13" t="s">
        <v>2732</v>
      </c>
      <c r="I1398" s="13" t="s">
        <v>2309</v>
      </c>
      <c r="J1398" s="4">
        <v>14120</v>
      </c>
      <c r="K1398" s="4">
        <v>1</v>
      </c>
      <c r="L1398" s="4">
        <v>127</v>
      </c>
      <c r="M1398" s="4">
        <v>2018</v>
      </c>
      <c r="N1398" s="4">
        <v>2</v>
      </c>
      <c r="O1398" s="4">
        <v>6</v>
      </c>
      <c r="P1398" s="4">
        <v>2</v>
      </c>
      <c r="Q1398" s="19">
        <v>469.99</v>
      </c>
      <c r="R1398" s="16">
        <v>0.1</v>
      </c>
      <c r="S1398" s="16">
        <v>939.88</v>
      </c>
      <c r="T1398" s="5" t="s">
        <v>124</v>
      </c>
      <c r="U1398" s="13" t="s">
        <v>304</v>
      </c>
    </row>
    <row r="1399" spans="1:21" x14ac:dyDescent="0.35">
      <c r="A1399" s="4">
        <v>1398</v>
      </c>
      <c r="B1399" s="4">
        <v>1383</v>
      </c>
      <c r="C1399" s="13" t="s">
        <v>2211</v>
      </c>
      <c r="D1399" s="13" t="s">
        <v>1488</v>
      </c>
      <c r="E1399" s="5" t="s">
        <v>5398</v>
      </c>
      <c r="F1399" s="5" t="s">
        <v>5399</v>
      </c>
      <c r="G1399" s="5" t="s">
        <v>5400</v>
      </c>
      <c r="H1399" s="13" t="s">
        <v>2726</v>
      </c>
      <c r="I1399" s="13" t="s">
        <v>2305</v>
      </c>
      <c r="J1399" s="4">
        <v>93306</v>
      </c>
      <c r="K1399" s="4">
        <v>1</v>
      </c>
      <c r="L1399" s="4">
        <v>69</v>
      </c>
      <c r="M1399" s="4">
        <v>2017</v>
      </c>
      <c r="N1399" s="4">
        <v>1</v>
      </c>
      <c r="O1399" s="4">
        <v>3</v>
      </c>
      <c r="P1399" s="4">
        <v>2</v>
      </c>
      <c r="Q1399" s="19">
        <v>416.99</v>
      </c>
      <c r="R1399" s="16">
        <v>0.05</v>
      </c>
      <c r="S1399" s="16">
        <v>833.93000000000006</v>
      </c>
      <c r="T1399" s="5" t="s">
        <v>70</v>
      </c>
      <c r="U1399" s="13" t="s">
        <v>301</v>
      </c>
    </row>
    <row r="1400" spans="1:21" x14ac:dyDescent="0.35">
      <c r="A1400" s="4">
        <v>1399</v>
      </c>
      <c r="B1400" s="4">
        <v>146</v>
      </c>
      <c r="C1400" s="13" t="s">
        <v>2212</v>
      </c>
      <c r="D1400" s="13" t="s">
        <v>2213</v>
      </c>
      <c r="E1400" s="5" t="s">
        <v>5566</v>
      </c>
      <c r="F1400" s="5" t="s">
        <v>5401</v>
      </c>
      <c r="G1400" s="5" t="s">
        <v>5402</v>
      </c>
      <c r="H1400" s="13" t="s">
        <v>2327</v>
      </c>
      <c r="I1400" s="13" t="s">
        <v>2309</v>
      </c>
      <c r="J1400" s="4">
        <v>12866</v>
      </c>
      <c r="K1400" s="4">
        <v>1</v>
      </c>
      <c r="L1400" s="4">
        <v>210</v>
      </c>
      <c r="M1400" s="4">
        <v>2018</v>
      </c>
      <c r="N1400" s="4">
        <v>2</v>
      </c>
      <c r="O1400" s="4">
        <v>6</v>
      </c>
      <c r="P1400" s="4">
        <v>2</v>
      </c>
      <c r="Q1400" s="19">
        <v>1549</v>
      </c>
      <c r="R1400" s="16">
        <v>0.2</v>
      </c>
      <c r="S1400" s="16">
        <v>3097.8</v>
      </c>
      <c r="T1400" s="5" t="s">
        <v>165</v>
      </c>
      <c r="U1400" s="13" t="s">
        <v>302</v>
      </c>
    </row>
    <row r="1401" spans="1:21" x14ac:dyDescent="0.35">
      <c r="A1401" s="4">
        <v>1400</v>
      </c>
      <c r="B1401" s="4">
        <v>987</v>
      </c>
      <c r="C1401" s="13" t="s">
        <v>2214</v>
      </c>
      <c r="D1401" s="13" t="s">
        <v>2215</v>
      </c>
      <c r="E1401" s="5" t="s">
        <v>5566</v>
      </c>
      <c r="F1401" s="5" t="s">
        <v>5403</v>
      </c>
      <c r="G1401" s="5" t="s">
        <v>5404</v>
      </c>
      <c r="H1401" s="13" t="s">
        <v>2961</v>
      </c>
      <c r="I1401" s="13" t="s">
        <v>2309</v>
      </c>
      <c r="J1401" s="4">
        <v>10301</v>
      </c>
      <c r="K1401" s="4">
        <v>1</v>
      </c>
      <c r="L1401" s="4">
        <v>24</v>
      </c>
      <c r="M1401" s="4">
        <v>2016</v>
      </c>
      <c r="N1401" s="4">
        <v>2</v>
      </c>
      <c r="O1401" s="4">
        <v>6</v>
      </c>
      <c r="P1401" s="4">
        <v>2</v>
      </c>
      <c r="Q1401" s="19">
        <v>549.99</v>
      </c>
      <c r="R1401" s="16">
        <v>0.2</v>
      </c>
      <c r="S1401" s="16">
        <v>1099.78</v>
      </c>
      <c r="T1401" s="5" t="s">
        <v>17</v>
      </c>
      <c r="U1401" s="13" t="s">
        <v>300</v>
      </c>
    </row>
    <row r="1402" spans="1:21" x14ac:dyDescent="0.35">
      <c r="A1402" s="4">
        <v>1401</v>
      </c>
      <c r="B1402" s="4">
        <v>15</v>
      </c>
      <c r="C1402" s="13" t="s">
        <v>2216</v>
      </c>
      <c r="D1402" s="13" t="s">
        <v>1993</v>
      </c>
      <c r="E1402" s="5" t="s">
        <v>5566</v>
      </c>
      <c r="F1402" s="5" t="s">
        <v>5405</v>
      </c>
      <c r="G1402" s="5" t="s">
        <v>5406</v>
      </c>
      <c r="H1402" s="13" t="s">
        <v>2822</v>
      </c>
      <c r="I1402" s="13" t="s">
        <v>2309</v>
      </c>
      <c r="J1402" s="4">
        <v>12901</v>
      </c>
      <c r="K1402" s="4">
        <v>1</v>
      </c>
      <c r="L1402" s="4">
        <v>112</v>
      </c>
      <c r="M1402" s="4">
        <v>2018</v>
      </c>
      <c r="N1402" s="4">
        <v>2</v>
      </c>
      <c r="O1402" s="4">
        <v>7</v>
      </c>
      <c r="P1402" s="4">
        <v>1</v>
      </c>
      <c r="Q1402" s="19">
        <v>379.99</v>
      </c>
      <c r="R1402" s="16">
        <v>7.0000000000000007E-2</v>
      </c>
      <c r="S1402" s="16">
        <v>379.92</v>
      </c>
      <c r="T1402" s="5" t="s">
        <v>109</v>
      </c>
      <c r="U1402" s="13" t="s">
        <v>304</v>
      </c>
    </row>
    <row r="1403" spans="1:21" x14ac:dyDescent="0.35">
      <c r="A1403" s="4">
        <v>1402</v>
      </c>
      <c r="B1403" s="4">
        <v>1171</v>
      </c>
      <c r="C1403" s="13" t="s">
        <v>2217</v>
      </c>
      <c r="D1403" s="13" t="s">
        <v>1378</v>
      </c>
      <c r="E1403" s="5" t="s">
        <v>5566</v>
      </c>
      <c r="F1403" s="5" t="s">
        <v>5407</v>
      </c>
      <c r="G1403" s="5" t="s">
        <v>5408</v>
      </c>
      <c r="H1403" s="13" t="s">
        <v>2472</v>
      </c>
      <c r="I1403" s="13" t="s">
        <v>2309</v>
      </c>
      <c r="J1403" s="4">
        <v>13440</v>
      </c>
      <c r="K1403" s="4">
        <v>1</v>
      </c>
      <c r="L1403" s="4">
        <v>189</v>
      </c>
      <c r="M1403" s="4">
        <v>2018</v>
      </c>
      <c r="N1403" s="4">
        <v>2</v>
      </c>
      <c r="O1403" s="4">
        <v>6</v>
      </c>
      <c r="P1403" s="4">
        <v>2</v>
      </c>
      <c r="Q1403" s="19">
        <v>2799.99</v>
      </c>
      <c r="R1403" s="16">
        <v>0.2</v>
      </c>
      <c r="S1403" s="16">
        <v>5599.78</v>
      </c>
      <c r="T1403" s="5" t="s">
        <v>186</v>
      </c>
      <c r="U1403" s="13" t="s">
        <v>303</v>
      </c>
    </row>
    <row r="1404" spans="1:21" x14ac:dyDescent="0.35">
      <c r="A1404" s="4">
        <v>1403</v>
      </c>
      <c r="B1404" s="4">
        <v>452</v>
      </c>
      <c r="C1404" s="13" t="s">
        <v>2218</v>
      </c>
      <c r="D1404" s="13" t="s">
        <v>1074</v>
      </c>
      <c r="E1404" s="5" t="s">
        <v>5566</v>
      </c>
      <c r="F1404" s="5" t="s">
        <v>5409</v>
      </c>
      <c r="G1404" s="5" t="s">
        <v>5410</v>
      </c>
      <c r="H1404" s="13" t="s">
        <v>2858</v>
      </c>
      <c r="I1404" s="13" t="s">
        <v>2309</v>
      </c>
      <c r="J1404" s="4">
        <v>11801</v>
      </c>
      <c r="K1404" s="4">
        <v>1</v>
      </c>
      <c r="L1404" s="4">
        <v>93</v>
      </c>
      <c r="M1404" s="4">
        <v>2017</v>
      </c>
      <c r="N1404" s="4">
        <v>2</v>
      </c>
      <c r="O1404" s="4">
        <v>7</v>
      </c>
      <c r="P1404" s="4">
        <v>2</v>
      </c>
      <c r="Q1404" s="19">
        <v>209.99</v>
      </c>
      <c r="R1404" s="16">
        <v>0.1</v>
      </c>
      <c r="S1404" s="16">
        <v>419.88</v>
      </c>
      <c r="T1404" s="5" t="s">
        <v>94</v>
      </c>
      <c r="U1404" s="13" t="s">
        <v>299</v>
      </c>
    </row>
    <row r="1405" spans="1:21" x14ac:dyDescent="0.35">
      <c r="A1405" s="4">
        <v>1404</v>
      </c>
      <c r="B1405" s="4">
        <v>1240</v>
      </c>
      <c r="C1405" s="13" t="s">
        <v>2219</v>
      </c>
      <c r="D1405" s="13" t="s">
        <v>1384</v>
      </c>
      <c r="E1405" s="5" t="s">
        <v>5566</v>
      </c>
      <c r="F1405" s="5" t="s">
        <v>5411</v>
      </c>
      <c r="G1405" s="5" t="s">
        <v>5412</v>
      </c>
      <c r="H1405" s="13" t="s">
        <v>2315</v>
      </c>
      <c r="I1405" s="13" t="s">
        <v>2305</v>
      </c>
      <c r="J1405" s="4">
        <v>91010</v>
      </c>
      <c r="K1405" s="4">
        <v>1</v>
      </c>
      <c r="L1405" s="4">
        <v>112</v>
      </c>
      <c r="M1405" s="4">
        <v>2018</v>
      </c>
      <c r="N1405" s="4">
        <v>1</v>
      </c>
      <c r="O1405" s="4">
        <v>3</v>
      </c>
      <c r="P1405" s="4">
        <v>2</v>
      </c>
      <c r="Q1405" s="19">
        <v>379.99</v>
      </c>
      <c r="R1405" s="16">
        <v>0.05</v>
      </c>
      <c r="S1405" s="16">
        <v>759.93000000000006</v>
      </c>
      <c r="T1405" s="5" t="s">
        <v>109</v>
      </c>
      <c r="U1405" s="13" t="s">
        <v>304</v>
      </c>
    </row>
    <row r="1406" spans="1:21" x14ac:dyDescent="0.35">
      <c r="A1406" s="4">
        <v>1405</v>
      </c>
      <c r="B1406" s="4">
        <v>100</v>
      </c>
      <c r="C1406" s="13" t="s">
        <v>2220</v>
      </c>
      <c r="D1406" s="13" t="s">
        <v>1567</v>
      </c>
      <c r="E1406" s="5" t="s">
        <v>5566</v>
      </c>
      <c r="F1406" s="5" t="s">
        <v>5413</v>
      </c>
      <c r="G1406" s="5" t="s">
        <v>5414</v>
      </c>
      <c r="H1406" s="13" t="s">
        <v>3917</v>
      </c>
      <c r="I1406" s="13" t="s">
        <v>2309</v>
      </c>
      <c r="J1406" s="4">
        <v>11725</v>
      </c>
      <c r="K1406" s="4">
        <v>1</v>
      </c>
      <c r="L1406" s="4">
        <v>162</v>
      </c>
      <c r="M1406" s="4">
        <v>2018</v>
      </c>
      <c r="N1406" s="4">
        <v>2</v>
      </c>
      <c r="O1406" s="4">
        <v>6</v>
      </c>
      <c r="P1406" s="4">
        <v>2</v>
      </c>
      <c r="Q1406" s="19">
        <v>2999.99</v>
      </c>
      <c r="R1406" s="16">
        <v>0.1</v>
      </c>
      <c r="S1406" s="16">
        <v>5999.8799999999992</v>
      </c>
      <c r="T1406" s="5" t="s">
        <v>159</v>
      </c>
      <c r="U1406" s="13" t="s">
        <v>305</v>
      </c>
    </row>
    <row r="1407" spans="1:21" x14ac:dyDescent="0.35">
      <c r="A1407" s="4">
        <v>1406</v>
      </c>
      <c r="B1407" s="4">
        <v>1053</v>
      </c>
      <c r="C1407" s="13" t="s">
        <v>1926</v>
      </c>
      <c r="D1407" s="13" t="s">
        <v>408</v>
      </c>
      <c r="E1407" s="5" t="s">
        <v>5566</v>
      </c>
      <c r="F1407" s="5" t="s">
        <v>5415</v>
      </c>
      <c r="G1407" s="5" t="s">
        <v>5416</v>
      </c>
      <c r="H1407" s="13" t="s">
        <v>3870</v>
      </c>
      <c r="I1407" s="13" t="s">
        <v>2309</v>
      </c>
      <c r="J1407" s="4">
        <v>10541</v>
      </c>
      <c r="K1407" s="4">
        <v>1</v>
      </c>
      <c r="L1407" s="4">
        <v>230</v>
      </c>
      <c r="M1407" s="4">
        <v>2018</v>
      </c>
      <c r="N1407" s="4">
        <v>2</v>
      </c>
      <c r="O1407" s="4">
        <v>7</v>
      </c>
      <c r="P1407" s="4">
        <v>2</v>
      </c>
      <c r="Q1407" s="19">
        <v>429.99</v>
      </c>
      <c r="R1407" s="16">
        <v>0.05</v>
      </c>
      <c r="S1407" s="16">
        <v>859.93000000000006</v>
      </c>
      <c r="T1407" s="5" t="s">
        <v>225</v>
      </c>
      <c r="U1407" s="13" t="s">
        <v>301</v>
      </c>
    </row>
    <row r="1408" spans="1:21" x14ac:dyDescent="0.35">
      <c r="A1408" s="4">
        <v>1407</v>
      </c>
      <c r="B1408" s="4">
        <v>18</v>
      </c>
      <c r="C1408" s="13" t="s">
        <v>1305</v>
      </c>
      <c r="D1408" s="13" t="s">
        <v>872</v>
      </c>
      <c r="E1408" s="5" t="s">
        <v>5566</v>
      </c>
      <c r="F1408" s="5" t="s">
        <v>3739</v>
      </c>
      <c r="G1408" s="5" t="s">
        <v>3740</v>
      </c>
      <c r="H1408" s="13" t="s">
        <v>3204</v>
      </c>
      <c r="I1408" s="13" t="s">
        <v>2309</v>
      </c>
      <c r="J1408" s="4">
        <v>14424</v>
      </c>
      <c r="K1408" s="4">
        <v>1</v>
      </c>
      <c r="L1408" s="4">
        <v>300</v>
      </c>
      <c r="M1408" s="4">
        <v>2018</v>
      </c>
      <c r="N1408" s="4">
        <v>2</v>
      </c>
      <c r="O1408" s="4">
        <v>6</v>
      </c>
      <c r="P1408" s="4">
        <v>1</v>
      </c>
      <c r="Q1408" s="19">
        <v>799.99</v>
      </c>
      <c r="R1408" s="16">
        <v>0.05</v>
      </c>
      <c r="S1408" s="16">
        <v>799.94</v>
      </c>
      <c r="T1408" s="5" t="s">
        <v>251</v>
      </c>
      <c r="U1408" s="13" t="s">
        <v>300</v>
      </c>
    </row>
    <row r="1409" spans="1:21" x14ac:dyDescent="0.35">
      <c r="A1409" s="4">
        <v>1408</v>
      </c>
      <c r="B1409" s="4">
        <v>1172</v>
      </c>
      <c r="C1409" s="13" t="s">
        <v>2221</v>
      </c>
      <c r="D1409" s="13" t="s">
        <v>1959</v>
      </c>
      <c r="E1409" s="5" t="s">
        <v>5566</v>
      </c>
      <c r="F1409" s="5" t="s">
        <v>5417</v>
      </c>
      <c r="G1409" s="5" t="s">
        <v>5418</v>
      </c>
      <c r="H1409" s="13" t="s">
        <v>2583</v>
      </c>
      <c r="I1409" s="13" t="s">
        <v>2309</v>
      </c>
      <c r="J1409" s="4">
        <v>14534</v>
      </c>
      <c r="K1409" s="4">
        <v>1</v>
      </c>
      <c r="L1409" s="4">
        <v>23</v>
      </c>
      <c r="M1409" s="4">
        <v>2016</v>
      </c>
      <c r="N1409" s="4">
        <v>2</v>
      </c>
      <c r="O1409" s="4">
        <v>6</v>
      </c>
      <c r="P1409" s="4">
        <v>2</v>
      </c>
      <c r="Q1409" s="19">
        <v>299.99</v>
      </c>
      <c r="R1409" s="16">
        <v>0.2</v>
      </c>
      <c r="S1409" s="16">
        <v>599.78</v>
      </c>
      <c r="T1409" s="5" t="s">
        <v>26</v>
      </c>
      <c r="U1409" s="13" t="s">
        <v>299</v>
      </c>
    </row>
    <row r="1410" spans="1:21" x14ac:dyDescent="0.35">
      <c r="A1410" s="4">
        <v>1409</v>
      </c>
      <c r="B1410" s="4">
        <v>21</v>
      </c>
      <c r="C1410" s="13" t="s">
        <v>1988</v>
      </c>
      <c r="D1410" s="13" t="s">
        <v>1058</v>
      </c>
      <c r="E1410" s="5" t="s">
        <v>5566</v>
      </c>
      <c r="F1410" s="5" t="s">
        <v>4926</v>
      </c>
      <c r="G1410" s="5" t="s">
        <v>4927</v>
      </c>
      <c r="H1410" s="13" t="s">
        <v>2608</v>
      </c>
      <c r="I1410" s="13" t="s">
        <v>2397</v>
      </c>
      <c r="J1410" s="4">
        <v>77904</v>
      </c>
      <c r="K1410" s="4">
        <v>1</v>
      </c>
      <c r="L1410" s="4">
        <v>301</v>
      </c>
      <c r="M1410" s="4">
        <v>2018</v>
      </c>
      <c r="N1410" s="4">
        <v>3</v>
      </c>
      <c r="O1410" s="4">
        <v>8</v>
      </c>
      <c r="P1410" s="4">
        <v>2</v>
      </c>
      <c r="Q1410" s="19">
        <v>899.99</v>
      </c>
      <c r="R1410" s="16">
        <v>7.0000000000000007E-2</v>
      </c>
      <c r="S1410" s="16">
        <v>1799.91</v>
      </c>
      <c r="T1410" s="5" t="s">
        <v>252</v>
      </c>
      <c r="U1410" s="13" t="s">
        <v>300</v>
      </c>
    </row>
    <row r="1411" spans="1:21" x14ac:dyDescent="0.35">
      <c r="A1411" s="4">
        <v>1410</v>
      </c>
      <c r="B1411" s="4">
        <v>1005</v>
      </c>
      <c r="C1411" s="13" t="s">
        <v>682</v>
      </c>
      <c r="D1411" s="13" t="s">
        <v>1567</v>
      </c>
      <c r="E1411" s="5" t="s">
        <v>5566</v>
      </c>
      <c r="F1411" s="5" t="s">
        <v>5419</v>
      </c>
      <c r="G1411" s="5" t="s">
        <v>5420</v>
      </c>
      <c r="H1411" s="13" t="s">
        <v>3156</v>
      </c>
      <c r="I1411" s="13" t="s">
        <v>2309</v>
      </c>
      <c r="J1411" s="4">
        <v>11102</v>
      </c>
      <c r="K1411" s="4">
        <v>1</v>
      </c>
      <c r="L1411" s="4">
        <v>205</v>
      </c>
      <c r="M1411" s="4">
        <v>2018</v>
      </c>
      <c r="N1411" s="4">
        <v>2</v>
      </c>
      <c r="O1411" s="4">
        <v>7</v>
      </c>
      <c r="P1411" s="4">
        <v>2</v>
      </c>
      <c r="Q1411" s="19">
        <v>4999.99</v>
      </c>
      <c r="R1411" s="16">
        <v>0.1</v>
      </c>
      <c r="S1411" s="16">
        <v>9999.8799999999992</v>
      </c>
      <c r="T1411" s="5" t="s">
        <v>202</v>
      </c>
      <c r="U1411" s="13" t="s">
        <v>303</v>
      </c>
    </row>
    <row r="1412" spans="1:21" x14ac:dyDescent="0.35">
      <c r="A1412" s="4">
        <v>1411</v>
      </c>
      <c r="B1412" s="4">
        <v>109</v>
      </c>
      <c r="C1412" s="13" t="s">
        <v>2222</v>
      </c>
      <c r="D1412" s="13" t="s">
        <v>1684</v>
      </c>
      <c r="E1412" s="5" t="s">
        <v>5421</v>
      </c>
      <c r="F1412" s="5" t="s">
        <v>5422</v>
      </c>
      <c r="G1412" s="5" t="s">
        <v>5423</v>
      </c>
      <c r="H1412" s="13" t="s">
        <v>2741</v>
      </c>
      <c r="I1412" s="13" t="s">
        <v>2305</v>
      </c>
      <c r="J1412" s="4">
        <v>95127</v>
      </c>
      <c r="K1412" s="4">
        <v>1</v>
      </c>
      <c r="L1412" s="4">
        <v>9</v>
      </c>
      <c r="M1412" s="4">
        <v>2016</v>
      </c>
      <c r="N1412" s="4">
        <v>1</v>
      </c>
      <c r="O1412" s="4">
        <v>2</v>
      </c>
      <c r="P1412" s="4">
        <v>1</v>
      </c>
      <c r="Q1412" s="19">
        <v>2999.99</v>
      </c>
      <c r="R1412" s="16">
        <v>0.1</v>
      </c>
      <c r="S1412" s="16">
        <v>2999.89</v>
      </c>
      <c r="T1412" s="5" t="s">
        <v>14</v>
      </c>
      <c r="U1412" s="13" t="s">
        <v>303</v>
      </c>
    </row>
    <row r="1413" spans="1:21" x14ac:dyDescent="0.35">
      <c r="A1413" s="4">
        <v>1412</v>
      </c>
      <c r="B1413" s="4">
        <v>1043</v>
      </c>
      <c r="C1413" s="13" t="s">
        <v>2223</v>
      </c>
      <c r="D1413" s="13" t="s">
        <v>1627</v>
      </c>
      <c r="E1413" s="5" t="s">
        <v>5566</v>
      </c>
      <c r="F1413" s="5" t="s">
        <v>5424</v>
      </c>
      <c r="G1413" s="5" t="s">
        <v>5425</v>
      </c>
      <c r="H1413" s="13" t="s">
        <v>2913</v>
      </c>
      <c r="I1413" s="13" t="s">
        <v>2309</v>
      </c>
      <c r="J1413" s="4">
        <v>11365</v>
      </c>
      <c r="K1413" s="4">
        <v>1</v>
      </c>
      <c r="L1413" s="4">
        <v>180</v>
      </c>
      <c r="M1413" s="4">
        <v>2018</v>
      </c>
      <c r="N1413" s="4">
        <v>2</v>
      </c>
      <c r="O1413" s="4">
        <v>7</v>
      </c>
      <c r="P1413" s="4">
        <v>2</v>
      </c>
      <c r="Q1413" s="19">
        <v>919.99</v>
      </c>
      <c r="R1413" s="16">
        <v>7.0000000000000007E-2</v>
      </c>
      <c r="S1413" s="16">
        <v>1839.91</v>
      </c>
      <c r="T1413" s="5" t="s">
        <v>177</v>
      </c>
      <c r="U1413" s="13" t="s">
        <v>305</v>
      </c>
    </row>
    <row r="1414" spans="1:21" x14ac:dyDescent="0.35">
      <c r="A1414" s="4">
        <v>1413</v>
      </c>
      <c r="B1414" s="4">
        <v>56</v>
      </c>
      <c r="C1414" s="13" t="s">
        <v>1531</v>
      </c>
      <c r="D1414" s="13" t="s">
        <v>1179</v>
      </c>
      <c r="E1414" s="5" t="s">
        <v>4105</v>
      </c>
      <c r="F1414" s="5" t="s">
        <v>4106</v>
      </c>
      <c r="G1414" s="5" t="s">
        <v>4107</v>
      </c>
      <c r="H1414" s="13" t="s">
        <v>1262</v>
      </c>
      <c r="I1414" s="13" t="s">
        <v>2397</v>
      </c>
      <c r="J1414" s="4">
        <v>77016</v>
      </c>
      <c r="K1414" s="4">
        <v>1</v>
      </c>
      <c r="L1414" s="4">
        <v>297</v>
      </c>
      <c r="M1414" s="4">
        <v>2018</v>
      </c>
      <c r="N1414" s="4">
        <v>3</v>
      </c>
      <c r="O1414" s="4">
        <v>8</v>
      </c>
      <c r="P1414" s="4">
        <v>2</v>
      </c>
      <c r="Q1414" s="19">
        <v>279.99</v>
      </c>
      <c r="R1414" s="16">
        <v>0.05</v>
      </c>
      <c r="S1414" s="16">
        <v>559.93000000000006</v>
      </c>
      <c r="T1414" s="5" t="s">
        <v>287</v>
      </c>
      <c r="U1414" s="13" t="s">
        <v>299</v>
      </c>
    </row>
    <row r="1415" spans="1:21" x14ac:dyDescent="0.35">
      <c r="A1415" s="4">
        <v>1414</v>
      </c>
      <c r="B1415" s="4">
        <v>293</v>
      </c>
      <c r="C1415" s="13" t="s">
        <v>2224</v>
      </c>
      <c r="D1415" s="13" t="s">
        <v>2225</v>
      </c>
      <c r="E1415" s="5" t="s">
        <v>5566</v>
      </c>
      <c r="F1415" s="5" t="s">
        <v>5426</v>
      </c>
      <c r="G1415" s="5" t="s">
        <v>5427</v>
      </c>
      <c r="H1415" s="13" t="s">
        <v>2463</v>
      </c>
      <c r="I1415" s="13" t="s">
        <v>2309</v>
      </c>
      <c r="J1415" s="4">
        <v>11803</v>
      </c>
      <c r="K1415" s="4">
        <v>1</v>
      </c>
      <c r="L1415" s="4">
        <v>162</v>
      </c>
      <c r="M1415" s="4">
        <v>2018</v>
      </c>
      <c r="N1415" s="4">
        <v>2</v>
      </c>
      <c r="O1415" s="4">
        <v>7</v>
      </c>
      <c r="P1415" s="4">
        <v>2</v>
      </c>
      <c r="Q1415" s="19">
        <v>2999.99</v>
      </c>
      <c r="R1415" s="16">
        <v>0.1</v>
      </c>
      <c r="S1415" s="16">
        <v>5999.8799999999992</v>
      </c>
      <c r="T1415" s="5" t="s">
        <v>159</v>
      </c>
      <c r="U1415" s="13" t="s">
        <v>305</v>
      </c>
    </row>
    <row r="1416" spans="1:21" x14ac:dyDescent="0.35">
      <c r="A1416" s="4">
        <v>1415</v>
      </c>
      <c r="B1416" s="4">
        <v>839</v>
      </c>
      <c r="C1416" s="13" t="s">
        <v>2226</v>
      </c>
      <c r="D1416" s="13" t="s">
        <v>2190</v>
      </c>
      <c r="E1416" s="5" t="s">
        <v>5566</v>
      </c>
      <c r="F1416" s="5" t="s">
        <v>5428</v>
      </c>
      <c r="G1416" s="5" t="s">
        <v>5429</v>
      </c>
      <c r="H1416" s="13" t="s">
        <v>2539</v>
      </c>
      <c r="I1416" s="13" t="s">
        <v>2309</v>
      </c>
      <c r="J1416" s="4">
        <v>11542</v>
      </c>
      <c r="K1416" s="4">
        <v>1</v>
      </c>
      <c r="L1416" s="4">
        <v>31</v>
      </c>
      <c r="M1416" s="4">
        <v>2017</v>
      </c>
      <c r="N1416" s="4">
        <v>2</v>
      </c>
      <c r="O1416" s="4">
        <v>7</v>
      </c>
      <c r="P1416" s="4">
        <v>2</v>
      </c>
      <c r="Q1416" s="19">
        <v>1632.99</v>
      </c>
      <c r="R1416" s="16">
        <v>7.0000000000000007E-2</v>
      </c>
      <c r="S1416" s="16">
        <v>3265.91</v>
      </c>
      <c r="T1416" s="5" t="s">
        <v>32</v>
      </c>
      <c r="U1416" s="13" t="s">
        <v>304</v>
      </c>
    </row>
    <row r="1417" spans="1:21" x14ac:dyDescent="0.35">
      <c r="A1417" s="4">
        <v>1416</v>
      </c>
      <c r="B1417" s="4">
        <v>566</v>
      </c>
      <c r="C1417" s="13" t="s">
        <v>2227</v>
      </c>
      <c r="D1417" s="13" t="s">
        <v>2228</v>
      </c>
      <c r="E1417" s="5" t="s">
        <v>5566</v>
      </c>
      <c r="F1417" s="5" t="s">
        <v>5430</v>
      </c>
      <c r="G1417" s="5" t="s">
        <v>5431</v>
      </c>
      <c r="H1417" s="13" t="s">
        <v>2559</v>
      </c>
      <c r="I1417" s="13" t="s">
        <v>2397</v>
      </c>
      <c r="J1417" s="4">
        <v>77566</v>
      </c>
      <c r="K1417" s="4">
        <v>1</v>
      </c>
      <c r="L1417" s="4">
        <v>194</v>
      </c>
      <c r="M1417" s="4">
        <v>2018</v>
      </c>
      <c r="N1417" s="4">
        <v>3</v>
      </c>
      <c r="O1417" s="4">
        <v>8</v>
      </c>
      <c r="P1417" s="4">
        <v>1</v>
      </c>
      <c r="Q1417" s="19">
        <v>3499.99</v>
      </c>
      <c r="R1417" s="16">
        <v>0.2</v>
      </c>
      <c r="S1417" s="16">
        <v>3499.79</v>
      </c>
      <c r="T1417" s="5" t="s">
        <v>191</v>
      </c>
      <c r="U1417" s="13" t="s">
        <v>303</v>
      </c>
    </row>
    <row r="1418" spans="1:21" x14ac:dyDescent="0.35">
      <c r="A1418" s="4">
        <v>1417</v>
      </c>
      <c r="B1418" s="4">
        <v>300</v>
      </c>
      <c r="C1418" s="13" t="s">
        <v>2229</v>
      </c>
      <c r="D1418" s="13" t="s">
        <v>2230</v>
      </c>
      <c r="E1418" s="5" t="s">
        <v>5566</v>
      </c>
      <c r="F1418" s="5" t="s">
        <v>5432</v>
      </c>
      <c r="G1418" s="5" t="s">
        <v>5433</v>
      </c>
      <c r="H1418" s="13" t="s">
        <v>3864</v>
      </c>
      <c r="I1418" s="13" t="s">
        <v>2305</v>
      </c>
      <c r="J1418" s="4">
        <v>94043</v>
      </c>
      <c r="K1418" s="4">
        <v>1</v>
      </c>
      <c r="L1418" s="4">
        <v>219</v>
      </c>
      <c r="M1418" s="4">
        <v>2018</v>
      </c>
      <c r="N1418" s="4">
        <v>1</v>
      </c>
      <c r="O1418" s="4">
        <v>2</v>
      </c>
      <c r="P1418" s="4">
        <v>2</v>
      </c>
      <c r="Q1418" s="19">
        <v>639.99</v>
      </c>
      <c r="R1418" s="16">
        <v>0.2</v>
      </c>
      <c r="S1418" s="16">
        <v>1279.78</v>
      </c>
      <c r="T1418" s="5" t="s">
        <v>214</v>
      </c>
      <c r="U1418" s="13" t="s">
        <v>301</v>
      </c>
    </row>
    <row r="1419" spans="1:21" x14ac:dyDescent="0.35">
      <c r="A1419" s="4">
        <v>1418</v>
      </c>
      <c r="B1419" s="4">
        <v>364</v>
      </c>
      <c r="C1419" s="13" t="s">
        <v>2231</v>
      </c>
      <c r="D1419" s="13" t="s">
        <v>2232</v>
      </c>
      <c r="E1419" s="5" t="s">
        <v>5566</v>
      </c>
      <c r="F1419" s="5" t="s">
        <v>5434</v>
      </c>
      <c r="G1419" s="5" t="s">
        <v>5435</v>
      </c>
      <c r="H1419" s="13" t="s">
        <v>2427</v>
      </c>
      <c r="I1419" s="13" t="s">
        <v>2309</v>
      </c>
      <c r="J1419" s="4">
        <v>14850</v>
      </c>
      <c r="K1419" s="4">
        <v>1</v>
      </c>
      <c r="L1419" s="4">
        <v>120</v>
      </c>
      <c r="M1419" s="4">
        <v>2018</v>
      </c>
      <c r="N1419" s="4">
        <v>2</v>
      </c>
      <c r="O1419" s="4">
        <v>6</v>
      </c>
      <c r="P1419" s="4">
        <v>2</v>
      </c>
      <c r="Q1419" s="19">
        <v>2499.9899999999998</v>
      </c>
      <c r="R1419" s="16">
        <v>0.2</v>
      </c>
      <c r="S1419" s="16">
        <v>4999.78</v>
      </c>
      <c r="T1419" s="5" t="s">
        <v>117</v>
      </c>
      <c r="U1419" s="13" t="s">
        <v>304</v>
      </c>
    </row>
    <row r="1420" spans="1:21" x14ac:dyDescent="0.35">
      <c r="A1420" s="4">
        <v>1419</v>
      </c>
      <c r="B1420" s="4">
        <v>474</v>
      </c>
      <c r="C1420" s="13" t="s">
        <v>2233</v>
      </c>
      <c r="D1420" s="13" t="s">
        <v>1213</v>
      </c>
      <c r="E1420" s="5" t="s">
        <v>5566</v>
      </c>
      <c r="F1420" s="5" t="s">
        <v>5436</v>
      </c>
      <c r="G1420" s="5" t="s">
        <v>5437</v>
      </c>
      <c r="H1420" s="13" t="s">
        <v>1457</v>
      </c>
      <c r="I1420" s="13" t="s">
        <v>2309</v>
      </c>
      <c r="J1420" s="4">
        <v>14580</v>
      </c>
      <c r="K1420" s="4">
        <v>1</v>
      </c>
      <c r="L1420" s="4">
        <v>124</v>
      </c>
      <c r="M1420" s="4">
        <v>2018</v>
      </c>
      <c r="N1420" s="4">
        <v>2</v>
      </c>
      <c r="O1420" s="4">
        <v>6</v>
      </c>
      <c r="P1420" s="4">
        <v>1</v>
      </c>
      <c r="Q1420" s="19">
        <v>1499</v>
      </c>
      <c r="R1420" s="16">
        <v>7.0000000000000007E-2</v>
      </c>
      <c r="S1420" s="16">
        <v>1498.93</v>
      </c>
      <c r="T1420" s="5" t="s">
        <v>121</v>
      </c>
      <c r="U1420" s="13" t="s">
        <v>304</v>
      </c>
    </row>
    <row r="1421" spans="1:21" x14ac:dyDescent="0.35">
      <c r="A1421" s="4">
        <v>1420</v>
      </c>
      <c r="B1421" s="4">
        <v>838</v>
      </c>
      <c r="C1421" s="13" t="s">
        <v>2234</v>
      </c>
      <c r="D1421" s="13" t="s">
        <v>2235</v>
      </c>
      <c r="E1421" s="5" t="s">
        <v>5566</v>
      </c>
      <c r="F1421" s="5" t="s">
        <v>5438</v>
      </c>
      <c r="G1421" s="5" t="s">
        <v>5439</v>
      </c>
      <c r="H1421" s="13" t="s">
        <v>2690</v>
      </c>
      <c r="I1421" s="13" t="s">
        <v>2309</v>
      </c>
      <c r="J1421" s="4">
        <v>11414</v>
      </c>
      <c r="K1421" s="4">
        <v>1</v>
      </c>
      <c r="L1421" s="4">
        <v>197</v>
      </c>
      <c r="M1421" s="4">
        <v>2018</v>
      </c>
      <c r="N1421" s="4">
        <v>2</v>
      </c>
      <c r="O1421" s="4">
        <v>7</v>
      </c>
      <c r="P1421" s="4">
        <v>1</v>
      </c>
      <c r="Q1421" s="19">
        <v>2299.9899999999998</v>
      </c>
      <c r="R1421" s="16">
        <v>0.2</v>
      </c>
      <c r="S1421" s="16">
        <v>2299.79</v>
      </c>
      <c r="T1421" s="5" t="s">
        <v>194</v>
      </c>
      <c r="U1421" s="13" t="s">
        <v>303</v>
      </c>
    </row>
    <row r="1422" spans="1:21" x14ac:dyDescent="0.35">
      <c r="A1422" s="4">
        <v>1421</v>
      </c>
      <c r="B1422" s="4">
        <v>1176</v>
      </c>
      <c r="C1422" s="13" t="s">
        <v>1662</v>
      </c>
      <c r="D1422" s="13" t="s">
        <v>748</v>
      </c>
      <c r="E1422" s="5" t="s">
        <v>5566</v>
      </c>
      <c r="F1422" s="5" t="s">
        <v>5440</v>
      </c>
      <c r="G1422" s="5" t="s">
        <v>5441</v>
      </c>
      <c r="H1422" s="13" t="s">
        <v>2663</v>
      </c>
      <c r="I1422" s="13" t="s">
        <v>2309</v>
      </c>
      <c r="J1422" s="4">
        <v>12804</v>
      </c>
      <c r="K1422" s="4">
        <v>1</v>
      </c>
      <c r="L1422" s="4">
        <v>298</v>
      </c>
      <c r="M1422" s="4">
        <v>2018</v>
      </c>
      <c r="N1422" s="4">
        <v>2</v>
      </c>
      <c r="O1422" s="4">
        <v>7</v>
      </c>
      <c r="P1422" s="4">
        <v>2</v>
      </c>
      <c r="Q1422" s="19">
        <v>279.99</v>
      </c>
      <c r="R1422" s="16">
        <v>0.05</v>
      </c>
      <c r="S1422" s="16">
        <v>559.93000000000006</v>
      </c>
      <c r="T1422" s="5" t="s">
        <v>288</v>
      </c>
      <c r="U1422" s="13" t="s">
        <v>299</v>
      </c>
    </row>
    <row r="1423" spans="1:21" x14ac:dyDescent="0.35">
      <c r="A1423" s="4">
        <v>1422</v>
      </c>
      <c r="B1423" s="4">
        <v>599</v>
      </c>
      <c r="C1423" s="13" t="s">
        <v>2236</v>
      </c>
      <c r="D1423" s="13" t="s">
        <v>2237</v>
      </c>
      <c r="E1423" s="5" t="s">
        <v>5566</v>
      </c>
      <c r="F1423" s="5" t="s">
        <v>5442</v>
      </c>
      <c r="G1423" s="5" t="s">
        <v>5443</v>
      </c>
      <c r="H1423" s="13" t="s">
        <v>4701</v>
      </c>
      <c r="I1423" s="13" t="s">
        <v>2397</v>
      </c>
      <c r="J1423" s="4">
        <v>79106</v>
      </c>
      <c r="K1423" s="4">
        <v>1</v>
      </c>
      <c r="L1423" s="4">
        <v>80</v>
      </c>
      <c r="M1423" s="4">
        <v>2017</v>
      </c>
      <c r="N1423" s="4">
        <v>3</v>
      </c>
      <c r="O1423" s="4">
        <v>8</v>
      </c>
      <c r="P1423" s="4">
        <v>2</v>
      </c>
      <c r="Q1423" s="19">
        <v>761.99</v>
      </c>
      <c r="R1423" s="16">
        <v>7.0000000000000007E-2</v>
      </c>
      <c r="S1423" s="16">
        <v>1523.91</v>
      </c>
      <c r="T1423" s="5" t="s">
        <v>81</v>
      </c>
      <c r="U1423" s="13" t="s">
        <v>301</v>
      </c>
    </row>
    <row r="1424" spans="1:21" x14ac:dyDescent="0.35">
      <c r="A1424" s="4">
        <v>1423</v>
      </c>
      <c r="B1424" s="4">
        <v>1231</v>
      </c>
      <c r="C1424" s="13" t="s">
        <v>1411</v>
      </c>
      <c r="D1424" s="13" t="s">
        <v>769</v>
      </c>
      <c r="E1424" s="5" t="s">
        <v>5566</v>
      </c>
      <c r="F1424" s="5" t="s">
        <v>5444</v>
      </c>
      <c r="G1424" s="5" t="s">
        <v>5445</v>
      </c>
      <c r="H1424" s="13" t="s">
        <v>1822</v>
      </c>
      <c r="I1424" s="13" t="s">
        <v>2305</v>
      </c>
      <c r="J1424" s="4">
        <v>95008</v>
      </c>
      <c r="K1424" s="4">
        <v>1</v>
      </c>
      <c r="L1424" s="4">
        <v>249</v>
      </c>
      <c r="M1424" s="4">
        <v>2018</v>
      </c>
      <c r="N1424" s="4">
        <v>1</v>
      </c>
      <c r="O1424" s="4">
        <v>2</v>
      </c>
      <c r="P1424" s="4">
        <v>1</v>
      </c>
      <c r="Q1424" s="19">
        <v>749.99</v>
      </c>
      <c r="R1424" s="16">
        <v>0.2</v>
      </c>
      <c r="S1424" s="16">
        <v>749.79</v>
      </c>
      <c r="T1424" s="5" t="s">
        <v>244</v>
      </c>
      <c r="U1424" s="13" t="s">
        <v>301</v>
      </c>
    </row>
    <row r="1425" spans="1:21" x14ac:dyDescent="0.35">
      <c r="A1425" s="4">
        <v>1424</v>
      </c>
      <c r="B1425" s="4">
        <v>1445</v>
      </c>
      <c r="C1425" s="13" t="s">
        <v>2238</v>
      </c>
      <c r="D1425" s="13" t="s">
        <v>1840</v>
      </c>
      <c r="E1425" s="5" t="s">
        <v>5566</v>
      </c>
      <c r="F1425" s="5" t="s">
        <v>5446</v>
      </c>
      <c r="G1425" s="5" t="s">
        <v>5447</v>
      </c>
      <c r="H1425" s="13" t="s">
        <v>3004</v>
      </c>
      <c r="I1425" s="13" t="s">
        <v>2305</v>
      </c>
      <c r="J1425" s="4">
        <v>94580</v>
      </c>
      <c r="K1425" s="4">
        <v>1</v>
      </c>
      <c r="L1425" s="4">
        <v>140</v>
      </c>
      <c r="M1425" s="4">
        <v>2018</v>
      </c>
      <c r="N1425" s="4">
        <v>1</v>
      </c>
      <c r="O1425" s="4">
        <v>2</v>
      </c>
      <c r="P1425" s="4">
        <v>2</v>
      </c>
      <c r="Q1425" s="19">
        <v>4999.99</v>
      </c>
      <c r="R1425" s="16">
        <v>0.2</v>
      </c>
      <c r="S1425" s="16">
        <v>9999.7799999999988</v>
      </c>
      <c r="T1425" s="5" t="s">
        <v>137</v>
      </c>
      <c r="U1425" s="13" t="s">
        <v>304</v>
      </c>
    </row>
    <row r="1426" spans="1:21" x14ac:dyDescent="0.35">
      <c r="A1426" s="4">
        <v>1425</v>
      </c>
      <c r="B1426" s="4">
        <v>126</v>
      </c>
      <c r="C1426" s="13" t="s">
        <v>2239</v>
      </c>
      <c r="D1426" s="13" t="s">
        <v>880</v>
      </c>
      <c r="E1426" s="5" t="s">
        <v>5566</v>
      </c>
      <c r="F1426" s="5" t="s">
        <v>5448</v>
      </c>
      <c r="G1426" s="5" t="s">
        <v>5449</v>
      </c>
      <c r="H1426" s="13" t="s">
        <v>3122</v>
      </c>
      <c r="I1426" s="13" t="s">
        <v>2309</v>
      </c>
      <c r="J1426" s="4">
        <v>12550</v>
      </c>
      <c r="K1426" s="4">
        <v>1</v>
      </c>
      <c r="L1426" s="4">
        <v>227</v>
      </c>
      <c r="M1426" s="4">
        <v>2018</v>
      </c>
      <c r="N1426" s="4">
        <v>2</v>
      </c>
      <c r="O1426" s="4">
        <v>6</v>
      </c>
      <c r="P1426" s="4">
        <v>2</v>
      </c>
      <c r="Q1426" s="19">
        <v>319.99</v>
      </c>
      <c r="R1426" s="16">
        <v>0.05</v>
      </c>
      <c r="S1426" s="16">
        <v>639.93000000000006</v>
      </c>
      <c r="T1426" s="5" t="s">
        <v>222</v>
      </c>
      <c r="U1426" s="13" t="s">
        <v>301</v>
      </c>
    </row>
    <row r="1427" spans="1:21" x14ac:dyDescent="0.35">
      <c r="A1427" s="4">
        <v>1426</v>
      </c>
      <c r="B1427" s="4">
        <v>938</v>
      </c>
      <c r="C1427" s="13" t="s">
        <v>2240</v>
      </c>
      <c r="D1427" s="13" t="s">
        <v>2295</v>
      </c>
      <c r="E1427" s="5" t="s">
        <v>5450</v>
      </c>
      <c r="F1427" s="5" t="s">
        <v>5451</v>
      </c>
      <c r="G1427" s="5" t="s">
        <v>5452</v>
      </c>
      <c r="H1427" s="13" t="s">
        <v>2476</v>
      </c>
      <c r="I1427" s="13" t="s">
        <v>2309</v>
      </c>
      <c r="J1427" s="4">
        <v>14606</v>
      </c>
      <c r="K1427" s="4">
        <v>1</v>
      </c>
      <c r="L1427" s="4">
        <v>215</v>
      </c>
      <c r="M1427" s="4">
        <v>2018</v>
      </c>
      <c r="N1427" s="4">
        <v>2</v>
      </c>
      <c r="O1427" s="4">
        <v>6</v>
      </c>
      <c r="P1427" s="4">
        <v>1</v>
      </c>
      <c r="Q1427" s="19">
        <v>749.99</v>
      </c>
      <c r="R1427" s="16">
        <v>7.0000000000000007E-2</v>
      </c>
      <c r="S1427" s="16">
        <v>749.92</v>
      </c>
      <c r="T1427" s="5" t="s">
        <v>210</v>
      </c>
      <c r="U1427" s="13" t="s">
        <v>301</v>
      </c>
    </row>
    <row r="1428" spans="1:21" x14ac:dyDescent="0.35">
      <c r="A1428" s="4">
        <v>1427</v>
      </c>
      <c r="B1428" s="4">
        <v>999</v>
      </c>
      <c r="C1428" s="13" t="s">
        <v>2241</v>
      </c>
      <c r="D1428" s="13" t="s">
        <v>896</v>
      </c>
      <c r="E1428" s="5" t="s">
        <v>5566</v>
      </c>
      <c r="F1428" s="5" t="s">
        <v>5453</v>
      </c>
      <c r="G1428" s="5" t="s">
        <v>5454</v>
      </c>
      <c r="H1428" s="13" t="s">
        <v>2518</v>
      </c>
      <c r="I1428" s="13" t="s">
        <v>2309</v>
      </c>
      <c r="J1428" s="4">
        <v>12020</v>
      </c>
      <c r="K1428" s="4">
        <v>1</v>
      </c>
      <c r="L1428" s="4">
        <v>230</v>
      </c>
      <c r="M1428" s="4">
        <v>2018</v>
      </c>
      <c r="N1428" s="4">
        <v>2</v>
      </c>
      <c r="O1428" s="4">
        <v>6</v>
      </c>
      <c r="P1428" s="4">
        <v>2</v>
      </c>
      <c r="Q1428" s="19">
        <v>429.99</v>
      </c>
      <c r="R1428" s="16">
        <v>7.0000000000000007E-2</v>
      </c>
      <c r="S1428" s="16">
        <v>859.91</v>
      </c>
      <c r="T1428" s="5" t="s">
        <v>225</v>
      </c>
      <c r="U1428" s="13" t="s">
        <v>301</v>
      </c>
    </row>
    <row r="1429" spans="1:21" x14ac:dyDescent="0.35">
      <c r="A1429" s="4">
        <v>1428</v>
      </c>
      <c r="B1429" s="4">
        <v>195</v>
      </c>
      <c r="C1429" s="13" t="s">
        <v>2242</v>
      </c>
      <c r="D1429" s="13" t="s">
        <v>2243</v>
      </c>
      <c r="E1429" s="5" t="s">
        <v>5566</v>
      </c>
      <c r="F1429" s="5" t="s">
        <v>5455</v>
      </c>
      <c r="G1429" s="5" t="s">
        <v>5456</v>
      </c>
      <c r="H1429" s="13" t="s">
        <v>2479</v>
      </c>
      <c r="I1429" s="13" t="s">
        <v>2309</v>
      </c>
      <c r="J1429" s="4">
        <v>11010</v>
      </c>
      <c r="K1429" s="4">
        <v>1</v>
      </c>
      <c r="L1429" s="4">
        <v>216</v>
      </c>
      <c r="M1429" s="4">
        <v>2018</v>
      </c>
      <c r="N1429" s="4">
        <v>2</v>
      </c>
      <c r="O1429" s="4">
        <v>7</v>
      </c>
      <c r="P1429" s="4">
        <v>2</v>
      </c>
      <c r="Q1429" s="19">
        <v>899.99</v>
      </c>
      <c r="R1429" s="16">
        <v>0.2</v>
      </c>
      <c r="S1429" s="16">
        <v>1799.78</v>
      </c>
      <c r="T1429" s="5" t="s">
        <v>211</v>
      </c>
      <c r="U1429" s="13" t="s">
        <v>301</v>
      </c>
    </row>
    <row r="1430" spans="1:21" x14ac:dyDescent="0.35">
      <c r="A1430" s="4">
        <v>1429</v>
      </c>
      <c r="B1430" s="4">
        <v>1116</v>
      </c>
      <c r="C1430" s="13" t="s">
        <v>2244</v>
      </c>
      <c r="D1430" s="13" t="s">
        <v>2245</v>
      </c>
      <c r="E1430" s="5" t="s">
        <v>5566</v>
      </c>
      <c r="F1430" s="5" t="s">
        <v>5457</v>
      </c>
      <c r="G1430" s="5" t="s">
        <v>5458</v>
      </c>
      <c r="H1430" s="13" t="s">
        <v>3156</v>
      </c>
      <c r="I1430" s="13" t="s">
        <v>2309</v>
      </c>
      <c r="J1430" s="4">
        <v>11102</v>
      </c>
      <c r="K1430" s="4">
        <v>1</v>
      </c>
      <c r="L1430" s="4">
        <v>70</v>
      </c>
      <c r="M1430" s="4">
        <v>2017</v>
      </c>
      <c r="N1430" s="4">
        <v>2</v>
      </c>
      <c r="O1430" s="4">
        <v>6</v>
      </c>
      <c r="P1430" s="4">
        <v>2</v>
      </c>
      <c r="Q1430" s="19">
        <v>659.99</v>
      </c>
      <c r="R1430" s="16">
        <v>0.2</v>
      </c>
      <c r="S1430" s="16">
        <v>1319.78</v>
      </c>
      <c r="T1430" s="5" t="s">
        <v>71</v>
      </c>
      <c r="U1430" s="13" t="s">
        <v>301</v>
      </c>
    </row>
    <row r="1431" spans="1:21" x14ac:dyDescent="0.35">
      <c r="A1431" s="4">
        <v>1430</v>
      </c>
      <c r="B1431" s="4">
        <v>1239</v>
      </c>
      <c r="C1431" s="13" t="s">
        <v>2246</v>
      </c>
      <c r="D1431" s="13" t="s">
        <v>1215</v>
      </c>
      <c r="E1431" s="5" t="s">
        <v>5566</v>
      </c>
      <c r="F1431" s="5" t="s">
        <v>5459</v>
      </c>
      <c r="G1431" s="5" t="s">
        <v>5460</v>
      </c>
      <c r="H1431" s="13" t="s">
        <v>2577</v>
      </c>
      <c r="I1431" s="13" t="s">
        <v>2309</v>
      </c>
      <c r="J1431" s="4">
        <v>11757</v>
      </c>
      <c r="K1431" s="4">
        <v>1</v>
      </c>
      <c r="L1431" s="4">
        <v>221</v>
      </c>
      <c r="M1431" s="4">
        <v>2018</v>
      </c>
      <c r="N1431" s="4">
        <v>2</v>
      </c>
      <c r="O1431" s="4">
        <v>7</v>
      </c>
      <c r="P1431" s="4">
        <v>1</v>
      </c>
      <c r="Q1431" s="19">
        <v>319.99</v>
      </c>
      <c r="R1431" s="16">
        <v>0.05</v>
      </c>
      <c r="S1431" s="16">
        <v>319.94</v>
      </c>
      <c r="T1431" s="5" t="s">
        <v>216</v>
      </c>
      <c r="U1431" s="13" t="s">
        <v>301</v>
      </c>
    </row>
    <row r="1432" spans="1:21" x14ac:dyDescent="0.35">
      <c r="A1432" s="4">
        <v>1431</v>
      </c>
      <c r="B1432" s="4">
        <v>308</v>
      </c>
      <c r="C1432" s="13" t="s">
        <v>2247</v>
      </c>
      <c r="D1432" s="13" t="s">
        <v>1696</v>
      </c>
      <c r="E1432" s="5" t="s">
        <v>5566</v>
      </c>
      <c r="F1432" s="5" t="s">
        <v>5461</v>
      </c>
      <c r="G1432" s="5" t="s">
        <v>5462</v>
      </c>
      <c r="H1432" s="13" t="s">
        <v>1457</v>
      </c>
      <c r="I1432" s="13" t="s">
        <v>2309</v>
      </c>
      <c r="J1432" s="4">
        <v>14580</v>
      </c>
      <c r="K1432" s="4">
        <v>1</v>
      </c>
      <c r="L1432" s="4">
        <v>207</v>
      </c>
      <c r="M1432" s="4">
        <v>2018</v>
      </c>
      <c r="N1432" s="4">
        <v>2</v>
      </c>
      <c r="O1432" s="4">
        <v>6</v>
      </c>
      <c r="P1432" s="4">
        <v>1</v>
      </c>
      <c r="Q1432" s="19">
        <v>3999.99</v>
      </c>
      <c r="R1432" s="16">
        <v>0.1</v>
      </c>
      <c r="S1432" s="16">
        <v>3999.89</v>
      </c>
      <c r="T1432" s="5" t="s">
        <v>204</v>
      </c>
      <c r="U1432" s="13" t="s">
        <v>302</v>
      </c>
    </row>
    <row r="1433" spans="1:21" x14ac:dyDescent="0.35">
      <c r="A1433" s="4">
        <v>1432</v>
      </c>
      <c r="B1433" s="4">
        <v>483</v>
      </c>
      <c r="C1433" s="13" t="s">
        <v>2248</v>
      </c>
      <c r="D1433" s="13" t="s">
        <v>1990</v>
      </c>
      <c r="E1433" s="5" t="s">
        <v>5566</v>
      </c>
      <c r="F1433" s="5" t="s">
        <v>5463</v>
      </c>
      <c r="G1433" s="5" t="s">
        <v>5464</v>
      </c>
      <c r="H1433" s="13" t="s">
        <v>2577</v>
      </c>
      <c r="I1433" s="13" t="s">
        <v>2309</v>
      </c>
      <c r="J1433" s="4">
        <v>11757</v>
      </c>
      <c r="K1433" s="4">
        <v>1</v>
      </c>
      <c r="L1433" s="4">
        <v>161</v>
      </c>
      <c r="M1433" s="4">
        <v>2018</v>
      </c>
      <c r="N1433" s="4">
        <v>2</v>
      </c>
      <c r="O1433" s="4">
        <v>6</v>
      </c>
      <c r="P1433" s="4">
        <v>1</v>
      </c>
      <c r="Q1433" s="19">
        <v>1899</v>
      </c>
      <c r="R1433" s="16">
        <v>0.2</v>
      </c>
      <c r="S1433" s="16">
        <v>1898.8</v>
      </c>
      <c r="T1433" s="5" t="s">
        <v>158</v>
      </c>
      <c r="U1433" s="13" t="s">
        <v>305</v>
      </c>
    </row>
    <row r="1434" spans="1:21" x14ac:dyDescent="0.35">
      <c r="A1434" s="4">
        <v>1433</v>
      </c>
      <c r="B1434" s="4">
        <v>1142</v>
      </c>
      <c r="C1434" s="13" t="s">
        <v>2249</v>
      </c>
      <c r="D1434" s="13" t="s">
        <v>910</v>
      </c>
      <c r="E1434" s="5" t="s">
        <v>5566</v>
      </c>
      <c r="F1434" s="5" t="s">
        <v>5465</v>
      </c>
      <c r="G1434" s="5" t="s">
        <v>5466</v>
      </c>
      <c r="H1434" s="13" t="s">
        <v>2583</v>
      </c>
      <c r="I1434" s="13" t="s">
        <v>2309</v>
      </c>
      <c r="J1434" s="4">
        <v>14534</v>
      </c>
      <c r="K1434" s="4">
        <v>1</v>
      </c>
      <c r="L1434" s="4">
        <v>264</v>
      </c>
      <c r="M1434" s="4">
        <v>2018</v>
      </c>
      <c r="N1434" s="4">
        <v>2</v>
      </c>
      <c r="O1434" s="4">
        <v>7</v>
      </c>
      <c r="P1434" s="4">
        <v>1</v>
      </c>
      <c r="Q1434" s="19">
        <v>249.99</v>
      </c>
      <c r="R1434" s="16">
        <v>7.0000000000000007E-2</v>
      </c>
      <c r="S1434" s="16">
        <v>249.92000000000002</v>
      </c>
      <c r="T1434" s="5" t="s">
        <v>255</v>
      </c>
      <c r="U1434" s="13" t="s">
        <v>299</v>
      </c>
    </row>
    <row r="1435" spans="1:21" x14ac:dyDescent="0.35">
      <c r="A1435" s="4">
        <v>1434</v>
      </c>
      <c r="B1435" s="4">
        <v>595</v>
      </c>
      <c r="C1435" s="13" t="s">
        <v>2250</v>
      </c>
      <c r="D1435" s="13" t="s">
        <v>1105</v>
      </c>
      <c r="E1435" s="5" t="s">
        <v>5566</v>
      </c>
      <c r="F1435" s="5" t="s">
        <v>5467</v>
      </c>
      <c r="G1435" s="5" t="s">
        <v>5468</v>
      </c>
      <c r="H1435" s="13" t="s">
        <v>2427</v>
      </c>
      <c r="I1435" s="13" t="s">
        <v>2309</v>
      </c>
      <c r="J1435" s="4">
        <v>14850</v>
      </c>
      <c r="K1435" s="4">
        <v>1</v>
      </c>
      <c r="L1435" s="4">
        <v>229</v>
      </c>
      <c r="M1435" s="4">
        <v>2018</v>
      </c>
      <c r="N1435" s="4">
        <v>2</v>
      </c>
      <c r="O1435" s="4">
        <v>6</v>
      </c>
      <c r="P1435" s="4">
        <v>2</v>
      </c>
      <c r="Q1435" s="19">
        <v>429.99</v>
      </c>
      <c r="R1435" s="16">
        <v>0.2</v>
      </c>
      <c r="S1435" s="16">
        <v>859.78</v>
      </c>
      <c r="T1435" s="5" t="s">
        <v>224</v>
      </c>
      <c r="U1435" s="13" t="s">
        <v>301</v>
      </c>
    </row>
    <row r="1436" spans="1:21" x14ac:dyDescent="0.35">
      <c r="A1436" s="4">
        <v>1435</v>
      </c>
      <c r="B1436" s="4">
        <v>744</v>
      </c>
      <c r="C1436" s="13" t="s">
        <v>2251</v>
      </c>
      <c r="D1436" s="13" t="s">
        <v>1126</v>
      </c>
      <c r="E1436" s="5" t="s">
        <v>5566</v>
      </c>
      <c r="F1436" s="5" t="s">
        <v>5469</v>
      </c>
      <c r="G1436" s="5" t="s">
        <v>5470</v>
      </c>
      <c r="H1436" s="13" t="s">
        <v>2368</v>
      </c>
      <c r="I1436" s="13" t="s">
        <v>2309</v>
      </c>
      <c r="J1436" s="4">
        <v>10550</v>
      </c>
      <c r="K1436" s="4">
        <v>1</v>
      </c>
      <c r="L1436" s="4">
        <v>141</v>
      </c>
      <c r="M1436" s="4">
        <v>2018</v>
      </c>
      <c r="N1436" s="4">
        <v>2</v>
      </c>
      <c r="O1436" s="4">
        <v>6</v>
      </c>
      <c r="P1436" s="4">
        <v>2</v>
      </c>
      <c r="Q1436" s="19">
        <v>1599.99</v>
      </c>
      <c r="R1436" s="16">
        <v>7.0000000000000007E-2</v>
      </c>
      <c r="S1436" s="16">
        <v>3199.91</v>
      </c>
      <c r="T1436" s="5" t="s">
        <v>138</v>
      </c>
      <c r="U1436" s="13" t="s">
        <v>304</v>
      </c>
    </row>
    <row r="1437" spans="1:21" x14ac:dyDescent="0.35">
      <c r="A1437" s="4">
        <v>1436</v>
      </c>
      <c r="B1437" s="4">
        <v>1044</v>
      </c>
      <c r="C1437" s="13" t="s">
        <v>2252</v>
      </c>
      <c r="D1437" s="13" t="s">
        <v>2253</v>
      </c>
      <c r="E1437" s="5" t="s">
        <v>5566</v>
      </c>
      <c r="F1437" s="5" t="s">
        <v>5471</v>
      </c>
      <c r="G1437" s="5" t="s">
        <v>5472</v>
      </c>
      <c r="H1437" s="13" t="s">
        <v>2737</v>
      </c>
      <c r="I1437" s="13" t="s">
        <v>2309</v>
      </c>
      <c r="J1437" s="4">
        <v>11422</v>
      </c>
      <c r="K1437" s="4">
        <v>1</v>
      </c>
      <c r="L1437" s="4">
        <v>244</v>
      </c>
      <c r="M1437" s="4">
        <v>2018</v>
      </c>
      <c r="N1437" s="4">
        <v>2</v>
      </c>
      <c r="O1437" s="4">
        <v>6</v>
      </c>
      <c r="P1437" s="4">
        <v>2</v>
      </c>
      <c r="Q1437" s="19">
        <v>559.99</v>
      </c>
      <c r="R1437" s="16">
        <v>7.0000000000000007E-2</v>
      </c>
      <c r="S1437" s="16">
        <v>1119.9100000000001</v>
      </c>
      <c r="T1437" s="5" t="s">
        <v>239</v>
      </c>
      <c r="U1437" s="13" t="s">
        <v>301</v>
      </c>
    </row>
    <row r="1438" spans="1:21" x14ac:dyDescent="0.35">
      <c r="A1438" s="4">
        <v>1437</v>
      </c>
      <c r="B1438" s="4">
        <v>518</v>
      </c>
      <c r="C1438" s="13" t="s">
        <v>2254</v>
      </c>
      <c r="D1438" s="13" t="s">
        <v>1002</v>
      </c>
      <c r="E1438" s="5" t="s">
        <v>5566</v>
      </c>
      <c r="F1438" s="5" t="s">
        <v>5473</v>
      </c>
      <c r="G1438" s="5" t="s">
        <v>5474</v>
      </c>
      <c r="H1438" s="13" t="s">
        <v>2790</v>
      </c>
      <c r="I1438" s="13" t="s">
        <v>2305</v>
      </c>
      <c r="J1438" s="4">
        <v>90274</v>
      </c>
      <c r="K1438" s="4">
        <v>1</v>
      </c>
      <c r="L1438" s="4">
        <v>141</v>
      </c>
      <c r="M1438" s="4">
        <v>2018</v>
      </c>
      <c r="N1438" s="4">
        <v>1</v>
      </c>
      <c r="O1438" s="4">
        <v>2</v>
      </c>
      <c r="P1438" s="4">
        <v>2</v>
      </c>
      <c r="Q1438" s="19">
        <v>1599.99</v>
      </c>
      <c r="R1438" s="16">
        <v>0.05</v>
      </c>
      <c r="S1438" s="16">
        <v>3199.93</v>
      </c>
      <c r="T1438" s="5" t="s">
        <v>138</v>
      </c>
      <c r="U1438" s="13" t="s">
        <v>304</v>
      </c>
    </row>
    <row r="1439" spans="1:21" x14ac:dyDescent="0.35">
      <c r="A1439" s="4">
        <v>1438</v>
      </c>
      <c r="B1439" s="4">
        <v>263</v>
      </c>
      <c r="C1439" s="13" t="s">
        <v>2255</v>
      </c>
      <c r="D1439" s="13" t="s">
        <v>1225</v>
      </c>
      <c r="E1439" s="5" t="s">
        <v>5475</v>
      </c>
      <c r="F1439" s="5" t="s">
        <v>5476</v>
      </c>
      <c r="G1439" s="5" t="s">
        <v>5477</v>
      </c>
      <c r="H1439" s="13" t="s">
        <v>4573</v>
      </c>
      <c r="I1439" s="13" t="s">
        <v>2309</v>
      </c>
      <c r="J1439" s="4">
        <v>11572</v>
      </c>
      <c r="K1439" s="4">
        <v>1</v>
      </c>
      <c r="L1439" s="4">
        <v>225</v>
      </c>
      <c r="M1439" s="4">
        <v>2018</v>
      </c>
      <c r="N1439" s="4">
        <v>2</v>
      </c>
      <c r="O1439" s="4">
        <v>6</v>
      </c>
      <c r="P1439" s="4">
        <v>1</v>
      </c>
      <c r="Q1439" s="19">
        <v>959.99</v>
      </c>
      <c r="R1439" s="16">
        <v>0.2</v>
      </c>
      <c r="S1439" s="16">
        <v>959.79</v>
      </c>
      <c r="T1439" s="5" t="s">
        <v>220</v>
      </c>
      <c r="U1439" s="13" t="s">
        <v>301</v>
      </c>
    </row>
    <row r="1440" spans="1:21" x14ac:dyDescent="0.35">
      <c r="A1440" s="4">
        <v>1439</v>
      </c>
      <c r="B1440" s="4">
        <v>463</v>
      </c>
      <c r="C1440" s="13" t="s">
        <v>2256</v>
      </c>
      <c r="D1440" s="13" t="s">
        <v>1098</v>
      </c>
      <c r="E1440" s="5" t="s">
        <v>5566</v>
      </c>
      <c r="F1440" s="5" t="s">
        <v>5478</v>
      </c>
      <c r="G1440" s="5" t="s">
        <v>5479</v>
      </c>
      <c r="H1440" s="13" t="s">
        <v>2463</v>
      </c>
      <c r="I1440" s="13" t="s">
        <v>2309</v>
      </c>
      <c r="J1440" s="4">
        <v>11803</v>
      </c>
      <c r="K1440" s="4">
        <v>1</v>
      </c>
      <c r="L1440" s="4">
        <v>42</v>
      </c>
      <c r="M1440" s="4">
        <v>2017</v>
      </c>
      <c r="N1440" s="4">
        <v>2</v>
      </c>
      <c r="O1440" s="4">
        <v>7</v>
      </c>
      <c r="P1440" s="4">
        <v>1</v>
      </c>
      <c r="Q1440" s="19">
        <v>2299.9899999999998</v>
      </c>
      <c r="R1440" s="16">
        <v>7.0000000000000007E-2</v>
      </c>
      <c r="S1440" s="16">
        <v>2299.9199999999996</v>
      </c>
      <c r="T1440" s="5" t="s">
        <v>43</v>
      </c>
      <c r="U1440" s="13" t="s">
        <v>304</v>
      </c>
    </row>
    <row r="1441" spans="1:21" x14ac:dyDescent="0.35">
      <c r="A1441" s="4">
        <v>1440</v>
      </c>
      <c r="B1441" s="4">
        <v>859</v>
      </c>
      <c r="C1441" s="13" t="s">
        <v>2257</v>
      </c>
      <c r="D1441" s="13" t="s">
        <v>2258</v>
      </c>
      <c r="E1441" s="5" t="s">
        <v>5566</v>
      </c>
      <c r="F1441" s="5" t="s">
        <v>5480</v>
      </c>
      <c r="G1441" s="5" t="s">
        <v>5481</v>
      </c>
      <c r="H1441" s="13" t="s">
        <v>2502</v>
      </c>
      <c r="I1441" s="13" t="s">
        <v>2397</v>
      </c>
      <c r="J1441" s="4">
        <v>77478</v>
      </c>
      <c r="K1441" s="4">
        <v>1</v>
      </c>
      <c r="L1441" s="4">
        <v>116</v>
      </c>
      <c r="M1441" s="4">
        <v>2018</v>
      </c>
      <c r="N1441" s="4">
        <v>3</v>
      </c>
      <c r="O1441" s="4">
        <v>8</v>
      </c>
      <c r="P1441" s="4">
        <v>2</v>
      </c>
      <c r="Q1441" s="19">
        <v>749.99</v>
      </c>
      <c r="R1441" s="16">
        <v>7.0000000000000007E-2</v>
      </c>
      <c r="S1441" s="16">
        <v>1499.91</v>
      </c>
      <c r="T1441" s="5" t="s">
        <v>113</v>
      </c>
      <c r="U1441" s="13" t="s">
        <v>304</v>
      </c>
    </row>
    <row r="1442" spans="1:21" x14ac:dyDescent="0.35">
      <c r="A1442" s="4">
        <v>1441</v>
      </c>
      <c r="B1442" s="4">
        <v>982</v>
      </c>
      <c r="C1442" s="13" t="s">
        <v>2259</v>
      </c>
      <c r="D1442" s="13" t="s">
        <v>1227</v>
      </c>
      <c r="E1442" s="5" t="s">
        <v>5566</v>
      </c>
      <c r="F1442" s="5" t="s">
        <v>5482</v>
      </c>
      <c r="G1442" s="5" t="s">
        <v>5483</v>
      </c>
      <c r="H1442" s="13" t="s">
        <v>2849</v>
      </c>
      <c r="I1442" s="13" t="s">
        <v>2397</v>
      </c>
      <c r="J1442" s="4">
        <v>76901</v>
      </c>
      <c r="K1442" s="4">
        <v>1</v>
      </c>
      <c r="L1442" s="4">
        <v>6</v>
      </c>
      <c r="M1442" s="4">
        <v>2016</v>
      </c>
      <c r="N1442" s="4">
        <v>3</v>
      </c>
      <c r="O1442" s="4">
        <v>8</v>
      </c>
      <c r="P1442" s="4">
        <v>1</v>
      </c>
      <c r="Q1442" s="19">
        <v>469.99</v>
      </c>
      <c r="R1442" s="16">
        <v>0.05</v>
      </c>
      <c r="S1442" s="16">
        <v>469.94</v>
      </c>
      <c r="T1442" s="5" t="s">
        <v>11</v>
      </c>
      <c r="U1442" s="13" t="s">
        <v>304</v>
      </c>
    </row>
    <row r="1443" spans="1:21" x14ac:dyDescent="0.35">
      <c r="A1443" s="4">
        <v>1442</v>
      </c>
      <c r="B1443" s="4">
        <v>478</v>
      </c>
      <c r="C1443" s="13" t="s">
        <v>1831</v>
      </c>
      <c r="D1443" s="13" t="s">
        <v>2243</v>
      </c>
      <c r="E1443" s="5" t="s">
        <v>5566</v>
      </c>
      <c r="F1443" s="5" t="s">
        <v>5484</v>
      </c>
      <c r="G1443" s="5" t="s">
        <v>5485</v>
      </c>
      <c r="H1443" s="13" t="s">
        <v>2636</v>
      </c>
      <c r="I1443" s="13" t="s">
        <v>2309</v>
      </c>
      <c r="J1443" s="4">
        <v>11520</v>
      </c>
      <c r="K1443" s="4">
        <v>1</v>
      </c>
      <c r="L1443" s="4">
        <v>160</v>
      </c>
      <c r="M1443" s="4">
        <v>2018</v>
      </c>
      <c r="N1443" s="4">
        <v>2</v>
      </c>
      <c r="O1443" s="4">
        <v>7</v>
      </c>
      <c r="P1443" s="4">
        <v>1</v>
      </c>
      <c r="Q1443" s="19">
        <v>4499.99</v>
      </c>
      <c r="R1443" s="16">
        <v>0.1</v>
      </c>
      <c r="S1443" s="16">
        <v>4499.8899999999994</v>
      </c>
      <c r="T1443" s="5" t="s">
        <v>157</v>
      </c>
      <c r="U1443" s="13" t="s">
        <v>305</v>
      </c>
    </row>
    <row r="1444" spans="1:21" x14ac:dyDescent="0.35">
      <c r="A1444" s="4">
        <v>1443</v>
      </c>
      <c r="B1444" s="4">
        <v>972</v>
      </c>
      <c r="C1444" s="13" t="s">
        <v>1853</v>
      </c>
      <c r="D1444" s="13" t="s">
        <v>1156</v>
      </c>
      <c r="E1444" s="5" t="s">
        <v>5486</v>
      </c>
      <c r="F1444" s="5" t="s">
        <v>5487</v>
      </c>
      <c r="G1444" s="5" t="s">
        <v>5488</v>
      </c>
      <c r="H1444" s="13" t="s">
        <v>2419</v>
      </c>
      <c r="I1444" s="13" t="s">
        <v>2309</v>
      </c>
      <c r="J1444" s="4">
        <v>11561</v>
      </c>
      <c r="K1444" s="4">
        <v>1</v>
      </c>
      <c r="L1444" s="4">
        <v>160</v>
      </c>
      <c r="M1444" s="4">
        <v>2018</v>
      </c>
      <c r="N1444" s="4">
        <v>2</v>
      </c>
      <c r="O1444" s="4">
        <v>7</v>
      </c>
      <c r="P1444" s="4">
        <v>1</v>
      </c>
      <c r="Q1444" s="19">
        <v>4499.99</v>
      </c>
      <c r="R1444" s="16">
        <v>7.0000000000000007E-2</v>
      </c>
      <c r="S1444" s="16">
        <v>4499.92</v>
      </c>
      <c r="T1444" s="5" t="s">
        <v>157</v>
      </c>
      <c r="U1444" s="13" t="s">
        <v>305</v>
      </c>
    </row>
    <row r="1445" spans="1:21" x14ac:dyDescent="0.35">
      <c r="A1445" s="4">
        <v>1444</v>
      </c>
      <c r="B1445" s="4">
        <v>1154</v>
      </c>
      <c r="C1445" s="13" t="s">
        <v>380</v>
      </c>
      <c r="D1445" s="13" t="s">
        <v>939</v>
      </c>
      <c r="E1445" s="5" t="s">
        <v>5566</v>
      </c>
      <c r="F1445" s="5" t="s">
        <v>5489</v>
      </c>
      <c r="G1445" s="5" t="s">
        <v>5490</v>
      </c>
      <c r="H1445" s="13" t="s">
        <v>2337</v>
      </c>
      <c r="I1445" s="13" t="s">
        <v>2309</v>
      </c>
      <c r="J1445" s="4">
        <v>13021</v>
      </c>
      <c r="K1445" s="4">
        <v>1</v>
      </c>
      <c r="L1445" s="4">
        <v>90</v>
      </c>
      <c r="M1445" s="4">
        <v>2017</v>
      </c>
      <c r="N1445" s="4">
        <v>2</v>
      </c>
      <c r="O1445" s="4">
        <v>6</v>
      </c>
      <c r="P1445" s="4">
        <v>1</v>
      </c>
      <c r="Q1445" s="19">
        <v>209.99</v>
      </c>
      <c r="R1445" s="16">
        <v>0.1</v>
      </c>
      <c r="S1445" s="16">
        <v>209.89000000000001</v>
      </c>
      <c r="T1445" s="5" t="s">
        <v>91</v>
      </c>
      <c r="U1445" s="13" t="s">
        <v>299</v>
      </c>
    </row>
    <row r="1446" spans="1:21" x14ac:dyDescent="0.35">
      <c r="A1446" s="4">
        <v>1445</v>
      </c>
      <c r="B1446" s="4">
        <v>515</v>
      </c>
      <c r="C1446" s="13" t="s">
        <v>2260</v>
      </c>
      <c r="D1446" s="13" t="s">
        <v>2132</v>
      </c>
      <c r="E1446" s="5" t="s">
        <v>5566</v>
      </c>
      <c r="F1446" s="5" t="s">
        <v>5491</v>
      </c>
      <c r="G1446" s="5" t="s">
        <v>5492</v>
      </c>
      <c r="H1446" s="13" t="s">
        <v>2785</v>
      </c>
      <c r="I1446" s="13" t="s">
        <v>2309</v>
      </c>
      <c r="J1446" s="4">
        <v>10583</v>
      </c>
      <c r="K1446" s="4">
        <v>1</v>
      </c>
      <c r="L1446" s="4">
        <v>219</v>
      </c>
      <c r="M1446" s="4">
        <v>2018</v>
      </c>
      <c r="N1446" s="4">
        <v>2</v>
      </c>
      <c r="O1446" s="4">
        <v>7</v>
      </c>
      <c r="P1446" s="4">
        <v>2</v>
      </c>
      <c r="Q1446" s="19">
        <v>639.99</v>
      </c>
      <c r="R1446" s="16">
        <v>0.1</v>
      </c>
      <c r="S1446" s="16">
        <v>1279.8800000000001</v>
      </c>
      <c r="T1446" s="5" t="s">
        <v>214</v>
      </c>
      <c r="U1446" s="13" t="s">
        <v>301</v>
      </c>
    </row>
    <row r="1447" spans="1:21" x14ac:dyDescent="0.35">
      <c r="A1447" s="4">
        <v>1446</v>
      </c>
      <c r="B1447" s="4">
        <v>820</v>
      </c>
      <c r="C1447" s="13" t="s">
        <v>2261</v>
      </c>
      <c r="D1447" s="13" t="s">
        <v>1156</v>
      </c>
      <c r="E1447" s="5" t="s">
        <v>5566</v>
      </c>
      <c r="F1447" s="5" t="s">
        <v>5493</v>
      </c>
      <c r="G1447" s="5" t="s">
        <v>5494</v>
      </c>
      <c r="H1447" s="13" t="s">
        <v>2656</v>
      </c>
      <c r="I1447" s="13" t="s">
        <v>2309</v>
      </c>
      <c r="J1447" s="4">
        <v>12302</v>
      </c>
      <c r="K1447" s="4">
        <v>1</v>
      </c>
      <c r="L1447" s="4">
        <v>227</v>
      </c>
      <c r="M1447" s="4">
        <v>2018</v>
      </c>
      <c r="N1447" s="4">
        <v>2</v>
      </c>
      <c r="O1447" s="4">
        <v>6</v>
      </c>
      <c r="P1447" s="4">
        <v>1</v>
      </c>
      <c r="Q1447" s="19">
        <v>319.99</v>
      </c>
      <c r="R1447" s="16">
        <v>0.05</v>
      </c>
      <c r="S1447" s="16">
        <v>319.94</v>
      </c>
      <c r="T1447" s="5" t="s">
        <v>222</v>
      </c>
      <c r="U1447" s="13" t="s">
        <v>301</v>
      </c>
    </row>
    <row r="1448" spans="1:21" x14ac:dyDescent="0.35">
      <c r="A1448" s="4">
        <v>1447</v>
      </c>
      <c r="B1448" s="4">
        <v>1419</v>
      </c>
      <c r="C1448" s="13" t="s">
        <v>1647</v>
      </c>
      <c r="D1448" s="13" t="s">
        <v>1759</v>
      </c>
      <c r="E1448" s="5" t="s">
        <v>5566</v>
      </c>
      <c r="F1448" s="5" t="s">
        <v>5495</v>
      </c>
      <c r="G1448" s="5" t="s">
        <v>5496</v>
      </c>
      <c r="H1448" s="13" t="s">
        <v>2304</v>
      </c>
      <c r="I1448" s="13" t="s">
        <v>2305</v>
      </c>
      <c r="J1448" s="4">
        <v>94566</v>
      </c>
      <c r="K1448" s="4">
        <v>1</v>
      </c>
      <c r="L1448" s="4">
        <v>148</v>
      </c>
      <c r="M1448" s="4">
        <v>2018</v>
      </c>
      <c r="N1448" s="4">
        <v>1</v>
      </c>
      <c r="O1448" s="4">
        <v>3</v>
      </c>
      <c r="P1448" s="4">
        <v>1</v>
      </c>
      <c r="Q1448" s="19">
        <v>5499.99</v>
      </c>
      <c r="R1448" s="16">
        <v>0.2</v>
      </c>
      <c r="S1448" s="16">
        <v>5499.79</v>
      </c>
      <c r="T1448" s="5" t="s">
        <v>145</v>
      </c>
      <c r="U1448" s="13" t="s">
        <v>305</v>
      </c>
    </row>
    <row r="1449" spans="1:21" x14ac:dyDescent="0.35">
      <c r="A1449" s="4">
        <v>1448</v>
      </c>
      <c r="B1449" s="4">
        <v>228</v>
      </c>
      <c r="C1449" s="13" t="s">
        <v>1132</v>
      </c>
      <c r="D1449" s="13" t="s">
        <v>1081</v>
      </c>
      <c r="E1449" s="5" t="s">
        <v>5497</v>
      </c>
      <c r="F1449" s="5" t="s">
        <v>5498</v>
      </c>
      <c r="G1449" s="5" t="s">
        <v>5499</v>
      </c>
      <c r="H1449" s="13" t="s">
        <v>2698</v>
      </c>
      <c r="I1449" s="13" t="s">
        <v>2309</v>
      </c>
      <c r="J1449" s="4">
        <v>11717</v>
      </c>
      <c r="K1449" s="4">
        <v>1</v>
      </c>
      <c r="L1449" s="4">
        <v>239</v>
      </c>
      <c r="M1449" s="4">
        <v>2018</v>
      </c>
      <c r="N1449" s="4">
        <v>2</v>
      </c>
      <c r="O1449" s="4">
        <v>6</v>
      </c>
      <c r="P1449" s="4">
        <v>1</v>
      </c>
      <c r="Q1449" s="19">
        <v>749.99</v>
      </c>
      <c r="R1449" s="16">
        <v>0.1</v>
      </c>
      <c r="S1449" s="16">
        <v>749.89</v>
      </c>
      <c r="T1449" s="5" t="s">
        <v>234</v>
      </c>
      <c r="U1449" s="13" t="s">
        <v>301</v>
      </c>
    </row>
    <row r="1450" spans="1:21" x14ac:dyDescent="0.35">
      <c r="A1450" s="4">
        <v>1449</v>
      </c>
      <c r="B1450" s="4">
        <v>330</v>
      </c>
      <c r="C1450" s="13" t="s">
        <v>2262</v>
      </c>
      <c r="D1450" s="13" t="s">
        <v>487</v>
      </c>
      <c r="E1450" s="5" t="s">
        <v>5566</v>
      </c>
      <c r="F1450" s="5" t="s">
        <v>5500</v>
      </c>
      <c r="G1450" s="5" t="s">
        <v>5501</v>
      </c>
      <c r="H1450" s="13" t="s">
        <v>2415</v>
      </c>
      <c r="I1450" s="13" t="s">
        <v>2309</v>
      </c>
      <c r="J1450" s="4">
        <v>11377</v>
      </c>
      <c r="K1450" s="4">
        <v>1</v>
      </c>
      <c r="L1450" s="4">
        <v>159</v>
      </c>
      <c r="M1450" s="4">
        <v>2018</v>
      </c>
      <c r="N1450" s="4">
        <v>2</v>
      </c>
      <c r="O1450" s="4">
        <v>7</v>
      </c>
      <c r="P1450" s="4">
        <v>1</v>
      </c>
      <c r="Q1450" s="19">
        <v>2299.9899999999998</v>
      </c>
      <c r="R1450" s="16">
        <v>7.0000000000000007E-2</v>
      </c>
      <c r="S1450" s="16">
        <v>2299.9199999999996</v>
      </c>
      <c r="T1450" s="5" t="s">
        <v>156</v>
      </c>
      <c r="U1450" s="13" t="s">
        <v>305</v>
      </c>
    </row>
    <row r="1451" spans="1:21" x14ac:dyDescent="0.35">
      <c r="A1451" s="4">
        <v>1450</v>
      </c>
      <c r="B1451" s="4">
        <v>296</v>
      </c>
      <c r="C1451" s="13" t="s">
        <v>2263</v>
      </c>
      <c r="D1451" s="13" t="s">
        <v>1750</v>
      </c>
      <c r="E1451" s="5" t="s">
        <v>5566</v>
      </c>
      <c r="F1451" s="5" t="s">
        <v>5502</v>
      </c>
      <c r="G1451" s="5" t="s">
        <v>5503</v>
      </c>
      <c r="H1451" s="13" t="s">
        <v>3212</v>
      </c>
      <c r="I1451" s="13" t="s">
        <v>2309</v>
      </c>
      <c r="J1451" s="4">
        <v>11553</v>
      </c>
      <c r="K1451" s="4">
        <v>1</v>
      </c>
      <c r="L1451" s="4">
        <v>98</v>
      </c>
      <c r="M1451" s="4">
        <v>2017</v>
      </c>
      <c r="N1451" s="4">
        <v>2</v>
      </c>
      <c r="O1451" s="4">
        <v>7</v>
      </c>
      <c r="P1451" s="4">
        <v>1</v>
      </c>
      <c r="Q1451" s="19">
        <v>489.99</v>
      </c>
      <c r="R1451" s="16">
        <v>7.0000000000000007E-2</v>
      </c>
      <c r="S1451" s="16">
        <v>489.92</v>
      </c>
      <c r="T1451" s="5" t="s">
        <v>98</v>
      </c>
      <c r="U1451" s="13" t="s">
        <v>299</v>
      </c>
    </row>
    <row r="1452" spans="1:21" x14ac:dyDescent="0.35">
      <c r="A1452" s="4">
        <v>1451</v>
      </c>
      <c r="B1452" s="4">
        <v>822</v>
      </c>
      <c r="C1452" s="13" t="s">
        <v>2264</v>
      </c>
      <c r="D1452" s="13" t="s">
        <v>2265</v>
      </c>
      <c r="E1452" s="5" t="s">
        <v>5566</v>
      </c>
      <c r="F1452" s="5" t="s">
        <v>5504</v>
      </c>
      <c r="G1452" s="5" t="s">
        <v>5505</v>
      </c>
      <c r="H1452" s="13" t="s">
        <v>2690</v>
      </c>
      <c r="I1452" s="13" t="s">
        <v>2309</v>
      </c>
      <c r="J1452" s="4">
        <v>11414</v>
      </c>
      <c r="K1452" s="4">
        <v>1</v>
      </c>
      <c r="L1452" s="4">
        <v>117</v>
      </c>
      <c r="M1452" s="4">
        <v>2018</v>
      </c>
      <c r="N1452" s="4">
        <v>2</v>
      </c>
      <c r="O1452" s="4">
        <v>6</v>
      </c>
      <c r="P1452" s="4">
        <v>1</v>
      </c>
      <c r="Q1452" s="19">
        <v>1469.99</v>
      </c>
      <c r="R1452" s="16">
        <v>0.05</v>
      </c>
      <c r="S1452" s="16">
        <v>1469.94</v>
      </c>
      <c r="T1452" s="5" t="s">
        <v>114</v>
      </c>
      <c r="U1452" s="13" t="s">
        <v>304</v>
      </c>
    </row>
    <row r="1453" spans="1:21" x14ac:dyDescent="0.35">
      <c r="A1453" s="4">
        <v>1452</v>
      </c>
      <c r="B1453" s="4">
        <v>287</v>
      </c>
      <c r="C1453" s="13" t="s">
        <v>2266</v>
      </c>
      <c r="D1453" s="13" t="s">
        <v>2140</v>
      </c>
      <c r="E1453" s="5" t="s">
        <v>5506</v>
      </c>
      <c r="F1453" s="5" t="s">
        <v>5507</v>
      </c>
      <c r="G1453" s="5" t="s">
        <v>5508</v>
      </c>
      <c r="H1453" s="13" t="s">
        <v>2704</v>
      </c>
      <c r="I1453" s="13" t="s">
        <v>2305</v>
      </c>
      <c r="J1453" s="4">
        <v>93035</v>
      </c>
      <c r="K1453" s="4">
        <v>1</v>
      </c>
      <c r="L1453" s="4">
        <v>99</v>
      </c>
      <c r="M1453" s="4">
        <v>2017</v>
      </c>
      <c r="N1453" s="4">
        <v>1</v>
      </c>
      <c r="O1453" s="4">
        <v>3</v>
      </c>
      <c r="P1453" s="4">
        <v>2</v>
      </c>
      <c r="Q1453" s="19">
        <v>299.99</v>
      </c>
      <c r="R1453" s="16">
        <v>0.1</v>
      </c>
      <c r="S1453" s="16">
        <v>599.88</v>
      </c>
      <c r="T1453" s="5" t="s">
        <v>99</v>
      </c>
      <c r="U1453" s="13" t="s">
        <v>299</v>
      </c>
    </row>
    <row r="1454" spans="1:21" x14ac:dyDescent="0.35">
      <c r="A1454" s="4">
        <v>1453</v>
      </c>
      <c r="B1454" s="4">
        <v>601</v>
      </c>
      <c r="C1454" s="13" t="s">
        <v>2267</v>
      </c>
      <c r="D1454" s="13" t="s">
        <v>2268</v>
      </c>
      <c r="E1454" s="5" t="s">
        <v>5566</v>
      </c>
      <c r="F1454" s="5" t="s">
        <v>5509</v>
      </c>
      <c r="G1454" s="5" t="s">
        <v>5510</v>
      </c>
      <c r="H1454" s="13" t="s">
        <v>2362</v>
      </c>
      <c r="I1454" s="13" t="s">
        <v>2305</v>
      </c>
      <c r="J1454" s="4">
        <v>91316</v>
      </c>
      <c r="K1454" s="4">
        <v>1</v>
      </c>
      <c r="L1454" s="4">
        <v>89</v>
      </c>
      <c r="M1454" s="4">
        <v>2017</v>
      </c>
      <c r="N1454" s="4">
        <v>1</v>
      </c>
      <c r="O1454" s="4">
        <v>3</v>
      </c>
      <c r="P1454" s="4">
        <v>2</v>
      </c>
      <c r="Q1454" s="19">
        <v>209.99</v>
      </c>
      <c r="R1454" s="16">
        <v>0.1</v>
      </c>
      <c r="S1454" s="16">
        <v>419.88</v>
      </c>
      <c r="T1454" s="5" t="s">
        <v>90</v>
      </c>
      <c r="U1454" s="13" t="s">
        <v>299</v>
      </c>
    </row>
    <row r="1455" spans="1:21" x14ac:dyDescent="0.35">
      <c r="A1455" s="4">
        <v>1454</v>
      </c>
      <c r="B1455" s="4">
        <v>395</v>
      </c>
      <c r="C1455" s="13" t="s">
        <v>2269</v>
      </c>
      <c r="D1455" s="13" t="s">
        <v>2270</v>
      </c>
      <c r="E1455" s="5" t="s">
        <v>5566</v>
      </c>
      <c r="F1455" s="5" t="s">
        <v>5511</v>
      </c>
      <c r="G1455" s="5" t="s">
        <v>5512</v>
      </c>
      <c r="H1455" s="13" t="s">
        <v>2433</v>
      </c>
      <c r="I1455" s="13" t="s">
        <v>2309</v>
      </c>
      <c r="J1455" s="4">
        <v>13090</v>
      </c>
      <c r="K1455" s="4">
        <v>1</v>
      </c>
      <c r="L1455" s="4">
        <v>283</v>
      </c>
      <c r="M1455" s="4">
        <v>2018</v>
      </c>
      <c r="N1455" s="4">
        <v>2</v>
      </c>
      <c r="O1455" s="4">
        <v>6</v>
      </c>
      <c r="P1455" s="4">
        <v>1</v>
      </c>
      <c r="Q1455" s="19">
        <v>319.99</v>
      </c>
      <c r="R1455" s="16">
        <v>7.0000000000000007E-2</v>
      </c>
      <c r="S1455" s="16">
        <v>319.92</v>
      </c>
      <c r="T1455" s="5" t="s">
        <v>273</v>
      </c>
      <c r="U1455" s="13" t="s">
        <v>299</v>
      </c>
    </row>
    <row r="1456" spans="1:21" x14ac:dyDescent="0.35">
      <c r="A1456" s="4">
        <v>1455</v>
      </c>
      <c r="B1456" s="4">
        <v>405</v>
      </c>
      <c r="C1456" s="13" t="s">
        <v>2271</v>
      </c>
      <c r="D1456" s="13" t="s">
        <v>1181</v>
      </c>
      <c r="E1456" s="5" t="s">
        <v>5566</v>
      </c>
      <c r="F1456" s="5" t="s">
        <v>5513</v>
      </c>
      <c r="G1456" s="5" t="s">
        <v>5514</v>
      </c>
      <c r="H1456" s="13" t="s">
        <v>3917</v>
      </c>
      <c r="I1456" s="13" t="s">
        <v>2309</v>
      </c>
      <c r="J1456" s="4">
        <v>11725</v>
      </c>
      <c r="K1456" s="4">
        <v>1</v>
      </c>
      <c r="L1456" s="4">
        <v>101</v>
      </c>
      <c r="M1456" s="4">
        <v>2017</v>
      </c>
      <c r="N1456" s="4">
        <v>2</v>
      </c>
      <c r="O1456" s="4">
        <v>6</v>
      </c>
      <c r="P1456" s="4">
        <v>2</v>
      </c>
      <c r="Q1456" s="19">
        <v>339.99</v>
      </c>
      <c r="R1456" s="16">
        <v>0.05</v>
      </c>
      <c r="S1456" s="16">
        <v>679.93000000000006</v>
      </c>
      <c r="T1456" s="5" t="s">
        <v>101</v>
      </c>
      <c r="U1456" s="13" t="s">
        <v>299</v>
      </c>
    </row>
    <row r="1457" spans="1:21" x14ac:dyDescent="0.35">
      <c r="A1457" s="4">
        <v>1456</v>
      </c>
      <c r="B1457" s="4">
        <v>754</v>
      </c>
      <c r="C1457" s="13" t="s">
        <v>1365</v>
      </c>
      <c r="D1457" s="13" t="s">
        <v>429</v>
      </c>
      <c r="E1457" s="5" t="s">
        <v>5566</v>
      </c>
      <c r="F1457" s="5" t="s">
        <v>5515</v>
      </c>
      <c r="G1457" s="5" t="s">
        <v>5516</v>
      </c>
      <c r="H1457" s="13" t="s">
        <v>3881</v>
      </c>
      <c r="I1457" s="13" t="s">
        <v>2309</v>
      </c>
      <c r="J1457" s="4">
        <v>11580</v>
      </c>
      <c r="K1457" s="4">
        <v>1</v>
      </c>
      <c r="L1457" s="4">
        <v>193</v>
      </c>
      <c r="M1457" s="4">
        <v>2018</v>
      </c>
      <c r="N1457" s="4">
        <v>2</v>
      </c>
      <c r="O1457" s="4">
        <v>7</v>
      </c>
      <c r="P1457" s="4">
        <v>2</v>
      </c>
      <c r="Q1457" s="19">
        <v>2799.99</v>
      </c>
      <c r="R1457" s="16">
        <v>0.05</v>
      </c>
      <c r="S1457" s="16">
        <v>5599.9299999999994</v>
      </c>
      <c r="T1457" s="5" t="s">
        <v>190</v>
      </c>
      <c r="U1457" s="13" t="s">
        <v>303</v>
      </c>
    </row>
    <row r="1458" spans="1:21" x14ac:dyDescent="0.35">
      <c r="A1458" s="4">
        <v>1457</v>
      </c>
      <c r="B1458" s="4">
        <v>1411</v>
      </c>
      <c r="C1458" s="13" t="s">
        <v>2272</v>
      </c>
      <c r="D1458" s="13" t="s">
        <v>1504</v>
      </c>
      <c r="E1458" s="5" t="s">
        <v>5566</v>
      </c>
      <c r="F1458" s="5" t="s">
        <v>5517</v>
      </c>
      <c r="G1458" s="5" t="s">
        <v>5518</v>
      </c>
      <c r="H1458" s="13" t="s">
        <v>2636</v>
      </c>
      <c r="I1458" s="13" t="s">
        <v>2309</v>
      </c>
      <c r="J1458" s="4">
        <v>11520</v>
      </c>
      <c r="K1458" s="4">
        <v>1</v>
      </c>
      <c r="L1458" s="4">
        <v>113</v>
      </c>
      <c r="M1458" s="4">
        <v>2018</v>
      </c>
      <c r="N1458" s="4">
        <v>2</v>
      </c>
      <c r="O1458" s="4">
        <v>6</v>
      </c>
      <c r="P1458" s="4">
        <v>1</v>
      </c>
      <c r="Q1458" s="19">
        <v>489.99</v>
      </c>
      <c r="R1458" s="16">
        <v>7.0000000000000007E-2</v>
      </c>
      <c r="S1458" s="16">
        <v>489.92</v>
      </c>
      <c r="T1458" s="5" t="s">
        <v>110</v>
      </c>
      <c r="U1458" s="13" t="s">
        <v>304</v>
      </c>
    </row>
    <row r="1459" spans="1:21" x14ac:dyDescent="0.35">
      <c r="A1459" s="4">
        <v>1458</v>
      </c>
      <c r="B1459" s="4">
        <v>1029</v>
      </c>
      <c r="C1459" s="13" t="s">
        <v>2273</v>
      </c>
      <c r="D1459" s="13" t="s">
        <v>383</v>
      </c>
      <c r="E1459" s="5" t="s">
        <v>5566</v>
      </c>
      <c r="F1459" s="5" t="s">
        <v>5519</v>
      </c>
      <c r="G1459" s="5" t="s">
        <v>5520</v>
      </c>
      <c r="H1459" s="13" t="s">
        <v>3280</v>
      </c>
      <c r="I1459" s="13" t="s">
        <v>2397</v>
      </c>
      <c r="J1459" s="4">
        <v>75088</v>
      </c>
      <c r="K1459" s="4">
        <v>1</v>
      </c>
      <c r="L1459" s="4">
        <v>295</v>
      </c>
      <c r="M1459" s="4">
        <v>2018</v>
      </c>
      <c r="N1459" s="4">
        <v>3</v>
      </c>
      <c r="O1459" s="4">
        <v>8</v>
      </c>
      <c r="P1459" s="4">
        <v>2</v>
      </c>
      <c r="Q1459" s="19">
        <v>319.99</v>
      </c>
      <c r="R1459" s="16">
        <v>0.05</v>
      </c>
      <c r="S1459" s="16">
        <v>639.93000000000006</v>
      </c>
      <c r="T1459" s="5" t="s">
        <v>285</v>
      </c>
      <c r="U1459" s="13" t="s">
        <v>299</v>
      </c>
    </row>
    <row r="1460" spans="1:21" x14ac:dyDescent="0.35">
      <c r="A1460" s="4">
        <v>1459</v>
      </c>
      <c r="B1460" s="4">
        <v>9</v>
      </c>
      <c r="C1460" s="13" t="s">
        <v>469</v>
      </c>
      <c r="D1460" s="13" t="s">
        <v>470</v>
      </c>
      <c r="E1460" s="5" t="s">
        <v>5566</v>
      </c>
      <c r="F1460" s="5" t="s">
        <v>2523</v>
      </c>
      <c r="G1460" s="5" t="s">
        <v>2524</v>
      </c>
      <c r="H1460" s="13" t="s">
        <v>2525</v>
      </c>
      <c r="I1460" s="13" t="s">
        <v>2309</v>
      </c>
      <c r="J1460" s="4">
        <v>11050</v>
      </c>
      <c r="K1460" s="4">
        <v>1</v>
      </c>
      <c r="L1460" s="4">
        <v>258</v>
      </c>
      <c r="M1460" s="4">
        <v>2018</v>
      </c>
      <c r="N1460" s="4">
        <v>2</v>
      </c>
      <c r="O1460" s="4">
        <v>7</v>
      </c>
      <c r="P1460" s="4">
        <v>1</v>
      </c>
      <c r="Q1460" s="19">
        <v>1259.9000000000001</v>
      </c>
      <c r="R1460" s="16">
        <v>0.1</v>
      </c>
      <c r="S1460" s="16">
        <v>1259.8000000000002</v>
      </c>
      <c r="T1460" s="5" t="s">
        <v>249</v>
      </c>
      <c r="U1460" s="13" t="s">
        <v>301</v>
      </c>
    </row>
    <row r="1461" spans="1:21" x14ac:dyDescent="0.35">
      <c r="A1461" s="4">
        <v>1460</v>
      </c>
      <c r="B1461" s="4">
        <v>1131</v>
      </c>
      <c r="C1461" s="13" t="s">
        <v>2274</v>
      </c>
      <c r="D1461" s="13" t="s">
        <v>2275</v>
      </c>
      <c r="E1461" s="5" t="s">
        <v>5566</v>
      </c>
      <c r="F1461" s="5" t="s">
        <v>5521</v>
      </c>
      <c r="G1461" s="5" t="s">
        <v>5522</v>
      </c>
      <c r="H1461" s="13" t="s">
        <v>2368</v>
      </c>
      <c r="I1461" s="13" t="s">
        <v>2309</v>
      </c>
      <c r="J1461" s="4">
        <v>10550</v>
      </c>
      <c r="K1461" s="4">
        <v>1</v>
      </c>
      <c r="L1461" s="4">
        <v>201</v>
      </c>
      <c r="M1461" s="4">
        <v>2018</v>
      </c>
      <c r="N1461" s="4">
        <v>2</v>
      </c>
      <c r="O1461" s="4">
        <v>7</v>
      </c>
      <c r="P1461" s="4">
        <v>1</v>
      </c>
      <c r="Q1461" s="19">
        <v>4499.99</v>
      </c>
      <c r="R1461" s="16">
        <v>0.05</v>
      </c>
      <c r="S1461" s="16">
        <v>4499.9399999999996</v>
      </c>
      <c r="T1461" s="5" t="s">
        <v>198</v>
      </c>
      <c r="U1461" s="13" t="s">
        <v>303</v>
      </c>
    </row>
    <row r="1462" spans="1:21" x14ac:dyDescent="0.35">
      <c r="A1462" s="4">
        <v>1461</v>
      </c>
      <c r="B1462" s="4">
        <v>139</v>
      </c>
      <c r="C1462" s="13" t="s">
        <v>2276</v>
      </c>
      <c r="D1462" s="13" t="s">
        <v>1553</v>
      </c>
      <c r="E1462" s="5" t="s">
        <v>5566</v>
      </c>
      <c r="F1462" s="5" t="s">
        <v>5523</v>
      </c>
      <c r="G1462" s="5" t="s">
        <v>5524</v>
      </c>
      <c r="H1462" s="13" t="s">
        <v>3063</v>
      </c>
      <c r="I1462" s="13" t="s">
        <v>2309</v>
      </c>
      <c r="J1462" s="4">
        <v>10977</v>
      </c>
      <c r="K1462" s="4">
        <v>1</v>
      </c>
      <c r="L1462" s="4">
        <v>48</v>
      </c>
      <c r="M1462" s="4">
        <v>2017</v>
      </c>
      <c r="N1462" s="4">
        <v>2</v>
      </c>
      <c r="O1462" s="4">
        <v>6</v>
      </c>
      <c r="P1462" s="4">
        <v>1</v>
      </c>
      <c r="Q1462" s="19">
        <v>1499.99</v>
      </c>
      <c r="R1462" s="16">
        <v>0.2</v>
      </c>
      <c r="S1462" s="16">
        <v>1499.79</v>
      </c>
      <c r="T1462" s="5" t="s">
        <v>49</v>
      </c>
      <c r="U1462" s="13" t="s">
        <v>305</v>
      </c>
    </row>
    <row r="1463" spans="1:21" x14ac:dyDescent="0.35">
      <c r="A1463" s="4">
        <v>1462</v>
      </c>
      <c r="B1463" s="4">
        <v>1101</v>
      </c>
      <c r="C1463" s="13" t="s">
        <v>2277</v>
      </c>
      <c r="D1463" s="13" t="s">
        <v>2278</v>
      </c>
      <c r="E1463" s="5" t="s">
        <v>5566</v>
      </c>
      <c r="F1463" s="5" t="s">
        <v>5525</v>
      </c>
      <c r="G1463" s="5" t="s">
        <v>5526</v>
      </c>
      <c r="H1463" s="13" t="s">
        <v>4270</v>
      </c>
      <c r="I1463" s="13" t="s">
        <v>2309</v>
      </c>
      <c r="J1463" s="4">
        <v>14043</v>
      </c>
      <c r="K1463" s="4">
        <v>1</v>
      </c>
      <c r="L1463" s="4">
        <v>263</v>
      </c>
      <c r="M1463" s="4">
        <v>2018</v>
      </c>
      <c r="N1463" s="4">
        <v>2</v>
      </c>
      <c r="O1463" s="4">
        <v>6</v>
      </c>
      <c r="P1463" s="4">
        <v>1</v>
      </c>
      <c r="Q1463" s="19">
        <v>89.99</v>
      </c>
      <c r="R1463" s="16">
        <v>0.2</v>
      </c>
      <c r="S1463" s="16">
        <v>89.789999999999992</v>
      </c>
      <c r="T1463" s="5" t="s">
        <v>254</v>
      </c>
      <c r="U1463" s="13" t="s">
        <v>299</v>
      </c>
    </row>
    <row r="1464" spans="1:21" x14ac:dyDescent="0.35">
      <c r="A1464" s="4">
        <v>1463</v>
      </c>
      <c r="B1464" s="4">
        <v>692</v>
      </c>
      <c r="C1464" s="13" t="s">
        <v>1431</v>
      </c>
      <c r="D1464" s="13" t="s">
        <v>2232</v>
      </c>
      <c r="E1464" s="5" t="s">
        <v>5566</v>
      </c>
      <c r="F1464" s="5" t="s">
        <v>5527</v>
      </c>
      <c r="G1464" s="5" t="s">
        <v>5528</v>
      </c>
      <c r="H1464" s="13" t="s">
        <v>3156</v>
      </c>
      <c r="I1464" s="13" t="s">
        <v>2309</v>
      </c>
      <c r="J1464" s="4">
        <v>11102</v>
      </c>
      <c r="K1464" s="4">
        <v>1</v>
      </c>
      <c r="L1464" s="4">
        <v>51</v>
      </c>
      <c r="M1464" s="4">
        <v>2017</v>
      </c>
      <c r="N1464" s="4">
        <v>2</v>
      </c>
      <c r="O1464" s="4">
        <v>7</v>
      </c>
      <c r="P1464" s="4">
        <v>2</v>
      </c>
      <c r="Q1464" s="19">
        <v>6499.99</v>
      </c>
      <c r="R1464" s="16">
        <v>0.05</v>
      </c>
      <c r="S1464" s="16">
        <v>12999.93</v>
      </c>
      <c r="T1464" s="5" t="s">
        <v>52</v>
      </c>
      <c r="U1464" s="13" t="s">
        <v>305</v>
      </c>
    </row>
    <row r="1465" spans="1:21" x14ac:dyDescent="0.35">
      <c r="A1465" s="4">
        <v>1464</v>
      </c>
      <c r="B1465" s="4">
        <v>1279</v>
      </c>
      <c r="C1465" s="13" t="s">
        <v>2279</v>
      </c>
      <c r="D1465" s="13" t="s">
        <v>527</v>
      </c>
      <c r="E1465" s="5" t="s">
        <v>5566</v>
      </c>
      <c r="F1465" s="5" t="s">
        <v>5529</v>
      </c>
      <c r="G1465" s="5" t="s">
        <v>5530</v>
      </c>
      <c r="H1465" s="13" t="s">
        <v>3204</v>
      </c>
      <c r="I1465" s="13" t="s">
        <v>2309</v>
      </c>
      <c r="J1465" s="4">
        <v>14424</v>
      </c>
      <c r="K1465" s="4">
        <v>1</v>
      </c>
      <c r="L1465" s="4">
        <v>109</v>
      </c>
      <c r="M1465" s="4">
        <v>2017</v>
      </c>
      <c r="N1465" s="4">
        <v>2</v>
      </c>
      <c r="O1465" s="4">
        <v>7</v>
      </c>
      <c r="P1465" s="4">
        <v>2</v>
      </c>
      <c r="Q1465" s="19">
        <v>416.99</v>
      </c>
      <c r="R1465" s="16">
        <v>0.05</v>
      </c>
      <c r="S1465" s="16">
        <v>833.93000000000006</v>
      </c>
      <c r="T1465" s="5" t="s">
        <v>106</v>
      </c>
      <c r="U1465" s="13" t="s">
        <v>300</v>
      </c>
    </row>
    <row r="1466" spans="1:21" x14ac:dyDescent="0.35">
      <c r="A1466" s="4">
        <v>1465</v>
      </c>
      <c r="B1466" s="4">
        <v>623</v>
      </c>
      <c r="C1466" s="13" t="s">
        <v>2280</v>
      </c>
      <c r="D1466" s="13" t="s">
        <v>520</v>
      </c>
      <c r="E1466" s="5" t="s">
        <v>5566</v>
      </c>
      <c r="F1466" s="5" t="s">
        <v>5531</v>
      </c>
      <c r="G1466" s="5" t="s">
        <v>5532</v>
      </c>
      <c r="H1466" s="13" t="s">
        <v>2888</v>
      </c>
      <c r="I1466" s="13" t="s">
        <v>2309</v>
      </c>
      <c r="J1466" s="4">
        <v>11727</v>
      </c>
      <c r="K1466" s="4">
        <v>1</v>
      </c>
      <c r="L1466" s="4">
        <v>70</v>
      </c>
      <c r="M1466" s="4">
        <v>2017</v>
      </c>
      <c r="N1466" s="4">
        <v>2</v>
      </c>
      <c r="O1466" s="4">
        <v>7</v>
      </c>
      <c r="P1466" s="4">
        <v>2</v>
      </c>
      <c r="Q1466" s="19">
        <v>659.99</v>
      </c>
      <c r="R1466" s="16">
        <v>0.05</v>
      </c>
      <c r="S1466" s="16">
        <v>1319.93</v>
      </c>
      <c r="T1466" s="5" t="s">
        <v>71</v>
      </c>
      <c r="U1466" s="13" t="s">
        <v>301</v>
      </c>
    </row>
    <row r="1467" spans="1:21" x14ac:dyDescent="0.35">
      <c r="A1467" s="4">
        <v>1466</v>
      </c>
      <c r="B1467" s="4">
        <v>738</v>
      </c>
      <c r="C1467" s="13" t="s">
        <v>2281</v>
      </c>
      <c r="D1467" s="13" t="s">
        <v>861</v>
      </c>
      <c r="E1467" s="5" t="s">
        <v>5533</v>
      </c>
      <c r="F1467" s="5" t="s">
        <v>5534</v>
      </c>
      <c r="G1467" s="5" t="s">
        <v>5535</v>
      </c>
      <c r="H1467" s="13" t="s">
        <v>2704</v>
      </c>
      <c r="I1467" s="13" t="s">
        <v>2305</v>
      </c>
      <c r="J1467" s="4">
        <v>93035</v>
      </c>
      <c r="K1467" s="4">
        <v>1</v>
      </c>
      <c r="L1467" s="4">
        <v>310</v>
      </c>
      <c r="M1467" s="4">
        <v>2018</v>
      </c>
      <c r="N1467" s="4">
        <v>1</v>
      </c>
      <c r="O1467" s="4">
        <v>3</v>
      </c>
      <c r="P1467" s="4">
        <v>2</v>
      </c>
      <c r="Q1467" s="19">
        <v>899.99</v>
      </c>
      <c r="R1467" s="16">
        <v>7.0000000000000007E-2</v>
      </c>
      <c r="S1467" s="16">
        <v>1799.91</v>
      </c>
      <c r="T1467" s="5" t="s">
        <v>235</v>
      </c>
      <c r="U1467" s="13" t="s">
        <v>300</v>
      </c>
    </row>
    <row r="1468" spans="1:21" x14ac:dyDescent="0.35">
      <c r="A1468" s="4">
        <v>1467</v>
      </c>
      <c r="B1468" s="4">
        <v>152</v>
      </c>
      <c r="C1468" s="13" t="s">
        <v>2282</v>
      </c>
      <c r="D1468" s="13" t="s">
        <v>437</v>
      </c>
      <c r="E1468" s="5" t="s">
        <v>5566</v>
      </c>
      <c r="F1468" s="5" t="s">
        <v>5536</v>
      </c>
      <c r="G1468" s="5" t="s">
        <v>5537</v>
      </c>
      <c r="H1468" s="13" t="s">
        <v>2463</v>
      </c>
      <c r="I1468" s="13" t="s">
        <v>2309</v>
      </c>
      <c r="J1468" s="4">
        <v>11803</v>
      </c>
      <c r="K1468" s="4">
        <v>1</v>
      </c>
      <c r="L1468" s="4">
        <v>18</v>
      </c>
      <c r="M1468" s="4">
        <v>2016</v>
      </c>
      <c r="N1468" s="4">
        <v>2</v>
      </c>
      <c r="O1468" s="4">
        <v>7</v>
      </c>
      <c r="P1468" s="4">
        <v>1</v>
      </c>
      <c r="Q1468" s="19">
        <v>449</v>
      </c>
      <c r="R1468" s="16">
        <v>7.0000000000000007E-2</v>
      </c>
      <c r="S1468" s="16">
        <v>448.93</v>
      </c>
      <c r="T1468" s="5" t="s">
        <v>23</v>
      </c>
      <c r="U1468" s="13" t="s">
        <v>301</v>
      </c>
    </row>
    <row r="1469" spans="1:21" x14ac:dyDescent="0.35">
      <c r="A1469" s="4">
        <v>1468</v>
      </c>
      <c r="B1469" s="4">
        <v>3</v>
      </c>
      <c r="C1469" s="13" t="s">
        <v>2283</v>
      </c>
      <c r="D1469" s="13" t="s">
        <v>2017</v>
      </c>
      <c r="E1469" s="5" t="s">
        <v>5566</v>
      </c>
      <c r="F1469" s="5" t="s">
        <v>5538</v>
      </c>
      <c r="G1469" s="5" t="s">
        <v>5539</v>
      </c>
      <c r="H1469" s="13" t="s">
        <v>3044</v>
      </c>
      <c r="I1469" s="13" t="s">
        <v>2305</v>
      </c>
      <c r="J1469" s="4">
        <v>90278</v>
      </c>
      <c r="K1469" s="4">
        <v>1</v>
      </c>
      <c r="L1469" s="4">
        <v>269</v>
      </c>
      <c r="M1469" s="4">
        <v>2018</v>
      </c>
      <c r="N1469" s="4">
        <v>1</v>
      </c>
      <c r="O1469" s="4">
        <v>2</v>
      </c>
      <c r="P1469" s="4">
        <v>1</v>
      </c>
      <c r="Q1469" s="19">
        <v>199.99</v>
      </c>
      <c r="R1469" s="16">
        <v>0.05</v>
      </c>
      <c r="S1469" s="16">
        <v>199.94</v>
      </c>
      <c r="T1469" s="5" t="s">
        <v>260</v>
      </c>
      <c r="U1469" s="13" t="s">
        <v>299</v>
      </c>
    </row>
    <row r="1470" spans="1:21" x14ac:dyDescent="0.35">
      <c r="A1470" s="4">
        <v>1469</v>
      </c>
      <c r="B1470" s="4">
        <v>1135</v>
      </c>
      <c r="C1470" s="13" t="s">
        <v>2284</v>
      </c>
      <c r="D1470" s="13" t="s">
        <v>939</v>
      </c>
      <c r="E1470" s="5" t="s">
        <v>5566</v>
      </c>
      <c r="F1470" s="5" t="s">
        <v>5540</v>
      </c>
      <c r="G1470" s="5" t="s">
        <v>5541</v>
      </c>
      <c r="H1470" s="13" t="s">
        <v>902</v>
      </c>
      <c r="I1470" s="13" t="s">
        <v>2397</v>
      </c>
      <c r="J1470" s="4">
        <v>75043</v>
      </c>
      <c r="K1470" s="4">
        <v>1</v>
      </c>
      <c r="L1470" s="4">
        <v>77</v>
      </c>
      <c r="M1470" s="4">
        <v>2017</v>
      </c>
      <c r="N1470" s="4">
        <v>3</v>
      </c>
      <c r="O1470" s="4">
        <v>8</v>
      </c>
      <c r="P1470" s="4">
        <v>2</v>
      </c>
      <c r="Q1470" s="19">
        <v>799.99</v>
      </c>
      <c r="R1470" s="16">
        <v>0.2</v>
      </c>
      <c r="S1470" s="16">
        <v>1599.78</v>
      </c>
      <c r="T1470" s="5" t="s">
        <v>78</v>
      </c>
      <c r="U1470" s="13" t="s">
        <v>301</v>
      </c>
    </row>
    <row r="1471" spans="1:21" x14ac:dyDescent="0.35">
      <c r="A1471" s="4">
        <v>1470</v>
      </c>
      <c r="B1471" s="4">
        <v>505</v>
      </c>
      <c r="C1471" s="13" t="s">
        <v>2285</v>
      </c>
      <c r="D1471" s="13" t="s">
        <v>2286</v>
      </c>
      <c r="E1471" s="5" t="s">
        <v>5566</v>
      </c>
      <c r="F1471" s="5" t="s">
        <v>5542</v>
      </c>
      <c r="G1471" s="5" t="s">
        <v>5543</v>
      </c>
      <c r="H1471" s="13" t="s">
        <v>2752</v>
      </c>
      <c r="I1471" s="13" t="s">
        <v>2309</v>
      </c>
      <c r="J1471" s="4">
        <v>11432</v>
      </c>
      <c r="K1471" s="4">
        <v>1</v>
      </c>
      <c r="L1471" s="4">
        <v>110</v>
      </c>
      <c r="M1471" s="4">
        <v>2017</v>
      </c>
      <c r="N1471" s="4">
        <v>2</v>
      </c>
      <c r="O1471" s="4">
        <v>7</v>
      </c>
      <c r="P1471" s="4">
        <v>2</v>
      </c>
      <c r="Q1471" s="19">
        <v>470.99</v>
      </c>
      <c r="R1471" s="16">
        <v>0.1</v>
      </c>
      <c r="S1471" s="16">
        <v>941.88</v>
      </c>
      <c r="T1471" s="5" t="s">
        <v>107</v>
      </c>
      <c r="U1471" s="13" t="s">
        <v>300</v>
      </c>
    </row>
    <row r="1472" spans="1:21" x14ac:dyDescent="0.35">
      <c r="A1472" s="4">
        <v>1471</v>
      </c>
      <c r="B1472" s="4">
        <v>1310</v>
      </c>
      <c r="C1472" s="13" t="s">
        <v>2287</v>
      </c>
      <c r="D1472" s="13" t="s">
        <v>388</v>
      </c>
      <c r="E1472" s="5" t="s">
        <v>5566</v>
      </c>
      <c r="F1472" s="5" t="s">
        <v>5544</v>
      </c>
      <c r="G1472" s="5" t="s">
        <v>5545</v>
      </c>
      <c r="H1472" s="13" t="s">
        <v>2656</v>
      </c>
      <c r="I1472" s="13" t="s">
        <v>2309</v>
      </c>
      <c r="J1472" s="4">
        <v>12302</v>
      </c>
      <c r="K1472" s="4">
        <v>1</v>
      </c>
      <c r="L1472" s="4">
        <v>59</v>
      </c>
      <c r="M1472" s="4">
        <v>2017</v>
      </c>
      <c r="N1472" s="4">
        <v>2</v>
      </c>
      <c r="O1472" s="4">
        <v>7</v>
      </c>
      <c r="P1472" s="4">
        <v>2</v>
      </c>
      <c r="Q1472" s="19">
        <v>2599.9899999999998</v>
      </c>
      <c r="R1472" s="16">
        <v>0.2</v>
      </c>
      <c r="S1472" s="16">
        <v>5199.78</v>
      </c>
      <c r="T1472" s="5" t="s">
        <v>60</v>
      </c>
      <c r="U1472" s="13" t="s">
        <v>305</v>
      </c>
    </row>
    <row r="1473" spans="1:21" x14ac:dyDescent="0.35">
      <c r="A1473" s="4">
        <v>1472</v>
      </c>
      <c r="B1473" s="4">
        <v>114</v>
      </c>
      <c r="C1473" s="13" t="s">
        <v>1480</v>
      </c>
      <c r="D1473" s="13" t="s">
        <v>1410</v>
      </c>
      <c r="E1473" s="5" t="s">
        <v>5566</v>
      </c>
      <c r="F1473" s="5" t="s">
        <v>5546</v>
      </c>
      <c r="G1473" s="5" t="s">
        <v>5547</v>
      </c>
      <c r="H1473" s="13" t="s">
        <v>2710</v>
      </c>
      <c r="I1473" s="13" t="s">
        <v>2309</v>
      </c>
      <c r="J1473" s="4">
        <v>11701</v>
      </c>
      <c r="K1473" s="4">
        <v>1</v>
      </c>
      <c r="L1473" s="4">
        <v>84</v>
      </c>
      <c r="M1473" s="4">
        <v>2017</v>
      </c>
      <c r="N1473" s="4">
        <v>2</v>
      </c>
      <c r="O1473" s="4">
        <v>6</v>
      </c>
      <c r="P1473" s="4">
        <v>1</v>
      </c>
      <c r="Q1473" s="19">
        <v>109.99</v>
      </c>
      <c r="R1473" s="16">
        <v>0.2</v>
      </c>
      <c r="S1473" s="16">
        <v>109.78999999999999</v>
      </c>
      <c r="T1473" s="5" t="s">
        <v>85</v>
      </c>
      <c r="U1473" s="13" t="s">
        <v>299</v>
      </c>
    </row>
    <row r="1474" spans="1:21" x14ac:dyDescent="0.35">
      <c r="A1474" s="4">
        <v>1473</v>
      </c>
      <c r="B1474" s="4">
        <v>302</v>
      </c>
      <c r="C1474" s="13" t="s">
        <v>863</v>
      </c>
      <c r="D1474" s="13" t="s">
        <v>410</v>
      </c>
      <c r="E1474" s="5" t="s">
        <v>5566</v>
      </c>
      <c r="F1474" s="5" t="s">
        <v>5548</v>
      </c>
      <c r="G1474" s="5" t="s">
        <v>5549</v>
      </c>
      <c r="H1474" s="13" t="s">
        <v>2885</v>
      </c>
      <c r="I1474" s="13" t="s">
        <v>2305</v>
      </c>
      <c r="J1474" s="4">
        <v>92307</v>
      </c>
      <c r="K1474" s="4">
        <v>1</v>
      </c>
      <c r="L1474" s="4">
        <v>84</v>
      </c>
      <c r="M1474" s="4">
        <v>2017</v>
      </c>
      <c r="N1474" s="4">
        <v>1</v>
      </c>
      <c r="O1474" s="4">
        <v>2</v>
      </c>
      <c r="P1474" s="4">
        <v>2</v>
      </c>
      <c r="Q1474" s="19">
        <v>109.99</v>
      </c>
      <c r="R1474" s="16">
        <v>0.2</v>
      </c>
      <c r="S1474" s="16">
        <v>219.78</v>
      </c>
      <c r="T1474" s="5" t="s">
        <v>85</v>
      </c>
      <c r="U1474" s="13" t="s">
        <v>299</v>
      </c>
    </row>
    <row r="1475" spans="1:21" x14ac:dyDescent="0.35">
      <c r="A1475" s="4">
        <v>1474</v>
      </c>
      <c r="B1475" s="4">
        <v>816</v>
      </c>
      <c r="C1475" s="13" t="s">
        <v>1041</v>
      </c>
      <c r="D1475" s="13" t="s">
        <v>520</v>
      </c>
      <c r="E1475" s="5" t="s">
        <v>5566</v>
      </c>
      <c r="F1475" s="5" t="s">
        <v>5550</v>
      </c>
      <c r="G1475" s="5" t="s">
        <v>5551</v>
      </c>
      <c r="H1475" s="13" t="s">
        <v>2989</v>
      </c>
      <c r="I1475" s="13" t="s">
        <v>2305</v>
      </c>
      <c r="J1475" s="4">
        <v>92083</v>
      </c>
      <c r="K1475" s="4">
        <v>1</v>
      </c>
      <c r="L1475" s="4">
        <v>301</v>
      </c>
      <c r="M1475" s="4">
        <v>2018</v>
      </c>
      <c r="N1475" s="4">
        <v>1</v>
      </c>
      <c r="O1475" s="4">
        <v>3</v>
      </c>
      <c r="P1475" s="4">
        <v>1</v>
      </c>
      <c r="Q1475" s="19">
        <v>899.99</v>
      </c>
      <c r="R1475" s="16">
        <v>0.2</v>
      </c>
      <c r="S1475" s="16">
        <v>899.79</v>
      </c>
      <c r="T1475" s="5" t="s">
        <v>252</v>
      </c>
      <c r="U1475" s="13" t="s">
        <v>300</v>
      </c>
    </row>
    <row r="1476" spans="1:21" x14ac:dyDescent="0.35">
      <c r="A1476" s="4">
        <v>1475</v>
      </c>
      <c r="B1476" s="4">
        <v>112</v>
      </c>
      <c r="C1476" s="13" t="s">
        <v>2288</v>
      </c>
      <c r="D1476" s="13" t="s">
        <v>769</v>
      </c>
      <c r="E1476" s="5" t="s">
        <v>5566</v>
      </c>
      <c r="F1476" s="5" t="s">
        <v>5552</v>
      </c>
      <c r="G1476" s="5" t="s">
        <v>5553</v>
      </c>
      <c r="H1476" s="13" t="s">
        <v>2409</v>
      </c>
      <c r="I1476" s="13" t="s">
        <v>2309</v>
      </c>
      <c r="J1476" s="4">
        <v>11552</v>
      </c>
      <c r="K1476" s="4">
        <v>1</v>
      </c>
      <c r="L1476" s="4">
        <v>306</v>
      </c>
      <c r="M1476" s="4">
        <v>2018</v>
      </c>
      <c r="N1476" s="4">
        <v>2</v>
      </c>
      <c r="O1476" s="4">
        <v>6</v>
      </c>
      <c r="P1476" s="4">
        <v>2</v>
      </c>
      <c r="Q1476" s="19">
        <v>899.99</v>
      </c>
      <c r="R1476" s="16">
        <v>0.05</v>
      </c>
      <c r="S1476" s="16">
        <v>1799.93</v>
      </c>
      <c r="T1476" s="5" t="s">
        <v>246</v>
      </c>
      <c r="U1476" s="13" t="s">
        <v>300</v>
      </c>
    </row>
    <row r="1477" spans="1:21" x14ac:dyDescent="0.35">
      <c r="A1477" s="4">
        <v>1476</v>
      </c>
      <c r="B1477" s="4">
        <v>35</v>
      </c>
      <c r="C1477" s="13" t="s">
        <v>2289</v>
      </c>
      <c r="D1477" s="13" t="s">
        <v>726</v>
      </c>
      <c r="E1477" s="5" t="s">
        <v>5566</v>
      </c>
      <c r="F1477" s="5" t="s">
        <v>5554</v>
      </c>
      <c r="G1477" s="5" t="s">
        <v>5555</v>
      </c>
      <c r="H1477" s="13" t="s">
        <v>2321</v>
      </c>
      <c r="I1477" s="13" t="s">
        <v>2309</v>
      </c>
      <c r="J1477" s="4">
        <v>13027</v>
      </c>
      <c r="K1477" s="4">
        <v>1</v>
      </c>
      <c r="L1477" s="4">
        <v>142</v>
      </c>
      <c r="M1477" s="4">
        <v>2018</v>
      </c>
      <c r="N1477" s="4">
        <v>2</v>
      </c>
      <c r="O1477" s="4">
        <v>7</v>
      </c>
      <c r="P1477" s="4">
        <v>2</v>
      </c>
      <c r="Q1477" s="19">
        <v>3199.99</v>
      </c>
      <c r="R1477" s="16">
        <v>7.0000000000000007E-2</v>
      </c>
      <c r="S1477" s="16">
        <v>6399.91</v>
      </c>
      <c r="T1477" s="5" t="s">
        <v>139</v>
      </c>
      <c r="U1477" s="13" t="s">
        <v>304</v>
      </c>
    </row>
    <row r="1478" spans="1:21" x14ac:dyDescent="0.35">
      <c r="A1478" s="4">
        <v>1477</v>
      </c>
      <c r="B1478" s="4">
        <v>180</v>
      </c>
      <c r="C1478" s="13" t="s">
        <v>2290</v>
      </c>
      <c r="D1478" s="13" t="s">
        <v>1197</v>
      </c>
      <c r="E1478" s="5" t="s">
        <v>5566</v>
      </c>
      <c r="F1478" s="5" t="s">
        <v>5556</v>
      </c>
      <c r="G1478" s="5" t="s">
        <v>5557</v>
      </c>
      <c r="H1478" s="13" t="s">
        <v>2950</v>
      </c>
      <c r="I1478" s="13" t="s">
        <v>2309</v>
      </c>
      <c r="J1478" s="4">
        <v>11735</v>
      </c>
      <c r="K1478" s="4">
        <v>1</v>
      </c>
      <c r="L1478" s="4">
        <v>210</v>
      </c>
      <c r="M1478" s="4">
        <v>2018</v>
      </c>
      <c r="N1478" s="4">
        <v>2</v>
      </c>
      <c r="O1478" s="4">
        <v>6</v>
      </c>
      <c r="P1478" s="4">
        <v>2</v>
      </c>
      <c r="Q1478" s="19">
        <v>1549</v>
      </c>
      <c r="R1478" s="16">
        <v>0.2</v>
      </c>
      <c r="S1478" s="16">
        <v>3097.8</v>
      </c>
      <c r="T1478" s="5" t="s">
        <v>165</v>
      </c>
      <c r="U1478" s="13" t="s">
        <v>302</v>
      </c>
    </row>
    <row r="1479" spans="1:21" x14ac:dyDescent="0.35">
      <c r="A1479" s="4">
        <v>1478</v>
      </c>
      <c r="B1479" s="4">
        <v>392</v>
      </c>
      <c r="C1479" s="13" t="s">
        <v>1795</v>
      </c>
      <c r="D1479" s="13" t="s">
        <v>1299</v>
      </c>
      <c r="E1479" s="5" t="s">
        <v>5566</v>
      </c>
      <c r="F1479" s="5" t="s">
        <v>5558</v>
      </c>
      <c r="G1479" s="5" t="s">
        <v>5559</v>
      </c>
      <c r="H1479" s="13" t="s">
        <v>2456</v>
      </c>
      <c r="I1479" s="13" t="s">
        <v>2309</v>
      </c>
      <c r="J1479" s="4">
        <v>11373</v>
      </c>
      <c r="K1479" s="4">
        <v>1</v>
      </c>
      <c r="L1479" s="4">
        <v>100</v>
      </c>
      <c r="M1479" s="4">
        <v>2017</v>
      </c>
      <c r="N1479" s="4">
        <v>2</v>
      </c>
      <c r="O1479" s="4">
        <v>6</v>
      </c>
      <c r="P1479" s="4">
        <v>2</v>
      </c>
      <c r="Q1479" s="19">
        <v>489.99</v>
      </c>
      <c r="R1479" s="16">
        <v>0.1</v>
      </c>
      <c r="S1479" s="16">
        <v>979.88</v>
      </c>
      <c r="T1479" s="5" t="s">
        <v>100</v>
      </c>
      <c r="U1479" s="13" t="s">
        <v>299</v>
      </c>
    </row>
    <row r="1480" spans="1:21" x14ac:dyDescent="0.35">
      <c r="A1480" s="4">
        <v>1479</v>
      </c>
      <c r="B1480" s="4">
        <v>23</v>
      </c>
      <c r="C1480" s="13" t="s">
        <v>1911</v>
      </c>
      <c r="D1480" s="13" t="s">
        <v>1912</v>
      </c>
      <c r="E1480" s="5" t="s">
        <v>5566</v>
      </c>
      <c r="F1480" s="5" t="s">
        <v>4786</v>
      </c>
      <c r="G1480" s="5" t="s">
        <v>4787</v>
      </c>
      <c r="H1480" s="13" t="s">
        <v>918</v>
      </c>
      <c r="I1480" s="13" t="s">
        <v>2309</v>
      </c>
      <c r="J1480" s="4">
        <v>11423</v>
      </c>
      <c r="K1480" s="4">
        <v>1</v>
      </c>
      <c r="L1480" s="4">
        <v>252</v>
      </c>
      <c r="M1480" s="4">
        <v>2018</v>
      </c>
      <c r="N1480" s="4">
        <v>2</v>
      </c>
      <c r="O1480" s="4">
        <v>7</v>
      </c>
      <c r="P1480" s="4">
        <v>1</v>
      </c>
      <c r="Q1480" s="19">
        <v>2999.99</v>
      </c>
      <c r="R1480" s="16">
        <v>0.05</v>
      </c>
      <c r="S1480" s="16">
        <v>2999.9399999999996</v>
      </c>
      <c r="T1480" s="5" t="s">
        <v>196</v>
      </c>
      <c r="U1480" s="13" t="s">
        <v>301</v>
      </c>
    </row>
    <row r="1481" spans="1:21" x14ac:dyDescent="0.35">
      <c r="A1481" s="4">
        <v>1480</v>
      </c>
      <c r="B1481" s="4">
        <v>27</v>
      </c>
      <c r="C1481" s="13" t="s">
        <v>1343</v>
      </c>
      <c r="D1481" s="13" t="s">
        <v>1344</v>
      </c>
      <c r="E1481" s="5" t="s">
        <v>5566</v>
      </c>
      <c r="F1481" s="5" t="s">
        <v>3799</v>
      </c>
      <c r="G1481" s="5" t="s">
        <v>3800</v>
      </c>
      <c r="H1481" s="13" t="s">
        <v>2945</v>
      </c>
      <c r="I1481" s="13" t="s">
        <v>2309</v>
      </c>
      <c r="J1481" s="4">
        <v>11104</v>
      </c>
      <c r="K1481" s="4">
        <v>1</v>
      </c>
      <c r="L1481" s="4">
        <v>308</v>
      </c>
      <c r="M1481" s="4">
        <v>2018</v>
      </c>
      <c r="N1481" s="4">
        <v>2</v>
      </c>
      <c r="O1481" s="4">
        <v>7</v>
      </c>
      <c r="P1481" s="4">
        <v>2</v>
      </c>
      <c r="Q1481" s="19">
        <v>749.99</v>
      </c>
      <c r="R1481" s="16">
        <v>0.1</v>
      </c>
      <c r="S1481" s="16">
        <v>1499.88</v>
      </c>
      <c r="T1481" s="5" t="s">
        <v>234</v>
      </c>
      <c r="U1481" s="13" t="s">
        <v>300</v>
      </c>
    </row>
    <row r="1482" spans="1:21" x14ac:dyDescent="0.35">
      <c r="A1482" s="4">
        <v>1481</v>
      </c>
      <c r="B1482" s="4">
        <v>62</v>
      </c>
      <c r="C1482" s="13" t="s">
        <v>1226</v>
      </c>
      <c r="D1482" s="13" t="s">
        <v>1227</v>
      </c>
      <c r="E1482" s="5" t="s">
        <v>5566</v>
      </c>
      <c r="F1482" s="5" t="s">
        <v>3612</v>
      </c>
      <c r="G1482" s="5" t="s">
        <v>3613</v>
      </c>
      <c r="H1482" s="13" t="s">
        <v>2631</v>
      </c>
      <c r="I1482" s="13" t="s">
        <v>2309</v>
      </c>
      <c r="J1482" s="4">
        <v>11369</v>
      </c>
      <c r="K1482" s="4">
        <v>1</v>
      </c>
      <c r="L1482" s="4">
        <v>53</v>
      </c>
      <c r="M1482" s="4">
        <v>2017</v>
      </c>
      <c r="N1482" s="4">
        <v>2</v>
      </c>
      <c r="O1482" s="4">
        <v>6</v>
      </c>
      <c r="P1482" s="4">
        <v>2</v>
      </c>
      <c r="Q1482" s="19">
        <v>749.99</v>
      </c>
      <c r="R1482" s="16">
        <v>7.0000000000000007E-2</v>
      </c>
      <c r="S1482" s="16">
        <v>1499.91</v>
      </c>
      <c r="T1482" s="5" t="s">
        <v>54</v>
      </c>
      <c r="U1482" s="13" t="s">
        <v>305</v>
      </c>
    </row>
    <row r="1483" spans="1:21" x14ac:dyDescent="0.35">
      <c r="A1483" s="4">
        <v>1482</v>
      </c>
      <c r="B1483" s="4">
        <v>94</v>
      </c>
      <c r="C1483" s="13" t="s">
        <v>334</v>
      </c>
      <c r="D1483" s="13" t="s">
        <v>335</v>
      </c>
      <c r="E1483" s="5" t="s">
        <v>5566</v>
      </c>
      <c r="F1483" s="5" t="s">
        <v>2319</v>
      </c>
      <c r="G1483" s="5" t="s">
        <v>2320</v>
      </c>
      <c r="H1483" s="13" t="s">
        <v>2321</v>
      </c>
      <c r="I1483" s="13" t="s">
        <v>2309</v>
      </c>
      <c r="J1483" s="4">
        <v>13027</v>
      </c>
      <c r="K1483" s="4">
        <v>1</v>
      </c>
      <c r="L1483" s="4">
        <v>48</v>
      </c>
      <c r="M1483" s="4">
        <v>2017</v>
      </c>
      <c r="N1483" s="4">
        <v>2</v>
      </c>
      <c r="O1483" s="4">
        <v>7</v>
      </c>
      <c r="P1483" s="4">
        <v>1</v>
      </c>
      <c r="Q1483" s="19">
        <v>1499.99</v>
      </c>
      <c r="R1483" s="16">
        <v>0.1</v>
      </c>
      <c r="S1483" s="16">
        <v>1499.89</v>
      </c>
      <c r="T1483" s="5" t="s">
        <v>49</v>
      </c>
      <c r="U1483" s="13" t="s">
        <v>305</v>
      </c>
    </row>
    <row r="1484" spans="1:21" x14ac:dyDescent="0.35">
      <c r="A1484" s="4">
        <v>1483</v>
      </c>
      <c r="B1484" s="4">
        <v>15</v>
      </c>
      <c r="C1484" s="13" t="s">
        <v>2216</v>
      </c>
      <c r="D1484" s="13" t="s">
        <v>1993</v>
      </c>
      <c r="E1484" s="5" t="s">
        <v>5566</v>
      </c>
      <c r="F1484" s="5" t="s">
        <v>5405</v>
      </c>
      <c r="G1484" s="5" t="s">
        <v>5406</v>
      </c>
      <c r="H1484" s="13" t="s">
        <v>2822</v>
      </c>
      <c r="I1484" s="13" t="s">
        <v>2309</v>
      </c>
      <c r="J1484" s="4">
        <v>12901</v>
      </c>
      <c r="K1484" s="4">
        <v>1</v>
      </c>
      <c r="L1484" s="4">
        <v>280</v>
      </c>
      <c r="M1484" s="4">
        <v>2018</v>
      </c>
      <c r="N1484" s="4">
        <v>2</v>
      </c>
      <c r="O1484" s="4">
        <v>7</v>
      </c>
      <c r="P1484" s="4">
        <v>1</v>
      </c>
      <c r="Q1484" s="19">
        <v>489.99</v>
      </c>
      <c r="R1484" s="16">
        <v>0.05</v>
      </c>
      <c r="S1484" s="16">
        <v>489.94</v>
      </c>
      <c r="T1484" s="5" t="s">
        <v>271</v>
      </c>
      <c r="U1484" s="13" t="s">
        <v>299</v>
      </c>
    </row>
    <row r="1485" spans="1:21" x14ac:dyDescent="0.35">
      <c r="A1485" s="4">
        <v>1484</v>
      </c>
      <c r="B1485" s="4">
        <v>35</v>
      </c>
      <c r="C1485" s="13" t="s">
        <v>2289</v>
      </c>
      <c r="D1485" s="13" t="s">
        <v>726</v>
      </c>
      <c r="E1485" s="5" t="s">
        <v>5566</v>
      </c>
      <c r="F1485" s="5" t="s">
        <v>5554</v>
      </c>
      <c r="G1485" s="5" t="s">
        <v>5555</v>
      </c>
      <c r="H1485" s="13" t="s">
        <v>2321</v>
      </c>
      <c r="I1485" s="13" t="s">
        <v>2309</v>
      </c>
      <c r="J1485" s="4">
        <v>13027</v>
      </c>
      <c r="K1485" s="4">
        <v>1</v>
      </c>
      <c r="L1485" s="4">
        <v>295</v>
      </c>
      <c r="M1485" s="4">
        <v>2018</v>
      </c>
      <c r="N1485" s="4">
        <v>2</v>
      </c>
      <c r="O1485" s="4">
        <v>6</v>
      </c>
      <c r="P1485" s="4">
        <v>2</v>
      </c>
      <c r="Q1485" s="19">
        <v>319.99</v>
      </c>
      <c r="R1485" s="16">
        <v>7.0000000000000007E-2</v>
      </c>
      <c r="S1485" s="16">
        <v>639.91</v>
      </c>
      <c r="T1485" s="5" t="s">
        <v>285</v>
      </c>
      <c r="U1485" s="13" t="s">
        <v>299</v>
      </c>
    </row>
    <row r="1486" spans="1:21" x14ac:dyDescent="0.35">
      <c r="A1486" s="4">
        <v>1485</v>
      </c>
      <c r="B1486" s="4">
        <v>51</v>
      </c>
      <c r="C1486" s="13" t="s">
        <v>737</v>
      </c>
      <c r="D1486" s="13" t="s">
        <v>738</v>
      </c>
      <c r="E1486" s="5" t="s">
        <v>5566</v>
      </c>
      <c r="F1486" s="5" t="s">
        <v>2898</v>
      </c>
      <c r="G1486" s="5" t="s">
        <v>2899</v>
      </c>
      <c r="H1486" s="13" t="s">
        <v>2393</v>
      </c>
      <c r="I1486" s="13" t="s">
        <v>2309</v>
      </c>
      <c r="J1486" s="4">
        <v>11566</v>
      </c>
      <c r="K1486" s="4">
        <v>1</v>
      </c>
      <c r="L1486" s="4">
        <v>122</v>
      </c>
      <c r="M1486" s="4">
        <v>2018</v>
      </c>
      <c r="N1486" s="4">
        <v>2</v>
      </c>
      <c r="O1486" s="4">
        <v>7</v>
      </c>
      <c r="P1486" s="4">
        <v>2</v>
      </c>
      <c r="Q1486" s="19">
        <v>2499.9899999999998</v>
      </c>
      <c r="R1486" s="16">
        <v>0.2</v>
      </c>
      <c r="S1486" s="16">
        <v>4999.78</v>
      </c>
      <c r="T1486" s="5" t="s">
        <v>119</v>
      </c>
      <c r="U1486" s="13" t="s">
        <v>304</v>
      </c>
    </row>
    <row r="1487" spans="1:21" x14ac:dyDescent="0.35">
      <c r="A1487" s="4">
        <v>1486</v>
      </c>
      <c r="B1487" s="4">
        <v>84</v>
      </c>
      <c r="C1487" s="13" t="s">
        <v>568</v>
      </c>
      <c r="D1487" s="13" t="s">
        <v>569</v>
      </c>
      <c r="E1487" s="5" t="s">
        <v>5566</v>
      </c>
      <c r="F1487" s="5" t="s">
        <v>2670</v>
      </c>
      <c r="G1487" s="5" t="s">
        <v>2671</v>
      </c>
      <c r="H1487" s="13" t="s">
        <v>2577</v>
      </c>
      <c r="I1487" s="13" t="s">
        <v>2309</v>
      </c>
      <c r="J1487" s="4">
        <v>11757</v>
      </c>
      <c r="K1487" s="4">
        <v>1</v>
      </c>
      <c r="L1487" s="4">
        <v>60</v>
      </c>
      <c r="M1487" s="4">
        <v>2017</v>
      </c>
      <c r="N1487" s="4">
        <v>2</v>
      </c>
      <c r="O1487" s="4">
        <v>7</v>
      </c>
      <c r="P1487" s="4">
        <v>2</v>
      </c>
      <c r="Q1487" s="19">
        <v>1559.99</v>
      </c>
      <c r="R1487" s="16">
        <v>0.05</v>
      </c>
      <c r="S1487" s="16">
        <v>3119.93</v>
      </c>
      <c r="T1487" s="5" t="s">
        <v>61</v>
      </c>
      <c r="U1487" s="13" t="s">
        <v>303</v>
      </c>
    </row>
    <row r="1488" spans="1:21" x14ac:dyDescent="0.35">
      <c r="A1488" s="4">
        <v>1487</v>
      </c>
      <c r="B1488" s="4">
        <v>33</v>
      </c>
      <c r="C1488" s="13" t="s">
        <v>881</v>
      </c>
      <c r="D1488" s="13" t="s">
        <v>1261</v>
      </c>
      <c r="E1488" s="5" t="s">
        <v>5566</v>
      </c>
      <c r="F1488" s="5" t="s">
        <v>3678</v>
      </c>
      <c r="G1488" s="5" t="s">
        <v>3679</v>
      </c>
      <c r="H1488" s="13" t="s">
        <v>2790</v>
      </c>
      <c r="I1488" s="13" t="s">
        <v>2305</v>
      </c>
      <c r="J1488" s="4">
        <v>90274</v>
      </c>
      <c r="K1488" s="4">
        <v>1</v>
      </c>
      <c r="L1488" s="4">
        <v>160</v>
      </c>
      <c r="M1488" s="4">
        <v>2018</v>
      </c>
      <c r="N1488" s="4">
        <v>1</v>
      </c>
      <c r="O1488" s="4">
        <v>3</v>
      </c>
      <c r="P1488" s="4">
        <v>1</v>
      </c>
      <c r="Q1488" s="19">
        <v>4499.99</v>
      </c>
      <c r="R1488" s="16">
        <v>7.0000000000000007E-2</v>
      </c>
      <c r="S1488" s="16">
        <v>4499.92</v>
      </c>
      <c r="T1488" s="5" t="s">
        <v>157</v>
      </c>
      <c r="U1488" s="13" t="s">
        <v>305</v>
      </c>
    </row>
    <row r="1489" spans="1:21" x14ac:dyDescent="0.35">
      <c r="A1489" s="4">
        <v>1488</v>
      </c>
      <c r="B1489" s="4">
        <v>181</v>
      </c>
      <c r="C1489" s="13" t="s">
        <v>840</v>
      </c>
      <c r="D1489" s="13" t="s">
        <v>363</v>
      </c>
      <c r="E1489" s="5" t="s">
        <v>5566</v>
      </c>
      <c r="F1489" s="5" t="s">
        <v>3042</v>
      </c>
      <c r="G1489" s="5" t="s">
        <v>3043</v>
      </c>
      <c r="H1489" s="13" t="s">
        <v>3044</v>
      </c>
      <c r="I1489" s="13" t="s">
        <v>2305</v>
      </c>
      <c r="J1489" s="4">
        <v>90278</v>
      </c>
      <c r="K1489" s="4">
        <v>1</v>
      </c>
      <c r="L1489" s="4">
        <v>42</v>
      </c>
      <c r="M1489" s="4">
        <v>2017</v>
      </c>
      <c r="N1489" s="4">
        <v>1</v>
      </c>
      <c r="O1489" s="4">
        <v>3</v>
      </c>
      <c r="P1489" s="4">
        <v>1</v>
      </c>
      <c r="Q1489" s="19">
        <v>2299.9899999999998</v>
      </c>
      <c r="R1489" s="16">
        <v>7.0000000000000007E-2</v>
      </c>
      <c r="S1489" s="16">
        <v>2299.9199999999996</v>
      </c>
      <c r="T1489" s="5" t="s">
        <v>43</v>
      </c>
      <c r="U1489" s="13" t="s">
        <v>304</v>
      </c>
    </row>
    <row r="1490" spans="1:21" x14ac:dyDescent="0.35">
      <c r="A1490" s="4">
        <v>1489</v>
      </c>
      <c r="B1490" s="4">
        <v>194</v>
      </c>
      <c r="C1490" s="13" t="s">
        <v>1845</v>
      </c>
      <c r="D1490" s="13" t="s">
        <v>1844</v>
      </c>
      <c r="E1490" s="5" t="s">
        <v>5566</v>
      </c>
      <c r="F1490" s="5" t="s">
        <v>4671</v>
      </c>
      <c r="G1490" s="5" t="s">
        <v>4672</v>
      </c>
      <c r="H1490" s="13" t="s">
        <v>3127</v>
      </c>
      <c r="I1490" s="13" t="s">
        <v>2305</v>
      </c>
      <c r="J1490" s="4">
        <v>95060</v>
      </c>
      <c r="K1490" s="4">
        <v>1</v>
      </c>
      <c r="L1490" s="4">
        <v>198</v>
      </c>
      <c r="M1490" s="4">
        <v>2018</v>
      </c>
      <c r="N1490" s="4">
        <v>1</v>
      </c>
      <c r="O1490" s="4">
        <v>3</v>
      </c>
      <c r="P1490" s="4">
        <v>1</v>
      </c>
      <c r="Q1490" s="19">
        <v>2999.99</v>
      </c>
      <c r="R1490" s="16">
        <v>0.2</v>
      </c>
      <c r="S1490" s="16">
        <v>2999.79</v>
      </c>
      <c r="T1490" s="5" t="s">
        <v>195</v>
      </c>
      <c r="U1490" s="13" t="s">
        <v>303</v>
      </c>
    </row>
    <row r="1491" spans="1:21" x14ac:dyDescent="0.35">
      <c r="A1491" s="4">
        <v>1490</v>
      </c>
      <c r="B1491" s="4">
        <v>217</v>
      </c>
      <c r="C1491" s="13" t="s">
        <v>2135</v>
      </c>
      <c r="D1491" s="13" t="s">
        <v>1359</v>
      </c>
      <c r="E1491" s="5" t="s">
        <v>5235</v>
      </c>
      <c r="F1491" s="5" t="s">
        <v>5236</v>
      </c>
      <c r="G1491" s="5" t="s">
        <v>5237</v>
      </c>
      <c r="H1491" s="13" t="s">
        <v>3175</v>
      </c>
      <c r="I1491" s="13" t="s">
        <v>2305</v>
      </c>
      <c r="J1491" s="4">
        <v>93706</v>
      </c>
      <c r="K1491" s="4">
        <v>1</v>
      </c>
      <c r="L1491" s="4">
        <v>99</v>
      </c>
      <c r="M1491" s="4">
        <v>2017</v>
      </c>
      <c r="N1491" s="4">
        <v>1</v>
      </c>
      <c r="O1491" s="4">
        <v>3</v>
      </c>
      <c r="P1491" s="4">
        <v>1</v>
      </c>
      <c r="Q1491" s="19">
        <v>299.99</v>
      </c>
      <c r="R1491" s="16">
        <v>0.1</v>
      </c>
      <c r="S1491" s="16">
        <v>299.89</v>
      </c>
      <c r="T1491" s="5" t="s">
        <v>99</v>
      </c>
      <c r="U1491" s="13" t="s">
        <v>299</v>
      </c>
    </row>
    <row r="1492" spans="1:21" x14ac:dyDescent="0.35">
      <c r="A1492" s="4">
        <v>1491</v>
      </c>
      <c r="B1492" s="4">
        <v>82</v>
      </c>
      <c r="C1492" s="13" t="s">
        <v>1752</v>
      </c>
      <c r="D1492" s="13" t="s">
        <v>1236</v>
      </c>
      <c r="E1492" s="5" t="s">
        <v>5566</v>
      </c>
      <c r="F1492" s="5" t="s">
        <v>4489</v>
      </c>
      <c r="G1492" s="5" t="s">
        <v>4490</v>
      </c>
      <c r="H1492" s="13" t="s">
        <v>2359</v>
      </c>
      <c r="I1492" s="13" t="s">
        <v>2305</v>
      </c>
      <c r="J1492" s="4">
        <v>92236</v>
      </c>
      <c r="K1492" s="4">
        <v>1</v>
      </c>
      <c r="L1492" s="4">
        <v>95</v>
      </c>
      <c r="M1492" s="4">
        <v>2017</v>
      </c>
      <c r="N1492" s="4">
        <v>1</v>
      </c>
      <c r="O1492" s="4">
        <v>3</v>
      </c>
      <c r="P1492" s="4">
        <v>2</v>
      </c>
      <c r="Q1492" s="19">
        <v>299.99</v>
      </c>
      <c r="R1492" s="16">
        <v>0.2</v>
      </c>
      <c r="S1492" s="16">
        <v>599.78</v>
      </c>
      <c r="T1492" s="5" t="s">
        <v>77</v>
      </c>
      <c r="U1492" s="13" t="s">
        <v>299</v>
      </c>
    </row>
    <row r="1493" spans="1:21" x14ac:dyDescent="0.35">
      <c r="A1493" s="4">
        <v>1492</v>
      </c>
      <c r="B1493" s="4">
        <v>41</v>
      </c>
      <c r="C1493" s="13" t="s">
        <v>1969</v>
      </c>
      <c r="D1493" s="13" t="s">
        <v>1970</v>
      </c>
      <c r="E1493" s="5" t="s">
        <v>5566</v>
      </c>
      <c r="F1493" s="5" t="s">
        <v>4891</v>
      </c>
      <c r="G1493" s="5" t="s">
        <v>4892</v>
      </c>
      <c r="H1493" s="13" t="s">
        <v>2663</v>
      </c>
      <c r="I1493" s="13" t="s">
        <v>2309</v>
      </c>
      <c r="J1493" s="4">
        <v>12804</v>
      </c>
      <c r="K1493" s="4">
        <v>1</v>
      </c>
      <c r="L1493" s="4">
        <v>37</v>
      </c>
      <c r="M1493" s="4">
        <v>2017</v>
      </c>
      <c r="N1493" s="4">
        <v>2</v>
      </c>
      <c r="O1493" s="4">
        <v>7</v>
      </c>
      <c r="P1493" s="4">
        <v>2</v>
      </c>
      <c r="Q1493" s="19">
        <v>379.99</v>
      </c>
      <c r="R1493" s="16">
        <v>0.1</v>
      </c>
      <c r="S1493" s="16">
        <v>759.88</v>
      </c>
      <c r="T1493" s="5" t="s">
        <v>38</v>
      </c>
      <c r="U1493" s="13" t="s">
        <v>304</v>
      </c>
    </row>
    <row r="1494" spans="1:21" x14ac:dyDescent="0.35">
      <c r="A1494" s="4">
        <v>1493</v>
      </c>
      <c r="B1494" s="4">
        <v>64</v>
      </c>
      <c r="C1494" s="13" t="s">
        <v>1232</v>
      </c>
      <c r="D1494" s="13" t="s">
        <v>1233</v>
      </c>
      <c r="E1494" s="5" t="s">
        <v>5566</v>
      </c>
      <c r="F1494" s="5" t="s">
        <v>3624</v>
      </c>
      <c r="G1494" s="5" t="s">
        <v>3625</v>
      </c>
      <c r="H1494" s="13" t="s">
        <v>2687</v>
      </c>
      <c r="I1494" s="13" t="s">
        <v>2397</v>
      </c>
      <c r="J1494" s="4">
        <v>75115</v>
      </c>
      <c r="K1494" s="4">
        <v>1</v>
      </c>
      <c r="L1494" s="4">
        <v>230</v>
      </c>
      <c r="M1494" s="4">
        <v>2018</v>
      </c>
      <c r="N1494" s="4">
        <v>3</v>
      </c>
      <c r="O1494" s="4">
        <v>8</v>
      </c>
      <c r="P1494" s="4">
        <v>1</v>
      </c>
      <c r="Q1494" s="19">
        <v>429.99</v>
      </c>
      <c r="R1494" s="16">
        <v>0.1</v>
      </c>
      <c r="S1494" s="16">
        <v>429.89</v>
      </c>
      <c r="T1494" s="5" t="s">
        <v>225</v>
      </c>
      <c r="U1494" s="13" t="s">
        <v>301</v>
      </c>
    </row>
    <row r="1495" spans="1:21" x14ac:dyDescent="0.35">
      <c r="A1495" s="4">
        <v>1494</v>
      </c>
      <c r="B1495" s="4">
        <v>69</v>
      </c>
      <c r="C1495" s="13" t="s">
        <v>1935</v>
      </c>
      <c r="D1495" s="13" t="s">
        <v>851</v>
      </c>
      <c r="E1495" s="5" t="s">
        <v>5566</v>
      </c>
      <c r="F1495" s="5" t="s">
        <v>4828</v>
      </c>
      <c r="G1495" s="5" t="s">
        <v>4829</v>
      </c>
      <c r="H1495" s="13" t="s">
        <v>2641</v>
      </c>
      <c r="I1495" s="13" t="s">
        <v>2305</v>
      </c>
      <c r="J1495" s="4">
        <v>95677</v>
      </c>
      <c r="K1495" s="4">
        <v>1</v>
      </c>
      <c r="L1495" s="4">
        <v>230</v>
      </c>
      <c r="M1495" s="4">
        <v>2018</v>
      </c>
      <c r="N1495" s="4">
        <v>1</v>
      </c>
      <c r="O1495" s="4">
        <v>3</v>
      </c>
      <c r="P1495" s="4">
        <v>2</v>
      </c>
      <c r="Q1495" s="19">
        <v>429.99</v>
      </c>
      <c r="R1495" s="16">
        <v>0.1</v>
      </c>
      <c r="S1495" s="16">
        <v>859.88</v>
      </c>
      <c r="T1495" s="5" t="s">
        <v>225</v>
      </c>
      <c r="U1495" s="13" t="s">
        <v>301</v>
      </c>
    </row>
    <row r="1496" spans="1:21" x14ac:dyDescent="0.35">
      <c r="A1496" s="4">
        <v>1495</v>
      </c>
      <c r="B1496" s="4">
        <v>86</v>
      </c>
      <c r="C1496" s="13" t="s">
        <v>567</v>
      </c>
      <c r="D1496" s="13" t="s">
        <v>482</v>
      </c>
      <c r="E1496" s="5" t="s">
        <v>5566</v>
      </c>
      <c r="F1496" s="5" t="s">
        <v>2667</v>
      </c>
      <c r="G1496" s="5" t="s">
        <v>2668</v>
      </c>
      <c r="H1496" s="13" t="s">
        <v>2669</v>
      </c>
      <c r="I1496" s="13" t="s">
        <v>2309</v>
      </c>
      <c r="J1496" s="4">
        <v>13126</v>
      </c>
      <c r="K1496" s="4">
        <v>1</v>
      </c>
      <c r="L1496" s="4">
        <v>292</v>
      </c>
      <c r="M1496" s="4">
        <v>2018</v>
      </c>
      <c r="N1496" s="4">
        <v>2</v>
      </c>
      <c r="O1496" s="4">
        <v>7</v>
      </c>
      <c r="P1496" s="4">
        <v>2</v>
      </c>
      <c r="Q1496" s="19">
        <v>369.99</v>
      </c>
      <c r="R1496" s="16">
        <v>0.05</v>
      </c>
      <c r="S1496" s="16">
        <v>739.93000000000006</v>
      </c>
      <c r="T1496" s="5" t="s">
        <v>282</v>
      </c>
      <c r="U1496" s="13" t="s">
        <v>299</v>
      </c>
    </row>
    <row r="1497" spans="1:21" x14ac:dyDescent="0.35">
      <c r="A1497" s="4">
        <v>1496</v>
      </c>
      <c r="B1497" s="4">
        <v>3</v>
      </c>
      <c r="C1497" s="13" t="s">
        <v>2283</v>
      </c>
      <c r="D1497" s="13" t="s">
        <v>2017</v>
      </c>
      <c r="E1497" s="5" t="s">
        <v>5566</v>
      </c>
      <c r="F1497" s="5" t="s">
        <v>5538</v>
      </c>
      <c r="G1497" s="5" t="s">
        <v>5539</v>
      </c>
      <c r="H1497" s="13" t="s">
        <v>3044</v>
      </c>
      <c r="I1497" s="13" t="s">
        <v>2305</v>
      </c>
      <c r="J1497" s="4">
        <v>90278</v>
      </c>
      <c r="K1497" s="4">
        <v>1</v>
      </c>
      <c r="L1497" s="4">
        <v>248</v>
      </c>
      <c r="M1497" s="4">
        <v>2018</v>
      </c>
      <c r="N1497" s="4">
        <v>1</v>
      </c>
      <c r="O1497" s="4">
        <v>3</v>
      </c>
      <c r="P1497" s="4">
        <v>1</v>
      </c>
      <c r="Q1497" s="19">
        <v>599.99</v>
      </c>
      <c r="R1497" s="16">
        <v>7.0000000000000007E-2</v>
      </c>
      <c r="S1497" s="16">
        <v>599.91999999999996</v>
      </c>
      <c r="T1497" s="5" t="s">
        <v>243</v>
      </c>
      <c r="U1497" s="13" t="s">
        <v>301</v>
      </c>
    </row>
    <row r="1498" spans="1:21" x14ac:dyDescent="0.35">
      <c r="A1498" s="4">
        <v>1497</v>
      </c>
      <c r="B1498" s="4">
        <v>31</v>
      </c>
      <c r="C1498" s="13" t="s">
        <v>628</v>
      </c>
      <c r="D1498" s="13" t="s">
        <v>629</v>
      </c>
      <c r="E1498" s="5" t="s">
        <v>2755</v>
      </c>
      <c r="F1498" s="5" t="s">
        <v>2756</v>
      </c>
      <c r="G1498" s="5" t="s">
        <v>2757</v>
      </c>
      <c r="H1498" s="13" t="s">
        <v>2758</v>
      </c>
      <c r="I1498" s="13" t="s">
        <v>2305</v>
      </c>
      <c r="J1498" s="4">
        <v>94603</v>
      </c>
      <c r="K1498" s="4">
        <v>1</v>
      </c>
      <c r="L1498" s="4">
        <v>141</v>
      </c>
      <c r="M1498" s="4">
        <v>2018</v>
      </c>
      <c r="N1498" s="4">
        <v>1</v>
      </c>
      <c r="O1498" s="4">
        <v>2</v>
      </c>
      <c r="P1498" s="4">
        <v>2</v>
      </c>
      <c r="Q1498" s="19">
        <v>1599.99</v>
      </c>
      <c r="R1498" s="16">
        <v>0.2</v>
      </c>
      <c r="S1498" s="16">
        <v>3199.78</v>
      </c>
      <c r="T1498" s="5" t="s">
        <v>138</v>
      </c>
      <c r="U1498" s="13" t="s">
        <v>304</v>
      </c>
    </row>
    <row r="1499" spans="1:21" x14ac:dyDescent="0.35">
      <c r="A1499" s="4">
        <v>1498</v>
      </c>
      <c r="B1499" s="4">
        <v>81</v>
      </c>
      <c r="C1499" s="13" t="s">
        <v>1401</v>
      </c>
      <c r="D1499" s="13" t="s">
        <v>1092</v>
      </c>
      <c r="E1499" s="5" t="s">
        <v>5566</v>
      </c>
      <c r="F1499" s="5" t="s">
        <v>3897</v>
      </c>
      <c r="G1499" s="5" t="s">
        <v>3898</v>
      </c>
      <c r="H1499" s="13" t="s">
        <v>3004</v>
      </c>
      <c r="I1499" s="13" t="s">
        <v>2305</v>
      </c>
      <c r="J1499" s="4">
        <v>94580</v>
      </c>
      <c r="K1499" s="4">
        <v>1</v>
      </c>
      <c r="L1499" s="4">
        <v>172</v>
      </c>
      <c r="M1499" s="4">
        <v>2018</v>
      </c>
      <c r="N1499" s="4">
        <v>1</v>
      </c>
      <c r="O1499" s="4">
        <v>2</v>
      </c>
      <c r="P1499" s="4">
        <v>1</v>
      </c>
      <c r="Q1499" s="19">
        <v>3199.99</v>
      </c>
      <c r="R1499" s="16">
        <v>0.05</v>
      </c>
      <c r="S1499" s="16">
        <v>3199.9399999999996</v>
      </c>
      <c r="T1499" s="5" t="s">
        <v>169</v>
      </c>
      <c r="U1499" s="13" t="s">
        <v>305</v>
      </c>
    </row>
    <row r="1500" spans="1:21" x14ac:dyDescent="0.35">
      <c r="A1500" s="4">
        <v>1499</v>
      </c>
      <c r="B1500" s="4">
        <v>120</v>
      </c>
      <c r="C1500" s="13" t="s">
        <v>1688</v>
      </c>
      <c r="D1500" s="13" t="s">
        <v>1689</v>
      </c>
      <c r="E1500" s="5" t="s">
        <v>4376</v>
      </c>
      <c r="F1500" s="5" t="s">
        <v>4377</v>
      </c>
      <c r="G1500" s="5" t="s">
        <v>4378</v>
      </c>
      <c r="H1500" s="13" t="s">
        <v>3175</v>
      </c>
      <c r="I1500" s="13" t="s">
        <v>2305</v>
      </c>
      <c r="J1500" s="4">
        <v>93706</v>
      </c>
      <c r="K1500" s="4">
        <v>1</v>
      </c>
      <c r="L1500" s="4">
        <v>110</v>
      </c>
      <c r="M1500" s="4">
        <v>2017</v>
      </c>
      <c r="N1500" s="4">
        <v>1</v>
      </c>
      <c r="O1500" s="4">
        <v>2</v>
      </c>
      <c r="P1500" s="4">
        <v>1</v>
      </c>
      <c r="Q1500" s="19">
        <v>470.99</v>
      </c>
      <c r="R1500" s="16">
        <v>0.05</v>
      </c>
      <c r="S1500" s="16">
        <v>470.94</v>
      </c>
      <c r="T1500" s="5" t="s">
        <v>107</v>
      </c>
      <c r="U1500" s="13" t="s">
        <v>300</v>
      </c>
    </row>
    <row r="1501" spans="1:21" x14ac:dyDescent="0.35">
      <c r="A1501" s="4">
        <v>1500</v>
      </c>
      <c r="B1501" s="4">
        <v>151</v>
      </c>
      <c r="C1501" s="13" t="s">
        <v>438</v>
      </c>
      <c r="D1501" s="13" t="s">
        <v>439</v>
      </c>
      <c r="E1501" s="5" t="s">
        <v>5566</v>
      </c>
      <c r="F1501" s="5" t="s">
        <v>2482</v>
      </c>
      <c r="G1501" s="5" t="s">
        <v>2483</v>
      </c>
      <c r="H1501" s="13" t="s">
        <v>2484</v>
      </c>
      <c r="I1501" s="13" t="s">
        <v>2305</v>
      </c>
      <c r="J1501" s="4">
        <v>95301</v>
      </c>
      <c r="K1501" s="4">
        <v>1</v>
      </c>
      <c r="L1501" s="4">
        <v>41</v>
      </c>
      <c r="M1501" s="4">
        <v>2017</v>
      </c>
      <c r="N1501" s="4">
        <v>1</v>
      </c>
      <c r="O1501" s="4">
        <v>3</v>
      </c>
      <c r="P1501" s="4">
        <v>2</v>
      </c>
      <c r="Q1501" s="19">
        <v>1469.99</v>
      </c>
      <c r="R1501" s="16">
        <v>7.0000000000000007E-2</v>
      </c>
      <c r="S1501" s="16">
        <v>2939.91</v>
      </c>
      <c r="T1501" s="5" t="s">
        <v>42</v>
      </c>
      <c r="U1501" s="13" t="s">
        <v>304</v>
      </c>
    </row>
    <row r="1502" spans="1:21" x14ac:dyDescent="0.35">
      <c r="A1502" s="4">
        <v>1501</v>
      </c>
      <c r="B1502" s="4">
        <v>52</v>
      </c>
      <c r="C1502" s="13" t="s">
        <v>1916</v>
      </c>
      <c r="D1502" s="13" t="s">
        <v>1917</v>
      </c>
      <c r="E1502" s="5" t="s">
        <v>5566</v>
      </c>
      <c r="F1502" s="5" t="s">
        <v>4800</v>
      </c>
      <c r="G1502" s="5" t="s">
        <v>4801</v>
      </c>
      <c r="H1502" s="13" t="s">
        <v>2631</v>
      </c>
      <c r="I1502" s="13" t="s">
        <v>2309</v>
      </c>
      <c r="J1502" s="4">
        <v>11369</v>
      </c>
      <c r="K1502" s="4">
        <v>1</v>
      </c>
      <c r="L1502" s="4">
        <v>248</v>
      </c>
      <c r="M1502" s="4">
        <v>2018</v>
      </c>
      <c r="N1502" s="4">
        <v>2</v>
      </c>
      <c r="O1502" s="4">
        <v>6</v>
      </c>
      <c r="P1502" s="4">
        <v>1</v>
      </c>
      <c r="Q1502" s="19">
        <v>599.99</v>
      </c>
      <c r="R1502" s="16">
        <v>0.05</v>
      </c>
      <c r="S1502" s="16">
        <v>599.94000000000005</v>
      </c>
      <c r="T1502" s="5" t="s">
        <v>243</v>
      </c>
      <c r="U1502" s="13" t="s">
        <v>301</v>
      </c>
    </row>
    <row r="1503" spans="1:21" x14ac:dyDescent="0.35">
      <c r="A1503" s="4">
        <v>1502</v>
      </c>
      <c r="B1503" s="4">
        <v>83</v>
      </c>
      <c r="C1503" s="13" t="s">
        <v>907</v>
      </c>
      <c r="D1503" s="13" t="s">
        <v>908</v>
      </c>
      <c r="E1503" s="5" t="s">
        <v>5566</v>
      </c>
      <c r="F1503" s="5" t="s">
        <v>3140</v>
      </c>
      <c r="G1503" s="5" t="s">
        <v>3141</v>
      </c>
      <c r="H1503" s="13" t="s">
        <v>2785</v>
      </c>
      <c r="I1503" s="13" t="s">
        <v>2309</v>
      </c>
      <c r="J1503" s="4">
        <v>10583</v>
      </c>
      <c r="K1503" s="4">
        <v>1</v>
      </c>
      <c r="L1503" s="4">
        <v>231</v>
      </c>
      <c r="M1503" s="4">
        <v>2018</v>
      </c>
      <c r="N1503" s="4">
        <v>2</v>
      </c>
      <c r="O1503" s="4">
        <v>6</v>
      </c>
      <c r="P1503" s="4">
        <v>2</v>
      </c>
      <c r="Q1503" s="19">
        <v>529.99</v>
      </c>
      <c r="R1503" s="16">
        <v>0.2</v>
      </c>
      <c r="S1503" s="16">
        <v>1059.78</v>
      </c>
      <c r="T1503" s="5" t="s">
        <v>226</v>
      </c>
      <c r="U1503" s="13" t="s">
        <v>301</v>
      </c>
    </row>
    <row r="1504" spans="1:21" x14ac:dyDescent="0.35">
      <c r="A1504" s="4">
        <v>1503</v>
      </c>
      <c r="B1504" s="4">
        <v>208</v>
      </c>
      <c r="C1504" s="13" t="s">
        <v>442</v>
      </c>
      <c r="D1504" s="13" t="s">
        <v>443</v>
      </c>
      <c r="E1504" s="5" t="s">
        <v>5566</v>
      </c>
      <c r="F1504" s="5" t="s">
        <v>2487</v>
      </c>
      <c r="G1504" s="5" t="s">
        <v>2488</v>
      </c>
      <c r="H1504" s="13" t="s">
        <v>2489</v>
      </c>
      <c r="I1504" s="13" t="s">
        <v>2305</v>
      </c>
      <c r="J1504" s="4">
        <v>93555</v>
      </c>
      <c r="K1504" s="4">
        <v>1</v>
      </c>
      <c r="L1504" s="4">
        <v>217</v>
      </c>
      <c r="M1504" s="4">
        <v>2018</v>
      </c>
      <c r="N1504" s="4">
        <v>1</v>
      </c>
      <c r="O1504" s="4">
        <v>3</v>
      </c>
      <c r="P1504" s="4">
        <v>1</v>
      </c>
      <c r="Q1504" s="19">
        <v>909.99</v>
      </c>
      <c r="R1504" s="16">
        <v>0.1</v>
      </c>
      <c r="S1504" s="16">
        <v>909.89</v>
      </c>
      <c r="T1504" s="5" t="s">
        <v>212</v>
      </c>
      <c r="U1504" s="13" t="s">
        <v>301</v>
      </c>
    </row>
    <row r="1505" spans="1:21" x14ac:dyDescent="0.35">
      <c r="A1505" s="4">
        <v>1504</v>
      </c>
      <c r="B1505" s="4">
        <v>237</v>
      </c>
      <c r="C1505" s="13" t="s">
        <v>646</v>
      </c>
      <c r="D1505" s="13" t="s">
        <v>647</v>
      </c>
      <c r="E1505" s="5" t="s">
        <v>5566</v>
      </c>
      <c r="F1505" s="5" t="s">
        <v>2776</v>
      </c>
      <c r="G1505" s="5" t="s">
        <v>2777</v>
      </c>
      <c r="H1505" s="13" t="s">
        <v>2353</v>
      </c>
      <c r="I1505" s="13" t="s">
        <v>2305</v>
      </c>
      <c r="J1505" s="4">
        <v>92220</v>
      </c>
      <c r="K1505" s="4">
        <v>1</v>
      </c>
      <c r="L1505" s="4">
        <v>276</v>
      </c>
      <c r="M1505" s="4">
        <v>2018</v>
      </c>
      <c r="N1505" s="4">
        <v>1</v>
      </c>
      <c r="O1505" s="4">
        <v>2</v>
      </c>
      <c r="P1505" s="4">
        <v>1</v>
      </c>
      <c r="Q1505" s="19">
        <v>319.99</v>
      </c>
      <c r="R1505" s="16">
        <v>7.0000000000000007E-2</v>
      </c>
      <c r="S1505" s="16">
        <v>319.92</v>
      </c>
      <c r="T1505" s="5" t="s">
        <v>267</v>
      </c>
      <c r="U1505" s="13" t="s">
        <v>299</v>
      </c>
    </row>
    <row r="1506" spans="1:21" x14ac:dyDescent="0.35">
      <c r="A1506" s="4">
        <v>1505</v>
      </c>
      <c r="B1506" s="4">
        <v>22</v>
      </c>
      <c r="C1506" s="13" t="s">
        <v>667</v>
      </c>
      <c r="D1506" s="13" t="s">
        <v>668</v>
      </c>
      <c r="E1506" s="5" t="s">
        <v>5566</v>
      </c>
      <c r="F1506" s="5" t="s">
        <v>2804</v>
      </c>
      <c r="G1506" s="5" t="s">
        <v>2805</v>
      </c>
      <c r="H1506" s="13" t="s">
        <v>2806</v>
      </c>
      <c r="I1506" s="13" t="s">
        <v>2309</v>
      </c>
      <c r="J1506" s="4">
        <v>11731</v>
      </c>
      <c r="K1506" s="4">
        <v>1</v>
      </c>
      <c r="L1506" s="4">
        <v>223</v>
      </c>
      <c r="M1506" s="4">
        <v>2018</v>
      </c>
      <c r="N1506" s="4">
        <v>2</v>
      </c>
      <c r="O1506" s="4">
        <v>7</v>
      </c>
      <c r="P1506" s="4">
        <v>2</v>
      </c>
      <c r="Q1506" s="19">
        <v>529.99</v>
      </c>
      <c r="R1506" s="16">
        <v>0.05</v>
      </c>
      <c r="S1506" s="16">
        <v>1059.93</v>
      </c>
      <c r="T1506" s="5" t="s">
        <v>218</v>
      </c>
      <c r="U1506" s="13" t="s">
        <v>301</v>
      </c>
    </row>
    <row r="1507" spans="1:21" x14ac:dyDescent="0.35">
      <c r="A1507" s="4">
        <v>1506</v>
      </c>
      <c r="B1507" s="4">
        <v>75</v>
      </c>
      <c r="C1507" s="13" t="s">
        <v>2130</v>
      </c>
      <c r="D1507" s="13" t="s">
        <v>1310</v>
      </c>
      <c r="E1507" s="5" t="s">
        <v>5566</v>
      </c>
      <c r="F1507" s="5" t="s">
        <v>5229</v>
      </c>
      <c r="G1507" s="5" t="s">
        <v>5230</v>
      </c>
      <c r="H1507" s="13" t="s">
        <v>2710</v>
      </c>
      <c r="I1507" s="13" t="s">
        <v>2309</v>
      </c>
      <c r="J1507" s="4">
        <v>11701</v>
      </c>
      <c r="K1507" s="4">
        <v>1</v>
      </c>
      <c r="L1507" s="4">
        <v>184</v>
      </c>
      <c r="M1507" s="4">
        <v>2018</v>
      </c>
      <c r="N1507" s="4">
        <v>2</v>
      </c>
      <c r="O1507" s="4">
        <v>7</v>
      </c>
      <c r="P1507" s="4">
        <v>1</v>
      </c>
      <c r="Q1507" s="19">
        <v>3499.99</v>
      </c>
      <c r="R1507" s="16">
        <v>0.05</v>
      </c>
      <c r="S1507" s="16">
        <v>3499.9399999999996</v>
      </c>
      <c r="T1507" s="5" t="s">
        <v>181</v>
      </c>
      <c r="U1507" s="13" t="s">
        <v>305</v>
      </c>
    </row>
    <row r="1508" spans="1:21" x14ac:dyDescent="0.35">
      <c r="A1508" s="4">
        <v>1507</v>
      </c>
      <c r="B1508" s="4">
        <v>85</v>
      </c>
      <c r="C1508" s="13" t="s">
        <v>2092</v>
      </c>
      <c r="D1508" s="13" t="s">
        <v>1004</v>
      </c>
      <c r="E1508" s="5" t="s">
        <v>5566</v>
      </c>
      <c r="F1508" s="5" t="s">
        <v>5153</v>
      </c>
      <c r="G1508" s="5" t="s">
        <v>5154</v>
      </c>
      <c r="H1508" s="13" t="s">
        <v>2308</v>
      </c>
      <c r="I1508" s="13" t="s">
        <v>2309</v>
      </c>
      <c r="J1508" s="4">
        <v>11746</v>
      </c>
      <c r="K1508" s="4">
        <v>1</v>
      </c>
      <c r="L1508" s="4">
        <v>39</v>
      </c>
      <c r="M1508" s="4">
        <v>2017</v>
      </c>
      <c r="N1508" s="4">
        <v>2</v>
      </c>
      <c r="O1508" s="4">
        <v>6</v>
      </c>
      <c r="P1508" s="4">
        <v>2</v>
      </c>
      <c r="Q1508" s="19">
        <v>1499.99</v>
      </c>
      <c r="R1508" s="16">
        <v>0.2</v>
      </c>
      <c r="S1508" s="16">
        <v>2999.78</v>
      </c>
      <c r="T1508" s="5" t="s">
        <v>40</v>
      </c>
      <c r="U1508" s="13" t="s">
        <v>304</v>
      </c>
    </row>
    <row r="1509" spans="1:21" x14ac:dyDescent="0.35">
      <c r="A1509" s="4">
        <v>1508</v>
      </c>
      <c r="B1509" s="4">
        <v>92</v>
      </c>
      <c r="C1509" s="13" t="s">
        <v>2182</v>
      </c>
      <c r="D1509" s="13" t="s">
        <v>2183</v>
      </c>
      <c r="E1509" s="5" t="s">
        <v>5566</v>
      </c>
      <c r="F1509" s="5" t="s">
        <v>5338</v>
      </c>
      <c r="G1509" s="5" t="s">
        <v>5339</v>
      </c>
      <c r="H1509" s="13" t="s">
        <v>2950</v>
      </c>
      <c r="I1509" s="13" t="s">
        <v>2309</v>
      </c>
      <c r="J1509" s="4">
        <v>11735</v>
      </c>
      <c r="K1509" s="4">
        <v>1</v>
      </c>
      <c r="L1509" s="4">
        <v>37</v>
      </c>
      <c r="M1509" s="4">
        <v>2017</v>
      </c>
      <c r="N1509" s="4">
        <v>2</v>
      </c>
      <c r="O1509" s="4">
        <v>6</v>
      </c>
      <c r="P1509" s="4">
        <v>1</v>
      </c>
      <c r="Q1509" s="19">
        <v>379.99</v>
      </c>
      <c r="R1509" s="16">
        <v>0.2</v>
      </c>
      <c r="S1509" s="16">
        <v>379.79</v>
      </c>
      <c r="T1509" s="5" t="s">
        <v>38</v>
      </c>
      <c r="U1509" s="13" t="s">
        <v>304</v>
      </c>
    </row>
    <row r="1510" spans="1:21" x14ac:dyDescent="0.35">
      <c r="A1510" s="4">
        <v>1509</v>
      </c>
      <c r="B1510" s="4">
        <v>2</v>
      </c>
      <c r="C1510" s="13" t="s">
        <v>690</v>
      </c>
      <c r="D1510" s="13" t="s">
        <v>1416</v>
      </c>
      <c r="E1510" s="5" t="s">
        <v>5566</v>
      </c>
      <c r="F1510" s="5" t="s">
        <v>3924</v>
      </c>
      <c r="G1510" s="5" t="s">
        <v>3925</v>
      </c>
      <c r="H1510" s="13" t="s">
        <v>1822</v>
      </c>
      <c r="I1510" s="13" t="s">
        <v>2305</v>
      </c>
      <c r="J1510" s="4">
        <v>95008</v>
      </c>
      <c r="K1510" s="4">
        <v>1</v>
      </c>
      <c r="L1510" s="4">
        <v>215</v>
      </c>
      <c r="M1510" s="4">
        <v>2018</v>
      </c>
      <c r="N1510" s="4">
        <v>1</v>
      </c>
      <c r="O1510" s="4">
        <v>3</v>
      </c>
      <c r="P1510" s="4">
        <v>2</v>
      </c>
      <c r="Q1510" s="19">
        <v>749.99</v>
      </c>
      <c r="R1510" s="16">
        <v>7.0000000000000007E-2</v>
      </c>
      <c r="S1510" s="16">
        <v>1499.91</v>
      </c>
      <c r="T1510" s="5" t="s">
        <v>210</v>
      </c>
      <c r="U1510" s="13" t="s">
        <v>301</v>
      </c>
    </row>
    <row r="1511" spans="1:21" x14ac:dyDescent="0.35">
      <c r="A1511" s="4">
        <v>1510</v>
      </c>
      <c r="B1511" s="4">
        <v>16</v>
      </c>
      <c r="C1511" s="13" t="s">
        <v>941</v>
      </c>
      <c r="D1511" s="13" t="s">
        <v>942</v>
      </c>
      <c r="E1511" s="5" t="s">
        <v>3199</v>
      </c>
      <c r="F1511" s="5" t="s">
        <v>3200</v>
      </c>
      <c r="G1511" s="5" t="s">
        <v>3201</v>
      </c>
      <c r="H1511" s="13" t="s">
        <v>2647</v>
      </c>
      <c r="I1511" s="13" t="s">
        <v>2309</v>
      </c>
      <c r="J1511" s="4">
        <v>10002</v>
      </c>
      <c r="K1511" s="4">
        <v>1</v>
      </c>
      <c r="L1511" s="4">
        <v>142</v>
      </c>
      <c r="M1511" s="4">
        <v>2018</v>
      </c>
      <c r="N1511" s="4">
        <v>2</v>
      </c>
      <c r="O1511" s="4">
        <v>6</v>
      </c>
      <c r="P1511" s="4">
        <v>2</v>
      </c>
      <c r="Q1511" s="19">
        <v>3199.99</v>
      </c>
      <c r="R1511" s="16">
        <v>0.05</v>
      </c>
      <c r="S1511" s="16">
        <v>6399.9299999999994</v>
      </c>
      <c r="T1511" s="5" t="s">
        <v>139</v>
      </c>
      <c r="U1511" s="13" t="s">
        <v>304</v>
      </c>
    </row>
    <row r="1512" spans="1:21" x14ac:dyDescent="0.35">
      <c r="A1512" s="4">
        <v>1511</v>
      </c>
      <c r="B1512" s="4">
        <v>25</v>
      </c>
      <c r="C1512" s="13" t="s">
        <v>1865</v>
      </c>
      <c r="D1512" s="13" t="s">
        <v>1866</v>
      </c>
      <c r="E1512" s="5" t="s">
        <v>5566</v>
      </c>
      <c r="F1512" s="5" t="s">
        <v>4705</v>
      </c>
      <c r="G1512" s="5" t="s">
        <v>4706</v>
      </c>
      <c r="H1512" s="13" t="s">
        <v>3870</v>
      </c>
      <c r="I1512" s="13" t="s">
        <v>2309</v>
      </c>
      <c r="J1512" s="4">
        <v>10541</v>
      </c>
      <c r="K1512" s="4">
        <v>1</v>
      </c>
      <c r="L1512" s="4">
        <v>144</v>
      </c>
      <c r="M1512" s="4">
        <v>2018</v>
      </c>
      <c r="N1512" s="4">
        <v>2</v>
      </c>
      <c r="O1512" s="4">
        <v>6</v>
      </c>
      <c r="P1512" s="4">
        <v>2</v>
      </c>
      <c r="Q1512" s="19">
        <v>1549.99</v>
      </c>
      <c r="R1512" s="16">
        <v>0.2</v>
      </c>
      <c r="S1512" s="16">
        <v>3099.78</v>
      </c>
      <c r="T1512" s="5" t="s">
        <v>141</v>
      </c>
      <c r="U1512" s="13" t="s">
        <v>305</v>
      </c>
    </row>
    <row r="1513" spans="1:21" x14ac:dyDescent="0.35">
      <c r="A1513" s="4">
        <v>1512</v>
      </c>
      <c r="B1513" s="4">
        <v>68</v>
      </c>
      <c r="C1513" s="13" t="s">
        <v>1710</v>
      </c>
      <c r="D1513" s="13" t="s">
        <v>1421</v>
      </c>
      <c r="E1513" s="5" t="s">
        <v>5566</v>
      </c>
      <c r="F1513" s="5" t="s">
        <v>4412</v>
      </c>
      <c r="G1513" s="5" t="s">
        <v>4413</v>
      </c>
      <c r="H1513" s="13" t="s">
        <v>3280</v>
      </c>
      <c r="I1513" s="13" t="s">
        <v>2397</v>
      </c>
      <c r="J1513" s="4">
        <v>75088</v>
      </c>
      <c r="K1513" s="4">
        <v>1</v>
      </c>
      <c r="L1513" s="4">
        <v>217</v>
      </c>
      <c r="M1513" s="4">
        <v>2018</v>
      </c>
      <c r="N1513" s="4">
        <v>3</v>
      </c>
      <c r="O1513" s="4">
        <v>9</v>
      </c>
      <c r="P1513" s="4">
        <v>1</v>
      </c>
      <c r="Q1513" s="19">
        <v>909.99</v>
      </c>
      <c r="R1513" s="16">
        <v>7.0000000000000007E-2</v>
      </c>
      <c r="S1513" s="16">
        <v>909.92</v>
      </c>
      <c r="T1513" s="5" t="s">
        <v>212</v>
      </c>
      <c r="U1513" s="13" t="s">
        <v>301</v>
      </c>
    </row>
    <row r="1514" spans="1:21" x14ac:dyDescent="0.35">
      <c r="A1514" s="4">
        <v>1513</v>
      </c>
      <c r="B1514" s="4">
        <v>32</v>
      </c>
      <c r="C1514" s="13" t="s">
        <v>622</v>
      </c>
      <c r="D1514" s="13" t="s">
        <v>623</v>
      </c>
      <c r="E1514" s="5" t="s">
        <v>5566</v>
      </c>
      <c r="F1514" s="5" t="s">
        <v>2747</v>
      </c>
      <c r="G1514" s="5" t="s">
        <v>2748</v>
      </c>
      <c r="H1514" s="13" t="s">
        <v>2749</v>
      </c>
      <c r="I1514" s="13" t="s">
        <v>2305</v>
      </c>
      <c r="J1514" s="4">
        <v>92831</v>
      </c>
      <c r="K1514" s="4">
        <v>1</v>
      </c>
      <c r="L1514" s="4">
        <v>166</v>
      </c>
      <c r="M1514" s="4">
        <v>2018</v>
      </c>
      <c r="N1514" s="4">
        <v>1</v>
      </c>
      <c r="O1514" s="4">
        <v>2</v>
      </c>
      <c r="P1514" s="4">
        <v>1</v>
      </c>
      <c r="Q1514" s="19">
        <v>749.99</v>
      </c>
      <c r="R1514" s="16">
        <v>0.1</v>
      </c>
      <c r="S1514" s="16">
        <v>749.89</v>
      </c>
      <c r="T1514" s="5" t="s">
        <v>163</v>
      </c>
      <c r="U1514" s="13" t="s">
        <v>305</v>
      </c>
    </row>
    <row r="1515" spans="1:21" x14ac:dyDescent="0.35">
      <c r="A1515" s="4">
        <v>1514</v>
      </c>
      <c r="B1515" s="4">
        <v>87</v>
      </c>
      <c r="C1515" s="13" t="s">
        <v>1487</v>
      </c>
      <c r="D1515" s="13" t="s">
        <v>1488</v>
      </c>
      <c r="E1515" s="5" t="s">
        <v>5566</v>
      </c>
      <c r="F1515" s="5" t="s">
        <v>4036</v>
      </c>
      <c r="G1515" s="5" t="s">
        <v>4037</v>
      </c>
      <c r="H1515" s="13" t="s">
        <v>2315</v>
      </c>
      <c r="I1515" s="13" t="s">
        <v>2305</v>
      </c>
      <c r="J1515" s="4">
        <v>91010</v>
      </c>
      <c r="K1515" s="4">
        <v>1</v>
      </c>
      <c r="L1515" s="4">
        <v>240</v>
      </c>
      <c r="M1515" s="4">
        <v>2018</v>
      </c>
      <c r="N1515" s="4">
        <v>1</v>
      </c>
      <c r="O1515" s="4">
        <v>3</v>
      </c>
      <c r="P1515" s="4">
        <v>2</v>
      </c>
      <c r="Q1515" s="19">
        <v>899.99</v>
      </c>
      <c r="R1515" s="16">
        <v>0.1</v>
      </c>
      <c r="S1515" s="16">
        <v>1799.88</v>
      </c>
      <c r="T1515" s="5" t="s">
        <v>235</v>
      </c>
      <c r="U1515" s="13" t="s">
        <v>301</v>
      </c>
    </row>
    <row r="1516" spans="1:21" x14ac:dyDescent="0.35">
      <c r="A1516" s="4">
        <v>1515</v>
      </c>
      <c r="B1516" s="4">
        <v>61</v>
      </c>
      <c r="C1516" s="13" t="s">
        <v>998</v>
      </c>
      <c r="D1516" s="13" t="s">
        <v>999</v>
      </c>
      <c r="E1516" s="5" t="s">
        <v>5566</v>
      </c>
      <c r="F1516" s="5" t="s">
        <v>3288</v>
      </c>
      <c r="G1516" s="5" t="s">
        <v>3289</v>
      </c>
      <c r="H1516" s="13" t="s">
        <v>2849</v>
      </c>
      <c r="I1516" s="13" t="s">
        <v>2397</v>
      </c>
      <c r="J1516" s="4">
        <v>76901</v>
      </c>
      <c r="K1516" s="4">
        <v>1</v>
      </c>
      <c r="L1516" s="4">
        <v>27</v>
      </c>
      <c r="M1516" s="4">
        <v>2017</v>
      </c>
      <c r="N1516" s="4">
        <v>3</v>
      </c>
      <c r="O1516" s="4">
        <v>9</v>
      </c>
      <c r="P1516" s="4">
        <v>2</v>
      </c>
      <c r="Q1516" s="19">
        <v>999.99</v>
      </c>
      <c r="R1516" s="16">
        <v>0.2</v>
      </c>
      <c r="S1516" s="16">
        <v>1999.78</v>
      </c>
      <c r="T1516" s="5" t="s">
        <v>28</v>
      </c>
      <c r="U1516" s="13" t="s">
        <v>304</v>
      </c>
    </row>
    <row r="1517" spans="1:21" x14ac:dyDescent="0.35">
      <c r="A1517" s="4">
        <v>1516</v>
      </c>
      <c r="B1517" s="4">
        <v>47</v>
      </c>
      <c r="C1517" s="13" t="s">
        <v>1676</v>
      </c>
      <c r="D1517" s="13" t="s">
        <v>602</v>
      </c>
      <c r="E1517" s="5" t="s">
        <v>5566</v>
      </c>
      <c r="F1517" s="5" t="s">
        <v>4353</v>
      </c>
      <c r="G1517" s="5" t="s">
        <v>4354</v>
      </c>
      <c r="H1517" s="13" t="s">
        <v>3004</v>
      </c>
      <c r="I1517" s="13" t="s">
        <v>2305</v>
      </c>
      <c r="J1517" s="4">
        <v>94580</v>
      </c>
      <c r="K1517" s="4">
        <v>1</v>
      </c>
      <c r="L1517" s="4">
        <v>172</v>
      </c>
      <c r="M1517" s="4">
        <v>2018</v>
      </c>
      <c r="N1517" s="4">
        <v>1</v>
      </c>
      <c r="O1517" s="4">
        <v>3</v>
      </c>
      <c r="P1517" s="4">
        <v>2</v>
      </c>
      <c r="Q1517" s="19">
        <v>3199.99</v>
      </c>
      <c r="R1517" s="16">
        <v>0.1</v>
      </c>
      <c r="S1517" s="16">
        <v>6399.8799999999992</v>
      </c>
      <c r="T1517" s="5" t="s">
        <v>169</v>
      </c>
      <c r="U1517" s="13" t="s">
        <v>305</v>
      </c>
    </row>
    <row r="1518" spans="1:21" x14ac:dyDescent="0.35">
      <c r="A1518" s="4">
        <v>1517</v>
      </c>
      <c r="B1518" s="4">
        <v>97</v>
      </c>
      <c r="C1518" s="13" t="s">
        <v>1648</v>
      </c>
      <c r="D1518" s="13" t="s">
        <v>1306</v>
      </c>
      <c r="E1518" s="5" t="s">
        <v>5566</v>
      </c>
      <c r="F1518" s="5" t="s">
        <v>4290</v>
      </c>
      <c r="G1518" s="5" t="s">
        <v>4291</v>
      </c>
      <c r="H1518" s="13" t="s">
        <v>4292</v>
      </c>
      <c r="I1518" s="13" t="s">
        <v>2305</v>
      </c>
      <c r="J1518" s="4">
        <v>95993</v>
      </c>
      <c r="K1518" s="4">
        <v>1</v>
      </c>
      <c r="L1518" s="4">
        <v>303</v>
      </c>
      <c r="M1518" s="4">
        <v>2018</v>
      </c>
      <c r="N1518" s="4">
        <v>1</v>
      </c>
      <c r="O1518" s="4">
        <v>2</v>
      </c>
      <c r="P1518" s="4">
        <v>2</v>
      </c>
      <c r="Q1518" s="19">
        <v>2599.9899999999998</v>
      </c>
      <c r="R1518" s="16">
        <v>7.0000000000000007E-2</v>
      </c>
      <c r="S1518" s="16">
        <v>5199.91</v>
      </c>
      <c r="T1518" s="5" t="s">
        <v>189</v>
      </c>
      <c r="U1518" s="13" t="s">
        <v>300</v>
      </c>
    </row>
    <row r="1519" spans="1:21" x14ac:dyDescent="0.35">
      <c r="A1519" s="4">
        <v>1518</v>
      </c>
      <c r="B1519" s="4">
        <v>175</v>
      </c>
      <c r="C1519" s="13" t="s">
        <v>330</v>
      </c>
      <c r="D1519" s="13" t="s">
        <v>331</v>
      </c>
      <c r="E1519" s="5" t="s">
        <v>5566</v>
      </c>
      <c r="F1519" s="5" t="s">
        <v>2313</v>
      </c>
      <c r="G1519" s="5" t="s">
        <v>2314</v>
      </c>
      <c r="H1519" s="13" t="s">
        <v>2315</v>
      </c>
      <c r="I1519" s="13" t="s">
        <v>2305</v>
      </c>
      <c r="J1519" s="4">
        <v>91010</v>
      </c>
      <c r="K1519" s="4">
        <v>1</v>
      </c>
      <c r="L1519" s="4">
        <v>304</v>
      </c>
      <c r="M1519" s="4">
        <v>2018</v>
      </c>
      <c r="N1519" s="4">
        <v>1</v>
      </c>
      <c r="O1519" s="4">
        <v>2</v>
      </c>
      <c r="P1519" s="4">
        <v>2</v>
      </c>
      <c r="Q1519" s="19">
        <v>679.99</v>
      </c>
      <c r="R1519" s="16">
        <v>0.1</v>
      </c>
      <c r="S1519" s="16">
        <v>1359.88</v>
      </c>
      <c r="T1519" s="5" t="s">
        <v>221</v>
      </c>
      <c r="U1519" s="13" t="s">
        <v>300</v>
      </c>
    </row>
    <row r="1520" spans="1:21" x14ac:dyDescent="0.35">
      <c r="A1520" s="4">
        <v>1519</v>
      </c>
      <c r="B1520" s="4">
        <v>26</v>
      </c>
      <c r="C1520" s="13" t="s">
        <v>795</v>
      </c>
      <c r="D1520" s="13" t="s">
        <v>796</v>
      </c>
      <c r="E1520" s="5" t="s">
        <v>2975</v>
      </c>
      <c r="F1520" s="5" t="s">
        <v>2976</v>
      </c>
      <c r="G1520" s="5" t="s">
        <v>2977</v>
      </c>
      <c r="H1520" s="13" t="s">
        <v>2419</v>
      </c>
      <c r="I1520" s="13" t="s">
        <v>2309</v>
      </c>
      <c r="J1520" s="4">
        <v>11561</v>
      </c>
      <c r="K1520" s="4">
        <v>1</v>
      </c>
      <c r="L1520" s="4">
        <v>150</v>
      </c>
      <c r="M1520" s="4">
        <v>2018</v>
      </c>
      <c r="N1520" s="4">
        <v>2</v>
      </c>
      <c r="O1520" s="4">
        <v>7</v>
      </c>
      <c r="P1520" s="4">
        <v>1</v>
      </c>
      <c r="Q1520" s="19">
        <v>4499.99</v>
      </c>
      <c r="R1520" s="16">
        <v>0.2</v>
      </c>
      <c r="S1520" s="16">
        <v>4499.79</v>
      </c>
      <c r="T1520" s="5" t="s">
        <v>147</v>
      </c>
      <c r="U1520" s="13" t="s">
        <v>305</v>
      </c>
    </row>
    <row r="1521" spans="1:21" x14ac:dyDescent="0.35">
      <c r="A1521" s="4">
        <v>1520</v>
      </c>
      <c r="B1521" s="4">
        <v>66</v>
      </c>
      <c r="C1521" s="13" t="s">
        <v>676</v>
      </c>
      <c r="D1521" s="13" t="s">
        <v>791</v>
      </c>
      <c r="E1521" s="5" t="s">
        <v>5566</v>
      </c>
      <c r="F1521" s="5" t="s">
        <v>2967</v>
      </c>
      <c r="G1521" s="5" t="s">
        <v>2968</v>
      </c>
      <c r="H1521" s="13" t="s">
        <v>902</v>
      </c>
      <c r="I1521" s="13" t="s">
        <v>2397</v>
      </c>
      <c r="J1521" s="4">
        <v>75043</v>
      </c>
      <c r="K1521" s="4">
        <v>1</v>
      </c>
      <c r="L1521" s="4">
        <v>186</v>
      </c>
      <c r="M1521" s="4">
        <v>2018</v>
      </c>
      <c r="N1521" s="4">
        <v>3</v>
      </c>
      <c r="O1521" s="4">
        <v>8</v>
      </c>
      <c r="P1521" s="4">
        <v>1</v>
      </c>
      <c r="Q1521" s="19">
        <v>4499.99</v>
      </c>
      <c r="R1521" s="16">
        <v>0.05</v>
      </c>
      <c r="S1521" s="16">
        <v>4499.9399999999996</v>
      </c>
      <c r="T1521" s="5" t="s">
        <v>183</v>
      </c>
      <c r="U1521" s="13" t="s">
        <v>303</v>
      </c>
    </row>
    <row r="1522" spans="1:21" x14ac:dyDescent="0.35">
      <c r="A1522" s="4">
        <v>1521</v>
      </c>
      <c r="B1522" s="4">
        <v>53</v>
      </c>
      <c r="C1522" s="13" t="s">
        <v>996</v>
      </c>
      <c r="D1522" s="13" t="s">
        <v>997</v>
      </c>
      <c r="E1522" s="5" t="s">
        <v>5566</v>
      </c>
      <c r="F1522" s="5" t="s">
        <v>3283</v>
      </c>
      <c r="G1522" s="5" t="s">
        <v>3284</v>
      </c>
      <c r="H1522" s="13" t="s">
        <v>2528</v>
      </c>
      <c r="I1522" s="13" t="s">
        <v>2305</v>
      </c>
      <c r="J1522" s="4">
        <v>91740</v>
      </c>
      <c r="K1522" s="4">
        <v>1</v>
      </c>
      <c r="L1522" s="4">
        <v>100</v>
      </c>
      <c r="M1522" s="4">
        <v>2017</v>
      </c>
      <c r="N1522" s="4">
        <v>1</v>
      </c>
      <c r="O1522" s="4">
        <v>3</v>
      </c>
      <c r="P1522" s="4">
        <v>1</v>
      </c>
      <c r="Q1522" s="19">
        <v>489.99</v>
      </c>
      <c r="R1522" s="16">
        <v>0.2</v>
      </c>
      <c r="S1522" s="16">
        <v>489.79</v>
      </c>
      <c r="T1522" s="5" t="s">
        <v>100</v>
      </c>
      <c r="U1522" s="13" t="s">
        <v>299</v>
      </c>
    </row>
    <row r="1523" spans="1:21" x14ac:dyDescent="0.35">
      <c r="A1523" s="4">
        <v>1522</v>
      </c>
      <c r="B1523" s="4">
        <v>78</v>
      </c>
      <c r="C1523" s="13" t="s">
        <v>1561</v>
      </c>
      <c r="D1523" s="13" t="s">
        <v>1562</v>
      </c>
      <c r="E1523" s="5" t="s">
        <v>5566</v>
      </c>
      <c r="F1523" s="5" t="s">
        <v>4157</v>
      </c>
      <c r="G1523" s="5" t="s">
        <v>4158</v>
      </c>
      <c r="H1523" s="13" t="s">
        <v>2790</v>
      </c>
      <c r="I1523" s="13" t="s">
        <v>2305</v>
      </c>
      <c r="J1523" s="4">
        <v>90274</v>
      </c>
      <c r="K1523" s="4">
        <v>1</v>
      </c>
      <c r="L1523" s="4">
        <v>95</v>
      </c>
      <c r="M1523" s="4">
        <v>2017</v>
      </c>
      <c r="N1523" s="4">
        <v>1</v>
      </c>
      <c r="O1523" s="4">
        <v>3</v>
      </c>
      <c r="P1523" s="4">
        <v>1</v>
      </c>
      <c r="Q1523" s="19">
        <v>299.99</v>
      </c>
      <c r="R1523" s="16">
        <v>0.1</v>
      </c>
      <c r="S1523" s="16">
        <v>299.89</v>
      </c>
      <c r="T1523" s="5" t="s">
        <v>77</v>
      </c>
      <c r="U1523" s="13" t="s">
        <v>299</v>
      </c>
    </row>
    <row r="1524" spans="1:21" x14ac:dyDescent="0.35">
      <c r="A1524" s="4">
        <v>1523</v>
      </c>
      <c r="B1524" s="4">
        <v>8</v>
      </c>
      <c r="C1524" s="13" t="s">
        <v>1180</v>
      </c>
      <c r="D1524" s="13" t="s">
        <v>616</v>
      </c>
      <c r="E1524" s="5" t="s">
        <v>5566</v>
      </c>
      <c r="F1524" s="5" t="s">
        <v>3545</v>
      </c>
      <c r="G1524" s="5" t="s">
        <v>3546</v>
      </c>
      <c r="H1524" s="13" t="s">
        <v>2763</v>
      </c>
      <c r="I1524" s="13" t="s">
        <v>2309</v>
      </c>
      <c r="J1524" s="4">
        <v>11372</v>
      </c>
      <c r="K1524" s="4">
        <v>1</v>
      </c>
      <c r="L1524" s="4">
        <v>311</v>
      </c>
      <c r="M1524" s="4">
        <v>2018</v>
      </c>
      <c r="N1524" s="4">
        <v>2</v>
      </c>
      <c r="O1524" s="4">
        <v>7</v>
      </c>
      <c r="P1524" s="4">
        <v>2</v>
      </c>
      <c r="Q1524" s="19">
        <v>749.99</v>
      </c>
      <c r="R1524" s="16">
        <v>0.2</v>
      </c>
      <c r="S1524" s="16">
        <v>1499.78</v>
      </c>
      <c r="T1524" s="5" t="s">
        <v>236</v>
      </c>
      <c r="U1524" s="13" t="s">
        <v>300</v>
      </c>
    </row>
    <row r="1525" spans="1:21" x14ac:dyDescent="0.35">
      <c r="A1525" s="4">
        <v>1524</v>
      </c>
      <c r="B1525" s="4">
        <v>37</v>
      </c>
      <c r="C1525" s="13" t="s">
        <v>2104</v>
      </c>
      <c r="D1525" s="13" t="s">
        <v>2105</v>
      </c>
      <c r="E1525" s="5" t="s">
        <v>5566</v>
      </c>
      <c r="F1525" s="5" t="s">
        <v>5178</v>
      </c>
      <c r="G1525" s="5" t="s">
        <v>5179</v>
      </c>
      <c r="H1525" s="13" t="s">
        <v>2838</v>
      </c>
      <c r="I1525" s="13" t="s">
        <v>2309</v>
      </c>
      <c r="J1525" s="4">
        <v>11378</v>
      </c>
      <c r="K1525" s="4">
        <v>1</v>
      </c>
      <c r="L1525" s="4">
        <v>168</v>
      </c>
      <c r="M1525" s="4">
        <v>2018</v>
      </c>
      <c r="N1525" s="4">
        <v>2</v>
      </c>
      <c r="O1525" s="4">
        <v>6</v>
      </c>
      <c r="P1525" s="4">
        <v>1</v>
      </c>
      <c r="Q1525" s="19">
        <v>1549</v>
      </c>
      <c r="R1525" s="16">
        <v>0.1</v>
      </c>
      <c r="S1525" s="16">
        <v>1548.9</v>
      </c>
      <c r="T1525" s="5" t="s">
        <v>165</v>
      </c>
      <c r="U1525" s="13" t="s">
        <v>305</v>
      </c>
    </row>
    <row r="1526" spans="1:21" x14ac:dyDescent="0.35">
      <c r="A1526" s="4">
        <v>1525</v>
      </c>
      <c r="B1526" s="4">
        <v>38</v>
      </c>
      <c r="C1526" s="13" t="s">
        <v>1454</v>
      </c>
      <c r="D1526" s="13" t="s">
        <v>537</v>
      </c>
      <c r="E1526" s="5" t="s">
        <v>5566</v>
      </c>
      <c r="F1526" s="5" t="s">
        <v>3974</v>
      </c>
      <c r="G1526" s="5" t="s">
        <v>3975</v>
      </c>
      <c r="H1526" s="13" t="s">
        <v>3156</v>
      </c>
      <c r="I1526" s="13" t="s">
        <v>2309</v>
      </c>
      <c r="J1526" s="4">
        <v>11102</v>
      </c>
      <c r="K1526" s="4">
        <v>1</v>
      </c>
      <c r="L1526" s="4">
        <v>156</v>
      </c>
      <c r="M1526" s="4">
        <v>2018</v>
      </c>
      <c r="N1526" s="4">
        <v>2</v>
      </c>
      <c r="O1526" s="4">
        <v>7</v>
      </c>
      <c r="P1526" s="4">
        <v>1</v>
      </c>
      <c r="Q1526" s="19">
        <v>6499.99</v>
      </c>
      <c r="R1526" s="16">
        <v>0.1</v>
      </c>
      <c r="S1526" s="16">
        <v>6499.8899999999994</v>
      </c>
      <c r="T1526" s="5" t="s">
        <v>153</v>
      </c>
      <c r="U1526" s="13" t="s">
        <v>305</v>
      </c>
    </row>
    <row r="1527" spans="1:21" x14ac:dyDescent="0.35">
      <c r="A1527" s="4">
        <v>1526</v>
      </c>
      <c r="B1527" s="4">
        <v>59</v>
      </c>
      <c r="C1527" s="13" t="s">
        <v>522</v>
      </c>
      <c r="D1527" s="13" t="s">
        <v>845</v>
      </c>
      <c r="E1527" s="5" t="s">
        <v>5566</v>
      </c>
      <c r="F1527" s="5" t="s">
        <v>3049</v>
      </c>
      <c r="G1527" s="5" t="s">
        <v>3050</v>
      </c>
      <c r="H1527" s="13" t="s">
        <v>2580</v>
      </c>
      <c r="I1527" s="13" t="s">
        <v>2309</v>
      </c>
      <c r="J1527" s="4">
        <v>11570</v>
      </c>
      <c r="K1527" s="4">
        <v>1</v>
      </c>
      <c r="L1527" s="4">
        <v>151</v>
      </c>
      <c r="M1527" s="4">
        <v>2018</v>
      </c>
      <c r="N1527" s="4">
        <v>2</v>
      </c>
      <c r="O1527" s="4">
        <v>7</v>
      </c>
      <c r="P1527" s="4">
        <v>1</v>
      </c>
      <c r="Q1527" s="19">
        <v>1549.99</v>
      </c>
      <c r="R1527" s="16">
        <v>7.0000000000000007E-2</v>
      </c>
      <c r="S1527" s="16">
        <v>1549.92</v>
      </c>
      <c r="T1527" s="5" t="s">
        <v>148</v>
      </c>
      <c r="U1527" s="13" t="s">
        <v>305</v>
      </c>
    </row>
    <row r="1528" spans="1:21" x14ac:dyDescent="0.35">
      <c r="A1528" s="4">
        <v>1527</v>
      </c>
      <c r="B1528" s="4">
        <v>13</v>
      </c>
      <c r="C1528" s="13" t="s">
        <v>766</v>
      </c>
      <c r="D1528" s="13" t="s">
        <v>767</v>
      </c>
      <c r="E1528" s="5" t="s">
        <v>5566</v>
      </c>
      <c r="F1528" s="5" t="s">
        <v>2936</v>
      </c>
      <c r="G1528" s="5" t="s">
        <v>2937</v>
      </c>
      <c r="H1528" s="13" t="s">
        <v>2593</v>
      </c>
      <c r="I1528" s="13" t="s">
        <v>2397</v>
      </c>
      <c r="J1528" s="4">
        <v>75604</v>
      </c>
      <c r="K1528" s="4">
        <v>1</v>
      </c>
      <c r="L1528" s="4">
        <v>33</v>
      </c>
      <c r="M1528" s="4">
        <v>2017</v>
      </c>
      <c r="N1528" s="4">
        <v>3</v>
      </c>
      <c r="O1528" s="4">
        <v>9</v>
      </c>
      <c r="P1528" s="4">
        <v>1</v>
      </c>
      <c r="Q1528" s="19">
        <v>469.99</v>
      </c>
      <c r="R1528" s="16">
        <v>0.1</v>
      </c>
      <c r="S1528" s="16">
        <v>469.89</v>
      </c>
      <c r="T1528" s="5" t="s">
        <v>34</v>
      </c>
      <c r="U1528" s="13" t="s">
        <v>304</v>
      </c>
    </row>
    <row r="1529" spans="1:21" x14ac:dyDescent="0.35">
      <c r="A1529" s="4">
        <v>1528</v>
      </c>
      <c r="B1529" s="4">
        <v>20</v>
      </c>
      <c r="C1529" s="13" t="s">
        <v>986</v>
      </c>
      <c r="D1529" s="13" t="s">
        <v>1230</v>
      </c>
      <c r="E1529" s="5" t="s">
        <v>5566</v>
      </c>
      <c r="F1529" s="5" t="s">
        <v>3620</v>
      </c>
      <c r="G1529" s="5" t="s">
        <v>3621</v>
      </c>
      <c r="H1529" s="13" t="s">
        <v>2502</v>
      </c>
      <c r="I1529" s="13" t="s">
        <v>2397</v>
      </c>
      <c r="J1529" s="4">
        <v>77478</v>
      </c>
      <c r="K1529" s="4">
        <v>1</v>
      </c>
      <c r="L1529" s="4">
        <v>229</v>
      </c>
      <c r="M1529" s="4">
        <v>2018</v>
      </c>
      <c r="N1529" s="4">
        <v>3</v>
      </c>
      <c r="O1529" s="4">
        <v>8</v>
      </c>
      <c r="P1529" s="4">
        <v>2</v>
      </c>
      <c r="Q1529" s="19">
        <v>429.99</v>
      </c>
      <c r="R1529" s="16">
        <v>0.2</v>
      </c>
      <c r="S1529" s="16">
        <v>859.78</v>
      </c>
      <c r="T1529" s="5" t="s">
        <v>224</v>
      </c>
      <c r="U1529" s="13" t="s">
        <v>301</v>
      </c>
    </row>
    <row r="1530" spans="1:21" x14ac:dyDescent="0.35">
      <c r="A1530" s="4">
        <v>1529</v>
      </c>
      <c r="B1530" s="4">
        <v>50</v>
      </c>
      <c r="C1530" s="13" t="s">
        <v>458</v>
      </c>
      <c r="D1530" s="13" t="s">
        <v>459</v>
      </c>
      <c r="E1530" s="5" t="s">
        <v>5566</v>
      </c>
      <c r="F1530" s="5" t="s">
        <v>2508</v>
      </c>
      <c r="G1530" s="5" t="s">
        <v>2509</v>
      </c>
      <c r="H1530" s="13" t="s">
        <v>2502</v>
      </c>
      <c r="I1530" s="13" t="s">
        <v>2397</v>
      </c>
      <c r="J1530" s="4">
        <v>77478</v>
      </c>
      <c r="K1530" s="4">
        <v>1</v>
      </c>
      <c r="L1530" s="4">
        <v>23</v>
      </c>
      <c r="M1530" s="4">
        <v>2016</v>
      </c>
      <c r="N1530" s="4">
        <v>3</v>
      </c>
      <c r="O1530" s="4">
        <v>8</v>
      </c>
      <c r="P1530" s="4">
        <v>1</v>
      </c>
      <c r="Q1530" s="19">
        <v>299.99</v>
      </c>
      <c r="R1530" s="16">
        <v>0.05</v>
      </c>
      <c r="S1530" s="16">
        <v>299.94</v>
      </c>
      <c r="T1530" s="5" t="s">
        <v>26</v>
      </c>
      <c r="U1530" s="13" t="s">
        <v>299</v>
      </c>
    </row>
    <row r="1531" spans="1:21" x14ac:dyDescent="0.35">
      <c r="A1531" s="4">
        <v>1530</v>
      </c>
      <c r="B1531" s="4">
        <v>110</v>
      </c>
      <c r="C1531" s="13" t="s">
        <v>2065</v>
      </c>
      <c r="D1531" s="13" t="s">
        <v>2066</v>
      </c>
      <c r="E1531" s="5" t="s">
        <v>5086</v>
      </c>
      <c r="F1531" s="5" t="s">
        <v>5087</v>
      </c>
      <c r="G1531" s="5" t="s">
        <v>5088</v>
      </c>
      <c r="H1531" s="13" t="s">
        <v>2460</v>
      </c>
      <c r="I1531" s="13" t="s">
        <v>2305</v>
      </c>
      <c r="J1531" s="4">
        <v>92806</v>
      </c>
      <c r="K1531" s="4">
        <v>1</v>
      </c>
      <c r="L1531" s="4">
        <v>213</v>
      </c>
      <c r="M1531" s="4">
        <v>2018</v>
      </c>
      <c r="N1531" s="4">
        <v>1</v>
      </c>
      <c r="O1531" s="4">
        <v>2</v>
      </c>
      <c r="P1531" s="4">
        <v>2</v>
      </c>
      <c r="Q1531" s="19">
        <v>269.99</v>
      </c>
      <c r="R1531" s="16">
        <v>0.1</v>
      </c>
      <c r="S1531" s="16">
        <v>539.88</v>
      </c>
      <c r="T1531" s="5" t="s">
        <v>208</v>
      </c>
      <c r="U1531" s="13" t="s">
        <v>301</v>
      </c>
    </row>
    <row r="1532" spans="1:21" x14ac:dyDescent="0.35">
      <c r="A1532" s="4">
        <v>1531</v>
      </c>
      <c r="B1532" s="4">
        <v>233</v>
      </c>
      <c r="C1532" s="13" t="s">
        <v>1713</v>
      </c>
      <c r="D1532" s="13" t="s">
        <v>1714</v>
      </c>
      <c r="E1532" s="5" t="s">
        <v>5566</v>
      </c>
      <c r="F1532" s="5" t="s">
        <v>4416</v>
      </c>
      <c r="G1532" s="5" t="s">
        <v>4417</v>
      </c>
      <c r="H1532" s="13" t="s">
        <v>2373</v>
      </c>
      <c r="I1532" s="13" t="s">
        <v>2305</v>
      </c>
      <c r="J1532" s="4">
        <v>95050</v>
      </c>
      <c r="K1532" s="4">
        <v>1</v>
      </c>
      <c r="L1532" s="4">
        <v>128</v>
      </c>
      <c r="M1532" s="4">
        <v>2018</v>
      </c>
      <c r="N1532" s="4">
        <v>1</v>
      </c>
      <c r="O1532" s="4">
        <v>2</v>
      </c>
      <c r="P1532" s="4">
        <v>1</v>
      </c>
      <c r="Q1532" s="19">
        <v>1899</v>
      </c>
      <c r="R1532" s="16">
        <v>0.1</v>
      </c>
      <c r="S1532" s="16">
        <v>1898.9</v>
      </c>
      <c r="T1532" s="5" t="s">
        <v>125</v>
      </c>
      <c r="U1532" s="13" t="s">
        <v>304</v>
      </c>
    </row>
    <row r="1533" spans="1:21" x14ac:dyDescent="0.35">
      <c r="A1533" s="4">
        <v>1532</v>
      </c>
      <c r="B1533" s="4">
        <v>7</v>
      </c>
      <c r="C1533" s="13" t="s">
        <v>522</v>
      </c>
      <c r="D1533" s="13" t="s">
        <v>523</v>
      </c>
      <c r="E1533" s="5" t="s">
        <v>2600</v>
      </c>
      <c r="F1533" s="5" t="s">
        <v>2601</v>
      </c>
      <c r="G1533" s="5" t="s">
        <v>2602</v>
      </c>
      <c r="H1533" s="13" t="s">
        <v>2406</v>
      </c>
      <c r="I1533" s="13" t="s">
        <v>2309</v>
      </c>
      <c r="J1533" s="4">
        <v>14215</v>
      </c>
      <c r="K1533" s="4">
        <v>1</v>
      </c>
      <c r="L1533" s="4">
        <v>209</v>
      </c>
      <c r="M1533" s="4">
        <v>2018</v>
      </c>
      <c r="N1533" s="4">
        <v>2</v>
      </c>
      <c r="O1533" s="4">
        <v>7</v>
      </c>
      <c r="P1533" s="4">
        <v>2</v>
      </c>
      <c r="Q1533" s="19">
        <v>2999.99</v>
      </c>
      <c r="R1533" s="16">
        <v>7.0000000000000007E-2</v>
      </c>
      <c r="S1533" s="16">
        <v>5999.91</v>
      </c>
      <c r="T1533" s="5" t="s">
        <v>206</v>
      </c>
      <c r="U1533" s="13" t="s">
        <v>302</v>
      </c>
    </row>
    <row r="1534" spans="1:21" x14ac:dyDescent="0.35">
      <c r="A1534" s="4">
        <v>1533</v>
      </c>
      <c r="B1534" s="4">
        <v>28</v>
      </c>
      <c r="C1534" s="13" t="s">
        <v>2117</v>
      </c>
      <c r="D1534" s="13" t="s">
        <v>1373</v>
      </c>
      <c r="E1534" s="5" t="s">
        <v>5566</v>
      </c>
      <c r="F1534" s="5" t="s">
        <v>5203</v>
      </c>
      <c r="G1534" s="5" t="s">
        <v>5204</v>
      </c>
      <c r="H1534" s="13" t="s">
        <v>2444</v>
      </c>
      <c r="I1534" s="13" t="s">
        <v>2309</v>
      </c>
      <c r="J1534" s="4">
        <v>10562</v>
      </c>
      <c r="K1534" s="4">
        <v>1</v>
      </c>
      <c r="L1534" s="4">
        <v>274</v>
      </c>
      <c r="M1534" s="4">
        <v>2018</v>
      </c>
      <c r="N1534" s="4">
        <v>2</v>
      </c>
      <c r="O1534" s="4">
        <v>6</v>
      </c>
      <c r="P1534" s="4">
        <v>2</v>
      </c>
      <c r="Q1534" s="19">
        <v>229.99</v>
      </c>
      <c r="R1534" s="16">
        <v>0.1</v>
      </c>
      <c r="S1534" s="16">
        <v>459.88</v>
      </c>
      <c r="T1534" s="5" t="s">
        <v>265</v>
      </c>
      <c r="U1534" s="13" t="s">
        <v>299</v>
      </c>
    </row>
    <row r="1535" spans="1:21" x14ac:dyDescent="0.35">
      <c r="A1535" s="4">
        <v>1534</v>
      </c>
      <c r="B1535" s="4">
        <v>18</v>
      </c>
      <c r="C1535" s="13" t="s">
        <v>1305</v>
      </c>
      <c r="D1535" s="13" t="s">
        <v>872</v>
      </c>
      <c r="E1535" s="5" t="s">
        <v>5566</v>
      </c>
      <c r="F1535" s="5" t="s">
        <v>3739</v>
      </c>
      <c r="G1535" s="5" t="s">
        <v>3740</v>
      </c>
      <c r="H1535" s="13" t="s">
        <v>3204</v>
      </c>
      <c r="I1535" s="13" t="s">
        <v>2309</v>
      </c>
      <c r="J1535" s="4">
        <v>14424</v>
      </c>
      <c r="K1535" s="4">
        <v>1</v>
      </c>
      <c r="L1535" s="4">
        <v>194</v>
      </c>
      <c r="M1535" s="4">
        <v>2018</v>
      </c>
      <c r="N1535" s="4">
        <v>2</v>
      </c>
      <c r="O1535" s="4">
        <v>7</v>
      </c>
      <c r="P1535" s="4">
        <v>1</v>
      </c>
      <c r="Q1535" s="19">
        <v>3499.99</v>
      </c>
      <c r="R1535" s="16">
        <v>0.1</v>
      </c>
      <c r="S1535" s="16">
        <v>3499.89</v>
      </c>
      <c r="T1535" s="5" t="s">
        <v>191</v>
      </c>
      <c r="U1535" s="13" t="s">
        <v>303</v>
      </c>
    </row>
    <row r="1536" spans="1:21" x14ac:dyDescent="0.35">
      <c r="A1536" s="4">
        <v>1535</v>
      </c>
      <c r="B1536" s="4">
        <v>19</v>
      </c>
      <c r="C1536" s="13" t="s">
        <v>2027</v>
      </c>
      <c r="D1536" s="13" t="s">
        <v>2028</v>
      </c>
      <c r="E1536" s="5" t="s">
        <v>5566</v>
      </c>
      <c r="F1536" s="5" t="s">
        <v>5000</v>
      </c>
      <c r="G1536" s="5" t="s">
        <v>5001</v>
      </c>
      <c r="H1536" s="13" t="s">
        <v>2390</v>
      </c>
      <c r="I1536" s="13" t="s">
        <v>2309</v>
      </c>
      <c r="J1536" s="4">
        <v>14127</v>
      </c>
      <c r="K1536" s="4">
        <v>1</v>
      </c>
      <c r="L1536" s="4">
        <v>92</v>
      </c>
      <c r="M1536" s="4">
        <v>2017</v>
      </c>
      <c r="N1536" s="4">
        <v>2</v>
      </c>
      <c r="O1536" s="4">
        <v>7</v>
      </c>
      <c r="P1536" s="4">
        <v>1</v>
      </c>
      <c r="Q1536" s="19">
        <v>209.99</v>
      </c>
      <c r="R1536" s="16">
        <v>0.05</v>
      </c>
      <c r="S1536" s="16">
        <v>209.94</v>
      </c>
      <c r="T1536" s="5" t="s">
        <v>93</v>
      </c>
      <c r="U1536" s="13" t="s">
        <v>299</v>
      </c>
    </row>
    <row r="1537" spans="1:21" x14ac:dyDescent="0.35">
      <c r="A1537" s="4">
        <v>1536</v>
      </c>
      <c r="B1537" s="4">
        <v>34</v>
      </c>
      <c r="C1537" s="13" t="s">
        <v>1104</v>
      </c>
      <c r="D1537" s="13" t="s">
        <v>2005</v>
      </c>
      <c r="E1537" s="5" t="s">
        <v>5566</v>
      </c>
      <c r="F1537" s="5" t="s">
        <v>4955</v>
      </c>
      <c r="G1537" s="5" t="s">
        <v>4956</v>
      </c>
      <c r="H1537" s="13" t="s">
        <v>2806</v>
      </c>
      <c r="I1537" s="13" t="s">
        <v>2309</v>
      </c>
      <c r="J1537" s="4">
        <v>11731</v>
      </c>
      <c r="K1537" s="4">
        <v>1</v>
      </c>
      <c r="L1537" s="4">
        <v>183</v>
      </c>
      <c r="M1537" s="4">
        <v>2018</v>
      </c>
      <c r="N1537" s="4">
        <v>2</v>
      </c>
      <c r="O1537" s="4">
        <v>7</v>
      </c>
      <c r="P1537" s="4">
        <v>1</v>
      </c>
      <c r="Q1537" s="19">
        <v>2199.9899999999998</v>
      </c>
      <c r="R1537" s="16">
        <v>0.2</v>
      </c>
      <c r="S1537" s="16">
        <v>2199.79</v>
      </c>
      <c r="T1537" s="5" t="s">
        <v>180</v>
      </c>
      <c r="U1537" s="13" t="s">
        <v>305</v>
      </c>
    </row>
    <row r="1538" spans="1:21" x14ac:dyDescent="0.35">
      <c r="A1538" s="4">
        <v>1537</v>
      </c>
      <c r="B1538" s="4">
        <v>36</v>
      </c>
      <c r="C1538" s="13" t="s">
        <v>870</v>
      </c>
      <c r="D1538" s="13" t="s">
        <v>871</v>
      </c>
      <c r="E1538" s="5" t="s">
        <v>5566</v>
      </c>
      <c r="F1538" s="5" t="s">
        <v>3089</v>
      </c>
      <c r="G1538" s="5" t="s">
        <v>3090</v>
      </c>
      <c r="H1538" s="13" t="s">
        <v>2433</v>
      </c>
      <c r="I1538" s="13" t="s">
        <v>2309</v>
      </c>
      <c r="J1538" s="4">
        <v>13090</v>
      </c>
      <c r="K1538" s="4">
        <v>1</v>
      </c>
      <c r="L1538" s="4">
        <v>237</v>
      </c>
      <c r="M1538" s="4">
        <v>2018</v>
      </c>
      <c r="N1538" s="4">
        <v>2</v>
      </c>
      <c r="O1538" s="4">
        <v>6</v>
      </c>
      <c r="P1538" s="4">
        <v>2</v>
      </c>
      <c r="Q1538" s="19">
        <v>849.99</v>
      </c>
      <c r="R1538" s="16">
        <v>0.05</v>
      </c>
      <c r="S1538" s="16">
        <v>1699.93</v>
      </c>
      <c r="T1538" s="5" t="s">
        <v>232</v>
      </c>
      <c r="U1538" s="13" t="s">
        <v>301</v>
      </c>
    </row>
    <row r="1539" spans="1:21" x14ac:dyDescent="0.35">
      <c r="A1539" s="4">
        <v>1538</v>
      </c>
      <c r="B1539" s="4">
        <v>79</v>
      </c>
      <c r="C1539" s="13" t="s">
        <v>1439</v>
      </c>
      <c r="D1539" s="13" t="s">
        <v>1440</v>
      </c>
      <c r="E1539" s="5" t="s">
        <v>5566</v>
      </c>
      <c r="F1539" s="5" t="s">
        <v>3954</v>
      </c>
      <c r="G1539" s="5" t="s">
        <v>3955</v>
      </c>
      <c r="H1539" s="13" t="s">
        <v>470</v>
      </c>
      <c r="I1539" s="13" t="s">
        <v>2309</v>
      </c>
      <c r="J1539" s="4">
        <v>11510</v>
      </c>
      <c r="K1539" s="4">
        <v>1</v>
      </c>
      <c r="L1539" s="4">
        <v>206</v>
      </c>
      <c r="M1539" s="4">
        <v>2018</v>
      </c>
      <c r="N1539" s="4">
        <v>2</v>
      </c>
      <c r="O1539" s="4">
        <v>6</v>
      </c>
      <c r="P1539" s="4">
        <v>1</v>
      </c>
      <c r="Q1539" s="19">
        <v>3299.99</v>
      </c>
      <c r="R1539" s="16">
        <v>7.0000000000000007E-2</v>
      </c>
      <c r="S1539" s="16">
        <v>3299.9199999999996</v>
      </c>
      <c r="T1539" s="5" t="s">
        <v>203</v>
      </c>
      <c r="U1539" s="13" t="s">
        <v>302</v>
      </c>
    </row>
    <row r="1540" spans="1:21" x14ac:dyDescent="0.35">
      <c r="A1540" s="4">
        <v>1539</v>
      </c>
      <c r="B1540" s="4">
        <v>116</v>
      </c>
      <c r="C1540" s="13" t="s">
        <v>1208</v>
      </c>
      <c r="D1540" s="13" t="s">
        <v>898</v>
      </c>
      <c r="E1540" s="5" t="s">
        <v>5566</v>
      </c>
      <c r="F1540" s="5" t="s">
        <v>3585</v>
      </c>
      <c r="G1540" s="5" t="s">
        <v>3586</v>
      </c>
      <c r="H1540" s="13" t="s">
        <v>2666</v>
      </c>
      <c r="I1540" s="13" t="s">
        <v>2397</v>
      </c>
      <c r="J1540" s="4">
        <v>76039</v>
      </c>
      <c r="K1540" s="4">
        <v>1</v>
      </c>
      <c r="L1540" s="4">
        <v>6</v>
      </c>
      <c r="M1540" s="4">
        <v>2016</v>
      </c>
      <c r="N1540" s="4">
        <v>3</v>
      </c>
      <c r="O1540" s="4">
        <v>9</v>
      </c>
      <c r="P1540" s="4">
        <v>2</v>
      </c>
      <c r="Q1540" s="19">
        <v>469.99</v>
      </c>
      <c r="R1540" s="16">
        <v>0.05</v>
      </c>
      <c r="S1540" s="16">
        <v>939.93000000000006</v>
      </c>
      <c r="T1540" s="5" t="s">
        <v>11</v>
      </c>
      <c r="U1540" s="13" t="s">
        <v>304</v>
      </c>
    </row>
    <row r="1541" spans="1:21" x14ac:dyDescent="0.35">
      <c r="A1541" s="4">
        <v>1540</v>
      </c>
      <c r="B1541" s="4">
        <v>187</v>
      </c>
      <c r="C1541" s="13" t="s">
        <v>955</v>
      </c>
      <c r="D1541" s="13" t="s">
        <v>337</v>
      </c>
      <c r="E1541" s="5" t="s">
        <v>5566</v>
      </c>
      <c r="F1541" s="5" t="s">
        <v>3224</v>
      </c>
      <c r="G1541" s="5" t="s">
        <v>3225</v>
      </c>
      <c r="H1541" s="13" t="s">
        <v>2885</v>
      </c>
      <c r="I1541" s="13" t="s">
        <v>2305</v>
      </c>
      <c r="J1541" s="4">
        <v>92307</v>
      </c>
      <c r="K1541" s="4">
        <v>1</v>
      </c>
      <c r="L1541" s="4">
        <v>71</v>
      </c>
      <c r="M1541" s="4">
        <v>2017</v>
      </c>
      <c r="N1541" s="4">
        <v>1</v>
      </c>
      <c r="O1541" s="4">
        <v>2</v>
      </c>
      <c r="P1541" s="4">
        <v>2</v>
      </c>
      <c r="Q1541" s="19">
        <v>416.99</v>
      </c>
      <c r="R1541" s="16">
        <v>0.05</v>
      </c>
      <c r="S1541" s="16">
        <v>833.93000000000006</v>
      </c>
      <c r="T1541" s="5" t="s">
        <v>72</v>
      </c>
      <c r="U1541" s="13" t="s">
        <v>301</v>
      </c>
    </row>
    <row r="1542" spans="1:21" x14ac:dyDescent="0.35">
      <c r="A1542" s="4">
        <v>1541</v>
      </c>
      <c r="B1542" s="4">
        <v>10</v>
      </c>
      <c r="C1542" s="13" t="s">
        <v>1591</v>
      </c>
      <c r="D1542" s="13" t="s">
        <v>1592</v>
      </c>
      <c r="E1542" s="5" t="s">
        <v>5566</v>
      </c>
      <c r="F1542" s="5" t="s">
        <v>4204</v>
      </c>
      <c r="G1542" s="5" t="s">
        <v>4205</v>
      </c>
      <c r="H1542" s="13" t="s">
        <v>552</v>
      </c>
      <c r="I1542" s="13" t="s">
        <v>2309</v>
      </c>
      <c r="J1542" s="4">
        <v>10950</v>
      </c>
      <c r="K1542" s="4">
        <v>1</v>
      </c>
      <c r="L1542" s="4">
        <v>155</v>
      </c>
      <c r="M1542" s="4">
        <v>2018</v>
      </c>
      <c r="N1542" s="4">
        <v>2</v>
      </c>
      <c r="O1542" s="4">
        <v>7</v>
      </c>
      <c r="P1542" s="4">
        <v>2</v>
      </c>
      <c r="Q1542" s="19">
        <v>11999.99</v>
      </c>
      <c r="R1542" s="16">
        <v>0.1</v>
      </c>
      <c r="S1542" s="16">
        <v>23999.88</v>
      </c>
      <c r="T1542" s="5" t="s">
        <v>152</v>
      </c>
      <c r="U1542" s="13" t="s">
        <v>305</v>
      </c>
    </row>
    <row r="1543" spans="1:21" x14ac:dyDescent="0.35">
      <c r="A1543" s="4">
        <v>1542</v>
      </c>
      <c r="B1543" s="4">
        <v>58</v>
      </c>
      <c r="C1543" s="13" t="s">
        <v>1419</v>
      </c>
      <c r="D1543" s="13" t="s">
        <v>633</v>
      </c>
      <c r="E1543" s="5" t="s">
        <v>5566</v>
      </c>
      <c r="F1543" s="5" t="s">
        <v>3928</v>
      </c>
      <c r="G1543" s="5" t="s">
        <v>3929</v>
      </c>
      <c r="H1543" s="13" t="s">
        <v>2441</v>
      </c>
      <c r="I1543" s="13" t="s">
        <v>2309</v>
      </c>
      <c r="J1543" s="4">
        <v>11722</v>
      </c>
      <c r="K1543" s="4">
        <v>1</v>
      </c>
      <c r="L1543" s="4">
        <v>79</v>
      </c>
      <c r="M1543" s="4">
        <v>2017</v>
      </c>
      <c r="N1543" s="4">
        <v>2</v>
      </c>
      <c r="O1543" s="4">
        <v>6</v>
      </c>
      <c r="P1543" s="4">
        <v>1</v>
      </c>
      <c r="Q1543" s="19">
        <v>402.99</v>
      </c>
      <c r="R1543" s="16">
        <v>0.2</v>
      </c>
      <c r="S1543" s="16">
        <v>402.79</v>
      </c>
      <c r="T1543" s="5" t="s">
        <v>80</v>
      </c>
      <c r="U1543" s="13" t="s">
        <v>301</v>
      </c>
    </row>
    <row r="1544" spans="1:21" x14ac:dyDescent="0.35">
      <c r="A1544" s="4">
        <v>1543</v>
      </c>
      <c r="B1544" s="4">
        <v>76</v>
      </c>
      <c r="C1544" s="13" t="s">
        <v>609</v>
      </c>
      <c r="D1544" s="13" t="s">
        <v>610</v>
      </c>
      <c r="E1544" s="5" t="s">
        <v>5566</v>
      </c>
      <c r="F1544" s="5" t="s">
        <v>2727</v>
      </c>
      <c r="G1544" s="5" t="s">
        <v>2728</v>
      </c>
      <c r="H1544" s="13" t="s">
        <v>2729</v>
      </c>
      <c r="I1544" s="13" t="s">
        <v>2309</v>
      </c>
      <c r="J1544" s="4">
        <v>11776</v>
      </c>
      <c r="K1544" s="4">
        <v>1</v>
      </c>
      <c r="L1544" s="4">
        <v>108</v>
      </c>
      <c r="M1544" s="4">
        <v>2017</v>
      </c>
      <c r="N1544" s="4">
        <v>2</v>
      </c>
      <c r="O1544" s="4">
        <v>6</v>
      </c>
      <c r="P1544" s="4">
        <v>2</v>
      </c>
      <c r="Q1544" s="19">
        <v>449.99</v>
      </c>
      <c r="R1544" s="16">
        <v>0.1</v>
      </c>
      <c r="S1544" s="16">
        <v>899.88</v>
      </c>
      <c r="T1544" s="5" t="s">
        <v>105</v>
      </c>
      <c r="U1544" s="13" t="s">
        <v>300</v>
      </c>
    </row>
    <row r="1545" spans="1:21" x14ac:dyDescent="0.35">
      <c r="A1545" s="4">
        <v>1544</v>
      </c>
      <c r="B1545" s="4">
        <v>5</v>
      </c>
      <c r="C1545" s="13" t="s">
        <v>809</v>
      </c>
      <c r="D1545" s="13" t="s">
        <v>810</v>
      </c>
      <c r="E1545" s="5" t="s">
        <v>2994</v>
      </c>
      <c r="F1545" s="5" t="s">
        <v>2995</v>
      </c>
      <c r="G1545" s="5" t="s">
        <v>2996</v>
      </c>
      <c r="H1545" s="13" t="s">
        <v>2997</v>
      </c>
      <c r="I1545" s="13" t="s">
        <v>2305</v>
      </c>
      <c r="J1545" s="4">
        <v>95820</v>
      </c>
      <c r="K1545" s="4">
        <v>1</v>
      </c>
      <c r="L1545" s="4">
        <v>194</v>
      </c>
      <c r="M1545" s="4">
        <v>2018</v>
      </c>
      <c r="N1545" s="4">
        <v>1</v>
      </c>
      <c r="O1545" s="4">
        <v>2</v>
      </c>
      <c r="P1545" s="4">
        <v>2</v>
      </c>
      <c r="Q1545" s="19">
        <v>3499.99</v>
      </c>
      <c r="R1545" s="16">
        <v>0.1</v>
      </c>
      <c r="S1545" s="16">
        <v>6999.8799999999992</v>
      </c>
      <c r="T1545" s="5" t="s">
        <v>191</v>
      </c>
      <c r="U1545" s="13" t="s">
        <v>303</v>
      </c>
    </row>
    <row r="1546" spans="1:21" x14ac:dyDescent="0.35">
      <c r="A1546" s="4">
        <v>1545</v>
      </c>
      <c r="B1546" s="4">
        <v>67</v>
      </c>
      <c r="C1546" s="13" t="s">
        <v>1053</v>
      </c>
      <c r="D1546" s="13" t="s">
        <v>548</v>
      </c>
      <c r="E1546" s="5" t="s">
        <v>3359</v>
      </c>
      <c r="F1546" s="5" t="s">
        <v>3360</v>
      </c>
      <c r="G1546" s="5" t="s">
        <v>3361</v>
      </c>
      <c r="H1546" s="13" t="s">
        <v>2997</v>
      </c>
      <c r="I1546" s="13" t="s">
        <v>2305</v>
      </c>
      <c r="J1546" s="4">
        <v>95820</v>
      </c>
      <c r="K1546" s="4">
        <v>1</v>
      </c>
      <c r="L1546" s="4">
        <v>45</v>
      </c>
      <c r="M1546" s="4">
        <v>2017</v>
      </c>
      <c r="N1546" s="4">
        <v>1</v>
      </c>
      <c r="O1546" s="4">
        <v>3</v>
      </c>
      <c r="P1546" s="4">
        <v>1</v>
      </c>
      <c r="Q1546" s="19">
        <v>869.99</v>
      </c>
      <c r="R1546" s="16">
        <v>0.1</v>
      </c>
      <c r="S1546" s="16">
        <v>869.89</v>
      </c>
      <c r="T1546" s="5" t="s">
        <v>46</v>
      </c>
      <c r="U1546" s="13" t="s">
        <v>304</v>
      </c>
    </row>
    <row r="1547" spans="1:21" x14ac:dyDescent="0.35">
      <c r="A1547" s="4">
        <v>1546</v>
      </c>
      <c r="B1547" s="4">
        <v>91</v>
      </c>
      <c r="C1547" s="13" t="s">
        <v>346</v>
      </c>
      <c r="D1547" s="13" t="s">
        <v>347</v>
      </c>
      <c r="E1547" s="5" t="s">
        <v>2338</v>
      </c>
      <c r="F1547" s="5" t="s">
        <v>2339</v>
      </c>
      <c r="G1547" s="5" t="s">
        <v>2340</v>
      </c>
      <c r="H1547" s="13" t="s">
        <v>2341</v>
      </c>
      <c r="I1547" s="13" t="s">
        <v>2305</v>
      </c>
      <c r="J1547" s="4">
        <v>92111</v>
      </c>
      <c r="K1547" s="4">
        <v>1</v>
      </c>
      <c r="L1547" s="4">
        <v>156</v>
      </c>
      <c r="M1547" s="4">
        <v>2018</v>
      </c>
      <c r="N1547" s="4">
        <v>1</v>
      </c>
      <c r="O1547" s="4">
        <v>3</v>
      </c>
      <c r="P1547" s="4">
        <v>1</v>
      </c>
      <c r="Q1547" s="19">
        <v>6499.99</v>
      </c>
      <c r="R1547" s="16">
        <v>0.1</v>
      </c>
      <c r="S1547" s="16">
        <v>6499.8899999999994</v>
      </c>
      <c r="T1547" s="5" t="s">
        <v>153</v>
      </c>
      <c r="U1547" s="13" t="s">
        <v>305</v>
      </c>
    </row>
    <row r="1548" spans="1:21" x14ac:dyDescent="0.35">
      <c r="A1548" s="4">
        <v>1547</v>
      </c>
      <c r="B1548" s="4">
        <v>169</v>
      </c>
      <c r="C1548" s="13" t="s">
        <v>1064</v>
      </c>
      <c r="D1548" s="13" t="s">
        <v>1065</v>
      </c>
      <c r="E1548" s="5" t="s">
        <v>5566</v>
      </c>
      <c r="F1548" s="5" t="s">
        <v>3377</v>
      </c>
      <c r="G1548" s="5" t="s">
        <v>3378</v>
      </c>
      <c r="H1548" s="13" t="s">
        <v>2790</v>
      </c>
      <c r="I1548" s="13" t="s">
        <v>2305</v>
      </c>
      <c r="J1548" s="4">
        <v>90274</v>
      </c>
      <c r="K1548" s="4">
        <v>1</v>
      </c>
      <c r="L1548" s="4">
        <v>106</v>
      </c>
      <c r="M1548" s="4">
        <v>2017</v>
      </c>
      <c r="N1548" s="4">
        <v>1</v>
      </c>
      <c r="O1548" s="4">
        <v>3</v>
      </c>
      <c r="P1548" s="4">
        <v>2</v>
      </c>
      <c r="Q1548" s="19">
        <v>449.99</v>
      </c>
      <c r="R1548" s="16">
        <v>0.2</v>
      </c>
      <c r="S1548" s="16">
        <v>899.78</v>
      </c>
      <c r="T1548" s="5" t="s">
        <v>69</v>
      </c>
      <c r="U1548" s="13" t="s">
        <v>300</v>
      </c>
    </row>
    <row r="1549" spans="1:21" x14ac:dyDescent="0.35">
      <c r="A1549" s="4">
        <v>1548</v>
      </c>
      <c r="B1549" s="4">
        <v>170</v>
      </c>
      <c r="C1549" s="13" t="s">
        <v>592</v>
      </c>
      <c r="D1549" s="13" t="s">
        <v>593</v>
      </c>
      <c r="E1549" s="5" t="s">
        <v>2701</v>
      </c>
      <c r="F1549" s="5" t="s">
        <v>2702</v>
      </c>
      <c r="G1549" s="5" t="s">
        <v>2703</v>
      </c>
      <c r="H1549" s="13" t="s">
        <v>2704</v>
      </c>
      <c r="I1549" s="13" t="s">
        <v>2305</v>
      </c>
      <c r="J1549" s="4">
        <v>93035</v>
      </c>
      <c r="K1549" s="4">
        <v>1</v>
      </c>
      <c r="L1549" s="4">
        <v>32</v>
      </c>
      <c r="M1549" s="4">
        <v>2017</v>
      </c>
      <c r="N1549" s="4">
        <v>1</v>
      </c>
      <c r="O1549" s="4">
        <v>2</v>
      </c>
      <c r="P1549" s="4">
        <v>1</v>
      </c>
      <c r="Q1549" s="19">
        <v>469.99</v>
      </c>
      <c r="R1549" s="16">
        <v>0.1</v>
      </c>
      <c r="S1549" s="16">
        <v>469.89</v>
      </c>
      <c r="T1549" s="5" t="s">
        <v>33</v>
      </c>
      <c r="U1549" s="13" t="s">
        <v>304</v>
      </c>
    </row>
    <row r="1550" spans="1:21" x14ac:dyDescent="0.35">
      <c r="A1550" s="4">
        <v>1549</v>
      </c>
      <c r="B1550" s="4">
        <v>17</v>
      </c>
      <c r="C1550" s="13" t="s">
        <v>780</v>
      </c>
      <c r="D1550" s="13" t="s">
        <v>781</v>
      </c>
      <c r="E1550" s="5" t="s">
        <v>5566</v>
      </c>
      <c r="F1550" s="5" t="s">
        <v>2953</v>
      </c>
      <c r="G1550" s="5" t="s">
        <v>2954</v>
      </c>
      <c r="H1550" s="13" t="s">
        <v>2785</v>
      </c>
      <c r="I1550" s="13" t="s">
        <v>2309</v>
      </c>
      <c r="J1550" s="4">
        <v>10583</v>
      </c>
      <c r="K1550" s="4">
        <v>1</v>
      </c>
      <c r="L1550" s="4">
        <v>158</v>
      </c>
      <c r="M1550" s="4">
        <v>2018</v>
      </c>
      <c r="N1550" s="4">
        <v>2</v>
      </c>
      <c r="O1550" s="4">
        <v>7</v>
      </c>
      <c r="P1550" s="4">
        <v>1</v>
      </c>
      <c r="Q1550" s="19">
        <v>959.99</v>
      </c>
      <c r="R1550" s="16">
        <v>0.2</v>
      </c>
      <c r="S1550" s="16">
        <v>959.79</v>
      </c>
      <c r="T1550" s="5" t="s">
        <v>155</v>
      </c>
      <c r="U1550" s="13" t="s">
        <v>305</v>
      </c>
    </row>
    <row r="1551" spans="1:21" x14ac:dyDescent="0.35">
      <c r="A1551" s="4">
        <v>1550</v>
      </c>
      <c r="B1551" s="4">
        <v>39</v>
      </c>
      <c r="C1551" s="13" t="s">
        <v>2136</v>
      </c>
      <c r="D1551" s="13" t="s">
        <v>2137</v>
      </c>
      <c r="E1551" s="5" t="s">
        <v>5238</v>
      </c>
      <c r="F1551" s="5" t="s">
        <v>5239</v>
      </c>
      <c r="G1551" s="5" t="s">
        <v>5240</v>
      </c>
      <c r="H1551" s="13" t="s">
        <v>2597</v>
      </c>
      <c r="I1551" s="13" t="s">
        <v>2309</v>
      </c>
      <c r="J1551" s="4">
        <v>14086</v>
      </c>
      <c r="K1551" s="4">
        <v>1</v>
      </c>
      <c r="L1551" s="4">
        <v>315</v>
      </c>
      <c r="M1551" s="4">
        <v>2018</v>
      </c>
      <c r="N1551" s="4">
        <v>2</v>
      </c>
      <c r="O1551" s="4">
        <v>6</v>
      </c>
      <c r="P1551" s="4">
        <v>2</v>
      </c>
      <c r="Q1551" s="19">
        <v>559.99</v>
      </c>
      <c r="R1551" s="16">
        <v>0.05</v>
      </c>
      <c r="S1551" s="16">
        <v>1119.93</v>
      </c>
      <c r="T1551" s="5" t="s">
        <v>239</v>
      </c>
      <c r="U1551" s="13" t="s">
        <v>300</v>
      </c>
    </row>
    <row r="1552" spans="1:21" x14ac:dyDescent="0.35">
      <c r="A1552" s="4">
        <v>1551</v>
      </c>
      <c r="B1552" s="4">
        <v>70</v>
      </c>
      <c r="C1552" s="13" t="s">
        <v>1839</v>
      </c>
      <c r="D1552" s="13" t="s">
        <v>433</v>
      </c>
      <c r="E1552" s="5" t="s">
        <v>5566</v>
      </c>
      <c r="F1552" s="5" t="s">
        <v>4657</v>
      </c>
      <c r="G1552" s="5" t="s">
        <v>4658</v>
      </c>
      <c r="H1552" s="13" t="s">
        <v>2631</v>
      </c>
      <c r="I1552" s="13" t="s">
        <v>2309</v>
      </c>
      <c r="J1552" s="4">
        <v>11369</v>
      </c>
      <c r="K1552" s="4">
        <v>1</v>
      </c>
      <c r="L1552" s="4">
        <v>207</v>
      </c>
      <c r="M1552" s="4">
        <v>2018</v>
      </c>
      <c r="N1552" s="4">
        <v>2</v>
      </c>
      <c r="O1552" s="4">
        <v>7</v>
      </c>
      <c r="P1552" s="4">
        <v>2</v>
      </c>
      <c r="Q1552" s="19">
        <v>3999.99</v>
      </c>
      <c r="R1552" s="16">
        <v>0.2</v>
      </c>
      <c r="S1552" s="16">
        <v>7999.78</v>
      </c>
      <c r="T1552" s="5" t="s">
        <v>204</v>
      </c>
      <c r="U1552" s="13" t="s">
        <v>302</v>
      </c>
    </row>
    <row r="1553" spans="1:21" x14ac:dyDescent="0.35">
      <c r="A1553" s="4">
        <v>1552</v>
      </c>
      <c r="B1553" s="4">
        <v>73</v>
      </c>
      <c r="C1553" s="13" t="s">
        <v>1727</v>
      </c>
      <c r="D1553" s="13" t="s">
        <v>1322</v>
      </c>
      <c r="E1553" s="5" t="s">
        <v>5566</v>
      </c>
      <c r="F1553" s="5" t="s">
        <v>4439</v>
      </c>
      <c r="G1553" s="5" t="s">
        <v>4440</v>
      </c>
      <c r="H1553" s="13" t="s">
        <v>2433</v>
      </c>
      <c r="I1553" s="13" t="s">
        <v>2309</v>
      </c>
      <c r="J1553" s="4">
        <v>13090</v>
      </c>
      <c r="K1553" s="4">
        <v>1</v>
      </c>
      <c r="L1553" s="4">
        <v>197</v>
      </c>
      <c r="M1553" s="4">
        <v>2018</v>
      </c>
      <c r="N1553" s="4">
        <v>2</v>
      </c>
      <c r="O1553" s="4">
        <v>7</v>
      </c>
      <c r="P1553" s="4">
        <v>1</v>
      </c>
      <c r="Q1553" s="19">
        <v>2299.9899999999998</v>
      </c>
      <c r="R1553" s="16">
        <v>0.1</v>
      </c>
      <c r="S1553" s="16">
        <v>2299.89</v>
      </c>
      <c r="T1553" s="5" t="s">
        <v>194</v>
      </c>
      <c r="U1553" s="13" t="s">
        <v>303</v>
      </c>
    </row>
    <row r="1554" spans="1:21" x14ac:dyDescent="0.35">
      <c r="A1554" s="4">
        <v>1553</v>
      </c>
      <c r="B1554" s="4">
        <v>30</v>
      </c>
      <c r="C1554" s="13" t="s">
        <v>420</v>
      </c>
      <c r="D1554" s="13" t="s">
        <v>939</v>
      </c>
      <c r="E1554" s="5" t="s">
        <v>5566</v>
      </c>
      <c r="F1554" s="5" t="s">
        <v>3194</v>
      </c>
      <c r="G1554" s="5" t="s">
        <v>3195</v>
      </c>
      <c r="H1554" s="13" t="s">
        <v>2347</v>
      </c>
      <c r="I1554" s="13" t="s">
        <v>2305</v>
      </c>
      <c r="J1554" s="4">
        <v>90505</v>
      </c>
      <c r="K1554" s="4">
        <v>1</v>
      </c>
      <c r="L1554" s="4">
        <v>102</v>
      </c>
      <c r="M1554" s="4">
        <v>2017</v>
      </c>
      <c r="N1554" s="4">
        <v>1</v>
      </c>
      <c r="O1554" s="4">
        <v>3</v>
      </c>
      <c r="P1554" s="4">
        <v>1</v>
      </c>
      <c r="Q1554" s="19">
        <v>489.99</v>
      </c>
      <c r="R1554" s="16">
        <v>7.0000000000000007E-2</v>
      </c>
      <c r="S1554" s="16">
        <v>489.92</v>
      </c>
      <c r="T1554" s="5" t="s">
        <v>65</v>
      </c>
      <c r="U1554" s="13" t="s">
        <v>300</v>
      </c>
    </row>
    <row r="1555" spans="1:21" x14ac:dyDescent="0.35">
      <c r="A1555" s="4">
        <v>1554</v>
      </c>
      <c r="B1555" s="4">
        <v>172</v>
      </c>
      <c r="C1555" s="13" t="s">
        <v>1782</v>
      </c>
      <c r="D1555" s="13" t="s">
        <v>1421</v>
      </c>
      <c r="E1555" s="5" t="s">
        <v>5566</v>
      </c>
      <c r="F1555" s="5" t="s">
        <v>4546</v>
      </c>
      <c r="G1555" s="5" t="s">
        <v>4547</v>
      </c>
      <c r="H1555" s="13" t="s">
        <v>2373</v>
      </c>
      <c r="I1555" s="13" t="s">
        <v>2305</v>
      </c>
      <c r="J1555" s="4">
        <v>95050</v>
      </c>
      <c r="K1555" s="4">
        <v>1</v>
      </c>
      <c r="L1555" s="4">
        <v>166</v>
      </c>
      <c r="M1555" s="4">
        <v>2018</v>
      </c>
      <c r="N1555" s="4">
        <v>1</v>
      </c>
      <c r="O1555" s="4">
        <v>3</v>
      </c>
      <c r="P1555" s="4">
        <v>1</v>
      </c>
      <c r="Q1555" s="19">
        <v>749.99</v>
      </c>
      <c r="R1555" s="16">
        <v>0.05</v>
      </c>
      <c r="S1555" s="16">
        <v>749.94</v>
      </c>
      <c r="T1555" s="5" t="s">
        <v>163</v>
      </c>
      <c r="U1555" s="13" t="s">
        <v>305</v>
      </c>
    </row>
    <row r="1556" spans="1:21" x14ac:dyDescent="0.35">
      <c r="A1556" s="4">
        <v>1555</v>
      </c>
      <c r="B1556" s="4">
        <v>1</v>
      </c>
      <c r="C1556" s="13" t="s">
        <v>1294</v>
      </c>
      <c r="D1556" s="13" t="s">
        <v>1295</v>
      </c>
      <c r="E1556" s="5" t="s">
        <v>5566</v>
      </c>
      <c r="F1556" s="5" t="s">
        <v>3724</v>
      </c>
      <c r="G1556" s="5" t="s">
        <v>3725</v>
      </c>
      <c r="H1556" s="13" t="s">
        <v>2390</v>
      </c>
      <c r="I1556" s="13" t="s">
        <v>2309</v>
      </c>
      <c r="J1556" s="4">
        <v>14127</v>
      </c>
      <c r="K1556" s="4">
        <v>1</v>
      </c>
      <c r="L1556" s="4">
        <v>24</v>
      </c>
      <c r="M1556" s="4">
        <v>2016</v>
      </c>
      <c r="N1556" s="4">
        <v>2</v>
      </c>
      <c r="O1556" s="4">
        <v>7</v>
      </c>
      <c r="P1556" s="4">
        <v>2</v>
      </c>
      <c r="Q1556" s="19">
        <v>549.99</v>
      </c>
      <c r="R1556" s="16">
        <v>0.1</v>
      </c>
      <c r="S1556" s="16">
        <v>1099.8800000000001</v>
      </c>
      <c r="T1556" s="5" t="s">
        <v>17</v>
      </c>
      <c r="U1556" s="13" t="s">
        <v>300</v>
      </c>
    </row>
    <row r="1557" spans="1:21" x14ac:dyDescent="0.35">
      <c r="A1557" s="4">
        <v>1556</v>
      </c>
      <c r="B1557" s="4">
        <v>4</v>
      </c>
      <c r="C1557" s="13" t="s">
        <v>1428</v>
      </c>
      <c r="D1557" s="13" t="s">
        <v>1429</v>
      </c>
      <c r="E1557" s="5" t="s">
        <v>5566</v>
      </c>
      <c r="F1557" s="5" t="s">
        <v>3940</v>
      </c>
      <c r="G1557" s="5" t="s">
        <v>3941</v>
      </c>
      <c r="H1557" s="13" t="s">
        <v>3212</v>
      </c>
      <c r="I1557" s="13" t="s">
        <v>2309</v>
      </c>
      <c r="J1557" s="4">
        <v>11553</v>
      </c>
      <c r="K1557" s="4">
        <v>1</v>
      </c>
      <c r="L1557" s="4">
        <v>49</v>
      </c>
      <c r="M1557" s="4">
        <v>2017</v>
      </c>
      <c r="N1557" s="4">
        <v>2</v>
      </c>
      <c r="O1557" s="4">
        <v>6</v>
      </c>
      <c r="P1557" s="4">
        <v>2</v>
      </c>
      <c r="Q1557" s="19">
        <v>3499.99</v>
      </c>
      <c r="R1557" s="16">
        <v>0.2</v>
      </c>
      <c r="S1557" s="16">
        <v>6999.78</v>
      </c>
      <c r="T1557" s="5" t="s">
        <v>50</v>
      </c>
      <c r="U1557" s="13" t="s">
        <v>305</v>
      </c>
    </row>
    <row r="1558" spans="1:21" x14ac:dyDescent="0.35">
      <c r="A1558" s="4">
        <v>1557</v>
      </c>
      <c r="B1558" s="4">
        <v>121</v>
      </c>
      <c r="C1558" s="13" t="s">
        <v>655</v>
      </c>
      <c r="D1558" s="13" t="s">
        <v>656</v>
      </c>
      <c r="E1558" s="5" t="s">
        <v>5566</v>
      </c>
      <c r="F1558" s="5" t="s">
        <v>2788</v>
      </c>
      <c r="G1558" s="5" t="s">
        <v>2789</v>
      </c>
      <c r="H1558" s="13" t="s">
        <v>2790</v>
      </c>
      <c r="I1558" s="13" t="s">
        <v>2305</v>
      </c>
      <c r="J1558" s="4">
        <v>90274</v>
      </c>
      <c r="K1558" s="4">
        <v>1</v>
      </c>
      <c r="L1558" s="4">
        <v>163</v>
      </c>
      <c r="M1558" s="4">
        <v>2018</v>
      </c>
      <c r="N1558" s="4">
        <v>1</v>
      </c>
      <c r="O1558" s="4">
        <v>3</v>
      </c>
      <c r="P1558" s="4">
        <v>2</v>
      </c>
      <c r="Q1558" s="19">
        <v>1349</v>
      </c>
      <c r="R1558" s="16">
        <v>7.0000000000000007E-2</v>
      </c>
      <c r="S1558" s="16">
        <v>2697.93</v>
      </c>
      <c r="T1558" s="5" t="s">
        <v>160</v>
      </c>
      <c r="U1558" s="13" t="s">
        <v>305</v>
      </c>
    </row>
    <row r="1559" spans="1:21" x14ac:dyDescent="0.35">
      <c r="A1559" s="4">
        <v>1558</v>
      </c>
      <c r="B1559" s="4">
        <v>63</v>
      </c>
      <c r="C1559" s="13" t="s">
        <v>2204</v>
      </c>
      <c r="D1559" s="13" t="s">
        <v>1030</v>
      </c>
      <c r="E1559" s="5" t="s">
        <v>5566</v>
      </c>
      <c r="F1559" s="5" t="s">
        <v>5381</v>
      </c>
      <c r="G1559" s="5" t="s">
        <v>5382</v>
      </c>
      <c r="H1559" s="13" t="s">
        <v>2710</v>
      </c>
      <c r="I1559" s="13" t="s">
        <v>2309</v>
      </c>
      <c r="J1559" s="4">
        <v>11701</v>
      </c>
      <c r="K1559" s="4">
        <v>1</v>
      </c>
      <c r="L1559" s="4">
        <v>46</v>
      </c>
      <c r="M1559" s="4">
        <v>2017</v>
      </c>
      <c r="N1559" s="4">
        <v>2</v>
      </c>
      <c r="O1559" s="4">
        <v>6</v>
      </c>
      <c r="P1559" s="4">
        <v>2</v>
      </c>
      <c r="Q1559" s="19">
        <v>1409.99</v>
      </c>
      <c r="R1559" s="16">
        <v>7.0000000000000007E-2</v>
      </c>
      <c r="S1559" s="16">
        <v>2819.91</v>
      </c>
      <c r="T1559" s="5" t="s">
        <v>47</v>
      </c>
      <c r="U1559" s="13" t="s">
        <v>304</v>
      </c>
    </row>
    <row r="1560" spans="1:21" x14ac:dyDescent="0.35">
      <c r="A1560" s="4">
        <v>1559</v>
      </c>
      <c r="B1560" s="4">
        <v>42</v>
      </c>
      <c r="C1560" s="13" t="s">
        <v>366</v>
      </c>
      <c r="D1560" s="13" t="s">
        <v>383</v>
      </c>
      <c r="E1560" s="5" t="s">
        <v>5566</v>
      </c>
      <c r="F1560" s="5" t="s">
        <v>4725</v>
      </c>
      <c r="G1560" s="5" t="s">
        <v>4726</v>
      </c>
      <c r="H1560" s="13" t="s">
        <v>2387</v>
      </c>
      <c r="I1560" s="13" t="s">
        <v>2309</v>
      </c>
      <c r="J1560" s="4">
        <v>11418</v>
      </c>
      <c r="K1560" s="4">
        <v>1</v>
      </c>
      <c r="L1560" s="4">
        <v>101</v>
      </c>
      <c r="M1560" s="4">
        <v>2017</v>
      </c>
      <c r="N1560" s="4">
        <v>2</v>
      </c>
      <c r="O1560" s="4">
        <v>6</v>
      </c>
      <c r="P1560" s="4">
        <v>2</v>
      </c>
      <c r="Q1560" s="19">
        <v>339.99</v>
      </c>
      <c r="R1560" s="16">
        <v>7.0000000000000007E-2</v>
      </c>
      <c r="S1560" s="16">
        <v>679.91</v>
      </c>
      <c r="T1560" s="5" t="s">
        <v>101</v>
      </c>
      <c r="U1560" s="13" t="s">
        <v>299</v>
      </c>
    </row>
    <row r="1561" spans="1:21" x14ac:dyDescent="0.35">
      <c r="A1561" s="4">
        <v>1560</v>
      </c>
      <c r="B1561" s="4">
        <v>57</v>
      </c>
      <c r="C1561" s="13" t="s">
        <v>376</v>
      </c>
      <c r="D1561" s="13" t="s">
        <v>377</v>
      </c>
      <c r="E1561" s="5" t="s">
        <v>5566</v>
      </c>
      <c r="F1561" s="5" t="s">
        <v>2382</v>
      </c>
      <c r="G1561" s="5" t="s">
        <v>2383</v>
      </c>
      <c r="H1561" s="13" t="s">
        <v>2384</v>
      </c>
      <c r="I1561" s="13" t="s">
        <v>2309</v>
      </c>
      <c r="J1561" s="4">
        <v>10451</v>
      </c>
      <c r="K1561" s="4">
        <v>1</v>
      </c>
      <c r="L1561" s="4">
        <v>118</v>
      </c>
      <c r="M1561" s="4">
        <v>2018</v>
      </c>
      <c r="N1561" s="4">
        <v>2</v>
      </c>
      <c r="O1561" s="4">
        <v>7</v>
      </c>
      <c r="P1561" s="4">
        <v>2</v>
      </c>
      <c r="Q1561" s="19">
        <v>999.99</v>
      </c>
      <c r="R1561" s="16">
        <v>0.2</v>
      </c>
      <c r="S1561" s="16">
        <v>1999.78</v>
      </c>
      <c r="T1561" s="5" t="s">
        <v>115</v>
      </c>
      <c r="U1561" s="13" t="s">
        <v>304</v>
      </c>
    </row>
    <row r="1562" spans="1:21" x14ac:dyDescent="0.35">
      <c r="A1562" s="4">
        <v>1561</v>
      </c>
      <c r="B1562" s="4">
        <v>65</v>
      </c>
      <c r="C1562" s="13" t="s">
        <v>768</v>
      </c>
      <c r="D1562" s="13" t="s">
        <v>769</v>
      </c>
      <c r="E1562" s="5" t="s">
        <v>5566</v>
      </c>
      <c r="F1562" s="5" t="s">
        <v>2938</v>
      </c>
      <c r="G1562" s="5" t="s">
        <v>2939</v>
      </c>
      <c r="H1562" s="13" t="s">
        <v>2472</v>
      </c>
      <c r="I1562" s="13" t="s">
        <v>2309</v>
      </c>
      <c r="J1562" s="4">
        <v>13440</v>
      </c>
      <c r="K1562" s="4">
        <v>1</v>
      </c>
      <c r="L1562" s="4">
        <v>181</v>
      </c>
      <c r="M1562" s="4">
        <v>2018</v>
      </c>
      <c r="N1562" s="4">
        <v>2</v>
      </c>
      <c r="O1562" s="4">
        <v>7</v>
      </c>
      <c r="P1562" s="4">
        <v>2</v>
      </c>
      <c r="Q1562" s="19">
        <v>2199.9899999999998</v>
      </c>
      <c r="R1562" s="16">
        <v>7.0000000000000007E-2</v>
      </c>
      <c r="S1562" s="16">
        <v>4399.91</v>
      </c>
      <c r="T1562" s="5" t="s">
        <v>178</v>
      </c>
      <c r="U1562" s="13" t="s">
        <v>305</v>
      </c>
    </row>
    <row r="1563" spans="1:21" x14ac:dyDescent="0.35">
      <c r="A1563" s="4">
        <v>1562</v>
      </c>
      <c r="B1563" s="4">
        <v>88</v>
      </c>
      <c r="C1563" s="13" t="s">
        <v>1045</v>
      </c>
      <c r="D1563" s="13" t="s">
        <v>662</v>
      </c>
      <c r="E1563" s="5" t="s">
        <v>5566</v>
      </c>
      <c r="F1563" s="5" t="s">
        <v>3349</v>
      </c>
      <c r="G1563" s="5" t="s">
        <v>3350</v>
      </c>
      <c r="H1563" s="13" t="s">
        <v>918</v>
      </c>
      <c r="I1563" s="13" t="s">
        <v>2309</v>
      </c>
      <c r="J1563" s="4">
        <v>11423</v>
      </c>
      <c r="K1563" s="4">
        <v>1</v>
      </c>
      <c r="L1563" s="4">
        <v>54</v>
      </c>
      <c r="M1563" s="4">
        <v>2017</v>
      </c>
      <c r="N1563" s="4">
        <v>2</v>
      </c>
      <c r="O1563" s="4">
        <v>7</v>
      </c>
      <c r="P1563" s="4">
        <v>1</v>
      </c>
      <c r="Q1563" s="19">
        <v>3199.99</v>
      </c>
      <c r="R1563" s="16">
        <v>0.2</v>
      </c>
      <c r="S1563" s="16">
        <v>3199.79</v>
      </c>
      <c r="T1563" s="5" t="s">
        <v>55</v>
      </c>
      <c r="U1563" s="13" t="s">
        <v>305</v>
      </c>
    </row>
    <row r="1564" spans="1:21" x14ac:dyDescent="0.35">
      <c r="A1564" s="4">
        <v>1563</v>
      </c>
      <c r="B1564" s="4">
        <v>77</v>
      </c>
      <c r="C1564" s="13" t="s">
        <v>1027</v>
      </c>
      <c r="D1564" s="13" t="s">
        <v>1028</v>
      </c>
      <c r="E1564" s="5" t="s">
        <v>5566</v>
      </c>
      <c r="F1564" s="5" t="s">
        <v>3323</v>
      </c>
      <c r="G1564" s="5" t="s">
        <v>3324</v>
      </c>
      <c r="H1564" s="13" t="s">
        <v>1639</v>
      </c>
      <c r="I1564" s="13" t="s">
        <v>2397</v>
      </c>
      <c r="J1564" s="4">
        <v>75080</v>
      </c>
      <c r="K1564" s="4">
        <v>1</v>
      </c>
      <c r="L1564" s="4">
        <v>188</v>
      </c>
      <c r="M1564" s="4">
        <v>2018</v>
      </c>
      <c r="N1564" s="4">
        <v>3</v>
      </c>
      <c r="O1564" s="4">
        <v>9</v>
      </c>
      <c r="P1564" s="4">
        <v>1</v>
      </c>
      <c r="Q1564" s="19">
        <v>3499.99</v>
      </c>
      <c r="R1564" s="16">
        <v>7.0000000000000007E-2</v>
      </c>
      <c r="S1564" s="16">
        <v>3499.9199999999996</v>
      </c>
      <c r="T1564" s="5" t="s">
        <v>185</v>
      </c>
      <c r="U1564" s="13" t="s">
        <v>303</v>
      </c>
    </row>
    <row r="1565" spans="1:21" x14ac:dyDescent="0.35">
      <c r="A1565" s="4">
        <v>1564</v>
      </c>
      <c r="B1565" s="4">
        <v>46</v>
      </c>
      <c r="C1565" s="13" t="s">
        <v>574</v>
      </c>
      <c r="D1565" s="13" t="s">
        <v>413</v>
      </c>
      <c r="E1565" s="5" t="s">
        <v>5566</v>
      </c>
      <c r="F1565" s="5" t="s">
        <v>2676</v>
      </c>
      <c r="G1565" s="5" t="s">
        <v>2677</v>
      </c>
      <c r="H1565" s="13" t="s">
        <v>2362</v>
      </c>
      <c r="I1565" s="13" t="s">
        <v>2305</v>
      </c>
      <c r="J1565" s="4">
        <v>91316</v>
      </c>
      <c r="K1565" s="4">
        <v>1</v>
      </c>
      <c r="L1565" s="4">
        <v>309</v>
      </c>
      <c r="M1565" s="4">
        <v>2018</v>
      </c>
      <c r="N1565" s="4">
        <v>1</v>
      </c>
      <c r="O1565" s="4">
        <v>3</v>
      </c>
      <c r="P1565" s="4">
        <v>1</v>
      </c>
      <c r="Q1565" s="19">
        <v>899.99</v>
      </c>
      <c r="R1565" s="16">
        <v>7.0000000000000007E-2</v>
      </c>
      <c r="S1565" s="16">
        <v>899.92</v>
      </c>
      <c r="T1565" s="5" t="s">
        <v>247</v>
      </c>
      <c r="U1565" s="13" t="s">
        <v>300</v>
      </c>
    </row>
    <row r="1566" spans="1:21" x14ac:dyDescent="0.35">
      <c r="A1566" s="4">
        <v>1565</v>
      </c>
      <c r="B1566" s="4">
        <v>60</v>
      </c>
      <c r="C1566" s="13" t="s">
        <v>340</v>
      </c>
      <c r="D1566" s="13" t="s">
        <v>341</v>
      </c>
      <c r="E1566" s="5" t="s">
        <v>5566</v>
      </c>
      <c r="F1566" s="5" t="s">
        <v>2328</v>
      </c>
      <c r="G1566" s="5" t="s">
        <v>2329</v>
      </c>
      <c r="H1566" s="13" t="s">
        <v>2330</v>
      </c>
      <c r="I1566" s="13" t="s">
        <v>2305</v>
      </c>
      <c r="J1566" s="4">
        <v>94070</v>
      </c>
      <c r="K1566" s="4">
        <v>1</v>
      </c>
      <c r="L1566" s="4">
        <v>37</v>
      </c>
      <c r="M1566" s="4">
        <v>2017</v>
      </c>
      <c r="N1566" s="4">
        <v>1</v>
      </c>
      <c r="O1566" s="4">
        <v>2</v>
      </c>
      <c r="P1566" s="4">
        <v>1</v>
      </c>
      <c r="Q1566" s="19">
        <v>379.99</v>
      </c>
      <c r="R1566" s="16">
        <v>7.0000000000000007E-2</v>
      </c>
      <c r="S1566" s="16">
        <v>379.92</v>
      </c>
      <c r="T1566" s="5" t="s">
        <v>38</v>
      </c>
      <c r="U1566" s="13" t="s">
        <v>304</v>
      </c>
    </row>
    <row r="1567" spans="1:21" x14ac:dyDescent="0.35">
      <c r="A1567" s="4">
        <v>1566</v>
      </c>
      <c r="B1567" s="4">
        <v>72</v>
      </c>
      <c r="C1567" s="13" t="s">
        <v>1046</v>
      </c>
      <c r="D1567" s="13" t="s">
        <v>1047</v>
      </c>
      <c r="E1567" s="5" t="s">
        <v>5566</v>
      </c>
      <c r="F1567" s="5" t="s">
        <v>3351</v>
      </c>
      <c r="G1567" s="5" t="s">
        <v>3352</v>
      </c>
      <c r="H1567" s="13" t="s">
        <v>3292</v>
      </c>
      <c r="I1567" s="13" t="s">
        <v>2305</v>
      </c>
      <c r="J1567" s="4">
        <v>91733</v>
      </c>
      <c r="K1567" s="4">
        <v>1</v>
      </c>
      <c r="L1567" s="4">
        <v>179</v>
      </c>
      <c r="M1567" s="4">
        <v>2018</v>
      </c>
      <c r="N1567" s="4">
        <v>1</v>
      </c>
      <c r="O1567" s="4">
        <v>3</v>
      </c>
      <c r="P1567" s="4">
        <v>1</v>
      </c>
      <c r="Q1567" s="19">
        <v>919.99</v>
      </c>
      <c r="R1567" s="16">
        <v>0.05</v>
      </c>
      <c r="S1567" s="16">
        <v>919.94</v>
      </c>
      <c r="T1567" s="5" t="s">
        <v>176</v>
      </c>
      <c r="U1567" s="13" t="s">
        <v>305</v>
      </c>
    </row>
    <row r="1568" spans="1:21" x14ac:dyDescent="0.35">
      <c r="A1568" s="4">
        <v>1567</v>
      </c>
      <c r="B1568" s="4">
        <v>89</v>
      </c>
      <c r="C1568" s="13" t="s">
        <v>1746</v>
      </c>
      <c r="D1568" s="13" t="s">
        <v>425</v>
      </c>
      <c r="E1568" s="5" t="s">
        <v>5566</v>
      </c>
      <c r="F1568" s="5" t="s">
        <v>5039</v>
      </c>
      <c r="G1568" s="5" t="s">
        <v>5040</v>
      </c>
      <c r="H1568" s="13" t="s">
        <v>2544</v>
      </c>
      <c r="I1568" s="13" t="s">
        <v>2305</v>
      </c>
      <c r="J1568" s="4">
        <v>91784</v>
      </c>
      <c r="K1568" s="4">
        <v>1</v>
      </c>
      <c r="L1568" s="4">
        <v>279</v>
      </c>
      <c r="M1568" s="4">
        <v>2018</v>
      </c>
      <c r="N1568" s="4">
        <v>1</v>
      </c>
      <c r="O1568" s="4">
        <v>2</v>
      </c>
      <c r="P1568" s="4">
        <v>1</v>
      </c>
      <c r="Q1568" s="19">
        <v>319.99</v>
      </c>
      <c r="R1568" s="16">
        <v>0.2</v>
      </c>
      <c r="S1568" s="16">
        <v>319.79000000000002</v>
      </c>
      <c r="T1568" s="5" t="s">
        <v>270</v>
      </c>
      <c r="U1568" s="13" t="s">
        <v>299</v>
      </c>
    </row>
    <row r="1569" spans="1:21" x14ac:dyDescent="0.35">
      <c r="A1569" s="4">
        <v>1568</v>
      </c>
      <c r="B1569" s="4">
        <v>192</v>
      </c>
      <c r="C1569" s="13" t="s">
        <v>2008</v>
      </c>
      <c r="D1569" s="13" t="s">
        <v>1418</v>
      </c>
      <c r="E1569" s="5" t="s">
        <v>5566</v>
      </c>
      <c r="F1569" s="5" t="s">
        <v>4964</v>
      </c>
      <c r="G1569" s="5" t="s">
        <v>4965</v>
      </c>
      <c r="H1569" s="13" t="s">
        <v>2347</v>
      </c>
      <c r="I1569" s="13" t="s">
        <v>2305</v>
      </c>
      <c r="J1569" s="4">
        <v>90505</v>
      </c>
      <c r="K1569" s="4">
        <v>1</v>
      </c>
      <c r="L1569" s="4">
        <v>146</v>
      </c>
      <c r="M1569" s="4">
        <v>2018</v>
      </c>
      <c r="N1569" s="4">
        <v>1</v>
      </c>
      <c r="O1569" s="4">
        <v>3</v>
      </c>
      <c r="P1569" s="4">
        <v>1</v>
      </c>
      <c r="Q1569" s="19">
        <v>4999.99</v>
      </c>
      <c r="R1569" s="16">
        <v>0.2</v>
      </c>
      <c r="S1569" s="16">
        <v>4999.79</v>
      </c>
      <c r="T1569" s="5" t="s">
        <v>143</v>
      </c>
      <c r="U1569" s="13" t="s">
        <v>305</v>
      </c>
    </row>
    <row r="1570" spans="1:21" x14ac:dyDescent="0.35">
      <c r="A1570" s="4">
        <v>1569</v>
      </c>
      <c r="B1570" s="4">
        <v>29</v>
      </c>
      <c r="C1570" s="13" t="s">
        <v>1385</v>
      </c>
      <c r="D1570" s="13" t="s">
        <v>1386</v>
      </c>
      <c r="E1570" s="5" t="s">
        <v>5566</v>
      </c>
      <c r="F1570" s="5" t="s">
        <v>3868</v>
      </c>
      <c r="G1570" s="5" t="s">
        <v>3869</v>
      </c>
      <c r="H1570" s="13" t="s">
        <v>3870</v>
      </c>
      <c r="I1570" s="13" t="s">
        <v>2309</v>
      </c>
      <c r="J1570" s="4">
        <v>10541</v>
      </c>
      <c r="K1570" s="4">
        <v>1</v>
      </c>
      <c r="L1570" s="4">
        <v>252</v>
      </c>
      <c r="M1570" s="4">
        <v>2018</v>
      </c>
      <c r="N1570" s="4">
        <v>2</v>
      </c>
      <c r="O1570" s="4">
        <v>7</v>
      </c>
      <c r="P1570" s="4">
        <v>1</v>
      </c>
      <c r="Q1570" s="19">
        <v>2999.99</v>
      </c>
      <c r="R1570" s="16">
        <v>0.1</v>
      </c>
      <c r="S1570" s="16">
        <v>2999.89</v>
      </c>
      <c r="T1570" s="5" t="s">
        <v>196</v>
      </c>
      <c r="U1570" s="13" t="s">
        <v>301</v>
      </c>
    </row>
    <row r="1571" spans="1:21" x14ac:dyDescent="0.35">
      <c r="A1571" s="4">
        <v>1570</v>
      </c>
      <c r="B1571" s="4">
        <v>54</v>
      </c>
      <c r="C1571" s="13" t="s">
        <v>1191</v>
      </c>
      <c r="D1571" s="13" t="s">
        <v>913</v>
      </c>
      <c r="E1571" s="5" t="s">
        <v>5566</v>
      </c>
      <c r="F1571" s="5" t="s">
        <v>3561</v>
      </c>
      <c r="G1571" s="5" t="s">
        <v>3562</v>
      </c>
      <c r="H1571" s="13" t="s">
        <v>2318</v>
      </c>
      <c r="I1571" s="13" t="s">
        <v>2309</v>
      </c>
      <c r="J1571" s="4">
        <v>13501</v>
      </c>
      <c r="K1571" s="4">
        <v>1</v>
      </c>
      <c r="L1571" s="4">
        <v>155</v>
      </c>
      <c r="M1571" s="4">
        <v>2018</v>
      </c>
      <c r="N1571" s="4">
        <v>2</v>
      </c>
      <c r="O1571" s="4">
        <v>7</v>
      </c>
      <c r="P1571" s="4">
        <v>1</v>
      </c>
      <c r="Q1571" s="19">
        <v>11999.99</v>
      </c>
      <c r="R1571" s="16">
        <v>7.0000000000000007E-2</v>
      </c>
      <c r="S1571" s="16">
        <v>11999.92</v>
      </c>
      <c r="T1571" s="5" t="s">
        <v>152</v>
      </c>
      <c r="U1571" s="13" t="s">
        <v>305</v>
      </c>
    </row>
    <row r="1572" spans="1:21" x14ac:dyDescent="0.35">
      <c r="A1572" s="4">
        <v>1571</v>
      </c>
      <c r="B1572" s="4">
        <v>80</v>
      </c>
      <c r="C1572" s="13" t="s">
        <v>387</v>
      </c>
      <c r="D1572" s="13" t="s">
        <v>388</v>
      </c>
      <c r="E1572" s="5" t="s">
        <v>2403</v>
      </c>
      <c r="F1572" s="5" t="s">
        <v>2404</v>
      </c>
      <c r="G1572" s="5" t="s">
        <v>2405</v>
      </c>
      <c r="H1572" s="13" t="s">
        <v>2406</v>
      </c>
      <c r="I1572" s="13" t="s">
        <v>2309</v>
      </c>
      <c r="J1572" s="4">
        <v>14215</v>
      </c>
      <c r="K1572" s="4">
        <v>1</v>
      </c>
      <c r="L1572" s="4">
        <v>312</v>
      </c>
      <c r="M1572" s="4">
        <v>2018</v>
      </c>
      <c r="N1572" s="4">
        <v>2</v>
      </c>
      <c r="O1572" s="4">
        <v>7</v>
      </c>
      <c r="P1572" s="4">
        <v>2</v>
      </c>
      <c r="Q1572" s="19">
        <v>699.99</v>
      </c>
      <c r="R1572" s="16">
        <v>0.1</v>
      </c>
      <c r="S1572" s="16">
        <v>1399.88</v>
      </c>
      <c r="T1572" s="5" t="s">
        <v>237</v>
      </c>
      <c r="U1572" s="13" t="s">
        <v>300</v>
      </c>
    </row>
    <row r="1573" spans="1:21" x14ac:dyDescent="0.35">
      <c r="A1573" s="4">
        <v>1572</v>
      </c>
      <c r="B1573" s="4">
        <v>14</v>
      </c>
      <c r="C1573" s="13" t="s">
        <v>949</v>
      </c>
      <c r="D1573" s="13" t="s">
        <v>564</v>
      </c>
      <c r="E1573" s="5" t="s">
        <v>5566</v>
      </c>
      <c r="F1573" s="5" t="s">
        <v>3213</v>
      </c>
      <c r="G1573" s="5" t="s">
        <v>3214</v>
      </c>
      <c r="H1573" s="13" t="s">
        <v>3215</v>
      </c>
      <c r="I1573" s="13" t="s">
        <v>2397</v>
      </c>
      <c r="J1573" s="4">
        <v>75126</v>
      </c>
      <c r="K1573" s="4">
        <v>1</v>
      </c>
      <c r="L1573" s="4">
        <v>216</v>
      </c>
      <c r="M1573" s="4">
        <v>2018</v>
      </c>
      <c r="N1573" s="4">
        <v>3</v>
      </c>
      <c r="O1573" s="4">
        <v>9</v>
      </c>
      <c r="P1573" s="4">
        <v>2</v>
      </c>
      <c r="Q1573" s="19">
        <v>899.99</v>
      </c>
      <c r="R1573" s="16">
        <v>0.05</v>
      </c>
      <c r="S1573" s="16">
        <v>1799.93</v>
      </c>
      <c r="T1573" s="5" t="s">
        <v>211</v>
      </c>
      <c r="U1573" s="13" t="s">
        <v>301</v>
      </c>
    </row>
    <row r="1574" spans="1:21" x14ac:dyDescent="0.35">
      <c r="A1574" s="4">
        <v>1573</v>
      </c>
      <c r="B1574" s="4">
        <v>24</v>
      </c>
      <c r="C1574" s="13" t="s">
        <v>403</v>
      </c>
      <c r="D1574" s="13" t="s">
        <v>671</v>
      </c>
      <c r="E1574" s="5" t="s">
        <v>5566</v>
      </c>
      <c r="F1574" s="5" t="s">
        <v>2810</v>
      </c>
      <c r="G1574" s="5" t="s">
        <v>2811</v>
      </c>
      <c r="H1574" s="13" t="s">
        <v>2484</v>
      </c>
      <c r="I1574" s="13" t="s">
        <v>2305</v>
      </c>
      <c r="J1574" s="4">
        <v>95301</v>
      </c>
      <c r="K1574" s="4">
        <v>1</v>
      </c>
      <c r="L1574" s="4">
        <v>9</v>
      </c>
      <c r="M1574" s="4">
        <v>2016</v>
      </c>
      <c r="N1574" s="4">
        <v>1</v>
      </c>
      <c r="O1574" s="4">
        <v>2</v>
      </c>
      <c r="P1574" s="4">
        <v>1</v>
      </c>
      <c r="Q1574" s="19">
        <v>2999.99</v>
      </c>
      <c r="R1574" s="16">
        <v>0.05</v>
      </c>
      <c r="S1574" s="16">
        <v>2999.9399999999996</v>
      </c>
      <c r="T1574" s="5" t="s">
        <v>14</v>
      </c>
      <c r="U1574" s="13" t="s">
        <v>303</v>
      </c>
    </row>
    <row r="1575" spans="1:21" x14ac:dyDescent="0.35">
      <c r="A1575" s="4">
        <v>1574</v>
      </c>
      <c r="B1575" s="4">
        <v>124</v>
      </c>
      <c r="C1575" s="13" t="s">
        <v>1475</v>
      </c>
      <c r="D1575" s="13" t="s">
        <v>1476</v>
      </c>
      <c r="E1575" s="5" t="s">
        <v>5566</v>
      </c>
      <c r="F1575" s="5" t="s">
        <v>4017</v>
      </c>
      <c r="G1575" s="5" t="s">
        <v>4018</v>
      </c>
      <c r="H1575" s="13" t="s">
        <v>3292</v>
      </c>
      <c r="I1575" s="13" t="s">
        <v>2305</v>
      </c>
      <c r="J1575" s="4">
        <v>91733</v>
      </c>
      <c r="K1575" s="4">
        <v>1</v>
      </c>
      <c r="L1575" s="4">
        <v>127</v>
      </c>
      <c r="M1575" s="4">
        <v>2018</v>
      </c>
      <c r="N1575" s="4">
        <v>1</v>
      </c>
      <c r="O1575" s="4">
        <v>2</v>
      </c>
      <c r="P1575" s="4">
        <v>1</v>
      </c>
      <c r="Q1575" s="19">
        <v>469.99</v>
      </c>
      <c r="R1575" s="16">
        <v>0.1</v>
      </c>
      <c r="S1575" s="16">
        <v>469.89</v>
      </c>
      <c r="T1575" s="5" t="s">
        <v>124</v>
      </c>
      <c r="U1575" s="13" t="s">
        <v>304</v>
      </c>
    </row>
    <row r="1576" spans="1:21" x14ac:dyDescent="0.35">
      <c r="A1576" s="4">
        <v>1575</v>
      </c>
      <c r="B1576" s="4">
        <v>224</v>
      </c>
      <c r="C1576" s="13" t="s">
        <v>923</v>
      </c>
      <c r="D1576" s="13" t="s">
        <v>1442</v>
      </c>
      <c r="E1576" s="5" t="s">
        <v>5566</v>
      </c>
      <c r="F1576" s="5" t="s">
        <v>4314</v>
      </c>
      <c r="G1576" s="5" t="s">
        <v>4315</v>
      </c>
      <c r="H1576" s="13" t="s">
        <v>2570</v>
      </c>
      <c r="I1576" s="13" t="s">
        <v>2305</v>
      </c>
      <c r="J1576" s="4">
        <v>90260</v>
      </c>
      <c r="K1576" s="4">
        <v>1</v>
      </c>
      <c r="L1576" s="4">
        <v>44</v>
      </c>
      <c r="M1576" s="4">
        <v>2017</v>
      </c>
      <c r="N1576" s="4">
        <v>1</v>
      </c>
      <c r="O1576" s="4">
        <v>3</v>
      </c>
      <c r="P1576" s="4">
        <v>1</v>
      </c>
      <c r="Q1576" s="19">
        <v>539.99</v>
      </c>
      <c r="R1576" s="16">
        <v>7.0000000000000007E-2</v>
      </c>
      <c r="S1576" s="16">
        <v>539.91999999999996</v>
      </c>
      <c r="T1576" s="5" t="s">
        <v>45</v>
      </c>
      <c r="U1576" s="13" t="s">
        <v>304</v>
      </c>
    </row>
    <row r="1577" spans="1:21" x14ac:dyDescent="0.35">
      <c r="A1577" s="4">
        <v>1576</v>
      </c>
      <c r="B1577" s="4">
        <v>12</v>
      </c>
      <c r="C1577" s="13" t="s">
        <v>530</v>
      </c>
      <c r="D1577" s="13" t="s">
        <v>531</v>
      </c>
      <c r="E1577" s="5" t="s">
        <v>2612</v>
      </c>
      <c r="F1577" s="5" t="s">
        <v>2613</v>
      </c>
      <c r="G1577" s="5" t="s">
        <v>2614</v>
      </c>
      <c r="H1577" s="13" t="s">
        <v>2615</v>
      </c>
      <c r="I1577" s="13" t="s">
        <v>2309</v>
      </c>
      <c r="J1577" s="4">
        <v>11550</v>
      </c>
      <c r="K1577" s="4">
        <v>1</v>
      </c>
      <c r="L1577" s="4">
        <v>69</v>
      </c>
      <c r="M1577" s="4">
        <v>2017</v>
      </c>
      <c r="N1577" s="4">
        <v>2</v>
      </c>
      <c r="O1577" s="4">
        <v>7</v>
      </c>
      <c r="P1577" s="4">
        <v>1</v>
      </c>
      <c r="Q1577" s="19">
        <v>416.99</v>
      </c>
      <c r="R1577" s="16">
        <v>0.05</v>
      </c>
      <c r="S1577" s="16">
        <v>416.94</v>
      </c>
      <c r="T1577" s="5" t="s">
        <v>70</v>
      </c>
      <c r="U1577" s="13" t="s">
        <v>301</v>
      </c>
    </row>
    <row r="1578" spans="1:21" x14ac:dyDescent="0.35">
      <c r="A1578" s="4">
        <v>1577</v>
      </c>
      <c r="B1578" s="4">
        <v>48</v>
      </c>
      <c r="C1578" s="13" t="s">
        <v>462</v>
      </c>
      <c r="D1578" s="13" t="s">
        <v>1520</v>
      </c>
      <c r="E1578" s="5" t="s">
        <v>5566</v>
      </c>
      <c r="F1578" s="5" t="s">
        <v>4977</v>
      </c>
      <c r="G1578" s="5" t="s">
        <v>4978</v>
      </c>
      <c r="H1578" s="13" t="s">
        <v>2433</v>
      </c>
      <c r="I1578" s="13" t="s">
        <v>2309</v>
      </c>
      <c r="J1578" s="4">
        <v>13090</v>
      </c>
      <c r="K1578" s="4">
        <v>1</v>
      </c>
      <c r="L1578" s="4">
        <v>298</v>
      </c>
      <c r="M1578" s="4">
        <v>2018</v>
      </c>
      <c r="N1578" s="4">
        <v>2</v>
      </c>
      <c r="O1578" s="4">
        <v>7</v>
      </c>
      <c r="P1578" s="4">
        <v>2</v>
      </c>
      <c r="Q1578" s="19">
        <v>279.99</v>
      </c>
      <c r="R1578" s="16">
        <v>0.05</v>
      </c>
      <c r="S1578" s="16">
        <v>559.93000000000006</v>
      </c>
      <c r="T1578" s="5" t="s">
        <v>288</v>
      </c>
      <c r="U1578" s="13" t="s">
        <v>299</v>
      </c>
    </row>
    <row r="1579" spans="1:21" x14ac:dyDescent="0.35">
      <c r="A1579" s="4">
        <v>1578</v>
      </c>
      <c r="B1579" s="4">
        <v>93</v>
      </c>
      <c r="C1579" s="13" t="s">
        <v>1724</v>
      </c>
      <c r="D1579" s="13" t="s">
        <v>1152</v>
      </c>
      <c r="E1579" s="5" t="s">
        <v>4434</v>
      </c>
      <c r="F1579" s="5" t="s">
        <v>4435</v>
      </c>
      <c r="G1579" s="5" t="s">
        <v>4436</v>
      </c>
      <c r="H1579" s="13" t="s">
        <v>3027</v>
      </c>
      <c r="I1579" s="13" t="s">
        <v>2309</v>
      </c>
      <c r="J1579" s="4">
        <v>12180</v>
      </c>
      <c r="K1579" s="4">
        <v>1</v>
      </c>
      <c r="L1579" s="4">
        <v>204</v>
      </c>
      <c r="M1579" s="4">
        <v>2018</v>
      </c>
      <c r="N1579" s="4">
        <v>2</v>
      </c>
      <c r="O1579" s="4">
        <v>7</v>
      </c>
      <c r="P1579" s="4">
        <v>2</v>
      </c>
      <c r="Q1579" s="19">
        <v>3599.99</v>
      </c>
      <c r="R1579" s="16">
        <v>7.0000000000000007E-2</v>
      </c>
      <c r="S1579" s="16">
        <v>7199.91</v>
      </c>
      <c r="T1579" s="5" t="s">
        <v>201</v>
      </c>
      <c r="U1579" s="13" t="s">
        <v>303</v>
      </c>
    </row>
    <row r="1580" spans="1:21" x14ac:dyDescent="0.35">
      <c r="A1580" s="4">
        <v>1579</v>
      </c>
      <c r="B1580" s="4">
        <v>104</v>
      </c>
      <c r="C1580" s="13" t="s">
        <v>1240</v>
      </c>
      <c r="D1580" s="13" t="s">
        <v>1241</v>
      </c>
      <c r="E1580" s="5" t="s">
        <v>5566</v>
      </c>
      <c r="F1580" s="5" t="s">
        <v>3635</v>
      </c>
      <c r="G1580" s="5" t="s">
        <v>3636</v>
      </c>
      <c r="H1580" s="13" t="s">
        <v>1822</v>
      </c>
      <c r="I1580" s="13" t="s">
        <v>2305</v>
      </c>
      <c r="J1580" s="4">
        <v>95008</v>
      </c>
      <c r="K1580" s="4">
        <v>1</v>
      </c>
      <c r="L1580" s="4">
        <v>49</v>
      </c>
      <c r="M1580" s="4">
        <v>2017</v>
      </c>
      <c r="N1580" s="4">
        <v>1</v>
      </c>
      <c r="O1580" s="4">
        <v>2</v>
      </c>
      <c r="P1580" s="4">
        <v>1</v>
      </c>
      <c r="Q1580" s="19">
        <v>3499.99</v>
      </c>
      <c r="R1580" s="16">
        <v>0.05</v>
      </c>
      <c r="S1580" s="16">
        <v>3499.9399999999996</v>
      </c>
      <c r="T1580" s="5" t="s">
        <v>50</v>
      </c>
      <c r="U1580" s="13" t="s">
        <v>305</v>
      </c>
    </row>
    <row r="1581" spans="1:21" x14ac:dyDescent="0.35">
      <c r="A1581" s="4">
        <v>1580</v>
      </c>
      <c r="B1581" s="4">
        <v>191</v>
      </c>
      <c r="C1581" s="13" t="s">
        <v>1148</v>
      </c>
      <c r="D1581" s="13" t="s">
        <v>783</v>
      </c>
      <c r="E1581" s="5" t="s">
        <v>3503</v>
      </c>
      <c r="F1581" s="5" t="s">
        <v>3504</v>
      </c>
      <c r="G1581" s="5" t="s">
        <v>3505</v>
      </c>
      <c r="H1581" s="13" t="s">
        <v>2704</v>
      </c>
      <c r="I1581" s="13" t="s">
        <v>2305</v>
      </c>
      <c r="J1581" s="4">
        <v>93035</v>
      </c>
      <c r="K1581" s="4">
        <v>1</v>
      </c>
      <c r="L1581" s="4">
        <v>119</v>
      </c>
      <c r="M1581" s="4">
        <v>2018</v>
      </c>
      <c r="N1581" s="4">
        <v>1</v>
      </c>
      <c r="O1581" s="4">
        <v>2</v>
      </c>
      <c r="P1581" s="4">
        <v>2</v>
      </c>
      <c r="Q1581" s="19">
        <v>469.99</v>
      </c>
      <c r="R1581" s="16">
        <v>7.0000000000000007E-2</v>
      </c>
      <c r="S1581" s="16">
        <v>939.91</v>
      </c>
      <c r="T1581" s="5" t="s">
        <v>116</v>
      </c>
      <c r="U1581" s="13" t="s">
        <v>304</v>
      </c>
    </row>
    <row r="1582" spans="1:21" x14ac:dyDescent="0.35">
      <c r="A1582" s="4">
        <v>1581</v>
      </c>
      <c r="B1582" s="4">
        <v>188</v>
      </c>
      <c r="C1582" s="13" t="s">
        <v>1690</v>
      </c>
      <c r="D1582" s="13" t="s">
        <v>1691</v>
      </c>
      <c r="E1582" s="5" t="s">
        <v>4381</v>
      </c>
      <c r="F1582" s="5" t="s">
        <v>4382</v>
      </c>
      <c r="G1582" s="5" t="s">
        <v>4383</v>
      </c>
      <c r="H1582" s="13" t="s">
        <v>2704</v>
      </c>
      <c r="I1582" s="13" t="s">
        <v>2305</v>
      </c>
      <c r="J1582" s="4">
        <v>93035</v>
      </c>
      <c r="K1582" s="4">
        <v>1</v>
      </c>
      <c r="L1582" s="4">
        <v>64</v>
      </c>
      <c r="M1582" s="4">
        <v>2017</v>
      </c>
      <c r="N1582" s="4">
        <v>1</v>
      </c>
      <c r="O1582" s="4">
        <v>2</v>
      </c>
      <c r="P1582" s="4">
        <v>1</v>
      </c>
      <c r="Q1582" s="19">
        <v>489.99</v>
      </c>
      <c r="R1582" s="16">
        <v>0.1</v>
      </c>
      <c r="S1582" s="16">
        <v>489.89</v>
      </c>
      <c r="T1582" s="5" t="s">
        <v>65</v>
      </c>
      <c r="U1582" s="13" t="s">
        <v>301</v>
      </c>
    </row>
    <row r="1583" spans="1:21" x14ac:dyDescent="0.35">
      <c r="A1583" s="4">
        <v>1582</v>
      </c>
      <c r="B1583" s="4">
        <v>240</v>
      </c>
      <c r="C1583" s="13" t="s">
        <v>1048</v>
      </c>
      <c r="D1583" s="13" t="s">
        <v>529</v>
      </c>
      <c r="E1583" s="5" t="s">
        <v>5566</v>
      </c>
      <c r="F1583" s="5" t="s">
        <v>3353</v>
      </c>
      <c r="G1583" s="5" t="s">
        <v>3354</v>
      </c>
      <c r="H1583" s="13" t="s">
        <v>2353</v>
      </c>
      <c r="I1583" s="13" t="s">
        <v>2305</v>
      </c>
      <c r="J1583" s="4">
        <v>92220</v>
      </c>
      <c r="K1583" s="4">
        <v>1</v>
      </c>
      <c r="L1583" s="4">
        <v>75</v>
      </c>
      <c r="M1583" s="4">
        <v>2017</v>
      </c>
      <c r="N1583" s="4">
        <v>1</v>
      </c>
      <c r="O1583" s="4">
        <v>3</v>
      </c>
      <c r="P1583" s="4">
        <v>1</v>
      </c>
      <c r="Q1583" s="19">
        <v>599.99</v>
      </c>
      <c r="R1583" s="16">
        <v>7.0000000000000007E-2</v>
      </c>
      <c r="S1583" s="16">
        <v>599.91999999999996</v>
      </c>
      <c r="T1583" s="5" t="s">
        <v>76</v>
      </c>
      <c r="U1583" s="13" t="s">
        <v>301</v>
      </c>
    </row>
    <row r="1584" spans="1:21" x14ac:dyDescent="0.35">
      <c r="A1584" s="4">
        <v>1583</v>
      </c>
      <c r="B1584" s="4">
        <v>44</v>
      </c>
      <c r="C1584" s="13" t="s">
        <v>1144</v>
      </c>
      <c r="D1584" s="13" t="s">
        <v>896</v>
      </c>
      <c r="E1584" s="5" t="s">
        <v>5566</v>
      </c>
      <c r="F1584" s="5" t="s">
        <v>5089</v>
      </c>
      <c r="G1584" s="5" t="s">
        <v>5090</v>
      </c>
      <c r="H1584" s="13" t="s">
        <v>3074</v>
      </c>
      <c r="I1584" s="13" t="s">
        <v>2309</v>
      </c>
      <c r="J1584" s="4">
        <v>11003</v>
      </c>
      <c r="K1584" s="4">
        <v>1</v>
      </c>
      <c r="L1584" s="4">
        <v>15</v>
      </c>
      <c r="M1584" s="4">
        <v>2016</v>
      </c>
      <c r="N1584" s="4">
        <v>2</v>
      </c>
      <c r="O1584" s="4">
        <v>6</v>
      </c>
      <c r="P1584" s="4">
        <v>1</v>
      </c>
      <c r="Q1584" s="19">
        <v>529.99</v>
      </c>
      <c r="R1584" s="16">
        <v>0.05</v>
      </c>
      <c r="S1584" s="16">
        <v>529.94000000000005</v>
      </c>
      <c r="T1584" s="5" t="s">
        <v>20</v>
      </c>
      <c r="U1584" s="13" t="s">
        <v>301</v>
      </c>
    </row>
    <row r="1585" spans="1:21" x14ac:dyDescent="0.35">
      <c r="A1585" s="4">
        <v>1584</v>
      </c>
      <c r="B1585" s="4">
        <v>109</v>
      </c>
      <c r="C1585" s="13" t="s">
        <v>2222</v>
      </c>
      <c r="D1585" s="13" t="s">
        <v>1684</v>
      </c>
      <c r="E1585" s="5" t="s">
        <v>5421</v>
      </c>
      <c r="F1585" s="5" t="s">
        <v>5422</v>
      </c>
      <c r="G1585" s="5" t="s">
        <v>5423</v>
      </c>
      <c r="H1585" s="13" t="s">
        <v>2741</v>
      </c>
      <c r="I1585" s="13" t="s">
        <v>2305</v>
      </c>
      <c r="J1585" s="4">
        <v>95127</v>
      </c>
      <c r="K1585" s="4">
        <v>1</v>
      </c>
      <c r="L1585" s="4">
        <v>45</v>
      </c>
      <c r="M1585" s="4">
        <v>2017</v>
      </c>
      <c r="N1585" s="4">
        <v>1</v>
      </c>
      <c r="O1585" s="4">
        <v>3</v>
      </c>
      <c r="P1585" s="4">
        <v>2</v>
      </c>
      <c r="Q1585" s="19">
        <v>869.99</v>
      </c>
      <c r="R1585" s="16">
        <v>0.1</v>
      </c>
      <c r="S1585" s="16">
        <v>1739.88</v>
      </c>
      <c r="T1585" s="5" t="s">
        <v>46</v>
      </c>
      <c r="U1585" s="13" t="s">
        <v>304</v>
      </c>
    </row>
    <row r="1586" spans="1:21" x14ac:dyDescent="0.35">
      <c r="A1586" s="4">
        <v>1585</v>
      </c>
      <c r="B1586" s="4">
        <v>157</v>
      </c>
      <c r="C1586" s="13" t="s">
        <v>741</v>
      </c>
      <c r="D1586" s="13" t="s">
        <v>627</v>
      </c>
      <c r="E1586" s="5" t="s">
        <v>5566</v>
      </c>
      <c r="F1586" s="5" t="s">
        <v>2902</v>
      </c>
      <c r="G1586" s="5" t="s">
        <v>2903</v>
      </c>
      <c r="H1586" s="13" t="s">
        <v>2353</v>
      </c>
      <c r="I1586" s="13" t="s">
        <v>2305</v>
      </c>
      <c r="J1586" s="4">
        <v>92220</v>
      </c>
      <c r="K1586" s="4">
        <v>1</v>
      </c>
      <c r="L1586" s="4">
        <v>313</v>
      </c>
      <c r="M1586" s="4">
        <v>2018</v>
      </c>
      <c r="N1586" s="4">
        <v>1</v>
      </c>
      <c r="O1586" s="4">
        <v>3</v>
      </c>
      <c r="P1586" s="4">
        <v>1</v>
      </c>
      <c r="Q1586" s="19">
        <v>449.99</v>
      </c>
      <c r="R1586" s="16">
        <v>0.1</v>
      </c>
      <c r="S1586" s="16">
        <v>449.89</v>
      </c>
      <c r="T1586" s="5" t="s">
        <v>290</v>
      </c>
      <c r="U1586" s="13" t="s">
        <v>300</v>
      </c>
    </row>
    <row r="1587" spans="1:21" x14ac:dyDescent="0.35">
      <c r="A1587" s="4">
        <v>1586</v>
      </c>
      <c r="B1587" s="4">
        <v>176</v>
      </c>
      <c r="C1587" s="13" t="s">
        <v>1000</v>
      </c>
      <c r="D1587" s="13" t="s">
        <v>785</v>
      </c>
      <c r="E1587" s="5" t="s">
        <v>5566</v>
      </c>
      <c r="F1587" s="5" t="s">
        <v>3290</v>
      </c>
      <c r="G1587" s="5" t="s">
        <v>3291</v>
      </c>
      <c r="H1587" s="13" t="s">
        <v>3292</v>
      </c>
      <c r="I1587" s="13" t="s">
        <v>2305</v>
      </c>
      <c r="J1587" s="4">
        <v>91733</v>
      </c>
      <c r="K1587" s="4">
        <v>1</v>
      </c>
      <c r="L1587" s="4">
        <v>22</v>
      </c>
      <c r="M1587" s="4">
        <v>2016</v>
      </c>
      <c r="N1587" s="4">
        <v>1</v>
      </c>
      <c r="O1587" s="4">
        <v>2</v>
      </c>
      <c r="P1587" s="4">
        <v>2</v>
      </c>
      <c r="Q1587" s="19">
        <v>269.99</v>
      </c>
      <c r="R1587" s="16">
        <v>0.1</v>
      </c>
      <c r="S1587" s="16">
        <v>539.88</v>
      </c>
      <c r="T1587" s="5" t="s">
        <v>19</v>
      </c>
      <c r="U1587" s="13" t="s">
        <v>299</v>
      </c>
    </row>
    <row r="1588" spans="1:21" x14ac:dyDescent="0.35">
      <c r="A1588" s="4">
        <v>1587</v>
      </c>
      <c r="B1588" s="4">
        <v>231</v>
      </c>
      <c r="C1588" s="13" t="s">
        <v>2106</v>
      </c>
      <c r="D1588" s="13" t="s">
        <v>919</v>
      </c>
      <c r="E1588" s="5" t="s">
        <v>5180</v>
      </c>
      <c r="F1588" s="5" t="s">
        <v>5181</v>
      </c>
      <c r="G1588" s="5" t="s">
        <v>5182</v>
      </c>
      <c r="H1588" s="13" t="s">
        <v>2997</v>
      </c>
      <c r="I1588" s="13" t="s">
        <v>2305</v>
      </c>
      <c r="J1588" s="4">
        <v>95820</v>
      </c>
      <c r="K1588" s="4">
        <v>1</v>
      </c>
      <c r="L1588" s="4">
        <v>104</v>
      </c>
      <c r="M1588" s="4">
        <v>2017</v>
      </c>
      <c r="N1588" s="4">
        <v>1</v>
      </c>
      <c r="O1588" s="4">
        <v>2</v>
      </c>
      <c r="P1588" s="4">
        <v>1</v>
      </c>
      <c r="Q1588" s="19">
        <v>481.99</v>
      </c>
      <c r="R1588" s="16">
        <v>0.1</v>
      </c>
      <c r="S1588" s="16">
        <v>481.89</v>
      </c>
      <c r="T1588" s="5" t="s">
        <v>103</v>
      </c>
      <c r="U1588" s="13" t="s">
        <v>300</v>
      </c>
    </row>
    <row r="1589" spans="1:21" x14ac:dyDescent="0.35">
      <c r="A1589" s="4">
        <v>1588</v>
      </c>
      <c r="B1589" s="4">
        <v>11</v>
      </c>
      <c r="C1589" s="13" t="s">
        <v>1874</v>
      </c>
      <c r="D1589" s="13" t="s">
        <v>1875</v>
      </c>
      <c r="E1589" s="5" t="s">
        <v>5566</v>
      </c>
      <c r="F1589" s="5" t="s">
        <v>4721</v>
      </c>
      <c r="G1589" s="5" t="s">
        <v>4722</v>
      </c>
      <c r="H1589" s="13" t="s">
        <v>3182</v>
      </c>
      <c r="I1589" s="13" t="s">
        <v>2309</v>
      </c>
      <c r="J1589" s="4">
        <v>10952</v>
      </c>
      <c r="K1589" s="4">
        <v>1</v>
      </c>
      <c r="L1589" s="4">
        <v>93</v>
      </c>
      <c r="M1589" s="4">
        <v>2017</v>
      </c>
      <c r="N1589" s="4">
        <v>2</v>
      </c>
      <c r="O1589" s="4">
        <v>6</v>
      </c>
      <c r="P1589" s="4">
        <v>2</v>
      </c>
      <c r="Q1589" s="19">
        <v>209.99</v>
      </c>
      <c r="R1589" s="16">
        <v>7.0000000000000007E-2</v>
      </c>
      <c r="S1589" s="16">
        <v>419.91</v>
      </c>
      <c r="T1589" s="5" t="s">
        <v>94</v>
      </c>
      <c r="U1589" s="13" t="s">
        <v>299</v>
      </c>
    </row>
    <row r="1590" spans="1:21" x14ac:dyDescent="0.35">
      <c r="A1590" s="4">
        <v>1589</v>
      </c>
      <c r="B1590" s="4">
        <v>40</v>
      </c>
      <c r="C1590" s="13" t="s">
        <v>1292</v>
      </c>
      <c r="D1590" s="13" t="s">
        <v>1293</v>
      </c>
      <c r="E1590" s="5" t="s">
        <v>5566</v>
      </c>
      <c r="F1590" s="5" t="s">
        <v>3722</v>
      </c>
      <c r="G1590" s="5" t="s">
        <v>3723</v>
      </c>
      <c r="H1590" s="13" t="s">
        <v>2362</v>
      </c>
      <c r="I1590" s="13" t="s">
        <v>2305</v>
      </c>
      <c r="J1590" s="4">
        <v>91316</v>
      </c>
      <c r="K1590" s="4">
        <v>1</v>
      </c>
      <c r="L1590" s="4">
        <v>246</v>
      </c>
      <c r="M1590" s="4">
        <v>2018</v>
      </c>
      <c r="N1590" s="4">
        <v>1</v>
      </c>
      <c r="O1590" s="4">
        <v>3</v>
      </c>
      <c r="P1590" s="4">
        <v>2</v>
      </c>
      <c r="Q1590" s="19">
        <v>639.99</v>
      </c>
      <c r="R1590" s="16">
        <v>0.05</v>
      </c>
      <c r="S1590" s="16">
        <v>1279.93</v>
      </c>
      <c r="T1590" s="5" t="s">
        <v>241</v>
      </c>
      <c r="U1590" s="13" t="s">
        <v>301</v>
      </c>
    </row>
    <row r="1591" spans="1:21" x14ac:dyDescent="0.35">
      <c r="A1591" s="4">
        <v>1590</v>
      </c>
      <c r="B1591" s="4">
        <v>138</v>
      </c>
      <c r="C1591" s="13" t="s">
        <v>1735</v>
      </c>
      <c r="D1591" s="13" t="s">
        <v>1736</v>
      </c>
      <c r="E1591" s="5" t="s">
        <v>4453</v>
      </c>
      <c r="F1591" s="5" t="s">
        <v>4454</v>
      </c>
      <c r="G1591" s="5" t="s">
        <v>4455</v>
      </c>
      <c r="H1591" s="13" t="s">
        <v>2460</v>
      </c>
      <c r="I1591" s="13" t="s">
        <v>2305</v>
      </c>
      <c r="J1591" s="4">
        <v>92806</v>
      </c>
      <c r="K1591" s="4">
        <v>1</v>
      </c>
      <c r="L1591" s="4">
        <v>175</v>
      </c>
      <c r="M1591" s="4">
        <v>2018</v>
      </c>
      <c r="N1591" s="4">
        <v>1</v>
      </c>
      <c r="O1591" s="4">
        <v>3</v>
      </c>
      <c r="P1591" s="4">
        <v>2</v>
      </c>
      <c r="Q1591" s="19">
        <v>3199.99</v>
      </c>
      <c r="R1591" s="16">
        <v>7.0000000000000007E-2</v>
      </c>
      <c r="S1591" s="16">
        <v>6399.91</v>
      </c>
      <c r="T1591" s="5" t="s">
        <v>172</v>
      </c>
      <c r="U1591" s="13" t="s">
        <v>305</v>
      </c>
    </row>
    <row r="1592" spans="1:21" x14ac:dyDescent="0.35">
      <c r="A1592" s="4">
        <v>1591</v>
      </c>
      <c r="B1592" s="4">
        <v>165</v>
      </c>
      <c r="C1592" s="13" t="s">
        <v>1174</v>
      </c>
      <c r="D1592" s="13" t="s">
        <v>1642</v>
      </c>
      <c r="E1592" s="5" t="s">
        <v>5133</v>
      </c>
      <c r="F1592" s="5" t="s">
        <v>5134</v>
      </c>
      <c r="G1592" s="5" t="s">
        <v>5135</v>
      </c>
      <c r="H1592" s="13" t="s">
        <v>2741</v>
      </c>
      <c r="I1592" s="13" t="s">
        <v>2305</v>
      </c>
      <c r="J1592" s="4">
        <v>95127</v>
      </c>
      <c r="K1592" s="4">
        <v>1</v>
      </c>
      <c r="L1592" s="4">
        <v>286</v>
      </c>
      <c r="M1592" s="4">
        <v>2018</v>
      </c>
      <c r="N1592" s="4">
        <v>1</v>
      </c>
      <c r="O1592" s="4">
        <v>2</v>
      </c>
      <c r="P1592" s="4">
        <v>2</v>
      </c>
      <c r="Q1592" s="19">
        <v>279.99</v>
      </c>
      <c r="R1592" s="16">
        <v>0.2</v>
      </c>
      <c r="S1592" s="16">
        <v>559.78</v>
      </c>
      <c r="T1592" s="5" t="s">
        <v>276</v>
      </c>
      <c r="U1592" s="13" t="s">
        <v>299</v>
      </c>
    </row>
    <row r="1593" spans="1:21" x14ac:dyDescent="0.35">
      <c r="A1593" s="4">
        <v>1592</v>
      </c>
      <c r="B1593" s="4">
        <v>6</v>
      </c>
      <c r="C1593" s="13" t="s">
        <v>1858</v>
      </c>
      <c r="D1593" s="13" t="s">
        <v>1166</v>
      </c>
      <c r="E1593" s="5" t="s">
        <v>5566</v>
      </c>
      <c r="F1593" s="5" t="s">
        <v>4691</v>
      </c>
      <c r="G1593" s="5" t="s">
        <v>4692</v>
      </c>
      <c r="H1593" s="13" t="s">
        <v>4021</v>
      </c>
      <c r="I1593" s="13" t="s">
        <v>2309</v>
      </c>
      <c r="J1593" s="4">
        <v>14450</v>
      </c>
      <c r="K1593" s="4">
        <v>1</v>
      </c>
      <c r="L1593" s="4">
        <v>211</v>
      </c>
      <c r="M1593" s="4">
        <v>2018</v>
      </c>
      <c r="N1593" s="4">
        <v>2</v>
      </c>
      <c r="O1593" s="4">
        <v>7</v>
      </c>
      <c r="P1593" s="4">
        <v>2</v>
      </c>
      <c r="Q1593" s="19">
        <v>1549</v>
      </c>
      <c r="R1593" s="16">
        <v>0.05</v>
      </c>
      <c r="S1593" s="16">
        <v>3097.95</v>
      </c>
      <c r="T1593" s="5" t="s">
        <v>161</v>
      </c>
      <c r="U1593" s="13" t="s">
        <v>302</v>
      </c>
    </row>
    <row r="1594" spans="1:21" x14ac:dyDescent="0.35">
      <c r="A1594" s="4">
        <v>1593</v>
      </c>
      <c r="B1594" s="4">
        <v>9</v>
      </c>
      <c r="C1594" s="13" t="s">
        <v>469</v>
      </c>
      <c r="D1594" s="13" t="s">
        <v>470</v>
      </c>
      <c r="E1594" s="5" t="s">
        <v>5566</v>
      </c>
      <c r="F1594" s="5" t="s">
        <v>2523</v>
      </c>
      <c r="G1594" s="5" t="s">
        <v>2524</v>
      </c>
      <c r="H1594" s="13" t="s">
        <v>2525</v>
      </c>
      <c r="I1594" s="13" t="s">
        <v>2309</v>
      </c>
      <c r="J1594" s="4">
        <v>11050</v>
      </c>
      <c r="K1594" s="4">
        <v>1</v>
      </c>
      <c r="L1594" s="4">
        <v>97</v>
      </c>
      <c r="M1594" s="4">
        <v>2017</v>
      </c>
      <c r="N1594" s="4">
        <v>2</v>
      </c>
      <c r="O1594" s="4">
        <v>6</v>
      </c>
      <c r="P1594" s="4">
        <v>2</v>
      </c>
      <c r="Q1594" s="19">
        <v>349.99</v>
      </c>
      <c r="R1594" s="16">
        <v>0.2</v>
      </c>
      <c r="S1594" s="16">
        <v>699.78</v>
      </c>
      <c r="T1594" s="5" t="s">
        <v>97</v>
      </c>
      <c r="U1594" s="13" t="s">
        <v>299</v>
      </c>
    </row>
    <row r="1595" spans="1:21" x14ac:dyDescent="0.35">
      <c r="A1595" s="4">
        <v>1594</v>
      </c>
      <c r="B1595" s="4">
        <v>45</v>
      </c>
      <c r="C1595" s="13" t="s">
        <v>1593</v>
      </c>
      <c r="D1595" s="13" t="s">
        <v>1594</v>
      </c>
      <c r="E1595" s="5" t="s">
        <v>5566</v>
      </c>
      <c r="F1595" s="5" t="s">
        <v>4206</v>
      </c>
      <c r="G1595" s="5" t="s">
        <v>4207</v>
      </c>
      <c r="H1595" s="13" t="s">
        <v>2590</v>
      </c>
      <c r="I1595" s="13" t="s">
        <v>2309</v>
      </c>
      <c r="J1595" s="4">
        <v>11714</v>
      </c>
      <c r="K1595" s="4">
        <v>1</v>
      </c>
      <c r="L1595" s="4">
        <v>79</v>
      </c>
      <c r="M1595" s="4">
        <v>2017</v>
      </c>
      <c r="N1595" s="4">
        <v>2</v>
      </c>
      <c r="O1595" s="4">
        <v>7</v>
      </c>
      <c r="P1595" s="4">
        <v>2</v>
      </c>
      <c r="Q1595" s="19">
        <v>402.99</v>
      </c>
      <c r="R1595" s="16">
        <v>0.1</v>
      </c>
      <c r="S1595" s="16">
        <v>805.88</v>
      </c>
      <c r="T1595" s="5" t="s">
        <v>80</v>
      </c>
      <c r="U1595" s="13" t="s">
        <v>301</v>
      </c>
    </row>
    <row r="1596" spans="1:21" x14ac:dyDescent="0.35">
      <c r="A1596" s="4">
        <v>1595</v>
      </c>
      <c r="B1596" s="4">
        <v>71</v>
      </c>
      <c r="C1596" s="13" t="s">
        <v>2175</v>
      </c>
      <c r="D1596" s="13" t="s">
        <v>505</v>
      </c>
      <c r="E1596" s="5" t="s">
        <v>5566</v>
      </c>
      <c r="F1596" s="5" t="s">
        <v>5319</v>
      </c>
      <c r="G1596" s="5" t="s">
        <v>5320</v>
      </c>
      <c r="H1596" s="13" t="s">
        <v>2384</v>
      </c>
      <c r="I1596" s="13" t="s">
        <v>2309</v>
      </c>
      <c r="J1596" s="4">
        <v>10451</v>
      </c>
      <c r="K1596" s="4">
        <v>1</v>
      </c>
      <c r="L1596" s="4">
        <v>112</v>
      </c>
      <c r="M1596" s="4">
        <v>2018</v>
      </c>
      <c r="N1596" s="4">
        <v>2</v>
      </c>
      <c r="O1596" s="4">
        <v>7</v>
      </c>
      <c r="P1596" s="4">
        <v>1</v>
      </c>
      <c r="Q1596" s="19">
        <v>379.99</v>
      </c>
      <c r="R1596" s="16">
        <v>0.2</v>
      </c>
      <c r="S1596" s="16">
        <v>379.79</v>
      </c>
      <c r="T1596" s="5" t="s">
        <v>109</v>
      </c>
      <c r="U1596" s="13" t="s">
        <v>304</v>
      </c>
    </row>
    <row r="1597" spans="1:21" x14ac:dyDescent="0.35">
      <c r="A1597" s="4">
        <v>1596</v>
      </c>
      <c r="B1597" s="4">
        <v>21</v>
      </c>
      <c r="C1597" s="13" t="s">
        <v>1988</v>
      </c>
      <c r="D1597" s="13" t="s">
        <v>1058</v>
      </c>
      <c r="E1597" s="5" t="s">
        <v>5566</v>
      </c>
      <c r="F1597" s="5" t="s">
        <v>4926</v>
      </c>
      <c r="G1597" s="5" t="s">
        <v>4927</v>
      </c>
      <c r="H1597" s="13" t="s">
        <v>2608</v>
      </c>
      <c r="I1597" s="13" t="s">
        <v>2397</v>
      </c>
      <c r="J1597" s="4">
        <v>77904</v>
      </c>
      <c r="K1597" s="4">
        <v>1</v>
      </c>
      <c r="L1597" s="4">
        <v>91</v>
      </c>
      <c r="M1597" s="4">
        <v>2017</v>
      </c>
      <c r="N1597" s="4">
        <v>3</v>
      </c>
      <c r="O1597" s="4">
        <v>8</v>
      </c>
      <c r="P1597" s="4">
        <v>1</v>
      </c>
      <c r="Q1597" s="19">
        <v>349.99</v>
      </c>
      <c r="R1597" s="16">
        <v>0.05</v>
      </c>
      <c r="S1597" s="16">
        <v>349.94</v>
      </c>
      <c r="T1597" s="5" t="s">
        <v>92</v>
      </c>
      <c r="U1597" s="13" t="s">
        <v>299</v>
      </c>
    </row>
    <row r="1598" spans="1:21" x14ac:dyDescent="0.35">
      <c r="A1598" s="4">
        <v>1597</v>
      </c>
      <c r="B1598" s="4">
        <v>56</v>
      </c>
      <c r="C1598" s="13" t="s">
        <v>1531</v>
      </c>
      <c r="D1598" s="13" t="s">
        <v>1179</v>
      </c>
      <c r="E1598" s="5" t="s">
        <v>4105</v>
      </c>
      <c r="F1598" s="5" t="s">
        <v>4106</v>
      </c>
      <c r="G1598" s="5" t="s">
        <v>4107</v>
      </c>
      <c r="H1598" s="13" t="s">
        <v>1262</v>
      </c>
      <c r="I1598" s="13" t="s">
        <v>2397</v>
      </c>
      <c r="J1598" s="4">
        <v>77016</v>
      </c>
      <c r="K1598" s="4">
        <v>1</v>
      </c>
      <c r="L1598" s="4">
        <v>176</v>
      </c>
      <c r="M1598" s="4">
        <v>2018</v>
      </c>
      <c r="N1598" s="4">
        <v>3</v>
      </c>
      <c r="O1598" s="4">
        <v>9</v>
      </c>
      <c r="P1598" s="4">
        <v>1</v>
      </c>
      <c r="Q1598" s="19">
        <v>3199.99</v>
      </c>
      <c r="R1598" s="16">
        <v>7.0000000000000007E-2</v>
      </c>
      <c r="S1598" s="16">
        <v>3199.9199999999996</v>
      </c>
      <c r="T1598" s="5" t="s">
        <v>173</v>
      </c>
      <c r="U1598" s="13" t="s">
        <v>305</v>
      </c>
    </row>
    <row r="1599" spans="1:21" x14ac:dyDescent="0.35">
      <c r="A1599" s="4">
        <v>1598</v>
      </c>
      <c r="B1599" s="4">
        <v>239</v>
      </c>
      <c r="C1599" s="13" t="s">
        <v>1846</v>
      </c>
      <c r="D1599" s="13" t="s">
        <v>1847</v>
      </c>
      <c r="E1599" s="5" t="s">
        <v>5566</v>
      </c>
      <c r="F1599" s="5" t="s">
        <v>4673</v>
      </c>
      <c r="G1599" s="5" t="s">
        <v>4674</v>
      </c>
      <c r="H1599" s="13" t="s">
        <v>2365</v>
      </c>
      <c r="I1599" s="13" t="s">
        <v>2305</v>
      </c>
      <c r="J1599" s="4">
        <v>91387</v>
      </c>
      <c r="K1599" s="4">
        <v>1</v>
      </c>
      <c r="L1599" s="4">
        <v>247</v>
      </c>
      <c r="M1599" s="4">
        <v>2018</v>
      </c>
      <c r="N1599" s="4">
        <v>1</v>
      </c>
      <c r="O1599" s="4">
        <v>3</v>
      </c>
      <c r="P1599" s="4">
        <v>1</v>
      </c>
      <c r="Q1599" s="19">
        <v>599.99</v>
      </c>
      <c r="R1599" s="16">
        <v>0.2</v>
      </c>
      <c r="S1599" s="16">
        <v>599.79</v>
      </c>
      <c r="T1599" s="5" t="s">
        <v>242</v>
      </c>
      <c r="U1599" s="13" t="s">
        <v>301</v>
      </c>
    </row>
    <row r="1600" spans="1:21" x14ac:dyDescent="0.35">
      <c r="A1600" s="4">
        <v>1599</v>
      </c>
      <c r="B1600" s="4">
        <v>49</v>
      </c>
      <c r="C1600" s="13" t="s">
        <v>1477</v>
      </c>
      <c r="D1600" s="13" t="s">
        <v>523</v>
      </c>
      <c r="E1600" s="5" t="s">
        <v>5566</v>
      </c>
      <c r="F1600" s="5" t="s">
        <v>4019</v>
      </c>
      <c r="G1600" s="5" t="s">
        <v>4020</v>
      </c>
      <c r="H1600" s="13" t="s">
        <v>4021</v>
      </c>
      <c r="I1600" s="13" t="s">
        <v>2309</v>
      </c>
      <c r="J1600" s="4">
        <v>14450</v>
      </c>
      <c r="K1600" s="4">
        <v>1</v>
      </c>
      <c r="L1600" s="4">
        <v>104</v>
      </c>
      <c r="M1600" s="4">
        <v>2017</v>
      </c>
      <c r="N1600" s="4">
        <v>2</v>
      </c>
      <c r="O1600" s="4">
        <v>7</v>
      </c>
      <c r="P1600" s="4">
        <v>2</v>
      </c>
      <c r="Q1600" s="19">
        <v>481.99</v>
      </c>
      <c r="R1600" s="16">
        <v>0.2</v>
      </c>
      <c r="S1600" s="16">
        <v>963.78</v>
      </c>
      <c r="T1600" s="5" t="s">
        <v>103</v>
      </c>
      <c r="U1600" s="13" t="s">
        <v>300</v>
      </c>
    </row>
    <row r="1601" spans="1:21" x14ac:dyDescent="0.35">
      <c r="A1601" s="4">
        <v>1600</v>
      </c>
      <c r="B1601" s="4">
        <v>90</v>
      </c>
      <c r="C1601" s="13" t="s">
        <v>1245</v>
      </c>
      <c r="D1601" s="13" t="s">
        <v>443</v>
      </c>
      <c r="E1601" s="5" t="s">
        <v>5566</v>
      </c>
      <c r="F1601" s="5" t="s">
        <v>3649</v>
      </c>
      <c r="G1601" s="5" t="s">
        <v>3650</v>
      </c>
      <c r="H1601" s="13" t="s">
        <v>2479</v>
      </c>
      <c r="I1601" s="13" t="s">
        <v>2309</v>
      </c>
      <c r="J1601" s="4">
        <v>11010</v>
      </c>
      <c r="K1601" s="4">
        <v>1</v>
      </c>
      <c r="L1601" s="4">
        <v>146</v>
      </c>
      <c r="M1601" s="4">
        <v>2018</v>
      </c>
      <c r="N1601" s="4">
        <v>2</v>
      </c>
      <c r="O1601" s="4">
        <v>6</v>
      </c>
      <c r="P1601" s="4">
        <v>1</v>
      </c>
      <c r="Q1601" s="19">
        <v>4999.99</v>
      </c>
      <c r="R1601" s="16">
        <v>0.1</v>
      </c>
      <c r="S1601" s="16">
        <v>4999.8899999999994</v>
      </c>
      <c r="T1601" s="5" t="s">
        <v>143</v>
      </c>
      <c r="U1601" s="13" t="s">
        <v>305</v>
      </c>
    </row>
    <row r="1602" spans="1:21" x14ac:dyDescent="0.35">
      <c r="A1602" s="4">
        <v>1601</v>
      </c>
      <c r="B1602" s="4">
        <v>43</v>
      </c>
      <c r="C1602" s="13" t="s">
        <v>619</v>
      </c>
      <c r="D1602" s="13" t="s">
        <v>620</v>
      </c>
      <c r="E1602" s="5" t="s">
        <v>2742</v>
      </c>
      <c r="F1602" s="5" t="s">
        <v>2743</v>
      </c>
      <c r="G1602" s="5" t="s">
        <v>2744</v>
      </c>
      <c r="H1602" s="13" t="s">
        <v>1262</v>
      </c>
      <c r="I1602" s="13" t="s">
        <v>2397</v>
      </c>
      <c r="J1602" s="4">
        <v>77016</v>
      </c>
      <c r="K1602" s="4">
        <v>1</v>
      </c>
      <c r="L1602" s="4">
        <v>114</v>
      </c>
      <c r="M1602" s="4">
        <v>2018</v>
      </c>
      <c r="N1602" s="4">
        <v>3</v>
      </c>
      <c r="O1602" s="4">
        <v>8</v>
      </c>
      <c r="P1602" s="4">
        <v>2</v>
      </c>
      <c r="Q1602" s="19">
        <v>579.99</v>
      </c>
      <c r="R1602" s="16">
        <v>0.2</v>
      </c>
      <c r="S1602" s="16">
        <v>1159.78</v>
      </c>
      <c r="T1602" s="5" t="s">
        <v>111</v>
      </c>
      <c r="U1602" s="13" t="s">
        <v>304</v>
      </c>
    </row>
    <row r="1603" spans="1:21" x14ac:dyDescent="0.35">
      <c r="A1603" s="4">
        <v>1602</v>
      </c>
      <c r="B1603" s="4">
        <v>55</v>
      </c>
      <c r="C1603" s="13" t="s">
        <v>601</v>
      </c>
      <c r="D1603" s="13" t="s">
        <v>602</v>
      </c>
      <c r="E1603" s="5" t="s">
        <v>5566</v>
      </c>
      <c r="F1603" s="5" t="s">
        <v>2715</v>
      </c>
      <c r="G1603" s="5" t="s">
        <v>2716</v>
      </c>
      <c r="H1603" s="13" t="s">
        <v>2393</v>
      </c>
      <c r="I1603" s="13" t="s">
        <v>2309</v>
      </c>
      <c r="J1603" s="4">
        <v>11566</v>
      </c>
      <c r="K1603" s="4">
        <v>1</v>
      </c>
      <c r="L1603" s="4">
        <v>71</v>
      </c>
      <c r="M1603" s="4">
        <v>2017</v>
      </c>
      <c r="N1603" s="4">
        <v>2</v>
      </c>
      <c r="O1603" s="4">
        <v>6</v>
      </c>
      <c r="P1603" s="4">
        <v>2</v>
      </c>
      <c r="Q1603" s="19">
        <v>416.99</v>
      </c>
      <c r="R1603" s="16">
        <v>0.05</v>
      </c>
      <c r="S1603" s="16">
        <v>833.93000000000006</v>
      </c>
      <c r="T1603" s="5" t="s">
        <v>72</v>
      </c>
      <c r="U1603" s="13" t="s">
        <v>301</v>
      </c>
    </row>
    <row r="1604" spans="1:21" x14ac:dyDescent="0.35">
      <c r="A1604" s="4">
        <v>1603</v>
      </c>
      <c r="B1604" s="4">
        <v>74</v>
      </c>
      <c r="C1604" s="13" t="s">
        <v>1109</v>
      </c>
      <c r="D1604" s="13" t="s">
        <v>1110</v>
      </c>
      <c r="E1604" s="5" t="s">
        <v>5566</v>
      </c>
      <c r="F1604" s="5" t="s">
        <v>3441</v>
      </c>
      <c r="G1604" s="5" t="s">
        <v>3442</v>
      </c>
      <c r="H1604" s="13" t="s">
        <v>2732</v>
      </c>
      <c r="I1604" s="13" t="s">
        <v>2309</v>
      </c>
      <c r="J1604" s="4">
        <v>14120</v>
      </c>
      <c r="K1604" s="4">
        <v>1</v>
      </c>
      <c r="L1604" s="4">
        <v>275</v>
      </c>
      <c r="M1604" s="4">
        <v>2018</v>
      </c>
      <c r="N1604" s="4">
        <v>2</v>
      </c>
      <c r="O1604" s="4">
        <v>6</v>
      </c>
      <c r="P1604" s="4">
        <v>2</v>
      </c>
      <c r="Q1604" s="19">
        <v>229.99</v>
      </c>
      <c r="R1604" s="16">
        <v>0.05</v>
      </c>
      <c r="S1604" s="16">
        <v>459.93</v>
      </c>
      <c r="T1604" s="5" t="s">
        <v>266</v>
      </c>
      <c r="U1604" s="13" t="s">
        <v>299</v>
      </c>
    </row>
    <row r="1605" spans="1:21" x14ac:dyDescent="0.35">
      <c r="A1605" s="4">
        <v>1604</v>
      </c>
      <c r="B1605" s="4">
        <v>7</v>
      </c>
      <c r="C1605" s="13" t="s">
        <v>522</v>
      </c>
      <c r="D1605" s="13" t="s">
        <v>523</v>
      </c>
      <c r="E1605" s="5" t="s">
        <v>2600</v>
      </c>
      <c r="F1605" s="5" t="s">
        <v>2601</v>
      </c>
      <c r="G1605" s="5" t="s">
        <v>2602</v>
      </c>
      <c r="H1605" s="13" t="s">
        <v>2406</v>
      </c>
      <c r="I1605" s="13" t="s">
        <v>2309</v>
      </c>
      <c r="J1605" s="4">
        <v>14215</v>
      </c>
      <c r="K1605" s="4">
        <v>1</v>
      </c>
      <c r="L1605" s="4">
        <v>271</v>
      </c>
      <c r="M1605" s="4">
        <v>2018</v>
      </c>
      <c r="N1605" s="4">
        <v>2</v>
      </c>
      <c r="O1605" s="4">
        <v>7</v>
      </c>
      <c r="P1605" s="4">
        <v>1</v>
      </c>
      <c r="Q1605" s="19">
        <v>209.99</v>
      </c>
      <c r="R1605" s="16">
        <v>0.1</v>
      </c>
      <c r="S1605" s="16">
        <v>209.89000000000001</v>
      </c>
      <c r="T1605" s="5" t="s">
        <v>262</v>
      </c>
      <c r="U1605" s="13" t="s">
        <v>299</v>
      </c>
    </row>
    <row r="1606" spans="1:21" x14ac:dyDescent="0.35">
      <c r="A1606" s="4">
        <v>1605</v>
      </c>
      <c r="B1606" s="4">
        <v>123</v>
      </c>
      <c r="C1606" s="13" t="s">
        <v>2090</v>
      </c>
      <c r="D1606" s="13" t="s">
        <v>849</v>
      </c>
      <c r="E1606" s="5" t="s">
        <v>5144</v>
      </c>
      <c r="F1606" s="5" t="s">
        <v>5145</v>
      </c>
      <c r="G1606" s="5" t="s">
        <v>5146</v>
      </c>
      <c r="H1606" s="13" t="s">
        <v>2453</v>
      </c>
      <c r="I1606" s="13" t="s">
        <v>2397</v>
      </c>
      <c r="J1606" s="4">
        <v>78418</v>
      </c>
      <c r="K1606" s="4">
        <v>1</v>
      </c>
      <c r="L1606" s="4">
        <v>72</v>
      </c>
      <c r="M1606" s="4">
        <v>2017</v>
      </c>
      <c r="N1606" s="4">
        <v>3</v>
      </c>
      <c r="O1606" s="4">
        <v>8</v>
      </c>
      <c r="P1606" s="4">
        <v>1</v>
      </c>
      <c r="Q1606" s="19">
        <v>619.99</v>
      </c>
      <c r="R1606" s="16">
        <v>0.1</v>
      </c>
      <c r="S1606" s="16">
        <v>619.89</v>
      </c>
      <c r="T1606" s="5" t="s">
        <v>73</v>
      </c>
      <c r="U1606" s="13" t="s">
        <v>301</v>
      </c>
    </row>
    <row r="1607" spans="1:21" x14ac:dyDescent="0.35">
      <c r="A1607" s="4">
        <v>1606</v>
      </c>
      <c r="B1607" s="4">
        <v>119</v>
      </c>
      <c r="C1607" s="13" t="s">
        <v>1480</v>
      </c>
      <c r="D1607" s="13" t="s">
        <v>1190</v>
      </c>
      <c r="E1607" s="5" t="s">
        <v>5566</v>
      </c>
      <c r="F1607" s="5" t="s">
        <v>4024</v>
      </c>
      <c r="G1607" s="5" t="s">
        <v>4025</v>
      </c>
      <c r="H1607" s="13" t="s">
        <v>2849</v>
      </c>
      <c r="I1607" s="13" t="s">
        <v>2397</v>
      </c>
      <c r="J1607" s="4">
        <v>76901</v>
      </c>
      <c r="K1607" s="4">
        <v>1</v>
      </c>
      <c r="L1607" s="4">
        <v>245</v>
      </c>
      <c r="M1607" s="4">
        <v>2018</v>
      </c>
      <c r="N1607" s="4">
        <v>3</v>
      </c>
      <c r="O1607" s="4">
        <v>8</v>
      </c>
      <c r="P1607" s="4">
        <v>1</v>
      </c>
      <c r="Q1607" s="19">
        <v>659.99</v>
      </c>
      <c r="R1607" s="16">
        <v>0.1</v>
      </c>
      <c r="S1607" s="16">
        <v>659.89</v>
      </c>
      <c r="T1607" s="5" t="s">
        <v>240</v>
      </c>
      <c r="U1607" s="13" t="s">
        <v>301</v>
      </c>
    </row>
    <row r="1608" spans="1:21" x14ac:dyDescent="0.35">
      <c r="A1608" s="4">
        <v>1607</v>
      </c>
      <c r="B1608" s="4">
        <v>33</v>
      </c>
      <c r="C1608" s="13" t="s">
        <v>881</v>
      </c>
      <c r="D1608" s="13" t="s">
        <v>1261</v>
      </c>
      <c r="E1608" s="5" t="s">
        <v>5566</v>
      </c>
      <c r="F1608" s="5" t="s">
        <v>3678</v>
      </c>
      <c r="G1608" s="5" t="s">
        <v>3679</v>
      </c>
      <c r="H1608" s="13" t="s">
        <v>2790</v>
      </c>
      <c r="I1608" s="13" t="s">
        <v>2305</v>
      </c>
      <c r="J1608" s="4">
        <v>90274</v>
      </c>
      <c r="K1608" s="4">
        <v>1</v>
      </c>
      <c r="L1608" s="4">
        <v>29</v>
      </c>
      <c r="M1608" s="4">
        <v>2017</v>
      </c>
      <c r="N1608" s="4">
        <v>1</v>
      </c>
      <c r="O1608" s="4">
        <v>2</v>
      </c>
      <c r="P1608" s="4">
        <v>1</v>
      </c>
      <c r="Q1608" s="19">
        <v>999.99</v>
      </c>
      <c r="R1608" s="16">
        <v>0.05</v>
      </c>
      <c r="S1608" s="16">
        <v>999.94</v>
      </c>
      <c r="T1608" s="5" t="s">
        <v>30</v>
      </c>
      <c r="U1608" s="13" t="s">
        <v>304</v>
      </c>
    </row>
    <row r="1609" spans="1:21" x14ac:dyDescent="0.35">
      <c r="A1609" s="4">
        <v>1608</v>
      </c>
      <c r="B1609" s="4">
        <v>53</v>
      </c>
      <c r="C1609" s="13" t="s">
        <v>996</v>
      </c>
      <c r="D1609" s="13" t="s">
        <v>997</v>
      </c>
      <c r="E1609" s="5" t="s">
        <v>5566</v>
      </c>
      <c r="F1609" s="5" t="s">
        <v>3283</v>
      </c>
      <c r="G1609" s="5" t="s">
        <v>3284</v>
      </c>
      <c r="H1609" s="13" t="s">
        <v>2528</v>
      </c>
      <c r="I1609" s="13" t="s">
        <v>2305</v>
      </c>
      <c r="J1609" s="4">
        <v>91740</v>
      </c>
      <c r="K1609" s="4">
        <v>1</v>
      </c>
      <c r="L1609" s="4">
        <v>231</v>
      </c>
      <c r="M1609" s="4">
        <v>2018</v>
      </c>
      <c r="N1609" s="4">
        <v>1</v>
      </c>
      <c r="O1609" s="4">
        <v>2</v>
      </c>
      <c r="P1609" s="4">
        <v>2</v>
      </c>
      <c r="Q1609" s="19">
        <v>529.99</v>
      </c>
      <c r="R1609" s="16">
        <v>0.05</v>
      </c>
      <c r="S1609" s="16">
        <v>1059.93</v>
      </c>
      <c r="T1609" s="5" t="s">
        <v>226</v>
      </c>
      <c r="U1609" s="13" t="s">
        <v>301</v>
      </c>
    </row>
    <row r="1610" spans="1:21" x14ac:dyDescent="0.35">
      <c r="A1610" s="4">
        <v>1609</v>
      </c>
      <c r="B1610" s="4">
        <v>10</v>
      </c>
      <c r="C1610" s="13" t="s">
        <v>1591</v>
      </c>
      <c r="D1610" s="13" t="s">
        <v>1592</v>
      </c>
      <c r="E1610" s="5" t="s">
        <v>5566</v>
      </c>
      <c r="F1610" s="5" t="s">
        <v>4204</v>
      </c>
      <c r="G1610" s="5" t="s">
        <v>4205</v>
      </c>
      <c r="H1610" s="13" t="s">
        <v>552</v>
      </c>
      <c r="I1610" s="13" t="s">
        <v>2309</v>
      </c>
      <c r="J1610" s="4">
        <v>10950</v>
      </c>
      <c r="K1610" s="4">
        <v>1</v>
      </c>
      <c r="L1610" s="4">
        <v>96</v>
      </c>
      <c r="M1610" s="4">
        <v>2017</v>
      </c>
      <c r="N1610" s="4">
        <v>2</v>
      </c>
      <c r="O1610" s="4">
        <v>7</v>
      </c>
      <c r="P1610" s="4">
        <v>1</v>
      </c>
      <c r="Q1610" s="19">
        <v>349.99</v>
      </c>
      <c r="R1610" s="16">
        <v>0.2</v>
      </c>
      <c r="S1610" s="16">
        <v>349.79</v>
      </c>
      <c r="T1610" s="5" t="s">
        <v>96</v>
      </c>
      <c r="U1610" s="13" t="s">
        <v>299</v>
      </c>
    </row>
    <row r="1611" spans="1:21" x14ac:dyDescent="0.35">
      <c r="A1611" s="4">
        <v>1610</v>
      </c>
      <c r="B1611" s="4">
        <v>15</v>
      </c>
      <c r="C1611" s="13" t="s">
        <v>2216</v>
      </c>
      <c r="D1611" s="13" t="s">
        <v>1993</v>
      </c>
      <c r="E1611" s="5" t="s">
        <v>5566</v>
      </c>
      <c r="F1611" s="5" t="s">
        <v>5405</v>
      </c>
      <c r="G1611" s="5" t="s">
        <v>5406</v>
      </c>
      <c r="H1611" s="13" t="s">
        <v>2822</v>
      </c>
      <c r="I1611" s="13" t="s">
        <v>2309</v>
      </c>
      <c r="J1611" s="4">
        <v>12901</v>
      </c>
      <c r="K1611" s="4">
        <v>1</v>
      </c>
      <c r="L1611" s="4">
        <v>36</v>
      </c>
      <c r="M1611" s="4">
        <v>2017</v>
      </c>
      <c r="N1611" s="4">
        <v>2</v>
      </c>
      <c r="O1611" s="4">
        <v>7</v>
      </c>
      <c r="P1611" s="4">
        <v>1</v>
      </c>
      <c r="Q1611" s="19">
        <v>832.99</v>
      </c>
      <c r="R1611" s="16">
        <v>7.0000000000000007E-2</v>
      </c>
      <c r="S1611" s="16">
        <v>832.92</v>
      </c>
      <c r="T1611" s="5" t="s">
        <v>37</v>
      </c>
      <c r="U1611" s="13" t="s">
        <v>304</v>
      </c>
    </row>
    <row r="1612" spans="1:21" x14ac:dyDescent="0.35">
      <c r="A1612" s="4">
        <v>1611</v>
      </c>
      <c r="B1612" s="4">
        <v>6</v>
      </c>
      <c r="C1612" s="13" t="s">
        <v>1858</v>
      </c>
      <c r="D1612" s="13" t="s">
        <v>1166</v>
      </c>
      <c r="E1612" s="5" t="s">
        <v>5566</v>
      </c>
      <c r="F1612" s="5" t="s">
        <v>4691</v>
      </c>
      <c r="G1612" s="5" t="s">
        <v>4692</v>
      </c>
      <c r="H1612" s="13" t="s">
        <v>4021</v>
      </c>
      <c r="I1612" s="13" t="s">
        <v>2309</v>
      </c>
      <c r="J1612" s="4">
        <v>14450</v>
      </c>
      <c r="K1612" s="4">
        <v>1</v>
      </c>
      <c r="L1612" s="4">
        <v>191</v>
      </c>
      <c r="M1612" s="4">
        <v>2018</v>
      </c>
      <c r="N1612" s="4">
        <v>2</v>
      </c>
      <c r="O1612" s="4">
        <v>7</v>
      </c>
      <c r="P1612" s="4">
        <v>1</v>
      </c>
      <c r="Q1612" s="19">
        <v>2799.99</v>
      </c>
      <c r="R1612" s="16">
        <v>7.0000000000000007E-2</v>
      </c>
      <c r="S1612" s="16">
        <v>2799.9199999999996</v>
      </c>
      <c r="T1612" s="5" t="s">
        <v>188</v>
      </c>
      <c r="U1612" s="13" t="s">
        <v>303</v>
      </c>
    </row>
    <row r="1613" spans="1:21" x14ac:dyDescent="0.35">
      <c r="A1613" s="4">
        <v>1612</v>
      </c>
      <c r="B1613" s="4">
        <v>3</v>
      </c>
      <c r="C1613" s="13" t="s">
        <v>2283</v>
      </c>
      <c r="D1613" s="13" t="s">
        <v>2017</v>
      </c>
      <c r="E1613" s="5" t="s">
        <v>5566</v>
      </c>
      <c r="F1613" s="5" t="s">
        <v>5538</v>
      </c>
      <c r="G1613" s="5" t="s">
        <v>5539</v>
      </c>
      <c r="H1613" s="13" t="s">
        <v>3044</v>
      </c>
      <c r="I1613" s="13" t="s">
        <v>2305</v>
      </c>
      <c r="J1613" s="4">
        <v>90278</v>
      </c>
      <c r="K1613" s="4">
        <v>1</v>
      </c>
      <c r="L1613" s="4">
        <v>242</v>
      </c>
      <c r="M1613" s="4">
        <v>2018</v>
      </c>
      <c r="N1613" s="4">
        <v>1</v>
      </c>
      <c r="O1613" s="4">
        <v>3</v>
      </c>
      <c r="P1613" s="4">
        <v>1</v>
      </c>
      <c r="Q1613" s="19">
        <v>699.99</v>
      </c>
      <c r="R1613" s="16">
        <v>0.1</v>
      </c>
      <c r="S1613" s="16">
        <v>699.89</v>
      </c>
      <c r="T1613" s="5" t="s">
        <v>237</v>
      </c>
      <c r="U1613" s="13" t="s">
        <v>301</v>
      </c>
    </row>
    <row r="1614" spans="1:21" x14ac:dyDescent="0.35">
      <c r="A1614" s="4">
        <v>1613</v>
      </c>
      <c r="B1614" s="4">
        <v>1</v>
      </c>
      <c r="C1614" s="13" t="s">
        <v>1294</v>
      </c>
      <c r="D1614" s="13" t="s">
        <v>1295</v>
      </c>
      <c r="E1614" s="5" t="s">
        <v>5566</v>
      </c>
      <c r="F1614" s="5" t="s">
        <v>3724</v>
      </c>
      <c r="G1614" s="5" t="s">
        <v>3725</v>
      </c>
      <c r="H1614" s="13" t="s">
        <v>2390</v>
      </c>
      <c r="I1614" s="13" t="s">
        <v>2309</v>
      </c>
      <c r="J1614" s="4">
        <v>14127</v>
      </c>
      <c r="K1614" s="4">
        <v>1</v>
      </c>
      <c r="L1614" s="4">
        <v>153</v>
      </c>
      <c r="M1614" s="4">
        <v>2018</v>
      </c>
      <c r="N1614" s="4">
        <v>2</v>
      </c>
      <c r="O1614" s="4">
        <v>6</v>
      </c>
      <c r="P1614" s="4">
        <v>1</v>
      </c>
      <c r="Q1614" s="19">
        <v>4999.99</v>
      </c>
      <c r="R1614" s="16">
        <v>7.0000000000000007E-2</v>
      </c>
      <c r="S1614" s="16">
        <v>4999.92</v>
      </c>
      <c r="T1614" s="5" t="s">
        <v>150</v>
      </c>
      <c r="U1614" s="13" t="s">
        <v>305</v>
      </c>
    </row>
    <row r="1615" spans="1:21" x14ac:dyDescent="0.35">
      <c r="A1615" s="4">
        <v>1614</v>
      </c>
      <c r="B1615" s="4">
        <v>135</v>
      </c>
      <c r="C1615" s="13" t="s">
        <v>1519</v>
      </c>
      <c r="D1615" s="13" t="s">
        <v>1520</v>
      </c>
      <c r="E1615" s="5" t="s">
        <v>4087</v>
      </c>
      <c r="F1615" s="5" t="s">
        <v>4088</v>
      </c>
      <c r="G1615" s="5" t="s">
        <v>4089</v>
      </c>
      <c r="H1615" s="13" t="s">
        <v>1262</v>
      </c>
      <c r="I1615" s="13" t="s">
        <v>2397</v>
      </c>
      <c r="J1615" s="4">
        <v>77016</v>
      </c>
      <c r="K1615" s="4">
        <v>1</v>
      </c>
      <c r="L1615" s="4">
        <v>124</v>
      </c>
      <c r="M1615" s="4">
        <v>2018</v>
      </c>
      <c r="N1615" s="4">
        <v>3</v>
      </c>
      <c r="O1615" s="4">
        <v>8</v>
      </c>
      <c r="P1615" s="4">
        <v>1</v>
      </c>
      <c r="Q1615" s="19">
        <v>1499</v>
      </c>
      <c r="R1615" s="16">
        <v>7.0000000000000007E-2</v>
      </c>
      <c r="S1615" s="16">
        <v>1498.93</v>
      </c>
      <c r="T1615" s="5" t="s">
        <v>121</v>
      </c>
      <c r="U1615" s="13" t="s">
        <v>304</v>
      </c>
    </row>
    <row r="1616" spans="1:21" x14ac:dyDescent="0.35">
      <c r="A1616" s="4">
        <v>1615</v>
      </c>
      <c r="B1616" s="4">
        <v>136</v>
      </c>
      <c r="C1616" s="13" t="s">
        <v>2160</v>
      </c>
      <c r="D1616" s="13" t="s">
        <v>1440</v>
      </c>
      <c r="E1616" s="5" t="s">
        <v>5566</v>
      </c>
      <c r="F1616" s="5" t="s">
        <v>5290</v>
      </c>
      <c r="G1616" s="5" t="s">
        <v>5291</v>
      </c>
      <c r="H1616" s="13" t="s">
        <v>3215</v>
      </c>
      <c r="I1616" s="13" t="s">
        <v>2397</v>
      </c>
      <c r="J1616" s="4">
        <v>75126</v>
      </c>
      <c r="K1616" s="4">
        <v>1</v>
      </c>
      <c r="L1616" s="4">
        <v>197</v>
      </c>
      <c r="M1616" s="4">
        <v>2018</v>
      </c>
      <c r="N1616" s="4">
        <v>3</v>
      </c>
      <c r="O1616" s="4">
        <v>8</v>
      </c>
      <c r="P1616" s="4">
        <v>2</v>
      </c>
      <c r="Q1616" s="19">
        <v>2299.9899999999998</v>
      </c>
      <c r="R1616" s="16">
        <v>0.2</v>
      </c>
      <c r="S1616" s="16">
        <v>4599.78</v>
      </c>
      <c r="T1616" s="5" t="s">
        <v>194</v>
      </c>
      <c r="U1616" s="13" t="s">
        <v>303</v>
      </c>
    </row>
  </sheetData>
  <conditionalFormatting sqref="A1 A1617:A1048576">
    <cfRule type="duplicateValues" dxfId="7" priority="1"/>
  </conditionalFormatting>
  <conditionalFormatting sqref="B1 B1617:B1048576">
    <cfRule type="duplicateValues" dxfId="6" priority="2"/>
  </conditionalFormatting>
  <conditionalFormatting sqref="B1">
    <cfRule type="duplicateValues" dxfId="5" priority="3"/>
  </conditionalFormatting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C1A5C0-99DD-4021-9174-92848DE686C2}">
  <dimension ref="A1:G322"/>
  <sheetViews>
    <sheetView workbookViewId="0">
      <selection activeCell="B2" sqref="B2"/>
    </sheetView>
  </sheetViews>
  <sheetFormatPr defaultRowHeight="14.5" x14ac:dyDescent="0.35"/>
  <cols>
    <col min="2" max="2" width="47.36328125" bestFit="1" customWidth="1"/>
    <col min="4" max="4" width="10.453125" bestFit="1" customWidth="1"/>
    <col min="7" max="7" width="16.36328125" bestFit="1" customWidth="1"/>
  </cols>
  <sheetData>
    <row r="1" spans="1:7" x14ac:dyDescent="0.35">
      <c r="A1" s="1" t="s">
        <v>0</v>
      </c>
      <c r="B1" t="s">
        <v>2</v>
      </c>
      <c r="C1" t="s">
        <v>3</v>
      </c>
      <c r="D1" t="s">
        <v>4</v>
      </c>
      <c r="E1" t="s">
        <v>5</v>
      </c>
      <c r="F1" t="s">
        <v>1</v>
      </c>
      <c r="G1" t="s">
        <v>297</v>
      </c>
    </row>
    <row r="2" spans="1:7" x14ac:dyDescent="0.35">
      <c r="A2" s="1">
        <v>1</v>
      </c>
      <c r="B2" t="s">
        <v>6</v>
      </c>
      <c r="C2">
        <v>9</v>
      </c>
      <c r="D2">
        <v>6</v>
      </c>
      <c r="E2">
        <v>2016</v>
      </c>
      <c r="F2">
        <v>379.99</v>
      </c>
      <c r="G2" t="s">
        <v>304</v>
      </c>
    </row>
    <row r="3" spans="1:7" x14ac:dyDescent="0.35">
      <c r="A3" s="1">
        <v>2</v>
      </c>
      <c r="B3" t="s">
        <v>7</v>
      </c>
      <c r="C3">
        <v>5</v>
      </c>
      <c r="D3">
        <v>6</v>
      </c>
      <c r="E3">
        <v>2016</v>
      </c>
      <c r="F3">
        <v>749.99</v>
      </c>
      <c r="G3" t="s">
        <v>304</v>
      </c>
    </row>
    <row r="4" spans="1:7" x14ac:dyDescent="0.35">
      <c r="A4" s="1">
        <v>3</v>
      </c>
      <c r="B4" t="s">
        <v>8</v>
      </c>
      <c r="C4">
        <v>8</v>
      </c>
      <c r="D4">
        <v>6</v>
      </c>
      <c r="E4">
        <v>2016</v>
      </c>
      <c r="F4">
        <v>999.99</v>
      </c>
      <c r="G4" t="s">
        <v>304</v>
      </c>
    </row>
    <row r="5" spans="1:7" x14ac:dyDescent="0.35">
      <c r="A5" s="1">
        <v>4</v>
      </c>
      <c r="B5" t="s">
        <v>9</v>
      </c>
      <c r="C5">
        <v>9</v>
      </c>
      <c r="D5">
        <v>6</v>
      </c>
      <c r="E5">
        <v>2016</v>
      </c>
      <c r="F5">
        <v>2899.99</v>
      </c>
      <c r="G5" t="s">
        <v>304</v>
      </c>
    </row>
    <row r="6" spans="1:7" x14ac:dyDescent="0.35">
      <c r="A6" s="1">
        <v>5</v>
      </c>
      <c r="B6" t="s">
        <v>10</v>
      </c>
      <c r="C6">
        <v>3</v>
      </c>
      <c r="D6">
        <v>6</v>
      </c>
      <c r="E6">
        <v>2016</v>
      </c>
      <c r="F6">
        <v>1320.99</v>
      </c>
      <c r="G6" t="s">
        <v>304</v>
      </c>
    </row>
    <row r="7" spans="1:7" x14ac:dyDescent="0.35">
      <c r="A7" s="1">
        <v>6</v>
      </c>
      <c r="B7" t="s">
        <v>11</v>
      </c>
      <c r="C7">
        <v>8</v>
      </c>
      <c r="D7">
        <v>6</v>
      </c>
      <c r="E7">
        <v>2016</v>
      </c>
      <c r="F7">
        <v>469.99</v>
      </c>
      <c r="G7" t="s">
        <v>304</v>
      </c>
    </row>
    <row r="8" spans="1:7" x14ac:dyDescent="0.35">
      <c r="A8" s="1">
        <v>7</v>
      </c>
      <c r="B8" t="s">
        <v>12</v>
      </c>
      <c r="C8">
        <v>9</v>
      </c>
      <c r="D8">
        <v>6</v>
      </c>
      <c r="E8">
        <v>2016</v>
      </c>
      <c r="F8">
        <v>3999.99</v>
      </c>
      <c r="G8" t="s">
        <v>304</v>
      </c>
    </row>
    <row r="9" spans="1:7" x14ac:dyDescent="0.35">
      <c r="A9" s="1">
        <v>8</v>
      </c>
      <c r="B9" t="s">
        <v>13</v>
      </c>
      <c r="C9">
        <v>9</v>
      </c>
      <c r="D9">
        <v>6</v>
      </c>
      <c r="E9">
        <v>2016</v>
      </c>
      <c r="F9">
        <v>1799.99</v>
      </c>
      <c r="G9" t="s">
        <v>304</v>
      </c>
    </row>
    <row r="10" spans="1:7" x14ac:dyDescent="0.35">
      <c r="A10" s="1">
        <v>9</v>
      </c>
      <c r="B10" t="s">
        <v>14</v>
      </c>
      <c r="C10">
        <v>9</v>
      </c>
      <c r="D10">
        <v>5</v>
      </c>
      <c r="E10">
        <v>2016</v>
      </c>
      <c r="F10">
        <v>2999.99</v>
      </c>
      <c r="G10" t="s">
        <v>304</v>
      </c>
    </row>
    <row r="11" spans="1:7" x14ac:dyDescent="0.35">
      <c r="A11" s="1">
        <v>10</v>
      </c>
      <c r="B11" t="s">
        <v>15</v>
      </c>
      <c r="C11">
        <v>8</v>
      </c>
      <c r="D11">
        <v>4</v>
      </c>
      <c r="E11">
        <v>2016</v>
      </c>
      <c r="F11">
        <v>1549</v>
      </c>
      <c r="G11" t="s">
        <v>304</v>
      </c>
    </row>
    <row r="12" spans="1:7" x14ac:dyDescent="0.35">
      <c r="A12" s="1">
        <v>11</v>
      </c>
      <c r="B12" t="s">
        <v>16</v>
      </c>
      <c r="C12">
        <v>8</v>
      </c>
      <c r="D12">
        <v>4</v>
      </c>
      <c r="E12">
        <v>2016</v>
      </c>
      <c r="F12">
        <v>1680.99</v>
      </c>
      <c r="G12" t="s">
        <v>304</v>
      </c>
    </row>
    <row r="13" spans="1:7" x14ac:dyDescent="0.35">
      <c r="A13" s="1">
        <v>12</v>
      </c>
      <c r="B13" t="s">
        <v>17</v>
      </c>
      <c r="C13">
        <v>1</v>
      </c>
      <c r="D13">
        <v>3</v>
      </c>
      <c r="E13">
        <v>2016</v>
      </c>
      <c r="F13">
        <v>549.99</v>
      </c>
      <c r="G13" t="s">
        <v>304</v>
      </c>
    </row>
    <row r="14" spans="1:7" x14ac:dyDescent="0.35">
      <c r="A14" s="1">
        <v>13</v>
      </c>
      <c r="B14" t="s">
        <v>18</v>
      </c>
      <c r="C14">
        <v>1</v>
      </c>
      <c r="D14">
        <v>3</v>
      </c>
      <c r="E14">
        <v>2016</v>
      </c>
      <c r="F14">
        <v>269.99</v>
      </c>
      <c r="G14" t="s">
        <v>304</v>
      </c>
    </row>
    <row r="15" spans="1:7" x14ac:dyDescent="0.35">
      <c r="A15" s="1">
        <v>14</v>
      </c>
      <c r="B15" t="s">
        <v>19</v>
      </c>
      <c r="C15">
        <v>1</v>
      </c>
      <c r="D15">
        <v>3</v>
      </c>
      <c r="E15">
        <v>2016</v>
      </c>
      <c r="F15">
        <v>269.99</v>
      </c>
      <c r="G15" t="s">
        <v>304</v>
      </c>
    </row>
    <row r="16" spans="1:7" x14ac:dyDescent="0.35">
      <c r="A16" s="1">
        <v>15</v>
      </c>
      <c r="B16" t="s">
        <v>20</v>
      </c>
      <c r="C16">
        <v>1</v>
      </c>
      <c r="D16">
        <v>3</v>
      </c>
      <c r="E16">
        <v>2016</v>
      </c>
      <c r="F16">
        <v>529.99</v>
      </c>
      <c r="G16" t="s">
        <v>304</v>
      </c>
    </row>
    <row r="17" spans="1:7" x14ac:dyDescent="0.35">
      <c r="A17" s="1">
        <v>16</v>
      </c>
      <c r="B17" t="s">
        <v>21</v>
      </c>
      <c r="C17">
        <v>1</v>
      </c>
      <c r="D17">
        <v>3</v>
      </c>
      <c r="E17">
        <v>2016</v>
      </c>
      <c r="F17">
        <v>599.99</v>
      </c>
      <c r="G17" t="s">
        <v>304</v>
      </c>
    </row>
    <row r="18" spans="1:7" x14ac:dyDescent="0.35">
      <c r="A18" s="1">
        <v>17</v>
      </c>
      <c r="B18" t="s">
        <v>22</v>
      </c>
      <c r="C18">
        <v>4</v>
      </c>
      <c r="D18">
        <v>3</v>
      </c>
      <c r="E18">
        <v>2016</v>
      </c>
      <c r="F18">
        <v>429</v>
      </c>
      <c r="G18" t="s">
        <v>304</v>
      </c>
    </row>
    <row r="19" spans="1:7" x14ac:dyDescent="0.35">
      <c r="A19" s="1">
        <v>18</v>
      </c>
      <c r="B19" t="s">
        <v>23</v>
      </c>
      <c r="C19">
        <v>4</v>
      </c>
      <c r="D19">
        <v>3</v>
      </c>
      <c r="E19">
        <v>2016</v>
      </c>
      <c r="F19">
        <v>449</v>
      </c>
      <c r="G19" t="s">
        <v>304</v>
      </c>
    </row>
    <row r="20" spans="1:7" x14ac:dyDescent="0.35">
      <c r="A20" s="1">
        <v>19</v>
      </c>
      <c r="B20" t="s">
        <v>24</v>
      </c>
      <c r="C20">
        <v>4</v>
      </c>
      <c r="D20">
        <v>3</v>
      </c>
      <c r="E20">
        <v>2016</v>
      </c>
      <c r="F20">
        <v>449</v>
      </c>
      <c r="G20" t="s">
        <v>304</v>
      </c>
    </row>
    <row r="21" spans="1:7" x14ac:dyDescent="0.35">
      <c r="A21" s="1">
        <v>20</v>
      </c>
      <c r="B21" t="s">
        <v>25</v>
      </c>
      <c r="C21">
        <v>1</v>
      </c>
      <c r="D21">
        <v>3</v>
      </c>
      <c r="E21">
        <v>2016</v>
      </c>
      <c r="F21">
        <v>599.99</v>
      </c>
      <c r="G21" t="s">
        <v>304</v>
      </c>
    </row>
    <row r="22" spans="1:7" x14ac:dyDescent="0.35">
      <c r="A22" s="1">
        <v>21</v>
      </c>
      <c r="B22" t="s">
        <v>18</v>
      </c>
      <c r="C22">
        <v>1</v>
      </c>
      <c r="D22">
        <v>1</v>
      </c>
      <c r="E22">
        <v>2016</v>
      </c>
      <c r="F22">
        <v>269.99</v>
      </c>
      <c r="G22" t="s">
        <v>304</v>
      </c>
    </row>
    <row r="23" spans="1:7" x14ac:dyDescent="0.35">
      <c r="A23" s="1">
        <v>22</v>
      </c>
      <c r="B23" t="s">
        <v>19</v>
      </c>
      <c r="C23">
        <v>1</v>
      </c>
      <c r="D23">
        <v>1</v>
      </c>
      <c r="E23">
        <v>2016</v>
      </c>
      <c r="F23">
        <v>269.99</v>
      </c>
      <c r="G23" t="s">
        <v>304</v>
      </c>
    </row>
    <row r="24" spans="1:7" x14ac:dyDescent="0.35">
      <c r="A24" s="1">
        <v>23</v>
      </c>
      <c r="B24" t="s">
        <v>26</v>
      </c>
      <c r="C24">
        <v>1</v>
      </c>
      <c r="D24">
        <v>1</v>
      </c>
      <c r="E24">
        <v>2016</v>
      </c>
      <c r="F24">
        <v>299.99</v>
      </c>
      <c r="G24" t="s">
        <v>304</v>
      </c>
    </row>
    <row r="25" spans="1:7" x14ac:dyDescent="0.35">
      <c r="A25" s="1">
        <v>24</v>
      </c>
      <c r="B25" t="s">
        <v>17</v>
      </c>
      <c r="C25">
        <v>1</v>
      </c>
      <c r="D25">
        <v>2</v>
      </c>
      <c r="E25">
        <v>2016</v>
      </c>
      <c r="F25">
        <v>549.99</v>
      </c>
      <c r="G25" t="s">
        <v>304</v>
      </c>
    </row>
    <row r="26" spans="1:7" x14ac:dyDescent="0.35">
      <c r="A26" s="1">
        <v>25</v>
      </c>
      <c r="B26" t="s">
        <v>27</v>
      </c>
      <c r="C26">
        <v>1</v>
      </c>
      <c r="D26">
        <v>2</v>
      </c>
      <c r="E26">
        <v>2016</v>
      </c>
      <c r="F26">
        <v>499.99</v>
      </c>
      <c r="G26" t="s">
        <v>304</v>
      </c>
    </row>
    <row r="27" spans="1:7" x14ac:dyDescent="0.35">
      <c r="A27" s="1">
        <v>26</v>
      </c>
      <c r="B27" t="s">
        <v>21</v>
      </c>
      <c r="C27">
        <v>1</v>
      </c>
      <c r="D27">
        <v>2</v>
      </c>
      <c r="E27">
        <v>2016</v>
      </c>
      <c r="F27">
        <v>599.99</v>
      </c>
      <c r="G27" t="s">
        <v>304</v>
      </c>
    </row>
    <row r="28" spans="1:7" x14ac:dyDescent="0.35">
      <c r="A28" s="1">
        <v>27</v>
      </c>
      <c r="B28" t="s">
        <v>28</v>
      </c>
      <c r="C28">
        <v>8</v>
      </c>
      <c r="D28">
        <v>6</v>
      </c>
      <c r="E28">
        <v>2017</v>
      </c>
      <c r="F28">
        <v>999.99</v>
      </c>
      <c r="G28" t="s">
        <v>304</v>
      </c>
    </row>
    <row r="29" spans="1:7" x14ac:dyDescent="0.35">
      <c r="A29" s="1">
        <v>28</v>
      </c>
      <c r="B29" t="s">
        <v>29</v>
      </c>
      <c r="C29">
        <v>8</v>
      </c>
      <c r="D29">
        <v>6</v>
      </c>
      <c r="E29">
        <v>2017</v>
      </c>
      <c r="F29">
        <v>2499.9899999999998</v>
      </c>
      <c r="G29" t="s">
        <v>304</v>
      </c>
    </row>
    <row r="30" spans="1:7" x14ac:dyDescent="0.35">
      <c r="A30" s="1">
        <v>29</v>
      </c>
      <c r="B30" t="s">
        <v>30</v>
      </c>
      <c r="C30">
        <v>9</v>
      </c>
      <c r="D30">
        <v>6</v>
      </c>
      <c r="E30">
        <v>2017</v>
      </c>
      <c r="F30">
        <v>999.99</v>
      </c>
      <c r="G30" t="s">
        <v>304</v>
      </c>
    </row>
    <row r="31" spans="1:7" x14ac:dyDescent="0.35">
      <c r="A31" s="1">
        <v>30</v>
      </c>
      <c r="B31" t="s">
        <v>31</v>
      </c>
      <c r="C31">
        <v>8</v>
      </c>
      <c r="D31">
        <v>6</v>
      </c>
      <c r="E31">
        <v>2017</v>
      </c>
      <c r="F31">
        <v>999.99</v>
      </c>
      <c r="G31" t="s">
        <v>304</v>
      </c>
    </row>
    <row r="32" spans="1:7" x14ac:dyDescent="0.35">
      <c r="A32" s="1">
        <v>31</v>
      </c>
      <c r="B32" t="s">
        <v>32</v>
      </c>
      <c r="C32">
        <v>8</v>
      </c>
      <c r="D32">
        <v>6</v>
      </c>
      <c r="E32">
        <v>2017</v>
      </c>
      <c r="F32">
        <v>1632.99</v>
      </c>
      <c r="G32" t="s">
        <v>304</v>
      </c>
    </row>
    <row r="33" spans="1:7" x14ac:dyDescent="0.35">
      <c r="A33" s="1">
        <v>32</v>
      </c>
      <c r="B33" t="s">
        <v>33</v>
      </c>
      <c r="C33">
        <v>9</v>
      </c>
      <c r="D33">
        <v>6</v>
      </c>
      <c r="E33">
        <v>2017</v>
      </c>
      <c r="F33">
        <v>469.99</v>
      </c>
      <c r="G33" t="s">
        <v>304</v>
      </c>
    </row>
    <row r="34" spans="1:7" x14ac:dyDescent="0.35">
      <c r="A34" s="1">
        <v>33</v>
      </c>
      <c r="B34" t="s">
        <v>34</v>
      </c>
      <c r="C34">
        <v>8</v>
      </c>
      <c r="D34">
        <v>6</v>
      </c>
      <c r="E34">
        <v>2017</v>
      </c>
      <c r="F34">
        <v>469.99</v>
      </c>
      <c r="G34" t="s">
        <v>304</v>
      </c>
    </row>
    <row r="35" spans="1:7" x14ac:dyDescent="0.35">
      <c r="A35" s="1">
        <v>34</v>
      </c>
      <c r="B35" t="s">
        <v>35</v>
      </c>
      <c r="C35">
        <v>9</v>
      </c>
      <c r="D35">
        <v>6</v>
      </c>
      <c r="E35">
        <v>2017</v>
      </c>
      <c r="F35">
        <v>469.99</v>
      </c>
      <c r="G35" t="s">
        <v>304</v>
      </c>
    </row>
    <row r="36" spans="1:7" x14ac:dyDescent="0.35">
      <c r="A36" s="1">
        <v>35</v>
      </c>
      <c r="B36" t="s">
        <v>36</v>
      </c>
      <c r="C36">
        <v>7</v>
      </c>
      <c r="D36">
        <v>6</v>
      </c>
      <c r="E36">
        <v>2017</v>
      </c>
      <c r="F36">
        <v>832.99</v>
      </c>
      <c r="G36" t="s">
        <v>304</v>
      </c>
    </row>
    <row r="37" spans="1:7" x14ac:dyDescent="0.35">
      <c r="A37" s="1">
        <v>36</v>
      </c>
      <c r="B37" t="s">
        <v>37</v>
      </c>
      <c r="C37">
        <v>8</v>
      </c>
      <c r="D37">
        <v>6</v>
      </c>
      <c r="E37">
        <v>2017</v>
      </c>
      <c r="F37">
        <v>832.99</v>
      </c>
      <c r="G37" t="s">
        <v>304</v>
      </c>
    </row>
    <row r="38" spans="1:7" x14ac:dyDescent="0.35">
      <c r="A38" s="1">
        <v>37</v>
      </c>
      <c r="B38" t="s">
        <v>38</v>
      </c>
      <c r="C38">
        <v>2</v>
      </c>
      <c r="D38">
        <v>6</v>
      </c>
      <c r="E38">
        <v>2017</v>
      </c>
      <c r="F38">
        <v>379.99</v>
      </c>
      <c r="G38" t="s">
        <v>304</v>
      </c>
    </row>
    <row r="39" spans="1:7" x14ac:dyDescent="0.35">
      <c r="A39" s="1">
        <v>38</v>
      </c>
      <c r="B39" t="s">
        <v>39</v>
      </c>
      <c r="C39">
        <v>2</v>
      </c>
      <c r="D39">
        <v>6</v>
      </c>
      <c r="E39">
        <v>2017</v>
      </c>
      <c r="F39">
        <v>549.99</v>
      </c>
      <c r="G39" t="s">
        <v>304</v>
      </c>
    </row>
    <row r="40" spans="1:7" x14ac:dyDescent="0.35">
      <c r="A40" s="1">
        <v>39</v>
      </c>
      <c r="B40" t="s">
        <v>40</v>
      </c>
      <c r="C40">
        <v>9</v>
      </c>
      <c r="D40">
        <v>6</v>
      </c>
      <c r="E40">
        <v>2017</v>
      </c>
      <c r="F40">
        <v>1499.99</v>
      </c>
      <c r="G40" t="s">
        <v>304</v>
      </c>
    </row>
    <row r="41" spans="1:7" x14ac:dyDescent="0.35">
      <c r="A41" s="1">
        <v>40</v>
      </c>
      <c r="B41" t="s">
        <v>41</v>
      </c>
      <c r="C41">
        <v>9</v>
      </c>
      <c r="D41">
        <v>6</v>
      </c>
      <c r="E41">
        <v>2017</v>
      </c>
      <c r="F41">
        <v>4999.99</v>
      </c>
      <c r="G41" t="s">
        <v>304</v>
      </c>
    </row>
    <row r="42" spans="1:7" x14ac:dyDescent="0.35">
      <c r="A42" s="1">
        <v>41</v>
      </c>
      <c r="B42" t="s">
        <v>42</v>
      </c>
      <c r="C42">
        <v>2</v>
      </c>
      <c r="D42">
        <v>6</v>
      </c>
      <c r="E42">
        <v>2017</v>
      </c>
      <c r="F42">
        <v>1469.99</v>
      </c>
      <c r="G42" t="s">
        <v>304</v>
      </c>
    </row>
    <row r="43" spans="1:7" x14ac:dyDescent="0.35">
      <c r="A43" s="1">
        <v>42</v>
      </c>
      <c r="B43" t="s">
        <v>43</v>
      </c>
      <c r="C43">
        <v>9</v>
      </c>
      <c r="D43">
        <v>6</v>
      </c>
      <c r="E43">
        <v>2017</v>
      </c>
      <c r="F43">
        <v>2299.9899999999998</v>
      </c>
      <c r="G43" t="s">
        <v>304</v>
      </c>
    </row>
    <row r="44" spans="1:7" x14ac:dyDescent="0.35">
      <c r="A44" s="1">
        <v>43</v>
      </c>
      <c r="B44" t="s">
        <v>44</v>
      </c>
      <c r="C44">
        <v>9</v>
      </c>
      <c r="D44">
        <v>6</v>
      </c>
      <c r="E44">
        <v>2017</v>
      </c>
      <c r="F44">
        <v>5299.99</v>
      </c>
      <c r="G44" t="s">
        <v>304</v>
      </c>
    </row>
    <row r="45" spans="1:7" x14ac:dyDescent="0.35">
      <c r="A45" s="1">
        <v>44</v>
      </c>
      <c r="B45" t="s">
        <v>45</v>
      </c>
      <c r="C45">
        <v>2</v>
      </c>
      <c r="D45">
        <v>6</v>
      </c>
      <c r="E45">
        <v>2017</v>
      </c>
      <c r="F45">
        <v>539.99</v>
      </c>
      <c r="G45" t="s">
        <v>304</v>
      </c>
    </row>
    <row r="46" spans="1:7" x14ac:dyDescent="0.35">
      <c r="A46" s="1">
        <v>45</v>
      </c>
      <c r="B46" t="s">
        <v>46</v>
      </c>
      <c r="C46">
        <v>2</v>
      </c>
      <c r="D46">
        <v>6</v>
      </c>
      <c r="E46">
        <v>2017</v>
      </c>
      <c r="F46">
        <v>869.99</v>
      </c>
      <c r="G46" t="s">
        <v>304</v>
      </c>
    </row>
    <row r="47" spans="1:7" x14ac:dyDescent="0.35">
      <c r="A47" s="1">
        <v>46</v>
      </c>
      <c r="B47" t="s">
        <v>47</v>
      </c>
      <c r="C47">
        <v>2</v>
      </c>
      <c r="D47">
        <v>6</v>
      </c>
      <c r="E47">
        <v>2017</v>
      </c>
      <c r="F47">
        <v>1409.99</v>
      </c>
      <c r="G47" t="s">
        <v>304</v>
      </c>
    </row>
    <row r="48" spans="1:7" x14ac:dyDescent="0.35">
      <c r="A48" s="1">
        <v>47</v>
      </c>
      <c r="B48" t="s">
        <v>48</v>
      </c>
      <c r="C48">
        <v>9</v>
      </c>
      <c r="D48">
        <v>6</v>
      </c>
      <c r="E48">
        <v>2017</v>
      </c>
      <c r="F48">
        <v>5299.99</v>
      </c>
      <c r="G48" t="s">
        <v>304</v>
      </c>
    </row>
    <row r="49" spans="1:7" x14ac:dyDescent="0.35">
      <c r="A49" s="1">
        <v>48</v>
      </c>
      <c r="B49" t="s">
        <v>49</v>
      </c>
      <c r="C49">
        <v>9</v>
      </c>
      <c r="D49">
        <v>7</v>
      </c>
      <c r="E49">
        <v>2017</v>
      </c>
      <c r="F49">
        <v>1499.99</v>
      </c>
      <c r="G49" t="s">
        <v>304</v>
      </c>
    </row>
    <row r="50" spans="1:7" x14ac:dyDescent="0.35">
      <c r="A50" s="1">
        <v>49</v>
      </c>
      <c r="B50" t="s">
        <v>50</v>
      </c>
      <c r="C50">
        <v>9</v>
      </c>
      <c r="D50">
        <v>7</v>
      </c>
      <c r="E50">
        <v>2017</v>
      </c>
      <c r="F50">
        <v>3499.99</v>
      </c>
      <c r="G50" t="s">
        <v>304</v>
      </c>
    </row>
    <row r="51" spans="1:7" x14ac:dyDescent="0.35">
      <c r="A51" s="1">
        <v>50</v>
      </c>
      <c r="B51" t="s">
        <v>51</v>
      </c>
      <c r="C51">
        <v>9</v>
      </c>
      <c r="D51">
        <v>7</v>
      </c>
      <c r="E51">
        <v>2017</v>
      </c>
      <c r="F51">
        <v>5999.99</v>
      </c>
      <c r="G51" t="s">
        <v>304</v>
      </c>
    </row>
    <row r="52" spans="1:7" x14ac:dyDescent="0.35">
      <c r="A52" s="1">
        <v>51</v>
      </c>
      <c r="B52" t="s">
        <v>52</v>
      </c>
      <c r="C52">
        <v>9</v>
      </c>
      <c r="D52">
        <v>7</v>
      </c>
      <c r="E52">
        <v>2017</v>
      </c>
      <c r="F52">
        <v>6499.99</v>
      </c>
      <c r="G52" t="s">
        <v>304</v>
      </c>
    </row>
    <row r="53" spans="1:7" x14ac:dyDescent="0.35">
      <c r="A53" s="1">
        <v>52</v>
      </c>
      <c r="B53" t="s">
        <v>53</v>
      </c>
      <c r="C53">
        <v>8</v>
      </c>
      <c r="D53">
        <v>7</v>
      </c>
      <c r="E53">
        <v>2017</v>
      </c>
      <c r="F53">
        <v>875.99</v>
      </c>
      <c r="G53" t="s">
        <v>304</v>
      </c>
    </row>
    <row r="54" spans="1:7" x14ac:dyDescent="0.35">
      <c r="A54" s="1">
        <v>53</v>
      </c>
      <c r="B54" t="s">
        <v>54</v>
      </c>
      <c r="C54">
        <v>8</v>
      </c>
      <c r="D54">
        <v>7</v>
      </c>
      <c r="E54">
        <v>2017</v>
      </c>
      <c r="F54">
        <v>749.99</v>
      </c>
      <c r="G54" t="s">
        <v>304</v>
      </c>
    </row>
    <row r="55" spans="1:7" x14ac:dyDescent="0.35">
      <c r="A55" s="1">
        <v>54</v>
      </c>
      <c r="B55" t="s">
        <v>55</v>
      </c>
      <c r="C55">
        <v>9</v>
      </c>
      <c r="D55">
        <v>7</v>
      </c>
      <c r="E55">
        <v>2017</v>
      </c>
      <c r="F55">
        <v>3199.99</v>
      </c>
      <c r="G55" t="s">
        <v>304</v>
      </c>
    </row>
    <row r="56" spans="1:7" x14ac:dyDescent="0.35">
      <c r="A56" s="1">
        <v>55</v>
      </c>
      <c r="B56" t="s">
        <v>56</v>
      </c>
      <c r="C56">
        <v>9</v>
      </c>
      <c r="D56">
        <v>7</v>
      </c>
      <c r="E56">
        <v>2017</v>
      </c>
      <c r="F56">
        <v>2699.99</v>
      </c>
      <c r="G56" t="s">
        <v>304</v>
      </c>
    </row>
    <row r="57" spans="1:7" x14ac:dyDescent="0.35">
      <c r="A57" s="1">
        <v>56</v>
      </c>
      <c r="B57" t="s">
        <v>57</v>
      </c>
      <c r="C57">
        <v>9</v>
      </c>
      <c r="D57">
        <v>7</v>
      </c>
      <c r="E57">
        <v>2017</v>
      </c>
      <c r="F57">
        <v>5499.99</v>
      </c>
      <c r="G57" t="s">
        <v>304</v>
      </c>
    </row>
    <row r="58" spans="1:7" x14ac:dyDescent="0.35">
      <c r="A58" s="1">
        <v>57</v>
      </c>
      <c r="B58" t="s">
        <v>58</v>
      </c>
      <c r="C58">
        <v>9</v>
      </c>
      <c r="D58">
        <v>7</v>
      </c>
      <c r="E58">
        <v>2017</v>
      </c>
      <c r="F58">
        <v>1999.99</v>
      </c>
      <c r="G58" t="s">
        <v>304</v>
      </c>
    </row>
    <row r="59" spans="1:7" x14ac:dyDescent="0.35">
      <c r="A59" s="1">
        <v>58</v>
      </c>
      <c r="B59" t="s">
        <v>59</v>
      </c>
      <c r="C59">
        <v>9</v>
      </c>
      <c r="D59">
        <v>7</v>
      </c>
      <c r="E59">
        <v>2017</v>
      </c>
      <c r="F59">
        <v>4999.99</v>
      </c>
      <c r="G59" t="s">
        <v>304</v>
      </c>
    </row>
    <row r="60" spans="1:7" x14ac:dyDescent="0.35">
      <c r="A60" s="1">
        <v>59</v>
      </c>
      <c r="B60" t="s">
        <v>60</v>
      </c>
      <c r="C60">
        <v>9</v>
      </c>
      <c r="D60">
        <v>7</v>
      </c>
      <c r="E60">
        <v>2017</v>
      </c>
      <c r="F60">
        <v>2599.9899999999998</v>
      </c>
      <c r="G60" t="s">
        <v>304</v>
      </c>
    </row>
    <row r="61" spans="1:7" x14ac:dyDescent="0.35">
      <c r="A61" s="1">
        <v>60</v>
      </c>
      <c r="B61" t="s">
        <v>61</v>
      </c>
      <c r="C61">
        <v>7</v>
      </c>
      <c r="D61">
        <v>5</v>
      </c>
      <c r="E61">
        <v>2017</v>
      </c>
      <c r="F61">
        <v>1559.99</v>
      </c>
      <c r="G61" t="s">
        <v>304</v>
      </c>
    </row>
    <row r="62" spans="1:7" x14ac:dyDescent="0.35">
      <c r="A62" s="1">
        <v>61</v>
      </c>
      <c r="B62" t="s">
        <v>62</v>
      </c>
      <c r="C62">
        <v>9</v>
      </c>
      <c r="D62">
        <v>5</v>
      </c>
      <c r="E62">
        <v>2017</v>
      </c>
      <c r="F62">
        <v>4999.99</v>
      </c>
      <c r="G62" t="s">
        <v>304</v>
      </c>
    </row>
    <row r="63" spans="1:7" x14ac:dyDescent="0.35">
      <c r="A63" s="1">
        <v>62</v>
      </c>
      <c r="B63" t="s">
        <v>63</v>
      </c>
      <c r="C63">
        <v>9</v>
      </c>
      <c r="D63">
        <v>4</v>
      </c>
      <c r="E63">
        <v>2017</v>
      </c>
      <c r="F63">
        <v>3499.99</v>
      </c>
      <c r="G63" t="s">
        <v>304</v>
      </c>
    </row>
    <row r="64" spans="1:7" x14ac:dyDescent="0.35">
      <c r="A64" s="1">
        <v>63</v>
      </c>
      <c r="B64" t="s">
        <v>64</v>
      </c>
      <c r="C64">
        <v>9</v>
      </c>
      <c r="D64">
        <v>4</v>
      </c>
      <c r="E64">
        <v>2017</v>
      </c>
      <c r="F64">
        <v>3499.99</v>
      </c>
      <c r="G64" t="s">
        <v>304</v>
      </c>
    </row>
    <row r="65" spans="1:7" x14ac:dyDescent="0.35">
      <c r="A65" s="1">
        <v>64</v>
      </c>
      <c r="B65" t="s">
        <v>65</v>
      </c>
      <c r="C65">
        <v>1</v>
      </c>
      <c r="D65">
        <v>3</v>
      </c>
      <c r="E65">
        <v>2017</v>
      </c>
      <c r="F65">
        <v>489.99</v>
      </c>
      <c r="G65" t="s">
        <v>304</v>
      </c>
    </row>
    <row r="66" spans="1:7" x14ac:dyDescent="0.35">
      <c r="A66" s="1">
        <v>65</v>
      </c>
      <c r="B66" t="s">
        <v>66</v>
      </c>
      <c r="C66">
        <v>7</v>
      </c>
      <c r="D66">
        <v>3</v>
      </c>
      <c r="E66">
        <v>2017</v>
      </c>
      <c r="F66">
        <v>346.99</v>
      </c>
      <c r="G66" t="s">
        <v>304</v>
      </c>
    </row>
    <row r="67" spans="1:7" x14ac:dyDescent="0.35">
      <c r="A67" s="1">
        <v>66</v>
      </c>
      <c r="B67" t="s">
        <v>67</v>
      </c>
      <c r="C67">
        <v>7</v>
      </c>
      <c r="D67">
        <v>3</v>
      </c>
      <c r="E67">
        <v>2017</v>
      </c>
      <c r="F67">
        <v>250.99</v>
      </c>
      <c r="G67" t="s">
        <v>304</v>
      </c>
    </row>
    <row r="68" spans="1:7" x14ac:dyDescent="0.35">
      <c r="A68" s="1">
        <v>67</v>
      </c>
      <c r="B68" t="s">
        <v>68</v>
      </c>
      <c r="C68">
        <v>7</v>
      </c>
      <c r="D68">
        <v>3</v>
      </c>
      <c r="E68">
        <v>2017</v>
      </c>
      <c r="F68">
        <v>250.99</v>
      </c>
      <c r="G68" t="s">
        <v>304</v>
      </c>
    </row>
    <row r="69" spans="1:7" x14ac:dyDescent="0.35">
      <c r="A69" s="1">
        <v>68</v>
      </c>
      <c r="B69" t="s">
        <v>69</v>
      </c>
      <c r="C69">
        <v>7</v>
      </c>
      <c r="D69">
        <v>3</v>
      </c>
      <c r="E69">
        <v>2017</v>
      </c>
      <c r="F69">
        <v>449.99</v>
      </c>
      <c r="G69" t="s">
        <v>304</v>
      </c>
    </row>
    <row r="70" spans="1:7" x14ac:dyDescent="0.35">
      <c r="A70" s="1">
        <v>69</v>
      </c>
      <c r="B70" t="s">
        <v>70</v>
      </c>
      <c r="C70">
        <v>7</v>
      </c>
      <c r="D70">
        <v>3</v>
      </c>
      <c r="E70">
        <v>2017</v>
      </c>
      <c r="F70">
        <v>416.99</v>
      </c>
      <c r="G70" t="s">
        <v>304</v>
      </c>
    </row>
    <row r="71" spans="1:7" x14ac:dyDescent="0.35">
      <c r="A71" s="1">
        <v>70</v>
      </c>
      <c r="B71" t="s">
        <v>71</v>
      </c>
      <c r="C71">
        <v>1</v>
      </c>
      <c r="D71">
        <v>3</v>
      </c>
      <c r="E71">
        <v>2017</v>
      </c>
      <c r="F71">
        <v>659.99</v>
      </c>
      <c r="G71" t="s">
        <v>304</v>
      </c>
    </row>
    <row r="72" spans="1:7" x14ac:dyDescent="0.35">
      <c r="A72" s="1">
        <v>71</v>
      </c>
      <c r="B72" t="s">
        <v>72</v>
      </c>
      <c r="C72">
        <v>7</v>
      </c>
      <c r="D72">
        <v>3</v>
      </c>
      <c r="E72">
        <v>2017</v>
      </c>
      <c r="F72">
        <v>416.99</v>
      </c>
      <c r="G72" t="s">
        <v>304</v>
      </c>
    </row>
    <row r="73" spans="1:7" x14ac:dyDescent="0.35">
      <c r="A73" s="1">
        <v>72</v>
      </c>
      <c r="B73" t="s">
        <v>73</v>
      </c>
      <c r="C73">
        <v>7</v>
      </c>
      <c r="D73">
        <v>3</v>
      </c>
      <c r="E73">
        <v>2017</v>
      </c>
      <c r="F73">
        <v>619.99</v>
      </c>
      <c r="G73" t="s">
        <v>304</v>
      </c>
    </row>
    <row r="74" spans="1:7" x14ac:dyDescent="0.35">
      <c r="A74" s="1">
        <v>73</v>
      </c>
      <c r="B74" t="s">
        <v>74</v>
      </c>
      <c r="C74">
        <v>7</v>
      </c>
      <c r="D74">
        <v>3</v>
      </c>
      <c r="E74">
        <v>2017</v>
      </c>
      <c r="F74">
        <v>749.99</v>
      </c>
      <c r="G74" t="s">
        <v>304</v>
      </c>
    </row>
    <row r="75" spans="1:7" x14ac:dyDescent="0.35">
      <c r="A75" s="1">
        <v>74</v>
      </c>
      <c r="B75" t="s">
        <v>75</v>
      </c>
      <c r="C75">
        <v>1</v>
      </c>
      <c r="D75">
        <v>3</v>
      </c>
      <c r="E75">
        <v>2017</v>
      </c>
      <c r="F75">
        <v>439.99</v>
      </c>
      <c r="G75" t="s">
        <v>304</v>
      </c>
    </row>
    <row r="76" spans="1:7" x14ac:dyDescent="0.35">
      <c r="A76" s="1">
        <v>75</v>
      </c>
      <c r="B76" t="s">
        <v>76</v>
      </c>
      <c r="C76">
        <v>1</v>
      </c>
      <c r="D76">
        <v>3</v>
      </c>
      <c r="E76">
        <v>2017</v>
      </c>
      <c r="F76">
        <v>599.99</v>
      </c>
      <c r="G76" t="s">
        <v>304</v>
      </c>
    </row>
    <row r="77" spans="1:7" x14ac:dyDescent="0.35">
      <c r="A77" s="1">
        <v>76</v>
      </c>
      <c r="B77" t="s">
        <v>77</v>
      </c>
      <c r="C77">
        <v>1</v>
      </c>
      <c r="D77">
        <v>3</v>
      </c>
      <c r="E77">
        <v>2017</v>
      </c>
      <c r="F77">
        <v>299.99</v>
      </c>
      <c r="G77" t="s">
        <v>304</v>
      </c>
    </row>
    <row r="78" spans="1:7" x14ac:dyDescent="0.35">
      <c r="A78" s="1">
        <v>77</v>
      </c>
      <c r="B78" t="s">
        <v>78</v>
      </c>
      <c r="C78">
        <v>1</v>
      </c>
      <c r="D78">
        <v>3</v>
      </c>
      <c r="E78">
        <v>2017</v>
      </c>
      <c r="F78">
        <v>799.99</v>
      </c>
      <c r="G78" t="s">
        <v>304</v>
      </c>
    </row>
    <row r="79" spans="1:7" x14ac:dyDescent="0.35">
      <c r="A79" s="1">
        <v>78</v>
      </c>
      <c r="B79" t="s">
        <v>79</v>
      </c>
      <c r="C79">
        <v>7</v>
      </c>
      <c r="D79">
        <v>3</v>
      </c>
      <c r="E79">
        <v>2017</v>
      </c>
      <c r="F79">
        <v>647.99</v>
      </c>
      <c r="G79" t="s">
        <v>304</v>
      </c>
    </row>
    <row r="80" spans="1:7" x14ac:dyDescent="0.35">
      <c r="A80" s="1">
        <v>79</v>
      </c>
      <c r="B80" t="s">
        <v>80</v>
      </c>
      <c r="C80">
        <v>7</v>
      </c>
      <c r="D80">
        <v>3</v>
      </c>
      <c r="E80">
        <v>2017</v>
      </c>
      <c r="F80">
        <v>402.99</v>
      </c>
      <c r="G80" t="s">
        <v>304</v>
      </c>
    </row>
    <row r="81" spans="1:7" x14ac:dyDescent="0.35">
      <c r="A81" s="1">
        <v>80</v>
      </c>
      <c r="B81" t="s">
        <v>81</v>
      </c>
      <c r="C81">
        <v>7</v>
      </c>
      <c r="D81">
        <v>3</v>
      </c>
      <c r="E81">
        <v>2017</v>
      </c>
      <c r="F81">
        <v>761.99</v>
      </c>
      <c r="G81" t="s">
        <v>304</v>
      </c>
    </row>
    <row r="82" spans="1:7" x14ac:dyDescent="0.35">
      <c r="A82" s="1">
        <v>81</v>
      </c>
      <c r="B82" t="s">
        <v>82</v>
      </c>
      <c r="C82">
        <v>1</v>
      </c>
      <c r="D82">
        <v>3</v>
      </c>
      <c r="E82">
        <v>2017</v>
      </c>
      <c r="F82">
        <v>1099.99</v>
      </c>
      <c r="G82" t="s">
        <v>304</v>
      </c>
    </row>
    <row r="83" spans="1:7" x14ac:dyDescent="0.35">
      <c r="A83" s="1">
        <v>82</v>
      </c>
      <c r="B83" t="s">
        <v>83</v>
      </c>
      <c r="C83">
        <v>1</v>
      </c>
      <c r="D83">
        <v>3</v>
      </c>
      <c r="E83">
        <v>2017</v>
      </c>
      <c r="F83">
        <v>659.99</v>
      </c>
      <c r="G83" t="s">
        <v>304</v>
      </c>
    </row>
    <row r="84" spans="1:7" x14ac:dyDescent="0.35">
      <c r="A84" s="1">
        <v>83</v>
      </c>
      <c r="B84" t="s">
        <v>84</v>
      </c>
      <c r="C84">
        <v>9</v>
      </c>
      <c r="D84">
        <v>1</v>
      </c>
      <c r="E84">
        <v>2017</v>
      </c>
      <c r="F84">
        <v>149.99</v>
      </c>
      <c r="G84" t="s">
        <v>304</v>
      </c>
    </row>
    <row r="85" spans="1:7" x14ac:dyDescent="0.35">
      <c r="A85" s="1">
        <v>84</v>
      </c>
      <c r="B85" t="s">
        <v>85</v>
      </c>
      <c r="C85">
        <v>7</v>
      </c>
      <c r="D85">
        <v>1</v>
      </c>
      <c r="E85">
        <v>2017</v>
      </c>
      <c r="F85">
        <v>109.99</v>
      </c>
      <c r="G85" t="s">
        <v>304</v>
      </c>
    </row>
    <row r="86" spans="1:7" x14ac:dyDescent="0.35">
      <c r="A86" s="1">
        <v>85</v>
      </c>
      <c r="B86" t="s">
        <v>86</v>
      </c>
      <c r="C86">
        <v>2</v>
      </c>
      <c r="D86">
        <v>1</v>
      </c>
      <c r="E86">
        <v>2017</v>
      </c>
      <c r="F86">
        <v>329.99</v>
      </c>
      <c r="G86" t="s">
        <v>304</v>
      </c>
    </row>
    <row r="87" spans="1:7" x14ac:dyDescent="0.35">
      <c r="A87" s="1">
        <v>86</v>
      </c>
      <c r="B87" t="s">
        <v>87</v>
      </c>
      <c r="C87">
        <v>9</v>
      </c>
      <c r="D87">
        <v>1</v>
      </c>
      <c r="E87">
        <v>2017</v>
      </c>
      <c r="F87">
        <v>149.99</v>
      </c>
      <c r="G87" t="s">
        <v>304</v>
      </c>
    </row>
    <row r="88" spans="1:7" x14ac:dyDescent="0.35">
      <c r="A88" s="1">
        <v>87</v>
      </c>
      <c r="B88" t="s">
        <v>88</v>
      </c>
      <c r="C88">
        <v>9</v>
      </c>
      <c r="D88">
        <v>1</v>
      </c>
      <c r="E88">
        <v>2017</v>
      </c>
      <c r="F88">
        <v>189.99</v>
      </c>
      <c r="G88" t="s">
        <v>304</v>
      </c>
    </row>
    <row r="89" spans="1:7" x14ac:dyDescent="0.35">
      <c r="A89" s="1">
        <v>88</v>
      </c>
      <c r="B89" t="s">
        <v>89</v>
      </c>
      <c r="C89">
        <v>9</v>
      </c>
      <c r="D89">
        <v>1</v>
      </c>
      <c r="E89">
        <v>2017</v>
      </c>
      <c r="F89">
        <v>189.99</v>
      </c>
      <c r="G89" t="s">
        <v>304</v>
      </c>
    </row>
    <row r="90" spans="1:7" x14ac:dyDescent="0.35">
      <c r="A90" s="1">
        <v>89</v>
      </c>
      <c r="B90" t="s">
        <v>90</v>
      </c>
      <c r="C90">
        <v>9</v>
      </c>
      <c r="D90">
        <v>1</v>
      </c>
      <c r="E90">
        <v>2017</v>
      </c>
      <c r="F90">
        <v>209.99</v>
      </c>
      <c r="G90" t="s">
        <v>304</v>
      </c>
    </row>
    <row r="91" spans="1:7" x14ac:dyDescent="0.35">
      <c r="A91" s="1">
        <v>90</v>
      </c>
      <c r="B91" t="s">
        <v>91</v>
      </c>
      <c r="C91">
        <v>9</v>
      </c>
      <c r="D91">
        <v>1</v>
      </c>
      <c r="E91">
        <v>2017</v>
      </c>
      <c r="F91">
        <v>209.99</v>
      </c>
      <c r="G91" t="s">
        <v>304</v>
      </c>
    </row>
    <row r="92" spans="1:7" x14ac:dyDescent="0.35">
      <c r="A92" s="1">
        <v>91</v>
      </c>
      <c r="B92" t="s">
        <v>92</v>
      </c>
      <c r="C92">
        <v>9</v>
      </c>
      <c r="D92">
        <v>1</v>
      </c>
      <c r="E92">
        <v>2017</v>
      </c>
      <c r="F92">
        <v>349.99</v>
      </c>
      <c r="G92" t="s">
        <v>304</v>
      </c>
    </row>
    <row r="93" spans="1:7" x14ac:dyDescent="0.35">
      <c r="A93" s="1">
        <v>92</v>
      </c>
      <c r="B93" t="s">
        <v>93</v>
      </c>
      <c r="C93">
        <v>2</v>
      </c>
      <c r="D93">
        <v>1</v>
      </c>
      <c r="E93">
        <v>2017</v>
      </c>
      <c r="F93">
        <v>209.99</v>
      </c>
      <c r="G93" t="s">
        <v>304</v>
      </c>
    </row>
    <row r="94" spans="1:7" x14ac:dyDescent="0.35">
      <c r="A94" s="1">
        <v>93</v>
      </c>
      <c r="B94" t="s">
        <v>94</v>
      </c>
      <c r="C94">
        <v>2</v>
      </c>
      <c r="D94">
        <v>1</v>
      </c>
      <c r="E94">
        <v>2017</v>
      </c>
      <c r="F94">
        <v>209.99</v>
      </c>
      <c r="G94" t="s">
        <v>304</v>
      </c>
    </row>
    <row r="95" spans="1:7" x14ac:dyDescent="0.35">
      <c r="A95" s="1">
        <v>94</v>
      </c>
      <c r="B95" t="s">
        <v>95</v>
      </c>
      <c r="C95">
        <v>2</v>
      </c>
      <c r="D95">
        <v>1</v>
      </c>
      <c r="E95">
        <v>2017</v>
      </c>
      <c r="F95">
        <v>249.99</v>
      </c>
      <c r="G95" t="s">
        <v>304</v>
      </c>
    </row>
    <row r="96" spans="1:7" x14ac:dyDescent="0.35">
      <c r="A96" s="1">
        <v>95</v>
      </c>
      <c r="B96" t="s">
        <v>77</v>
      </c>
      <c r="C96">
        <v>1</v>
      </c>
      <c r="D96">
        <v>1</v>
      </c>
      <c r="E96">
        <v>2017</v>
      </c>
      <c r="F96">
        <v>299.99</v>
      </c>
      <c r="G96" t="s">
        <v>304</v>
      </c>
    </row>
    <row r="97" spans="1:7" x14ac:dyDescent="0.35">
      <c r="A97" s="1">
        <v>96</v>
      </c>
      <c r="B97" t="s">
        <v>96</v>
      </c>
      <c r="C97">
        <v>1</v>
      </c>
      <c r="D97">
        <v>1</v>
      </c>
      <c r="E97">
        <v>2017</v>
      </c>
      <c r="F97">
        <v>349.99</v>
      </c>
      <c r="G97" t="s">
        <v>304</v>
      </c>
    </row>
    <row r="98" spans="1:7" x14ac:dyDescent="0.35">
      <c r="A98" s="1">
        <v>97</v>
      </c>
      <c r="B98" t="s">
        <v>97</v>
      </c>
      <c r="C98">
        <v>1</v>
      </c>
      <c r="D98">
        <v>1</v>
      </c>
      <c r="E98">
        <v>2017</v>
      </c>
      <c r="F98">
        <v>349.99</v>
      </c>
      <c r="G98" t="s">
        <v>304</v>
      </c>
    </row>
    <row r="99" spans="1:7" x14ac:dyDescent="0.35">
      <c r="A99" s="1">
        <v>98</v>
      </c>
      <c r="B99" t="s">
        <v>98</v>
      </c>
      <c r="C99">
        <v>1</v>
      </c>
      <c r="D99">
        <v>1</v>
      </c>
      <c r="E99">
        <v>2017</v>
      </c>
      <c r="F99">
        <v>489.99</v>
      </c>
      <c r="G99" t="s">
        <v>304</v>
      </c>
    </row>
    <row r="100" spans="1:7" x14ac:dyDescent="0.35">
      <c r="A100" s="1">
        <v>99</v>
      </c>
      <c r="B100" t="s">
        <v>99</v>
      </c>
      <c r="C100">
        <v>1</v>
      </c>
      <c r="D100">
        <v>1</v>
      </c>
      <c r="E100">
        <v>2017</v>
      </c>
      <c r="F100">
        <v>299.99</v>
      </c>
      <c r="G100" t="s">
        <v>304</v>
      </c>
    </row>
    <row r="101" spans="1:7" x14ac:dyDescent="0.35">
      <c r="A101" s="1">
        <v>100</v>
      </c>
      <c r="B101" t="s">
        <v>100</v>
      </c>
      <c r="C101">
        <v>1</v>
      </c>
      <c r="D101">
        <v>1</v>
      </c>
      <c r="E101">
        <v>2017</v>
      </c>
      <c r="F101">
        <v>489.99</v>
      </c>
      <c r="G101" t="s">
        <v>304</v>
      </c>
    </row>
    <row r="102" spans="1:7" x14ac:dyDescent="0.35">
      <c r="A102" s="1">
        <v>101</v>
      </c>
      <c r="B102" t="s">
        <v>101</v>
      </c>
      <c r="C102">
        <v>1</v>
      </c>
      <c r="D102">
        <v>1</v>
      </c>
      <c r="E102">
        <v>2017</v>
      </c>
      <c r="F102">
        <v>339.99</v>
      </c>
      <c r="G102" t="s">
        <v>304</v>
      </c>
    </row>
    <row r="103" spans="1:7" x14ac:dyDescent="0.35">
      <c r="A103" s="1">
        <v>102</v>
      </c>
      <c r="B103" t="s">
        <v>65</v>
      </c>
      <c r="C103">
        <v>1</v>
      </c>
      <c r="D103">
        <v>2</v>
      </c>
      <c r="E103">
        <v>2017</v>
      </c>
      <c r="F103">
        <v>489.99</v>
      </c>
      <c r="G103" t="s">
        <v>304</v>
      </c>
    </row>
    <row r="104" spans="1:7" x14ac:dyDescent="0.35">
      <c r="A104" s="1">
        <v>103</v>
      </c>
      <c r="B104" t="s">
        <v>102</v>
      </c>
      <c r="C104">
        <v>7</v>
      </c>
      <c r="D104">
        <v>2</v>
      </c>
      <c r="E104">
        <v>2017</v>
      </c>
      <c r="F104">
        <v>551.99</v>
      </c>
      <c r="G104" t="s">
        <v>304</v>
      </c>
    </row>
    <row r="105" spans="1:7" x14ac:dyDescent="0.35">
      <c r="A105" s="1">
        <v>104</v>
      </c>
      <c r="B105" t="s">
        <v>103</v>
      </c>
      <c r="C105">
        <v>7</v>
      </c>
      <c r="D105">
        <v>2</v>
      </c>
      <c r="E105">
        <v>2017</v>
      </c>
      <c r="F105">
        <v>481.99</v>
      </c>
      <c r="G105" t="s">
        <v>304</v>
      </c>
    </row>
    <row r="106" spans="1:7" x14ac:dyDescent="0.35">
      <c r="A106" s="1">
        <v>105</v>
      </c>
      <c r="B106" t="s">
        <v>104</v>
      </c>
      <c r="C106">
        <v>7</v>
      </c>
      <c r="D106">
        <v>2</v>
      </c>
      <c r="E106">
        <v>2017</v>
      </c>
      <c r="F106">
        <v>533.99</v>
      </c>
      <c r="G106" t="s">
        <v>304</v>
      </c>
    </row>
    <row r="107" spans="1:7" x14ac:dyDescent="0.35">
      <c r="A107" s="1">
        <v>106</v>
      </c>
      <c r="B107" t="s">
        <v>69</v>
      </c>
      <c r="C107">
        <v>7</v>
      </c>
      <c r="D107">
        <v>2</v>
      </c>
      <c r="E107">
        <v>2017</v>
      </c>
      <c r="F107">
        <v>449.99</v>
      </c>
      <c r="G107" t="s">
        <v>304</v>
      </c>
    </row>
    <row r="108" spans="1:7" x14ac:dyDescent="0.35">
      <c r="A108" s="1">
        <v>107</v>
      </c>
      <c r="B108" t="s">
        <v>70</v>
      </c>
      <c r="C108">
        <v>7</v>
      </c>
      <c r="D108">
        <v>2</v>
      </c>
      <c r="E108">
        <v>2017</v>
      </c>
      <c r="F108">
        <v>416.99</v>
      </c>
      <c r="G108" t="s">
        <v>304</v>
      </c>
    </row>
    <row r="109" spans="1:7" x14ac:dyDescent="0.35">
      <c r="A109" s="1">
        <v>108</v>
      </c>
      <c r="B109" t="s">
        <v>105</v>
      </c>
      <c r="C109">
        <v>7</v>
      </c>
      <c r="D109">
        <v>2</v>
      </c>
      <c r="E109">
        <v>2017</v>
      </c>
      <c r="F109">
        <v>449.99</v>
      </c>
      <c r="G109" t="s">
        <v>304</v>
      </c>
    </row>
    <row r="110" spans="1:7" x14ac:dyDescent="0.35">
      <c r="A110" s="1">
        <v>109</v>
      </c>
      <c r="B110" t="s">
        <v>106</v>
      </c>
      <c r="C110">
        <v>7</v>
      </c>
      <c r="D110">
        <v>2</v>
      </c>
      <c r="E110">
        <v>2017</v>
      </c>
      <c r="F110">
        <v>416.99</v>
      </c>
      <c r="G110" t="s">
        <v>304</v>
      </c>
    </row>
    <row r="111" spans="1:7" x14ac:dyDescent="0.35">
      <c r="A111" s="1">
        <v>110</v>
      </c>
      <c r="B111" t="s">
        <v>107</v>
      </c>
      <c r="C111">
        <v>7</v>
      </c>
      <c r="D111">
        <v>2</v>
      </c>
      <c r="E111">
        <v>2017</v>
      </c>
      <c r="F111">
        <v>470.99</v>
      </c>
      <c r="G111" t="s">
        <v>304</v>
      </c>
    </row>
    <row r="112" spans="1:7" x14ac:dyDescent="0.35">
      <c r="A112" s="1">
        <v>111</v>
      </c>
      <c r="B112" t="s">
        <v>108</v>
      </c>
      <c r="C112">
        <v>7</v>
      </c>
      <c r="D112">
        <v>2</v>
      </c>
      <c r="E112">
        <v>2017</v>
      </c>
      <c r="F112">
        <v>470.99</v>
      </c>
      <c r="G112" t="s">
        <v>304</v>
      </c>
    </row>
    <row r="113" spans="1:7" x14ac:dyDescent="0.35">
      <c r="A113" s="1">
        <v>112</v>
      </c>
      <c r="B113" t="s">
        <v>109</v>
      </c>
      <c r="C113">
        <v>9</v>
      </c>
      <c r="D113">
        <v>6</v>
      </c>
      <c r="E113">
        <v>2018</v>
      </c>
      <c r="F113">
        <v>379.99</v>
      </c>
      <c r="G113" t="s">
        <v>304</v>
      </c>
    </row>
    <row r="114" spans="1:7" x14ac:dyDescent="0.35">
      <c r="A114" s="1">
        <v>113</v>
      </c>
      <c r="B114" t="s">
        <v>110</v>
      </c>
      <c r="C114">
        <v>9</v>
      </c>
      <c r="D114">
        <v>6</v>
      </c>
      <c r="E114">
        <v>2018</v>
      </c>
      <c r="F114">
        <v>489.99</v>
      </c>
      <c r="G114" t="s">
        <v>304</v>
      </c>
    </row>
    <row r="115" spans="1:7" x14ac:dyDescent="0.35">
      <c r="A115" s="1">
        <v>114</v>
      </c>
      <c r="B115" t="s">
        <v>111</v>
      </c>
      <c r="C115">
        <v>9</v>
      </c>
      <c r="D115">
        <v>6</v>
      </c>
      <c r="E115">
        <v>2018</v>
      </c>
      <c r="F115">
        <v>579.99</v>
      </c>
      <c r="G115" t="s">
        <v>304</v>
      </c>
    </row>
    <row r="116" spans="1:7" x14ac:dyDescent="0.35">
      <c r="A116" s="1">
        <v>115</v>
      </c>
      <c r="B116" t="s">
        <v>112</v>
      </c>
      <c r="C116">
        <v>9</v>
      </c>
      <c r="D116">
        <v>6</v>
      </c>
      <c r="E116">
        <v>2018</v>
      </c>
      <c r="F116">
        <v>3199.99</v>
      </c>
      <c r="G116" t="s">
        <v>304</v>
      </c>
    </row>
    <row r="117" spans="1:7" x14ac:dyDescent="0.35">
      <c r="A117" s="1">
        <v>116</v>
      </c>
      <c r="B117" t="s">
        <v>113</v>
      </c>
      <c r="C117">
        <v>9</v>
      </c>
      <c r="D117">
        <v>6</v>
      </c>
      <c r="E117">
        <v>2018</v>
      </c>
      <c r="F117">
        <v>749.99</v>
      </c>
      <c r="G117" t="s">
        <v>304</v>
      </c>
    </row>
    <row r="118" spans="1:7" x14ac:dyDescent="0.35">
      <c r="A118" s="1">
        <v>117</v>
      </c>
      <c r="B118" t="s">
        <v>114</v>
      </c>
      <c r="C118">
        <v>9</v>
      </c>
      <c r="D118">
        <v>6</v>
      </c>
      <c r="E118">
        <v>2018</v>
      </c>
      <c r="F118">
        <v>1469.99</v>
      </c>
      <c r="G118" t="s">
        <v>304</v>
      </c>
    </row>
    <row r="119" spans="1:7" x14ac:dyDescent="0.35">
      <c r="A119" s="1">
        <v>118</v>
      </c>
      <c r="B119" t="s">
        <v>115</v>
      </c>
      <c r="C119">
        <v>9</v>
      </c>
      <c r="D119">
        <v>6</v>
      </c>
      <c r="E119">
        <v>2018</v>
      </c>
      <c r="F119">
        <v>999.99</v>
      </c>
      <c r="G119" t="s">
        <v>304</v>
      </c>
    </row>
    <row r="120" spans="1:7" x14ac:dyDescent="0.35">
      <c r="A120" s="1">
        <v>119</v>
      </c>
      <c r="B120" t="s">
        <v>116</v>
      </c>
      <c r="C120">
        <v>9</v>
      </c>
      <c r="D120">
        <v>6</v>
      </c>
      <c r="E120">
        <v>2018</v>
      </c>
      <c r="F120">
        <v>469.99</v>
      </c>
      <c r="G120" t="s">
        <v>304</v>
      </c>
    </row>
    <row r="121" spans="1:7" x14ac:dyDescent="0.35">
      <c r="A121" s="1">
        <v>120</v>
      </c>
      <c r="B121" t="s">
        <v>117</v>
      </c>
      <c r="C121">
        <v>9</v>
      </c>
      <c r="D121">
        <v>6</v>
      </c>
      <c r="E121">
        <v>2018</v>
      </c>
      <c r="F121">
        <v>2499.9899999999998</v>
      </c>
      <c r="G121" t="s">
        <v>304</v>
      </c>
    </row>
    <row r="122" spans="1:7" x14ac:dyDescent="0.35">
      <c r="A122" s="1">
        <v>121</v>
      </c>
      <c r="B122" t="s">
        <v>118</v>
      </c>
      <c r="C122">
        <v>8</v>
      </c>
      <c r="D122">
        <v>6</v>
      </c>
      <c r="E122">
        <v>2018</v>
      </c>
      <c r="F122">
        <v>2499.9899999999998</v>
      </c>
      <c r="G122" t="s">
        <v>304</v>
      </c>
    </row>
    <row r="123" spans="1:7" x14ac:dyDescent="0.35">
      <c r="A123" s="1">
        <v>122</v>
      </c>
      <c r="B123" t="s">
        <v>119</v>
      </c>
      <c r="C123">
        <v>8</v>
      </c>
      <c r="D123">
        <v>6</v>
      </c>
      <c r="E123">
        <v>2018</v>
      </c>
      <c r="F123">
        <v>2499.9899999999998</v>
      </c>
      <c r="G123" t="s">
        <v>304</v>
      </c>
    </row>
    <row r="124" spans="1:7" x14ac:dyDescent="0.35">
      <c r="A124" s="1">
        <v>123</v>
      </c>
      <c r="B124" t="s">
        <v>120</v>
      </c>
      <c r="C124">
        <v>9</v>
      </c>
      <c r="D124">
        <v>6</v>
      </c>
      <c r="E124">
        <v>2018</v>
      </c>
      <c r="F124">
        <v>999.99</v>
      </c>
      <c r="G124" t="s">
        <v>304</v>
      </c>
    </row>
    <row r="125" spans="1:7" x14ac:dyDescent="0.35">
      <c r="A125" s="1">
        <v>124</v>
      </c>
      <c r="B125" t="s">
        <v>121</v>
      </c>
      <c r="C125">
        <v>8</v>
      </c>
      <c r="D125">
        <v>6</v>
      </c>
      <c r="E125">
        <v>2018</v>
      </c>
      <c r="F125">
        <v>1499</v>
      </c>
      <c r="G125" t="s">
        <v>304</v>
      </c>
    </row>
    <row r="126" spans="1:7" x14ac:dyDescent="0.35">
      <c r="A126" s="1">
        <v>125</v>
      </c>
      <c r="B126" t="s">
        <v>122</v>
      </c>
      <c r="C126">
        <v>9</v>
      </c>
      <c r="D126">
        <v>6</v>
      </c>
      <c r="E126">
        <v>2018</v>
      </c>
      <c r="F126">
        <v>469.99</v>
      </c>
      <c r="G126" t="s">
        <v>304</v>
      </c>
    </row>
    <row r="127" spans="1:7" x14ac:dyDescent="0.35">
      <c r="A127" s="1">
        <v>126</v>
      </c>
      <c r="B127" t="s">
        <v>123</v>
      </c>
      <c r="C127">
        <v>8</v>
      </c>
      <c r="D127">
        <v>6</v>
      </c>
      <c r="E127">
        <v>2018</v>
      </c>
      <c r="F127">
        <v>469.99</v>
      </c>
      <c r="G127" t="s">
        <v>304</v>
      </c>
    </row>
    <row r="128" spans="1:7" x14ac:dyDescent="0.35">
      <c r="A128" s="1">
        <v>127</v>
      </c>
      <c r="B128" t="s">
        <v>124</v>
      </c>
      <c r="C128">
        <v>8</v>
      </c>
      <c r="D128">
        <v>6</v>
      </c>
      <c r="E128">
        <v>2018</v>
      </c>
      <c r="F128">
        <v>469.99</v>
      </c>
      <c r="G128" t="s">
        <v>304</v>
      </c>
    </row>
    <row r="129" spans="1:7" x14ac:dyDescent="0.35">
      <c r="A129" s="1">
        <v>128</v>
      </c>
      <c r="B129" t="s">
        <v>125</v>
      </c>
      <c r="C129">
        <v>8</v>
      </c>
      <c r="D129">
        <v>6</v>
      </c>
      <c r="E129">
        <v>2018</v>
      </c>
      <c r="F129">
        <v>1899</v>
      </c>
      <c r="G129" t="s">
        <v>304</v>
      </c>
    </row>
    <row r="130" spans="1:7" x14ac:dyDescent="0.35">
      <c r="A130" s="1">
        <v>129</v>
      </c>
      <c r="B130" t="s">
        <v>126</v>
      </c>
      <c r="C130">
        <v>9</v>
      </c>
      <c r="D130">
        <v>6</v>
      </c>
      <c r="E130">
        <v>2018</v>
      </c>
      <c r="F130">
        <v>919.99</v>
      </c>
      <c r="G130" t="s">
        <v>304</v>
      </c>
    </row>
    <row r="131" spans="1:7" x14ac:dyDescent="0.35">
      <c r="A131" s="1">
        <v>130</v>
      </c>
      <c r="B131" t="s">
        <v>127</v>
      </c>
      <c r="C131">
        <v>9</v>
      </c>
      <c r="D131">
        <v>6</v>
      </c>
      <c r="E131">
        <v>2018</v>
      </c>
      <c r="F131">
        <v>919.99</v>
      </c>
      <c r="G131" t="s">
        <v>304</v>
      </c>
    </row>
    <row r="132" spans="1:7" x14ac:dyDescent="0.35">
      <c r="A132" s="1">
        <v>131</v>
      </c>
      <c r="B132" t="s">
        <v>128</v>
      </c>
      <c r="C132">
        <v>3</v>
      </c>
      <c r="D132">
        <v>6</v>
      </c>
      <c r="E132">
        <v>2018</v>
      </c>
      <c r="F132">
        <v>2599</v>
      </c>
      <c r="G132" t="s">
        <v>304</v>
      </c>
    </row>
    <row r="133" spans="1:7" x14ac:dyDescent="0.35">
      <c r="A133" s="1">
        <v>132</v>
      </c>
      <c r="B133" t="s">
        <v>129</v>
      </c>
      <c r="C133">
        <v>9</v>
      </c>
      <c r="D133">
        <v>6</v>
      </c>
      <c r="E133">
        <v>2018</v>
      </c>
      <c r="F133">
        <v>1499.99</v>
      </c>
      <c r="G133" t="s">
        <v>304</v>
      </c>
    </row>
    <row r="134" spans="1:7" x14ac:dyDescent="0.35">
      <c r="A134" s="1">
        <v>133</v>
      </c>
      <c r="B134" t="s">
        <v>130</v>
      </c>
      <c r="C134">
        <v>9</v>
      </c>
      <c r="D134">
        <v>6</v>
      </c>
      <c r="E134">
        <v>2018</v>
      </c>
      <c r="F134">
        <v>1499.99</v>
      </c>
      <c r="G134" t="s">
        <v>304</v>
      </c>
    </row>
    <row r="135" spans="1:7" x14ac:dyDescent="0.35">
      <c r="A135" s="1">
        <v>134</v>
      </c>
      <c r="B135" t="s">
        <v>131</v>
      </c>
      <c r="C135">
        <v>9</v>
      </c>
      <c r="D135">
        <v>6</v>
      </c>
      <c r="E135">
        <v>2018</v>
      </c>
      <c r="F135">
        <v>1499.99</v>
      </c>
      <c r="G135" t="s">
        <v>304</v>
      </c>
    </row>
    <row r="136" spans="1:7" x14ac:dyDescent="0.35">
      <c r="A136" s="1">
        <v>135</v>
      </c>
      <c r="B136" t="s">
        <v>132</v>
      </c>
      <c r="C136">
        <v>9</v>
      </c>
      <c r="D136">
        <v>6</v>
      </c>
      <c r="E136">
        <v>2018</v>
      </c>
      <c r="F136">
        <v>1499.99</v>
      </c>
      <c r="G136" t="s">
        <v>304</v>
      </c>
    </row>
    <row r="137" spans="1:7" x14ac:dyDescent="0.35">
      <c r="A137" s="1">
        <v>136</v>
      </c>
      <c r="B137" t="s">
        <v>133</v>
      </c>
      <c r="C137">
        <v>9</v>
      </c>
      <c r="D137">
        <v>6</v>
      </c>
      <c r="E137">
        <v>2018</v>
      </c>
      <c r="F137">
        <v>1799.99</v>
      </c>
      <c r="G137" t="s">
        <v>304</v>
      </c>
    </row>
    <row r="138" spans="1:7" x14ac:dyDescent="0.35">
      <c r="A138" s="1">
        <v>137</v>
      </c>
      <c r="B138" t="s">
        <v>134</v>
      </c>
      <c r="C138">
        <v>3</v>
      </c>
      <c r="D138">
        <v>6</v>
      </c>
      <c r="E138">
        <v>2018</v>
      </c>
      <c r="F138">
        <v>2599</v>
      </c>
      <c r="G138" t="s">
        <v>304</v>
      </c>
    </row>
    <row r="139" spans="1:7" x14ac:dyDescent="0.35">
      <c r="A139" s="1">
        <v>138</v>
      </c>
      <c r="B139" t="s">
        <v>135</v>
      </c>
      <c r="C139">
        <v>9</v>
      </c>
      <c r="D139">
        <v>6</v>
      </c>
      <c r="E139">
        <v>2018</v>
      </c>
      <c r="F139">
        <v>2249.9899999999998</v>
      </c>
      <c r="G139" t="s">
        <v>304</v>
      </c>
    </row>
    <row r="140" spans="1:7" x14ac:dyDescent="0.35">
      <c r="A140" s="1">
        <v>139</v>
      </c>
      <c r="B140" t="s">
        <v>136</v>
      </c>
      <c r="C140">
        <v>9</v>
      </c>
      <c r="D140">
        <v>6</v>
      </c>
      <c r="E140">
        <v>2018</v>
      </c>
      <c r="F140">
        <v>2999.99</v>
      </c>
      <c r="G140" t="s">
        <v>304</v>
      </c>
    </row>
    <row r="141" spans="1:7" x14ac:dyDescent="0.35">
      <c r="A141" s="1">
        <v>140</v>
      </c>
      <c r="B141" t="s">
        <v>137</v>
      </c>
      <c r="C141">
        <v>9</v>
      </c>
      <c r="D141">
        <v>6</v>
      </c>
      <c r="E141">
        <v>2018</v>
      </c>
      <c r="F141">
        <v>4999.99</v>
      </c>
      <c r="G141" t="s">
        <v>304</v>
      </c>
    </row>
    <row r="142" spans="1:7" x14ac:dyDescent="0.35">
      <c r="A142" s="1">
        <v>141</v>
      </c>
      <c r="B142" t="s">
        <v>138</v>
      </c>
      <c r="C142">
        <v>9</v>
      </c>
      <c r="D142">
        <v>6</v>
      </c>
      <c r="E142">
        <v>2018</v>
      </c>
      <c r="F142">
        <v>1599.99</v>
      </c>
      <c r="G142" t="s">
        <v>304</v>
      </c>
    </row>
    <row r="143" spans="1:7" x14ac:dyDescent="0.35">
      <c r="A143" s="1">
        <v>142</v>
      </c>
      <c r="B143" t="s">
        <v>139</v>
      </c>
      <c r="C143">
        <v>9</v>
      </c>
      <c r="D143">
        <v>6</v>
      </c>
      <c r="E143">
        <v>2018</v>
      </c>
      <c r="F143">
        <v>3199.99</v>
      </c>
      <c r="G143" t="s">
        <v>304</v>
      </c>
    </row>
    <row r="144" spans="1:7" x14ac:dyDescent="0.35">
      <c r="A144" s="1">
        <v>143</v>
      </c>
      <c r="B144" t="s">
        <v>140</v>
      </c>
      <c r="C144">
        <v>9</v>
      </c>
      <c r="D144">
        <v>7</v>
      </c>
      <c r="E144">
        <v>2018</v>
      </c>
      <c r="F144">
        <v>1099.99</v>
      </c>
      <c r="G144" t="s">
        <v>304</v>
      </c>
    </row>
    <row r="145" spans="1:7" x14ac:dyDescent="0.35">
      <c r="A145" s="1">
        <v>144</v>
      </c>
      <c r="B145" t="s">
        <v>141</v>
      </c>
      <c r="C145">
        <v>9</v>
      </c>
      <c r="D145">
        <v>7</v>
      </c>
      <c r="E145">
        <v>2018</v>
      </c>
      <c r="F145">
        <v>1549.99</v>
      </c>
      <c r="G145" t="s">
        <v>304</v>
      </c>
    </row>
    <row r="146" spans="1:7" x14ac:dyDescent="0.35">
      <c r="A146" s="1">
        <v>145</v>
      </c>
      <c r="B146" t="s">
        <v>142</v>
      </c>
      <c r="C146">
        <v>9</v>
      </c>
      <c r="D146">
        <v>7</v>
      </c>
      <c r="E146">
        <v>2018</v>
      </c>
      <c r="F146">
        <v>1799.99</v>
      </c>
      <c r="G146" t="s">
        <v>304</v>
      </c>
    </row>
    <row r="147" spans="1:7" x14ac:dyDescent="0.35">
      <c r="A147" s="1">
        <v>146</v>
      </c>
      <c r="B147" t="s">
        <v>143</v>
      </c>
      <c r="C147">
        <v>9</v>
      </c>
      <c r="D147">
        <v>7</v>
      </c>
      <c r="E147">
        <v>2018</v>
      </c>
      <c r="F147">
        <v>4999.99</v>
      </c>
      <c r="G147" t="s">
        <v>304</v>
      </c>
    </row>
    <row r="148" spans="1:7" x14ac:dyDescent="0.35">
      <c r="A148" s="1">
        <v>147</v>
      </c>
      <c r="B148" t="s">
        <v>144</v>
      </c>
      <c r="C148">
        <v>9</v>
      </c>
      <c r="D148">
        <v>7</v>
      </c>
      <c r="E148">
        <v>2018</v>
      </c>
      <c r="F148">
        <v>1799.99</v>
      </c>
      <c r="G148" t="s">
        <v>304</v>
      </c>
    </row>
    <row r="149" spans="1:7" x14ac:dyDescent="0.35">
      <c r="A149" s="1">
        <v>148</v>
      </c>
      <c r="B149" t="s">
        <v>145</v>
      </c>
      <c r="C149">
        <v>9</v>
      </c>
      <c r="D149">
        <v>7</v>
      </c>
      <c r="E149">
        <v>2018</v>
      </c>
      <c r="F149">
        <v>5499.99</v>
      </c>
      <c r="G149" t="s">
        <v>304</v>
      </c>
    </row>
    <row r="150" spans="1:7" x14ac:dyDescent="0.35">
      <c r="A150" s="1">
        <v>149</v>
      </c>
      <c r="B150" t="s">
        <v>146</v>
      </c>
      <c r="C150">
        <v>9</v>
      </c>
      <c r="D150">
        <v>7</v>
      </c>
      <c r="E150">
        <v>2018</v>
      </c>
      <c r="F150">
        <v>7499.99</v>
      </c>
      <c r="G150" t="s">
        <v>304</v>
      </c>
    </row>
    <row r="151" spans="1:7" x14ac:dyDescent="0.35">
      <c r="A151" s="1">
        <v>150</v>
      </c>
      <c r="B151" t="s">
        <v>147</v>
      </c>
      <c r="C151">
        <v>9</v>
      </c>
      <c r="D151">
        <v>7</v>
      </c>
      <c r="E151">
        <v>2018</v>
      </c>
      <c r="F151">
        <v>4499.99</v>
      </c>
      <c r="G151" t="s">
        <v>304</v>
      </c>
    </row>
    <row r="152" spans="1:7" x14ac:dyDescent="0.35">
      <c r="A152" s="1">
        <v>151</v>
      </c>
      <c r="B152" t="s">
        <v>148</v>
      </c>
      <c r="C152">
        <v>9</v>
      </c>
      <c r="D152">
        <v>7</v>
      </c>
      <c r="E152">
        <v>2018</v>
      </c>
      <c r="F152">
        <v>1549.99</v>
      </c>
      <c r="G152" t="s">
        <v>304</v>
      </c>
    </row>
    <row r="153" spans="1:7" x14ac:dyDescent="0.35">
      <c r="A153" s="1">
        <v>152</v>
      </c>
      <c r="B153" t="s">
        <v>149</v>
      </c>
      <c r="C153">
        <v>9</v>
      </c>
      <c r="D153">
        <v>7</v>
      </c>
      <c r="E153">
        <v>2018</v>
      </c>
      <c r="F153">
        <v>2499.9899999999998</v>
      </c>
      <c r="G153" t="s">
        <v>304</v>
      </c>
    </row>
    <row r="154" spans="1:7" x14ac:dyDescent="0.35">
      <c r="A154" s="1">
        <v>153</v>
      </c>
      <c r="B154" t="s">
        <v>150</v>
      </c>
      <c r="C154">
        <v>9</v>
      </c>
      <c r="D154">
        <v>7</v>
      </c>
      <c r="E154">
        <v>2018</v>
      </c>
      <c r="F154">
        <v>4999.99</v>
      </c>
      <c r="G154" t="s">
        <v>304</v>
      </c>
    </row>
    <row r="155" spans="1:7" x14ac:dyDescent="0.35">
      <c r="A155" s="1">
        <v>154</v>
      </c>
      <c r="B155" t="s">
        <v>151</v>
      </c>
      <c r="C155">
        <v>9</v>
      </c>
      <c r="D155">
        <v>7</v>
      </c>
      <c r="E155">
        <v>2018</v>
      </c>
      <c r="F155">
        <v>5499.99</v>
      </c>
      <c r="G155" t="s">
        <v>304</v>
      </c>
    </row>
    <row r="156" spans="1:7" x14ac:dyDescent="0.35">
      <c r="A156" s="1">
        <v>155</v>
      </c>
      <c r="B156" t="s">
        <v>152</v>
      </c>
      <c r="C156">
        <v>9</v>
      </c>
      <c r="D156">
        <v>7</v>
      </c>
      <c r="E156">
        <v>2018</v>
      </c>
      <c r="F156">
        <v>11999.99</v>
      </c>
      <c r="G156" t="s">
        <v>304</v>
      </c>
    </row>
    <row r="157" spans="1:7" x14ac:dyDescent="0.35">
      <c r="A157" s="1">
        <v>156</v>
      </c>
      <c r="B157" t="s">
        <v>153</v>
      </c>
      <c r="C157">
        <v>9</v>
      </c>
      <c r="D157">
        <v>7</v>
      </c>
      <c r="E157">
        <v>2018</v>
      </c>
      <c r="F157">
        <v>6499.99</v>
      </c>
      <c r="G157" t="s">
        <v>304</v>
      </c>
    </row>
    <row r="158" spans="1:7" x14ac:dyDescent="0.35">
      <c r="A158" s="1">
        <v>157</v>
      </c>
      <c r="B158" t="s">
        <v>154</v>
      </c>
      <c r="C158">
        <v>9</v>
      </c>
      <c r="D158">
        <v>7</v>
      </c>
      <c r="E158">
        <v>2018</v>
      </c>
      <c r="F158">
        <v>6499.99</v>
      </c>
      <c r="G158" t="s">
        <v>304</v>
      </c>
    </row>
    <row r="159" spans="1:7" x14ac:dyDescent="0.35">
      <c r="A159" s="1">
        <v>158</v>
      </c>
      <c r="B159" t="s">
        <v>155</v>
      </c>
      <c r="C159">
        <v>9</v>
      </c>
      <c r="D159">
        <v>7</v>
      </c>
      <c r="E159">
        <v>2018</v>
      </c>
      <c r="F159">
        <v>959.99</v>
      </c>
      <c r="G159" t="s">
        <v>304</v>
      </c>
    </row>
    <row r="160" spans="1:7" x14ac:dyDescent="0.35">
      <c r="A160" s="1">
        <v>159</v>
      </c>
      <c r="B160" t="s">
        <v>156</v>
      </c>
      <c r="C160">
        <v>9</v>
      </c>
      <c r="D160">
        <v>7</v>
      </c>
      <c r="E160">
        <v>2018</v>
      </c>
      <c r="F160">
        <v>2299.9899999999998</v>
      </c>
      <c r="G160" t="s">
        <v>304</v>
      </c>
    </row>
    <row r="161" spans="1:7" x14ac:dyDescent="0.35">
      <c r="A161" s="1">
        <v>160</v>
      </c>
      <c r="B161" t="s">
        <v>157</v>
      </c>
      <c r="C161">
        <v>9</v>
      </c>
      <c r="D161">
        <v>7</v>
      </c>
      <c r="E161">
        <v>2018</v>
      </c>
      <c r="F161">
        <v>4499.99</v>
      </c>
      <c r="G161" t="s">
        <v>304</v>
      </c>
    </row>
    <row r="162" spans="1:7" x14ac:dyDescent="0.35">
      <c r="A162" s="1">
        <v>161</v>
      </c>
      <c r="B162" t="s">
        <v>158</v>
      </c>
      <c r="C162">
        <v>8</v>
      </c>
      <c r="D162">
        <v>7</v>
      </c>
      <c r="E162">
        <v>2018</v>
      </c>
      <c r="F162">
        <v>1899</v>
      </c>
      <c r="G162" t="s">
        <v>304</v>
      </c>
    </row>
    <row r="163" spans="1:7" x14ac:dyDescent="0.35">
      <c r="A163" s="1">
        <v>162</v>
      </c>
      <c r="B163" t="s">
        <v>159</v>
      </c>
      <c r="C163">
        <v>9</v>
      </c>
      <c r="D163">
        <v>7</v>
      </c>
      <c r="E163">
        <v>2018</v>
      </c>
      <c r="F163">
        <v>2999.99</v>
      </c>
      <c r="G163" t="s">
        <v>304</v>
      </c>
    </row>
    <row r="164" spans="1:7" x14ac:dyDescent="0.35">
      <c r="A164" s="1">
        <v>163</v>
      </c>
      <c r="B164" t="s">
        <v>160</v>
      </c>
      <c r="C164">
        <v>8</v>
      </c>
      <c r="D164">
        <v>7</v>
      </c>
      <c r="E164">
        <v>2018</v>
      </c>
      <c r="F164">
        <v>1349</v>
      </c>
      <c r="G164" t="s">
        <v>304</v>
      </c>
    </row>
    <row r="165" spans="1:7" x14ac:dyDescent="0.35">
      <c r="A165" s="1">
        <v>164</v>
      </c>
      <c r="B165" t="s">
        <v>161</v>
      </c>
      <c r="C165">
        <v>8</v>
      </c>
      <c r="D165">
        <v>7</v>
      </c>
      <c r="E165">
        <v>2018</v>
      </c>
      <c r="F165">
        <v>1549</v>
      </c>
      <c r="G165" t="s">
        <v>304</v>
      </c>
    </row>
    <row r="166" spans="1:7" x14ac:dyDescent="0.35">
      <c r="A166" s="1">
        <v>165</v>
      </c>
      <c r="B166" t="s">
        <v>162</v>
      </c>
      <c r="C166">
        <v>9</v>
      </c>
      <c r="D166">
        <v>7</v>
      </c>
      <c r="E166">
        <v>2018</v>
      </c>
      <c r="F166">
        <v>2499.9899999999998</v>
      </c>
      <c r="G166" t="s">
        <v>304</v>
      </c>
    </row>
    <row r="167" spans="1:7" x14ac:dyDescent="0.35">
      <c r="A167" s="1">
        <v>166</v>
      </c>
      <c r="B167" t="s">
        <v>163</v>
      </c>
      <c r="C167">
        <v>9</v>
      </c>
      <c r="D167">
        <v>7</v>
      </c>
      <c r="E167">
        <v>2018</v>
      </c>
      <c r="F167">
        <v>749.99</v>
      </c>
      <c r="G167" t="s">
        <v>304</v>
      </c>
    </row>
    <row r="168" spans="1:7" x14ac:dyDescent="0.35">
      <c r="A168" s="1">
        <v>167</v>
      </c>
      <c r="B168" t="s">
        <v>164</v>
      </c>
      <c r="C168">
        <v>8</v>
      </c>
      <c r="D168">
        <v>7</v>
      </c>
      <c r="E168">
        <v>2018</v>
      </c>
      <c r="F168">
        <v>749.99</v>
      </c>
      <c r="G168" t="s">
        <v>304</v>
      </c>
    </row>
    <row r="169" spans="1:7" x14ac:dyDescent="0.35">
      <c r="A169" s="1">
        <v>168</v>
      </c>
      <c r="B169" t="s">
        <v>165</v>
      </c>
      <c r="C169">
        <v>8</v>
      </c>
      <c r="D169">
        <v>7</v>
      </c>
      <c r="E169">
        <v>2018</v>
      </c>
      <c r="F169">
        <v>1549</v>
      </c>
      <c r="G169" t="s">
        <v>304</v>
      </c>
    </row>
    <row r="170" spans="1:7" x14ac:dyDescent="0.35">
      <c r="A170" s="1">
        <v>169</v>
      </c>
      <c r="B170" t="s">
        <v>166</v>
      </c>
      <c r="C170">
        <v>9</v>
      </c>
      <c r="D170">
        <v>7</v>
      </c>
      <c r="E170">
        <v>2018</v>
      </c>
      <c r="F170">
        <v>6499.99</v>
      </c>
      <c r="G170" t="s">
        <v>304</v>
      </c>
    </row>
    <row r="171" spans="1:7" x14ac:dyDescent="0.35">
      <c r="A171" s="1">
        <v>170</v>
      </c>
      <c r="B171" t="s">
        <v>167</v>
      </c>
      <c r="C171">
        <v>9</v>
      </c>
      <c r="D171">
        <v>7</v>
      </c>
      <c r="E171">
        <v>2018</v>
      </c>
      <c r="F171">
        <v>1299.99</v>
      </c>
      <c r="G171" t="s">
        <v>304</v>
      </c>
    </row>
    <row r="172" spans="1:7" x14ac:dyDescent="0.35">
      <c r="A172" s="1">
        <v>171</v>
      </c>
      <c r="B172" t="s">
        <v>168</v>
      </c>
      <c r="C172">
        <v>9</v>
      </c>
      <c r="D172">
        <v>7</v>
      </c>
      <c r="E172">
        <v>2018</v>
      </c>
      <c r="F172">
        <v>3199.99</v>
      </c>
      <c r="G172" t="s">
        <v>304</v>
      </c>
    </row>
    <row r="173" spans="1:7" x14ac:dyDescent="0.35">
      <c r="A173" s="1">
        <v>172</v>
      </c>
      <c r="B173" t="s">
        <v>169</v>
      </c>
      <c r="C173">
        <v>9</v>
      </c>
      <c r="D173">
        <v>7</v>
      </c>
      <c r="E173">
        <v>2018</v>
      </c>
      <c r="F173">
        <v>3199.99</v>
      </c>
      <c r="G173" t="s">
        <v>304</v>
      </c>
    </row>
    <row r="174" spans="1:7" x14ac:dyDescent="0.35">
      <c r="A174" s="1">
        <v>173</v>
      </c>
      <c r="B174" t="s">
        <v>170</v>
      </c>
      <c r="C174">
        <v>9</v>
      </c>
      <c r="D174">
        <v>7</v>
      </c>
      <c r="E174">
        <v>2018</v>
      </c>
      <c r="F174">
        <v>3199.99</v>
      </c>
      <c r="G174" t="s">
        <v>304</v>
      </c>
    </row>
    <row r="175" spans="1:7" x14ac:dyDescent="0.35">
      <c r="A175" s="1">
        <v>174</v>
      </c>
      <c r="B175" t="s">
        <v>171</v>
      </c>
      <c r="C175">
        <v>9</v>
      </c>
      <c r="D175">
        <v>7</v>
      </c>
      <c r="E175">
        <v>2018</v>
      </c>
      <c r="F175">
        <v>3199.99</v>
      </c>
      <c r="G175" t="s">
        <v>304</v>
      </c>
    </row>
    <row r="176" spans="1:7" x14ac:dyDescent="0.35">
      <c r="A176" s="1">
        <v>175</v>
      </c>
      <c r="B176" t="s">
        <v>172</v>
      </c>
      <c r="C176">
        <v>9</v>
      </c>
      <c r="D176">
        <v>7</v>
      </c>
      <c r="E176">
        <v>2018</v>
      </c>
      <c r="F176">
        <v>3199.99</v>
      </c>
      <c r="G176" t="s">
        <v>304</v>
      </c>
    </row>
    <row r="177" spans="1:7" x14ac:dyDescent="0.35">
      <c r="A177" s="1">
        <v>176</v>
      </c>
      <c r="B177" t="s">
        <v>173</v>
      </c>
      <c r="C177">
        <v>9</v>
      </c>
      <c r="D177">
        <v>7</v>
      </c>
      <c r="E177">
        <v>2018</v>
      </c>
      <c r="F177">
        <v>3199.99</v>
      </c>
      <c r="G177" t="s">
        <v>304</v>
      </c>
    </row>
    <row r="178" spans="1:7" x14ac:dyDescent="0.35">
      <c r="A178" s="1">
        <v>177</v>
      </c>
      <c r="B178" t="s">
        <v>174</v>
      </c>
      <c r="C178">
        <v>9</v>
      </c>
      <c r="D178">
        <v>7</v>
      </c>
      <c r="E178">
        <v>2018</v>
      </c>
      <c r="F178">
        <v>5499.99</v>
      </c>
      <c r="G178" t="s">
        <v>304</v>
      </c>
    </row>
    <row r="179" spans="1:7" x14ac:dyDescent="0.35">
      <c r="A179" s="1">
        <v>178</v>
      </c>
      <c r="B179" t="s">
        <v>175</v>
      </c>
      <c r="C179">
        <v>9</v>
      </c>
      <c r="D179">
        <v>7</v>
      </c>
      <c r="E179">
        <v>2018</v>
      </c>
      <c r="F179">
        <v>749.99</v>
      </c>
      <c r="G179" t="s">
        <v>304</v>
      </c>
    </row>
    <row r="180" spans="1:7" x14ac:dyDescent="0.35">
      <c r="A180" s="1">
        <v>179</v>
      </c>
      <c r="B180" t="s">
        <v>176</v>
      </c>
      <c r="C180">
        <v>9</v>
      </c>
      <c r="D180">
        <v>7</v>
      </c>
      <c r="E180">
        <v>2018</v>
      </c>
      <c r="F180">
        <v>919.99</v>
      </c>
      <c r="G180" t="s">
        <v>304</v>
      </c>
    </row>
    <row r="181" spans="1:7" x14ac:dyDescent="0.35">
      <c r="A181" s="1">
        <v>180</v>
      </c>
      <c r="B181" t="s">
        <v>177</v>
      </c>
      <c r="C181">
        <v>9</v>
      </c>
      <c r="D181">
        <v>7</v>
      </c>
      <c r="E181">
        <v>2018</v>
      </c>
      <c r="F181">
        <v>919.99</v>
      </c>
      <c r="G181" t="s">
        <v>304</v>
      </c>
    </row>
    <row r="182" spans="1:7" x14ac:dyDescent="0.35">
      <c r="A182" s="1">
        <v>181</v>
      </c>
      <c r="B182" t="s">
        <v>178</v>
      </c>
      <c r="C182">
        <v>9</v>
      </c>
      <c r="D182">
        <v>7</v>
      </c>
      <c r="E182">
        <v>2018</v>
      </c>
      <c r="F182">
        <v>2199.9899999999998</v>
      </c>
      <c r="G182" t="s">
        <v>304</v>
      </c>
    </row>
    <row r="183" spans="1:7" x14ac:dyDescent="0.35">
      <c r="A183" s="1">
        <v>182</v>
      </c>
      <c r="B183" t="s">
        <v>179</v>
      </c>
      <c r="C183">
        <v>9</v>
      </c>
      <c r="D183">
        <v>7</v>
      </c>
      <c r="E183">
        <v>2018</v>
      </c>
      <c r="F183">
        <v>2499.9899999999998</v>
      </c>
      <c r="G183" t="s">
        <v>304</v>
      </c>
    </row>
    <row r="184" spans="1:7" x14ac:dyDescent="0.35">
      <c r="A184" s="1">
        <v>183</v>
      </c>
      <c r="B184" t="s">
        <v>180</v>
      </c>
      <c r="C184">
        <v>9</v>
      </c>
      <c r="D184">
        <v>7</v>
      </c>
      <c r="E184">
        <v>2018</v>
      </c>
      <c r="F184">
        <v>2199.9899999999998</v>
      </c>
      <c r="G184" t="s">
        <v>304</v>
      </c>
    </row>
    <row r="185" spans="1:7" x14ac:dyDescent="0.35">
      <c r="A185" s="1">
        <v>184</v>
      </c>
      <c r="B185" t="s">
        <v>181</v>
      </c>
      <c r="C185">
        <v>9</v>
      </c>
      <c r="D185">
        <v>7</v>
      </c>
      <c r="E185">
        <v>2018</v>
      </c>
      <c r="F185">
        <v>3499.99</v>
      </c>
      <c r="G185" t="s">
        <v>304</v>
      </c>
    </row>
    <row r="186" spans="1:7" x14ac:dyDescent="0.35">
      <c r="A186" s="1">
        <v>185</v>
      </c>
      <c r="B186" t="s">
        <v>182</v>
      </c>
      <c r="C186">
        <v>9</v>
      </c>
      <c r="D186">
        <v>5</v>
      </c>
      <c r="E186">
        <v>2018</v>
      </c>
      <c r="F186">
        <v>2799.99</v>
      </c>
      <c r="G186" t="s">
        <v>304</v>
      </c>
    </row>
    <row r="187" spans="1:7" x14ac:dyDescent="0.35">
      <c r="A187" s="1">
        <v>186</v>
      </c>
      <c r="B187" t="s">
        <v>183</v>
      </c>
      <c r="C187">
        <v>9</v>
      </c>
      <c r="D187">
        <v>5</v>
      </c>
      <c r="E187">
        <v>2018</v>
      </c>
      <c r="F187">
        <v>4499.99</v>
      </c>
      <c r="G187" t="s">
        <v>304</v>
      </c>
    </row>
    <row r="188" spans="1:7" x14ac:dyDescent="0.35">
      <c r="A188" s="1">
        <v>187</v>
      </c>
      <c r="B188" t="s">
        <v>184</v>
      </c>
      <c r="C188">
        <v>9</v>
      </c>
      <c r="D188">
        <v>5</v>
      </c>
      <c r="E188">
        <v>2018</v>
      </c>
      <c r="F188">
        <v>2799.99</v>
      </c>
      <c r="G188" t="s">
        <v>304</v>
      </c>
    </row>
    <row r="189" spans="1:7" x14ac:dyDescent="0.35">
      <c r="A189" s="1">
        <v>188</v>
      </c>
      <c r="B189" t="s">
        <v>185</v>
      </c>
      <c r="C189">
        <v>9</v>
      </c>
      <c r="D189">
        <v>5</v>
      </c>
      <c r="E189">
        <v>2018</v>
      </c>
      <c r="F189">
        <v>3499.99</v>
      </c>
      <c r="G189" t="s">
        <v>304</v>
      </c>
    </row>
    <row r="190" spans="1:7" x14ac:dyDescent="0.35">
      <c r="A190" s="1">
        <v>189</v>
      </c>
      <c r="B190" t="s">
        <v>186</v>
      </c>
      <c r="C190">
        <v>9</v>
      </c>
      <c r="D190">
        <v>5</v>
      </c>
      <c r="E190">
        <v>2018</v>
      </c>
      <c r="F190">
        <v>2799.99</v>
      </c>
      <c r="G190" t="s">
        <v>304</v>
      </c>
    </row>
    <row r="191" spans="1:7" x14ac:dyDescent="0.35">
      <c r="A191" s="1">
        <v>190</v>
      </c>
      <c r="B191" t="s">
        <v>187</v>
      </c>
      <c r="C191">
        <v>9</v>
      </c>
      <c r="D191">
        <v>5</v>
      </c>
      <c r="E191">
        <v>2018</v>
      </c>
      <c r="F191">
        <v>2799.99</v>
      </c>
      <c r="G191" t="s">
        <v>304</v>
      </c>
    </row>
    <row r="192" spans="1:7" x14ac:dyDescent="0.35">
      <c r="A192" s="1">
        <v>191</v>
      </c>
      <c r="B192" t="s">
        <v>188</v>
      </c>
      <c r="C192">
        <v>1</v>
      </c>
      <c r="D192">
        <v>5</v>
      </c>
      <c r="E192">
        <v>2018</v>
      </c>
      <c r="F192">
        <v>2799.99</v>
      </c>
      <c r="G192" t="s">
        <v>304</v>
      </c>
    </row>
    <row r="193" spans="1:7" x14ac:dyDescent="0.35">
      <c r="A193" s="1">
        <v>192</v>
      </c>
      <c r="B193" t="s">
        <v>189</v>
      </c>
      <c r="C193">
        <v>1</v>
      </c>
      <c r="D193">
        <v>5</v>
      </c>
      <c r="E193">
        <v>2018</v>
      </c>
      <c r="F193">
        <v>2599.9899999999998</v>
      </c>
      <c r="G193" t="s">
        <v>304</v>
      </c>
    </row>
    <row r="194" spans="1:7" x14ac:dyDescent="0.35">
      <c r="A194" s="1">
        <v>193</v>
      </c>
      <c r="B194" t="s">
        <v>190</v>
      </c>
      <c r="C194">
        <v>9</v>
      </c>
      <c r="D194">
        <v>5</v>
      </c>
      <c r="E194">
        <v>2018</v>
      </c>
      <c r="F194">
        <v>2799.99</v>
      </c>
      <c r="G194" t="s">
        <v>304</v>
      </c>
    </row>
    <row r="195" spans="1:7" x14ac:dyDescent="0.35">
      <c r="A195" s="1">
        <v>194</v>
      </c>
      <c r="B195" t="s">
        <v>191</v>
      </c>
      <c r="C195">
        <v>9</v>
      </c>
      <c r="D195">
        <v>5</v>
      </c>
      <c r="E195">
        <v>2018</v>
      </c>
      <c r="F195">
        <v>3499.99</v>
      </c>
      <c r="G195" t="s">
        <v>304</v>
      </c>
    </row>
    <row r="196" spans="1:7" x14ac:dyDescent="0.35">
      <c r="A196" s="1">
        <v>195</v>
      </c>
      <c r="B196" t="s">
        <v>192</v>
      </c>
      <c r="C196">
        <v>1</v>
      </c>
      <c r="D196">
        <v>5</v>
      </c>
      <c r="E196">
        <v>2018</v>
      </c>
      <c r="F196">
        <v>2599.9899999999998</v>
      </c>
      <c r="G196" t="s">
        <v>304</v>
      </c>
    </row>
    <row r="197" spans="1:7" x14ac:dyDescent="0.35">
      <c r="A197" s="1">
        <v>196</v>
      </c>
      <c r="B197" t="s">
        <v>193</v>
      </c>
      <c r="C197">
        <v>9</v>
      </c>
      <c r="D197">
        <v>5</v>
      </c>
      <c r="E197">
        <v>2018</v>
      </c>
      <c r="F197">
        <v>2299.9899999999998</v>
      </c>
      <c r="G197" t="s">
        <v>304</v>
      </c>
    </row>
    <row r="198" spans="1:7" x14ac:dyDescent="0.35">
      <c r="A198" s="1">
        <v>197</v>
      </c>
      <c r="B198" t="s">
        <v>194</v>
      </c>
      <c r="C198">
        <v>9</v>
      </c>
      <c r="D198">
        <v>5</v>
      </c>
      <c r="E198">
        <v>2018</v>
      </c>
      <c r="F198">
        <v>2299.9899999999998</v>
      </c>
      <c r="G198" t="s">
        <v>304</v>
      </c>
    </row>
    <row r="199" spans="1:7" x14ac:dyDescent="0.35">
      <c r="A199" s="1">
        <v>198</v>
      </c>
      <c r="B199" t="s">
        <v>195</v>
      </c>
      <c r="C199">
        <v>1</v>
      </c>
      <c r="D199">
        <v>5</v>
      </c>
      <c r="E199">
        <v>2018</v>
      </c>
      <c r="F199">
        <v>2999.99</v>
      </c>
      <c r="G199" t="s">
        <v>304</v>
      </c>
    </row>
    <row r="200" spans="1:7" x14ac:dyDescent="0.35">
      <c r="A200" s="1">
        <v>199</v>
      </c>
      <c r="B200" t="s">
        <v>196</v>
      </c>
      <c r="C200">
        <v>1</v>
      </c>
      <c r="D200">
        <v>5</v>
      </c>
      <c r="E200">
        <v>2018</v>
      </c>
      <c r="F200">
        <v>2999.99</v>
      </c>
      <c r="G200" t="s">
        <v>304</v>
      </c>
    </row>
    <row r="201" spans="1:7" x14ac:dyDescent="0.35">
      <c r="A201" s="1">
        <v>200</v>
      </c>
      <c r="B201" t="s">
        <v>197</v>
      </c>
      <c r="C201">
        <v>9</v>
      </c>
      <c r="D201">
        <v>5</v>
      </c>
      <c r="E201">
        <v>2018</v>
      </c>
      <c r="F201">
        <v>3499.99</v>
      </c>
      <c r="G201" t="s">
        <v>304</v>
      </c>
    </row>
    <row r="202" spans="1:7" x14ac:dyDescent="0.35">
      <c r="A202" s="1">
        <v>201</v>
      </c>
      <c r="B202" t="s">
        <v>198</v>
      </c>
      <c r="C202">
        <v>9</v>
      </c>
      <c r="D202">
        <v>5</v>
      </c>
      <c r="E202">
        <v>2018</v>
      </c>
      <c r="F202">
        <v>4499.99</v>
      </c>
      <c r="G202" t="s">
        <v>304</v>
      </c>
    </row>
    <row r="203" spans="1:7" x14ac:dyDescent="0.35">
      <c r="A203" s="1">
        <v>202</v>
      </c>
      <c r="B203" t="s">
        <v>199</v>
      </c>
      <c r="C203">
        <v>9</v>
      </c>
      <c r="D203">
        <v>5</v>
      </c>
      <c r="E203">
        <v>2018</v>
      </c>
      <c r="F203">
        <v>3499.99</v>
      </c>
      <c r="G203" t="s">
        <v>304</v>
      </c>
    </row>
    <row r="204" spans="1:7" x14ac:dyDescent="0.35">
      <c r="A204" s="1">
        <v>203</v>
      </c>
      <c r="B204" t="s">
        <v>200</v>
      </c>
      <c r="C204">
        <v>9</v>
      </c>
      <c r="D204">
        <v>5</v>
      </c>
      <c r="E204">
        <v>2018</v>
      </c>
      <c r="F204">
        <v>4999.99</v>
      </c>
      <c r="G204" t="s">
        <v>304</v>
      </c>
    </row>
    <row r="205" spans="1:7" x14ac:dyDescent="0.35">
      <c r="A205" s="1">
        <v>204</v>
      </c>
      <c r="B205" t="s">
        <v>201</v>
      </c>
      <c r="C205">
        <v>9</v>
      </c>
      <c r="D205">
        <v>5</v>
      </c>
      <c r="E205">
        <v>2018</v>
      </c>
      <c r="F205">
        <v>3599.99</v>
      </c>
      <c r="G205" t="s">
        <v>304</v>
      </c>
    </row>
    <row r="206" spans="1:7" x14ac:dyDescent="0.35">
      <c r="A206" s="1">
        <v>205</v>
      </c>
      <c r="B206" t="s">
        <v>202</v>
      </c>
      <c r="C206">
        <v>9</v>
      </c>
      <c r="D206">
        <v>5</v>
      </c>
      <c r="E206">
        <v>2018</v>
      </c>
      <c r="F206">
        <v>4999.99</v>
      </c>
      <c r="G206" t="s">
        <v>304</v>
      </c>
    </row>
    <row r="207" spans="1:7" x14ac:dyDescent="0.35">
      <c r="A207" s="1">
        <v>206</v>
      </c>
      <c r="B207" t="s">
        <v>203</v>
      </c>
      <c r="C207">
        <v>9</v>
      </c>
      <c r="D207">
        <v>4</v>
      </c>
      <c r="E207">
        <v>2018</v>
      </c>
      <c r="F207">
        <v>3299.99</v>
      </c>
      <c r="G207" t="s">
        <v>304</v>
      </c>
    </row>
    <row r="208" spans="1:7" x14ac:dyDescent="0.35">
      <c r="A208" s="1">
        <v>207</v>
      </c>
      <c r="B208" t="s">
        <v>204</v>
      </c>
      <c r="C208">
        <v>9</v>
      </c>
      <c r="D208">
        <v>4</v>
      </c>
      <c r="E208">
        <v>2018</v>
      </c>
      <c r="F208">
        <v>3999.99</v>
      </c>
      <c r="G208" t="s">
        <v>304</v>
      </c>
    </row>
    <row r="209" spans="1:7" x14ac:dyDescent="0.35">
      <c r="A209" s="1">
        <v>208</v>
      </c>
      <c r="B209" t="s">
        <v>205</v>
      </c>
      <c r="C209">
        <v>9</v>
      </c>
      <c r="D209">
        <v>4</v>
      </c>
      <c r="E209">
        <v>2018</v>
      </c>
      <c r="F209">
        <v>1799.99</v>
      </c>
      <c r="G209" t="s">
        <v>304</v>
      </c>
    </row>
    <row r="210" spans="1:7" x14ac:dyDescent="0.35">
      <c r="A210" s="1">
        <v>209</v>
      </c>
      <c r="B210" t="s">
        <v>206</v>
      </c>
      <c r="C210">
        <v>9</v>
      </c>
      <c r="D210">
        <v>4</v>
      </c>
      <c r="E210">
        <v>2018</v>
      </c>
      <c r="F210">
        <v>2999.99</v>
      </c>
      <c r="G210" t="s">
        <v>304</v>
      </c>
    </row>
    <row r="211" spans="1:7" x14ac:dyDescent="0.35">
      <c r="A211" s="1">
        <v>210</v>
      </c>
      <c r="B211" t="s">
        <v>165</v>
      </c>
      <c r="C211">
        <v>8</v>
      </c>
      <c r="D211">
        <v>4</v>
      </c>
      <c r="E211">
        <v>2018</v>
      </c>
      <c r="F211">
        <v>1549</v>
      </c>
      <c r="G211" t="s">
        <v>304</v>
      </c>
    </row>
    <row r="212" spans="1:7" x14ac:dyDescent="0.35">
      <c r="A212" s="1">
        <v>211</v>
      </c>
      <c r="B212" t="s">
        <v>161</v>
      </c>
      <c r="C212">
        <v>8</v>
      </c>
      <c r="D212">
        <v>4</v>
      </c>
      <c r="E212">
        <v>2018</v>
      </c>
      <c r="F212">
        <v>1549</v>
      </c>
      <c r="G212" t="s">
        <v>304</v>
      </c>
    </row>
    <row r="213" spans="1:7" x14ac:dyDescent="0.35">
      <c r="A213" s="1">
        <v>212</v>
      </c>
      <c r="B213" t="s">
        <v>207</v>
      </c>
      <c r="C213">
        <v>1</v>
      </c>
      <c r="D213">
        <v>3</v>
      </c>
      <c r="E213">
        <v>2018</v>
      </c>
      <c r="F213">
        <v>559.99</v>
      </c>
      <c r="G213" t="s">
        <v>304</v>
      </c>
    </row>
    <row r="214" spans="1:7" x14ac:dyDescent="0.35">
      <c r="A214" s="1">
        <v>213</v>
      </c>
      <c r="B214" t="s">
        <v>208</v>
      </c>
      <c r="C214">
        <v>1</v>
      </c>
      <c r="D214">
        <v>3</v>
      </c>
      <c r="E214">
        <v>2018</v>
      </c>
      <c r="F214">
        <v>269.99</v>
      </c>
      <c r="G214" t="s">
        <v>304</v>
      </c>
    </row>
    <row r="215" spans="1:7" x14ac:dyDescent="0.35">
      <c r="A215" s="1">
        <v>214</v>
      </c>
      <c r="B215" t="s">
        <v>209</v>
      </c>
      <c r="C215">
        <v>1</v>
      </c>
      <c r="D215">
        <v>3</v>
      </c>
      <c r="E215">
        <v>2018</v>
      </c>
      <c r="F215">
        <v>899.99</v>
      </c>
      <c r="G215" t="s">
        <v>304</v>
      </c>
    </row>
    <row r="216" spans="1:7" x14ac:dyDescent="0.35">
      <c r="A216" s="1">
        <v>215</v>
      </c>
      <c r="B216" t="s">
        <v>210</v>
      </c>
      <c r="C216">
        <v>1</v>
      </c>
      <c r="D216">
        <v>3</v>
      </c>
      <c r="E216">
        <v>2018</v>
      </c>
      <c r="F216">
        <v>749.99</v>
      </c>
      <c r="G216" t="s">
        <v>304</v>
      </c>
    </row>
    <row r="217" spans="1:7" x14ac:dyDescent="0.35">
      <c r="A217" s="1">
        <v>216</v>
      </c>
      <c r="B217" t="s">
        <v>211</v>
      </c>
      <c r="C217">
        <v>1</v>
      </c>
      <c r="D217">
        <v>3</v>
      </c>
      <c r="E217">
        <v>2018</v>
      </c>
      <c r="F217">
        <v>899.99</v>
      </c>
      <c r="G217" t="s">
        <v>304</v>
      </c>
    </row>
    <row r="218" spans="1:7" x14ac:dyDescent="0.35">
      <c r="A218" s="1">
        <v>217</v>
      </c>
      <c r="B218" t="s">
        <v>212</v>
      </c>
      <c r="C218">
        <v>1</v>
      </c>
      <c r="D218">
        <v>3</v>
      </c>
      <c r="E218">
        <v>2018</v>
      </c>
      <c r="F218">
        <v>909.99</v>
      </c>
      <c r="G218" t="s">
        <v>304</v>
      </c>
    </row>
    <row r="219" spans="1:7" x14ac:dyDescent="0.35">
      <c r="A219" s="1">
        <v>218</v>
      </c>
      <c r="B219" t="s">
        <v>213</v>
      </c>
      <c r="C219">
        <v>1</v>
      </c>
      <c r="D219">
        <v>3</v>
      </c>
      <c r="E219">
        <v>2018</v>
      </c>
      <c r="F219">
        <v>319.99</v>
      </c>
      <c r="G219" t="s">
        <v>304</v>
      </c>
    </row>
    <row r="220" spans="1:7" x14ac:dyDescent="0.35">
      <c r="A220" s="1">
        <v>219</v>
      </c>
      <c r="B220" t="s">
        <v>214</v>
      </c>
      <c r="C220">
        <v>1</v>
      </c>
      <c r="D220">
        <v>3</v>
      </c>
      <c r="E220">
        <v>2018</v>
      </c>
      <c r="F220">
        <v>639.99</v>
      </c>
      <c r="G220" t="s">
        <v>304</v>
      </c>
    </row>
    <row r="221" spans="1:7" x14ac:dyDescent="0.35">
      <c r="A221" s="1">
        <v>220</v>
      </c>
      <c r="B221" t="s">
        <v>215</v>
      </c>
      <c r="C221">
        <v>1</v>
      </c>
      <c r="D221">
        <v>3</v>
      </c>
      <c r="E221">
        <v>2018</v>
      </c>
      <c r="F221">
        <v>269.99</v>
      </c>
      <c r="G221" t="s">
        <v>304</v>
      </c>
    </row>
    <row r="222" spans="1:7" x14ac:dyDescent="0.35">
      <c r="A222" s="1">
        <v>221</v>
      </c>
      <c r="B222" t="s">
        <v>216</v>
      </c>
      <c r="C222">
        <v>1</v>
      </c>
      <c r="D222">
        <v>3</v>
      </c>
      <c r="E222">
        <v>2018</v>
      </c>
      <c r="F222">
        <v>319.99</v>
      </c>
      <c r="G222" t="s">
        <v>304</v>
      </c>
    </row>
    <row r="223" spans="1:7" x14ac:dyDescent="0.35">
      <c r="A223" s="1">
        <v>222</v>
      </c>
      <c r="B223" t="s">
        <v>217</v>
      </c>
      <c r="C223">
        <v>1</v>
      </c>
      <c r="D223">
        <v>3</v>
      </c>
      <c r="E223">
        <v>2018</v>
      </c>
      <c r="F223">
        <v>269.99</v>
      </c>
      <c r="G223" t="s">
        <v>304</v>
      </c>
    </row>
    <row r="224" spans="1:7" x14ac:dyDescent="0.35">
      <c r="A224" s="1">
        <v>223</v>
      </c>
      <c r="B224" t="s">
        <v>218</v>
      </c>
      <c r="C224">
        <v>1</v>
      </c>
      <c r="D224">
        <v>3</v>
      </c>
      <c r="E224">
        <v>2018</v>
      </c>
      <c r="F224">
        <v>529.99</v>
      </c>
      <c r="G224" t="s">
        <v>304</v>
      </c>
    </row>
    <row r="225" spans="1:7" x14ac:dyDescent="0.35">
      <c r="A225" s="1">
        <v>224</v>
      </c>
      <c r="B225" t="s">
        <v>219</v>
      </c>
      <c r="C225">
        <v>1</v>
      </c>
      <c r="D225">
        <v>3</v>
      </c>
      <c r="E225">
        <v>2018</v>
      </c>
      <c r="F225">
        <v>479.99</v>
      </c>
      <c r="G225" t="s">
        <v>304</v>
      </c>
    </row>
    <row r="226" spans="1:7" x14ac:dyDescent="0.35">
      <c r="A226" s="1">
        <v>225</v>
      </c>
      <c r="B226" t="s">
        <v>220</v>
      </c>
      <c r="C226">
        <v>1</v>
      </c>
      <c r="D226">
        <v>3</v>
      </c>
      <c r="E226">
        <v>2018</v>
      </c>
      <c r="F226">
        <v>959.99</v>
      </c>
      <c r="G226" t="s">
        <v>304</v>
      </c>
    </row>
    <row r="227" spans="1:7" x14ac:dyDescent="0.35">
      <c r="A227" s="1">
        <v>226</v>
      </c>
      <c r="B227" t="s">
        <v>221</v>
      </c>
      <c r="C227">
        <v>1</v>
      </c>
      <c r="D227">
        <v>3</v>
      </c>
      <c r="E227">
        <v>2018</v>
      </c>
      <c r="F227">
        <v>679.99</v>
      </c>
      <c r="G227" t="s">
        <v>304</v>
      </c>
    </row>
    <row r="228" spans="1:7" x14ac:dyDescent="0.35">
      <c r="A228" s="1">
        <v>227</v>
      </c>
      <c r="B228" t="s">
        <v>222</v>
      </c>
      <c r="C228">
        <v>1</v>
      </c>
      <c r="D228">
        <v>3</v>
      </c>
      <c r="E228">
        <v>2018</v>
      </c>
      <c r="F228">
        <v>319.99</v>
      </c>
      <c r="G228" t="s">
        <v>304</v>
      </c>
    </row>
    <row r="229" spans="1:7" x14ac:dyDescent="0.35">
      <c r="A229" s="1">
        <v>228</v>
      </c>
      <c r="B229" t="s">
        <v>223</v>
      </c>
      <c r="C229">
        <v>1</v>
      </c>
      <c r="D229">
        <v>3</v>
      </c>
      <c r="E229">
        <v>2018</v>
      </c>
      <c r="F229">
        <v>319.99</v>
      </c>
      <c r="G229" t="s">
        <v>304</v>
      </c>
    </row>
    <row r="230" spans="1:7" x14ac:dyDescent="0.35">
      <c r="A230" s="1">
        <v>229</v>
      </c>
      <c r="B230" t="s">
        <v>224</v>
      </c>
      <c r="C230">
        <v>1</v>
      </c>
      <c r="D230">
        <v>3</v>
      </c>
      <c r="E230">
        <v>2018</v>
      </c>
      <c r="F230">
        <v>429.99</v>
      </c>
      <c r="G230" t="s">
        <v>304</v>
      </c>
    </row>
    <row r="231" spans="1:7" x14ac:dyDescent="0.35">
      <c r="A231" s="1">
        <v>230</v>
      </c>
      <c r="B231" t="s">
        <v>225</v>
      </c>
      <c r="C231">
        <v>1</v>
      </c>
      <c r="D231">
        <v>3</v>
      </c>
      <c r="E231">
        <v>2018</v>
      </c>
      <c r="F231">
        <v>429.99</v>
      </c>
      <c r="G231" t="s">
        <v>304</v>
      </c>
    </row>
    <row r="232" spans="1:7" x14ac:dyDescent="0.35">
      <c r="A232" s="1">
        <v>231</v>
      </c>
      <c r="B232" t="s">
        <v>226</v>
      </c>
      <c r="C232">
        <v>1</v>
      </c>
      <c r="D232">
        <v>3</v>
      </c>
      <c r="E232">
        <v>2018</v>
      </c>
      <c r="F232">
        <v>529.99</v>
      </c>
      <c r="G232" t="s">
        <v>304</v>
      </c>
    </row>
    <row r="233" spans="1:7" x14ac:dyDescent="0.35">
      <c r="A233" s="1">
        <v>232</v>
      </c>
      <c r="B233" t="s">
        <v>227</v>
      </c>
      <c r="C233">
        <v>1</v>
      </c>
      <c r="D233">
        <v>3</v>
      </c>
      <c r="E233">
        <v>2018</v>
      </c>
      <c r="F233">
        <v>479.99</v>
      </c>
      <c r="G233" t="s">
        <v>304</v>
      </c>
    </row>
    <row r="234" spans="1:7" x14ac:dyDescent="0.35">
      <c r="A234" s="1">
        <v>233</v>
      </c>
      <c r="B234" t="s">
        <v>228</v>
      </c>
      <c r="C234">
        <v>1</v>
      </c>
      <c r="D234">
        <v>3</v>
      </c>
      <c r="E234">
        <v>2018</v>
      </c>
      <c r="F234">
        <v>639.99</v>
      </c>
      <c r="G234" t="s">
        <v>304</v>
      </c>
    </row>
    <row r="235" spans="1:7" x14ac:dyDescent="0.35">
      <c r="A235" s="1">
        <v>234</v>
      </c>
      <c r="B235" t="s">
        <v>229</v>
      </c>
      <c r="C235">
        <v>1</v>
      </c>
      <c r="D235">
        <v>3</v>
      </c>
      <c r="E235">
        <v>2018</v>
      </c>
      <c r="F235">
        <v>899.99</v>
      </c>
      <c r="G235" t="s">
        <v>304</v>
      </c>
    </row>
    <row r="236" spans="1:7" x14ac:dyDescent="0.35">
      <c r="A236" s="1">
        <v>235</v>
      </c>
      <c r="B236" t="s">
        <v>230</v>
      </c>
      <c r="C236">
        <v>1</v>
      </c>
      <c r="D236">
        <v>3</v>
      </c>
      <c r="E236">
        <v>2018</v>
      </c>
      <c r="F236">
        <v>899.99</v>
      </c>
      <c r="G236" t="s">
        <v>304</v>
      </c>
    </row>
    <row r="237" spans="1:7" x14ac:dyDescent="0.35">
      <c r="A237" s="1">
        <v>236</v>
      </c>
      <c r="B237" t="s">
        <v>231</v>
      </c>
      <c r="C237">
        <v>1</v>
      </c>
      <c r="D237">
        <v>3</v>
      </c>
      <c r="E237">
        <v>2018</v>
      </c>
      <c r="F237">
        <v>749.99</v>
      </c>
      <c r="G237" t="s">
        <v>304</v>
      </c>
    </row>
    <row r="238" spans="1:7" x14ac:dyDescent="0.35">
      <c r="A238" s="1">
        <v>237</v>
      </c>
      <c r="B238" t="s">
        <v>232</v>
      </c>
      <c r="C238">
        <v>1</v>
      </c>
      <c r="D238">
        <v>3</v>
      </c>
      <c r="E238">
        <v>2018</v>
      </c>
      <c r="F238">
        <v>849.99</v>
      </c>
      <c r="G238" t="s">
        <v>304</v>
      </c>
    </row>
    <row r="239" spans="1:7" x14ac:dyDescent="0.35">
      <c r="A239" s="1">
        <v>238</v>
      </c>
      <c r="B239" t="s">
        <v>233</v>
      </c>
      <c r="C239">
        <v>1</v>
      </c>
      <c r="D239">
        <v>3</v>
      </c>
      <c r="E239">
        <v>2018</v>
      </c>
      <c r="F239">
        <v>749.99</v>
      </c>
      <c r="G239" t="s">
        <v>304</v>
      </c>
    </row>
    <row r="240" spans="1:7" x14ac:dyDescent="0.35">
      <c r="A240" s="1">
        <v>239</v>
      </c>
      <c r="B240" t="s">
        <v>234</v>
      </c>
      <c r="C240">
        <v>1</v>
      </c>
      <c r="D240">
        <v>3</v>
      </c>
      <c r="E240">
        <v>2018</v>
      </c>
      <c r="F240">
        <v>749.99</v>
      </c>
      <c r="G240" t="s">
        <v>304</v>
      </c>
    </row>
    <row r="241" spans="1:7" x14ac:dyDescent="0.35">
      <c r="A241" s="1">
        <v>240</v>
      </c>
      <c r="B241" t="s">
        <v>235</v>
      </c>
      <c r="C241">
        <v>1</v>
      </c>
      <c r="D241">
        <v>3</v>
      </c>
      <c r="E241">
        <v>2018</v>
      </c>
      <c r="F241">
        <v>899.99</v>
      </c>
      <c r="G241" t="s">
        <v>304</v>
      </c>
    </row>
    <row r="242" spans="1:7" x14ac:dyDescent="0.35">
      <c r="A242" s="1">
        <v>241</v>
      </c>
      <c r="B242" t="s">
        <v>236</v>
      </c>
      <c r="C242">
        <v>1</v>
      </c>
      <c r="D242">
        <v>3</v>
      </c>
      <c r="E242">
        <v>2018</v>
      </c>
      <c r="F242">
        <v>749.99</v>
      </c>
      <c r="G242" t="s">
        <v>304</v>
      </c>
    </row>
    <row r="243" spans="1:7" x14ac:dyDescent="0.35">
      <c r="A243" s="1">
        <v>242</v>
      </c>
      <c r="B243" t="s">
        <v>237</v>
      </c>
      <c r="C243">
        <v>1</v>
      </c>
      <c r="D243">
        <v>3</v>
      </c>
      <c r="E243">
        <v>2018</v>
      </c>
      <c r="F243">
        <v>699.99</v>
      </c>
      <c r="G243" t="s">
        <v>304</v>
      </c>
    </row>
    <row r="244" spans="1:7" x14ac:dyDescent="0.35">
      <c r="A244" s="1">
        <v>243</v>
      </c>
      <c r="B244" t="s">
        <v>238</v>
      </c>
      <c r="C244">
        <v>1</v>
      </c>
      <c r="D244">
        <v>3</v>
      </c>
      <c r="E244">
        <v>2018</v>
      </c>
      <c r="F244">
        <v>679.99</v>
      </c>
      <c r="G244" t="s">
        <v>304</v>
      </c>
    </row>
    <row r="245" spans="1:7" x14ac:dyDescent="0.35">
      <c r="A245" s="1">
        <v>244</v>
      </c>
      <c r="B245" t="s">
        <v>239</v>
      </c>
      <c r="C245">
        <v>1</v>
      </c>
      <c r="D245">
        <v>3</v>
      </c>
      <c r="E245">
        <v>2018</v>
      </c>
      <c r="F245">
        <v>559.99</v>
      </c>
      <c r="G245" t="s">
        <v>304</v>
      </c>
    </row>
    <row r="246" spans="1:7" x14ac:dyDescent="0.35">
      <c r="A246" s="1">
        <v>245</v>
      </c>
      <c r="B246" t="s">
        <v>240</v>
      </c>
      <c r="C246">
        <v>1</v>
      </c>
      <c r="D246">
        <v>3</v>
      </c>
      <c r="E246">
        <v>2018</v>
      </c>
      <c r="F246">
        <v>659.99</v>
      </c>
      <c r="G246" t="s">
        <v>304</v>
      </c>
    </row>
    <row r="247" spans="1:7" x14ac:dyDescent="0.35">
      <c r="A247" s="1">
        <v>246</v>
      </c>
      <c r="B247" t="s">
        <v>241</v>
      </c>
      <c r="C247">
        <v>1</v>
      </c>
      <c r="D247">
        <v>3</v>
      </c>
      <c r="E247">
        <v>2018</v>
      </c>
      <c r="F247">
        <v>639.99</v>
      </c>
      <c r="G247" t="s">
        <v>304</v>
      </c>
    </row>
    <row r="248" spans="1:7" x14ac:dyDescent="0.35">
      <c r="A248" s="1">
        <v>247</v>
      </c>
      <c r="B248" t="s">
        <v>242</v>
      </c>
      <c r="C248">
        <v>1</v>
      </c>
      <c r="D248">
        <v>3</v>
      </c>
      <c r="E248">
        <v>2018</v>
      </c>
      <c r="F248">
        <v>599.99</v>
      </c>
      <c r="G248" t="s">
        <v>304</v>
      </c>
    </row>
    <row r="249" spans="1:7" x14ac:dyDescent="0.35">
      <c r="A249" s="1">
        <v>248</v>
      </c>
      <c r="B249" t="s">
        <v>243</v>
      </c>
      <c r="C249">
        <v>1</v>
      </c>
      <c r="D249">
        <v>3</v>
      </c>
      <c r="E249">
        <v>2018</v>
      </c>
      <c r="F249">
        <v>599.99</v>
      </c>
      <c r="G249" t="s">
        <v>304</v>
      </c>
    </row>
    <row r="250" spans="1:7" x14ac:dyDescent="0.35">
      <c r="A250" s="1">
        <v>249</v>
      </c>
      <c r="B250" t="s">
        <v>244</v>
      </c>
      <c r="C250">
        <v>1</v>
      </c>
      <c r="D250">
        <v>3</v>
      </c>
      <c r="E250">
        <v>2018</v>
      </c>
      <c r="F250">
        <v>749.99</v>
      </c>
      <c r="G250" t="s">
        <v>304</v>
      </c>
    </row>
    <row r="251" spans="1:7" x14ac:dyDescent="0.35">
      <c r="A251" s="1">
        <v>250</v>
      </c>
      <c r="B251" t="s">
        <v>189</v>
      </c>
      <c r="C251">
        <v>1</v>
      </c>
      <c r="D251">
        <v>3</v>
      </c>
      <c r="E251">
        <v>2018</v>
      </c>
      <c r="F251">
        <v>2599.9899999999998</v>
      </c>
      <c r="G251" t="s">
        <v>304</v>
      </c>
    </row>
    <row r="252" spans="1:7" x14ac:dyDescent="0.35">
      <c r="A252" s="1">
        <v>251</v>
      </c>
      <c r="B252" t="s">
        <v>195</v>
      </c>
      <c r="C252">
        <v>1</v>
      </c>
      <c r="D252">
        <v>3</v>
      </c>
      <c r="E252">
        <v>2018</v>
      </c>
      <c r="F252">
        <v>2999.99</v>
      </c>
      <c r="G252" t="s">
        <v>304</v>
      </c>
    </row>
    <row r="253" spans="1:7" x14ac:dyDescent="0.35">
      <c r="A253" s="1">
        <v>252</v>
      </c>
      <c r="B253" t="s">
        <v>196</v>
      </c>
      <c r="C253">
        <v>1</v>
      </c>
      <c r="D253">
        <v>3</v>
      </c>
      <c r="E253">
        <v>2018</v>
      </c>
      <c r="F253">
        <v>2999.99</v>
      </c>
      <c r="G253" t="s">
        <v>304</v>
      </c>
    </row>
    <row r="254" spans="1:7" x14ac:dyDescent="0.35">
      <c r="A254" s="1">
        <v>253</v>
      </c>
      <c r="B254" t="s">
        <v>192</v>
      </c>
      <c r="C254">
        <v>1</v>
      </c>
      <c r="D254">
        <v>3</v>
      </c>
      <c r="E254">
        <v>2018</v>
      </c>
      <c r="F254">
        <v>2599.9899999999998</v>
      </c>
      <c r="G254" t="s">
        <v>304</v>
      </c>
    </row>
    <row r="255" spans="1:7" x14ac:dyDescent="0.35">
      <c r="A255" s="1">
        <v>254</v>
      </c>
      <c r="B255" t="s">
        <v>245</v>
      </c>
      <c r="C255">
        <v>1</v>
      </c>
      <c r="D255">
        <v>3</v>
      </c>
      <c r="E255">
        <v>2018</v>
      </c>
      <c r="F255">
        <v>749.99</v>
      </c>
      <c r="G255" t="s">
        <v>304</v>
      </c>
    </row>
    <row r="256" spans="1:7" x14ac:dyDescent="0.35">
      <c r="A256" s="1">
        <v>255</v>
      </c>
      <c r="B256" t="s">
        <v>246</v>
      </c>
      <c r="C256">
        <v>1</v>
      </c>
      <c r="D256">
        <v>3</v>
      </c>
      <c r="E256">
        <v>2018</v>
      </c>
      <c r="F256">
        <v>899.99</v>
      </c>
      <c r="G256" t="s">
        <v>304</v>
      </c>
    </row>
    <row r="257" spans="1:7" x14ac:dyDescent="0.35">
      <c r="A257" s="1">
        <v>256</v>
      </c>
      <c r="B257" t="s">
        <v>247</v>
      </c>
      <c r="C257">
        <v>1</v>
      </c>
      <c r="D257">
        <v>3</v>
      </c>
      <c r="E257">
        <v>2018</v>
      </c>
      <c r="F257">
        <v>899.99</v>
      </c>
      <c r="G257" t="s">
        <v>304</v>
      </c>
    </row>
    <row r="258" spans="1:7" x14ac:dyDescent="0.35">
      <c r="A258" s="1">
        <v>257</v>
      </c>
      <c r="B258" t="s">
        <v>248</v>
      </c>
      <c r="C258">
        <v>1</v>
      </c>
      <c r="D258">
        <v>3</v>
      </c>
      <c r="E258">
        <v>2018</v>
      </c>
      <c r="F258">
        <v>899.99</v>
      </c>
      <c r="G258" t="s">
        <v>304</v>
      </c>
    </row>
    <row r="259" spans="1:7" x14ac:dyDescent="0.35">
      <c r="A259" s="1">
        <v>258</v>
      </c>
      <c r="B259" t="s">
        <v>249</v>
      </c>
      <c r="C259">
        <v>1</v>
      </c>
      <c r="D259">
        <v>3</v>
      </c>
      <c r="E259">
        <v>2018</v>
      </c>
      <c r="F259">
        <v>1259.9000000000001</v>
      </c>
      <c r="G259" t="s">
        <v>304</v>
      </c>
    </row>
    <row r="260" spans="1:7" x14ac:dyDescent="0.35">
      <c r="A260" s="1">
        <v>259</v>
      </c>
      <c r="B260" t="s">
        <v>250</v>
      </c>
      <c r="C260">
        <v>1</v>
      </c>
      <c r="D260">
        <v>3</v>
      </c>
      <c r="E260">
        <v>2018</v>
      </c>
      <c r="F260">
        <v>1199.99</v>
      </c>
      <c r="G260" t="s">
        <v>304</v>
      </c>
    </row>
    <row r="261" spans="1:7" x14ac:dyDescent="0.35">
      <c r="A261" s="1">
        <v>260</v>
      </c>
      <c r="B261" t="s">
        <v>251</v>
      </c>
      <c r="C261">
        <v>1</v>
      </c>
      <c r="D261">
        <v>3</v>
      </c>
      <c r="E261">
        <v>2018</v>
      </c>
      <c r="F261">
        <v>799.99</v>
      </c>
      <c r="G261" t="s">
        <v>304</v>
      </c>
    </row>
    <row r="262" spans="1:7" x14ac:dyDescent="0.35">
      <c r="A262" s="1">
        <v>261</v>
      </c>
      <c r="B262" t="s">
        <v>252</v>
      </c>
      <c r="C262">
        <v>1</v>
      </c>
      <c r="D262">
        <v>3</v>
      </c>
      <c r="E262">
        <v>2018</v>
      </c>
      <c r="F262">
        <v>899.99</v>
      </c>
      <c r="G262" t="s">
        <v>304</v>
      </c>
    </row>
    <row r="263" spans="1:7" x14ac:dyDescent="0.35">
      <c r="A263" s="1">
        <v>262</v>
      </c>
      <c r="B263" t="s">
        <v>253</v>
      </c>
      <c r="C263">
        <v>9</v>
      </c>
      <c r="D263">
        <v>1</v>
      </c>
      <c r="E263">
        <v>2018</v>
      </c>
      <c r="F263">
        <v>249.99</v>
      </c>
      <c r="G263" t="s">
        <v>304</v>
      </c>
    </row>
    <row r="264" spans="1:7" x14ac:dyDescent="0.35">
      <c r="A264" s="1">
        <v>263</v>
      </c>
      <c r="B264" t="s">
        <v>254</v>
      </c>
      <c r="C264">
        <v>6</v>
      </c>
      <c r="D264">
        <v>1</v>
      </c>
      <c r="E264">
        <v>2018</v>
      </c>
      <c r="F264">
        <v>89.99</v>
      </c>
      <c r="G264" t="s">
        <v>304</v>
      </c>
    </row>
    <row r="265" spans="1:7" x14ac:dyDescent="0.35">
      <c r="A265" s="1">
        <v>264</v>
      </c>
      <c r="B265" t="s">
        <v>255</v>
      </c>
      <c r="C265">
        <v>6</v>
      </c>
      <c r="D265">
        <v>1</v>
      </c>
      <c r="E265">
        <v>2018</v>
      </c>
      <c r="F265">
        <v>249.99</v>
      </c>
      <c r="G265" t="s">
        <v>304</v>
      </c>
    </row>
    <row r="266" spans="1:7" x14ac:dyDescent="0.35">
      <c r="A266" s="1">
        <v>265</v>
      </c>
      <c r="B266" t="s">
        <v>256</v>
      </c>
      <c r="C266">
        <v>6</v>
      </c>
      <c r="D266">
        <v>1</v>
      </c>
      <c r="E266">
        <v>2018</v>
      </c>
      <c r="F266">
        <v>289.99</v>
      </c>
      <c r="G266" t="s">
        <v>304</v>
      </c>
    </row>
    <row r="267" spans="1:7" x14ac:dyDescent="0.35">
      <c r="A267" s="1">
        <v>266</v>
      </c>
      <c r="B267" t="s">
        <v>257</v>
      </c>
      <c r="C267">
        <v>9</v>
      </c>
      <c r="D267">
        <v>1</v>
      </c>
      <c r="E267">
        <v>2018</v>
      </c>
      <c r="F267">
        <v>399.99</v>
      </c>
      <c r="G267" t="s">
        <v>304</v>
      </c>
    </row>
    <row r="268" spans="1:7" x14ac:dyDescent="0.35">
      <c r="A268" s="1">
        <v>267</v>
      </c>
      <c r="B268" t="s">
        <v>258</v>
      </c>
      <c r="C268">
        <v>9</v>
      </c>
      <c r="D268">
        <v>1</v>
      </c>
      <c r="E268">
        <v>2018</v>
      </c>
      <c r="F268">
        <v>199.99</v>
      </c>
      <c r="G268" t="s">
        <v>304</v>
      </c>
    </row>
    <row r="269" spans="1:7" x14ac:dyDescent="0.35">
      <c r="A269" s="1">
        <v>268</v>
      </c>
      <c r="B269" t="s">
        <v>259</v>
      </c>
      <c r="C269">
        <v>9</v>
      </c>
      <c r="D269">
        <v>1</v>
      </c>
      <c r="E269">
        <v>2018</v>
      </c>
      <c r="F269">
        <v>159.99</v>
      </c>
      <c r="G269" t="s">
        <v>304</v>
      </c>
    </row>
    <row r="270" spans="1:7" x14ac:dyDescent="0.35">
      <c r="A270" s="1">
        <v>269</v>
      </c>
      <c r="B270" t="s">
        <v>260</v>
      </c>
      <c r="C270">
        <v>9</v>
      </c>
      <c r="D270">
        <v>1</v>
      </c>
      <c r="E270">
        <v>2018</v>
      </c>
      <c r="F270">
        <v>199.99</v>
      </c>
      <c r="G270" t="s">
        <v>304</v>
      </c>
    </row>
    <row r="271" spans="1:7" x14ac:dyDescent="0.35">
      <c r="A271" s="1">
        <v>270</v>
      </c>
      <c r="B271" t="s">
        <v>261</v>
      </c>
      <c r="C271">
        <v>9</v>
      </c>
      <c r="D271">
        <v>1</v>
      </c>
      <c r="E271">
        <v>2018</v>
      </c>
      <c r="F271">
        <v>209.99</v>
      </c>
      <c r="G271" t="s">
        <v>304</v>
      </c>
    </row>
    <row r="272" spans="1:7" x14ac:dyDescent="0.35">
      <c r="A272" s="1">
        <v>271</v>
      </c>
      <c r="B272" t="s">
        <v>262</v>
      </c>
      <c r="C272">
        <v>9</v>
      </c>
      <c r="D272">
        <v>1</v>
      </c>
      <c r="E272">
        <v>2018</v>
      </c>
      <c r="F272">
        <v>209.99</v>
      </c>
      <c r="G272" t="s">
        <v>304</v>
      </c>
    </row>
    <row r="273" spans="1:7" x14ac:dyDescent="0.35">
      <c r="A273" s="1">
        <v>272</v>
      </c>
      <c r="B273" t="s">
        <v>263</v>
      </c>
      <c r="C273">
        <v>9</v>
      </c>
      <c r="D273">
        <v>1</v>
      </c>
      <c r="E273">
        <v>2018</v>
      </c>
      <c r="F273">
        <v>289.99</v>
      </c>
      <c r="G273" t="s">
        <v>304</v>
      </c>
    </row>
    <row r="274" spans="1:7" x14ac:dyDescent="0.35">
      <c r="A274" s="1">
        <v>273</v>
      </c>
      <c r="B274" t="s">
        <v>264</v>
      </c>
      <c r="C274">
        <v>9</v>
      </c>
      <c r="D274">
        <v>1</v>
      </c>
      <c r="E274">
        <v>2018</v>
      </c>
      <c r="F274">
        <v>289.99</v>
      </c>
      <c r="G274" t="s">
        <v>304</v>
      </c>
    </row>
    <row r="275" spans="1:7" x14ac:dyDescent="0.35">
      <c r="A275" s="1">
        <v>274</v>
      </c>
      <c r="B275" t="s">
        <v>265</v>
      </c>
      <c r="C275">
        <v>9</v>
      </c>
      <c r="D275">
        <v>1</v>
      </c>
      <c r="E275">
        <v>2018</v>
      </c>
      <c r="F275">
        <v>229.99</v>
      </c>
      <c r="G275" t="s">
        <v>304</v>
      </c>
    </row>
    <row r="276" spans="1:7" x14ac:dyDescent="0.35">
      <c r="A276" s="1">
        <v>275</v>
      </c>
      <c r="B276" t="s">
        <v>266</v>
      </c>
      <c r="C276">
        <v>9</v>
      </c>
      <c r="D276">
        <v>1</v>
      </c>
      <c r="E276">
        <v>2018</v>
      </c>
      <c r="F276">
        <v>229.99</v>
      </c>
      <c r="G276" t="s">
        <v>304</v>
      </c>
    </row>
    <row r="277" spans="1:7" x14ac:dyDescent="0.35">
      <c r="A277" s="1">
        <v>276</v>
      </c>
      <c r="B277" t="s">
        <v>267</v>
      </c>
      <c r="C277">
        <v>9</v>
      </c>
      <c r="D277">
        <v>1</v>
      </c>
      <c r="E277">
        <v>2018</v>
      </c>
      <c r="F277">
        <v>319.99</v>
      </c>
      <c r="G277" t="s">
        <v>304</v>
      </c>
    </row>
    <row r="278" spans="1:7" x14ac:dyDescent="0.35">
      <c r="A278" s="1">
        <v>277</v>
      </c>
      <c r="B278" t="s">
        <v>268</v>
      </c>
      <c r="C278">
        <v>9</v>
      </c>
      <c r="D278">
        <v>1</v>
      </c>
      <c r="E278">
        <v>2018</v>
      </c>
      <c r="F278">
        <v>369.99</v>
      </c>
      <c r="G278" t="s">
        <v>304</v>
      </c>
    </row>
    <row r="279" spans="1:7" x14ac:dyDescent="0.35">
      <c r="A279" s="1">
        <v>278</v>
      </c>
      <c r="B279" t="s">
        <v>269</v>
      </c>
      <c r="C279">
        <v>9</v>
      </c>
      <c r="D279">
        <v>1</v>
      </c>
      <c r="E279">
        <v>2018</v>
      </c>
      <c r="F279">
        <v>369.99</v>
      </c>
      <c r="G279" t="s">
        <v>304</v>
      </c>
    </row>
    <row r="280" spans="1:7" x14ac:dyDescent="0.35">
      <c r="A280" s="1">
        <v>279</v>
      </c>
      <c r="B280" t="s">
        <v>270</v>
      </c>
      <c r="C280">
        <v>9</v>
      </c>
      <c r="D280">
        <v>1</v>
      </c>
      <c r="E280">
        <v>2018</v>
      </c>
      <c r="F280">
        <v>319.99</v>
      </c>
      <c r="G280" t="s">
        <v>304</v>
      </c>
    </row>
    <row r="281" spans="1:7" x14ac:dyDescent="0.35">
      <c r="A281" s="1">
        <v>280</v>
      </c>
      <c r="B281" t="s">
        <v>271</v>
      </c>
      <c r="C281">
        <v>9</v>
      </c>
      <c r="D281">
        <v>1</v>
      </c>
      <c r="E281">
        <v>2018</v>
      </c>
      <c r="F281">
        <v>489.99</v>
      </c>
      <c r="G281" t="s">
        <v>304</v>
      </c>
    </row>
    <row r="282" spans="1:7" x14ac:dyDescent="0.35">
      <c r="A282" s="1">
        <v>281</v>
      </c>
      <c r="B282" t="s">
        <v>222</v>
      </c>
      <c r="C282">
        <v>1</v>
      </c>
      <c r="D282">
        <v>1</v>
      </c>
      <c r="E282">
        <v>2018</v>
      </c>
      <c r="F282">
        <v>319.99</v>
      </c>
      <c r="G282" t="s">
        <v>304</v>
      </c>
    </row>
    <row r="283" spans="1:7" x14ac:dyDescent="0.35">
      <c r="A283" s="1">
        <v>282</v>
      </c>
      <c r="B283" t="s">
        <v>272</v>
      </c>
      <c r="C283">
        <v>1</v>
      </c>
      <c r="D283">
        <v>1</v>
      </c>
      <c r="E283">
        <v>2018</v>
      </c>
      <c r="F283">
        <v>279.99</v>
      </c>
      <c r="G283" t="s">
        <v>304</v>
      </c>
    </row>
    <row r="284" spans="1:7" x14ac:dyDescent="0.35">
      <c r="A284" s="1">
        <v>283</v>
      </c>
      <c r="B284" t="s">
        <v>273</v>
      </c>
      <c r="C284">
        <v>1</v>
      </c>
      <c r="D284">
        <v>1</v>
      </c>
      <c r="E284">
        <v>2018</v>
      </c>
      <c r="F284">
        <v>319.99</v>
      </c>
      <c r="G284" t="s">
        <v>304</v>
      </c>
    </row>
    <row r="285" spans="1:7" x14ac:dyDescent="0.35">
      <c r="A285" s="1">
        <v>284</v>
      </c>
      <c r="B285" t="s">
        <v>274</v>
      </c>
      <c r="C285">
        <v>1</v>
      </c>
      <c r="D285">
        <v>1</v>
      </c>
      <c r="E285">
        <v>2018</v>
      </c>
      <c r="F285">
        <v>319.99</v>
      </c>
      <c r="G285" t="s">
        <v>304</v>
      </c>
    </row>
    <row r="286" spans="1:7" x14ac:dyDescent="0.35">
      <c r="A286" s="1">
        <v>285</v>
      </c>
      <c r="B286" t="s">
        <v>275</v>
      </c>
      <c r="C286">
        <v>1</v>
      </c>
      <c r="D286">
        <v>1</v>
      </c>
      <c r="E286">
        <v>2018</v>
      </c>
      <c r="F286">
        <v>279.99</v>
      </c>
      <c r="G286" t="s">
        <v>304</v>
      </c>
    </row>
    <row r="287" spans="1:7" x14ac:dyDescent="0.35">
      <c r="A287" s="1">
        <v>286</v>
      </c>
      <c r="B287" t="s">
        <v>276</v>
      </c>
      <c r="C287">
        <v>1</v>
      </c>
      <c r="D287">
        <v>1</v>
      </c>
      <c r="E287">
        <v>2018</v>
      </c>
      <c r="F287">
        <v>279.99</v>
      </c>
      <c r="G287" t="s">
        <v>304</v>
      </c>
    </row>
    <row r="288" spans="1:7" x14ac:dyDescent="0.35">
      <c r="A288" s="1">
        <v>287</v>
      </c>
      <c r="B288" t="s">
        <v>277</v>
      </c>
      <c r="C288">
        <v>1</v>
      </c>
      <c r="D288">
        <v>1</v>
      </c>
      <c r="E288">
        <v>2018</v>
      </c>
      <c r="F288">
        <v>279.99</v>
      </c>
      <c r="G288" t="s">
        <v>304</v>
      </c>
    </row>
    <row r="289" spans="1:7" x14ac:dyDescent="0.35">
      <c r="A289" s="1">
        <v>288</v>
      </c>
      <c r="B289" t="s">
        <v>278</v>
      </c>
      <c r="C289">
        <v>1</v>
      </c>
      <c r="D289">
        <v>1</v>
      </c>
      <c r="E289">
        <v>2018</v>
      </c>
      <c r="F289">
        <v>389.99</v>
      </c>
      <c r="G289" t="s">
        <v>304</v>
      </c>
    </row>
    <row r="290" spans="1:7" x14ac:dyDescent="0.35">
      <c r="A290" s="1">
        <v>289</v>
      </c>
      <c r="B290" t="s">
        <v>279</v>
      </c>
      <c r="C290">
        <v>1</v>
      </c>
      <c r="D290">
        <v>1</v>
      </c>
      <c r="E290">
        <v>2018</v>
      </c>
      <c r="F290">
        <v>319.99</v>
      </c>
      <c r="G290" t="s">
        <v>304</v>
      </c>
    </row>
    <row r="291" spans="1:7" x14ac:dyDescent="0.35">
      <c r="A291" s="1">
        <v>290</v>
      </c>
      <c r="B291" t="s">
        <v>280</v>
      </c>
      <c r="C291">
        <v>1</v>
      </c>
      <c r="D291">
        <v>1</v>
      </c>
      <c r="E291">
        <v>2018</v>
      </c>
      <c r="F291">
        <v>369.99</v>
      </c>
      <c r="G291" t="s">
        <v>304</v>
      </c>
    </row>
    <row r="292" spans="1:7" x14ac:dyDescent="0.35">
      <c r="A292" s="1">
        <v>291</v>
      </c>
      <c r="B292" t="s">
        <v>281</v>
      </c>
      <c r="C292">
        <v>1</v>
      </c>
      <c r="D292">
        <v>1</v>
      </c>
      <c r="E292">
        <v>2018</v>
      </c>
      <c r="F292">
        <v>319.99</v>
      </c>
      <c r="G292" t="s">
        <v>304</v>
      </c>
    </row>
    <row r="293" spans="1:7" x14ac:dyDescent="0.35">
      <c r="A293" s="1">
        <v>292</v>
      </c>
      <c r="B293" t="s">
        <v>282</v>
      </c>
      <c r="C293">
        <v>1</v>
      </c>
      <c r="D293">
        <v>1</v>
      </c>
      <c r="E293">
        <v>2018</v>
      </c>
      <c r="F293">
        <v>369.99</v>
      </c>
      <c r="G293" t="s">
        <v>304</v>
      </c>
    </row>
    <row r="294" spans="1:7" x14ac:dyDescent="0.35">
      <c r="A294" s="1">
        <v>293</v>
      </c>
      <c r="B294" t="s">
        <v>283</v>
      </c>
      <c r="C294">
        <v>1</v>
      </c>
      <c r="D294">
        <v>1</v>
      </c>
      <c r="E294">
        <v>2018</v>
      </c>
      <c r="F294">
        <v>319.99</v>
      </c>
      <c r="G294" t="s">
        <v>304</v>
      </c>
    </row>
    <row r="295" spans="1:7" x14ac:dyDescent="0.35">
      <c r="A295" s="1">
        <v>294</v>
      </c>
      <c r="B295" t="s">
        <v>284</v>
      </c>
      <c r="C295">
        <v>1</v>
      </c>
      <c r="D295">
        <v>1</v>
      </c>
      <c r="E295">
        <v>2018</v>
      </c>
      <c r="F295">
        <v>369.99</v>
      </c>
      <c r="G295" t="s">
        <v>304</v>
      </c>
    </row>
    <row r="296" spans="1:7" x14ac:dyDescent="0.35">
      <c r="A296" s="1">
        <v>295</v>
      </c>
      <c r="B296" t="s">
        <v>285</v>
      </c>
      <c r="C296">
        <v>1</v>
      </c>
      <c r="D296">
        <v>1</v>
      </c>
      <c r="E296">
        <v>2018</v>
      </c>
      <c r="F296">
        <v>319.99</v>
      </c>
      <c r="G296" t="s">
        <v>304</v>
      </c>
    </row>
    <row r="297" spans="1:7" x14ac:dyDescent="0.35">
      <c r="A297" s="1">
        <v>296</v>
      </c>
      <c r="B297" t="s">
        <v>286</v>
      </c>
      <c r="C297">
        <v>1</v>
      </c>
      <c r="D297">
        <v>1</v>
      </c>
      <c r="E297">
        <v>2018</v>
      </c>
      <c r="F297">
        <v>369.99</v>
      </c>
      <c r="G297" t="s">
        <v>304</v>
      </c>
    </row>
    <row r="298" spans="1:7" x14ac:dyDescent="0.35">
      <c r="A298" s="1">
        <v>297</v>
      </c>
      <c r="B298" t="s">
        <v>287</v>
      </c>
      <c r="C298">
        <v>1</v>
      </c>
      <c r="D298">
        <v>1</v>
      </c>
      <c r="E298">
        <v>2018</v>
      </c>
      <c r="F298">
        <v>279.99</v>
      </c>
      <c r="G298" t="s">
        <v>304</v>
      </c>
    </row>
    <row r="299" spans="1:7" x14ac:dyDescent="0.35">
      <c r="A299" s="1">
        <v>298</v>
      </c>
      <c r="B299" t="s">
        <v>288</v>
      </c>
      <c r="C299">
        <v>1</v>
      </c>
      <c r="D299">
        <v>1</v>
      </c>
      <c r="E299">
        <v>2018</v>
      </c>
      <c r="F299">
        <v>279.99</v>
      </c>
      <c r="G299" t="s">
        <v>304</v>
      </c>
    </row>
    <row r="300" spans="1:7" x14ac:dyDescent="0.35">
      <c r="A300" s="1">
        <v>299</v>
      </c>
      <c r="B300" t="s">
        <v>207</v>
      </c>
      <c r="C300">
        <v>1</v>
      </c>
      <c r="D300">
        <v>2</v>
      </c>
      <c r="E300">
        <v>2018</v>
      </c>
      <c r="F300">
        <v>559.99</v>
      </c>
      <c r="G300" t="s">
        <v>304</v>
      </c>
    </row>
    <row r="301" spans="1:7" x14ac:dyDescent="0.35">
      <c r="A301" s="1">
        <v>300</v>
      </c>
      <c r="B301" t="s">
        <v>251</v>
      </c>
      <c r="C301">
        <v>1</v>
      </c>
      <c r="D301">
        <v>2</v>
      </c>
      <c r="E301">
        <v>2018</v>
      </c>
      <c r="F301">
        <v>799.99</v>
      </c>
      <c r="G301" t="s">
        <v>304</v>
      </c>
    </row>
    <row r="302" spans="1:7" x14ac:dyDescent="0.35">
      <c r="A302" s="1">
        <v>301</v>
      </c>
      <c r="B302" t="s">
        <v>252</v>
      </c>
      <c r="C302">
        <v>1</v>
      </c>
      <c r="D302">
        <v>2</v>
      </c>
      <c r="E302">
        <v>2018</v>
      </c>
      <c r="F302">
        <v>899.99</v>
      </c>
      <c r="G302" t="s">
        <v>304</v>
      </c>
    </row>
    <row r="303" spans="1:7" x14ac:dyDescent="0.35">
      <c r="A303" s="1">
        <v>302</v>
      </c>
      <c r="B303" t="s">
        <v>289</v>
      </c>
      <c r="C303">
        <v>1</v>
      </c>
      <c r="D303">
        <v>2</v>
      </c>
      <c r="E303">
        <v>2018</v>
      </c>
      <c r="F303">
        <v>449.99</v>
      </c>
      <c r="G303" t="s">
        <v>304</v>
      </c>
    </row>
    <row r="304" spans="1:7" x14ac:dyDescent="0.35">
      <c r="A304" s="1">
        <v>303</v>
      </c>
      <c r="B304" t="s">
        <v>189</v>
      </c>
      <c r="C304">
        <v>1</v>
      </c>
      <c r="D304">
        <v>2</v>
      </c>
      <c r="E304">
        <v>2018</v>
      </c>
      <c r="F304">
        <v>2599.9899999999998</v>
      </c>
      <c r="G304" t="s">
        <v>304</v>
      </c>
    </row>
    <row r="305" spans="1:7" x14ac:dyDescent="0.35">
      <c r="A305" s="1">
        <v>304</v>
      </c>
      <c r="B305" t="s">
        <v>221</v>
      </c>
      <c r="C305">
        <v>1</v>
      </c>
      <c r="D305">
        <v>2</v>
      </c>
      <c r="E305">
        <v>2018</v>
      </c>
      <c r="F305">
        <v>679.99</v>
      </c>
      <c r="G305" t="s">
        <v>304</v>
      </c>
    </row>
    <row r="306" spans="1:7" x14ac:dyDescent="0.35">
      <c r="A306" s="1">
        <v>305</v>
      </c>
      <c r="B306" t="s">
        <v>245</v>
      </c>
      <c r="C306">
        <v>1</v>
      </c>
      <c r="D306">
        <v>2</v>
      </c>
      <c r="E306">
        <v>2018</v>
      </c>
      <c r="F306">
        <v>749.99</v>
      </c>
      <c r="G306" t="s">
        <v>304</v>
      </c>
    </row>
    <row r="307" spans="1:7" x14ac:dyDescent="0.35">
      <c r="A307" s="1">
        <v>306</v>
      </c>
      <c r="B307" t="s">
        <v>246</v>
      </c>
      <c r="C307">
        <v>1</v>
      </c>
      <c r="D307">
        <v>2</v>
      </c>
      <c r="E307">
        <v>2018</v>
      </c>
      <c r="F307">
        <v>899.99</v>
      </c>
      <c r="G307" t="s">
        <v>304</v>
      </c>
    </row>
    <row r="308" spans="1:7" x14ac:dyDescent="0.35">
      <c r="A308" s="1">
        <v>307</v>
      </c>
      <c r="B308" t="s">
        <v>233</v>
      </c>
      <c r="C308">
        <v>1</v>
      </c>
      <c r="D308">
        <v>2</v>
      </c>
      <c r="E308">
        <v>2018</v>
      </c>
      <c r="F308">
        <v>749.99</v>
      </c>
      <c r="G308" t="s">
        <v>304</v>
      </c>
    </row>
    <row r="309" spans="1:7" x14ac:dyDescent="0.35">
      <c r="A309" s="1">
        <v>308</v>
      </c>
      <c r="B309" t="s">
        <v>234</v>
      </c>
      <c r="C309">
        <v>1</v>
      </c>
      <c r="D309">
        <v>2</v>
      </c>
      <c r="E309">
        <v>2018</v>
      </c>
      <c r="F309">
        <v>749.99</v>
      </c>
      <c r="G309" t="s">
        <v>304</v>
      </c>
    </row>
    <row r="310" spans="1:7" x14ac:dyDescent="0.35">
      <c r="A310" s="1">
        <v>309</v>
      </c>
      <c r="B310" t="s">
        <v>247</v>
      </c>
      <c r="C310">
        <v>1</v>
      </c>
      <c r="D310">
        <v>2</v>
      </c>
      <c r="E310">
        <v>2018</v>
      </c>
      <c r="F310">
        <v>899.99</v>
      </c>
      <c r="G310" t="s">
        <v>304</v>
      </c>
    </row>
    <row r="311" spans="1:7" x14ac:dyDescent="0.35">
      <c r="A311" s="1">
        <v>310</v>
      </c>
      <c r="B311" t="s">
        <v>235</v>
      </c>
      <c r="C311">
        <v>1</v>
      </c>
      <c r="D311">
        <v>2</v>
      </c>
      <c r="E311">
        <v>2018</v>
      </c>
      <c r="F311">
        <v>899.99</v>
      </c>
      <c r="G311" t="s">
        <v>304</v>
      </c>
    </row>
    <row r="312" spans="1:7" x14ac:dyDescent="0.35">
      <c r="A312" s="1">
        <v>311</v>
      </c>
      <c r="B312" t="s">
        <v>236</v>
      </c>
      <c r="C312">
        <v>1</v>
      </c>
      <c r="D312">
        <v>2</v>
      </c>
      <c r="E312">
        <v>2018</v>
      </c>
      <c r="F312">
        <v>749.99</v>
      </c>
      <c r="G312" t="s">
        <v>304</v>
      </c>
    </row>
    <row r="313" spans="1:7" x14ac:dyDescent="0.35">
      <c r="A313" s="1">
        <v>312</v>
      </c>
      <c r="B313" t="s">
        <v>237</v>
      </c>
      <c r="C313">
        <v>1</v>
      </c>
      <c r="D313">
        <v>2</v>
      </c>
      <c r="E313">
        <v>2018</v>
      </c>
      <c r="F313">
        <v>699.99</v>
      </c>
      <c r="G313" t="s">
        <v>304</v>
      </c>
    </row>
    <row r="314" spans="1:7" x14ac:dyDescent="0.35">
      <c r="A314" s="1">
        <v>313</v>
      </c>
      <c r="B314" t="s">
        <v>290</v>
      </c>
      <c r="C314">
        <v>1</v>
      </c>
      <c r="D314">
        <v>2</v>
      </c>
      <c r="E314">
        <v>2018</v>
      </c>
      <c r="F314">
        <v>449.99</v>
      </c>
      <c r="G314" t="s">
        <v>304</v>
      </c>
    </row>
    <row r="315" spans="1:7" x14ac:dyDescent="0.35">
      <c r="A315" s="1">
        <v>314</v>
      </c>
      <c r="B315" t="s">
        <v>238</v>
      </c>
      <c r="C315">
        <v>1</v>
      </c>
      <c r="D315">
        <v>2</v>
      </c>
      <c r="E315">
        <v>2018</v>
      </c>
      <c r="F315">
        <v>679.99</v>
      </c>
      <c r="G315" t="s">
        <v>304</v>
      </c>
    </row>
    <row r="316" spans="1:7" x14ac:dyDescent="0.35">
      <c r="A316" s="1">
        <v>315</v>
      </c>
      <c r="B316" t="s">
        <v>239</v>
      </c>
      <c r="C316">
        <v>1</v>
      </c>
      <c r="D316">
        <v>2</v>
      </c>
      <c r="E316">
        <v>2018</v>
      </c>
      <c r="F316">
        <v>559.99</v>
      </c>
      <c r="G316" t="s">
        <v>304</v>
      </c>
    </row>
    <row r="317" spans="1:7" x14ac:dyDescent="0.35">
      <c r="A317" s="1">
        <v>316</v>
      </c>
      <c r="B317" t="s">
        <v>291</v>
      </c>
      <c r="C317">
        <v>9</v>
      </c>
      <c r="D317">
        <v>7</v>
      </c>
      <c r="E317">
        <v>2019</v>
      </c>
      <c r="F317">
        <v>1699.99</v>
      </c>
      <c r="G317" t="s">
        <v>304</v>
      </c>
    </row>
    <row r="318" spans="1:7" x14ac:dyDescent="0.35">
      <c r="A318" s="1">
        <v>317</v>
      </c>
      <c r="B318" t="s">
        <v>292</v>
      </c>
      <c r="C318">
        <v>9</v>
      </c>
      <c r="D318">
        <v>7</v>
      </c>
      <c r="E318">
        <v>2019</v>
      </c>
      <c r="F318">
        <v>1999.99</v>
      </c>
      <c r="G318" t="s">
        <v>304</v>
      </c>
    </row>
    <row r="319" spans="1:7" x14ac:dyDescent="0.35">
      <c r="A319" s="1">
        <v>318</v>
      </c>
      <c r="B319" t="s">
        <v>293</v>
      </c>
      <c r="C319">
        <v>9</v>
      </c>
      <c r="D319">
        <v>7</v>
      </c>
      <c r="E319">
        <v>2019</v>
      </c>
      <c r="F319">
        <v>1999.99</v>
      </c>
      <c r="G319" t="s">
        <v>304</v>
      </c>
    </row>
    <row r="320" spans="1:7" x14ac:dyDescent="0.35">
      <c r="A320" s="1">
        <v>319</v>
      </c>
      <c r="B320" t="s">
        <v>294</v>
      </c>
      <c r="C320">
        <v>9</v>
      </c>
      <c r="D320">
        <v>7</v>
      </c>
      <c r="E320">
        <v>2019</v>
      </c>
      <c r="F320">
        <v>2799.99</v>
      </c>
      <c r="G320" t="s">
        <v>304</v>
      </c>
    </row>
    <row r="321" spans="1:7" x14ac:dyDescent="0.35">
      <c r="A321" s="1">
        <v>320</v>
      </c>
      <c r="B321" t="s">
        <v>295</v>
      </c>
      <c r="C321">
        <v>9</v>
      </c>
      <c r="D321">
        <v>7</v>
      </c>
      <c r="E321">
        <v>2019</v>
      </c>
      <c r="F321">
        <v>3799.99</v>
      </c>
      <c r="G321" t="s">
        <v>304</v>
      </c>
    </row>
    <row r="322" spans="1:7" x14ac:dyDescent="0.35">
      <c r="A322" s="1">
        <v>321</v>
      </c>
      <c r="B322" t="s">
        <v>296</v>
      </c>
      <c r="C322">
        <v>9</v>
      </c>
      <c r="D322">
        <v>7</v>
      </c>
      <c r="E322">
        <v>2019</v>
      </c>
      <c r="F322">
        <v>3199.99</v>
      </c>
      <c r="G322" t="s">
        <v>304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CA232D-3FE2-4221-A54D-722AA4E609EE}">
  <dimension ref="A1:C4727"/>
  <sheetViews>
    <sheetView workbookViewId="0">
      <selection activeCell="C6" sqref="C6"/>
    </sheetView>
  </sheetViews>
  <sheetFormatPr defaultRowHeight="14.5" x14ac:dyDescent="0.35"/>
  <cols>
    <col min="2" max="2" width="41.36328125" customWidth="1"/>
  </cols>
  <sheetData>
    <row r="1" spans="1:3" x14ac:dyDescent="0.35">
      <c r="A1" t="s">
        <v>0</v>
      </c>
      <c r="B1" t="s">
        <v>2</v>
      </c>
      <c r="C1" t="s">
        <v>5574</v>
      </c>
    </row>
    <row r="2" spans="1:3" x14ac:dyDescent="0.35">
      <c r="A2" s="21">
        <v>20</v>
      </c>
      <c r="B2" t="str">
        <f>VLOOKUP(A2,Products!$A$1:$F$322,2,FALSE)</f>
        <v>Electra Townie Original 7D EQ - Women's - 2016</v>
      </c>
      <c r="C2" s="21">
        <f>VLOOKUP(A2,Products!A2:$D$322,4,0)</f>
        <v>3</v>
      </c>
    </row>
    <row r="3" spans="1:3" x14ac:dyDescent="0.35">
      <c r="A3" s="21">
        <v>8</v>
      </c>
      <c r="B3" t="str">
        <f>VLOOKUP(A3,Products!$A$1:$F$322,2,FALSE)</f>
        <v>Trek Remedy 29 Carbon Frameset - 2016</v>
      </c>
      <c r="C3" s="21">
        <f>VLOOKUP(A3,Products!A3:$D$322,4,0)</f>
        <v>6</v>
      </c>
    </row>
    <row r="4" spans="1:3" x14ac:dyDescent="0.35">
      <c r="A4" s="21">
        <v>10</v>
      </c>
      <c r="B4" t="str">
        <f>VLOOKUP(A4,Products!$A$1:$F$322,2,FALSE)</f>
        <v>Surly Straggler - 2016</v>
      </c>
      <c r="C4" s="21">
        <f>VLOOKUP(A4,Products!A4:$D$322,4,0)</f>
        <v>4</v>
      </c>
    </row>
    <row r="5" spans="1:3" x14ac:dyDescent="0.35">
      <c r="A5" s="21">
        <v>16</v>
      </c>
      <c r="B5" t="str">
        <f>VLOOKUP(A5,Products!$A$1:$F$322,2,FALSE)</f>
        <v>Electra Townie Original 7D EQ - 2016</v>
      </c>
      <c r="C5" s="21">
        <f>VLOOKUP(A5,Products!A5:$D$322,4,0)</f>
        <v>3</v>
      </c>
    </row>
    <row r="6" spans="1:3" x14ac:dyDescent="0.35">
      <c r="A6" s="21">
        <v>4</v>
      </c>
      <c r="B6" t="str">
        <f>VLOOKUP(A6,Products!$A$1:$F$322,2,FALSE)</f>
        <v>Trek Fuel EX 8 29 - 2016</v>
      </c>
      <c r="C6" s="21" t="e">
        <f>VLOOKUP(A6,Products!A6:$D$322,4,0)</f>
        <v>#N/A</v>
      </c>
    </row>
    <row r="7" spans="1:3" x14ac:dyDescent="0.35">
      <c r="A7" s="21">
        <v>20</v>
      </c>
      <c r="B7" t="str">
        <f>VLOOKUP(A7,Products!$A$1:$F$322,2,FALSE)</f>
        <v>Electra Townie Original 7D EQ - Women's - 2016</v>
      </c>
      <c r="C7" s="21">
        <f>VLOOKUP(A7,Products!A7:$D$322,4,0)</f>
        <v>3</v>
      </c>
    </row>
    <row r="8" spans="1:3" x14ac:dyDescent="0.35">
      <c r="A8" s="21">
        <v>16</v>
      </c>
      <c r="B8" t="str">
        <f>VLOOKUP(A8,Products!$A$1:$F$322,2,FALSE)</f>
        <v>Electra Townie Original 7D EQ - 2016</v>
      </c>
      <c r="C8" s="21">
        <f>VLOOKUP(A8,Products!A8:$D$322,4,0)</f>
        <v>3</v>
      </c>
    </row>
    <row r="9" spans="1:3" x14ac:dyDescent="0.35">
      <c r="A9" s="21">
        <v>3</v>
      </c>
      <c r="B9" t="str">
        <f>VLOOKUP(A9,Products!$A$1:$F$322,2,FALSE)</f>
        <v>Surly Wednesday Frameset - 2016</v>
      </c>
      <c r="C9" s="21" t="e">
        <f>VLOOKUP(A9,Products!A9:$D$322,4,0)</f>
        <v>#N/A</v>
      </c>
    </row>
    <row r="10" spans="1:3" x14ac:dyDescent="0.35">
      <c r="A10" s="21">
        <v>20</v>
      </c>
      <c r="B10" t="str">
        <f>VLOOKUP(A10,Products!$A$1:$F$322,2,FALSE)</f>
        <v>Electra Townie Original 7D EQ - Women's - 2016</v>
      </c>
      <c r="C10" s="21">
        <f>VLOOKUP(A10,Products!A10:$D$322,4,FALSE)</f>
        <v>3</v>
      </c>
    </row>
    <row r="11" spans="1:3" x14ac:dyDescent="0.35">
      <c r="A11" s="21">
        <v>2</v>
      </c>
      <c r="B11" t="str">
        <f>VLOOKUP(A11,Products!$A$1:$F$322,2,FALSE)</f>
        <v>Ritchey Timberwolf Frameset - 2016</v>
      </c>
      <c r="C11" s="21" t="e">
        <f>VLOOKUP(A11,Products!A11:$D$322,4,FALSE)</f>
        <v>#N/A</v>
      </c>
    </row>
    <row r="12" spans="1:3" x14ac:dyDescent="0.35">
      <c r="A12" s="21">
        <v>10</v>
      </c>
      <c r="B12" t="str">
        <f>VLOOKUP(A12,Products!$A$1:$F$322,2,FALSE)</f>
        <v>Surly Straggler - 2016</v>
      </c>
      <c r="C12" s="21" t="e">
        <f>VLOOKUP(A12,Products!A12:$D$322,4,FALSE)</f>
        <v>#N/A</v>
      </c>
    </row>
    <row r="13" spans="1:3" x14ac:dyDescent="0.35">
      <c r="A13" s="21">
        <v>17</v>
      </c>
      <c r="B13" t="str">
        <f>VLOOKUP(A13,Products!$A$1:$F$322,2,FALSE)</f>
        <v>Pure Cycles Vine 8-Speed - 2016</v>
      </c>
      <c r="C13" s="21">
        <f>VLOOKUP(A13,Products!A13:$D$322,4,FALSE)</f>
        <v>3</v>
      </c>
    </row>
    <row r="14" spans="1:3" x14ac:dyDescent="0.35">
      <c r="A14" s="21">
        <v>26</v>
      </c>
      <c r="B14" t="str">
        <f>VLOOKUP(A14,Products!$A$1:$F$322,2,FALSE)</f>
        <v>Electra Townie Original 7D EQ - 2016</v>
      </c>
      <c r="C14" s="21">
        <f>VLOOKUP(A14,Products!A14:$D$322,4,FALSE)</f>
        <v>2</v>
      </c>
    </row>
    <row r="15" spans="1:3" x14ac:dyDescent="0.35">
      <c r="A15" s="21">
        <v>18</v>
      </c>
      <c r="B15" t="str">
        <f>VLOOKUP(A15,Products!$A$1:$F$322,2,FALSE)</f>
        <v>Pure Cycles Western 3-Speed - Women's - 2015/2016</v>
      </c>
      <c r="C15" s="21">
        <f>VLOOKUP(A15,Products!A15:$D$322,4,FALSE)</f>
        <v>3</v>
      </c>
    </row>
    <row r="16" spans="1:3" x14ac:dyDescent="0.35">
      <c r="A16" s="21">
        <v>12</v>
      </c>
      <c r="B16" t="str">
        <f>VLOOKUP(A16,Products!$A$1:$F$322,2,FALSE)</f>
        <v>Electra Townie Original 21D - 2016</v>
      </c>
      <c r="C16" s="21" t="e">
        <f>VLOOKUP(A16,Products!A16:$D$322,4,FALSE)</f>
        <v>#N/A</v>
      </c>
    </row>
    <row r="17" spans="1:3" x14ac:dyDescent="0.35">
      <c r="A17" s="21">
        <v>20</v>
      </c>
      <c r="B17" t="str">
        <f>VLOOKUP(A17,Products!$A$1:$F$322,2,FALSE)</f>
        <v>Electra Townie Original 7D EQ - Women's - 2016</v>
      </c>
      <c r="C17" s="21">
        <f>VLOOKUP(A17,Products!A17:$D$322,4,FALSE)</f>
        <v>3</v>
      </c>
    </row>
    <row r="18" spans="1:3" x14ac:dyDescent="0.35">
      <c r="A18" s="21">
        <v>3</v>
      </c>
      <c r="B18" t="str">
        <f>VLOOKUP(A18,Products!$A$1:$F$322,2,FALSE)</f>
        <v>Surly Wednesday Frameset - 2016</v>
      </c>
      <c r="C18" s="21" t="e">
        <f>VLOOKUP(A18,Products!A18:$D$322,4,FALSE)</f>
        <v>#N/A</v>
      </c>
    </row>
    <row r="19" spans="1:3" x14ac:dyDescent="0.35">
      <c r="A19" s="21">
        <v>9</v>
      </c>
      <c r="B19" t="str">
        <f>VLOOKUP(A19,Products!$A$1:$F$322,2,FALSE)</f>
        <v>Trek Conduit+ - 2016</v>
      </c>
      <c r="C19" s="21" t="e">
        <f>VLOOKUP(A19,Products!A19:$D$322,4,FALSE)</f>
        <v>#N/A</v>
      </c>
    </row>
    <row r="20" spans="1:3" x14ac:dyDescent="0.35">
      <c r="A20" s="21">
        <v>15</v>
      </c>
      <c r="B20" t="str">
        <f>VLOOKUP(A20,Products!$A$1:$F$322,2,FALSE)</f>
        <v>Electra Moto 1 - 2016</v>
      </c>
      <c r="C20" s="21" t="e">
        <f>VLOOKUP(A20,Products!A20:$D$322,4,FALSE)</f>
        <v>#N/A</v>
      </c>
    </row>
    <row r="21" spans="1:3" x14ac:dyDescent="0.35">
      <c r="A21" s="21">
        <v>3</v>
      </c>
      <c r="B21" t="str">
        <f>VLOOKUP(A21,Products!$A$1:$F$322,2,FALSE)</f>
        <v>Surly Wednesday Frameset - 2016</v>
      </c>
      <c r="C21" s="21" t="e">
        <f>VLOOKUP(A21,Products!A21:$D$322,4,FALSE)</f>
        <v>#N/A</v>
      </c>
    </row>
    <row r="22" spans="1:3" x14ac:dyDescent="0.35">
      <c r="A22" s="21">
        <v>17</v>
      </c>
      <c r="B22" t="str">
        <f>VLOOKUP(A22,Products!$A$1:$F$322,2,FALSE)</f>
        <v>Pure Cycles Vine 8-Speed - 2016</v>
      </c>
      <c r="C22" s="21" t="e">
        <f>VLOOKUP(A22,Products!A22:$D$322,4,FALSE)</f>
        <v>#N/A</v>
      </c>
    </row>
    <row r="23" spans="1:3" x14ac:dyDescent="0.35">
      <c r="A23" s="21">
        <v>22</v>
      </c>
      <c r="B23" t="str">
        <f>VLOOKUP(A23,Products!$A$1:$F$322,2,FALSE)</f>
        <v>Electra Girl's Hawaii 1 (16-inch) - 2015/2016</v>
      </c>
      <c r="C23" s="21">
        <f>VLOOKUP(A23,Products!A23:$D$322,4,FALSE)</f>
        <v>1</v>
      </c>
    </row>
    <row r="24" spans="1:3" x14ac:dyDescent="0.35">
      <c r="A24" s="21">
        <v>20</v>
      </c>
      <c r="B24" t="str">
        <f>VLOOKUP(A24,Products!$A$1:$F$322,2,FALSE)</f>
        <v>Electra Townie Original 7D EQ - Women's - 2016</v>
      </c>
      <c r="C24" s="21" t="e">
        <f>VLOOKUP(A24,Products!A24:$D$322,4,FALSE)</f>
        <v>#N/A</v>
      </c>
    </row>
    <row r="25" spans="1:3" x14ac:dyDescent="0.35">
      <c r="A25" s="21">
        <v>7</v>
      </c>
      <c r="B25" t="str">
        <f>VLOOKUP(A25,Products!$A$1:$F$322,2,FALSE)</f>
        <v>Trek Slash 8 27.5 - 2016</v>
      </c>
      <c r="C25" s="21" t="e">
        <f>VLOOKUP(A25,Products!A25:$D$322,4,FALSE)</f>
        <v>#N/A</v>
      </c>
    </row>
    <row r="26" spans="1:3" x14ac:dyDescent="0.35">
      <c r="A26" s="21">
        <v>14</v>
      </c>
      <c r="B26" t="str">
        <f>VLOOKUP(A26,Products!$A$1:$F$322,2,FALSE)</f>
        <v>Electra Girl's Hawaii 1 (16-inch) - 2015/2016</v>
      </c>
      <c r="C26" s="21" t="e">
        <f>VLOOKUP(A26,Products!A26:$D$322,4,FALSE)</f>
        <v>#N/A</v>
      </c>
    </row>
    <row r="27" spans="1:3" x14ac:dyDescent="0.35">
      <c r="A27" s="21">
        <v>8</v>
      </c>
      <c r="B27" t="str">
        <f>VLOOKUP(A27,Products!$A$1:$F$322,2,FALSE)</f>
        <v>Trek Remedy 29 Carbon Frameset - 2016</v>
      </c>
      <c r="C27" s="21" t="e">
        <f>VLOOKUP(A27,Products!A27:$D$322,4,FALSE)</f>
        <v>#N/A</v>
      </c>
    </row>
    <row r="28" spans="1:3" x14ac:dyDescent="0.35">
      <c r="A28" s="21">
        <v>22</v>
      </c>
      <c r="B28" t="str">
        <f>VLOOKUP(A28,Products!$A$1:$F$322,2,FALSE)</f>
        <v>Electra Girl's Hawaii 1 (16-inch) - 2015/2016</v>
      </c>
      <c r="C28" s="21" t="e">
        <f>VLOOKUP(A28,Products!A28:$D$322,4,FALSE)</f>
        <v>#N/A</v>
      </c>
    </row>
    <row r="29" spans="1:3" x14ac:dyDescent="0.35">
      <c r="A29" s="21">
        <v>16</v>
      </c>
      <c r="B29" t="str">
        <f>VLOOKUP(A29,Products!$A$1:$F$322,2,FALSE)</f>
        <v>Electra Townie Original 7D EQ - 2016</v>
      </c>
      <c r="C29" s="21" t="e">
        <f>VLOOKUP(A29,Products!A29:$D$322,4,FALSE)</f>
        <v>#N/A</v>
      </c>
    </row>
    <row r="30" spans="1:3" x14ac:dyDescent="0.35">
      <c r="A30" s="21">
        <v>4</v>
      </c>
      <c r="B30" t="str">
        <f>VLOOKUP(A30,Products!$A$1:$F$322,2,FALSE)</f>
        <v>Trek Fuel EX 8 29 - 2016</v>
      </c>
      <c r="C30" s="21" t="e">
        <f>VLOOKUP(A30,Products!A30:$D$322,4,FALSE)</f>
        <v>#N/A</v>
      </c>
    </row>
    <row r="31" spans="1:3" x14ac:dyDescent="0.35">
      <c r="A31" s="21">
        <v>11</v>
      </c>
      <c r="B31" t="str">
        <f>VLOOKUP(A31,Products!$A$1:$F$322,2,FALSE)</f>
        <v>Surly Straggler 650b - 2016</v>
      </c>
      <c r="C31" s="21" t="e">
        <f>VLOOKUP(A31,Products!A31:$D$322,4,FALSE)</f>
        <v>#N/A</v>
      </c>
    </row>
    <row r="32" spans="1:3" x14ac:dyDescent="0.35">
      <c r="A32" s="21">
        <v>13</v>
      </c>
      <c r="B32" t="str">
        <f>VLOOKUP(A32,Products!$A$1:$F$322,2,FALSE)</f>
        <v>Electra Cruiser 1 (24-Inch) - 2016</v>
      </c>
      <c r="C32" s="21" t="e">
        <f>VLOOKUP(A32,Products!A32:$D$322,4,FALSE)</f>
        <v>#N/A</v>
      </c>
    </row>
    <row r="33" spans="1:3" x14ac:dyDescent="0.35">
      <c r="A33" s="21">
        <v>17</v>
      </c>
      <c r="B33" t="str">
        <f>VLOOKUP(A33,Products!$A$1:$F$322,2,FALSE)</f>
        <v>Pure Cycles Vine 8-Speed - 2016</v>
      </c>
      <c r="C33" s="21" t="e">
        <f>VLOOKUP(A33,Products!A33:$D$322,4,FALSE)</f>
        <v>#N/A</v>
      </c>
    </row>
    <row r="34" spans="1:3" x14ac:dyDescent="0.35">
      <c r="A34" s="21">
        <v>20</v>
      </c>
      <c r="B34" t="str">
        <f>VLOOKUP(A34,Products!$A$1:$F$322,2,FALSE)</f>
        <v>Electra Townie Original 7D EQ - Women's - 2016</v>
      </c>
      <c r="C34" s="21" t="e">
        <f>VLOOKUP(A34,Products!A34:$D$322,4,FALSE)</f>
        <v>#N/A</v>
      </c>
    </row>
    <row r="35" spans="1:3" x14ac:dyDescent="0.35">
      <c r="A35" s="21">
        <v>16</v>
      </c>
      <c r="B35" t="str">
        <f>VLOOKUP(A35,Products!$A$1:$F$322,2,FALSE)</f>
        <v>Electra Townie Original 7D EQ - 2016</v>
      </c>
      <c r="C35" s="21" t="e">
        <f>VLOOKUP(A35,Products!A35:$D$322,4,FALSE)</f>
        <v>#N/A</v>
      </c>
    </row>
    <row r="36" spans="1:3" x14ac:dyDescent="0.35">
      <c r="A36" s="21">
        <v>6</v>
      </c>
      <c r="B36" t="str">
        <f>VLOOKUP(A36,Products!$A$1:$F$322,2,FALSE)</f>
        <v>Surly Ice Cream Truck Frameset - 2016</v>
      </c>
      <c r="C36" s="21" t="e">
        <f>VLOOKUP(A36,Products!A36:$D$322,4,FALSE)</f>
        <v>#N/A</v>
      </c>
    </row>
    <row r="37" spans="1:3" x14ac:dyDescent="0.35">
      <c r="A37" s="21">
        <v>12</v>
      </c>
      <c r="B37" t="str">
        <f>VLOOKUP(A37,Products!$A$1:$F$322,2,FALSE)</f>
        <v>Electra Townie Original 21D - 2016</v>
      </c>
      <c r="C37" s="21" t="e">
        <f>VLOOKUP(A37,Products!A37:$D$322,4,FALSE)</f>
        <v>#N/A</v>
      </c>
    </row>
    <row r="38" spans="1:3" x14ac:dyDescent="0.35">
      <c r="A38" s="21">
        <v>8</v>
      </c>
      <c r="B38" t="str">
        <f>VLOOKUP(A38,Products!$A$1:$F$322,2,FALSE)</f>
        <v>Trek Remedy 29 Carbon Frameset - 2016</v>
      </c>
      <c r="C38" s="21" t="e">
        <f>VLOOKUP(A38,Products!A38:$D$322,4,FALSE)</f>
        <v>#N/A</v>
      </c>
    </row>
    <row r="39" spans="1:3" x14ac:dyDescent="0.35">
      <c r="A39" s="21">
        <v>18</v>
      </c>
      <c r="B39" t="str">
        <f>VLOOKUP(A39,Products!$A$1:$F$322,2,FALSE)</f>
        <v>Pure Cycles Western 3-Speed - Women's - 2015/2016</v>
      </c>
      <c r="C39" s="21" t="e">
        <f>VLOOKUP(A39,Products!A39:$D$322,4,FALSE)</f>
        <v>#N/A</v>
      </c>
    </row>
    <row r="40" spans="1:3" x14ac:dyDescent="0.35">
      <c r="A40" s="21">
        <v>23</v>
      </c>
      <c r="B40" t="str">
        <f>VLOOKUP(A40,Products!$A$1:$F$322,2,FALSE)</f>
        <v>Electra Girl's Hawaii 1 (20-inch) - 2015/2016</v>
      </c>
      <c r="C40" s="21" t="e">
        <f>VLOOKUP(A40,Products!A40:$D$322,4,FALSE)</f>
        <v>#N/A</v>
      </c>
    </row>
    <row r="41" spans="1:3" x14ac:dyDescent="0.35">
      <c r="A41" s="21">
        <v>8</v>
      </c>
      <c r="B41" t="str">
        <f>VLOOKUP(A41,Products!$A$1:$F$322,2,FALSE)</f>
        <v>Trek Remedy 29 Carbon Frameset - 2016</v>
      </c>
      <c r="C41" s="21" t="e">
        <f>VLOOKUP(A41,Products!A41:$D$322,4,FALSE)</f>
        <v>#N/A</v>
      </c>
    </row>
    <row r="42" spans="1:3" x14ac:dyDescent="0.35">
      <c r="A42" s="21">
        <v>21</v>
      </c>
      <c r="B42" t="str">
        <f>VLOOKUP(A42,Products!$A$1:$F$322,2,FALSE)</f>
        <v>Electra Cruiser 1 (24-Inch) - 2016</v>
      </c>
      <c r="C42" s="21" t="e">
        <f>VLOOKUP(A42,Products!A42:$D$322,4,FALSE)</f>
        <v>#N/A</v>
      </c>
    </row>
    <row r="43" spans="1:3" x14ac:dyDescent="0.35">
      <c r="A43" s="21">
        <v>13</v>
      </c>
      <c r="B43" t="str">
        <f>VLOOKUP(A43,Products!$A$1:$F$322,2,FALSE)</f>
        <v>Electra Cruiser 1 (24-Inch) - 2016</v>
      </c>
      <c r="C43" s="21" t="e">
        <f>VLOOKUP(A43,Products!A43:$D$322,4,FALSE)</f>
        <v>#N/A</v>
      </c>
    </row>
    <row r="44" spans="1:3" x14ac:dyDescent="0.35">
      <c r="A44" s="21">
        <v>14</v>
      </c>
      <c r="B44" t="str">
        <f>VLOOKUP(A44,Products!$A$1:$F$322,2,FALSE)</f>
        <v>Electra Girl's Hawaii 1 (16-inch) - 2015/2016</v>
      </c>
      <c r="C44" s="21" t="e">
        <f>VLOOKUP(A44,Products!A44:$D$322,4,FALSE)</f>
        <v>#N/A</v>
      </c>
    </row>
    <row r="45" spans="1:3" x14ac:dyDescent="0.35">
      <c r="A45" s="21">
        <v>8</v>
      </c>
      <c r="B45" t="str">
        <f>VLOOKUP(A45,Products!$A$1:$F$322,2,FALSE)</f>
        <v>Trek Remedy 29 Carbon Frameset - 2016</v>
      </c>
      <c r="C45" s="21" t="e">
        <f>VLOOKUP(A45,Products!A45:$D$322,4,FALSE)</f>
        <v>#N/A</v>
      </c>
    </row>
    <row r="46" spans="1:3" x14ac:dyDescent="0.35">
      <c r="A46" s="21">
        <v>23</v>
      </c>
      <c r="B46" t="str">
        <f>VLOOKUP(A46,Products!$A$1:$F$322,2,FALSE)</f>
        <v>Electra Girl's Hawaii 1 (20-inch) - 2015/2016</v>
      </c>
      <c r="C46" s="21" t="e">
        <f>VLOOKUP(A46,Products!A46:$D$322,4,FALSE)</f>
        <v>#N/A</v>
      </c>
    </row>
    <row r="47" spans="1:3" x14ac:dyDescent="0.35">
      <c r="A47" s="21">
        <v>5</v>
      </c>
      <c r="B47" t="str">
        <f>VLOOKUP(A47,Products!$A$1:$F$322,2,FALSE)</f>
        <v>Heller Shagamaw Frame - 2016</v>
      </c>
      <c r="C47" s="21" t="e">
        <f>VLOOKUP(A47,Products!A47:$D$322,4,FALSE)</f>
        <v>#N/A</v>
      </c>
    </row>
    <row r="48" spans="1:3" x14ac:dyDescent="0.35">
      <c r="A48" s="21">
        <v>20</v>
      </c>
      <c r="B48" t="str">
        <f>VLOOKUP(A48,Products!$A$1:$F$322,2,FALSE)</f>
        <v>Electra Townie Original 7D EQ - Women's - 2016</v>
      </c>
      <c r="C48" s="21" t="e">
        <f>VLOOKUP(A48,Products!A48:$D$322,4,FALSE)</f>
        <v>#N/A</v>
      </c>
    </row>
    <row r="49" spans="1:3" x14ac:dyDescent="0.35">
      <c r="A49" s="21">
        <v>2</v>
      </c>
      <c r="B49" t="str">
        <f>VLOOKUP(A49,Products!$A$1:$F$322,2,FALSE)</f>
        <v>Ritchey Timberwolf Frameset - 2016</v>
      </c>
      <c r="C49" s="21" t="e">
        <f>VLOOKUP(A49,Products!A49:$D$322,4,FALSE)</f>
        <v>#N/A</v>
      </c>
    </row>
    <row r="50" spans="1:3" x14ac:dyDescent="0.35">
      <c r="A50" s="21">
        <v>22</v>
      </c>
      <c r="B50" t="str">
        <f>VLOOKUP(A50,Products!$A$1:$F$322,2,FALSE)</f>
        <v>Electra Girl's Hawaii 1 (16-inch) - 2015/2016</v>
      </c>
      <c r="C50" s="21" t="e">
        <f>VLOOKUP(A50,Products!A50:$D$322,4,FALSE)</f>
        <v>#N/A</v>
      </c>
    </row>
    <row r="51" spans="1:3" x14ac:dyDescent="0.35">
      <c r="A51" s="21">
        <v>7</v>
      </c>
      <c r="B51" t="str">
        <f>VLOOKUP(A51,Products!$A$1:$F$322,2,FALSE)</f>
        <v>Trek Slash 8 27.5 - 2016</v>
      </c>
      <c r="C51" s="21" t="e">
        <f>VLOOKUP(A51,Products!A51:$D$322,4,FALSE)</f>
        <v>#N/A</v>
      </c>
    </row>
    <row r="52" spans="1:3" x14ac:dyDescent="0.35">
      <c r="A52" s="21">
        <v>25</v>
      </c>
      <c r="B52" t="str">
        <f>VLOOKUP(A52,Products!$A$1:$F$322,2,FALSE)</f>
        <v>Electra Townie Original 7D - 2015/2016</v>
      </c>
      <c r="C52" s="21" t="e">
        <f>VLOOKUP(A52,Products!A52:$D$322,4,FALSE)</f>
        <v>#N/A</v>
      </c>
    </row>
    <row r="53" spans="1:3" x14ac:dyDescent="0.35">
      <c r="A53" s="21">
        <v>9</v>
      </c>
      <c r="B53" t="str">
        <f>VLOOKUP(A53,Products!$A$1:$F$322,2,FALSE)</f>
        <v>Trek Conduit+ - 2016</v>
      </c>
      <c r="C53" s="21" t="e">
        <f>VLOOKUP(A53,Products!A53:$D$322,4,FALSE)</f>
        <v>#N/A</v>
      </c>
    </row>
    <row r="54" spans="1:3" x14ac:dyDescent="0.35">
      <c r="A54" s="21">
        <v>10</v>
      </c>
      <c r="B54" t="str">
        <f>VLOOKUP(A54,Products!$A$1:$F$322,2,FALSE)</f>
        <v>Surly Straggler - 2016</v>
      </c>
      <c r="C54" s="21" t="e">
        <f>VLOOKUP(A54,Products!A54:$D$322,4,FALSE)</f>
        <v>#N/A</v>
      </c>
    </row>
    <row r="55" spans="1:3" x14ac:dyDescent="0.35">
      <c r="A55" s="21">
        <v>9</v>
      </c>
      <c r="B55" t="str">
        <f>VLOOKUP(A55,Products!$A$1:$F$322,2,FALSE)</f>
        <v>Trek Conduit+ - 2016</v>
      </c>
      <c r="C55" s="21" t="e">
        <f>VLOOKUP(A55,Products!A55:$D$322,4,FALSE)</f>
        <v>#N/A</v>
      </c>
    </row>
    <row r="56" spans="1:3" x14ac:dyDescent="0.35">
      <c r="A56" s="21">
        <v>9</v>
      </c>
      <c r="B56" t="str">
        <f>VLOOKUP(A56,Products!$A$1:$F$322,2,FALSE)</f>
        <v>Trek Conduit+ - 2016</v>
      </c>
      <c r="C56" s="21" t="e">
        <f>VLOOKUP(A56,Products!A56:$D$322,4,FALSE)</f>
        <v>#N/A</v>
      </c>
    </row>
    <row r="57" spans="1:3" x14ac:dyDescent="0.35">
      <c r="A57" s="21">
        <v>10</v>
      </c>
      <c r="B57" t="str">
        <f>VLOOKUP(A57,Products!$A$1:$F$322,2,FALSE)</f>
        <v>Surly Straggler - 2016</v>
      </c>
      <c r="C57" s="21" t="e">
        <f>VLOOKUP(A57,Products!A57:$D$322,4,FALSE)</f>
        <v>#N/A</v>
      </c>
    </row>
    <row r="58" spans="1:3" x14ac:dyDescent="0.35">
      <c r="A58" s="21">
        <v>14</v>
      </c>
      <c r="B58" t="str">
        <f>VLOOKUP(A58,Products!$A$1:$F$322,2,FALSE)</f>
        <v>Electra Girl's Hawaii 1 (16-inch) - 2015/2016</v>
      </c>
      <c r="C58" s="21" t="e">
        <f>VLOOKUP(A58,Products!A58:$D$322,4,FALSE)</f>
        <v>#N/A</v>
      </c>
    </row>
    <row r="59" spans="1:3" x14ac:dyDescent="0.35">
      <c r="A59" s="21">
        <v>17</v>
      </c>
      <c r="B59" t="str">
        <f>VLOOKUP(A59,Products!$A$1:$F$322,2,FALSE)</f>
        <v>Pure Cycles Vine 8-Speed - 2016</v>
      </c>
      <c r="C59" s="21" t="e">
        <f>VLOOKUP(A59,Products!A59:$D$322,4,FALSE)</f>
        <v>#N/A</v>
      </c>
    </row>
    <row r="60" spans="1:3" x14ac:dyDescent="0.35">
      <c r="A60" s="21">
        <v>10</v>
      </c>
      <c r="B60" t="str">
        <f>VLOOKUP(A60,Products!$A$1:$F$322,2,FALSE)</f>
        <v>Surly Straggler - 2016</v>
      </c>
      <c r="C60" s="21" t="e">
        <f>VLOOKUP(A60,Products!A60:$D$322,4,FALSE)</f>
        <v>#N/A</v>
      </c>
    </row>
    <row r="61" spans="1:3" x14ac:dyDescent="0.35">
      <c r="A61" s="21">
        <v>15</v>
      </c>
      <c r="B61" t="str">
        <f>VLOOKUP(A61,Products!$A$1:$F$322,2,FALSE)</f>
        <v>Electra Moto 1 - 2016</v>
      </c>
      <c r="C61" s="21" t="e">
        <f>VLOOKUP(A61,Products!A61:$D$322,4,FALSE)</f>
        <v>#N/A</v>
      </c>
    </row>
    <row r="62" spans="1:3" x14ac:dyDescent="0.35">
      <c r="A62" s="21">
        <v>22</v>
      </c>
      <c r="B62" t="str">
        <f>VLOOKUP(A62,Products!$A$1:$F$322,2,FALSE)</f>
        <v>Electra Girl's Hawaii 1 (16-inch) - 2015/2016</v>
      </c>
      <c r="C62" s="21" t="e">
        <f>VLOOKUP(A62,Products!A62:$D$322,4,FALSE)</f>
        <v>#N/A</v>
      </c>
    </row>
    <row r="63" spans="1:3" x14ac:dyDescent="0.35">
      <c r="A63" s="21">
        <v>4</v>
      </c>
      <c r="B63" t="str">
        <f>VLOOKUP(A63,Products!$A$1:$F$322,2,FALSE)</f>
        <v>Trek Fuel EX 8 29 - 2016</v>
      </c>
      <c r="C63" s="21" t="e">
        <f>VLOOKUP(A63,Products!A63:$D$322,4,FALSE)</f>
        <v>#N/A</v>
      </c>
    </row>
    <row r="64" spans="1:3" x14ac:dyDescent="0.35">
      <c r="A64" s="21">
        <v>23</v>
      </c>
      <c r="B64" t="str">
        <f>VLOOKUP(A64,Products!$A$1:$F$322,2,FALSE)</f>
        <v>Electra Girl's Hawaii 1 (20-inch) - 2015/2016</v>
      </c>
      <c r="C64" s="21" t="e">
        <f>VLOOKUP(A64,Products!A64:$D$322,4,FALSE)</f>
        <v>#N/A</v>
      </c>
    </row>
    <row r="65" spans="1:3" x14ac:dyDescent="0.35">
      <c r="A65" s="21">
        <v>13</v>
      </c>
      <c r="B65" t="str">
        <f>VLOOKUP(A65,Products!$A$1:$F$322,2,FALSE)</f>
        <v>Electra Cruiser 1 (24-Inch) - 2016</v>
      </c>
      <c r="C65" s="21" t="e">
        <f>VLOOKUP(A65,Products!A65:$D$322,4,FALSE)</f>
        <v>#N/A</v>
      </c>
    </row>
    <row r="66" spans="1:3" x14ac:dyDescent="0.35">
      <c r="A66" s="21">
        <v>3</v>
      </c>
      <c r="B66" t="str">
        <f>VLOOKUP(A66,Products!$A$1:$F$322,2,FALSE)</f>
        <v>Surly Wednesday Frameset - 2016</v>
      </c>
      <c r="C66" s="21" t="e">
        <f>VLOOKUP(A66,Products!A66:$D$322,4,FALSE)</f>
        <v>#N/A</v>
      </c>
    </row>
    <row r="67" spans="1:3" x14ac:dyDescent="0.35">
      <c r="A67" s="21">
        <v>18</v>
      </c>
      <c r="B67" t="str">
        <f>VLOOKUP(A67,Products!$A$1:$F$322,2,FALSE)</f>
        <v>Pure Cycles Western 3-Speed - Women's - 2015/2016</v>
      </c>
      <c r="C67" s="21" t="e">
        <f>VLOOKUP(A67,Products!A67:$D$322,4,FALSE)</f>
        <v>#N/A</v>
      </c>
    </row>
    <row r="68" spans="1:3" x14ac:dyDescent="0.35">
      <c r="A68" s="21">
        <v>23</v>
      </c>
      <c r="B68" t="str">
        <f>VLOOKUP(A68,Products!$A$1:$F$322,2,FALSE)</f>
        <v>Electra Girl's Hawaii 1 (20-inch) - 2015/2016</v>
      </c>
      <c r="C68" s="21" t="e">
        <f>VLOOKUP(A68,Products!A68:$D$322,4,FALSE)</f>
        <v>#N/A</v>
      </c>
    </row>
    <row r="69" spans="1:3" x14ac:dyDescent="0.35">
      <c r="A69" s="21">
        <v>10</v>
      </c>
      <c r="B69" t="str">
        <f>VLOOKUP(A69,Products!$A$1:$F$322,2,FALSE)</f>
        <v>Surly Straggler - 2016</v>
      </c>
      <c r="C69" s="21" t="e">
        <f>VLOOKUP(A69,Products!A69:$D$322,4,FALSE)</f>
        <v>#N/A</v>
      </c>
    </row>
    <row r="70" spans="1:3" x14ac:dyDescent="0.35">
      <c r="A70" s="21">
        <v>22</v>
      </c>
      <c r="B70" t="str">
        <f>VLOOKUP(A70,Products!$A$1:$F$322,2,FALSE)</f>
        <v>Electra Girl's Hawaii 1 (16-inch) - 2015/2016</v>
      </c>
      <c r="C70" s="21" t="e">
        <f>VLOOKUP(A70,Products!A70:$D$322,4,FALSE)</f>
        <v>#N/A</v>
      </c>
    </row>
    <row r="71" spans="1:3" x14ac:dyDescent="0.35">
      <c r="A71" s="21">
        <v>14</v>
      </c>
      <c r="B71" t="str">
        <f>VLOOKUP(A71,Products!$A$1:$F$322,2,FALSE)</f>
        <v>Electra Girl's Hawaii 1 (16-inch) - 2015/2016</v>
      </c>
      <c r="C71" s="21" t="e">
        <f>VLOOKUP(A71,Products!A71:$D$322,4,FALSE)</f>
        <v>#N/A</v>
      </c>
    </row>
    <row r="72" spans="1:3" x14ac:dyDescent="0.35">
      <c r="A72" s="21">
        <v>21</v>
      </c>
      <c r="B72" t="str">
        <f>VLOOKUP(A72,Products!$A$1:$F$322,2,FALSE)</f>
        <v>Electra Cruiser 1 (24-Inch) - 2016</v>
      </c>
      <c r="C72" s="21" t="e">
        <f>VLOOKUP(A72,Products!A72:$D$322,4,FALSE)</f>
        <v>#N/A</v>
      </c>
    </row>
    <row r="73" spans="1:3" x14ac:dyDescent="0.35">
      <c r="A73" s="21">
        <v>7</v>
      </c>
      <c r="B73" t="str">
        <f>VLOOKUP(A73,Products!$A$1:$F$322,2,FALSE)</f>
        <v>Trek Slash 8 27.5 - 2016</v>
      </c>
      <c r="C73" s="21" t="e">
        <f>VLOOKUP(A73,Products!A73:$D$322,4,FALSE)</f>
        <v>#N/A</v>
      </c>
    </row>
    <row r="74" spans="1:3" x14ac:dyDescent="0.35">
      <c r="A74" s="21">
        <v>2</v>
      </c>
      <c r="B74" t="str">
        <f>VLOOKUP(A74,Products!$A$1:$F$322,2,FALSE)</f>
        <v>Ritchey Timberwolf Frameset - 2016</v>
      </c>
      <c r="C74" s="21" t="e">
        <f>VLOOKUP(A74,Products!A74:$D$322,4,FALSE)</f>
        <v>#N/A</v>
      </c>
    </row>
    <row r="75" spans="1:3" x14ac:dyDescent="0.35">
      <c r="A75" s="21">
        <v>12</v>
      </c>
      <c r="B75" t="str">
        <f>VLOOKUP(A75,Products!$A$1:$F$322,2,FALSE)</f>
        <v>Electra Townie Original 21D - 2016</v>
      </c>
      <c r="C75" s="21" t="e">
        <f>VLOOKUP(A75,Products!A75:$D$322,4,FALSE)</f>
        <v>#N/A</v>
      </c>
    </row>
    <row r="76" spans="1:3" x14ac:dyDescent="0.35">
      <c r="A76" s="21">
        <v>21</v>
      </c>
      <c r="B76" t="str">
        <f>VLOOKUP(A76,Products!$A$1:$F$322,2,FALSE)</f>
        <v>Electra Cruiser 1 (24-Inch) - 2016</v>
      </c>
      <c r="C76" s="21" t="e">
        <f>VLOOKUP(A76,Products!A76:$D$322,4,FALSE)</f>
        <v>#N/A</v>
      </c>
    </row>
    <row r="77" spans="1:3" x14ac:dyDescent="0.35">
      <c r="A77" s="21">
        <v>5</v>
      </c>
      <c r="B77" t="str">
        <f>VLOOKUP(A77,Products!$A$1:$F$322,2,FALSE)</f>
        <v>Heller Shagamaw Frame - 2016</v>
      </c>
      <c r="C77" s="21" t="e">
        <f>VLOOKUP(A77,Products!A77:$D$322,4,FALSE)</f>
        <v>#N/A</v>
      </c>
    </row>
    <row r="78" spans="1:3" x14ac:dyDescent="0.35">
      <c r="A78" s="21">
        <v>19</v>
      </c>
      <c r="B78" t="str">
        <f>VLOOKUP(A78,Products!$A$1:$F$322,2,FALSE)</f>
        <v>Pure Cycles William 3-Speed - 2016</v>
      </c>
      <c r="C78" s="21" t="e">
        <f>VLOOKUP(A78,Products!A78:$D$322,4,FALSE)</f>
        <v>#N/A</v>
      </c>
    </row>
    <row r="79" spans="1:3" x14ac:dyDescent="0.35">
      <c r="A79" s="21">
        <v>26</v>
      </c>
      <c r="B79" t="str">
        <f>VLOOKUP(A79,Products!$A$1:$F$322,2,FALSE)</f>
        <v>Electra Townie Original 7D EQ - 2016</v>
      </c>
      <c r="C79" s="21" t="e">
        <f>VLOOKUP(A79,Products!A79:$D$322,4,FALSE)</f>
        <v>#N/A</v>
      </c>
    </row>
    <row r="80" spans="1:3" x14ac:dyDescent="0.35">
      <c r="A80" s="21">
        <v>8</v>
      </c>
      <c r="B80" t="str">
        <f>VLOOKUP(A80,Products!$A$1:$F$322,2,FALSE)</f>
        <v>Trek Remedy 29 Carbon Frameset - 2016</v>
      </c>
      <c r="C80" s="21" t="e">
        <f>VLOOKUP(A80,Products!A80:$D$322,4,FALSE)</f>
        <v>#N/A</v>
      </c>
    </row>
    <row r="81" spans="1:3" x14ac:dyDescent="0.35">
      <c r="A81" s="21">
        <v>5</v>
      </c>
      <c r="B81" t="str">
        <f>VLOOKUP(A81,Products!$A$1:$F$322,2,FALSE)</f>
        <v>Heller Shagamaw Frame - 2016</v>
      </c>
      <c r="C81" s="21" t="e">
        <f>VLOOKUP(A81,Products!A81:$D$322,4,FALSE)</f>
        <v>#N/A</v>
      </c>
    </row>
    <row r="82" spans="1:3" x14ac:dyDescent="0.35">
      <c r="A82" s="21">
        <v>7</v>
      </c>
      <c r="B82" t="str">
        <f>VLOOKUP(A82,Products!$A$1:$F$322,2,FALSE)</f>
        <v>Trek Slash 8 27.5 - 2016</v>
      </c>
      <c r="C82" s="21" t="e">
        <f>VLOOKUP(A82,Products!A82:$D$322,4,FALSE)</f>
        <v>#N/A</v>
      </c>
    </row>
    <row r="83" spans="1:3" x14ac:dyDescent="0.35">
      <c r="A83" s="21">
        <v>14</v>
      </c>
      <c r="B83" t="str">
        <f>VLOOKUP(A83,Products!$A$1:$F$322,2,FALSE)</f>
        <v>Electra Girl's Hawaii 1 (16-inch) - 2015/2016</v>
      </c>
      <c r="C83" s="21" t="e">
        <f>VLOOKUP(A83,Products!A83:$D$322,4,FALSE)</f>
        <v>#N/A</v>
      </c>
    </row>
    <row r="84" spans="1:3" x14ac:dyDescent="0.35">
      <c r="A84" s="21">
        <v>6</v>
      </c>
      <c r="B84" t="str">
        <f>VLOOKUP(A84,Products!$A$1:$F$322,2,FALSE)</f>
        <v>Surly Ice Cream Truck Frameset - 2016</v>
      </c>
      <c r="C84" s="21" t="e">
        <f>VLOOKUP(A84,Products!A84:$D$322,4,FALSE)</f>
        <v>#N/A</v>
      </c>
    </row>
    <row r="85" spans="1:3" x14ac:dyDescent="0.35">
      <c r="A85" s="21">
        <v>24</v>
      </c>
      <c r="B85" t="str">
        <f>VLOOKUP(A85,Products!$A$1:$F$322,2,FALSE)</f>
        <v>Electra Townie Original 21D - 2016</v>
      </c>
      <c r="C85" s="21" t="e">
        <f>VLOOKUP(A85,Products!A85:$D$322,4,FALSE)</f>
        <v>#N/A</v>
      </c>
    </row>
    <row r="86" spans="1:3" x14ac:dyDescent="0.35">
      <c r="A86" s="21">
        <v>6</v>
      </c>
      <c r="B86" t="str">
        <f>VLOOKUP(A86,Products!$A$1:$F$322,2,FALSE)</f>
        <v>Surly Ice Cream Truck Frameset - 2016</v>
      </c>
      <c r="C86" s="21" t="e">
        <f>VLOOKUP(A86,Products!A86:$D$322,4,FALSE)</f>
        <v>#N/A</v>
      </c>
    </row>
    <row r="87" spans="1:3" x14ac:dyDescent="0.35">
      <c r="A87" s="21">
        <v>21</v>
      </c>
      <c r="B87" t="str">
        <f>VLOOKUP(A87,Products!$A$1:$F$322,2,FALSE)</f>
        <v>Electra Cruiser 1 (24-Inch) - 2016</v>
      </c>
      <c r="C87" s="21" t="e">
        <f>VLOOKUP(A87,Products!A87:$D$322,4,FALSE)</f>
        <v>#N/A</v>
      </c>
    </row>
    <row r="88" spans="1:3" x14ac:dyDescent="0.35">
      <c r="A88" s="21">
        <v>8</v>
      </c>
      <c r="B88" t="str">
        <f>VLOOKUP(A88,Products!$A$1:$F$322,2,FALSE)</f>
        <v>Trek Remedy 29 Carbon Frameset - 2016</v>
      </c>
      <c r="C88" s="21" t="e">
        <f>VLOOKUP(A88,Products!A88:$D$322,4,FALSE)</f>
        <v>#N/A</v>
      </c>
    </row>
    <row r="89" spans="1:3" x14ac:dyDescent="0.35">
      <c r="A89" s="21">
        <v>14</v>
      </c>
      <c r="B89" t="str">
        <f>VLOOKUP(A89,Products!$A$1:$F$322,2,FALSE)</f>
        <v>Electra Girl's Hawaii 1 (16-inch) - 2015/2016</v>
      </c>
      <c r="C89" s="21" t="e">
        <f>VLOOKUP(A89,Products!A89:$D$322,4,FALSE)</f>
        <v>#N/A</v>
      </c>
    </row>
    <row r="90" spans="1:3" x14ac:dyDescent="0.35">
      <c r="A90" s="21">
        <v>26</v>
      </c>
      <c r="B90" t="str">
        <f>VLOOKUP(A90,Products!$A$1:$F$322,2,FALSE)</f>
        <v>Electra Townie Original 7D EQ - 2016</v>
      </c>
      <c r="C90" s="21" t="e">
        <f>VLOOKUP(A90,Products!A90:$D$322,4,FALSE)</f>
        <v>#N/A</v>
      </c>
    </row>
    <row r="91" spans="1:3" x14ac:dyDescent="0.35">
      <c r="A91" s="21">
        <v>17</v>
      </c>
      <c r="B91" t="str">
        <f>VLOOKUP(A91,Products!$A$1:$F$322,2,FALSE)</f>
        <v>Pure Cycles Vine 8-Speed - 2016</v>
      </c>
      <c r="C91" s="21" t="e">
        <f>VLOOKUP(A91,Products!A91:$D$322,4,FALSE)</f>
        <v>#N/A</v>
      </c>
    </row>
    <row r="92" spans="1:3" x14ac:dyDescent="0.35">
      <c r="A92" s="21">
        <v>19</v>
      </c>
      <c r="B92" t="str">
        <f>VLOOKUP(A92,Products!$A$1:$F$322,2,FALSE)</f>
        <v>Pure Cycles William 3-Speed - 2016</v>
      </c>
      <c r="C92" s="21" t="e">
        <f>VLOOKUP(A92,Products!A92:$D$322,4,FALSE)</f>
        <v>#N/A</v>
      </c>
    </row>
    <row r="93" spans="1:3" x14ac:dyDescent="0.35">
      <c r="A93" s="21">
        <v>4</v>
      </c>
      <c r="B93" t="str">
        <f>VLOOKUP(A93,Products!$A$1:$F$322,2,FALSE)</f>
        <v>Trek Fuel EX 8 29 - 2016</v>
      </c>
      <c r="C93" s="21" t="e">
        <f>VLOOKUP(A93,Products!A93:$D$322,4,FALSE)</f>
        <v>#N/A</v>
      </c>
    </row>
    <row r="94" spans="1:3" x14ac:dyDescent="0.35">
      <c r="A94" s="21">
        <v>7</v>
      </c>
      <c r="B94" t="str">
        <f>VLOOKUP(A94,Products!$A$1:$F$322,2,FALSE)</f>
        <v>Trek Slash 8 27.5 - 2016</v>
      </c>
      <c r="C94" s="21" t="e">
        <f>VLOOKUP(A94,Products!A94:$D$322,4,FALSE)</f>
        <v>#N/A</v>
      </c>
    </row>
    <row r="95" spans="1:3" x14ac:dyDescent="0.35">
      <c r="A95" s="21">
        <v>11</v>
      </c>
      <c r="B95" t="str">
        <f>VLOOKUP(A95,Products!$A$1:$F$322,2,FALSE)</f>
        <v>Surly Straggler 650b - 2016</v>
      </c>
      <c r="C95" s="21" t="e">
        <f>VLOOKUP(A95,Products!A95:$D$322,4,FALSE)</f>
        <v>#N/A</v>
      </c>
    </row>
    <row r="96" spans="1:3" x14ac:dyDescent="0.35">
      <c r="A96" s="21">
        <v>9</v>
      </c>
      <c r="B96" t="str">
        <f>VLOOKUP(A96,Products!$A$1:$F$322,2,FALSE)</f>
        <v>Trek Conduit+ - 2016</v>
      </c>
      <c r="C96" s="21" t="e">
        <f>VLOOKUP(A96,Products!A96:$D$322,4,FALSE)</f>
        <v>#N/A</v>
      </c>
    </row>
    <row r="97" spans="1:3" x14ac:dyDescent="0.35">
      <c r="A97" s="21">
        <v>8</v>
      </c>
      <c r="B97" t="str">
        <f>VLOOKUP(A97,Products!$A$1:$F$322,2,FALSE)</f>
        <v>Trek Remedy 29 Carbon Frameset - 2016</v>
      </c>
      <c r="C97" s="21" t="e">
        <f>VLOOKUP(A97,Products!A97:$D$322,4,FALSE)</f>
        <v>#N/A</v>
      </c>
    </row>
    <row r="98" spans="1:3" x14ac:dyDescent="0.35">
      <c r="A98" s="21">
        <v>12</v>
      </c>
      <c r="B98" t="str">
        <f>VLOOKUP(A98,Products!$A$1:$F$322,2,FALSE)</f>
        <v>Electra Townie Original 21D - 2016</v>
      </c>
      <c r="C98" s="21" t="e">
        <f>VLOOKUP(A98,Products!A98:$D$322,4,FALSE)</f>
        <v>#N/A</v>
      </c>
    </row>
    <row r="99" spans="1:3" x14ac:dyDescent="0.35">
      <c r="A99" s="21">
        <v>25</v>
      </c>
      <c r="B99" t="str">
        <f>VLOOKUP(A99,Products!$A$1:$F$322,2,FALSE)</f>
        <v>Electra Townie Original 7D - 2015/2016</v>
      </c>
      <c r="C99" s="21" t="e">
        <f>VLOOKUP(A99,Products!A99:$D$322,4,FALSE)</f>
        <v>#N/A</v>
      </c>
    </row>
    <row r="100" spans="1:3" x14ac:dyDescent="0.35">
      <c r="A100" s="21">
        <v>23</v>
      </c>
      <c r="B100" t="str">
        <f>VLOOKUP(A100,Products!$A$1:$F$322,2,FALSE)</f>
        <v>Electra Girl's Hawaii 1 (20-inch) - 2015/2016</v>
      </c>
      <c r="C100" s="21" t="e">
        <f>VLOOKUP(A100,Products!A100:$D$322,4,FALSE)</f>
        <v>#N/A</v>
      </c>
    </row>
    <row r="101" spans="1:3" x14ac:dyDescent="0.35">
      <c r="A101" s="21">
        <v>7</v>
      </c>
      <c r="B101" t="str">
        <f>VLOOKUP(A101,Products!$A$1:$F$322,2,FALSE)</f>
        <v>Trek Slash 8 27.5 - 2016</v>
      </c>
      <c r="C101" s="21" t="e">
        <f>VLOOKUP(A101,Products!A101:$D$322,4,FALSE)</f>
        <v>#N/A</v>
      </c>
    </row>
    <row r="102" spans="1:3" x14ac:dyDescent="0.35">
      <c r="A102" s="21">
        <v>8</v>
      </c>
      <c r="B102" t="str">
        <f>VLOOKUP(A102,Products!$A$1:$F$322,2,FALSE)</f>
        <v>Trek Remedy 29 Carbon Frameset - 2016</v>
      </c>
      <c r="C102" s="21" t="e">
        <f>VLOOKUP(A102,Products!A102:$D$322,4,FALSE)</f>
        <v>#N/A</v>
      </c>
    </row>
    <row r="103" spans="1:3" x14ac:dyDescent="0.35">
      <c r="A103" s="21">
        <v>10</v>
      </c>
      <c r="B103" t="str">
        <f>VLOOKUP(A103,Products!$A$1:$F$322,2,FALSE)</f>
        <v>Surly Straggler - 2016</v>
      </c>
      <c r="C103" s="21" t="e">
        <f>VLOOKUP(A103,Products!A103:$D$322,4,FALSE)</f>
        <v>#N/A</v>
      </c>
    </row>
    <row r="104" spans="1:3" x14ac:dyDescent="0.35">
      <c r="A104" s="21">
        <v>17</v>
      </c>
      <c r="B104" t="str">
        <f>VLOOKUP(A104,Products!$A$1:$F$322,2,FALSE)</f>
        <v>Pure Cycles Vine 8-Speed - 2016</v>
      </c>
      <c r="C104" s="21" t="e">
        <f>VLOOKUP(A104,Products!A104:$D$322,4,FALSE)</f>
        <v>#N/A</v>
      </c>
    </row>
    <row r="105" spans="1:3" x14ac:dyDescent="0.35">
      <c r="A105" s="21">
        <v>18</v>
      </c>
      <c r="B105" t="str">
        <f>VLOOKUP(A105,Products!$A$1:$F$322,2,FALSE)</f>
        <v>Pure Cycles Western 3-Speed - Women's - 2015/2016</v>
      </c>
      <c r="C105" s="21" t="e">
        <f>VLOOKUP(A105,Products!A105:$D$322,4,FALSE)</f>
        <v>#N/A</v>
      </c>
    </row>
    <row r="106" spans="1:3" x14ac:dyDescent="0.35">
      <c r="A106" s="21">
        <v>20</v>
      </c>
      <c r="B106" t="str">
        <f>VLOOKUP(A106,Products!$A$1:$F$322,2,FALSE)</f>
        <v>Electra Townie Original 7D EQ - Women's - 2016</v>
      </c>
      <c r="C106" s="21" t="e">
        <f>VLOOKUP(A106,Products!A106:$D$322,4,FALSE)</f>
        <v>#N/A</v>
      </c>
    </row>
    <row r="107" spans="1:3" x14ac:dyDescent="0.35">
      <c r="A107" s="21">
        <v>5</v>
      </c>
      <c r="B107" t="str">
        <f>VLOOKUP(A107,Products!$A$1:$F$322,2,FALSE)</f>
        <v>Heller Shagamaw Frame - 2016</v>
      </c>
      <c r="C107" s="21" t="e">
        <f>VLOOKUP(A107,Products!A107:$D$322,4,FALSE)</f>
        <v>#N/A</v>
      </c>
    </row>
    <row r="108" spans="1:3" x14ac:dyDescent="0.35">
      <c r="A108" s="21">
        <v>21</v>
      </c>
      <c r="B108" t="str">
        <f>VLOOKUP(A108,Products!$A$1:$F$322,2,FALSE)</f>
        <v>Electra Cruiser 1 (24-Inch) - 2016</v>
      </c>
      <c r="C108" s="21" t="e">
        <f>VLOOKUP(A108,Products!A108:$D$322,4,FALSE)</f>
        <v>#N/A</v>
      </c>
    </row>
    <row r="109" spans="1:3" x14ac:dyDescent="0.35">
      <c r="A109" s="21">
        <v>22</v>
      </c>
      <c r="B109" t="str">
        <f>VLOOKUP(A109,Products!$A$1:$F$322,2,FALSE)</f>
        <v>Electra Girl's Hawaii 1 (16-inch) - 2015/2016</v>
      </c>
      <c r="C109" s="21" t="e">
        <f>VLOOKUP(A109,Products!A109:$D$322,4,FALSE)</f>
        <v>#N/A</v>
      </c>
    </row>
    <row r="110" spans="1:3" x14ac:dyDescent="0.35">
      <c r="A110" s="21">
        <v>9</v>
      </c>
      <c r="B110" t="str">
        <f>VLOOKUP(A110,Products!$A$1:$F$322,2,FALSE)</f>
        <v>Trek Conduit+ - 2016</v>
      </c>
      <c r="C110" s="21" t="e">
        <f>VLOOKUP(A110,Products!A110:$D$322,4,FALSE)</f>
        <v>#N/A</v>
      </c>
    </row>
    <row r="111" spans="1:3" x14ac:dyDescent="0.35">
      <c r="A111" s="21">
        <v>5</v>
      </c>
      <c r="B111" t="str">
        <f>VLOOKUP(A111,Products!$A$1:$F$322,2,FALSE)</f>
        <v>Heller Shagamaw Frame - 2016</v>
      </c>
      <c r="C111" s="21" t="e">
        <f>VLOOKUP(A111,Products!A111:$D$322,4,FALSE)</f>
        <v>#N/A</v>
      </c>
    </row>
    <row r="112" spans="1:3" x14ac:dyDescent="0.35">
      <c r="A112" s="21">
        <v>3</v>
      </c>
      <c r="B112" t="str">
        <f>VLOOKUP(A112,Products!$A$1:$F$322,2,FALSE)</f>
        <v>Surly Wednesday Frameset - 2016</v>
      </c>
      <c r="C112" s="21" t="e">
        <f>VLOOKUP(A112,Products!A112:$D$322,4,FALSE)</f>
        <v>#N/A</v>
      </c>
    </row>
    <row r="113" spans="1:3" x14ac:dyDescent="0.35">
      <c r="A113" s="21">
        <v>16</v>
      </c>
      <c r="B113" t="str">
        <f>VLOOKUP(A113,Products!$A$1:$F$322,2,FALSE)</f>
        <v>Electra Townie Original 7D EQ - 2016</v>
      </c>
      <c r="C113" s="21" t="e">
        <f>VLOOKUP(A113,Products!A113:$D$322,4,FALSE)</f>
        <v>#N/A</v>
      </c>
    </row>
    <row r="114" spans="1:3" x14ac:dyDescent="0.35">
      <c r="A114" s="21">
        <v>7</v>
      </c>
      <c r="B114" t="str">
        <f>VLOOKUP(A114,Products!$A$1:$F$322,2,FALSE)</f>
        <v>Trek Slash 8 27.5 - 2016</v>
      </c>
      <c r="C114" s="21" t="e">
        <f>VLOOKUP(A114,Products!A114:$D$322,4,FALSE)</f>
        <v>#N/A</v>
      </c>
    </row>
    <row r="115" spans="1:3" x14ac:dyDescent="0.35">
      <c r="A115" s="21">
        <v>23</v>
      </c>
      <c r="B115" t="str">
        <f>VLOOKUP(A115,Products!$A$1:$F$322,2,FALSE)</f>
        <v>Electra Girl's Hawaii 1 (20-inch) - 2015/2016</v>
      </c>
      <c r="C115" s="21" t="e">
        <f>VLOOKUP(A115,Products!A115:$D$322,4,FALSE)</f>
        <v>#N/A</v>
      </c>
    </row>
    <row r="116" spans="1:3" x14ac:dyDescent="0.35">
      <c r="A116" s="21">
        <v>25</v>
      </c>
      <c r="B116" t="str">
        <f>VLOOKUP(A116,Products!$A$1:$F$322,2,FALSE)</f>
        <v>Electra Townie Original 7D - 2015/2016</v>
      </c>
      <c r="C116" s="21" t="e">
        <f>VLOOKUP(A116,Products!A116:$D$322,4,FALSE)</f>
        <v>#N/A</v>
      </c>
    </row>
    <row r="117" spans="1:3" x14ac:dyDescent="0.35">
      <c r="A117" s="21">
        <v>10</v>
      </c>
      <c r="B117" t="str">
        <f>VLOOKUP(A117,Products!$A$1:$F$322,2,FALSE)</f>
        <v>Surly Straggler - 2016</v>
      </c>
      <c r="C117" s="21" t="e">
        <f>VLOOKUP(A117,Products!A117:$D$322,4,FALSE)</f>
        <v>#N/A</v>
      </c>
    </row>
    <row r="118" spans="1:3" x14ac:dyDescent="0.35">
      <c r="A118" s="21">
        <v>24</v>
      </c>
      <c r="B118" t="str">
        <f>VLOOKUP(A118,Products!$A$1:$F$322,2,FALSE)</f>
        <v>Electra Townie Original 21D - 2016</v>
      </c>
      <c r="C118" s="21" t="e">
        <f>VLOOKUP(A118,Products!A118:$D$322,4,FALSE)</f>
        <v>#N/A</v>
      </c>
    </row>
    <row r="119" spans="1:3" x14ac:dyDescent="0.35">
      <c r="A119" s="21">
        <v>22</v>
      </c>
      <c r="B119" t="str">
        <f>VLOOKUP(A119,Products!$A$1:$F$322,2,FALSE)</f>
        <v>Electra Girl's Hawaii 1 (16-inch) - 2015/2016</v>
      </c>
      <c r="C119" s="21" t="e">
        <f>VLOOKUP(A119,Products!A119:$D$322,4,FALSE)</f>
        <v>#N/A</v>
      </c>
    </row>
    <row r="120" spans="1:3" x14ac:dyDescent="0.35">
      <c r="A120" s="21">
        <v>16</v>
      </c>
      <c r="B120" t="str">
        <f>VLOOKUP(A120,Products!$A$1:$F$322,2,FALSE)</f>
        <v>Electra Townie Original 7D EQ - 2016</v>
      </c>
      <c r="C120" s="21" t="e">
        <f>VLOOKUP(A120,Products!A120:$D$322,4,FALSE)</f>
        <v>#N/A</v>
      </c>
    </row>
    <row r="121" spans="1:3" x14ac:dyDescent="0.35">
      <c r="A121" s="21">
        <v>3</v>
      </c>
      <c r="B121" t="str">
        <f>VLOOKUP(A121,Products!$A$1:$F$322,2,FALSE)</f>
        <v>Surly Wednesday Frameset - 2016</v>
      </c>
      <c r="C121" s="21" t="e">
        <f>VLOOKUP(A121,Products!A121:$D$322,4,FALSE)</f>
        <v>#N/A</v>
      </c>
    </row>
    <row r="122" spans="1:3" x14ac:dyDescent="0.35">
      <c r="A122" s="21">
        <v>15</v>
      </c>
      <c r="B122" t="str">
        <f>VLOOKUP(A122,Products!$A$1:$F$322,2,FALSE)</f>
        <v>Electra Moto 1 - 2016</v>
      </c>
      <c r="C122" s="21" t="e">
        <f>VLOOKUP(A122,Products!A122:$D$322,4,FALSE)</f>
        <v>#N/A</v>
      </c>
    </row>
    <row r="123" spans="1:3" x14ac:dyDescent="0.35">
      <c r="A123" s="21">
        <v>17</v>
      </c>
      <c r="B123" t="str">
        <f>VLOOKUP(A123,Products!$A$1:$F$322,2,FALSE)</f>
        <v>Pure Cycles Vine 8-Speed - 2016</v>
      </c>
      <c r="C123" s="21" t="e">
        <f>VLOOKUP(A123,Products!A123:$D$322,4,FALSE)</f>
        <v>#N/A</v>
      </c>
    </row>
    <row r="124" spans="1:3" x14ac:dyDescent="0.35">
      <c r="A124" s="21">
        <v>8</v>
      </c>
      <c r="B124" t="str">
        <f>VLOOKUP(A124,Products!$A$1:$F$322,2,FALSE)</f>
        <v>Trek Remedy 29 Carbon Frameset - 2016</v>
      </c>
      <c r="C124" s="21" t="e">
        <f>VLOOKUP(A124,Products!A124:$D$322,4,FALSE)</f>
        <v>#N/A</v>
      </c>
    </row>
    <row r="125" spans="1:3" x14ac:dyDescent="0.35">
      <c r="A125" s="21">
        <v>5</v>
      </c>
      <c r="B125" t="str">
        <f>VLOOKUP(A125,Products!$A$1:$F$322,2,FALSE)</f>
        <v>Heller Shagamaw Frame - 2016</v>
      </c>
      <c r="C125" s="21" t="e">
        <f>VLOOKUP(A125,Products!A125:$D$322,4,FALSE)</f>
        <v>#N/A</v>
      </c>
    </row>
    <row r="126" spans="1:3" x14ac:dyDescent="0.35">
      <c r="A126" s="21">
        <v>19</v>
      </c>
      <c r="B126" t="str">
        <f>VLOOKUP(A126,Products!$A$1:$F$322,2,FALSE)</f>
        <v>Pure Cycles William 3-Speed - 2016</v>
      </c>
      <c r="C126" s="21" t="e">
        <f>VLOOKUP(A126,Products!A126:$D$322,4,FALSE)</f>
        <v>#N/A</v>
      </c>
    </row>
    <row r="127" spans="1:3" x14ac:dyDescent="0.35">
      <c r="A127" s="21">
        <v>26</v>
      </c>
      <c r="B127" t="str">
        <f>VLOOKUP(A127,Products!$A$1:$F$322,2,FALSE)</f>
        <v>Electra Townie Original 7D EQ - 2016</v>
      </c>
      <c r="C127" s="21" t="e">
        <f>VLOOKUP(A127,Products!A127:$D$322,4,FALSE)</f>
        <v>#N/A</v>
      </c>
    </row>
    <row r="128" spans="1:3" x14ac:dyDescent="0.35">
      <c r="A128" s="21">
        <v>19</v>
      </c>
      <c r="B128" t="str">
        <f>VLOOKUP(A128,Products!$A$1:$F$322,2,FALSE)</f>
        <v>Pure Cycles William 3-Speed - 2016</v>
      </c>
      <c r="C128" s="21" t="e">
        <f>VLOOKUP(A128,Products!A128:$D$322,4,FALSE)</f>
        <v>#N/A</v>
      </c>
    </row>
    <row r="129" spans="1:3" x14ac:dyDescent="0.35">
      <c r="A129" s="21">
        <v>13</v>
      </c>
      <c r="B129" t="str">
        <f>VLOOKUP(A129,Products!$A$1:$F$322,2,FALSE)</f>
        <v>Electra Cruiser 1 (24-Inch) - 2016</v>
      </c>
      <c r="C129" s="21" t="e">
        <f>VLOOKUP(A129,Products!A129:$D$322,4,FALSE)</f>
        <v>#N/A</v>
      </c>
    </row>
    <row r="130" spans="1:3" x14ac:dyDescent="0.35">
      <c r="A130" s="21">
        <v>12</v>
      </c>
      <c r="B130" t="str">
        <f>VLOOKUP(A130,Products!$A$1:$F$322,2,FALSE)</f>
        <v>Electra Townie Original 21D - 2016</v>
      </c>
      <c r="C130" s="21" t="e">
        <f>VLOOKUP(A130,Products!A130:$D$322,4,FALSE)</f>
        <v>#N/A</v>
      </c>
    </row>
    <row r="131" spans="1:3" x14ac:dyDescent="0.35">
      <c r="A131" s="21">
        <v>7</v>
      </c>
      <c r="B131" t="str">
        <f>VLOOKUP(A131,Products!$A$1:$F$322,2,FALSE)</f>
        <v>Trek Slash 8 27.5 - 2016</v>
      </c>
      <c r="C131" s="21" t="e">
        <f>VLOOKUP(A131,Products!A131:$D$322,4,FALSE)</f>
        <v>#N/A</v>
      </c>
    </row>
    <row r="132" spans="1:3" x14ac:dyDescent="0.35">
      <c r="A132" s="21">
        <v>16</v>
      </c>
      <c r="B132" t="str">
        <f>VLOOKUP(A132,Products!$A$1:$F$322,2,FALSE)</f>
        <v>Electra Townie Original 7D EQ - 2016</v>
      </c>
      <c r="C132" s="21" t="e">
        <f>VLOOKUP(A132,Products!A132:$D$322,4,FALSE)</f>
        <v>#N/A</v>
      </c>
    </row>
    <row r="133" spans="1:3" x14ac:dyDescent="0.35">
      <c r="A133" s="21">
        <v>4</v>
      </c>
      <c r="B133" t="str">
        <f>VLOOKUP(A133,Products!$A$1:$F$322,2,FALSE)</f>
        <v>Trek Fuel EX 8 29 - 2016</v>
      </c>
      <c r="C133" s="21" t="e">
        <f>VLOOKUP(A133,Products!A133:$D$322,4,FALSE)</f>
        <v>#N/A</v>
      </c>
    </row>
    <row r="134" spans="1:3" x14ac:dyDescent="0.35">
      <c r="A134" s="21">
        <v>22</v>
      </c>
      <c r="B134" t="str">
        <f>VLOOKUP(A134,Products!$A$1:$F$322,2,FALSE)</f>
        <v>Electra Girl's Hawaii 1 (16-inch) - 2015/2016</v>
      </c>
      <c r="C134" s="21" t="e">
        <f>VLOOKUP(A134,Products!A134:$D$322,4,FALSE)</f>
        <v>#N/A</v>
      </c>
    </row>
    <row r="135" spans="1:3" x14ac:dyDescent="0.35">
      <c r="A135" s="21">
        <v>21</v>
      </c>
      <c r="B135" t="str">
        <f>VLOOKUP(A135,Products!$A$1:$F$322,2,FALSE)</f>
        <v>Electra Cruiser 1 (24-Inch) - 2016</v>
      </c>
      <c r="C135" s="21" t="e">
        <f>VLOOKUP(A135,Products!A135:$D$322,4,FALSE)</f>
        <v>#N/A</v>
      </c>
    </row>
    <row r="136" spans="1:3" x14ac:dyDescent="0.35">
      <c r="A136" s="21">
        <v>17</v>
      </c>
      <c r="B136" t="str">
        <f>VLOOKUP(A136,Products!$A$1:$F$322,2,FALSE)</f>
        <v>Pure Cycles Vine 8-Speed - 2016</v>
      </c>
      <c r="C136" s="21" t="e">
        <f>VLOOKUP(A136,Products!A136:$D$322,4,FALSE)</f>
        <v>#N/A</v>
      </c>
    </row>
    <row r="137" spans="1:3" x14ac:dyDescent="0.35">
      <c r="A137" s="21">
        <v>6</v>
      </c>
      <c r="B137" t="str">
        <f>VLOOKUP(A137,Products!$A$1:$F$322,2,FALSE)</f>
        <v>Surly Ice Cream Truck Frameset - 2016</v>
      </c>
      <c r="C137" s="21" t="e">
        <f>VLOOKUP(A137,Products!A137:$D$322,4,FALSE)</f>
        <v>#N/A</v>
      </c>
    </row>
    <row r="138" spans="1:3" x14ac:dyDescent="0.35">
      <c r="A138" s="21">
        <v>15</v>
      </c>
      <c r="B138" t="str">
        <f>VLOOKUP(A138,Products!$A$1:$F$322,2,FALSE)</f>
        <v>Electra Moto 1 - 2016</v>
      </c>
      <c r="C138" s="21" t="e">
        <f>VLOOKUP(A138,Products!A138:$D$322,4,FALSE)</f>
        <v>#N/A</v>
      </c>
    </row>
    <row r="139" spans="1:3" x14ac:dyDescent="0.35">
      <c r="A139" s="21">
        <v>25</v>
      </c>
      <c r="B139" t="str">
        <f>VLOOKUP(A139,Products!$A$1:$F$322,2,FALSE)</f>
        <v>Electra Townie Original 7D - 2015/2016</v>
      </c>
      <c r="C139" s="21" t="e">
        <f>VLOOKUP(A139,Products!A139:$D$322,4,FALSE)</f>
        <v>#N/A</v>
      </c>
    </row>
    <row r="140" spans="1:3" x14ac:dyDescent="0.35">
      <c r="A140" s="21">
        <v>13</v>
      </c>
      <c r="B140" t="str">
        <f>VLOOKUP(A140,Products!$A$1:$F$322,2,FALSE)</f>
        <v>Electra Cruiser 1 (24-Inch) - 2016</v>
      </c>
      <c r="C140" s="21" t="e">
        <f>VLOOKUP(A140,Products!A140:$D$322,4,FALSE)</f>
        <v>#N/A</v>
      </c>
    </row>
    <row r="141" spans="1:3" x14ac:dyDescent="0.35">
      <c r="A141" s="21">
        <v>11</v>
      </c>
      <c r="B141" t="str">
        <f>VLOOKUP(A141,Products!$A$1:$F$322,2,FALSE)</f>
        <v>Surly Straggler 650b - 2016</v>
      </c>
      <c r="C141" s="21" t="e">
        <f>VLOOKUP(A141,Products!A141:$D$322,4,FALSE)</f>
        <v>#N/A</v>
      </c>
    </row>
    <row r="142" spans="1:3" x14ac:dyDescent="0.35">
      <c r="A142" s="21">
        <v>4</v>
      </c>
      <c r="B142" t="str">
        <f>VLOOKUP(A142,Products!$A$1:$F$322,2,FALSE)</f>
        <v>Trek Fuel EX 8 29 - 2016</v>
      </c>
      <c r="C142" s="21" t="e">
        <f>VLOOKUP(A142,Products!A142:$D$322,4,FALSE)</f>
        <v>#N/A</v>
      </c>
    </row>
    <row r="143" spans="1:3" x14ac:dyDescent="0.35">
      <c r="A143" s="21">
        <v>5</v>
      </c>
      <c r="B143" t="str">
        <f>VLOOKUP(A143,Products!$A$1:$F$322,2,FALSE)</f>
        <v>Heller Shagamaw Frame - 2016</v>
      </c>
      <c r="C143" s="21" t="e">
        <f>VLOOKUP(A143,Products!A143:$D$322,4,FALSE)</f>
        <v>#N/A</v>
      </c>
    </row>
    <row r="144" spans="1:3" x14ac:dyDescent="0.35">
      <c r="A144" s="21">
        <v>14</v>
      </c>
      <c r="B144" t="str">
        <f>VLOOKUP(A144,Products!$A$1:$F$322,2,FALSE)</f>
        <v>Electra Girl's Hawaii 1 (16-inch) - 2015/2016</v>
      </c>
      <c r="C144" s="21" t="e">
        <f>VLOOKUP(A144,Products!A144:$D$322,4,FALSE)</f>
        <v>#N/A</v>
      </c>
    </row>
    <row r="145" spans="1:3" x14ac:dyDescent="0.35">
      <c r="A145" s="21">
        <v>13</v>
      </c>
      <c r="B145" t="str">
        <f>VLOOKUP(A145,Products!$A$1:$F$322,2,FALSE)</f>
        <v>Electra Cruiser 1 (24-Inch) - 2016</v>
      </c>
      <c r="C145" s="21" t="e">
        <f>VLOOKUP(A145,Products!A145:$D$322,4,FALSE)</f>
        <v>#N/A</v>
      </c>
    </row>
    <row r="146" spans="1:3" x14ac:dyDescent="0.35">
      <c r="A146" s="21">
        <v>3</v>
      </c>
      <c r="B146" t="str">
        <f>VLOOKUP(A146,Products!$A$1:$F$322,2,FALSE)</f>
        <v>Surly Wednesday Frameset - 2016</v>
      </c>
      <c r="C146" s="21" t="e">
        <f>VLOOKUP(A146,Products!A146:$D$322,4,FALSE)</f>
        <v>#N/A</v>
      </c>
    </row>
    <row r="147" spans="1:3" x14ac:dyDescent="0.35">
      <c r="A147" s="21">
        <v>26</v>
      </c>
      <c r="B147" t="str">
        <f>VLOOKUP(A147,Products!$A$1:$F$322,2,FALSE)</f>
        <v>Electra Townie Original 7D EQ - 2016</v>
      </c>
      <c r="C147" s="21" t="e">
        <f>VLOOKUP(A147,Products!A147:$D$322,4,FALSE)</f>
        <v>#N/A</v>
      </c>
    </row>
    <row r="148" spans="1:3" x14ac:dyDescent="0.35">
      <c r="A148" s="21">
        <v>13</v>
      </c>
      <c r="B148" t="str">
        <f>VLOOKUP(A148,Products!$A$1:$F$322,2,FALSE)</f>
        <v>Electra Cruiser 1 (24-Inch) - 2016</v>
      </c>
      <c r="C148" s="21" t="e">
        <f>VLOOKUP(A148,Products!A148:$D$322,4,FALSE)</f>
        <v>#N/A</v>
      </c>
    </row>
    <row r="149" spans="1:3" x14ac:dyDescent="0.35">
      <c r="A149" s="21">
        <v>13</v>
      </c>
      <c r="B149" t="str">
        <f>VLOOKUP(A149,Products!$A$1:$F$322,2,FALSE)</f>
        <v>Electra Cruiser 1 (24-Inch) - 2016</v>
      </c>
      <c r="C149" s="21" t="e">
        <f>VLOOKUP(A149,Products!A149:$D$322,4,FALSE)</f>
        <v>#N/A</v>
      </c>
    </row>
    <row r="150" spans="1:3" x14ac:dyDescent="0.35">
      <c r="A150" s="21">
        <v>20</v>
      </c>
      <c r="B150" t="str">
        <f>VLOOKUP(A150,Products!$A$1:$F$322,2,FALSE)</f>
        <v>Electra Townie Original 7D EQ - Women's - 2016</v>
      </c>
      <c r="C150" s="21" t="e">
        <f>VLOOKUP(A150,Products!A150:$D$322,4,FALSE)</f>
        <v>#N/A</v>
      </c>
    </row>
    <row r="151" spans="1:3" x14ac:dyDescent="0.35">
      <c r="A151" s="21">
        <v>26</v>
      </c>
      <c r="B151" t="str">
        <f>VLOOKUP(A151,Products!$A$1:$F$322,2,FALSE)</f>
        <v>Electra Townie Original 7D EQ - 2016</v>
      </c>
      <c r="C151" s="21" t="e">
        <f>VLOOKUP(A151,Products!A151:$D$322,4,FALSE)</f>
        <v>#N/A</v>
      </c>
    </row>
    <row r="152" spans="1:3" x14ac:dyDescent="0.35">
      <c r="A152" s="21">
        <v>25</v>
      </c>
      <c r="B152" t="str">
        <f>VLOOKUP(A152,Products!$A$1:$F$322,2,FALSE)</f>
        <v>Electra Townie Original 7D - 2015/2016</v>
      </c>
      <c r="C152" s="21" t="e">
        <f>VLOOKUP(A152,Products!A152:$D$322,4,FALSE)</f>
        <v>#N/A</v>
      </c>
    </row>
    <row r="153" spans="1:3" x14ac:dyDescent="0.35">
      <c r="A153" s="21">
        <v>8</v>
      </c>
      <c r="B153" t="str">
        <f>VLOOKUP(A153,Products!$A$1:$F$322,2,FALSE)</f>
        <v>Trek Remedy 29 Carbon Frameset - 2016</v>
      </c>
      <c r="C153" s="21" t="e">
        <f>VLOOKUP(A153,Products!A153:$D$322,4,FALSE)</f>
        <v>#N/A</v>
      </c>
    </row>
    <row r="154" spans="1:3" x14ac:dyDescent="0.35">
      <c r="A154" s="21">
        <v>23</v>
      </c>
      <c r="B154" t="str">
        <f>VLOOKUP(A154,Products!$A$1:$F$322,2,FALSE)</f>
        <v>Electra Girl's Hawaii 1 (20-inch) - 2015/2016</v>
      </c>
      <c r="C154" s="21" t="e">
        <f>VLOOKUP(A154,Products!A154:$D$322,4,FALSE)</f>
        <v>#N/A</v>
      </c>
    </row>
    <row r="155" spans="1:3" x14ac:dyDescent="0.35">
      <c r="A155" s="21">
        <v>14</v>
      </c>
      <c r="B155" t="str">
        <f>VLOOKUP(A155,Products!$A$1:$F$322,2,FALSE)</f>
        <v>Electra Girl's Hawaii 1 (16-inch) - 2015/2016</v>
      </c>
      <c r="C155" s="21" t="e">
        <f>VLOOKUP(A155,Products!A155:$D$322,4,FALSE)</f>
        <v>#N/A</v>
      </c>
    </row>
    <row r="156" spans="1:3" x14ac:dyDescent="0.35">
      <c r="A156" s="21">
        <v>25</v>
      </c>
      <c r="B156" t="str">
        <f>VLOOKUP(A156,Products!$A$1:$F$322,2,FALSE)</f>
        <v>Electra Townie Original 7D - 2015/2016</v>
      </c>
      <c r="C156" s="21" t="e">
        <f>VLOOKUP(A156,Products!A156:$D$322,4,FALSE)</f>
        <v>#N/A</v>
      </c>
    </row>
    <row r="157" spans="1:3" x14ac:dyDescent="0.35">
      <c r="A157" s="21">
        <v>26</v>
      </c>
      <c r="B157" t="str">
        <f>VLOOKUP(A157,Products!$A$1:$F$322,2,FALSE)</f>
        <v>Electra Townie Original 7D EQ - 2016</v>
      </c>
      <c r="C157" s="21" t="e">
        <f>VLOOKUP(A157,Products!A157:$D$322,4,FALSE)</f>
        <v>#N/A</v>
      </c>
    </row>
    <row r="158" spans="1:3" x14ac:dyDescent="0.35">
      <c r="A158" s="21">
        <v>3</v>
      </c>
      <c r="B158" t="str">
        <f>VLOOKUP(A158,Products!$A$1:$F$322,2,FALSE)</f>
        <v>Surly Wednesday Frameset - 2016</v>
      </c>
      <c r="C158" s="21" t="e">
        <f>VLOOKUP(A158,Products!A158:$D$322,4,FALSE)</f>
        <v>#N/A</v>
      </c>
    </row>
    <row r="159" spans="1:3" x14ac:dyDescent="0.35">
      <c r="A159" s="21">
        <v>21</v>
      </c>
      <c r="B159" t="str">
        <f>VLOOKUP(A159,Products!$A$1:$F$322,2,FALSE)</f>
        <v>Electra Cruiser 1 (24-Inch) - 2016</v>
      </c>
      <c r="C159" s="21" t="e">
        <f>VLOOKUP(A159,Products!A159:$D$322,4,FALSE)</f>
        <v>#N/A</v>
      </c>
    </row>
    <row r="160" spans="1:3" x14ac:dyDescent="0.35">
      <c r="A160" s="21">
        <v>25</v>
      </c>
      <c r="B160" t="str">
        <f>VLOOKUP(A160,Products!$A$1:$F$322,2,FALSE)</f>
        <v>Electra Townie Original 7D - 2015/2016</v>
      </c>
      <c r="C160" s="21" t="e">
        <f>VLOOKUP(A160,Products!A160:$D$322,4,FALSE)</f>
        <v>#N/A</v>
      </c>
    </row>
    <row r="161" spans="1:3" x14ac:dyDescent="0.35">
      <c r="A161" s="21">
        <v>15</v>
      </c>
      <c r="B161" t="str">
        <f>VLOOKUP(A161,Products!$A$1:$F$322,2,FALSE)</f>
        <v>Electra Moto 1 - 2016</v>
      </c>
      <c r="C161" s="21" t="e">
        <f>VLOOKUP(A161,Products!A161:$D$322,4,FALSE)</f>
        <v>#N/A</v>
      </c>
    </row>
    <row r="162" spans="1:3" x14ac:dyDescent="0.35">
      <c r="A162" s="21">
        <v>20</v>
      </c>
      <c r="B162" t="str">
        <f>VLOOKUP(A162,Products!$A$1:$F$322,2,FALSE)</f>
        <v>Electra Townie Original 7D EQ - Women's - 2016</v>
      </c>
      <c r="C162" s="21" t="e">
        <f>VLOOKUP(A162,Products!A162:$D$322,4,FALSE)</f>
        <v>#N/A</v>
      </c>
    </row>
    <row r="163" spans="1:3" x14ac:dyDescent="0.35">
      <c r="A163" s="21">
        <v>23</v>
      </c>
      <c r="B163" t="str">
        <f>VLOOKUP(A163,Products!$A$1:$F$322,2,FALSE)</f>
        <v>Electra Girl's Hawaii 1 (20-inch) - 2015/2016</v>
      </c>
      <c r="C163" s="21" t="e">
        <f>VLOOKUP(A163,Products!A163:$D$322,4,FALSE)</f>
        <v>#N/A</v>
      </c>
    </row>
    <row r="164" spans="1:3" x14ac:dyDescent="0.35">
      <c r="A164" s="21">
        <v>19</v>
      </c>
      <c r="B164" t="str">
        <f>VLOOKUP(A164,Products!$A$1:$F$322,2,FALSE)</f>
        <v>Pure Cycles William 3-Speed - 2016</v>
      </c>
      <c r="C164" s="21" t="e">
        <f>VLOOKUP(A164,Products!A164:$D$322,4,FALSE)</f>
        <v>#N/A</v>
      </c>
    </row>
    <row r="165" spans="1:3" x14ac:dyDescent="0.35">
      <c r="A165" s="21">
        <v>13</v>
      </c>
      <c r="B165" t="str">
        <f>VLOOKUP(A165,Products!$A$1:$F$322,2,FALSE)</f>
        <v>Electra Cruiser 1 (24-Inch) - 2016</v>
      </c>
      <c r="C165" s="21" t="e">
        <f>VLOOKUP(A165,Products!A165:$D$322,4,FALSE)</f>
        <v>#N/A</v>
      </c>
    </row>
    <row r="166" spans="1:3" x14ac:dyDescent="0.35">
      <c r="A166" s="21">
        <v>14</v>
      </c>
      <c r="B166" t="str">
        <f>VLOOKUP(A166,Products!$A$1:$F$322,2,FALSE)</f>
        <v>Electra Girl's Hawaii 1 (16-inch) - 2015/2016</v>
      </c>
      <c r="C166" s="21" t="e">
        <f>VLOOKUP(A166,Products!A166:$D$322,4,FALSE)</f>
        <v>#N/A</v>
      </c>
    </row>
    <row r="167" spans="1:3" x14ac:dyDescent="0.35">
      <c r="A167" s="21">
        <v>18</v>
      </c>
      <c r="B167" t="str">
        <f>VLOOKUP(A167,Products!$A$1:$F$322,2,FALSE)</f>
        <v>Pure Cycles Western 3-Speed - Women's - 2015/2016</v>
      </c>
      <c r="C167" s="21" t="e">
        <f>VLOOKUP(A167,Products!A167:$D$322,4,FALSE)</f>
        <v>#N/A</v>
      </c>
    </row>
    <row r="168" spans="1:3" x14ac:dyDescent="0.35">
      <c r="A168" s="21">
        <v>23</v>
      </c>
      <c r="B168" t="str">
        <f>VLOOKUP(A168,Products!$A$1:$F$322,2,FALSE)</f>
        <v>Electra Girl's Hawaii 1 (20-inch) - 2015/2016</v>
      </c>
      <c r="C168" s="21" t="e">
        <f>VLOOKUP(A168,Products!A168:$D$322,4,FALSE)</f>
        <v>#N/A</v>
      </c>
    </row>
    <row r="169" spans="1:3" x14ac:dyDescent="0.35">
      <c r="A169" s="21">
        <v>21</v>
      </c>
      <c r="B169" t="str">
        <f>VLOOKUP(A169,Products!$A$1:$F$322,2,FALSE)</f>
        <v>Electra Cruiser 1 (24-Inch) - 2016</v>
      </c>
      <c r="C169" s="21" t="e">
        <f>VLOOKUP(A169,Products!A169:$D$322,4,FALSE)</f>
        <v>#N/A</v>
      </c>
    </row>
    <row r="170" spans="1:3" x14ac:dyDescent="0.35">
      <c r="A170" s="21">
        <v>2</v>
      </c>
      <c r="B170" t="str">
        <f>VLOOKUP(A170,Products!$A$1:$F$322,2,FALSE)</f>
        <v>Ritchey Timberwolf Frameset - 2016</v>
      </c>
      <c r="C170" s="21" t="e">
        <f>VLOOKUP(A170,Products!A170:$D$322,4,FALSE)</f>
        <v>#N/A</v>
      </c>
    </row>
    <row r="171" spans="1:3" x14ac:dyDescent="0.35">
      <c r="A171" s="21">
        <v>17</v>
      </c>
      <c r="B171" t="str">
        <f>VLOOKUP(A171,Products!$A$1:$F$322,2,FALSE)</f>
        <v>Pure Cycles Vine 8-Speed - 2016</v>
      </c>
      <c r="C171" s="21" t="e">
        <f>VLOOKUP(A171,Products!A171:$D$322,4,FALSE)</f>
        <v>#N/A</v>
      </c>
    </row>
    <row r="172" spans="1:3" x14ac:dyDescent="0.35">
      <c r="A172" s="21">
        <v>14</v>
      </c>
      <c r="B172" t="str">
        <f>VLOOKUP(A172,Products!$A$1:$F$322,2,FALSE)</f>
        <v>Electra Girl's Hawaii 1 (16-inch) - 2015/2016</v>
      </c>
      <c r="C172" s="21" t="e">
        <f>VLOOKUP(A172,Products!A172:$D$322,4,FALSE)</f>
        <v>#N/A</v>
      </c>
    </row>
    <row r="173" spans="1:3" x14ac:dyDescent="0.35">
      <c r="A173" s="21">
        <v>4</v>
      </c>
      <c r="B173" t="str">
        <f>VLOOKUP(A173,Products!$A$1:$F$322,2,FALSE)</f>
        <v>Trek Fuel EX 8 29 - 2016</v>
      </c>
      <c r="C173" s="21" t="e">
        <f>VLOOKUP(A173,Products!A173:$D$322,4,FALSE)</f>
        <v>#N/A</v>
      </c>
    </row>
    <row r="174" spans="1:3" x14ac:dyDescent="0.35">
      <c r="A174" s="21">
        <v>15</v>
      </c>
      <c r="B174" t="str">
        <f>VLOOKUP(A174,Products!$A$1:$F$322,2,FALSE)</f>
        <v>Electra Moto 1 - 2016</v>
      </c>
      <c r="C174" s="21" t="e">
        <f>VLOOKUP(A174,Products!A174:$D$322,4,FALSE)</f>
        <v>#N/A</v>
      </c>
    </row>
    <row r="175" spans="1:3" x14ac:dyDescent="0.35">
      <c r="A175" s="21">
        <v>22</v>
      </c>
      <c r="B175" t="str">
        <f>VLOOKUP(A175,Products!$A$1:$F$322,2,FALSE)</f>
        <v>Electra Girl's Hawaii 1 (16-inch) - 2015/2016</v>
      </c>
      <c r="C175" s="21" t="e">
        <f>VLOOKUP(A175,Products!A175:$D$322,4,FALSE)</f>
        <v>#N/A</v>
      </c>
    </row>
    <row r="176" spans="1:3" x14ac:dyDescent="0.35">
      <c r="A176" s="21">
        <v>25</v>
      </c>
      <c r="B176" t="str">
        <f>VLOOKUP(A176,Products!$A$1:$F$322,2,FALSE)</f>
        <v>Electra Townie Original 7D - 2015/2016</v>
      </c>
      <c r="C176" s="21" t="e">
        <f>VLOOKUP(A176,Products!A176:$D$322,4,FALSE)</f>
        <v>#N/A</v>
      </c>
    </row>
    <row r="177" spans="1:3" x14ac:dyDescent="0.35">
      <c r="A177" s="21">
        <v>15</v>
      </c>
      <c r="B177" t="str">
        <f>VLOOKUP(A177,Products!$A$1:$F$322,2,FALSE)</f>
        <v>Electra Moto 1 - 2016</v>
      </c>
      <c r="C177" s="21" t="e">
        <f>VLOOKUP(A177,Products!A177:$D$322,4,FALSE)</f>
        <v>#N/A</v>
      </c>
    </row>
    <row r="178" spans="1:3" x14ac:dyDescent="0.35">
      <c r="A178" s="21">
        <v>5</v>
      </c>
      <c r="B178" t="str">
        <f>VLOOKUP(A178,Products!$A$1:$F$322,2,FALSE)</f>
        <v>Heller Shagamaw Frame - 2016</v>
      </c>
      <c r="C178" s="21" t="e">
        <f>VLOOKUP(A178,Products!A178:$D$322,4,FALSE)</f>
        <v>#N/A</v>
      </c>
    </row>
    <row r="179" spans="1:3" x14ac:dyDescent="0.35">
      <c r="A179" s="21">
        <v>14</v>
      </c>
      <c r="B179" t="str">
        <f>VLOOKUP(A179,Products!$A$1:$F$322,2,FALSE)</f>
        <v>Electra Girl's Hawaii 1 (16-inch) - 2015/2016</v>
      </c>
      <c r="C179" s="21" t="e">
        <f>VLOOKUP(A179,Products!A179:$D$322,4,FALSE)</f>
        <v>#N/A</v>
      </c>
    </row>
    <row r="180" spans="1:3" x14ac:dyDescent="0.35">
      <c r="A180" s="21">
        <v>8</v>
      </c>
      <c r="B180" t="str">
        <f>VLOOKUP(A180,Products!$A$1:$F$322,2,FALSE)</f>
        <v>Trek Remedy 29 Carbon Frameset - 2016</v>
      </c>
      <c r="C180" s="21" t="e">
        <f>VLOOKUP(A180,Products!A180:$D$322,4,FALSE)</f>
        <v>#N/A</v>
      </c>
    </row>
    <row r="181" spans="1:3" x14ac:dyDescent="0.35">
      <c r="A181" s="21">
        <v>22</v>
      </c>
      <c r="B181" t="str">
        <f>VLOOKUP(A181,Products!$A$1:$F$322,2,FALSE)</f>
        <v>Electra Girl's Hawaii 1 (16-inch) - 2015/2016</v>
      </c>
      <c r="C181" s="21" t="e">
        <f>VLOOKUP(A181,Products!A181:$D$322,4,FALSE)</f>
        <v>#N/A</v>
      </c>
    </row>
    <row r="182" spans="1:3" x14ac:dyDescent="0.35">
      <c r="A182" s="21">
        <v>25</v>
      </c>
      <c r="B182" t="str">
        <f>VLOOKUP(A182,Products!$A$1:$F$322,2,FALSE)</f>
        <v>Electra Townie Original 7D - 2015/2016</v>
      </c>
      <c r="C182" s="21" t="e">
        <f>VLOOKUP(A182,Products!A182:$D$322,4,FALSE)</f>
        <v>#N/A</v>
      </c>
    </row>
    <row r="183" spans="1:3" x14ac:dyDescent="0.35">
      <c r="A183" s="21">
        <v>19</v>
      </c>
      <c r="B183" t="str">
        <f>VLOOKUP(A183,Products!$A$1:$F$322,2,FALSE)</f>
        <v>Pure Cycles William 3-Speed - 2016</v>
      </c>
      <c r="C183" s="21" t="e">
        <f>VLOOKUP(A183,Products!A183:$D$322,4,FALSE)</f>
        <v>#N/A</v>
      </c>
    </row>
    <row r="184" spans="1:3" x14ac:dyDescent="0.35">
      <c r="A184" s="21">
        <v>3</v>
      </c>
      <c r="B184" t="str">
        <f>VLOOKUP(A184,Products!$A$1:$F$322,2,FALSE)</f>
        <v>Surly Wednesday Frameset - 2016</v>
      </c>
      <c r="C184" s="21" t="e">
        <f>VLOOKUP(A184,Products!A184:$D$322,4,FALSE)</f>
        <v>#N/A</v>
      </c>
    </row>
    <row r="185" spans="1:3" x14ac:dyDescent="0.35">
      <c r="A185" s="21">
        <v>25</v>
      </c>
      <c r="B185" t="str">
        <f>VLOOKUP(A185,Products!$A$1:$F$322,2,FALSE)</f>
        <v>Electra Townie Original 7D - 2015/2016</v>
      </c>
      <c r="C185" s="21" t="e">
        <f>VLOOKUP(A185,Products!A185:$D$322,4,FALSE)</f>
        <v>#N/A</v>
      </c>
    </row>
    <row r="186" spans="1:3" x14ac:dyDescent="0.35">
      <c r="A186" s="21">
        <v>22</v>
      </c>
      <c r="B186" t="str">
        <f>VLOOKUP(A186,Products!$A$1:$F$322,2,FALSE)</f>
        <v>Electra Girl's Hawaii 1 (16-inch) - 2015/2016</v>
      </c>
      <c r="C186" s="21" t="e">
        <f>VLOOKUP(A186,Products!A186:$D$322,4,FALSE)</f>
        <v>#N/A</v>
      </c>
    </row>
    <row r="187" spans="1:3" x14ac:dyDescent="0.35">
      <c r="A187" s="21">
        <v>23</v>
      </c>
      <c r="B187" t="str">
        <f>VLOOKUP(A187,Products!$A$1:$F$322,2,FALSE)</f>
        <v>Electra Girl's Hawaii 1 (20-inch) - 2015/2016</v>
      </c>
      <c r="C187" s="21" t="e">
        <f>VLOOKUP(A187,Products!A187:$D$322,4,FALSE)</f>
        <v>#N/A</v>
      </c>
    </row>
    <row r="188" spans="1:3" x14ac:dyDescent="0.35">
      <c r="A188" s="21">
        <v>24</v>
      </c>
      <c r="B188" t="str">
        <f>VLOOKUP(A188,Products!$A$1:$F$322,2,FALSE)</f>
        <v>Electra Townie Original 21D - 2016</v>
      </c>
      <c r="C188" s="21" t="e">
        <f>VLOOKUP(A188,Products!A188:$D$322,4,FALSE)</f>
        <v>#N/A</v>
      </c>
    </row>
    <row r="189" spans="1:3" x14ac:dyDescent="0.35">
      <c r="A189" s="21">
        <v>12</v>
      </c>
      <c r="B189" t="str">
        <f>VLOOKUP(A189,Products!$A$1:$F$322,2,FALSE)</f>
        <v>Electra Townie Original 21D - 2016</v>
      </c>
      <c r="C189" s="21" t="e">
        <f>VLOOKUP(A189,Products!A189:$D$322,4,FALSE)</f>
        <v>#N/A</v>
      </c>
    </row>
    <row r="190" spans="1:3" x14ac:dyDescent="0.35">
      <c r="A190" s="21">
        <v>2</v>
      </c>
      <c r="B190" t="str">
        <f>VLOOKUP(A190,Products!$A$1:$F$322,2,FALSE)</f>
        <v>Ritchey Timberwolf Frameset - 2016</v>
      </c>
      <c r="C190" s="21" t="e">
        <f>VLOOKUP(A190,Products!A190:$D$322,4,FALSE)</f>
        <v>#N/A</v>
      </c>
    </row>
    <row r="191" spans="1:3" x14ac:dyDescent="0.35">
      <c r="A191" s="21">
        <v>23</v>
      </c>
      <c r="B191" t="str">
        <f>VLOOKUP(A191,Products!$A$1:$F$322,2,FALSE)</f>
        <v>Electra Girl's Hawaii 1 (20-inch) - 2015/2016</v>
      </c>
      <c r="C191" s="21" t="e">
        <f>VLOOKUP(A191,Products!A191:$D$322,4,FALSE)</f>
        <v>#N/A</v>
      </c>
    </row>
    <row r="192" spans="1:3" x14ac:dyDescent="0.35">
      <c r="A192" s="21">
        <v>12</v>
      </c>
      <c r="B192" t="str">
        <f>VLOOKUP(A192,Products!$A$1:$F$322,2,FALSE)</f>
        <v>Electra Townie Original 21D - 2016</v>
      </c>
      <c r="C192" s="21" t="e">
        <f>VLOOKUP(A192,Products!A192:$D$322,4,FALSE)</f>
        <v>#N/A</v>
      </c>
    </row>
    <row r="193" spans="1:3" x14ac:dyDescent="0.35">
      <c r="A193" s="21">
        <v>23</v>
      </c>
      <c r="B193" t="str">
        <f>VLOOKUP(A193,Products!$A$1:$F$322,2,FALSE)</f>
        <v>Electra Girl's Hawaii 1 (20-inch) - 2015/2016</v>
      </c>
      <c r="C193" s="21" t="e">
        <f>VLOOKUP(A193,Products!A193:$D$322,4,FALSE)</f>
        <v>#N/A</v>
      </c>
    </row>
    <row r="194" spans="1:3" x14ac:dyDescent="0.35">
      <c r="A194" s="21">
        <v>12</v>
      </c>
      <c r="B194" t="str">
        <f>VLOOKUP(A194,Products!$A$1:$F$322,2,FALSE)</f>
        <v>Electra Townie Original 21D - 2016</v>
      </c>
      <c r="C194" s="21" t="e">
        <f>VLOOKUP(A194,Products!A194:$D$322,4,FALSE)</f>
        <v>#N/A</v>
      </c>
    </row>
    <row r="195" spans="1:3" x14ac:dyDescent="0.35">
      <c r="A195" s="21">
        <v>21</v>
      </c>
      <c r="B195" t="str">
        <f>VLOOKUP(A195,Products!$A$1:$F$322,2,FALSE)</f>
        <v>Electra Cruiser 1 (24-Inch) - 2016</v>
      </c>
      <c r="C195" s="21" t="e">
        <f>VLOOKUP(A195,Products!A195:$D$322,4,FALSE)</f>
        <v>#N/A</v>
      </c>
    </row>
    <row r="196" spans="1:3" x14ac:dyDescent="0.35">
      <c r="A196" s="21">
        <v>5</v>
      </c>
      <c r="B196" t="str">
        <f>VLOOKUP(A196,Products!$A$1:$F$322,2,FALSE)</f>
        <v>Heller Shagamaw Frame - 2016</v>
      </c>
      <c r="C196" s="21" t="e">
        <f>VLOOKUP(A196,Products!A196:$D$322,4,FALSE)</f>
        <v>#N/A</v>
      </c>
    </row>
    <row r="197" spans="1:3" x14ac:dyDescent="0.35">
      <c r="A197" s="21">
        <v>19</v>
      </c>
      <c r="B197" t="str">
        <f>VLOOKUP(A197,Products!$A$1:$F$322,2,FALSE)</f>
        <v>Pure Cycles William 3-Speed - 2016</v>
      </c>
      <c r="C197" s="21" t="e">
        <f>VLOOKUP(A197,Products!A197:$D$322,4,FALSE)</f>
        <v>#N/A</v>
      </c>
    </row>
    <row r="198" spans="1:3" x14ac:dyDescent="0.35">
      <c r="A198" s="21">
        <v>13</v>
      </c>
      <c r="B198" t="str">
        <f>VLOOKUP(A198,Products!$A$1:$F$322,2,FALSE)</f>
        <v>Electra Cruiser 1 (24-Inch) - 2016</v>
      </c>
      <c r="C198" s="21" t="e">
        <f>VLOOKUP(A198,Products!A198:$D$322,4,FALSE)</f>
        <v>#N/A</v>
      </c>
    </row>
    <row r="199" spans="1:3" x14ac:dyDescent="0.35">
      <c r="A199" s="21">
        <v>17</v>
      </c>
      <c r="B199" t="str">
        <f>VLOOKUP(A199,Products!$A$1:$F$322,2,FALSE)</f>
        <v>Pure Cycles Vine 8-Speed - 2016</v>
      </c>
      <c r="C199" s="21" t="e">
        <f>VLOOKUP(A199,Products!A199:$D$322,4,FALSE)</f>
        <v>#N/A</v>
      </c>
    </row>
    <row r="200" spans="1:3" x14ac:dyDescent="0.35">
      <c r="A200" s="21">
        <v>22</v>
      </c>
      <c r="B200" t="str">
        <f>VLOOKUP(A200,Products!$A$1:$F$322,2,FALSE)</f>
        <v>Electra Girl's Hawaii 1 (16-inch) - 2015/2016</v>
      </c>
      <c r="C200" s="21" t="e">
        <f>VLOOKUP(A200,Products!A200:$D$322,4,FALSE)</f>
        <v>#N/A</v>
      </c>
    </row>
    <row r="201" spans="1:3" x14ac:dyDescent="0.35">
      <c r="A201" s="21">
        <v>5</v>
      </c>
      <c r="B201" t="str">
        <f>VLOOKUP(A201,Products!$A$1:$F$322,2,FALSE)</f>
        <v>Heller Shagamaw Frame - 2016</v>
      </c>
      <c r="C201" s="21" t="e">
        <f>VLOOKUP(A201,Products!A201:$D$322,4,FALSE)</f>
        <v>#N/A</v>
      </c>
    </row>
    <row r="202" spans="1:3" x14ac:dyDescent="0.35">
      <c r="A202" s="21">
        <v>10</v>
      </c>
      <c r="B202" t="str">
        <f>VLOOKUP(A202,Products!$A$1:$F$322,2,FALSE)</f>
        <v>Surly Straggler - 2016</v>
      </c>
      <c r="C202" s="21" t="e">
        <f>VLOOKUP(A202,Products!A202:$D$322,4,FALSE)</f>
        <v>#N/A</v>
      </c>
    </row>
    <row r="203" spans="1:3" x14ac:dyDescent="0.35">
      <c r="A203" s="21">
        <v>3</v>
      </c>
      <c r="B203" t="str">
        <f>VLOOKUP(A203,Products!$A$1:$F$322,2,FALSE)</f>
        <v>Surly Wednesday Frameset - 2016</v>
      </c>
      <c r="C203" s="21" t="e">
        <f>VLOOKUP(A203,Products!A203:$D$322,4,FALSE)</f>
        <v>#N/A</v>
      </c>
    </row>
    <row r="204" spans="1:3" x14ac:dyDescent="0.35">
      <c r="A204" s="21">
        <v>18</v>
      </c>
      <c r="B204" t="str">
        <f>VLOOKUP(A204,Products!$A$1:$F$322,2,FALSE)</f>
        <v>Pure Cycles Western 3-Speed - Women's - 2015/2016</v>
      </c>
      <c r="C204" s="21" t="e">
        <f>VLOOKUP(A204,Products!A204:$D$322,4,FALSE)</f>
        <v>#N/A</v>
      </c>
    </row>
    <row r="205" spans="1:3" x14ac:dyDescent="0.35">
      <c r="A205" s="21">
        <v>20</v>
      </c>
      <c r="B205" t="str">
        <f>VLOOKUP(A205,Products!$A$1:$F$322,2,FALSE)</f>
        <v>Electra Townie Original 7D EQ - Women's - 2016</v>
      </c>
      <c r="C205" s="21" t="e">
        <f>VLOOKUP(A205,Products!A205:$D$322,4,FALSE)</f>
        <v>#N/A</v>
      </c>
    </row>
    <row r="206" spans="1:3" x14ac:dyDescent="0.35">
      <c r="A206" s="21">
        <v>26</v>
      </c>
      <c r="B206" t="str">
        <f>VLOOKUP(A206,Products!$A$1:$F$322,2,FALSE)</f>
        <v>Electra Townie Original 7D EQ - 2016</v>
      </c>
      <c r="C206" s="21" t="e">
        <f>VLOOKUP(A206,Products!A206:$D$322,4,FALSE)</f>
        <v>#N/A</v>
      </c>
    </row>
    <row r="207" spans="1:3" x14ac:dyDescent="0.35">
      <c r="A207" s="21">
        <v>24</v>
      </c>
      <c r="B207" t="str">
        <f>VLOOKUP(A207,Products!$A$1:$F$322,2,FALSE)</f>
        <v>Electra Townie Original 21D - 2016</v>
      </c>
      <c r="C207" s="21" t="e">
        <f>VLOOKUP(A207,Products!A207:$D$322,4,FALSE)</f>
        <v>#N/A</v>
      </c>
    </row>
    <row r="208" spans="1:3" x14ac:dyDescent="0.35">
      <c r="A208" s="21">
        <v>18</v>
      </c>
      <c r="B208" t="str">
        <f>VLOOKUP(A208,Products!$A$1:$F$322,2,FALSE)</f>
        <v>Pure Cycles Western 3-Speed - Women's - 2015/2016</v>
      </c>
      <c r="C208" s="21" t="e">
        <f>VLOOKUP(A208,Products!A208:$D$322,4,FALSE)</f>
        <v>#N/A</v>
      </c>
    </row>
    <row r="209" spans="1:3" x14ac:dyDescent="0.35">
      <c r="A209" s="21">
        <v>17</v>
      </c>
      <c r="B209" t="str">
        <f>VLOOKUP(A209,Products!$A$1:$F$322,2,FALSE)</f>
        <v>Pure Cycles Vine 8-Speed - 2016</v>
      </c>
      <c r="C209" s="21" t="e">
        <f>VLOOKUP(A209,Products!A209:$D$322,4,FALSE)</f>
        <v>#N/A</v>
      </c>
    </row>
    <row r="210" spans="1:3" x14ac:dyDescent="0.35">
      <c r="A210" s="21">
        <v>12</v>
      </c>
      <c r="B210" t="str">
        <f>VLOOKUP(A210,Products!$A$1:$F$322,2,FALSE)</f>
        <v>Electra Townie Original 21D - 2016</v>
      </c>
      <c r="C210" s="21" t="e">
        <f>VLOOKUP(A210,Products!A210:$D$322,4,FALSE)</f>
        <v>#N/A</v>
      </c>
    </row>
    <row r="211" spans="1:3" x14ac:dyDescent="0.35">
      <c r="A211" s="21">
        <v>13</v>
      </c>
      <c r="B211" t="str">
        <f>VLOOKUP(A211,Products!$A$1:$F$322,2,FALSE)</f>
        <v>Electra Cruiser 1 (24-Inch) - 2016</v>
      </c>
      <c r="C211" s="21" t="e">
        <f>VLOOKUP(A211,Products!A211:$D$322,4,FALSE)</f>
        <v>#N/A</v>
      </c>
    </row>
    <row r="212" spans="1:3" x14ac:dyDescent="0.35">
      <c r="A212" s="21">
        <v>22</v>
      </c>
      <c r="B212" t="str">
        <f>VLOOKUP(A212,Products!$A$1:$F$322,2,FALSE)</f>
        <v>Electra Girl's Hawaii 1 (16-inch) - 2015/2016</v>
      </c>
      <c r="C212" s="21" t="e">
        <f>VLOOKUP(A212,Products!A212:$D$322,4,FALSE)</f>
        <v>#N/A</v>
      </c>
    </row>
    <row r="213" spans="1:3" x14ac:dyDescent="0.35">
      <c r="A213" s="21">
        <v>26</v>
      </c>
      <c r="B213" t="str">
        <f>VLOOKUP(A213,Products!$A$1:$F$322,2,FALSE)</f>
        <v>Electra Townie Original 7D EQ - 2016</v>
      </c>
      <c r="C213" s="21" t="e">
        <f>VLOOKUP(A213,Products!A213:$D$322,4,FALSE)</f>
        <v>#N/A</v>
      </c>
    </row>
    <row r="214" spans="1:3" x14ac:dyDescent="0.35">
      <c r="A214" s="21">
        <v>3</v>
      </c>
      <c r="B214" t="str">
        <f>VLOOKUP(A214,Products!$A$1:$F$322,2,FALSE)</f>
        <v>Surly Wednesday Frameset - 2016</v>
      </c>
      <c r="C214" s="21" t="e">
        <f>VLOOKUP(A214,Products!A214:$D$322,4,FALSE)</f>
        <v>#N/A</v>
      </c>
    </row>
    <row r="215" spans="1:3" x14ac:dyDescent="0.35">
      <c r="A215" s="21">
        <v>25</v>
      </c>
      <c r="B215" t="str">
        <f>VLOOKUP(A215,Products!$A$1:$F$322,2,FALSE)</f>
        <v>Electra Townie Original 7D - 2015/2016</v>
      </c>
      <c r="C215" s="21" t="e">
        <f>VLOOKUP(A215,Products!A215:$D$322,4,FALSE)</f>
        <v>#N/A</v>
      </c>
    </row>
    <row r="216" spans="1:3" x14ac:dyDescent="0.35">
      <c r="A216" s="21">
        <v>23</v>
      </c>
      <c r="B216" t="str">
        <f>VLOOKUP(A216,Products!$A$1:$F$322,2,FALSE)</f>
        <v>Electra Girl's Hawaii 1 (20-inch) - 2015/2016</v>
      </c>
      <c r="C216" s="21" t="e">
        <f>VLOOKUP(A216,Products!A216:$D$322,4,FALSE)</f>
        <v>#N/A</v>
      </c>
    </row>
    <row r="217" spans="1:3" x14ac:dyDescent="0.35">
      <c r="A217" s="21">
        <v>16</v>
      </c>
      <c r="B217" t="str">
        <f>VLOOKUP(A217,Products!$A$1:$F$322,2,FALSE)</f>
        <v>Electra Townie Original 7D EQ - 2016</v>
      </c>
      <c r="C217" s="21" t="e">
        <f>VLOOKUP(A217,Products!A217:$D$322,4,FALSE)</f>
        <v>#N/A</v>
      </c>
    </row>
    <row r="218" spans="1:3" x14ac:dyDescent="0.35">
      <c r="A218" s="21">
        <v>6</v>
      </c>
      <c r="B218" t="str">
        <f>VLOOKUP(A218,Products!$A$1:$F$322,2,FALSE)</f>
        <v>Surly Ice Cream Truck Frameset - 2016</v>
      </c>
      <c r="C218" s="21" t="e">
        <f>VLOOKUP(A218,Products!A218:$D$322,4,FALSE)</f>
        <v>#N/A</v>
      </c>
    </row>
    <row r="219" spans="1:3" x14ac:dyDescent="0.35">
      <c r="A219" s="21">
        <v>3</v>
      </c>
      <c r="B219" t="str">
        <f>VLOOKUP(A219,Products!$A$1:$F$322,2,FALSE)</f>
        <v>Surly Wednesday Frameset - 2016</v>
      </c>
      <c r="C219" s="21" t="e">
        <f>VLOOKUP(A219,Products!A219:$D$322,4,FALSE)</f>
        <v>#N/A</v>
      </c>
    </row>
    <row r="220" spans="1:3" x14ac:dyDescent="0.35">
      <c r="A220" s="21">
        <v>7</v>
      </c>
      <c r="B220" t="str">
        <f>VLOOKUP(A220,Products!$A$1:$F$322,2,FALSE)</f>
        <v>Trek Slash 8 27.5 - 2016</v>
      </c>
      <c r="C220" s="21" t="e">
        <f>VLOOKUP(A220,Products!A220:$D$322,4,FALSE)</f>
        <v>#N/A</v>
      </c>
    </row>
    <row r="221" spans="1:3" x14ac:dyDescent="0.35">
      <c r="A221" s="21">
        <v>15</v>
      </c>
      <c r="B221" t="str">
        <f>VLOOKUP(A221,Products!$A$1:$F$322,2,FALSE)</f>
        <v>Electra Moto 1 - 2016</v>
      </c>
      <c r="C221" s="21" t="e">
        <f>VLOOKUP(A221,Products!A221:$D$322,4,FALSE)</f>
        <v>#N/A</v>
      </c>
    </row>
    <row r="222" spans="1:3" x14ac:dyDescent="0.35">
      <c r="A222" s="21">
        <v>12</v>
      </c>
      <c r="B222" t="str">
        <f>VLOOKUP(A222,Products!$A$1:$F$322,2,FALSE)</f>
        <v>Electra Townie Original 21D - 2016</v>
      </c>
      <c r="C222" s="21" t="e">
        <f>VLOOKUP(A222,Products!A222:$D$322,4,FALSE)</f>
        <v>#N/A</v>
      </c>
    </row>
    <row r="223" spans="1:3" x14ac:dyDescent="0.35">
      <c r="A223" s="21">
        <v>11</v>
      </c>
      <c r="B223" t="str">
        <f>VLOOKUP(A223,Products!$A$1:$F$322,2,FALSE)</f>
        <v>Surly Straggler 650b - 2016</v>
      </c>
      <c r="C223" s="21" t="e">
        <f>VLOOKUP(A223,Products!A223:$D$322,4,FALSE)</f>
        <v>#N/A</v>
      </c>
    </row>
    <row r="224" spans="1:3" x14ac:dyDescent="0.35">
      <c r="A224" s="21">
        <v>5</v>
      </c>
      <c r="B224" t="str">
        <f>VLOOKUP(A224,Products!$A$1:$F$322,2,FALSE)</f>
        <v>Heller Shagamaw Frame - 2016</v>
      </c>
      <c r="C224" s="21" t="e">
        <f>VLOOKUP(A224,Products!A224:$D$322,4,FALSE)</f>
        <v>#N/A</v>
      </c>
    </row>
    <row r="225" spans="1:3" x14ac:dyDescent="0.35">
      <c r="A225" s="21">
        <v>20</v>
      </c>
      <c r="B225" t="str">
        <f>VLOOKUP(A225,Products!$A$1:$F$322,2,FALSE)</f>
        <v>Electra Townie Original 7D EQ - Women's - 2016</v>
      </c>
      <c r="C225" s="21" t="e">
        <f>VLOOKUP(A225,Products!A225:$D$322,4,FALSE)</f>
        <v>#N/A</v>
      </c>
    </row>
    <row r="226" spans="1:3" x14ac:dyDescent="0.35">
      <c r="A226" s="21">
        <v>24</v>
      </c>
      <c r="B226" t="str">
        <f>VLOOKUP(A226,Products!$A$1:$F$322,2,FALSE)</f>
        <v>Electra Townie Original 21D - 2016</v>
      </c>
      <c r="C226" s="21" t="e">
        <f>VLOOKUP(A226,Products!A226:$D$322,4,FALSE)</f>
        <v>#N/A</v>
      </c>
    </row>
    <row r="227" spans="1:3" x14ac:dyDescent="0.35">
      <c r="A227" s="21">
        <v>26</v>
      </c>
      <c r="B227" t="str">
        <f>VLOOKUP(A227,Products!$A$1:$F$322,2,FALSE)</f>
        <v>Electra Townie Original 7D EQ - 2016</v>
      </c>
      <c r="C227" s="21" t="e">
        <f>VLOOKUP(A227,Products!A227:$D$322,4,FALSE)</f>
        <v>#N/A</v>
      </c>
    </row>
    <row r="228" spans="1:3" x14ac:dyDescent="0.35">
      <c r="A228" s="21">
        <v>25</v>
      </c>
      <c r="B228" t="str">
        <f>VLOOKUP(A228,Products!$A$1:$F$322,2,FALSE)</f>
        <v>Electra Townie Original 7D - 2015/2016</v>
      </c>
      <c r="C228" s="21" t="e">
        <f>VLOOKUP(A228,Products!A228:$D$322,4,FALSE)</f>
        <v>#N/A</v>
      </c>
    </row>
    <row r="229" spans="1:3" x14ac:dyDescent="0.35">
      <c r="A229" s="21">
        <v>17</v>
      </c>
      <c r="B229" t="str">
        <f>VLOOKUP(A229,Products!$A$1:$F$322,2,FALSE)</f>
        <v>Pure Cycles Vine 8-Speed - 2016</v>
      </c>
      <c r="C229" s="21" t="e">
        <f>VLOOKUP(A229,Products!A229:$D$322,4,FALSE)</f>
        <v>#N/A</v>
      </c>
    </row>
    <row r="230" spans="1:3" x14ac:dyDescent="0.35">
      <c r="A230" s="21">
        <v>19</v>
      </c>
      <c r="B230" t="str">
        <f>VLOOKUP(A230,Products!$A$1:$F$322,2,FALSE)</f>
        <v>Pure Cycles William 3-Speed - 2016</v>
      </c>
      <c r="C230" s="21" t="e">
        <f>VLOOKUP(A230,Products!A230:$D$322,4,FALSE)</f>
        <v>#N/A</v>
      </c>
    </row>
    <row r="231" spans="1:3" x14ac:dyDescent="0.35">
      <c r="A231" s="21">
        <v>18</v>
      </c>
      <c r="B231" t="str">
        <f>VLOOKUP(A231,Products!$A$1:$F$322,2,FALSE)</f>
        <v>Pure Cycles Western 3-Speed - Women's - 2015/2016</v>
      </c>
      <c r="C231" s="21" t="e">
        <f>VLOOKUP(A231,Products!A231:$D$322,4,FALSE)</f>
        <v>#N/A</v>
      </c>
    </row>
    <row r="232" spans="1:3" x14ac:dyDescent="0.35">
      <c r="A232" s="21">
        <v>14</v>
      </c>
      <c r="B232" t="str">
        <f>VLOOKUP(A232,Products!$A$1:$F$322,2,FALSE)</f>
        <v>Electra Girl's Hawaii 1 (16-inch) - 2015/2016</v>
      </c>
      <c r="C232" s="21" t="e">
        <f>VLOOKUP(A232,Products!A232:$D$322,4,FALSE)</f>
        <v>#N/A</v>
      </c>
    </row>
    <row r="233" spans="1:3" x14ac:dyDescent="0.35">
      <c r="A233" s="21">
        <v>9</v>
      </c>
      <c r="B233" t="str">
        <f>VLOOKUP(A233,Products!$A$1:$F$322,2,FALSE)</f>
        <v>Trek Conduit+ - 2016</v>
      </c>
      <c r="C233" s="21" t="e">
        <f>VLOOKUP(A233,Products!A233:$D$322,4,FALSE)</f>
        <v>#N/A</v>
      </c>
    </row>
    <row r="234" spans="1:3" x14ac:dyDescent="0.35">
      <c r="A234" s="21">
        <v>17</v>
      </c>
      <c r="B234" t="str">
        <f>VLOOKUP(A234,Products!$A$1:$F$322,2,FALSE)</f>
        <v>Pure Cycles Vine 8-Speed - 2016</v>
      </c>
      <c r="C234" s="21" t="e">
        <f>VLOOKUP(A234,Products!A234:$D$322,4,FALSE)</f>
        <v>#N/A</v>
      </c>
    </row>
    <row r="235" spans="1:3" x14ac:dyDescent="0.35">
      <c r="A235" s="21">
        <v>6</v>
      </c>
      <c r="B235" t="str">
        <f>VLOOKUP(A235,Products!$A$1:$F$322,2,FALSE)</f>
        <v>Surly Ice Cream Truck Frameset - 2016</v>
      </c>
      <c r="C235" s="21" t="e">
        <f>VLOOKUP(A235,Products!A235:$D$322,4,FALSE)</f>
        <v>#N/A</v>
      </c>
    </row>
    <row r="236" spans="1:3" x14ac:dyDescent="0.35">
      <c r="A236" s="21">
        <v>25</v>
      </c>
      <c r="B236" t="str">
        <f>VLOOKUP(A236,Products!$A$1:$F$322,2,FALSE)</f>
        <v>Electra Townie Original 7D - 2015/2016</v>
      </c>
      <c r="C236" s="21" t="e">
        <f>VLOOKUP(A236,Products!A236:$D$322,4,FALSE)</f>
        <v>#N/A</v>
      </c>
    </row>
    <row r="237" spans="1:3" x14ac:dyDescent="0.35">
      <c r="A237" s="21">
        <v>26</v>
      </c>
      <c r="B237" t="str">
        <f>VLOOKUP(A237,Products!$A$1:$F$322,2,FALSE)</f>
        <v>Electra Townie Original 7D EQ - 2016</v>
      </c>
      <c r="C237" s="21" t="e">
        <f>VLOOKUP(A237,Products!A237:$D$322,4,FALSE)</f>
        <v>#N/A</v>
      </c>
    </row>
    <row r="238" spans="1:3" x14ac:dyDescent="0.35">
      <c r="A238" s="21">
        <v>24</v>
      </c>
      <c r="B238" t="str">
        <f>VLOOKUP(A238,Products!$A$1:$F$322,2,FALSE)</f>
        <v>Electra Townie Original 21D - 2016</v>
      </c>
      <c r="C238" s="21" t="e">
        <f>VLOOKUP(A238,Products!A238:$D$322,4,FALSE)</f>
        <v>#N/A</v>
      </c>
    </row>
    <row r="239" spans="1:3" x14ac:dyDescent="0.35">
      <c r="A239" s="21">
        <v>17</v>
      </c>
      <c r="B239" t="str">
        <f>VLOOKUP(A239,Products!$A$1:$F$322,2,FALSE)</f>
        <v>Pure Cycles Vine 8-Speed - 2016</v>
      </c>
      <c r="C239" s="21" t="e">
        <f>VLOOKUP(A239,Products!A239:$D$322,4,FALSE)</f>
        <v>#N/A</v>
      </c>
    </row>
    <row r="240" spans="1:3" x14ac:dyDescent="0.35">
      <c r="A240" s="21">
        <v>10</v>
      </c>
      <c r="B240" t="str">
        <f>VLOOKUP(A240,Products!$A$1:$F$322,2,FALSE)</f>
        <v>Surly Straggler - 2016</v>
      </c>
      <c r="C240" s="21" t="e">
        <f>VLOOKUP(A240,Products!A240:$D$322,4,FALSE)</f>
        <v>#N/A</v>
      </c>
    </row>
    <row r="241" spans="1:3" x14ac:dyDescent="0.35">
      <c r="A241" s="21">
        <v>23</v>
      </c>
      <c r="B241" t="str">
        <f>VLOOKUP(A241,Products!$A$1:$F$322,2,FALSE)</f>
        <v>Electra Girl's Hawaii 1 (20-inch) - 2015/2016</v>
      </c>
      <c r="C241" s="21" t="e">
        <f>VLOOKUP(A241,Products!A241:$D$322,4,FALSE)</f>
        <v>#N/A</v>
      </c>
    </row>
    <row r="242" spans="1:3" x14ac:dyDescent="0.35">
      <c r="A242" s="21">
        <v>25</v>
      </c>
      <c r="B242" t="str">
        <f>VLOOKUP(A242,Products!$A$1:$F$322,2,FALSE)</f>
        <v>Electra Townie Original 7D - 2015/2016</v>
      </c>
      <c r="C242" s="21" t="e">
        <f>VLOOKUP(A242,Products!A242:$D$322,4,FALSE)</f>
        <v>#N/A</v>
      </c>
    </row>
    <row r="243" spans="1:3" x14ac:dyDescent="0.35">
      <c r="A243" s="21">
        <v>25</v>
      </c>
      <c r="B243" t="str">
        <f>VLOOKUP(A243,Products!$A$1:$F$322,2,FALSE)</f>
        <v>Electra Townie Original 7D - 2015/2016</v>
      </c>
      <c r="C243" s="21" t="e">
        <f>VLOOKUP(A243,Products!A243:$D$322,4,FALSE)</f>
        <v>#N/A</v>
      </c>
    </row>
    <row r="244" spans="1:3" x14ac:dyDescent="0.35">
      <c r="A244" s="21">
        <v>11</v>
      </c>
      <c r="B244" t="str">
        <f>VLOOKUP(A244,Products!$A$1:$F$322,2,FALSE)</f>
        <v>Surly Straggler 650b - 2016</v>
      </c>
      <c r="C244" s="21" t="e">
        <f>VLOOKUP(A244,Products!A244:$D$322,4,FALSE)</f>
        <v>#N/A</v>
      </c>
    </row>
    <row r="245" spans="1:3" x14ac:dyDescent="0.35">
      <c r="A245" s="21">
        <v>20</v>
      </c>
      <c r="B245" t="str">
        <f>VLOOKUP(A245,Products!$A$1:$F$322,2,FALSE)</f>
        <v>Electra Townie Original 7D EQ - Women's - 2016</v>
      </c>
      <c r="C245" s="21" t="e">
        <f>VLOOKUP(A245,Products!A245:$D$322,4,FALSE)</f>
        <v>#N/A</v>
      </c>
    </row>
    <row r="246" spans="1:3" x14ac:dyDescent="0.35">
      <c r="A246" s="21">
        <v>3</v>
      </c>
      <c r="B246" t="str">
        <f>VLOOKUP(A246,Products!$A$1:$F$322,2,FALSE)</f>
        <v>Surly Wednesday Frameset - 2016</v>
      </c>
      <c r="C246" s="21" t="e">
        <f>VLOOKUP(A246,Products!A246:$D$322,4,FALSE)</f>
        <v>#N/A</v>
      </c>
    </row>
    <row r="247" spans="1:3" x14ac:dyDescent="0.35">
      <c r="A247" s="21">
        <v>23</v>
      </c>
      <c r="B247" t="str">
        <f>VLOOKUP(A247,Products!$A$1:$F$322,2,FALSE)</f>
        <v>Electra Girl's Hawaii 1 (20-inch) - 2015/2016</v>
      </c>
      <c r="C247" s="21" t="e">
        <f>VLOOKUP(A247,Products!A247:$D$322,4,FALSE)</f>
        <v>#N/A</v>
      </c>
    </row>
    <row r="248" spans="1:3" x14ac:dyDescent="0.35">
      <c r="A248" s="21">
        <v>15</v>
      </c>
      <c r="B248" t="str">
        <f>VLOOKUP(A248,Products!$A$1:$F$322,2,FALSE)</f>
        <v>Electra Moto 1 - 2016</v>
      </c>
      <c r="C248" s="21" t="e">
        <f>VLOOKUP(A248,Products!A248:$D$322,4,FALSE)</f>
        <v>#N/A</v>
      </c>
    </row>
    <row r="249" spans="1:3" x14ac:dyDescent="0.35">
      <c r="A249" s="21">
        <v>4</v>
      </c>
      <c r="B249" t="str">
        <f>VLOOKUP(A249,Products!$A$1:$F$322,2,FALSE)</f>
        <v>Trek Fuel EX 8 29 - 2016</v>
      </c>
      <c r="C249" s="21" t="e">
        <f>VLOOKUP(A249,Products!A249:$D$322,4,FALSE)</f>
        <v>#N/A</v>
      </c>
    </row>
    <row r="250" spans="1:3" x14ac:dyDescent="0.35">
      <c r="A250" s="21">
        <v>18</v>
      </c>
      <c r="B250" t="str">
        <f>VLOOKUP(A250,Products!$A$1:$F$322,2,FALSE)</f>
        <v>Pure Cycles Western 3-Speed - Women's - 2015/2016</v>
      </c>
      <c r="C250" s="21" t="e">
        <f>VLOOKUP(A250,Products!A250:$D$322,4,FALSE)</f>
        <v>#N/A</v>
      </c>
    </row>
    <row r="251" spans="1:3" x14ac:dyDescent="0.35">
      <c r="A251" s="21">
        <v>9</v>
      </c>
      <c r="B251" t="str">
        <f>VLOOKUP(A251,Products!$A$1:$F$322,2,FALSE)</f>
        <v>Trek Conduit+ - 2016</v>
      </c>
      <c r="C251" s="21" t="e">
        <f>VLOOKUP(A251,Products!A251:$D$322,4,FALSE)</f>
        <v>#N/A</v>
      </c>
    </row>
    <row r="252" spans="1:3" x14ac:dyDescent="0.35">
      <c r="A252" s="21">
        <v>23</v>
      </c>
      <c r="B252" t="str">
        <f>VLOOKUP(A252,Products!$A$1:$F$322,2,FALSE)</f>
        <v>Electra Girl's Hawaii 1 (20-inch) - 2015/2016</v>
      </c>
      <c r="C252" s="21" t="e">
        <f>VLOOKUP(A252,Products!A252:$D$322,4,FALSE)</f>
        <v>#N/A</v>
      </c>
    </row>
    <row r="253" spans="1:3" x14ac:dyDescent="0.35">
      <c r="A253" s="21">
        <v>21</v>
      </c>
      <c r="B253" t="str">
        <f>VLOOKUP(A253,Products!$A$1:$F$322,2,FALSE)</f>
        <v>Electra Cruiser 1 (24-Inch) - 2016</v>
      </c>
      <c r="C253" s="21" t="e">
        <f>VLOOKUP(A253,Products!A253:$D$322,4,FALSE)</f>
        <v>#N/A</v>
      </c>
    </row>
    <row r="254" spans="1:3" x14ac:dyDescent="0.35">
      <c r="A254" s="21">
        <v>15</v>
      </c>
      <c r="B254" t="str">
        <f>VLOOKUP(A254,Products!$A$1:$F$322,2,FALSE)</f>
        <v>Electra Moto 1 - 2016</v>
      </c>
      <c r="C254" s="21" t="e">
        <f>VLOOKUP(A254,Products!A254:$D$322,4,FALSE)</f>
        <v>#N/A</v>
      </c>
    </row>
    <row r="255" spans="1:3" x14ac:dyDescent="0.35">
      <c r="A255" s="21">
        <v>20</v>
      </c>
      <c r="B255" t="str">
        <f>VLOOKUP(A255,Products!$A$1:$F$322,2,FALSE)</f>
        <v>Electra Townie Original 7D EQ - Women's - 2016</v>
      </c>
      <c r="C255" s="21" t="e">
        <f>VLOOKUP(A255,Products!A255:$D$322,4,FALSE)</f>
        <v>#N/A</v>
      </c>
    </row>
    <row r="256" spans="1:3" x14ac:dyDescent="0.35">
      <c r="A256" s="21">
        <v>23</v>
      </c>
      <c r="B256" t="str">
        <f>VLOOKUP(A256,Products!$A$1:$F$322,2,FALSE)</f>
        <v>Electra Girl's Hawaii 1 (20-inch) - 2015/2016</v>
      </c>
      <c r="C256" s="21" t="e">
        <f>VLOOKUP(A256,Products!A256:$D$322,4,FALSE)</f>
        <v>#N/A</v>
      </c>
    </row>
    <row r="257" spans="1:3" x14ac:dyDescent="0.35">
      <c r="A257" s="21">
        <v>10</v>
      </c>
      <c r="B257" t="str">
        <f>VLOOKUP(A257,Products!$A$1:$F$322,2,FALSE)</f>
        <v>Surly Straggler - 2016</v>
      </c>
      <c r="C257" s="21" t="e">
        <f>VLOOKUP(A257,Products!A257:$D$322,4,FALSE)</f>
        <v>#N/A</v>
      </c>
    </row>
    <row r="258" spans="1:3" x14ac:dyDescent="0.35">
      <c r="A258" s="21">
        <v>8</v>
      </c>
      <c r="B258" t="str">
        <f>VLOOKUP(A258,Products!$A$1:$F$322,2,FALSE)</f>
        <v>Trek Remedy 29 Carbon Frameset - 2016</v>
      </c>
      <c r="C258" s="21" t="e">
        <f>VLOOKUP(A258,Products!A258:$D$322,4,FALSE)</f>
        <v>#N/A</v>
      </c>
    </row>
    <row r="259" spans="1:3" x14ac:dyDescent="0.35">
      <c r="A259" s="21">
        <v>7</v>
      </c>
      <c r="B259" t="str">
        <f>VLOOKUP(A259,Products!$A$1:$F$322,2,FALSE)</f>
        <v>Trek Slash 8 27.5 - 2016</v>
      </c>
      <c r="C259" s="21" t="e">
        <f>VLOOKUP(A259,Products!A259:$D$322,4,FALSE)</f>
        <v>#N/A</v>
      </c>
    </row>
    <row r="260" spans="1:3" x14ac:dyDescent="0.35">
      <c r="A260" s="21">
        <v>5</v>
      </c>
      <c r="B260" t="str">
        <f>VLOOKUP(A260,Products!$A$1:$F$322,2,FALSE)</f>
        <v>Heller Shagamaw Frame - 2016</v>
      </c>
      <c r="C260" s="21" t="e">
        <f>VLOOKUP(A260,Products!A260:$D$322,4,FALSE)</f>
        <v>#N/A</v>
      </c>
    </row>
    <row r="261" spans="1:3" x14ac:dyDescent="0.35">
      <c r="A261" s="21">
        <v>6</v>
      </c>
      <c r="B261" t="str">
        <f>VLOOKUP(A261,Products!$A$1:$F$322,2,FALSE)</f>
        <v>Surly Ice Cream Truck Frameset - 2016</v>
      </c>
      <c r="C261" s="21" t="e">
        <f>VLOOKUP(A261,Products!A261:$D$322,4,FALSE)</f>
        <v>#N/A</v>
      </c>
    </row>
    <row r="262" spans="1:3" x14ac:dyDescent="0.35">
      <c r="A262" s="21">
        <v>3</v>
      </c>
      <c r="B262" t="str">
        <f>VLOOKUP(A262,Products!$A$1:$F$322,2,FALSE)</f>
        <v>Surly Wednesday Frameset - 2016</v>
      </c>
      <c r="C262" s="21" t="e">
        <f>VLOOKUP(A262,Products!A262:$D$322,4,FALSE)</f>
        <v>#N/A</v>
      </c>
    </row>
    <row r="263" spans="1:3" x14ac:dyDescent="0.35">
      <c r="A263" s="21">
        <v>6</v>
      </c>
      <c r="B263" t="str">
        <f>VLOOKUP(A263,Products!$A$1:$F$322,2,FALSE)</f>
        <v>Surly Ice Cream Truck Frameset - 2016</v>
      </c>
      <c r="C263" s="21" t="e">
        <f>VLOOKUP(A263,Products!A263:$D$322,4,FALSE)</f>
        <v>#N/A</v>
      </c>
    </row>
    <row r="264" spans="1:3" x14ac:dyDescent="0.35">
      <c r="A264" s="21">
        <v>11</v>
      </c>
      <c r="B264" t="str">
        <f>VLOOKUP(A264,Products!$A$1:$F$322,2,FALSE)</f>
        <v>Surly Straggler 650b - 2016</v>
      </c>
      <c r="C264" s="21" t="e">
        <f>VLOOKUP(A264,Products!A264:$D$322,4,FALSE)</f>
        <v>#N/A</v>
      </c>
    </row>
    <row r="265" spans="1:3" x14ac:dyDescent="0.35">
      <c r="A265" s="21">
        <v>25</v>
      </c>
      <c r="B265" t="str">
        <f>VLOOKUP(A265,Products!$A$1:$F$322,2,FALSE)</f>
        <v>Electra Townie Original 7D - 2015/2016</v>
      </c>
      <c r="C265" s="21" t="e">
        <f>VLOOKUP(A265,Products!A265:$D$322,4,FALSE)</f>
        <v>#N/A</v>
      </c>
    </row>
    <row r="266" spans="1:3" x14ac:dyDescent="0.35">
      <c r="A266" s="21">
        <v>15</v>
      </c>
      <c r="B266" t="str">
        <f>VLOOKUP(A266,Products!$A$1:$F$322,2,FALSE)</f>
        <v>Electra Moto 1 - 2016</v>
      </c>
      <c r="C266" s="21" t="e">
        <f>VLOOKUP(A266,Products!A266:$D$322,4,FALSE)</f>
        <v>#N/A</v>
      </c>
    </row>
    <row r="267" spans="1:3" x14ac:dyDescent="0.35">
      <c r="A267" s="21">
        <v>13</v>
      </c>
      <c r="B267" t="str">
        <f>VLOOKUP(A267,Products!$A$1:$F$322,2,FALSE)</f>
        <v>Electra Cruiser 1 (24-Inch) - 2016</v>
      </c>
      <c r="C267" s="21" t="e">
        <f>VLOOKUP(A267,Products!A267:$D$322,4,FALSE)</f>
        <v>#N/A</v>
      </c>
    </row>
    <row r="268" spans="1:3" x14ac:dyDescent="0.35">
      <c r="A268" s="21">
        <v>8</v>
      </c>
      <c r="B268" t="str">
        <f>VLOOKUP(A268,Products!$A$1:$F$322,2,FALSE)</f>
        <v>Trek Remedy 29 Carbon Frameset - 2016</v>
      </c>
      <c r="C268" s="21" t="e">
        <f>VLOOKUP(A268,Products!A268:$D$322,4,FALSE)</f>
        <v>#N/A</v>
      </c>
    </row>
    <row r="269" spans="1:3" x14ac:dyDescent="0.35">
      <c r="A269" s="21">
        <v>22</v>
      </c>
      <c r="B269" t="str">
        <f>VLOOKUP(A269,Products!$A$1:$F$322,2,FALSE)</f>
        <v>Electra Girl's Hawaii 1 (16-inch) - 2015/2016</v>
      </c>
      <c r="C269" s="21" t="e">
        <f>VLOOKUP(A269,Products!A269:$D$322,4,FALSE)</f>
        <v>#N/A</v>
      </c>
    </row>
    <row r="270" spans="1:3" x14ac:dyDescent="0.35">
      <c r="A270" s="21">
        <v>17</v>
      </c>
      <c r="B270" t="str">
        <f>VLOOKUP(A270,Products!$A$1:$F$322,2,FALSE)</f>
        <v>Pure Cycles Vine 8-Speed - 2016</v>
      </c>
      <c r="C270" s="21" t="e">
        <f>VLOOKUP(A270,Products!A270:$D$322,4,FALSE)</f>
        <v>#N/A</v>
      </c>
    </row>
    <row r="271" spans="1:3" x14ac:dyDescent="0.35">
      <c r="A271" s="21">
        <v>21</v>
      </c>
      <c r="B271" t="str">
        <f>VLOOKUP(A271,Products!$A$1:$F$322,2,FALSE)</f>
        <v>Electra Cruiser 1 (24-Inch) - 2016</v>
      </c>
      <c r="C271" s="21" t="e">
        <f>VLOOKUP(A271,Products!A271:$D$322,4,FALSE)</f>
        <v>#N/A</v>
      </c>
    </row>
    <row r="272" spans="1:3" x14ac:dyDescent="0.35">
      <c r="A272" s="21">
        <v>2</v>
      </c>
      <c r="B272" t="str">
        <f>VLOOKUP(A272,Products!$A$1:$F$322,2,FALSE)</f>
        <v>Ritchey Timberwolf Frameset - 2016</v>
      </c>
      <c r="C272" s="21" t="e">
        <f>VLOOKUP(A272,Products!A272:$D$322,4,FALSE)</f>
        <v>#N/A</v>
      </c>
    </row>
    <row r="273" spans="1:3" x14ac:dyDescent="0.35">
      <c r="A273" s="21">
        <v>10</v>
      </c>
      <c r="B273" t="str">
        <f>VLOOKUP(A273,Products!$A$1:$F$322,2,FALSE)</f>
        <v>Surly Straggler - 2016</v>
      </c>
      <c r="C273" s="21" t="e">
        <f>VLOOKUP(A273,Products!A273:$D$322,4,FALSE)</f>
        <v>#N/A</v>
      </c>
    </row>
    <row r="274" spans="1:3" x14ac:dyDescent="0.35">
      <c r="A274" s="21">
        <v>12</v>
      </c>
      <c r="B274" t="str">
        <f>VLOOKUP(A274,Products!$A$1:$F$322,2,FALSE)</f>
        <v>Electra Townie Original 21D - 2016</v>
      </c>
      <c r="C274" s="21" t="e">
        <f>VLOOKUP(A274,Products!A274:$D$322,4,FALSE)</f>
        <v>#N/A</v>
      </c>
    </row>
    <row r="275" spans="1:3" x14ac:dyDescent="0.35">
      <c r="A275" s="21">
        <v>4</v>
      </c>
      <c r="B275" t="str">
        <f>VLOOKUP(A275,Products!$A$1:$F$322,2,FALSE)</f>
        <v>Trek Fuel EX 8 29 - 2016</v>
      </c>
      <c r="C275" s="21" t="e">
        <f>VLOOKUP(A275,Products!A275:$D$322,4,FALSE)</f>
        <v>#N/A</v>
      </c>
    </row>
    <row r="276" spans="1:3" x14ac:dyDescent="0.35">
      <c r="A276" s="21">
        <v>11</v>
      </c>
      <c r="B276" t="str">
        <f>VLOOKUP(A276,Products!$A$1:$F$322,2,FALSE)</f>
        <v>Surly Straggler 650b - 2016</v>
      </c>
      <c r="C276" s="21" t="e">
        <f>VLOOKUP(A276,Products!A276:$D$322,4,FALSE)</f>
        <v>#N/A</v>
      </c>
    </row>
    <row r="277" spans="1:3" x14ac:dyDescent="0.35">
      <c r="A277" s="21">
        <v>21</v>
      </c>
      <c r="B277" t="str">
        <f>VLOOKUP(A277,Products!$A$1:$F$322,2,FALSE)</f>
        <v>Electra Cruiser 1 (24-Inch) - 2016</v>
      </c>
      <c r="C277" s="21" t="e">
        <f>VLOOKUP(A277,Products!A277:$D$322,4,FALSE)</f>
        <v>#N/A</v>
      </c>
    </row>
    <row r="278" spans="1:3" x14ac:dyDescent="0.35">
      <c r="A278" s="21">
        <v>10</v>
      </c>
      <c r="B278" t="str">
        <f>VLOOKUP(A278,Products!$A$1:$F$322,2,FALSE)</f>
        <v>Surly Straggler - 2016</v>
      </c>
      <c r="C278" s="21" t="e">
        <f>VLOOKUP(A278,Products!A278:$D$322,4,FALSE)</f>
        <v>#N/A</v>
      </c>
    </row>
    <row r="279" spans="1:3" x14ac:dyDescent="0.35">
      <c r="A279" s="21">
        <v>19</v>
      </c>
      <c r="B279" t="str">
        <f>VLOOKUP(A279,Products!$A$1:$F$322,2,FALSE)</f>
        <v>Pure Cycles William 3-Speed - 2016</v>
      </c>
      <c r="C279" s="21" t="e">
        <f>VLOOKUP(A279,Products!A279:$D$322,4,FALSE)</f>
        <v>#N/A</v>
      </c>
    </row>
    <row r="280" spans="1:3" x14ac:dyDescent="0.35">
      <c r="A280" s="21">
        <v>8</v>
      </c>
      <c r="B280" t="str">
        <f>VLOOKUP(A280,Products!$A$1:$F$322,2,FALSE)</f>
        <v>Trek Remedy 29 Carbon Frameset - 2016</v>
      </c>
      <c r="C280" s="21" t="e">
        <f>VLOOKUP(A280,Products!A280:$D$322,4,FALSE)</f>
        <v>#N/A</v>
      </c>
    </row>
    <row r="281" spans="1:3" x14ac:dyDescent="0.35">
      <c r="A281" s="21">
        <v>20</v>
      </c>
      <c r="B281" t="str">
        <f>VLOOKUP(A281,Products!$A$1:$F$322,2,FALSE)</f>
        <v>Electra Townie Original 7D EQ - Women's - 2016</v>
      </c>
      <c r="C281" s="21" t="e">
        <f>VLOOKUP(A281,Products!A281:$D$322,4,FALSE)</f>
        <v>#N/A</v>
      </c>
    </row>
    <row r="282" spans="1:3" x14ac:dyDescent="0.35">
      <c r="A282" s="21">
        <v>26</v>
      </c>
      <c r="B282" t="str">
        <f>VLOOKUP(A282,Products!$A$1:$F$322,2,FALSE)</f>
        <v>Electra Townie Original 7D EQ - 2016</v>
      </c>
      <c r="C282" s="21" t="e">
        <f>VLOOKUP(A282,Products!A282:$D$322,4,FALSE)</f>
        <v>#N/A</v>
      </c>
    </row>
    <row r="283" spans="1:3" x14ac:dyDescent="0.35">
      <c r="A283" s="21">
        <v>23</v>
      </c>
      <c r="B283" t="str">
        <f>VLOOKUP(A283,Products!$A$1:$F$322,2,FALSE)</f>
        <v>Electra Girl's Hawaii 1 (20-inch) - 2015/2016</v>
      </c>
      <c r="C283" s="21" t="e">
        <f>VLOOKUP(A283,Products!A283:$D$322,4,FALSE)</f>
        <v>#N/A</v>
      </c>
    </row>
    <row r="284" spans="1:3" x14ac:dyDescent="0.35">
      <c r="A284" s="21">
        <v>20</v>
      </c>
      <c r="B284" t="str">
        <f>VLOOKUP(A284,Products!$A$1:$F$322,2,FALSE)</f>
        <v>Electra Townie Original 7D EQ - Women's - 2016</v>
      </c>
      <c r="C284" s="21" t="e">
        <f>VLOOKUP(A284,Products!A284:$D$322,4,FALSE)</f>
        <v>#N/A</v>
      </c>
    </row>
    <row r="285" spans="1:3" x14ac:dyDescent="0.35">
      <c r="A285" s="21">
        <v>2</v>
      </c>
      <c r="B285" t="str">
        <f>VLOOKUP(A285,Products!$A$1:$F$322,2,FALSE)</f>
        <v>Ritchey Timberwolf Frameset - 2016</v>
      </c>
      <c r="C285" s="21" t="e">
        <f>VLOOKUP(A285,Products!A285:$D$322,4,FALSE)</f>
        <v>#N/A</v>
      </c>
    </row>
    <row r="286" spans="1:3" x14ac:dyDescent="0.35">
      <c r="A286" s="21">
        <v>6</v>
      </c>
      <c r="B286" t="str">
        <f>VLOOKUP(A286,Products!$A$1:$F$322,2,FALSE)</f>
        <v>Surly Ice Cream Truck Frameset - 2016</v>
      </c>
      <c r="C286" s="21" t="e">
        <f>VLOOKUP(A286,Products!A286:$D$322,4,FALSE)</f>
        <v>#N/A</v>
      </c>
    </row>
    <row r="287" spans="1:3" x14ac:dyDescent="0.35">
      <c r="A287" s="21">
        <v>19</v>
      </c>
      <c r="B287" t="str">
        <f>VLOOKUP(A287,Products!$A$1:$F$322,2,FALSE)</f>
        <v>Pure Cycles William 3-Speed - 2016</v>
      </c>
      <c r="C287" s="21" t="e">
        <f>VLOOKUP(A287,Products!A287:$D$322,4,FALSE)</f>
        <v>#N/A</v>
      </c>
    </row>
    <row r="288" spans="1:3" x14ac:dyDescent="0.35">
      <c r="A288" s="21">
        <v>19</v>
      </c>
      <c r="B288" t="str">
        <f>VLOOKUP(A288,Products!$A$1:$F$322,2,FALSE)</f>
        <v>Pure Cycles William 3-Speed - 2016</v>
      </c>
      <c r="C288" s="21" t="e">
        <f>VLOOKUP(A288,Products!A288:$D$322,4,FALSE)</f>
        <v>#N/A</v>
      </c>
    </row>
    <row r="289" spans="1:3" x14ac:dyDescent="0.35">
      <c r="A289" s="21">
        <v>21</v>
      </c>
      <c r="B289" t="str">
        <f>VLOOKUP(A289,Products!$A$1:$F$322,2,FALSE)</f>
        <v>Electra Cruiser 1 (24-Inch) - 2016</v>
      </c>
      <c r="C289" s="21" t="e">
        <f>VLOOKUP(A289,Products!A289:$D$322,4,FALSE)</f>
        <v>#N/A</v>
      </c>
    </row>
    <row r="290" spans="1:3" x14ac:dyDescent="0.35">
      <c r="A290" s="21">
        <v>2</v>
      </c>
      <c r="B290" t="str">
        <f>VLOOKUP(A290,Products!$A$1:$F$322,2,FALSE)</f>
        <v>Ritchey Timberwolf Frameset - 2016</v>
      </c>
      <c r="C290" s="21" t="e">
        <f>VLOOKUP(A290,Products!A290:$D$322,4,FALSE)</f>
        <v>#N/A</v>
      </c>
    </row>
    <row r="291" spans="1:3" x14ac:dyDescent="0.35">
      <c r="A291" s="21">
        <v>22</v>
      </c>
      <c r="B291" t="str">
        <f>VLOOKUP(A291,Products!$A$1:$F$322,2,FALSE)</f>
        <v>Electra Girl's Hawaii 1 (16-inch) - 2015/2016</v>
      </c>
      <c r="C291" s="21" t="e">
        <f>VLOOKUP(A291,Products!A291:$D$322,4,FALSE)</f>
        <v>#N/A</v>
      </c>
    </row>
    <row r="292" spans="1:3" x14ac:dyDescent="0.35">
      <c r="A292" s="21">
        <v>13</v>
      </c>
      <c r="B292" t="str">
        <f>VLOOKUP(A292,Products!$A$1:$F$322,2,FALSE)</f>
        <v>Electra Cruiser 1 (24-Inch) - 2016</v>
      </c>
      <c r="C292" s="21" t="e">
        <f>VLOOKUP(A292,Products!A292:$D$322,4,FALSE)</f>
        <v>#N/A</v>
      </c>
    </row>
    <row r="293" spans="1:3" x14ac:dyDescent="0.35">
      <c r="A293" s="21">
        <v>21</v>
      </c>
      <c r="B293" t="str">
        <f>VLOOKUP(A293,Products!$A$1:$F$322,2,FALSE)</f>
        <v>Electra Cruiser 1 (24-Inch) - 2016</v>
      </c>
      <c r="C293" s="21" t="e">
        <f>VLOOKUP(A293,Products!A293:$D$322,4,FALSE)</f>
        <v>#N/A</v>
      </c>
    </row>
    <row r="294" spans="1:3" x14ac:dyDescent="0.35">
      <c r="A294" s="21">
        <v>25</v>
      </c>
      <c r="B294" t="str">
        <f>VLOOKUP(A294,Products!$A$1:$F$322,2,FALSE)</f>
        <v>Electra Townie Original 7D - 2015/2016</v>
      </c>
      <c r="C294" s="21" t="e">
        <f>VLOOKUP(A294,Products!A294:$D$322,4,FALSE)</f>
        <v>#N/A</v>
      </c>
    </row>
    <row r="295" spans="1:3" x14ac:dyDescent="0.35">
      <c r="A295" s="21">
        <v>7</v>
      </c>
      <c r="B295" t="str">
        <f>VLOOKUP(A295,Products!$A$1:$F$322,2,FALSE)</f>
        <v>Trek Slash 8 27.5 - 2016</v>
      </c>
      <c r="C295" s="21" t="e">
        <f>VLOOKUP(A295,Products!A295:$D$322,4,FALSE)</f>
        <v>#N/A</v>
      </c>
    </row>
    <row r="296" spans="1:3" x14ac:dyDescent="0.35">
      <c r="A296" s="21">
        <v>23</v>
      </c>
      <c r="B296" t="str">
        <f>VLOOKUP(A296,Products!$A$1:$F$322,2,FALSE)</f>
        <v>Electra Girl's Hawaii 1 (20-inch) - 2015/2016</v>
      </c>
      <c r="C296" s="21" t="e">
        <f>VLOOKUP(A296,Products!A296:$D$322,4,FALSE)</f>
        <v>#N/A</v>
      </c>
    </row>
    <row r="297" spans="1:3" x14ac:dyDescent="0.35">
      <c r="A297" s="21">
        <v>12</v>
      </c>
      <c r="B297" t="str">
        <f>VLOOKUP(A297,Products!$A$1:$F$322,2,FALSE)</f>
        <v>Electra Townie Original 21D - 2016</v>
      </c>
      <c r="C297" s="21" t="e">
        <f>VLOOKUP(A297,Products!A297:$D$322,4,FALSE)</f>
        <v>#N/A</v>
      </c>
    </row>
    <row r="298" spans="1:3" x14ac:dyDescent="0.35">
      <c r="A298" s="21">
        <v>11</v>
      </c>
      <c r="B298" t="str">
        <f>VLOOKUP(A298,Products!$A$1:$F$322,2,FALSE)</f>
        <v>Surly Straggler 650b - 2016</v>
      </c>
      <c r="C298" s="21" t="e">
        <f>VLOOKUP(A298,Products!A298:$D$322,4,FALSE)</f>
        <v>#N/A</v>
      </c>
    </row>
    <row r="299" spans="1:3" x14ac:dyDescent="0.35">
      <c r="A299" s="21">
        <v>7</v>
      </c>
      <c r="B299" t="str">
        <f>VLOOKUP(A299,Products!$A$1:$F$322,2,FALSE)</f>
        <v>Trek Slash 8 27.5 - 2016</v>
      </c>
      <c r="C299" s="21" t="e">
        <f>VLOOKUP(A299,Products!A299:$D$322,4,FALSE)</f>
        <v>#N/A</v>
      </c>
    </row>
    <row r="300" spans="1:3" x14ac:dyDescent="0.35">
      <c r="A300" s="21">
        <v>16</v>
      </c>
      <c r="B300" t="str">
        <f>VLOOKUP(A300,Products!$A$1:$F$322,2,FALSE)</f>
        <v>Electra Townie Original 7D EQ - 2016</v>
      </c>
      <c r="C300" s="21" t="e">
        <f>VLOOKUP(A300,Products!A300:$D$322,4,FALSE)</f>
        <v>#N/A</v>
      </c>
    </row>
    <row r="301" spans="1:3" x14ac:dyDescent="0.35">
      <c r="A301" s="21">
        <v>24</v>
      </c>
      <c r="B301" t="str">
        <f>VLOOKUP(A301,Products!$A$1:$F$322,2,FALSE)</f>
        <v>Electra Townie Original 21D - 2016</v>
      </c>
      <c r="C301" s="21" t="e">
        <f>VLOOKUP(A301,Products!A301:$D$322,4,FALSE)</f>
        <v>#N/A</v>
      </c>
    </row>
    <row r="302" spans="1:3" x14ac:dyDescent="0.35">
      <c r="A302" s="21">
        <v>12</v>
      </c>
      <c r="B302" t="str">
        <f>VLOOKUP(A302,Products!$A$1:$F$322,2,FALSE)</f>
        <v>Electra Townie Original 21D - 2016</v>
      </c>
      <c r="C302" s="21" t="e">
        <f>VLOOKUP(A302,Products!A302:$D$322,4,FALSE)</f>
        <v>#N/A</v>
      </c>
    </row>
    <row r="303" spans="1:3" x14ac:dyDescent="0.35">
      <c r="A303" s="21">
        <v>15</v>
      </c>
      <c r="B303" t="str">
        <f>VLOOKUP(A303,Products!$A$1:$F$322,2,FALSE)</f>
        <v>Electra Moto 1 - 2016</v>
      </c>
      <c r="C303" s="21" t="e">
        <f>VLOOKUP(A303,Products!A303:$D$322,4,FALSE)</f>
        <v>#N/A</v>
      </c>
    </row>
    <row r="304" spans="1:3" x14ac:dyDescent="0.35">
      <c r="A304" s="21">
        <v>22</v>
      </c>
      <c r="B304" t="str">
        <f>VLOOKUP(A304,Products!$A$1:$F$322,2,FALSE)</f>
        <v>Electra Girl's Hawaii 1 (16-inch) - 2015/2016</v>
      </c>
      <c r="C304" s="21" t="e">
        <f>VLOOKUP(A304,Products!A304:$D$322,4,FALSE)</f>
        <v>#N/A</v>
      </c>
    </row>
    <row r="305" spans="1:3" x14ac:dyDescent="0.35">
      <c r="A305" s="21">
        <v>17</v>
      </c>
      <c r="B305" t="str">
        <f>VLOOKUP(A305,Products!$A$1:$F$322,2,FALSE)</f>
        <v>Pure Cycles Vine 8-Speed - 2016</v>
      </c>
      <c r="C305" s="21" t="e">
        <f>VLOOKUP(A305,Products!A305:$D$322,4,FALSE)</f>
        <v>#N/A</v>
      </c>
    </row>
    <row r="306" spans="1:3" x14ac:dyDescent="0.35">
      <c r="A306" s="21">
        <v>3</v>
      </c>
      <c r="B306" t="str">
        <f>VLOOKUP(A306,Products!$A$1:$F$322,2,FALSE)</f>
        <v>Surly Wednesday Frameset - 2016</v>
      </c>
      <c r="C306" s="21" t="e">
        <f>VLOOKUP(A306,Products!A306:$D$322,4,FALSE)</f>
        <v>#N/A</v>
      </c>
    </row>
    <row r="307" spans="1:3" x14ac:dyDescent="0.35">
      <c r="A307" s="21">
        <v>18</v>
      </c>
      <c r="B307" t="str">
        <f>VLOOKUP(A307,Products!$A$1:$F$322,2,FALSE)</f>
        <v>Pure Cycles Western 3-Speed - Women's - 2015/2016</v>
      </c>
      <c r="C307" s="21" t="e">
        <f>VLOOKUP(A307,Products!A307:$D$322,4,FALSE)</f>
        <v>#N/A</v>
      </c>
    </row>
    <row r="308" spans="1:3" x14ac:dyDescent="0.35">
      <c r="A308" s="21">
        <v>15</v>
      </c>
      <c r="B308" t="str">
        <f>VLOOKUP(A308,Products!$A$1:$F$322,2,FALSE)</f>
        <v>Electra Moto 1 - 2016</v>
      </c>
      <c r="C308" s="21" t="e">
        <f>VLOOKUP(A308,Products!A308:$D$322,4,FALSE)</f>
        <v>#N/A</v>
      </c>
    </row>
    <row r="309" spans="1:3" x14ac:dyDescent="0.35">
      <c r="A309" s="21">
        <v>9</v>
      </c>
      <c r="B309" t="str">
        <f>VLOOKUP(A309,Products!$A$1:$F$322,2,FALSE)</f>
        <v>Trek Conduit+ - 2016</v>
      </c>
      <c r="C309" s="21" t="e">
        <f>VLOOKUP(A309,Products!A309:$D$322,4,FALSE)</f>
        <v>#N/A</v>
      </c>
    </row>
    <row r="310" spans="1:3" x14ac:dyDescent="0.35">
      <c r="A310" s="21">
        <v>19</v>
      </c>
      <c r="B310" t="str">
        <f>VLOOKUP(A310,Products!$A$1:$F$322,2,FALSE)</f>
        <v>Pure Cycles William 3-Speed - 2016</v>
      </c>
      <c r="C310" s="21" t="e">
        <f>VLOOKUP(A310,Products!A310:$D$322,4,FALSE)</f>
        <v>#N/A</v>
      </c>
    </row>
    <row r="311" spans="1:3" x14ac:dyDescent="0.35">
      <c r="A311" s="21">
        <v>26</v>
      </c>
      <c r="B311" t="str">
        <f>VLOOKUP(A311,Products!$A$1:$F$322,2,FALSE)</f>
        <v>Electra Townie Original 7D EQ - 2016</v>
      </c>
      <c r="C311" s="21" t="e">
        <f>VLOOKUP(A311,Products!A311:$D$322,4,FALSE)</f>
        <v>#N/A</v>
      </c>
    </row>
    <row r="312" spans="1:3" x14ac:dyDescent="0.35">
      <c r="A312" s="21">
        <v>11</v>
      </c>
      <c r="B312" t="str">
        <f>VLOOKUP(A312,Products!$A$1:$F$322,2,FALSE)</f>
        <v>Surly Straggler 650b - 2016</v>
      </c>
      <c r="C312" s="21" t="e">
        <f>VLOOKUP(A312,Products!A312:$D$322,4,FALSE)</f>
        <v>#N/A</v>
      </c>
    </row>
    <row r="313" spans="1:3" x14ac:dyDescent="0.35">
      <c r="A313" s="21">
        <v>3</v>
      </c>
      <c r="B313" t="str">
        <f>VLOOKUP(A313,Products!$A$1:$F$322,2,FALSE)</f>
        <v>Surly Wednesday Frameset - 2016</v>
      </c>
      <c r="C313" s="21" t="e">
        <f>VLOOKUP(A313,Products!A313:$D$322,4,FALSE)</f>
        <v>#N/A</v>
      </c>
    </row>
    <row r="314" spans="1:3" x14ac:dyDescent="0.35">
      <c r="A314" s="21">
        <v>9</v>
      </c>
      <c r="B314" t="str">
        <f>VLOOKUP(A314,Products!$A$1:$F$322,2,FALSE)</f>
        <v>Trek Conduit+ - 2016</v>
      </c>
      <c r="C314" s="21" t="e">
        <f>VLOOKUP(A314,Products!A314:$D$322,4,FALSE)</f>
        <v>#N/A</v>
      </c>
    </row>
    <row r="315" spans="1:3" x14ac:dyDescent="0.35">
      <c r="A315" s="21">
        <v>17</v>
      </c>
      <c r="B315" t="str">
        <f>VLOOKUP(A315,Products!$A$1:$F$322,2,FALSE)</f>
        <v>Pure Cycles Vine 8-Speed - 2016</v>
      </c>
      <c r="C315" s="21" t="e">
        <f>VLOOKUP(A315,Products!A315:$D$322,4,FALSE)</f>
        <v>#N/A</v>
      </c>
    </row>
    <row r="316" spans="1:3" x14ac:dyDescent="0.35">
      <c r="A316" s="21">
        <v>13</v>
      </c>
      <c r="B316" t="str">
        <f>VLOOKUP(A316,Products!$A$1:$F$322,2,FALSE)</f>
        <v>Electra Cruiser 1 (24-Inch) - 2016</v>
      </c>
      <c r="C316" s="21" t="e">
        <f>VLOOKUP(A316,Products!A316:$D$322,4,FALSE)</f>
        <v>#N/A</v>
      </c>
    </row>
    <row r="317" spans="1:3" x14ac:dyDescent="0.35">
      <c r="A317" s="21">
        <v>19</v>
      </c>
      <c r="B317" t="str">
        <f>VLOOKUP(A317,Products!$A$1:$F$322,2,FALSE)</f>
        <v>Pure Cycles William 3-Speed - 2016</v>
      </c>
      <c r="C317" s="21" t="e">
        <f>VLOOKUP(A317,Products!A317:$D$322,4,FALSE)</f>
        <v>#N/A</v>
      </c>
    </row>
    <row r="318" spans="1:3" x14ac:dyDescent="0.35">
      <c r="A318" s="21">
        <v>13</v>
      </c>
      <c r="B318" t="str">
        <f>VLOOKUP(A318,Products!$A$1:$F$322,2,FALSE)</f>
        <v>Electra Cruiser 1 (24-Inch) - 2016</v>
      </c>
      <c r="C318" s="21" t="e">
        <f>VLOOKUP(A318,Products!A318:$D$322,4,FALSE)</f>
        <v>#N/A</v>
      </c>
    </row>
    <row r="319" spans="1:3" x14ac:dyDescent="0.35">
      <c r="A319" s="21">
        <v>11</v>
      </c>
      <c r="B319" t="str">
        <f>VLOOKUP(A319,Products!$A$1:$F$322,2,FALSE)</f>
        <v>Surly Straggler 650b - 2016</v>
      </c>
      <c r="C319" s="21" t="e">
        <f>VLOOKUP(A319,Products!A319:$D$322,4,FALSE)</f>
        <v>#N/A</v>
      </c>
    </row>
    <row r="320" spans="1:3" x14ac:dyDescent="0.35">
      <c r="A320" s="21">
        <v>22</v>
      </c>
      <c r="B320" t="str">
        <f>VLOOKUP(A320,Products!$A$1:$F$322,2,FALSE)</f>
        <v>Electra Girl's Hawaii 1 (16-inch) - 2015/2016</v>
      </c>
      <c r="C320" s="21" t="e">
        <f>VLOOKUP(A320,Products!A320:$D$322,4,FALSE)</f>
        <v>#N/A</v>
      </c>
    </row>
    <row r="321" spans="1:3" x14ac:dyDescent="0.35">
      <c r="A321" s="21">
        <v>16</v>
      </c>
      <c r="B321" t="str">
        <f>VLOOKUP(A321,Products!$A$1:$F$322,2,FALSE)</f>
        <v>Electra Townie Original 7D EQ - 2016</v>
      </c>
      <c r="C321" s="21" t="e">
        <f>VLOOKUP(A321,Products!A321:$D$322,4,FALSE)</f>
        <v>#N/A</v>
      </c>
    </row>
    <row r="322" spans="1:3" x14ac:dyDescent="0.35">
      <c r="A322" s="21">
        <v>22</v>
      </c>
      <c r="B322" t="str">
        <f>VLOOKUP(A322,Products!$A$1:$F$322,2,FALSE)</f>
        <v>Electra Girl's Hawaii 1 (16-inch) - 2015/2016</v>
      </c>
      <c r="C322" s="21" t="e">
        <f>VLOOKUP(A322,Products!A322:$D$322,4,FALSE)</f>
        <v>#N/A</v>
      </c>
    </row>
    <row r="323" spans="1:3" x14ac:dyDescent="0.35">
      <c r="A323" s="21">
        <v>6</v>
      </c>
      <c r="B323" t="str">
        <f>VLOOKUP(A323,Products!$A$1:$F$322,2,FALSE)</f>
        <v>Surly Ice Cream Truck Frameset - 2016</v>
      </c>
      <c r="C323" s="21" t="e">
        <f>VLOOKUP(A323,Products!A$322:$D323,4,FALSE)</f>
        <v>#N/A</v>
      </c>
    </row>
    <row r="324" spans="1:3" x14ac:dyDescent="0.35">
      <c r="A324" s="21">
        <v>14</v>
      </c>
      <c r="B324" t="str">
        <f>VLOOKUP(A324,Products!$A$1:$F$322,2,FALSE)</f>
        <v>Electra Girl's Hawaii 1 (16-inch) - 2015/2016</v>
      </c>
      <c r="C324" s="21" t="e">
        <f>VLOOKUP(A324,Products!A$322:$D324,4,FALSE)</f>
        <v>#N/A</v>
      </c>
    </row>
    <row r="325" spans="1:3" x14ac:dyDescent="0.35">
      <c r="A325" s="21">
        <v>14</v>
      </c>
      <c r="B325" t="str">
        <f>VLOOKUP(A325,Products!$A$1:$F$322,2,FALSE)</f>
        <v>Electra Girl's Hawaii 1 (16-inch) - 2015/2016</v>
      </c>
      <c r="C325" s="21" t="e">
        <f>VLOOKUP(A325,Products!A$322:$D325,4,FALSE)</f>
        <v>#N/A</v>
      </c>
    </row>
    <row r="326" spans="1:3" x14ac:dyDescent="0.35">
      <c r="A326" s="21">
        <v>12</v>
      </c>
      <c r="B326" t="str">
        <f>VLOOKUP(A326,Products!$A$1:$F$322,2,FALSE)</f>
        <v>Electra Townie Original 21D - 2016</v>
      </c>
      <c r="C326" s="21" t="e">
        <f>VLOOKUP(A326,Products!A$322:$D326,4,FALSE)</f>
        <v>#N/A</v>
      </c>
    </row>
    <row r="327" spans="1:3" x14ac:dyDescent="0.35">
      <c r="A327" s="21">
        <v>23</v>
      </c>
      <c r="B327" t="str">
        <f>VLOOKUP(A327,Products!$A$1:$F$322,2,FALSE)</f>
        <v>Electra Girl's Hawaii 1 (20-inch) - 2015/2016</v>
      </c>
      <c r="C327" s="21" t="e">
        <f>VLOOKUP(A327,Products!A$322:$D327,4,FALSE)</f>
        <v>#N/A</v>
      </c>
    </row>
    <row r="328" spans="1:3" x14ac:dyDescent="0.35">
      <c r="A328" s="21">
        <v>25</v>
      </c>
      <c r="B328" t="str">
        <f>VLOOKUP(A328,Products!$A$1:$F$322,2,FALSE)</f>
        <v>Electra Townie Original 7D - 2015/2016</v>
      </c>
      <c r="C328" s="21" t="e">
        <f>VLOOKUP(A328,Products!A$322:$D328,4,FALSE)</f>
        <v>#N/A</v>
      </c>
    </row>
    <row r="329" spans="1:3" x14ac:dyDescent="0.35">
      <c r="A329" s="21">
        <v>24</v>
      </c>
      <c r="B329" t="str">
        <f>VLOOKUP(A329,Products!$A$1:$F$322,2,FALSE)</f>
        <v>Electra Townie Original 21D - 2016</v>
      </c>
      <c r="C329" s="21" t="e">
        <f>VLOOKUP(A329,Products!A$322:$D329,4,FALSE)</f>
        <v>#N/A</v>
      </c>
    </row>
    <row r="330" spans="1:3" x14ac:dyDescent="0.35">
      <c r="A330" s="21">
        <v>5</v>
      </c>
      <c r="B330" t="str">
        <f>VLOOKUP(A330,Products!$A$1:$F$322,2,FALSE)</f>
        <v>Heller Shagamaw Frame - 2016</v>
      </c>
      <c r="C330" s="21" t="e">
        <f>VLOOKUP(A330,Products!A$322:$D330,4,FALSE)</f>
        <v>#N/A</v>
      </c>
    </row>
    <row r="331" spans="1:3" x14ac:dyDescent="0.35">
      <c r="A331" s="21">
        <v>12</v>
      </c>
      <c r="B331" t="str">
        <f>VLOOKUP(A331,Products!$A$1:$F$322,2,FALSE)</f>
        <v>Electra Townie Original 21D - 2016</v>
      </c>
      <c r="C331" s="21" t="e">
        <f>VLOOKUP(A331,Products!A$322:$D331,4,FALSE)</f>
        <v>#N/A</v>
      </c>
    </row>
    <row r="332" spans="1:3" x14ac:dyDescent="0.35">
      <c r="A332" s="21">
        <v>24</v>
      </c>
      <c r="B332" t="str">
        <f>VLOOKUP(A332,Products!$A$1:$F$322,2,FALSE)</f>
        <v>Electra Townie Original 21D - 2016</v>
      </c>
      <c r="C332" s="21" t="e">
        <f>VLOOKUP(A332,Products!A$322:$D332,4,FALSE)</f>
        <v>#N/A</v>
      </c>
    </row>
    <row r="333" spans="1:3" x14ac:dyDescent="0.35">
      <c r="A333" s="21">
        <v>6</v>
      </c>
      <c r="B333" t="str">
        <f>VLOOKUP(A333,Products!$A$1:$F$322,2,FALSE)</f>
        <v>Surly Ice Cream Truck Frameset - 2016</v>
      </c>
      <c r="C333" s="21" t="e">
        <f>VLOOKUP(A333,Products!A$322:$D333,4,FALSE)</f>
        <v>#N/A</v>
      </c>
    </row>
    <row r="334" spans="1:3" x14ac:dyDescent="0.35">
      <c r="A334" s="21">
        <v>23</v>
      </c>
      <c r="B334" t="str">
        <f>VLOOKUP(A334,Products!$A$1:$F$322,2,FALSE)</f>
        <v>Electra Girl's Hawaii 1 (20-inch) - 2015/2016</v>
      </c>
      <c r="C334" s="21" t="e">
        <f>VLOOKUP(A334,Products!A$322:$D334,4,FALSE)</f>
        <v>#N/A</v>
      </c>
    </row>
    <row r="335" spans="1:3" x14ac:dyDescent="0.35">
      <c r="A335" s="21">
        <v>5</v>
      </c>
      <c r="B335" t="str">
        <f>VLOOKUP(A335,Products!$A$1:$F$322,2,FALSE)</f>
        <v>Heller Shagamaw Frame - 2016</v>
      </c>
      <c r="C335" s="21" t="e">
        <f>VLOOKUP(A335,Products!A$322:$D335,4,FALSE)</f>
        <v>#N/A</v>
      </c>
    </row>
    <row r="336" spans="1:3" x14ac:dyDescent="0.35">
      <c r="A336" s="21">
        <v>12</v>
      </c>
      <c r="B336" t="str">
        <f>VLOOKUP(A336,Products!$A$1:$F$322,2,FALSE)</f>
        <v>Electra Townie Original 21D - 2016</v>
      </c>
      <c r="C336" s="21" t="e">
        <f>VLOOKUP(A336,Products!A$322:$D336,4,FALSE)</f>
        <v>#N/A</v>
      </c>
    </row>
    <row r="337" spans="1:3" x14ac:dyDescent="0.35">
      <c r="A337" s="21">
        <v>2</v>
      </c>
      <c r="B337" t="str">
        <f>VLOOKUP(A337,Products!$A$1:$F$322,2,FALSE)</f>
        <v>Ritchey Timberwolf Frameset - 2016</v>
      </c>
      <c r="C337" s="21" t="e">
        <f>VLOOKUP(A337,Products!A$322:$D337,4,FALSE)</f>
        <v>#N/A</v>
      </c>
    </row>
    <row r="338" spans="1:3" x14ac:dyDescent="0.35">
      <c r="A338" s="21">
        <v>13</v>
      </c>
      <c r="B338" t="str">
        <f>VLOOKUP(A338,Products!$A$1:$F$322,2,FALSE)</f>
        <v>Electra Cruiser 1 (24-Inch) - 2016</v>
      </c>
      <c r="C338" s="21" t="e">
        <f>VLOOKUP(A338,Products!A$322:$D338,4,FALSE)</f>
        <v>#N/A</v>
      </c>
    </row>
    <row r="339" spans="1:3" x14ac:dyDescent="0.35">
      <c r="A339" s="21">
        <v>22</v>
      </c>
      <c r="B339" t="str">
        <f>VLOOKUP(A339,Products!$A$1:$F$322,2,FALSE)</f>
        <v>Electra Girl's Hawaii 1 (16-inch) - 2015/2016</v>
      </c>
      <c r="C339" s="21" t="e">
        <f>VLOOKUP(A339,Products!A$322:$D339,4,FALSE)</f>
        <v>#N/A</v>
      </c>
    </row>
    <row r="340" spans="1:3" x14ac:dyDescent="0.35">
      <c r="A340" s="21">
        <v>19</v>
      </c>
      <c r="B340" t="str">
        <f>VLOOKUP(A340,Products!$A$1:$F$322,2,FALSE)</f>
        <v>Pure Cycles William 3-Speed - 2016</v>
      </c>
      <c r="C340" s="21" t="e">
        <f>VLOOKUP(A340,Products!A$322:$D340,4,FALSE)</f>
        <v>#N/A</v>
      </c>
    </row>
    <row r="341" spans="1:3" x14ac:dyDescent="0.35">
      <c r="A341" s="21">
        <v>26</v>
      </c>
      <c r="B341" t="str">
        <f>VLOOKUP(A341,Products!$A$1:$F$322,2,FALSE)</f>
        <v>Electra Townie Original 7D EQ - 2016</v>
      </c>
      <c r="C341" s="21" t="e">
        <f>VLOOKUP(A341,Products!A$322:$D341,4,FALSE)</f>
        <v>#N/A</v>
      </c>
    </row>
    <row r="342" spans="1:3" x14ac:dyDescent="0.35">
      <c r="A342" s="21">
        <v>22</v>
      </c>
      <c r="B342" t="str">
        <f>VLOOKUP(A342,Products!$A$1:$F$322,2,FALSE)</f>
        <v>Electra Girl's Hawaii 1 (16-inch) - 2015/2016</v>
      </c>
      <c r="C342" s="21" t="e">
        <f>VLOOKUP(A342,Products!A$322:$D342,4,FALSE)</f>
        <v>#N/A</v>
      </c>
    </row>
    <row r="343" spans="1:3" x14ac:dyDescent="0.35">
      <c r="A343" s="21">
        <v>26</v>
      </c>
      <c r="B343" t="str">
        <f>VLOOKUP(A343,Products!$A$1:$F$322,2,FALSE)</f>
        <v>Electra Townie Original 7D EQ - 2016</v>
      </c>
      <c r="C343" s="21" t="e">
        <f>VLOOKUP(A343,Products!A$322:$D343,4,FALSE)</f>
        <v>#N/A</v>
      </c>
    </row>
    <row r="344" spans="1:3" x14ac:dyDescent="0.35">
      <c r="A344" s="21">
        <v>14</v>
      </c>
      <c r="B344" t="str">
        <f>VLOOKUP(A344,Products!$A$1:$F$322,2,FALSE)</f>
        <v>Electra Girl's Hawaii 1 (16-inch) - 2015/2016</v>
      </c>
      <c r="C344" s="21" t="e">
        <f>VLOOKUP(A344,Products!A$322:$D344,4,FALSE)</f>
        <v>#N/A</v>
      </c>
    </row>
    <row r="345" spans="1:3" x14ac:dyDescent="0.35">
      <c r="A345" s="21">
        <v>19</v>
      </c>
      <c r="B345" t="str">
        <f>VLOOKUP(A345,Products!$A$1:$F$322,2,FALSE)</f>
        <v>Pure Cycles William 3-Speed - 2016</v>
      </c>
      <c r="C345" s="21" t="e">
        <f>VLOOKUP(A345,Products!A$322:$D345,4,FALSE)</f>
        <v>#N/A</v>
      </c>
    </row>
    <row r="346" spans="1:3" x14ac:dyDescent="0.35">
      <c r="A346" s="21">
        <v>18</v>
      </c>
      <c r="B346" t="str">
        <f>VLOOKUP(A346,Products!$A$1:$F$322,2,FALSE)</f>
        <v>Pure Cycles Western 3-Speed - Women's - 2015/2016</v>
      </c>
      <c r="C346" s="21" t="e">
        <f>VLOOKUP(A346,Products!A$322:$D346,4,FALSE)</f>
        <v>#N/A</v>
      </c>
    </row>
    <row r="347" spans="1:3" x14ac:dyDescent="0.35">
      <c r="A347" s="21">
        <v>4</v>
      </c>
      <c r="B347" t="str">
        <f>VLOOKUP(A347,Products!$A$1:$F$322,2,FALSE)</f>
        <v>Trek Fuel EX 8 29 - 2016</v>
      </c>
      <c r="C347" s="21" t="e">
        <f>VLOOKUP(A347,Products!A$322:$D347,4,FALSE)</f>
        <v>#N/A</v>
      </c>
    </row>
    <row r="348" spans="1:3" x14ac:dyDescent="0.35">
      <c r="A348" s="21">
        <v>6</v>
      </c>
      <c r="B348" t="str">
        <f>VLOOKUP(A348,Products!$A$1:$F$322,2,FALSE)</f>
        <v>Surly Ice Cream Truck Frameset - 2016</v>
      </c>
      <c r="C348" s="21" t="e">
        <f>VLOOKUP(A348,Products!A$322:$D348,4,FALSE)</f>
        <v>#N/A</v>
      </c>
    </row>
    <row r="349" spans="1:3" x14ac:dyDescent="0.35">
      <c r="A349" s="21">
        <v>3</v>
      </c>
      <c r="B349" t="str">
        <f>VLOOKUP(A349,Products!$A$1:$F$322,2,FALSE)</f>
        <v>Surly Wednesday Frameset - 2016</v>
      </c>
      <c r="C349" s="21" t="e">
        <f>VLOOKUP(A349,Products!A$322:$D349,4,FALSE)</f>
        <v>#N/A</v>
      </c>
    </row>
    <row r="350" spans="1:3" x14ac:dyDescent="0.35">
      <c r="A350" s="21">
        <v>23</v>
      </c>
      <c r="B350" t="str">
        <f>VLOOKUP(A350,Products!$A$1:$F$322,2,FALSE)</f>
        <v>Electra Girl's Hawaii 1 (20-inch) - 2015/2016</v>
      </c>
      <c r="C350" s="21" t="e">
        <f>VLOOKUP(A350,Products!A$322:$D350,4,FALSE)</f>
        <v>#N/A</v>
      </c>
    </row>
    <row r="351" spans="1:3" x14ac:dyDescent="0.35">
      <c r="A351" s="21">
        <v>25</v>
      </c>
      <c r="B351" t="str">
        <f>VLOOKUP(A351,Products!$A$1:$F$322,2,FALSE)</f>
        <v>Electra Townie Original 7D - 2015/2016</v>
      </c>
      <c r="C351" s="21" t="e">
        <f>VLOOKUP(A351,Products!A$322:$D351,4,FALSE)</f>
        <v>#N/A</v>
      </c>
    </row>
    <row r="352" spans="1:3" x14ac:dyDescent="0.35">
      <c r="A352" s="21">
        <v>13</v>
      </c>
      <c r="B352" t="str">
        <f>VLOOKUP(A352,Products!$A$1:$F$322,2,FALSE)</f>
        <v>Electra Cruiser 1 (24-Inch) - 2016</v>
      </c>
      <c r="C352" s="21" t="e">
        <f>VLOOKUP(A352,Products!A$322:$D352,4,FALSE)</f>
        <v>#N/A</v>
      </c>
    </row>
    <row r="353" spans="1:3" x14ac:dyDescent="0.35">
      <c r="A353" s="21">
        <v>6</v>
      </c>
      <c r="B353" t="str">
        <f>VLOOKUP(A353,Products!$A$1:$F$322,2,FALSE)</f>
        <v>Surly Ice Cream Truck Frameset - 2016</v>
      </c>
      <c r="C353" s="21" t="e">
        <f>VLOOKUP(A353,Products!A$322:$D353,4,FALSE)</f>
        <v>#N/A</v>
      </c>
    </row>
    <row r="354" spans="1:3" x14ac:dyDescent="0.35">
      <c r="A354" s="21">
        <v>10</v>
      </c>
      <c r="B354" t="str">
        <f>VLOOKUP(A354,Products!$A$1:$F$322,2,FALSE)</f>
        <v>Surly Straggler - 2016</v>
      </c>
      <c r="C354" s="21" t="e">
        <f>VLOOKUP(A354,Products!A$322:$D354,4,FALSE)</f>
        <v>#N/A</v>
      </c>
    </row>
    <row r="355" spans="1:3" x14ac:dyDescent="0.35">
      <c r="A355" s="21">
        <v>17</v>
      </c>
      <c r="B355" t="str">
        <f>VLOOKUP(A355,Products!$A$1:$F$322,2,FALSE)</f>
        <v>Pure Cycles Vine 8-Speed - 2016</v>
      </c>
      <c r="C355" s="21" t="e">
        <f>VLOOKUP(A355,Products!A$322:$D355,4,FALSE)</f>
        <v>#N/A</v>
      </c>
    </row>
    <row r="356" spans="1:3" x14ac:dyDescent="0.35">
      <c r="A356" s="21">
        <v>16</v>
      </c>
      <c r="B356" t="str">
        <f>VLOOKUP(A356,Products!$A$1:$F$322,2,FALSE)</f>
        <v>Electra Townie Original 7D EQ - 2016</v>
      </c>
      <c r="C356" s="21" t="e">
        <f>VLOOKUP(A356,Products!A$322:$D356,4,FALSE)</f>
        <v>#N/A</v>
      </c>
    </row>
    <row r="357" spans="1:3" x14ac:dyDescent="0.35">
      <c r="A357" s="21">
        <v>5</v>
      </c>
      <c r="B357" t="str">
        <f>VLOOKUP(A357,Products!$A$1:$F$322,2,FALSE)</f>
        <v>Heller Shagamaw Frame - 2016</v>
      </c>
      <c r="C357" s="21" t="e">
        <f>VLOOKUP(A357,Products!A$322:$D357,4,FALSE)</f>
        <v>#N/A</v>
      </c>
    </row>
    <row r="358" spans="1:3" x14ac:dyDescent="0.35">
      <c r="A358" s="21">
        <v>14</v>
      </c>
      <c r="B358" t="str">
        <f>VLOOKUP(A358,Products!$A$1:$F$322,2,FALSE)</f>
        <v>Electra Girl's Hawaii 1 (16-inch) - 2015/2016</v>
      </c>
      <c r="C358" s="21" t="e">
        <f>VLOOKUP(A358,Products!A$322:$D358,4,FALSE)</f>
        <v>#N/A</v>
      </c>
    </row>
    <row r="359" spans="1:3" x14ac:dyDescent="0.35">
      <c r="A359" s="21">
        <v>4</v>
      </c>
      <c r="B359" t="str">
        <f>VLOOKUP(A359,Products!$A$1:$F$322,2,FALSE)</f>
        <v>Trek Fuel EX 8 29 - 2016</v>
      </c>
      <c r="C359" s="21" t="e">
        <f>VLOOKUP(A359,Products!A$322:$D359,4,FALSE)</f>
        <v>#N/A</v>
      </c>
    </row>
    <row r="360" spans="1:3" x14ac:dyDescent="0.35">
      <c r="A360" s="21">
        <v>24</v>
      </c>
      <c r="B360" t="str">
        <f>VLOOKUP(A360,Products!$A$1:$F$322,2,FALSE)</f>
        <v>Electra Townie Original 21D - 2016</v>
      </c>
      <c r="C360" s="21" t="e">
        <f>VLOOKUP(A360,Products!A$322:$D360,4,FALSE)</f>
        <v>#N/A</v>
      </c>
    </row>
    <row r="361" spans="1:3" x14ac:dyDescent="0.35">
      <c r="A361" s="21">
        <v>2</v>
      </c>
      <c r="B361" t="str">
        <f>VLOOKUP(A361,Products!$A$1:$F$322,2,FALSE)</f>
        <v>Ritchey Timberwolf Frameset - 2016</v>
      </c>
      <c r="C361" s="21" t="e">
        <f>VLOOKUP(A361,Products!A$322:$D361,4,FALSE)</f>
        <v>#N/A</v>
      </c>
    </row>
    <row r="362" spans="1:3" x14ac:dyDescent="0.35">
      <c r="A362" s="21">
        <v>16</v>
      </c>
      <c r="B362" t="str">
        <f>VLOOKUP(A362,Products!$A$1:$F$322,2,FALSE)</f>
        <v>Electra Townie Original 7D EQ - 2016</v>
      </c>
      <c r="C362" s="21" t="e">
        <f>VLOOKUP(A362,Products!A$322:$D362,4,FALSE)</f>
        <v>#N/A</v>
      </c>
    </row>
    <row r="363" spans="1:3" x14ac:dyDescent="0.35">
      <c r="A363" s="21">
        <v>12</v>
      </c>
      <c r="B363" t="str">
        <f>VLOOKUP(A363,Products!$A$1:$F$322,2,FALSE)</f>
        <v>Electra Townie Original 21D - 2016</v>
      </c>
      <c r="C363" s="21" t="e">
        <f>VLOOKUP(A363,Products!A$322:$D363,4,FALSE)</f>
        <v>#N/A</v>
      </c>
    </row>
    <row r="364" spans="1:3" x14ac:dyDescent="0.35">
      <c r="A364" s="21">
        <v>16</v>
      </c>
      <c r="B364" t="str">
        <f>VLOOKUP(A364,Products!$A$1:$F$322,2,FALSE)</f>
        <v>Electra Townie Original 7D EQ - 2016</v>
      </c>
      <c r="C364" s="21" t="e">
        <f>VLOOKUP(A364,Products!A$322:$D364,4,FALSE)</f>
        <v>#N/A</v>
      </c>
    </row>
    <row r="365" spans="1:3" x14ac:dyDescent="0.35">
      <c r="A365" s="21">
        <v>4</v>
      </c>
      <c r="B365" t="str">
        <f>VLOOKUP(A365,Products!$A$1:$F$322,2,FALSE)</f>
        <v>Trek Fuel EX 8 29 - 2016</v>
      </c>
      <c r="C365" s="21" t="e">
        <f>VLOOKUP(A365,Products!A$322:$D365,4,FALSE)</f>
        <v>#N/A</v>
      </c>
    </row>
    <row r="366" spans="1:3" x14ac:dyDescent="0.35">
      <c r="A366" s="21">
        <v>7</v>
      </c>
      <c r="B366" t="str">
        <f>VLOOKUP(A366,Products!$A$1:$F$322,2,FALSE)</f>
        <v>Trek Slash 8 27.5 - 2016</v>
      </c>
      <c r="C366" s="21" t="e">
        <f>VLOOKUP(A366,Products!A$322:$D366,4,FALSE)</f>
        <v>#N/A</v>
      </c>
    </row>
    <row r="367" spans="1:3" x14ac:dyDescent="0.35">
      <c r="A367" s="21">
        <v>17</v>
      </c>
      <c r="B367" t="str">
        <f>VLOOKUP(A367,Products!$A$1:$F$322,2,FALSE)</f>
        <v>Pure Cycles Vine 8-Speed - 2016</v>
      </c>
      <c r="C367" s="21" t="e">
        <f>VLOOKUP(A367,Products!A$322:$D367,4,FALSE)</f>
        <v>#N/A</v>
      </c>
    </row>
    <row r="368" spans="1:3" x14ac:dyDescent="0.35">
      <c r="A368" s="21">
        <v>9</v>
      </c>
      <c r="B368" t="str">
        <f>VLOOKUP(A368,Products!$A$1:$F$322,2,FALSE)</f>
        <v>Trek Conduit+ - 2016</v>
      </c>
      <c r="C368" s="21" t="e">
        <f>VLOOKUP(A368,Products!A$322:$D368,4,FALSE)</f>
        <v>#N/A</v>
      </c>
    </row>
    <row r="369" spans="1:3" x14ac:dyDescent="0.35">
      <c r="A369" s="21">
        <v>17</v>
      </c>
      <c r="B369" t="str">
        <f>VLOOKUP(A369,Products!$A$1:$F$322,2,FALSE)</f>
        <v>Pure Cycles Vine 8-Speed - 2016</v>
      </c>
      <c r="C369" s="21" t="e">
        <f>VLOOKUP(A369,Products!A$322:$D369,4,FALSE)</f>
        <v>#N/A</v>
      </c>
    </row>
    <row r="370" spans="1:3" x14ac:dyDescent="0.35">
      <c r="A370" s="21">
        <v>20</v>
      </c>
      <c r="B370" t="str">
        <f>VLOOKUP(A370,Products!$A$1:$F$322,2,FALSE)</f>
        <v>Electra Townie Original 7D EQ - Women's - 2016</v>
      </c>
      <c r="C370" s="21" t="e">
        <f>VLOOKUP(A370,Products!A$322:$D370,4,FALSE)</f>
        <v>#N/A</v>
      </c>
    </row>
    <row r="371" spans="1:3" x14ac:dyDescent="0.35">
      <c r="A371" s="21">
        <v>4</v>
      </c>
      <c r="B371" t="str">
        <f>VLOOKUP(A371,Products!$A$1:$F$322,2,FALSE)</f>
        <v>Trek Fuel EX 8 29 - 2016</v>
      </c>
      <c r="C371" s="21" t="e">
        <f>VLOOKUP(A371,Products!A$322:$D371,4,FALSE)</f>
        <v>#N/A</v>
      </c>
    </row>
    <row r="372" spans="1:3" x14ac:dyDescent="0.35">
      <c r="A372" s="21">
        <v>24</v>
      </c>
      <c r="B372" t="str">
        <f>VLOOKUP(A372,Products!$A$1:$F$322,2,FALSE)</f>
        <v>Electra Townie Original 21D - 2016</v>
      </c>
      <c r="C372" s="21" t="e">
        <f>VLOOKUP(A372,Products!A$322:$D372,4,FALSE)</f>
        <v>#N/A</v>
      </c>
    </row>
    <row r="373" spans="1:3" x14ac:dyDescent="0.35">
      <c r="A373" s="21">
        <v>16</v>
      </c>
      <c r="B373" t="str">
        <f>VLOOKUP(A373,Products!$A$1:$F$322,2,FALSE)</f>
        <v>Electra Townie Original 7D EQ - 2016</v>
      </c>
      <c r="C373" s="21" t="e">
        <f>VLOOKUP(A373,Products!A$322:$D373,4,FALSE)</f>
        <v>#N/A</v>
      </c>
    </row>
    <row r="374" spans="1:3" x14ac:dyDescent="0.35">
      <c r="A374" s="21">
        <v>4</v>
      </c>
      <c r="B374" t="str">
        <f>VLOOKUP(A374,Products!$A$1:$F$322,2,FALSE)</f>
        <v>Trek Fuel EX 8 29 - 2016</v>
      </c>
      <c r="C374" s="21" t="e">
        <f>VLOOKUP(A374,Products!A$322:$D374,4,FALSE)</f>
        <v>#N/A</v>
      </c>
    </row>
    <row r="375" spans="1:3" x14ac:dyDescent="0.35">
      <c r="A375" s="21">
        <v>3</v>
      </c>
      <c r="B375" t="str">
        <f>VLOOKUP(A375,Products!$A$1:$F$322,2,FALSE)</f>
        <v>Surly Wednesday Frameset - 2016</v>
      </c>
      <c r="C375" s="21" t="e">
        <f>VLOOKUP(A375,Products!A$322:$D375,4,FALSE)</f>
        <v>#N/A</v>
      </c>
    </row>
    <row r="376" spans="1:3" x14ac:dyDescent="0.35">
      <c r="A376" s="21">
        <v>18</v>
      </c>
      <c r="B376" t="str">
        <f>VLOOKUP(A376,Products!$A$1:$F$322,2,FALSE)</f>
        <v>Pure Cycles Western 3-Speed - Women's - 2015/2016</v>
      </c>
      <c r="C376" s="21" t="e">
        <f>VLOOKUP(A376,Products!A$322:$D376,4,FALSE)</f>
        <v>#N/A</v>
      </c>
    </row>
    <row r="377" spans="1:3" x14ac:dyDescent="0.35">
      <c r="A377" s="21">
        <v>9</v>
      </c>
      <c r="B377" t="str">
        <f>VLOOKUP(A377,Products!$A$1:$F$322,2,FALSE)</f>
        <v>Trek Conduit+ - 2016</v>
      </c>
      <c r="C377" s="21" t="e">
        <f>VLOOKUP(A377,Products!A$322:$D377,4,FALSE)</f>
        <v>#N/A</v>
      </c>
    </row>
    <row r="378" spans="1:3" x14ac:dyDescent="0.35">
      <c r="A378" s="21">
        <v>26</v>
      </c>
      <c r="B378" t="str">
        <f>VLOOKUP(A378,Products!$A$1:$F$322,2,FALSE)</f>
        <v>Electra Townie Original 7D EQ - 2016</v>
      </c>
      <c r="C378" s="21" t="e">
        <f>VLOOKUP(A378,Products!A$322:$D378,4,FALSE)</f>
        <v>#N/A</v>
      </c>
    </row>
    <row r="379" spans="1:3" x14ac:dyDescent="0.35">
      <c r="A379" s="21">
        <v>5</v>
      </c>
      <c r="B379" t="str">
        <f>VLOOKUP(A379,Products!$A$1:$F$322,2,FALSE)</f>
        <v>Heller Shagamaw Frame - 2016</v>
      </c>
      <c r="C379" s="21" t="e">
        <f>VLOOKUP(A379,Products!A$322:$D379,4,FALSE)</f>
        <v>#N/A</v>
      </c>
    </row>
    <row r="380" spans="1:3" x14ac:dyDescent="0.35">
      <c r="A380" s="21">
        <v>22</v>
      </c>
      <c r="B380" t="str">
        <f>VLOOKUP(A380,Products!$A$1:$F$322,2,FALSE)</f>
        <v>Electra Girl's Hawaii 1 (16-inch) - 2015/2016</v>
      </c>
      <c r="C380" s="21" t="e">
        <f>VLOOKUP(A380,Products!A$322:$D380,4,FALSE)</f>
        <v>#N/A</v>
      </c>
    </row>
    <row r="381" spans="1:3" x14ac:dyDescent="0.35">
      <c r="A381" s="21">
        <v>4</v>
      </c>
      <c r="B381" t="str">
        <f>VLOOKUP(A381,Products!$A$1:$F$322,2,FALSE)</f>
        <v>Trek Fuel EX 8 29 - 2016</v>
      </c>
      <c r="C381" s="21" t="e">
        <f>VLOOKUP(A381,Products!A$322:$D381,4,FALSE)</f>
        <v>#N/A</v>
      </c>
    </row>
    <row r="382" spans="1:3" x14ac:dyDescent="0.35">
      <c r="A382" s="21">
        <v>24</v>
      </c>
      <c r="B382" t="str">
        <f>VLOOKUP(A382,Products!$A$1:$F$322,2,FALSE)</f>
        <v>Electra Townie Original 21D - 2016</v>
      </c>
      <c r="C382" s="21" t="e">
        <f>VLOOKUP(A382,Products!A$322:$D382,4,FALSE)</f>
        <v>#N/A</v>
      </c>
    </row>
    <row r="383" spans="1:3" x14ac:dyDescent="0.35">
      <c r="A383" s="21">
        <v>2</v>
      </c>
      <c r="B383" t="str">
        <f>VLOOKUP(A383,Products!$A$1:$F$322,2,FALSE)</f>
        <v>Ritchey Timberwolf Frameset - 2016</v>
      </c>
      <c r="C383" s="21" t="e">
        <f>VLOOKUP(A383,Products!A$322:$D383,4,FALSE)</f>
        <v>#N/A</v>
      </c>
    </row>
    <row r="384" spans="1:3" x14ac:dyDescent="0.35">
      <c r="A384" s="21">
        <v>20</v>
      </c>
      <c r="B384" t="str">
        <f>VLOOKUP(A384,Products!$A$1:$F$322,2,FALSE)</f>
        <v>Electra Townie Original 7D EQ - Women's - 2016</v>
      </c>
      <c r="C384" s="21" t="e">
        <f>VLOOKUP(A384,Products!A$322:$D384,4,FALSE)</f>
        <v>#N/A</v>
      </c>
    </row>
    <row r="385" spans="1:3" x14ac:dyDescent="0.35">
      <c r="A385" s="21">
        <v>9</v>
      </c>
      <c r="B385" t="str">
        <f>VLOOKUP(A385,Products!$A$1:$F$322,2,FALSE)</f>
        <v>Trek Conduit+ - 2016</v>
      </c>
      <c r="C385" s="21" t="e">
        <f>VLOOKUP(A385,Products!A$322:$D385,4,FALSE)</f>
        <v>#N/A</v>
      </c>
    </row>
    <row r="386" spans="1:3" x14ac:dyDescent="0.35">
      <c r="A386" s="21">
        <v>13</v>
      </c>
      <c r="B386" t="str">
        <f>VLOOKUP(A386,Products!$A$1:$F$322,2,FALSE)</f>
        <v>Electra Cruiser 1 (24-Inch) - 2016</v>
      </c>
      <c r="C386" s="21" t="e">
        <f>VLOOKUP(A386,Products!A$322:$D386,4,FALSE)</f>
        <v>#N/A</v>
      </c>
    </row>
    <row r="387" spans="1:3" x14ac:dyDescent="0.35">
      <c r="A387" s="21">
        <v>22</v>
      </c>
      <c r="B387" t="str">
        <f>VLOOKUP(A387,Products!$A$1:$F$322,2,FALSE)</f>
        <v>Electra Girl's Hawaii 1 (16-inch) - 2015/2016</v>
      </c>
      <c r="C387" s="21" t="e">
        <f>VLOOKUP(A387,Products!A$322:$D387,4,FALSE)</f>
        <v>#N/A</v>
      </c>
    </row>
    <row r="388" spans="1:3" x14ac:dyDescent="0.35">
      <c r="A388" s="21">
        <v>19</v>
      </c>
      <c r="B388" t="str">
        <f>VLOOKUP(A388,Products!$A$1:$F$322,2,FALSE)</f>
        <v>Pure Cycles William 3-Speed - 2016</v>
      </c>
      <c r="C388" s="21" t="e">
        <f>VLOOKUP(A388,Products!A$322:$D388,4,FALSE)</f>
        <v>#N/A</v>
      </c>
    </row>
    <row r="389" spans="1:3" x14ac:dyDescent="0.35">
      <c r="A389" s="21">
        <v>2</v>
      </c>
      <c r="B389" t="str">
        <f>VLOOKUP(A389,Products!$A$1:$F$322,2,FALSE)</f>
        <v>Ritchey Timberwolf Frameset - 2016</v>
      </c>
      <c r="C389" s="21" t="e">
        <f>VLOOKUP(A389,Products!A$322:$D389,4,FALSE)</f>
        <v>#N/A</v>
      </c>
    </row>
    <row r="390" spans="1:3" x14ac:dyDescent="0.35">
      <c r="A390" s="21">
        <v>18</v>
      </c>
      <c r="B390" t="str">
        <f>VLOOKUP(A390,Products!$A$1:$F$322,2,FALSE)</f>
        <v>Pure Cycles Western 3-Speed - Women's - 2015/2016</v>
      </c>
      <c r="C390" s="21" t="e">
        <f>VLOOKUP(A390,Products!A$322:$D390,4,FALSE)</f>
        <v>#N/A</v>
      </c>
    </row>
    <row r="391" spans="1:3" x14ac:dyDescent="0.35">
      <c r="A391" s="21">
        <v>5</v>
      </c>
      <c r="B391" t="str">
        <f>VLOOKUP(A391,Products!$A$1:$F$322,2,FALSE)</f>
        <v>Heller Shagamaw Frame - 2016</v>
      </c>
      <c r="C391" s="21" t="e">
        <f>VLOOKUP(A391,Products!A$322:$D391,4,FALSE)</f>
        <v>#N/A</v>
      </c>
    </row>
    <row r="392" spans="1:3" x14ac:dyDescent="0.35">
      <c r="A392" s="21">
        <v>18</v>
      </c>
      <c r="B392" t="str">
        <f>VLOOKUP(A392,Products!$A$1:$F$322,2,FALSE)</f>
        <v>Pure Cycles Western 3-Speed - Women's - 2015/2016</v>
      </c>
      <c r="C392" s="21" t="e">
        <f>VLOOKUP(A392,Products!A$322:$D392,4,FALSE)</f>
        <v>#N/A</v>
      </c>
    </row>
    <row r="393" spans="1:3" x14ac:dyDescent="0.35">
      <c r="A393" s="21">
        <v>25</v>
      </c>
      <c r="B393" t="str">
        <f>VLOOKUP(A393,Products!$A$1:$F$322,2,FALSE)</f>
        <v>Electra Townie Original 7D - 2015/2016</v>
      </c>
      <c r="C393" s="21" t="e">
        <f>VLOOKUP(A393,Products!A$322:$D393,4,FALSE)</f>
        <v>#N/A</v>
      </c>
    </row>
    <row r="394" spans="1:3" x14ac:dyDescent="0.35">
      <c r="A394" s="21">
        <v>2</v>
      </c>
      <c r="B394" t="str">
        <f>VLOOKUP(A394,Products!$A$1:$F$322,2,FALSE)</f>
        <v>Ritchey Timberwolf Frameset - 2016</v>
      </c>
      <c r="C394" s="21" t="e">
        <f>VLOOKUP(A394,Products!A$322:$D394,4,FALSE)</f>
        <v>#N/A</v>
      </c>
    </row>
    <row r="395" spans="1:3" x14ac:dyDescent="0.35">
      <c r="A395" s="21">
        <v>7</v>
      </c>
      <c r="B395" t="str">
        <f>VLOOKUP(A395,Products!$A$1:$F$322,2,FALSE)</f>
        <v>Trek Slash 8 27.5 - 2016</v>
      </c>
      <c r="C395" s="21" t="e">
        <f>VLOOKUP(A395,Products!A$322:$D395,4,FALSE)</f>
        <v>#N/A</v>
      </c>
    </row>
    <row r="396" spans="1:3" x14ac:dyDescent="0.35">
      <c r="A396" s="21">
        <v>3</v>
      </c>
      <c r="B396" t="str">
        <f>VLOOKUP(A396,Products!$A$1:$F$322,2,FALSE)</f>
        <v>Surly Wednesday Frameset - 2016</v>
      </c>
      <c r="C396" s="21" t="e">
        <f>VLOOKUP(A396,Products!A$322:$D396,4,FALSE)</f>
        <v>#N/A</v>
      </c>
    </row>
    <row r="397" spans="1:3" x14ac:dyDescent="0.35">
      <c r="A397" s="21">
        <v>23</v>
      </c>
      <c r="B397" t="str">
        <f>VLOOKUP(A397,Products!$A$1:$F$322,2,FALSE)</f>
        <v>Electra Girl's Hawaii 1 (20-inch) - 2015/2016</v>
      </c>
      <c r="C397" s="21" t="e">
        <f>VLOOKUP(A397,Products!A$322:$D397,4,FALSE)</f>
        <v>#N/A</v>
      </c>
    </row>
    <row r="398" spans="1:3" x14ac:dyDescent="0.35">
      <c r="A398" s="21">
        <v>22</v>
      </c>
      <c r="B398" t="str">
        <f>VLOOKUP(A398,Products!$A$1:$F$322,2,FALSE)</f>
        <v>Electra Girl's Hawaii 1 (16-inch) - 2015/2016</v>
      </c>
      <c r="C398" s="21" t="e">
        <f>VLOOKUP(A398,Products!A$322:$D398,4,FALSE)</f>
        <v>#N/A</v>
      </c>
    </row>
    <row r="399" spans="1:3" x14ac:dyDescent="0.35">
      <c r="A399" s="21">
        <v>16</v>
      </c>
      <c r="B399" t="str">
        <f>VLOOKUP(A399,Products!$A$1:$F$322,2,FALSE)</f>
        <v>Electra Townie Original 7D EQ - 2016</v>
      </c>
      <c r="C399" s="21" t="e">
        <f>VLOOKUP(A399,Products!A$322:$D399,4,FALSE)</f>
        <v>#N/A</v>
      </c>
    </row>
    <row r="400" spans="1:3" x14ac:dyDescent="0.35">
      <c r="A400" s="21">
        <v>6</v>
      </c>
      <c r="B400" t="str">
        <f>VLOOKUP(A400,Products!$A$1:$F$322,2,FALSE)</f>
        <v>Surly Ice Cream Truck Frameset - 2016</v>
      </c>
      <c r="C400" s="21" t="e">
        <f>VLOOKUP(A400,Products!A$322:$D400,4,FALSE)</f>
        <v>#N/A</v>
      </c>
    </row>
    <row r="401" spans="1:3" x14ac:dyDescent="0.35">
      <c r="A401" s="21">
        <v>19</v>
      </c>
      <c r="B401" t="str">
        <f>VLOOKUP(A401,Products!$A$1:$F$322,2,FALSE)</f>
        <v>Pure Cycles William 3-Speed - 2016</v>
      </c>
      <c r="C401" s="21" t="e">
        <f>VLOOKUP(A401,Products!A$322:$D401,4,FALSE)</f>
        <v>#N/A</v>
      </c>
    </row>
    <row r="402" spans="1:3" x14ac:dyDescent="0.35">
      <c r="A402" s="21">
        <v>3</v>
      </c>
      <c r="B402" t="str">
        <f>VLOOKUP(A402,Products!$A$1:$F$322,2,FALSE)</f>
        <v>Surly Wednesday Frameset - 2016</v>
      </c>
      <c r="C402" s="21" t="e">
        <f>VLOOKUP(A402,Products!A$322:$D402,4,FALSE)</f>
        <v>#N/A</v>
      </c>
    </row>
    <row r="403" spans="1:3" x14ac:dyDescent="0.35">
      <c r="A403" s="21">
        <v>15</v>
      </c>
      <c r="B403" t="str">
        <f>VLOOKUP(A403,Products!$A$1:$F$322,2,FALSE)</f>
        <v>Electra Moto 1 - 2016</v>
      </c>
      <c r="C403" s="21" t="e">
        <f>VLOOKUP(A403,Products!A$322:$D403,4,FALSE)</f>
        <v>#N/A</v>
      </c>
    </row>
    <row r="404" spans="1:3" x14ac:dyDescent="0.35">
      <c r="A404" s="21">
        <v>21</v>
      </c>
      <c r="B404" t="str">
        <f>VLOOKUP(A404,Products!$A$1:$F$322,2,FALSE)</f>
        <v>Electra Cruiser 1 (24-Inch) - 2016</v>
      </c>
      <c r="C404" s="21" t="e">
        <f>VLOOKUP(A404,Products!A$322:$D404,4,FALSE)</f>
        <v>#N/A</v>
      </c>
    </row>
    <row r="405" spans="1:3" x14ac:dyDescent="0.35">
      <c r="A405" s="21">
        <v>12</v>
      </c>
      <c r="B405" t="str">
        <f>VLOOKUP(A405,Products!$A$1:$F$322,2,FALSE)</f>
        <v>Electra Townie Original 21D - 2016</v>
      </c>
      <c r="C405" s="21" t="e">
        <f>VLOOKUP(A405,Products!A$322:$D405,4,FALSE)</f>
        <v>#N/A</v>
      </c>
    </row>
    <row r="406" spans="1:3" x14ac:dyDescent="0.35">
      <c r="A406" s="21">
        <v>3</v>
      </c>
      <c r="B406" t="str">
        <f>VLOOKUP(A406,Products!$A$1:$F$322,2,FALSE)</f>
        <v>Surly Wednesday Frameset - 2016</v>
      </c>
      <c r="C406" s="21" t="e">
        <f>VLOOKUP(A406,Products!A$322:$D406,4,FALSE)</f>
        <v>#N/A</v>
      </c>
    </row>
    <row r="407" spans="1:3" x14ac:dyDescent="0.35">
      <c r="A407" s="21">
        <v>18</v>
      </c>
      <c r="B407" t="str">
        <f>VLOOKUP(A407,Products!$A$1:$F$322,2,FALSE)</f>
        <v>Pure Cycles Western 3-Speed - Women's - 2015/2016</v>
      </c>
      <c r="C407" s="21" t="e">
        <f>VLOOKUP(A407,Products!A$322:$D407,4,FALSE)</f>
        <v>#N/A</v>
      </c>
    </row>
    <row r="408" spans="1:3" x14ac:dyDescent="0.35">
      <c r="A408" s="21">
        <v>16</v>
      </c>
      <c r="B408" t="str">
        <f>VLOOKUP(A408,Products!$A$1:$F$322,2,FALSE)</f>
        <v>Electra Townie Original 7D EQ - 2016</v>
      </c>
      <c r="C408" s="21" t="e">
        <f>VLOOKUP(A408,Products!A$322:$D408,4,FALSE)</f>
        <v>#N/A</v>
      </c>
    </row>
    <row r="409" spans="1:3" x14ac:dyDescent="0.35">
      <c r="A409" s="21">
        <v>11</v>
      </c>
      <c r="B409" t="str">
        <f>VLOOKUP(A409,Products!$A$1:$F$322,2,FALSE)</f>
        <v>Surly Straggler 650b - 2016</v>
      </c>
      <c r="C409" s="21" t="e">
        <f>VLOOKUP(A409,Products!A$322:$D409,4,FALSE)</f>
        <v>#N/A</v>
      </c>
    </row>
    <row r="410" spans="1:3" x14ac:dyDescent="0.35">
      <c r="A410" s="21">
        <v>19</v>
      </c>
      <c r="B410" t="str">
        <f>VLOOKUP(A410,Products!$A$1:$F$322,2,FALSE)</f>
        <v>Pure Cycles William 3-Speed - 2016</v>
      </c>
      <c r="C410" s="21" t="e">
        <f>VLOOKUP(A410,Products!A$322:$D410,4,FALSE)</f>
        <v>#N/A</v>
      </c>
    </row>
    <row r="411" spans="1:3" x14ac:dyDescent="0.35">
      <c r="A411" s="21">
        <v>6</v>
      </c>
      <c r="B411" t="str">
        <f>VLOOKUP(A411,Products!$A$1:$F$322,2,FALSE)</f>
        <v>Surly Ice Cream Truck Frameset - 2016</v>
      </c>
      <c r="C411" s="21" t="e">
        <f>VLOOKUP(A411,Products!A$322:$D411,4,FALSE)</f>
        <v>#N/A</v>
      </c>
    </row>
    <row r="412" spans="1:3" x14ac:dyDescent="0.35">
      <c r="A412" s="21">
        <v>8</v>
      </c>
      <c r="B412" t="str">
        <f>VLOOKUP(A412,Products!$A$1:$F$322,2,FALSE)</f>
        <v>Trek Remedy 29 Carbon Frameset - 2016</v>
      </c>
      <c r="C412" s="21" t="e">
        <f>VLOOKUP(A412,Products!A$322:$D412,4,FALSE)</f>
        <v>#N/A</v>
      </c>
    </row>
    <row r="413" spans="1:3" x14ac:dyDescent="0.35">
      <c r="A413" s="21">
        <v>11</v>
      </c>
      <c r="B413" t="str">
        <f>VLOOKUP(A413,Products!$A$1:$F$322,2,FALSE)</f>
        <v>Surly Straggler 650b - 2016</v>
      </c>
      <c r="C413" s="21" t="e">
        <f>VLOOKUP(A413,Products!A$322:$D413,4,FALSE)</f>
        <v>#N/A</v>
      </c>
    </row>
    <row r="414" spans="1:3" x14ac:dyDescent="0.35">
      <c r="A414" s="21">
        <v>9</v>
      </c>
      <c r="B414" t="str">
        <f>VLOOKUP(A414,Products!$A$1:$F$322,2,FALSE)</f>
        <v>Trek Conduit+ - 2016</v>
      </c>
      <c r="C414" s="21" t="e">
        <f>VLOOKUP(A414,Products!A$322:$D414,4,FALSE)</f>
        <v>#N/A</v>
      </c>
    </row>
    <row r="415" spans="1:3" x14ac:dyDescent="0.35">
      <c r="A415" s="21">
        <v>3</v>
      </c>
      <c r="B415" t="str">
        <f>VLOOKUP(A415,Products!$A$1:$F$322,2,FALSE)</f>
        <v>Surly Wednesday Frameset - 2016</v>
      </c>
      <c r="C415" s="21" t="e">
        <f>VLOOKUP(A415,Products!A$322:$D415,4,FALSE)</f>
        <v>#N/A</v>
      </c>
    </row>
    <row r="416" spans="1:3" x14ac:dyDescent="0.35">
      <c r="A416" s="21">
        <v>12</v>
      </c>
      <c r="B416" t="str">
        <f>VLOOKUP(A416,Products!$A$1:$F$322,2,FALSE)</f>
        <v>Electra Townie Original 21D - 2016</v>
      </c>
      <c r="C416" s="21" t="e">
        <f>VLOOKUP(A416,Products!A$322:$D416,4,FALSE)</f>
        <v>#N/A</v>
      </c>
    </row>
    <row r="417" spans="1:3" x14ac:dyDescent="0.35">
      <c r="A417" s="21">
        <v>20</v>
      </c>
      <c r="B417" t="str">
        <f>VLOOKUP(A417,Products!$A$1:$F$322,2,FALSE)</f>
        <v>Electra Townie Original 7D EQ - Women's - 2016</v>
      </c>
      <c r="C417" s="21" t="e">
        <f>VLOOKUP(A417,Products!A$322:$D417,4,FALSE)</f>
        <v>#N/A</v>
      </c>
    </row>
    <row r="418" spans="1:3" x14ac:dyDescent="0.35">
      <c r="A418" s="21">
        <v>6</v>
      </c>
      <c r="B418" t="str">
        <f>VLOOKUP(A418,Products!$A$1:$F$322,2,FALSE)</f>
        <v>Surly Ice Cream Truck Frameset - 2016</v>
      </c>
      <c r="C418" s="21" t="e">
        <f>VLOOKUP(A418,Products!A$322:$D418,4,FALSE)</f>
        <v>#N/A</v>
      </c>
    </row>
    <row r="419" spans="1:3" x14ac:dyDescent="0.35">
      <c r="A419" s="21">
        <v>2</v>
      </c>
      <c r="B419" t="str">
        <f>VLOOKUP(A419,Products!$A$1:$F$322,2,FALSE)</f>
        <v>Ritchey Timberwolf Frameset - 2016</v>
      </c>
      <c r="C419" s="21" t="e">
        <f>VLOOKUP(A419,Products!A$322:$D419,4,FALSE)</f>
        <v>#N/A</v>
      </c>
    </row>
    <row r="420" spans="1:3" x14ac:dyDescent="0.35">
      <c r="A420" s="21">
        <v>26</v>
      </c>
      <c r="B420" t="str">
        <f>VLOOKUP(A420,Products!$A$1:$F$322,2,FALSE)</f>
        <v>Electra Townie Original 7D EQ - 2016</v>
      </c>
      <c r="C420" s="21" t="e">
        <f>VLOOKUP(A420,Products!A$322:$D420,4,FALSE)</f>
        <v>#N/A</v>
      </c>
    </row>
    <row r="421" spans="1:3" x14ac:dyDescent="0.35">
      <c r="A421" s="21">
        <v>14</v>
      </c>
      <c r="B421" t="str">
        <f>VLOOKUP(A421,Products!$A$1:$F$322,2,FALSE)</f>
        <v>Electra Girl's Hawaii 1 (16-inch) - 2015/2016</v>
      </c>
      <c r="C421" s="21" t="e">
        <f>VLOOKUP(A421,Products!A$322:$D421,4,FALSE)</f>
        <v>#N/A</v>
      </c>
    </row>
    <row r="422" spans="1:3" x14ac:dyDescent="0.35">
      <c r="A422" s="21">
        <v>12</v>
      </c>
      <c r="B422" t="str">
        <f>VLOOKUP(A422,Products!$A$1:$F$322,2,FALSE)</f>
        <v>Electra Townie Original 21D - 2016</v>
      </c>
      <c r="C422" s="21" t="e">
        <f>VLOOKUP(A422,Products!A$322:$D422,4,FALSE)</f>
        <v>#N/A</v>
      </c>
    </row>
    <row r="423" spans="1:3" x14ac:dyDescent="0.35">
      <c r="A423" s="21">
        <v>21</v>
      </c>
      <c r="B423" t="str">
        <f>VLOOKUP(A423,Products!$A$1:$F$322,2,FALSE)</f>
        <v>Electra Cruiser 1 (24-Inch) - 2016</v>
      </c>
      <c r="C423" s="21" t="e">
        <f>VLOOKUP(A423,Products!A$322:$D423,4,FALSE)</f>
        <v>#N/A</v>
      </c>
    </row>
    <row r="424" spans="1:3" x14ac:dyDescent="0.35">
      <c r="A424" s="21">
        <v>7</v>
      </c>
      <c r="B424" t="str">
        <f>VLOOKUP(A424,Products!$A$1:$F$322,2,FALSE)</f>
        <v>Trek Slash 8 27.5 - 2016</v>
      </c>
      <c r="C424" s="21" t="e">
        <f>VLOOKUP(A424,Products!A$322:$D424,4,FALSE)</f>
        <v>#N/A</v>
      </c>
    </row>
    <row r="425" spans="1:3" x14ac:dyDescent="0.35">
      <c r="A425" s="21">
        <v>3</v>
      </c>
      <c r="B425" t="str">
        <f>VLOOKUP(A425,Products!$A$1:$F$322,2,FALSE)</f>
        <v>Surly Wednesday Frameset - 2016</v>
      </c>
      <c r="C425" s="21" t="e">
        <f>VLOOKUP(A425,Products!A$322:$D425,4,FALSE)</f>
        <v>#N/A</v>
      </c>
    </row>
    <row r="426" spans="1:3" x14ac:dyDescent="0.35">
      <c r="A426" s="21">
        <v>17</v>
      </c>
      <c r="B426" t="str">
        <f>VLOOKUP(A426,Products!$A$1:$F$322,2,FALSE)</f>
        <v>Pure Cycles Vine 8-Speed - 2016</v>
      </c>
      <c r="C426" s="21" t="e">
        <f>VLOOKUP(A426,Products!A$322:$D426,4,FALSE)</f>
        <v>#N/A</v>
      </c>
    </row>
    <row r="427" spans="1:3" x14ac:dyDescent="0.35">
      <c r="A427" s="21">
        <v>25</v>
      </c>
      <c r="B427" t="str">
        <f>VLOOKUP(A427,Products!$A$1:$F$322,2,FALSE)</f>
        <v>Electra Townie Original 7D - 2015/2016</v>
      </c>
      <c r="C427" s="21" t="e">
        <f>VLOOKUP(A427,Products!A$322:$D427,4,FALSE)</f>
        <v>#N/A</v>
      </c>
    </row>
    <row r="428" spans="1:3" x14ac:dyDescent="0.35">
      <c r="A428" s="21">
        <v>17</v>
      </c>
      <c r="B428" t="str">
        <f>VLOOKUP(A428,Products!$A$1:$F$322,2,FALSE)</f>
        <v>Pure Cycles Vine 8-Speed - 2016</v>
      </c>
      <c r="C428" s="21" t="e">
        <f>VLOOKUP(A428,Products!A$322:$D428,4,FALSE)</f>
        <v>#N/A</v>
      </c>
    </row>
    <row r="429" spans="1:3" x14ac:dyDescent="0.35">
      <c r="A429" s="21">
        <v>26</v>
      </c>
      <c r="B429" t="str">
        <f>VLOOKUP(A429,Products!$A$1:$F$322,2,FALSE)</f>
        <v>Electra Townie Original 7D EQ - 2016</v>
      </c>
      <c r="C429" s="21" t="e">
        <f>VLOOKUP(A429,Products!A$322:$D429,4,FALSE)</f>
        <v>#N/A</v>
      </c>
    </row>
    <row r="430" spans="1:3" x14ac:dyDescent="0.35">
      <c r="A430" s="21">
        <v>6</v>
      </c>
      <c r="B430" t="str">
        <f>VLOOKUP(A430,Products!$A$1:$F$322,2,FALSE)</f>
        <v>Surly Ice Cream Truck Frameset - 2016</v>
      </c>
      <c r="C430" s="21" t="e">
        <f>VLOOKUP(A430,Products!A$322:$D430,4,FALSE)</f>
        <v>#N/A</v>
      </c>
    </row>
    <row r="431" spans="1:3" x14ac:dyDescent="0.35">
      <c r="A431" s="21">
        <v>22</v>
      </c>
      <c r="B431" t="str">
        <f>VLOOKUP(A431,Products!$A$1:$F$322,2,FALSE)</f>
        <v>Electra Girl's Hawaii 1 (16-inch) - 2015/2016</v>
      </c>
      <c r="C431" s="21" t="e">
        <f>VLOOKUP(A431,Products!A$322:$D431,4,FALSE)</f>
        <v>#N/A</v>
      </c>
    </row>
    <row r="432" spans="1:3" x14ac:dyDescent="0.35">
      <c r="A432" s="21">
        <v>16</v>
      </c>
      <c r="B432" t="str">
        <f>VLOOKUP(A432,Products!$A$1:$F$322,2,FALSE)</f>
        <v>Electra Townie Original 7D EQ - 2016</v>
      </c>
      <c r="C432" s="21" t="e">
        <f>VLOOKUP(A432,Products!A$322:$D432,4,FALSE)</f>
        <v>#N/A</v>
      </c>
    </row>
    <row r="433" spans="1:3" x14ac:dyDescent="0.35">
      <c r="A433" s="21">
        <v>16</v>
      </c>
      <c r="B433" t="str">
        <f>VLOOKUP(A433,Products!$A$1:$F$322,2,FALSE)</f>
        <v>Electra Townie Original 7D EQ - 2016</v>
      </c>
      <c r="C433" s="21" t="e">
        <f>VLOOKUP(A433,Products!A$322:$D433,4,FALSE)</f>
        <v>#N/A</v>
      </c>
    </row>
    <row r="434" spans="1:3" x14ac:dyDescent="0.35">
      <c r="A434" s="21">
        <v>8</v>
      </c>
      <c r="B434" t="str">
        <f>VLOOKUP(A434,Products!$A$1:$F$322,2,FALSE)</f>
        <v>Trek Remedy 29 Carbon Frameset - 2016</v>
      </c>
      <c r="C434" s="21" t="e">
        <f>VLOOKUP(A434,Products!A$322:$D434,4,FALSE)</f>
        <v>#N/A</v>
      </c>
    </row>
    <row r="435" spans="1:3" x14ac:dyDescent="0.35">
      <c r="A435" s="21">
        <v>15</v>
      </c>
      <c r="B435" t="str">
        <f>VLOOKUP(A435,Products!$A$1:$F$322,2,FALSE)</f>
        <v>Electra Moto 1 - 2016</v>
      </c>
      <c r="C435" s="21" t="e">
        <f>VLOOKUP(A435,Products!A$322:$D435,4,FALSE)</f>
        <v>#N/A</v>
      </c>
    </row>
    <row r="436" spans="1:3" x14ac:dyDescent="0.35">
      <c r="A436" s="21">
        <v>12</v>
      </c>
      <c r="B436" t="str">
        <f>VLOOKUP(A436,Products!$A$1:$F$322,2,FALSE)</f>
        <v>Electra Townie Original 21D - 2016</v>
      </c>
      <c r="C436" s="21" t="e">
        <f>VLOOKUP(A436,Products!A$322:$D436,4,FALSE)</f>
        <v>#N/A</v>
      </c>
    </row>
    <row r="437" spans="1:3" x14ac:dyDescent="0.35">
      <c r="A437" s="21">
        <v>8</v>
      </c>
      <c r="B437" t="str">
        <f>VLOOKUP(A437,Products!$A$1:$F$322,2,FALSE)</f>
        <v>Trek Remedy 29 Carbon Frameset - 2016</v>
      </c>
      <c r="C437" s="21" t="e">
        <f>VLOOKUP(A437,Products!A$322:$D437,4,FALSE)</f>
        <v>#N/A</v>
      </c>
    </row>
    <row r="438" spans="1:3" x14ac:dyDescent="0.35">
      <c r="A438" s="21">
        <v>18</v>
      </c>
      <c r="B438" t="str">
        <f>VLOOKUP(A438,Products!$A$1:$F$322,2,FALSE)</f>
        <v>Pure Cycles Western 3-Speed - Women's - 2015/2016</v>
      </c>
      <c r="C438" s="21" t="e">
        <f>VLOOKUP(A438,Products!A$322:$D438,4,FALSE)</f>
        <v>#N/A</v>
      </c>
    </row>
    <row r="439" spans="1:3" x14ac:dyDescent="0.35">
      <c r="A439" s="21">
        <v>17</v>
      </c>
      <c r="B439" t="str">
        <f>VLOOKUP(A439,Products!$A$1:$F$322,2,FALSE)</f>
        <v>Pure Cycles Vine 8-Speed - 2016</v>
      </c>
      <c r="C439" s="21" t="e">
        <f>VLOOKUP(A439,Products!A$322:$D439,4,FALSE)</f>
        <v>#N/A</v>
      </c>
    </row>
    <row r="440" spans="1:3" x14ac:dyDescent="0.35">
      <c r="A440" s="21">
        <v>6</v>
      </c>
      <c r="B440" t="str">
        <f>VLOOKUP(A440,Products!$A$1:$F$322,2,FALSE)</f>
        <v>Surly Ice Cream Truck Frameset - 2016</v>
      </c>
      <c r="C440" s="21" t="e">
        <f>VLOOKUP(A440,Products!A$322:$D440,4,FALSE)</f>
        <v>#N/A</v>
      </c>
    </row>
    <row r="441" spans="1:3" x14ac:dyDescent="0.35">
      <c r="A441" s="21">
        <v>4</v>
      </c>
      <c r="B441" t="str">
        <f>VLOOKUP(A441,Products!$A$1:$F$322,2,FALSE)</f>
        <v>Trek Fuel EX 8 29 - 2016</v>
      </c>
      <c r="C441" s="21" t="e">
        <f>VLOOKUP(A441,Products!A$322:$D441,4,FALSE)</f>
        <v>#N/A</v>
      </c>
    </row>
    <row r="442" spans="1:3" x14ac:dyDescent="0.35">
      <c r="A442" s="21">
        <v>7</v>
      </c>
      <c r="B442" t="str">
        <f>VLOOKUP(A442,Products!$A$1:$F$322,2,FALSE)</f>
        <v>Trek Slash 8 27.5 - 2016</v>
      </c>
      <c r="C442" s="21" t="e">
        <f>VLOOKUP(A442,Products!A$322:$D442,4,FALSE)</f>
        <v>#N/A</v>
      </c>
    </row>
    <row r="443" spans="1:3" x14ac:dyDescent="0.35">
      <c r="A443" s="21">
        <v>24</v>
      </c>
      <c r="B443" t="str">
        <f>VLOOKUP(A443,Products!$A$1:$F$322,2,FALSE)</f>
        <v>Electra Townie Original 21D - 2016</v>
      </c>
      <c r="C443" s="21" t="e">
        <f>VLOOKUP(A443,Products!A$322:$D443,4,FALSE)</f>
        <v>#N/A</v>
      </c>
    </row>
    <row r="444" spans="1:3" x14ac:dyDescent="0.35">
      <c r="A444" s="21">
        <v>13</v>
      </c>
      <c r="B444" t="str">
        <f>VLOOKUP(A444,Products!$A$1:$F$322,2,FALSE)</f>
        <v>Electra Cruiser 1 (24-Inch) - 2016</v>
      </c>
      <c r="C444" s="21" t="e">
        <f>VLOOKUP(A444,Products!A$322:$D444,4,FALSE)</f>
        <v>#N/A</v>
      </c>
    </row>
    <row r="445" spans="1:3" x14ac:dyDescent="0.35">
      <c r="A445" s="21">
        <v>21</v>
      </c>
      <c r="B445" t="str">
        <f>VLOOKUP(A445,Products!$A$1:$F$322,2,FALSE)</f>
        <v>Electra Cruiser 1 (24-Inch) - 2016</v>
      </c>
      <c r="C445" s="21" t="e">
        <f>VLOOKUP(A445,Products!A$322:$D445,4,FALSE)</f>
        <v>#N/A</v>
      </c>
    </row>
    <row r="446" spans="1:3" x14ac:dyDescent="0.35">
      <c r="A446" s="21">
        <v>15</v>
      </c>
      <c r="B446" t="str">
        <f>VLOOKUP(A446,Products!$A$1:$F$322,2,FALSE)</f>
        <v>Electra Moto 1 - 2016</v>
      </c>
      <c r="C446" s="21" t="e">
        <f>VLOOKUP(A446,Products!A$322:$D446,4,FALSE)</f>
        <v>#N/A</v>
      </c>
    </row>
    <row r="447" spans="1:3" x14ac:dyDescent="0.35">
      <c r="A447" s="21">
        <v>18</v>
      </c>
      <c r="B447" t="str">
        <f>VLOOKUP(A447,Products!$A$1:$F$322,2,FALSE)</f>
        <v>Pure Cycles Western 3-Speed - Women's - 2015/2016</v>
      </c>
      <c r="C447" s="21" t="e">
        <f>VLOOKUP(A447,Products!A$322:$D447,4,FALSE)</f>
        <v>#N/A</v>
      </c>
    </row>
    <row r="448" spans="1:3" x14ac:dyDescent="0.35">
      <c r="A448" s="21">
        <v>11</v>
      </c>
      <c r="B448" t="str">
        <f>VLOOKUP(A448,Products!$A$1:$F$322,2,FALSE)</f>
        <v>Surly Straggler 650b - 2016</v>
      </c>
      <c r="C448" s="21" t="e">
        <f>VLOOKUP(A448,Products!A$322:$D448,4,FALSE)</f>
        <v>#N/A</v>
      </c>
    </row>
    <row r="449" spans="1:3" x14ac:dyDescent="0.35">
      <c r="A449" s="21">
        <v>24</v>
      </c>
      <c r="B449" t="str">
        <f>VLOOKUP(A449,Products!$A$1:$F$322,2,FALSE)</f>
        <v>Electra Townie Original 21D - 2016</v>
      </c>
      <c r="C449" s="21" t="e">
        <f>VLOOKUP(A449,Products!A$322:$D449,4,FALSE)</f>
        <v>#N/A</v>
      </c>
    </row>
    <row r="450" spans="1:3" x14ac:dyDescent="0.35">
      <c r="A450" s="21">
        <v>22</v>
      </c>
      <c r="B450" t="str">
        <f>VLOOKUP(A450,Products!$A$1:$F$322,2,FALSE)</f>
        <v>Electra Girl's Hawaii 1 (16-inch) - 2015/2016</v>
      </c>
      <c r="C450" s="21" t="e">
        <f>VLOOKUP(A450,Products!A$322:$D450,4,FALSE)</f>
        <v>#N/A</v>
      </c>
    </row>
    <row r="451" spans="1:3" x14ac:dyDescent="0.35">
      <c r="A451" s="21">
        <v>7</v>
      </c>
      <c r="B451" t="str">
        <f>VLOOKUP(A451,Products!$A$1:$F$322,2,FALSE)</f>
        <v>Trek Slash 8 27.5 - 2016</v>
      </c>
      <c r="C451" s="21" t="e">
        <f>VLOOKUP(A451,Products!A$322:$D451,4,FALSE)</f>
        <v>#N/A</v>
      </c>
    </row>
    <row r="452" spans="1:3" x14ac:dyDescent="0.35">
      <c r="A452" s="21">
        <v>18</v>
      </c>
      <c r="B452" t="str">
        <f>VLOOKUP(A452,Products!$A$1:$F$322,2,FALSE)</f>
        <v>Pure Cycles Western 3-Speed - Women's - 2015/2016</v>
      </c>
      <c r="C452" s="21" t="e">
        <f>VLOOKUP(A452,Products!A$322:$D452,4,FALSE)</f>
        <v>#N/A</v>
      </c>
    </row>
    <row r="453" spans="1:3" x14ac:dyDescent="0.35">
      <c r="A453" s="21">
        <v>21</v>
      </c>
      <c r="B453" t="str">
        <f>VLOOKUP(A453,Products!$A$1:$F$322,2,FALSE)</f>
        <v>Electra Cruiser 1 (24-Inch) - 2016</v>
      </c>
      <c r="C453" s="21" t="e">
        <f>VLOOKUP(A453,Products!A$322:$D453,4,FALSE)</f>
        <v>#N/A</v>
      </c>
    </row>
    <row r="454" spans="1:3" x14ac:dyDescent="0.35">
      <c r="A454" s="21">
        <v>3</v>
      </c>
      <c r="B454" t="str">
        <f>VLOOKUP(A454,Products!$A$1:$F$322,2,FALSE)</f>
        <v>Surly Wednesday Frameset - 2016</v>
      </c>
      <c r="C454" s="21" t="e">
        <f>VLOOKUP(A454,Products!A$322:$D454,4,FALSE)</f>
        <v>#N/A</v>
      </c>
    </row>
    <row r="455" spans="1:3" x14ac:dyDescent="0.35">
      <c r="A455" s="21">
        <v>12</v>
      </c>
      <c r="B455" t="str">
        <f>VLOOKUP(A455,Products!$A$1:$F$322,2,FALSE)</f>
        <v>Electra Townie Original 21D - 2016</v>
      </c>
      <c r="C455" s="21" t="e">
        <f>VLOOKUP(A455,Products!A$322:$D455,4,FALSE)</f>
        <v>#N/A</v>
      </c>
    </row>
    <row r="456" spans="1:3" x14ac:dyDescent="0.35">
      <c r="A456" s="21">
        <v>18</v>
      </c>
      <c r="B456" t="str">
        <f>VLOOKUP(A456,Products!$A$1:$F$322,2,FALSE)</f>
        <v>Pure Cycles Western 3-Speed - Women's - 2015/2016</v>
      </c>
      <c r="C456" s="21" t="e">
        <f>VLOOKUP(A456,Products!A$322:$D456,4,FALSE)</f>
        <v>#N/A</v>
      </c>
    </row>
    <row r="457" spans="1:3" x14ac:dyDescent="0.35">
      <c r="A457" s="21">
        <v>4</v>
      </c>
      <c r="B457" t="str">
        <f>VLOOKUP(A457,Products!$A$1:$F$322,2,FALSE)</f>
        <v>Trek Fuel EX 8 29 - 2016</v>
      </c>
      <c r="C457" s="21" t="e">
        <f>VLOOKUP(A457,Products!A$322:$D457,4,FALSE)</f>
        <v>#N/A</v>
      </c>
    </row>
    <row r="458" spans="1:3" x14ac:dyDescent="0.35">
      <c r="A458" s="21">
        <v>10</v>
      </c>
      <c r="B458" t="str">
        <f>VLOOKUP(A458,Products!$A$1:$F$322,2,FALSE)</f>
        <v>Surly Straggler - 2016</v>
      </c>
      <c r="C458" s="21" t="e">
        <f>VLOOKUP(A458,Products!A$322:$D458,4,FALSE)</f>
        <v>#N/A</v>
      </c>
    </row>
    <row r="459" spans="1:3" x14ac:dyDescent="0.35">
      <c r="A459" s="21">
        <v>14</v>
      </c>
      <c r="B459" t="str">
        <f>VLOOKUP(A459,Products!$A$1:$F$322,2,FALSE)</f>
        <v>Electra Girl's Hawaii 1 (16-inch) - 2015/2016</v>
      </c>
      <c r="C459" s="21" t="e">
        <f>VLOOKUP(A459,Products!A$322:$D459,4,FALSE)</f>
        <v>#N/A</v>
      </c>
    </row>
    <row r="460" spans="1:3" x14ac:dyDescent="0.35">
      <c r="A460" s="21">
        <v>4</v>
      </c>
      <c r="B460" t="str">
        <f>VLOOKUP(A460,Products!$A$1:$F$322,2,FALSE)</f>
        <v>Trek Fuel EX 8 29 - 2016</v>
      </c>
      <c r="C460" s="21" t="e">
        <f>VLOOKUP(A460,Products!A$322:$D460,4,FALSE)</f>
        <v>#N/A</v>
      </c>
    </row>
    <row r="461" spans="1:3" x14ac:dyDescent="0.35">
      <c r="A461" s="21">
        <v>23</v>
      </c>
      <c r="B461" t="str">
        <f>VLOOKUP(A461,Products!$A$1:$F$322,2,FALSE)</f>
        <v>Electra Girl's Hawaii 1 (20-inch) - 2015/2016</v>
      </c>
      <c r="C461" s="21" t="e">
        <f>VLOOKUP(A461,Products!A$322:$D461,4,FALSE)</f>
        <v>#N/A</v>
      </c>
    </row>
    <row r="462" spans="1:3" x14ac:dyDescent="0.35">
      <c r="A462" s="21">
        <v>2</v>
      </c>
      <c r="B462" t="str">
        <f>VLOOKUP(A462,Products!$A$1:$F$322,2,FALSE)</f>
        <v>Ritchey Timberwolf Frameset - 2016</v>
      </c>
      <c r="C462" s="21" t="e">
        <f>VLOOKUP(A462,Products!A$322:$D462,4,FALSE)</f>
        <v>#N/A</v>
      </c>
    </row>
    <row r="463" spans="1:3" x14ac:dyDescent="0.35">
      <c r="A463" s="21">
        <v>10</v>
      </c>
      <c r="B463" t="str">
        <f>VLOOKUP(A463,Products!$A$1:$F$322,2,FALSE)</f>
        <v>Surly Straggler - 2016</v>
      </c>
      <c r="C463" s="21" t="e">
        <f>VLOOKUP(A463,Products!A$322:$D463,4,FALSE)</f>
        <v>#N/A</v>
      </c>
    </row>
    <row r="464" spans="1:3" x14ac:dyDescent="0.35">
      <c r="A464" s="21">
        <v>11</v>
      </c>
      <c r="B464" t="str">
        <f>VLOOKUP(A464,Products!$A$1:$F$322,2,FALSE)</f>
        <v>Surly Straggler 650b - 2016</v>
      </c>
      <c r="C464" s="21" t="e">
        <f>VLOOKUP(A464,Products!A$322:$D464,4,FALSE)</f>
        <v>#N/A</v>
      </c>
    </row>
    <row r="465" spans="1:3" x14ac:dyDescent="0.35">
      <c r="A465" s="21">
        <v>12</v>
      </c>
      <c r="B465" t="str">
        <f>VLOOKUP(A465,Products!$A$1:$F$322,2,FALSE)</f>
        <v>Electra Townie Original 21D - 2016</v>
      </c>
      <c r="C465" s="21" t="e">
        <f>VLOOKUP(A465,Products!A$322:$D465,4,FALSE)</f>
        <v>#N/A</v>
      </c>
    </row>
    <row r="466" spans="1:3" x14ac:dyDescent="0.35">
      <c r="A466" s="21">
        <v>10</v>
      </c>
      <c r="B466" t="str">
        <f>VLOOKUP(A466,Products!$A$1:$F$322,2,FALSE)</f>
        <v>Surly Straggler - 2016</v>
      </c>
      <c r="C466" s="21" t="e">
        <f>VLOOKUP(A466,Products!A$322:$D466,4,FALSE)</f>
        <v>#N/A</v>
      </c>
    </row>
    <row r="467" spans="1:3" x14ac:dyDescent="0.35">
      <c r="A467" s="21">
        <v>13</v>
      </c>
      <c r="B467" t="str">
        <f>VLOOKUP(A467,Products!$A$1:$F$322,2,FALSE)</f>
        <v>Electra Cruiser 1 (24-Inch) - 2016</v>
      </c>
      <c r="C467" s="21" t="e">
        <f>VLOOKUP(A467,Products!A$322:$D467,4,FALSE)</f>
        <v>#N/A</v>
      </c>
    </row>
    <row r="468" spans="1:3" x14ac:dyDescent="0.35">
      <c r="A468" s="21">
        <v>7</v>
      </c>
      <c r="B468" t="str">
        <f>VLOOKUP(A468,Products!$A$1:$F$322,2,FALSE)</f>
        <v>Trek Slash 8 27.5 - 2016</v>
      </c>
      <c r="C468" s="21" t="e">
        <f>VLOOKUP(A468,Products!A$322:$D468,4,FALSE)</f>
        <v>#N/A</v>
      </c>
    </row>
    <row r="469" spans="1:3" x14ac:dyDescent="0.35">
      <c r="A469" s="21">
        <v>6</v>
      </c>
      <c r="B469" t="str">
        <f>VLOOKUP(A469,Products!$A$1:$F$322,2,FALSE)</f>
        <v>Surly Ice Cream Truck Frameset - 2016</v>
      </c>
      <c r="C469" s="21" t="e">
        <f>VLOOKUP(A469,Products!A$322:$D469,4,FALSE)</f>
        <v>#N/A</v>
      </c>
    </row>
    <row r="470" spans="1:3" x14ac:dyDescent="0.35">
      <c r="A470" s="21">
        <v>11</v>
      </c>
      <c r="B470" t="str">
        <f>VLOOKUP(A470,Products!$A$1:$F$322,2,FALSE)</f>
        <v>Surly Straggler 650b - 2016</v>
      </c>
      <c r="C470" s="21" t="e">
        <f>VLOOKUP(A470,Products!A$322:$D470,4,FALSE)</f>
        <v>#N/A</v>
      </c>
    </row>
    <row r="471" spans="1:3" x14ac:dyDescent="0.35">
      <c r="A471" s="21">
        <v>12</v>
      </c>
      <c r="B471" t="str">
        <f>VLOOKUP(A471,Products!$A$1:$F$322,2,FALSE)</f>
        <v>Electra Townie Original 21D - 2016</v>
      </c>
      <c r="C471" s="21" t="e">
        <f>VLOOKUP(A471,Products!A$322:$D471,4,FALSE)</f>
        <v>#N/A</v>
      </c>
    </row>
    <row r="472" spans="1:3" x14ac:dyDescent="0.35">
      <c r="A472" s="21">
        <v>22</v>
      </c>
      <c r="B472" t="str">
        <f>VLOOKUP(A472,Products!$A$1:$F$322,2,FALSE)</f>
        <v>Electra Girl's Hawaii 1 (16-inch) - 2015/2016</v>
      </c>
      <c r="C472" s="21" t="e">
        <f>VLOOKUP(A472,Products!A$322:$D472,4,FALSE)</f>
        <v>#N/A</v>
      </c>
    </row>
    <row r="473" spans="1:3" x14ac:dyDescent="0.35">
      <c r="A473" s="21">
        <v>20</v>
      </c>
      <c r="B473" t="str">
        <f>VLOOKUP(A473,Products!$A$1:$F$322,2,FALSE)</f>
        <v>Electra Townie Original 7D EQ - Women's - 2016</v>
      </c>
      <c r="C473" s="21" t="e">
        <f>VLOOKUP(A473,Products!A$322:$D473,4,FALSE)</f>
        <v>#N/A</v>
      </c>
    </row>
    <row r="474" spans="1:3" x14ac:dyDescent="0.35">
      <c r="A474" s="21">
        <v>5</v>
      </c>
      <c r="B474" t="str">
        <f>VLOOKUP(A474,Products!$A$1:$F$322,2,FALSE)</f>
        <v>Heller Shagamaw Frame - 2016</v>
      </c>
      <c r="C474" s="21" t="e">
        <f>VLOOKUP(A474,Products!A$322:$D474,4,FALSE)</f>
        <v>#N/A</v>
      </c>
    </row>
    <row r="475" spans="1:3" x14ac:dyDescent="0.35">
      <c r="A475" s="21">
        <v>10</v>
      </c>
      <c r="B475" t="str">
        <f>VLOOKUP(A475,Products!$A$1:$F$322,2,FALSE)</f>
        <v>Surly Straggler - 2016</v>
      </c>
      <c r="C475" s="21" t="e">
        <f>VLOOKUP(A475,Products!A$322:$D475,4,FALSE)</f>
        <v>#N/A</v>
      </c>
    </row>
    <row r="476" spans="1:3" x14ac:dyDescent="0.35">
      <c r="A476" s="21">
        <v>11</v>
      </c>
      <c r="B476" t="str">
        <f>VLOOKUP(A476,Products!$A$1:$F$322,2,FALSE)</f>
        <v>Surly Straggler 650b - 2016</v>
      </c>
      <c r="C476" s="21" t="e">
        <f>VLOOKUP(A476,Products!A$322:$D476,4,FALSE)</f>
        <v>#N/A</v>
      </c>
    </row>
    <row r="477" spans="1:3" x14ac:dyDescent="0.35">
      <c r="A477" s="21">
        <v>14</v>
      </c>
      <c r="B477" t="str">
        <f>VLOOKUP(A477,Products!$A$1:$F$322,2,FALSE)</f>
        <v>Electra Girl's Hawaii 1 (16-inch) - 2015/2016</v>
      </c>
      <c r="C477" s="21" t="e">
        <f>VLOOKUP(A477,Products!A$322:$D477,4,FALSE)</f>
        <v>#N/A</v>
      </c>
    </row>
    <row r="478" spans="1:3" x14ac:dyDescent="0.35">
      <c r="A478" s="21">
        <v>12</v>
      </c>
      <c r="B478" t="str">
        <f>VLOOKUP(A478,Products!$A$1:$F$322,2,FALSE)</f>
        <v>Electra Townie Original 21D - 2016</v>
      </c>
      <c r="C478" s="21" t="e">
        <f>VLOOKUP(A478,Products!A$322:$D478,4,FALSE)</f>
        <v>#N/A</v>
      </c>
    </row>
    <row r="479" spans="1:3" x14ac:dyDescent="0.35">
      <c r="A479" s="21">
        <v>24</v>
      </c>
      <c r="B479" t="str">
        <f>VLOOKUP(A479,Products!$A$1:$F$322,2,FALSE)</f>
        <v>Electra Townie Original 21D - 2016</v>
      </c>
      <c r="C479" s="21" t="e">
        <f>VLOOKUP(A479,Products!A$322:$D479,4,FALSE)</f>
        <v>#N/A</v>
      </c>
    </row>
    <row r="480" spans="1:3" x14ac:dyDescent="0.35">
      <c r="A480" s="21">
        <v>7</v>
      </c>
      <c r="B480" t="str">
        <f>VLOOKUP(A480,Products!$A$1:$F$322,2,FALSE)</f>
        <v>Trek Slash 8 27.5 - 2016</v>
      </c>
      <c r="C480" s="21" t="e">
        <f>VLOOKUP(A480,Products!A$322:$D480,4,FALSE)</f>
        <v>#N/A</v>
      </c>
    </row>
    <row r="481" spans="1:3" x14ac:dyDescent="0.35">
      <c r="A481" s="21">
        <v>18</v>
      </c>
      <c r="B481" t="str">
        <f>VLOOKUP(A481,Products!$A$1:$F$322,2,FALSE)</f>
        <v>Pure Cycles Western 3-Speed - Women's - 2015/2016</v>
      </c>
      <c r="C481" s="21" t="e">
        <f>VLOOKUP(A481,Products!A$322:$D481,4,FALSE)</f>
        <v>#N/A</v>
      </c>
    </row>
    <row r="482" spans="1:3" x14ac:dyDescent="0.35">
      <c r="A482" s="21">
        <v>8</v>
      </c>
      <c r="B482" t="str">
        <f>VLOOKUP(A482,Products!$A$1:$F$322,2,FALSE)</f>
        <v>Trek Remedy 29 Carbon Frameset - 2016</v>
      </c>
      <c r="C482" s="21" t="e">
        <f>VLOOKUP(A482,Products!A$322:$D482,4,FALSE)</f>
        <v>#N/A</v>
      </c>
    </row>
    <row r="483" spans="1:3" x14ac:dyDescent="0.35">
      <c r="A483" s="21">
        <v>23</v>
      </c>
      <c r="B483" t="str">
        <f>VLOOKUP(A483,Products!$A$1:$F$322,2,FALSE)</f>
        <v>Electra Girl's Hawaii 1 (20-inch) - 2015/2016</v>
      </c>
      <c r="C483" s="21" t="e">
        <f>VLOOKUP(A483,Products!A$322:$D483,4,FALSE)</f>
        <v>#N/A</v>
      </c>
    </row>
    <row r="484" spans="1:3" x14ac:dyDescent="0.35">
      <c r="A484" s="21">
        <v>16</v>
      </c>
      <c r="B484" t="str">
        <f>VLOOKUP(A484,Products!$A$1:$F$322,2,FALSE)</f>
        <v>Electra Townie Original 7D EQ - 2016</v>
      </c>
      <c r="C484" s="21" t="e">
        <f>VLOOKUP(A484,Products!A$322:$D484,4,FALSE)</f>
        <v>#N/A</v>
      </c>
    </row>
    <row r="485" spans="1:3" x14ac:dyDescent="0.35">
      <c r="A485" s="21">
        <v>14</v>
      </c>
      <c r="B485" t="str">
        <f>VLOOKUP(A485,Products!$A$1:$F$322,2,FALSE)</f>
        <v>Electra Girl's Hawaii 1 (16-inch) - 2015/2016</v>
      </c>
      <c r="C485" s="21" t="e">
        <f>VLOOKUP(A485,Products!A$322:$D485,4,FALSE)</f>
        <v>#N/A</v>
      </c>
    </row>
    <row r="486" spans="1:3" x14ac:dyDescent="0.35">
      <c r="A486" s="21">
        <v>16</v>
      </c>
      <c r="B486" t="str">
        <f>VLOOKUP(A486,Products!$A$1:$F$322,2,FALSE)</f>
        <v>Electra Townie Original 7D EQ - 2016</v>
      </c>
      <c r="C486" s="21" t="e">
        <f>VLOOKUP(A486,Products!A$322:$D486,4,FALSE)</f>
        <v>#N/A</v>
      </c>
    </row>
    <row r="487" spans="1:3" x14ac:dyDescent="0.35">
      <c r="A487" s="21">
        <v>20</v>
      </c>
      <c r="B487" t="str">
        <f>VLOOKUP(A487,Products!$A$1:$F$322,2,FALSE)</f>
        <v>Electra Townie Original 7D EQ - Women's - 2016</v>
      </c>
      <c r="C487" s="21" t="e">
        <f>VLOOKUP(A487,Products!A$322:$D487,4,FALSE)</f>
        <v>#N/A</v>
      </c>
    </row>
    <row r="488" spans="1:3" x14ac:dyDescent="0.35">
      <c r="A488" s="21">
        <v>22</v>
      </c>
      <c r="B488" t="str">
        <f>VLOOKUP(A488,Products!$A$1:$F$322,2,FALSE)</f>
        <v>Electra Girl's Hawaii 1 (16-inch) - 2015/2016</v>
      </c>
      <c r="C488" s="21" t="e">
        <f>VLOOKUP(A488,Products!A$322:$D488,4,FALSE)</f>
        <v>#N/A</v>
      </c>
    </row>
    <row r="489" spans="1:3" x14ac:dyDescent="0.35">
      <c r="A489" s="21">
        <v>19</v>
      </c>
      <c r="B489" t="str">
        <f>VLOOKUP(A489,Products!$A$1:$F$322,2,FALSE)</f>
        <v>Pure Cycles William 3-Speed - 2016</v>
      </c>
      <c r="C489" s="21" t="e">
        <f>VLOOKUP(A489,Products!A$322:$D489,4,FALSE)</f>
        <v>#N/A</v>
      </c>
    </row>
    <row r="490" spans="1:3" x14ac:dyDescent="0.35">
      <c r="A490" s="21">
        <v>5</v>
      </c>
      <c r="B490" t="str">
        <f>VLOOKUP(A490,Products!$A$1:$F$322,2,FALSE)</f>
        <v>Heller Shagamaw Frame - 2016</v>
      </c>
      <c r="C490" s="21" t="e">
        <f>VLOOKUP(A490,Products!A$322:$D490,4,FALSE)</f>
        <v>#N/A</v>
      </c>
    </row>
    <row r="491" spans="1:3" x14ac:dyDescent="0.35">
      <c r="A491" s="21">
        <v>2</v>
      </c>
      <c r="B491" t="str">
        <f>VLOOKUP(A491,Products!$A$1:$F$322,2,FALSE)</f>
        <v>Ritchey Timberwolf Frameset - 2016</v>
      </c>
      <c r="C491" s="21" t="e">
        <f>VLOOKUP(A491,Products!A$322:$D491,4,FALSE)</f>
        <v>#N/A</v>
      </c>
    </row>
    <row r="492" spans="1:3" x14ac:dyDescent="0.35">
      <c r="A492" s="21">
        <v>21</v>
      </c>
      <c r="B492" t="str">
        <f>VLOOKUP(A492,Products!$A$1:$F$322,2,FALSE)</f>
        <v>Electra Cruiser 1 (24-Inch) - 2016</v>
      </c>
      <c r="C492" s="21" t="e">
        <f>VLOOKUP(A492,Products!A$322:$D492,4,FALSE)</f>
        <v>#N/A</v>
      </c>
    </row>
    <row r="493" spans="1:3" x14ac:dyDescent="0.35">
      <c r="A493" s="21">
        <v>19</v>
      </c>
      <c r="B493" t="str">
        <f>VLOOKUP(A493,Products!$A$1:$F$322,2,FALSE)</f>
        <v>Pure Cycles William 3-Speed - 2016</v>
      </c>
      <c r="C493" s="21" t="e">
        <f>VLOOKUP(A493,Products!A$322:$D493,4,FALSE)</f>
        <v>#N/A</v>
      </c>
    </row>
    <row r="494" spans="1:3" x14ac:dyDescent="0.35">
      <c r="A494" s="21">
        <v>2</v>
      </c>
      <c r="B494" t="str">
        <f>VLOOKUP(A494,Products!$A$1:$F$322,2,FALSE)</f>
        <v>Ritchey Timberwolf Frameset - 2016</v>
      </c>
      <c r="C494" s="21" t="e">
        <f>VLOOKUP(A494,Products!A$322:$D494,4,FALSE)</f>
        <v>#N/A</v>
      </c>
    </row>
    <row r="495" spans="1:3" x14ac:dyDescent="0.35">
      <c r="A495" s="21">
        <v>11</v>
      </c>
      <c r="B495" t="str">
        <f>VLOOKUP(A495,Products!$A$1:$F$322,2,FALSE)</f>
        <v>Surly Straggler 650b - 2016</v>
      </c>
      <c r="C495" s="21" t="e">
        <f>VLOOKUP(A495,Products!A$322:$D495,4,FALSE)</f>
        <v>#N/A</v>
      </c>
    </row>
    <row r="496" spans="1:3" x14ac:dyDescent="0.35">
      <c r="A496" s="21">
        <v>16</v>
      </c>
      <c r="B496" t="str">
        <f>VLOOKUP(A496,Products!$A$1:$F$322,2,FALSE)</f>
        <v>Electra Townie Original 7D EQ - 2016</v>
      </c>
      <c r="C496" s="21" t="e">
        <f>VLOOKUP(A496,Products!A$322:$D496,4,FALSE)</f>
        <v>#N/A</v>
      </c>
    </row>
    <row r="497" spans="1:3" x14ac:dyDescent="0.35">
      <c r="A497" s="21">
        <v>20</v>
      </c>
      <c r="B497" t="str">
        <f>VLOOKUP(A497,Products!$A$1:$F$322,2,FALSE)</f>
        <v>Electra Townie Original 7D EQ - Women's - 2016</v>
      </c>
      <c r="C497" s="21" t="e">
        <f>VLOOKUP(A497,Products!A$322:$D497,4,FALSE)</f>
        <v>#N/A</v>
      </c>
    </row>
    <row r="498" spans="1:3" x14ac:dyDescent="0.35">
      <c r="A498" s="21">
        <v>10</v>
      </c>
      <c r="B498" t="str">
        <f>VLOOKUP(A498,Products!$A$1:$F$322,2,FALSE)</f>
        <v>Surly Straggler - 2016</v>
      </c>
      <c r="C498" s="21" t="e">
        <f>VLOOKUP(A498,Products!A$322:$D498,4,FALSE)</f>
        <v>#N/A</v>
      </c>
    </row>
    <row r="499" spans="1:3" x14ac:dyDescent="0.35">
      <c r="A499" s="21">
        <v>12</v>
      </c>
      <c r="B499" t="str">
        <f>VLOOKUP(A499,Products!$A$1:$F$322,2,FALSE)</f>
        <v>Electra Townie Original 21D - 2016</v>
      </c>
      <c r="C499" s="21" t="e">
        <f>VLOOKUP(A499,Products!A$322:$D499,4,FALSE)</f>
        <v>#N/A</v>
      </c>
    </row>
    <row r="500" spans="1:3" x14ac:dyDescent="0.35">
      <c r="A500" s="21">
        <v>3</v>
      </c>
      <c r="B500" t="str">
        <f>VLOOKUP(A500,Products!$A$1:$F$322,2,FALSE)</f>
        <v>Surly Wednesday Frameset - 2016</v>
      </c>
      <c r="C500" s="21" t="e">
        <f>VLOOKUP(A500,Products!A$322:$D500,4,FALSE)</f>
        <v>#N/A</v>
      </c>
    </row>
    <row r="501" spans="1:3" x14ac:dyDescent="0.35">
      <c r="A501" s="21">
        <v>18</v>
      </c>
      <c r="B501" t="str">
        <f>VLOOKUP(A501,Products!$A$1:$F$322,2,FALSE)</f>
        <v>Pure Cycles Western 3-Speed - Women's - 2015/2016</v>
      </c>
      <c r="C501" s="21" t="e">
        <f>VLOOKUP(A501,Products!A$322:$D501,4,FALSE)</f>
        <v>#N/A</v>
      </c>
    </row>
    <row r="502" spans="1:3" x14ac:dyDescent="0.35">
      <c r="A502" s="21">
        <v>13</v>
      </c>
      <c r="B502" t="str">
        <f>VLOOKUP(A502,Products!$A$1:$F$322,2,FALSE)</f>
        <v>Electra Cruiser 1 (24-Inch) - 2016</v>
      </c>
      <c r="C502" s="21" t="e">
        <f>VLOOKUP(A502,Products!A$322:$D502,4,FALSE)</f>
        <v>#N/A</v>
      </c>
    </row>
    <row r="503" spans="1:3" x14ac:dyDescent="0.35">
      <c r="A503" s="21">
        <v>26</v>
      </c>
      <c r="B503" t="str">
        <f>VLOOKUP(A503,Products!$A$1:$F$322,2,FALSE)</f>
        <v>Electra Townie Original 7D EQ - 2016</v>
      </c>
      <c r="C503" s="21" t="e">
        <f>VLOOKUP(A503,Products!A$322:$D503,4,FALSE)</f>
        <v>#N/A</v>
      </c>
    </row>
    <row r="504" spans="1:3" x14ac:dyDescent="0.35">
      <c r="A504" s="21">
        <v>18</v>
      </c>
      <c r="B504" t="str">
        <f>VLOOKUP(A504,Products!$A$1:$F$322,2,FALSE)</f>
        <v>Pure Cycles Western 3-Speed - Women's - 2015/2016</v>
      </c>
      <c r="C504" s="21" t="e">
        <f>VLOOKUP(A504,Products!A$322:$D504,4,FALSE)</f>
        <v>#N/A</v>
      </c>
    </row>
    <row r="505" spans="1:3" x14ac:dyDescent="0.35">
      <c r="A505" s="21">
        <v>12</v>
      </c>
      <c r="B505" t="str">
        <f>VLOOKUP(A505,Products!$A$1:$F$322,2,FALSE)</f>
        <v>Electra Townie Original 21D - 2016</v>
      </c>
      <c r="C505" s="21" t="e">
        <f>VLOOKUP(A505,Products!A$322:$D505,4,FALSE)</f>
        <v>#N/A</v>
      </c>
    </row>
    <row r="506" spans="1:3" x14ac:dyDescent="0.35">
      <c r="A506" s="21">
        <v>20</v>
      </c>
      <c r="B506" t="str">
        <f>VLOOKUP(A506,Products!$A$1:$F$322,2,FALSE)</f>
        <v>Electra Townie Original 7D EQ - Women's - 2016</v>
      </c>
      <c r="C506" s="21" t="e">
        <f>VLOOKUP(A506,Products!A$322:$D506,4,FALSE)</f>
        <v>#N/A</v>
      </c>
    </row>
    <row r="507" spans="1:3" x14ac:dyDescent="0.35">
      <c r="A507" s="21">
        <v>16</v>
      </c>
      <c r="B507" t="str">
        <f>VLOOKUP(A507,Products!$A$1:$F$322,2,FALSE)</f>
        <v>Electra Townie Original 7D EQ - 2016</v>
      </c>
      <c r="C507" s="21" t="e">
        <f>VLOOKUP(A507,Products!A$322:$D507,4,FALSE)</f>
        <v>#N/A</v>
      </c>
    </row>
    <row r="508" spans="1:3" x14ac:dyDescent="0.35">
      <c r="A508" s="21">
        <v>10</v>
      </c>
      <c r="B508" t="str">
        <f>VLOOKUP(A508,Products!$A$1:$F$322,2,FALSE)</f>
        <v>Surly Straggler - 2016</v>
      </c>
      <c r="C508" s="21" t="e">
        <f>VLOOKUP(A508,Products!A$322:$D508,4,FALSE)</f>
        <v>#N/A</v>
      </c>
    </row>
    <row r="509" spans="1:3" x14ac:dyDescent="0.35">
      <c r="A509" s="21">
        <v>11</v>
      </c>
      <c r="B509" t="str">
        <f>VLOOKUP(A509,Products!$A$1:$F$322,2,FALSE)</f>
        <v>Surly Straggler 650b - 2016</v>
      </c>
      <c r="C509" s="21" t="e">
        <f>VLOOKUP(A509,Products!A$322:$D509,4,FALSE)</f>
        <v>#N/A</v>
      </c>
    </row>
    <row r="510" spans="1:3" x14ac:dyDescent="0.35">
      <c r="A510" s="21">
        <v>15</v>
      </c>
      <c r="B510" t="str">
        <f>VLOOKUP(A510,Products!$A$1:$F$322,2,FALSE)</f>
        <v>Electra Moto 1 - 2016</v>
      </c>
      <c r="C510" s="21" t="e">
        <f>VLOOKUP(A510,Products!A$322:$D510,4,FALSE)</f>
        <v>#N/A</v>
      </c>
    </row>
    <row r="511" spans="1:3" x14ac:dyDescent="0.35">
      <c r="A511" s="21">
        <v>24</v>
      </c>
      <c r="B511" t="str">
        <f>VLOOKUP(A511,Products!$A$1:$F$322,2,FALSE)</f>
        <v>Electra Townie Original 21D - 2016</v>
      </c>
      <c r="C511" s="21" t="e">
        <f>VLOOKUP(A511,Products!A$322:$D511,4,FALSE)</f>
        <v>#N/A</v>
      </c>
    </row>
    <row r="512" spans="1:3" x14ac:dyDescent="0.35">
      <c r="A512" s="21">
        <v>25</v>
      </c>
      <c r="B512" t="str">
        <f>VLOOKUP(A512,Products!$A$1:$F$322,2,FALSE)</f>
        <v>Electra Townie Original 7D - 2015/2016</v>
      </c>
      <c r="C512" s="21" t="e">
        <f>VLOOKUP(A512,Products!A$322:$D512,4,FALSE)</f>
        <v>#N/A</v>
      </c>
    </row>
    <row r="513" spans="1:3" x14ac:dyDescent="0.35">
      <c r="A513" s="21">
        <v>24</v>
      </c>
      <c r="B513" t="str">
        <f>VLOOKUP(A513,Products!$A$1:$F$322,2,FALSE)</f>
        <v>Electra Townie Original 21D - 2016</v>
      </c>
      <c r="C513" s="21" t="e">
        <f>VLOOKUP(A513,Products!A$322:$D513,4,FALSE)</f>
        <v>#N/A</v>
      </c>
    </row>
    <row r="514" spans="1:3" x14ac:dyDescent="0.35">
      <c r="A514" s="21">
        <v>11</v>
      </c>
      <c r="B514" t="str">
        <f>VLOOKUP(A514,Products!$A$1:$F$322,2,FALSE)</f>
        <v>Surly Straggler 650b - 2016</v>
      </c>
      <c r="C514" s="21" t="e">
        <f>VLOOKUP(A514,Products!A$322:$D514,4,FALSE)</f>
        <v>#N/A</v>
      </c>
    </row>
    <row r="515" spans="1:3" x14ac:dyDescent="0.35">
      <c r="A515" s="21">
        <v>12</v>
      </c>
      <c r="B515" t="str">
        <f>VLOOKUP(A515,Products!$A$1:$F$322,2,FALSE)</f>
        <v>Electra Townie Original 21D - 2016</v>
      </c>
      <c r="C515" s="21" t="e">
        <f>VLOOKUP(A515,Products!A$322:$D515,4,FALSE)</f>
        <v>#N/A</v>
      </c>
    </row>
    <row r="516" spans="1:3" x14ac:dyDescent="0.35">
      <c r="A516" s="21">
        <v>19</v>
      </c>
      <c r="B516" t="str">
        <f>VLOOKUP(A516,Products!$A$1:$F$322,2,FALSE)</f>
        <v>Pure Cycles William 3-Speed - 2016</v>
      </c>
      <c r="C516" s="21" t="e">
        <f>VLOOKUP(A516,Products!A$322:$D516,4,FALSE)</f>
        <v>#N/A</v>
      </c>
    </row>
    <row r="517" spans="1:3" x14ac:dyDescent="0.35">
      <c r="A517" s="21">
        <v>17</v>
      </c>
      <c r="B517" t="str">
        <f>VLOOKUP(A517,Products!$A$1:$F$322,2,FALSE)</f>
        <v>Pure Cycles Vine 8-Speed - 2016</v>
      </c>
      <c r="C517" s="21" t="e">
        <f>VLOOKUP(A517,Products!A$322:$D517,4,FALSE)</f>
        <v>#N/A</v>
      </c>
    </row>
    <row r="518" spans="1:3" x14ac:dyDescent="0.35">
      <c r="A518" s="21">
        <v>4</v>
      </c>
      <c r="B518" t="str">
        <f>VLOOKUP(A518,Products!$A$1:$F$322,2,FALSE)</f>
        <v>Trek Fuel EX 8 29 - 2016</v>
      </c>
      <c r="C518" s="21" t="e">
        <f>VLOOKUP(A518,Products!A$322:$D518,4,FALSE)</f>
        <v>#N/A</v>
      </c>
    </row>
    <row r="519" spans="1:3" x14ac:dyDescent="0.35">
      <c r="A519" s="21">
        <v>5</v>
      </c>
      <c r="B519" t="str">
        <f>VLOOKUP(A519,Products!$A$1:$F$322,2,FALSE)</f>
        <v>Heller Shagamaw Frame - 2016</v>
      </c>
      <c r="C519" s="21" t="e">
        <f>VLOOKUP(A519,Products!A$322:$D519,4,FALSE)</f>
        <v>#N/A</v>
      </c>
    </row>
    <row r="520" spans="1:3" x14ac:dyDescent="0.35">
      <c r="A520" s="21">
        <v>14</v>
      </c>
      <c r="B520" t="str">
        <f>VLOOKUP(A520,Products!$A$1:$F$322,2,FALSE)</f>
        <v>Electra Girl's Hawaii 1 (16-inch) - 2015/2016</v>
      </c>
      <c r="C520" s="21" t="e">
        <f>VLOOKUP(A520,Products!A$322:$D520,4,FALSE)</f>
        <v>#N/A</v>
      </c>
    </row>
    <row r="521" spans="1:3" x14ac:dyDescent="0.35">
      <c r="A521" s="21">
        <v>20</v>
      </c>
      <c r="B521" t="str">
        <f>VLOOKUP(A521,Products!$A$1:$F$322,2,FALSE)</f>
        <v>Electra Townie Original 7D EQ - Women's - 2016</v>
      </c>
      <c r="C521" s="21" t="e">
        <f>VLOOKUP(A521,Products!A$322:$D521,4,FALSE)</f>
        <v>#N/A</v>
      </c>
    </row>
    <row r="522" spans="1:3" x14ac:dyDescent="0.35">
      <c r="A522" s="21">
        <v>8</v>
      </c>
      <c r="B522" t="str">
        <f>VLOOKUP(A522,Products!$A$1:$F$322,2,FALSE)</f>
        <v>Trek Remedy 29 Carbon Frameset - 2016</v>
      </c>
      <c r="C522" s="21" t="e">
        <f>VLOOKUP(A522,Products!A$322:$D522,4,FALSE)</f>
        <v>#N/A</v>
      </c>
    </row>
    <row r="523" spans="1:3" x14ac:dyDescent="0.35">
      <c r="A523" s="21">
        <v>4</v>
      </c>
      <c r="B523" t="str">
        <f>VLOOKUP(A523,Products!$A$1:$F$322,2,FALSE)</f>
        <v>Trek Fuel EX 8 29 - 2016</v>
      </c>
      <c r="C523" s="21" t="e">
        <f>VLOOKUP(A523,Products!A$322:$D523,4,FALSE)</f>
        <v>#N/A</v>
      </c>
    </row>
    <row r="524" spans="1:3" x14ac:dyDescent="0.35">
      <c r="A524" s="21">
        <v>6</v>
      </c>
      <c r="B524" t="str">
        <f>VLOOKUP(A524,Products!$A$1:$F$322,2,FALSE)</f>
        <v>Surly Ice Cream Truck Frameset - 2016</v>
      </c>
      <c r="C524" s="21" t="e">
        <f>VLOOKUP(A524,Products!A$322:$D524,4,FALSE)</f>
        <v>#N/A</v>
      </c>
    </row>
    <row r="525" spans="1:3" x14ac:dyDescent="0.35">
      <c r="A525" s="21">
        <v>5</v>
      </c>
      <c r="B525" t="str">
        <f>VLOOKUP(A525,Products!$A$1:$F$322,2,FALSE)</f>
        <v>Heller Shagamaw Frame - 2016</v>
      </c>
      <c r="C525" s="21" t="e">
        <f>VLOOKUP(A525,Products!A$322:$D525,4,FALSE)</f>
        <v>#N/A</v>
      </c>
    </row>
    <row r="526" spans="1:3" x14ac:dyDescent="0.35">
      <c r="A526" s="21">
        <v>7</v>
      </c>
      <c r="B526" t="str">
        <f>VLOOKUP(A526,Products!$A$1:$F$322,2,FALSE)</f>
        <v>Trek Slash 8 27.5 - 2016</v>
      </c>
      <c r="C526" s="21" t="e">
        <f>VLOOKUP(A526,Products!A$322:$D526,4,FALSE)</f>
        <v>#N/A</v>
      </c>
    </row>
    <row r="527" spans="1:3" x14ac:dyDescent="0.35">
      <c r="A527" s="21">
        <v>16</v>
      </c>
      <c r="B527" t="str">
        <f>VLOOKUP(A527,Products!$A$1:$F$322,2,FALSE)</f>
        <v>Electra Townie Original 7D EQ - 2016</v>
      </c>
      <c r="C527" s="21" t="e">
        <f>VLOOKUP(A527,Products!A$322:$D527,4,FALSE)</f>
        <v>#N/A</v>
      </c>
    </row>
    <row r="528" spans="1:3" x14ac:dyDescent="0.35">
      <c r="A528" s="21">
        <v>24</v>
      </c>
      <c r="B528" t="str">
        <f>VLOOKUP(A528,Products!$A$1:$F$322,2,FALSE)</f>
        <v>Electra Townie Original 21D - 2016</v>
      </c>
      <c r="C528" s="21" t="e">
        <f>VLOOKUP(A528,Products!A$322:$D528,4,FALSE)</f>
        <v>#N/A</v>
      </c>
    </row>
    <row r="529" spans="1:3" x14ac:dyDescent="0.35">
      <c r="A529" s="21">
        <v>15</v>
      </c>
      <c r="B529" t="str">
        <f>VLOOKUP(A529,Products!$A$1:$F$322,2,FALSE)</f>
        <v>Electra Moto 1 - 2016</v>
      </c>
      <c r="C529" s="21" t="e">
        <f>VLOOKUP(A529,Products!A$322:$D529,4,FALSE)</f>
        <v>#N/A</v>
      </c>
    </row>
    <row r="530" spans="1:3" x14ac:dyDescent="0.35">
      <c r="A530" s="21">
        <v>3</v>
      </c>
      <c r="B530" t="str">
        <f>VLOOKUP(A530,Products!$A$1:$F$322,2,FALSE)</f>
        <v>Surly Wednesday Frameset - 2016</v>
      </c>
      <c r="C530" s="21" t="e">
        <f>VLOOKUP(A530,Products!A$322:$D530,4,FALSE)</f>
        <v>#N/A</v>
      </c>
    </row>
    <row r="531" spans="1:3" x14ac:dyDescent="0.35">
      <c r="A531" s="21">
        <v>25</v>
      </c>
      <c r="B531" t="str">
        <f>VLOOKUP(A531,Products!$A$1:$F$322,2,FALSE)</f>
        <v>Electra Townie Original 7D - 2015/2016</v>
      </c>
      <c r="C531" s="21" t="e">
        <f>VLOOKUP(A531,Products!A$322:$D531,4,FALSE)</f>
        <v>#N/A</v>
      </c>
    </row>
    <row r="532" spans="1:3" x14ac:dyDescent="0.35">
      <c r="A532" s="21">
        <v>12</v>
      </c>
      <c r="B532" t="str">
        <f>VLOOKUP(A532,Products!$A$1:$F$322,2,FALSE)</f>
        <v>Electra Townie Original 21D - 2016</v>
      </c>
      <c r="C532" s="21" t="e">
        <f>VLOOKUP(A532,Products!A$322:$D532,4,FALSE)</f>
        <v>#N/A</v>
      </c>
    </row>
    <row r="533" spans="1:3" x14ac:dyDescent="0.35">
      <c r="A533" s="21">
        <v>3</v>
      </c>
      <c r="B533" t="str">
        <f>VLOOKUP(A533,Products!$A$1:$F$322,2,FALSE)</f>
        <v>Surly Wednesday Frameset - 2016</v>
      </c>
      <c r="C533" s="21" t="e">
        <f>VLOOKUP(A533,Products!A$322:$D533,4,FALSE)</f>
        <v>#N/A</v>
      </c>
    </row>
    <row r="534" spans="1:3" x14ac:dyDescent="0.35">
      <c r="A534" s="21">
        <v>8</v>
      </c>
      <c r="B534" t="str">
        <f>VLOOKUP(A534,Products!$A$1:$F$322,2,FALSE)</f>
        <v>Trek Remedy 29 Carbon Frameset - 2016</v>
      </c>
      <c r="C534" s="21" t="e">
        <f>VLOOKUP(A534,Products!A$322:$D534,4,FALSE)</f>
        <v>#N/A</v>
      </c>
    </row>
    <row r="535" spans="1:3" x14ac:dyDescent="0.35">
      <c r="A535" s="21">
        <v>23</v>
      </c>
      <c r="B535" t="str">
        <f>VLOOKUP(A535,Products!$A$1:$F$322,2,FALSE)</f>
        <v>Electra Girl's Hawaii 1 (20-inch) - 2015/2016</v>
      </c>
      <c r="C535" s="21" t="e">
        <f>VLOOKUP(A535,Products!A$322:$D535,4,FALSE)</f>
        <v>#N/A</v>
      </c>
    </row>
    <row r="536" spans="1:3" x14ac:dyDescent="0.35">
      <c r="A536" s="21">
        <v>8</v>
      </c>
      <c r="B536" t="str">
        <f>VLOOKUP(A536,Products!$A$1:$F$322,2,FALSE)</f>
        <v>Trek Remedy 29 Carbon Frameset - 2016</v>
      </c>
      <c r="C536" s="21" t="e">
        <f>VLOOKUP(A536,Products!A$322:$D536,4,FALSE)</f>
        <v>#N/A</v>
      </c>
    </row>
    <row r="537" spans="1:3" x14ac:dyDescent="0.35">
      <c r="A537" s="21">
        <v>25</v>
      </c>
      <c r="B537" t="str">
        <f>VLOOKUP(A537,Products!$A$1:$F$322,2,FALSE)</f>
        <v>Electra Townie Original 7D - 2015/2016</v>
      </c>
      <c r="C537" s="21" t="e">
        <f>VLOOKUP(A537,Products!A$322:$D537,4,FALSE)</f>
        <v>#N/A</v>
      </c>
    </row>
    <row r="538" spans="1:3" x14ac:dyDescent="0.35">
      <c r="A538" s="21">
        <v>2</v>
      </c>
      <c r="B538" t="str">
        <f>VLOOKUP(A538,Products!$A$1:$F$322,2,FALSE)</f>
        <v>Ritchey Timberwolf Frameset - 2016</v>
      </c>
      <c r="C538" s="21" t="e">
        <f>VLOOKUP(A538,Products!A$322:$D538,4,FALSE)</f>
        <v>#N/A</v>
      </c>
    </row>
    <row r="539" spans="1:3" x14ac:dyDescent="0.35">
      <c r="A539" s="21">
        <v>24</v>
      </c>
      <c r="B539" t="str">
        <f>VLOOKUP(A539,Products!$A$1:$F$322,2,FALSE)</f>
        <v>Electra Townie Original 21D - 2016</v>
      </c>
      <c r="C539" s="21" t="e">
        <f>VLOOKUP(A539,Products!A$322:$D539,4,FALSE)</f>
        <v>#N/A</v>
      </c>
    </row>
    <row r="540" spans="1:3" x14ac:dyDescent="0.35">
      <c r="A540" s="21">
        <v>10</v>
      </c>
      <c r="B540" t="str">
        <f>VLOOKUP(A540,Products!$A$1:$F$322,2,FALSE)</f>
        <v>Surly Straggler - 2016</v>
      </c>
      <c r="C540" s="21" t="e">
        <f>VLOOKUP(A540,Products!A$322:$D540,4,FALSE)</f>
        <v>#N/A</v>
      </c>
    </row>
    <row r="541" spans="1:3" x14ac:dyDescent="0.35">
      <c r="A541" s="21">
        <v>12</v>
      </c>
      <c r="B541" t="str">
        <f>VLOOKUP(A541,Products!$A$1:$F$322,2,FALSE)</f>
        <v>Electra Townie Original 21D - 2016</v>
      </c>
      <c r="C541" s="21" t="e">
        <f>VLOOKUP(A541,Products!A$322:$D541,4,FALSE)</f>
        <v>#N/A</v>
      </c>
    </row>
    <row r="542" spans="1:3" x14ac:dyDescent="0.35">
      <c r="A542" s="21">
        <v>21</v>
      </c>
      <c r="B542" t="str">
        <f>VLOOKUP(A542,Products!$A$1:$F$322,2,FALSE)</f>
        <v>Electra Cruiser 1 (24-Inch) - 2016</v>
      </c>
      <c r="C542" s="21" t="e">
        <f>VLOOKUP(A542,Products!A$322:$D542,4,FALSE)</f>
        <v>#N/A</v>
      </c>
    </row>
    <row r="543" spans="1:3" x14ac:dyDescent="0.35">
      <c r="A543" s="21">
        <v>18</v>
      </c>
      <c r="B543" t="str">
        <f>VLOOKUP(A543,Products!$A$1:$F$322,2,FALSE)</f>
        <v>Pure Cycles Western 3-Speed - Women's - 2015/2016</v>
      </c>
      <c r="C543" s="21" t="e">
        <f>VLOOKUP(A543,Products!A$322:$D543,4,FALSE)</f>
        <v>#N/A</v>
      </c>
    </row>
    <row r="544" spans="1:3" x14ac:dyDescent="0.35">
      <c r="A544" s="21">
        <v>14</v>
      </c>
      <c r="B544" t="str">
        <f>VLOOKUP(A544,Products!$A$1:$F$322,2,FALSE)</f>
        <v>Electra Girl's Hawaii 1 (16-inch) - 2015/2016</v>
      </c>
      <c r="C544" s="21" t="e">
        <f>VLOOKUP(A544,Products!A$322:$D544,4,FALSE)</f>
        <v>#N/A</v>
      </c>
    </row>
    <row r="545" spans="1:3" x14ac:dyDescent="0.35">
      <c r="A545" s="21">
        <v>5</v>
      </c>
      <c r="B545" t="str">
        <f>VLOOKUP(A545,Products!$A$1:$F$322,2,FALSE)</f>
        <v>Heller Shagamaw Frame - 2016</v>
      </c>
      <c r="C545" s="21" t="e">
        <f>VLOOKUP(A545,Products!A$322:$D545,4,FALSE)</f>
        <v>#N/A</v>
      </c>
    </row>
    <row r="546" spans="1:3" x14ac:dyDescent="0.35">
      <c r="A546" s="21">
        <v>4</v>
      </c>
      <c r="B546" t="str">
        <f>VLOOKUP(A546,Products!$A$1:$F$322,2,FALSE)</f>
        <v>Trek Fuel EX 8 29 - 2016</v>
      </c>
      <c r="C546" s="21" t="e">
        <f>VLOOKUP(A546,Products!A$322:$D546,4,FALSE)</f>
        <v>#N/A</v>
      </c>
    </row>
    <row r="547" spans="1:3" x14ac:dyDescent="0.35">
      <c r="A547" s="21">
        <v>21</v>
      </c>
      <c r="B547" t="str">
        <f>VLOOKUP(A547,Products!$A$1:$F$322,2,FALSE)</f>
        <v>Electra Cruiser 1 (24-Inch) - 2016</v>
      </c>
      <c r="C547" s="21" t="e">
        <f>VLOOKUP(A547,Products!A$322:$D547,4,FALSE)</f>
        <v>#N/A</v>
      </c>
    </row>
    <row r="548" spans="1:3" x14ac:dyDescent="0.35">
      <c r="A548" s="21">
        <v>6</v>
      </c>
      <c r="B548" t="str">
        <f>VLOOKUP(A548,Products!$A$1:$F$322,2,FALSE)</f>
        <v>Surly Ice Cream Truck Frameset - 2016</v>
      </c>
      <c r="C548" s="21" t="e">
        <f>VLOOKUP(A548,Products!A$322:$D548,4,FALSE)</f>
        <v>#N/A</v>
      </c>
    </row>
    <row r="549" spans="1:3" x14ac:dyDescent="0.35">
      <c r="A549" s="21">
        <v>3</v>
      </c>
      <c r="B549" t="str">
        <f>VLOOKUP(A549,Products!$A$1:$F$322,2,FALSE)</f>
        <v>Surly Wednesday Frameset - 2016</v>
      </c>
      <c r="C549" s="21" t="e">
        <f>VLOOKUP(A549,Products!A$322:$D549,4,FALSE)</f>
        <v>#N/A</v>
      </c>
    </row>
    <row r="550" spans="1:3" x14ac:dyDescent="0.35">
      <c r="A550" s="21">
        <v>10</v>
      </c>
      <c r="B550" t="str">
        <f>VLOOKUP(A550,Products!$A$1:$F$322,2,FALSE)</f>
        <v>Surly Straggler - 2016</v>
      </c>
      <c r="C550" s="21" t="e">
        <f>VLOOKUP(A550,Products!A$322:$D550,4,FALSE)</f>
        <v>#N/A</v>
      </c>
    </row>
    <row r="551" spans="1:3" x14ac:dyDescent="0.35">
      <c r="A551" s="21">
        <v>12</v>
      </c>
      <c r="B551" t="str">
        <f>VLOOKUP(A551,Products!$A$1:$F$322,2,FALSE)</f>
        <v>Electra Townie Original 21D - 2016</v>
      </c>
      <c r="C551" s="21" t="e">
        <f>VLOOKUP(A551,Products!A$322:$D551,4,FALSE)</f>
        <v>#N/A</v>
      </c>
    </row>
    <row r="552" spans="1:3" x14ac:dyDescent="0.35">
      <c r="A552" s="21">
        <v>20</v>
      </c>
      <c r="B552" t="str">
        <f>VLOOKUP(A552,Products!$A$1:$F$322,2,FALSE)</f>
        <v>Electra Townie Original 7D EQ - Women's - 2016</v>
      </c>
      <c r="C552" s="21" t="e">
        <f>VLOOKUP(A552,Products!A$322:$D552,4,FALSE)</f>
        <v>#N/A</v>
      </c>
    </row>
    <row r="553" spans="1:3" x14ac:dyDescent="0.35">
      <c r="A553" s="21">
        <v>4</v>
      </c>
      <c r="B553" t="str">
        <f>VLOOKUP(A553,Products!$A$1:$F$322,2,FALSE)</f>
        <v>Trek Fuel EX 8 29 - 2016</v>
      </c>
      <c r="C553" s="21" t="e">
        <f>VLOOKUP(A553,Products!A$322:$D553,4,FALSE)</f>
        <v>#N/A</v>
      </c>
    </row>
    <row r="554" spans="1:3" x14ac:dyDescent="0.35">
      <c r="A554" s="21">
        <v>2</v>
      </c>
      <c r="B554" t="str">
        <f>VLOOKUP(A554,Products!$A$1:$F$322,2,FALSE)</f>
        <v>Ritchey Timberwolf Frameset - 2016</v>
      </c>
      <c r="C554" s="21" t="e">
        <f>VLOOKUP(A554,Products!A$322:$D554,4,FALSE)</f>
        <v>#N/A</v>
      </c>
    </row>
    <row r="555" spans="1:3" x14ac:dyDescent="0.35">
      <c r="A555" s="21">
        <v>6</v>
      </c>
      <c r="B555" t="str">
        <f>VLOOKUP(A555,Products!$A$1:$F$322,2,FALSE)</f>
        <v>Surly Ice Cream Truck Frameset - 2016</v>
      </c>
      <c r="C555" s="21" t="e">
        <f>VLOOKUP(A555,Products!A$322:$D555,4,FALSE)</f>
        <v>#N/A</v>
      </c>
    </row>
    <row r="556" spans="1:3" x14ac:dyDescent="0.35">
      <c r="A556" s="21">
        <v>20</v>
      </c>
      <c r="B556" t="str">
        <f>VLOOKUP(A556,Products!$A$1:$F$322,2,FALSE)</f>
        <v>Electra Townie Original 7D EQ - Women's - 2016</v>
      </c>
      <c r="C556" s="21" t="e">
        <f>VLOOKUP(A556,Products!A$322:$D556,4,FALSE)</f>
        <v>#N/A</v>
      </c>
    </row>
    <row r="557" spans="1:3" x14ac:dyDescent="0.35">
      <c r="A557" s="21">
        <v>8</v>
      </c>
      <c r="B557" t="str">
        <f>VLOOKUP(A557,Products!$A$1:$F$322,2,FALSE)</f>
        <v>Trek Remedy 29 Carbon Frameset - 2016</v>
      </c>
      <c r="C557" s="21" t="e">
        <f>VLOOKUP(A557,Products!A$322:$D557,4,FALSE)</f>
        <v>#N/A</v>
      </c>
    </row>
    <row r="558" spans="1:3" x14ac:dyDescent="0.35">
      <c r="A558" s="21">
        <v>13</v>
      </c>
      <c r="B558" t="str">
        <f>VLOOKUP(A558,Products!$A$1:$F$322,2,FALSE)</f>
        <v>Electra Cruiser 1 (24-Inch) - 2016</v>
      </c>
      <c r="C558" s="21" t="e">
        <f>VLOOKUP(A558,Products!A$322:$D558,4,FALSE)</f>
        <v>#N/A</v>
      </c>
    </row>
    <row r="559" spans="1:3" x14ac:dyDescent="0.35">
      <c r="A559" s="21">
        <v>17</v>
      </c>
      <c r="B559" t="str">
        <f>VLOOKUP(A559,Products!$A$1:$F$322,2,FALSE)</f>
        <v>Pure Cycles Vine 8-Speed - 2016</v>
      </c>
      <c r="C559" s="21" t="e">
        <f>VLOOKUP(A559,Products!A$322:$D559,4,FALSE)</f>
        <v>#N/A</v>
      </c>
    </row>
    <row r="560" spans="1:3" x14ac:dyDescent="0.35">
      <c r="A560" s="21">
        <v>25</v>
      </c>
      <c r="B560" t="str">
        <f>VLOOKUP(A560,Products!$A$1:$F$322,2,FALSE)</f>
        <v>Electra Townie Original 7D - 2015/2016</v>
      </c>
      <c r="C560" s="21" t="e">
        <f>VLOOKUP(A560,Products!A$322:$D560,4,FALSE)</f>
        <v>#N/A</v>
      </c>
    </row>
    <row r="561" spans="1:3" x14ac:dyDescent="0.35">
      <c r="A561" s="21">
        <v>18</v>
      </c>
      <c r="B561" t="str">
        <f>VLOOKUP(A561,Products!$A$1:$F$322,2,FALSE)</f>
        <v>Pure Cycles Western 3-Speed - Women's - 2015/2016</v>
      </c>
      <c r="C561" s="21" t="e">
        <f>VLOOKUP(A561,Products!A$322:$D561,4,FALSE)</f>
        <v>#N/A</v>
      </c>
    </row>
    <row r="562" spans="1:3" x14ac:dyDescent="0.35">
      <c r="A562" s="21">
        <v>4</v>
      </c>
      <c r="B562" t="str">
        <f>VLOOKUP(A562,Products!$A$1:$F$322,2,FALSE)</f>
        <v>Trek Fuel EX 8 29 - 2016</v>
      </c>
      <c r="C562" s="21" t="e">
        <f>VLOOKUP(A562,Products!A$322:$D562,4,FALSE)</f>
        <v>#N/A</v>
      </c>
    </row>
    <row r="563" spans="1:3" x14ac:dyDescent="0.35">
      <c r="A563" s="21">
        <v>23</v>
      </c>
      <c r="B563" t="str">
        <f>VLOOKUP(A563,Products!$A$1:$F$322,2,FALSE)</f>
        <v>Electra Girl's Hawaii 1 (20-inch) - 2015/2016</v>
      </c>
      <c r="C563" s="21" t="e">
        <f>VLOOKUP(A563,Products!A$322:$D563,4,FALSE)</f>
        <v>#N/A</v>
      </c>
    </row>
    <row r="564" spans="1:3" x14ac:dyDescent="0.35">
      <c r="A564" s="21">
        <v>22</v>
      </c>
      <c r="B564" t="str">
        <f>VLOOKUP(A564,Products!$A$1:$F$322,2,FALSE)</f>
        <v>Electra Girl's Hawaii 1 (16-inch) - 2015/2016</v>
      </c>
      <c r="C564" s="21" t="e">
        <f>VLOOKUP(A564,Products!A$322:$D564,4,FALSE)</f>
        <v>#N/A</v>
      </c>
    </row>
    <row r="565" spans="1:3" x14ac:dyDescent="0.35">
      <c r="A565" s="21">
        <v>24</v>
      </c>
      <c r="B565" t="str">
        <f>VLOOKUP(A565,Products!$A$1:$F$322,2,FALSE)</f>
        <v>Electra Townie Original 21D - 2016</v>
      </c>
      <c r="C565" s="21" t="e">
        <f>VLOOKUP(A565,Products!A$322:$D565,4,FALSE)</f>
        <v>#N/A</v>
      </c>
    </row>
    <row r="566" spans="1:3" x14ac:dyDescent="0.35">
      <c r="A566" s="21">
        <v>7</v>
      </c>
      <c r="B566" t="str">
        <f>VLOOKUP(A566,Products!$A$1:$F$322,2,FALSE)</f>
        <v>Trek Slash 8 27.5 - 2016</v>
      </c>
      <c r="C566" s="21" t="e">
        <f>VLOOKUP(A566,Products!A$322:$D566,4,FALSE)</f>
        <v>#N/A</v>
      </c>
    </row>
    <row r="567" spans="1:3" x14ac:dyDescent="0.35">
      <c r="A567" s="21">
        <v>14</v>
      </c>
      <c r="B567" t="str">
        <f>VLOOKUP(A567,Products!$A$1:$F$322,2,FALSE)</f>
        <v>Electra Girl's Hawaii 1 (16-inch) - 2015/2016</v>
      </c>
      <c r="C567" s="21" t="e">
        <f>VLOOKUP(A567,Products!A$322:$D567,4,FALSE)</f>
        <v>#N/A</v>
      </c>
    </row>
    <row r="568" spans="1:3" x14ac:dyDescent="0.35">
      <c r="A568" s="21">
        <v>17</v>
      </c>
      <c r="B568" t="str">
        <f>VLOOKUP(A568,Products!$A$1:$F$322,2,FALSE)</f>
        <v>Pure Cycles Vine 8-Speed - 2016</v>
      </c>
      <c r="C568" s="21" t="e">
        <f>VLOOKUP(A568,Products!A$322:$D568,4,FALSE)</f>
        <v>#N/A</v>
      </c>
    </row>
    <row r="569" spans="1:3" x14ac:dyDescent="0.35">
      <c r="A569" s="21">
        <v>8</v>
      </c>
      <c r="B569" t="str">
        <f>VLOOKUP(A569,Products!$A$1:$F$322,2,FALSE)</f>
        <v>Trek Remedy 29 Carbon Frameset - 2016</v>
      </c>
      <c r="C569" s="21" t="e">
        <f>VLOOKUP(A569,Products!A$322:$D569,4,FALSE)</f>
        <v>#N/A</v>
      </c>
    </row>
    <row r="570" spans="1:3" x14ac:dyDescent="0.35">
      <c r="A570" s="21">
        <v>17</v>
      </c>
      <c r="B570" t="str">
        <f>VLOOKUP(A570,Products!$A$1:$F$322,2,FALSE)</f>
        <v>Pure Cycles Vine 8-Speed - 2016</v>
      </c>
      <c r="C570" s="21" t="e">
        <f>VLOOKUP(A570,Products!A$322:$D570,4,FALSE)</f>
        <v>#N/A</v>
      </c>
    </row>
    <row r="571" spans="1:3" x14ac:dyDescent="0.35">
      <c r="A571" s="21">
        <v>15</v>
      </c>
      <c r="B571" t="str">
        <f>VLOOKUP(A571,Products!$A$1:$F$322,2,FALSE)</f>
        <v>Electra Moto 1 - 2016</v>
      </c>
      <c r="C571" s="21" t="e">
        <f>VLOOKUP(A571,Products!A$322:$D571,4,FALSE)</f>
        <v>#N/A</v>
      </c>
    </row>
    <row r="572" spans="1:3" x14ac:dyDescent="0.35">
      <c r="A572" s="21">
        <v>25</v>
      </c>
      <c r="B572" t="str">
        <f>VLOOKUP(A572,Products!$A$1:$F$322,2,FALSE)</f>
        <v>Electra Townie Original 7D - 2015/2016</v>
      </c>
      <c r="C572" s="21" t="e">
        <f>VLOOKUP(A572,Products!A$322:$D572,4,FALSE)</f>
        <v>#N/A</v>
      </c>
    </row>
    <row r="573" spans="1:3" x14ac:dyDescent="0.35">
      <c r="A573" s="21">
        <v>26</v>
      </c>
      <c r="B573" t="str">
        <f>VLOOKUP(A573,Products!$A$1:$F$322,2,FALSE)</f>
        <v>Electra Townie Original 7D EQ - 2016</v>
      </c>
      <c r="C573" s="21" t="e">
        <f>VLOOKUP(A573,Products!A$322:$D573,4,FALSE)</f>
        <v>#N/A</v>
      </c>
    </row>
    <row r="574" spans="1:3" x14ac:dyDescent="0.35">
      <c r="A574" s="21">
        <v>3</v>
      </c>
      <c r="B574" t="str">
        <f>VLOOKUP(A574,Products!$A$1:$F$322,2,FALSE)</f>
        <v>Surly Wednesday Frameset - 2016</v>
      </c>
      <c r="C574" s="21" t="e">
        <f>VLOOKUP(A574,Products!A$322:$D574,4,FALSE)</f>
        <v>#N/A</v>
      </c>
    </row>
    <row r="575" spans="1:3" x14ac:dyDescent="0.35">
      <c r="A575" s="21">
        <v>17</v>
      </c>
      <c r="B575" t="str">
        <f>VLOOKUP(A575,Products!$A$1:$F$322,2,FALSE)</f>
        <v>Pure Cycles Vine 8-Speed - 2016</v>
      </c>
      <c r="C575" s="21" t="e">
        <f>VLOOKUP(A575,Products!A$322:$D575,4,FALSE)</f>
        <v>#N/A</v>
      </c>
    </row>
    <row r="576" spans="1:3" x14ac:dyDescent="0.35">
      <c r="A576" s="21">
        <v>19</v>
      </c>
      <c r="B576" t="str">
        <f>VLOOKUP(A576,Products!$A$1:$F$322,2,FALSE)</f>
        <v>Pure Cycles William 3-Speed - 2016</v>
      </c>
      <c r="C576" s="21" t="e">
        <f>VLOOKUP(A576,Products!A$322:$D576,4,FALSE)</f>
        <v>#N/A</v>
      </c>
    </row>
    <row r="577" spans="1:3" x14ac:dyDescent="0.35">
      <c r="A577" s="21">
        <v>6</v>
      </c>
      <c r="B577" t="str">
        <f>VLOOKUP(A577,Products!$A$1:$F$322,2,FALSE)</f>
        <v>Surly Ice Cream Truck Frameset - 2016</v>
      </c>
      <c r="C577" s="21" t="e">
        <f>VLOOKUP(A577,Products!A$322:$D577,4,FALSE)</f>
        <v>#N/A</v>
      </c>
    </row>
    <row r="578" spans="1:3" x14ac:dyDescent="0.35">
      <c r="A578" s="21">
        <v>17</v>
      </c>
      <c r="B578" t="str">
        <f>VLOOKUP(A578,Products!$A$1:$F$322,2,FALSE)</f>
        <v>Pure Cycles Vine 8-Speed - 2016</v>
      </c>
      <c r="C578" s="21" t="e">
        <f>VLOOKUP(A578,Products!A$322:$D578,4,FALSE)</f>
        <v>#N/A</v>
      </c>
    </row>
    <row r="579" spans="1:3" x14ac:dyDescent="0.35">
      <c r="A579" s="21">
        <v>22</v>
      </c>
      <c r="B579" t="str">
        <f>VLOOKUP(A579,Products!$A$1:$F$322,2,FALSE)</f>
        <v>Electra Girl's Hawaii 1 (16-inch) - 2015/2016</v>
      </c>
      <c r="C579" s="21" t="e">
        <f>VLOOKUP(A579,Products!A$322:$D579,4,FALSE)</f>
        <v>#N/A</v>
      </c>
    </row>
    <row r="580" spans="1:3" x14ac:dyDescent="0.35">
      <c r="A580" s="21">
        <v>24</v>
      </c>
      <c r="B580" t="str">
        <f>VLOOKUP(A580,Products!$A$1:$F$322,2,FALSE)</f>
        <v>Electra Townie Original 21D - 2016</v>
      </c>
      <c r="C580" s="21" t="e">
        <f>VLOOKUP(A580,Products!A$322:$D580,4,FALSE)</f>
        <v>#N/A</v>
      </c>
    </row>
    <row r="581" spans="1:3" x14ac:dyDescent="0.35">
      <c r="A581" s="21">
        <v>25</v>
      </c>
      <c r="B581" t="str">
        <f>VLOOKUP(A581,Products!$A$1:$F$322,2,FALSE)</f>
        <v>Electra Townie Original 7D - 2015/2016</v>
      </c>
      <c r="C581" s="21" t="e">
        <f>VLOOKUP(A581,Products!A$322:$D581,4,FALSE)</f>
        <v>#N/A</v>
      </c>
    </row>
    <row r="582" spans="1:3" x14ac:dyDescent="0.35">
      <c r="A582" s="21">
        <v>20</v>
      </c>
      <c r="B582" t="str">
        <f>VLOOKUP(A582,Products!$A$1:$F$322,2,FALSE)</f>
        <v>Electra Townie Original 7D EQ - Women's - 2016</v>
      </c>
      <c r="C582" s="21" t="e">
        <f>VLOOKUP(A582,Products!A$322:$D582,4,FALSE)</f>
        <v>#N/A</v>
      </c>
    </row>
    <row r="583" spans="1:3" x14ac:dyDescent="0.35">
      <c r="A583" s="21">
        <v>12</v>
      </c>
      <c r="B583" t="str">
        <f>VLOOKUP(A583,Products!$A$1:$F$322,2,FALSE)</f>
        <v>Electra Townie Original 21D - 2016</v>
      </c>
      <c r="C583" s="21" t="e">
        <f>VLOOKUP(A583,Products!A$322:$D583,4,FALSE)</f>
        <v>#N/A</v>
      </c>
    </row>
    <row r="584" spans="1:3" x14ac:dyDescent="0.35">
      <c r="A584" s="21">
        <v>5</v>
      </c>
      <c r="B584" t="str">
        <f>VLOOKUP(A584,Products!$A$1:$F$322,2,FALSE)</f>
        <v>Heller Shagamaw Frame - 2016</v>
      </c>
      <c r="C584" s="21" t="e">
        <f>VLOOKUP(A584,Products!A$322:$D584,4,FALSE)</f>
        <v>#N/A</v>
      </c>
    </row>
    <row r="585" spans="1:3" x14ac:dyDescent="0.35">
      <c r="A585" s="21">
        <v>11</v>
      </c>
      <c r="B585" t="str">
        <f>VLOOKUP(A585,Products!$A$1:$F$322,2,FALSE)</f>
        <v>Surly Straggler 650b - 2016</v>
      </c>
      <c r="C585" s="21" t="e">
        <f>VLOOKUP(A585,Products!A$322:$D585,4,FALSE)</f>
        <v>#N/A</v>
      </c>
    </row>
    <row r="586" spans="1:3" x14ac:dyDescent="0.35">
      <c r="A586" s="21">
        <v>7</v>
      </c>
      <c r="B586" t="str">
        <f>VLOOKUP(A586,Products!$A$1:$F$322,2,FALSE)</f>
        <v>Trek Slash 8 27.5 - 2016</v>
      </c>
      <c r="C586" s="21" t="e">
        <f>VLOOKUP(A586,Products!A$322:$D586,4,FALSE)</f>
        <v>#N/A</v>
      </c>
    </row>
    <row r="587" spans="1:3" x14ac:dyDescent="0.35">
      <c r="A587" s="21">
        <v>6</v>
      </c>
      <c r="B587" t="str">
        <f>VLOOKUP(A587,Products!$A$1:$F$322,2,FALSE)</f>
        <v>Surly Ice Cream Truck Frameset - 2016</v>
      </c>
      <c r="C587" s="21" t="e">
        <f>VLOOKUP(A587,Products!A$322:$D587,4,FALSE)</f>
        <v>#N/A</v>
      </c>
    </row>
    <row r="588" spans="1:3" x14ac:dyDescent="0.35">
      <c r="A588" s="21">
        <v>4</v>
      </c>
      <c r="B588" t="str">
        <f>VLOOKUP(A588,Products!$A$1:$F$322,2,FALSE)</f>
        <v>Trek Fuel EX 8 29 - 2016</v>
      </c>
      <c r="C588" s="21" t="e">
        <f>VLOOKUP(A588,Products!A$322:$D588,4,FALSE)</f>
        <v>#N/A</v>
      </c>
    </row>
    <row r="589" spans="1:3" x14ac:dyDescent="0.35">
      <c r="A589" s="21">
        <v>3</v>
      </c>
      <c r="B589" t="str">
        <f>VLOOKUP(A589,Products!$A$1:$F$322,2,FALSE)</f>
        <v>Surly Wednesday Frameset - 2016</v>
      </c>
      <c r="C589" s="21" t="e">
        <f>VLOOKUP(A589,Products!A$322:$D589,4,FALSE)</f>
        <v>#N/A</v>
      </c>
    </row>
    <row r="590" spans="1:3" x14ac:dyDescent="0.35">
      <c r="A590" s="21">
        <v>12</v>
      </c>
      <c r="B590" t="str">
        <f>VLOOKUP(A590,Products!$A$1:$F$322,2,FALSE)</f>
        <v>Electra Townie Original 21D - 2016</v>
      </c>
      <c r="C590" s="21" t="e">
        <f>VLOOKUP(A590,Products!A$322:$D590,4,FALSE)</f>
        <v>#N/A</v>
      </c>
    </row>
    <row r="591" spans="1:3" x14ac:dyDescent="0.35">
      <c r="A591" s="21">
        <v>10</v>
      </c>
      <c r="B591" t="str">
        <f>VLOOKUP(A591,Products!$A$1:$F$322,2,FALSE)</f>
        <v>Surly Straggler - 2016</v>
      </c>
      <c r="C591" s="21" t="e">
        <f>VLOOKUP(A591,Products!A$322:$D591,4,FALSE)</f>
        <v>#N/A</v>
      </c>
    </row>
    <row r="592" spans="1:3" x14ac:dyDescent="0.35">
      <c r="A592" s="21">
        <v>13</v>
      </c>
      <c r="B592" t="str">
        <f>VLOOKUP(A592,Products!$A$1:$F$322,2,FALSE)</f>
        <v>Electra Cruiser 1 (24-Inch) - 2016</v>
      </c>
      <c r="C592" s="21" t="e">
        <f>VLOOKUP(A592,Products!A$322:$D592,4,FALSE)</f>
        <v>#N/A</v>
      </c>
    </row>
    <row r="593" spans="1:3" x14ac:dyDescent="0.35">
      <c r="A593" s="21">
        <v>14</v>
      </c>
      <c r="B593" t="str">
        <f>VLOOKUP(A593,Products!$A$1:$F$322,2,FALSE)</f>
        <v>Electra Girl's Hawaii 1 (16-inch) - 2015/2016</v>
      </c>
      <c r="C593" s="21" t="e">
        <f>VLOOKUP(A593,Products!A$322:$D593,4,FALSE)</f>
        <v>#N/A</v>
      </c>
    </row>
    <row r="594" spans="1:3" x14ac:dyDescent="0.35">
      <c r="A594" s="21">
        <v>13</v>
      </c>
      <c r="B594" t="str">
        <f>VLOOKUP(A594,Products!$A$1:$F$322,2,FALSE)</f>
        <v>Electra Cruiser 1 (24-Inch) - 2016</v>
      </c>
      <c r="C594" s="21" t="e">
        <f>VLOOKUP(A594,Products!A$322:$D594,4,FALSE)</f>
        <v>#N/A</v>
      </c>
    </row>
    <row r="595" spans="1:3" x14ac:dyDescent="0.35">
      <c r="A595" s="21">
        <v>10</v>
      </c>
      <c r="B595" t="str">
        <f>VLOOKUP(A595,Products!$A$1:$F$322,2,FALSE)</f>
        <v>Surly Straggler - 2016</v>
      </c>
      <c r="C595" s="21" t="e">
        <f>VLOOKUP(A595,Products!A$322:$D595,4,FALSE)</f>
        <v>#N/A</v>
      </c>
    </row>
    <row r="596" spans="1:3" x14ac:dyDescent="0.35">
      <c r="A596" s="21">
        <v>2</v>
      </c>
      <c r="B596" t="str">
        <f>VLOOKUP(A596,Products!$A$1:$F$322,2,FALSE)</f>
        <v>Ritchey Timberwolf Frameset - 2016</v>
      </c>
      <c r="C596" s="21" t="e">
        <f>VLOOKUP(A596,Products!A$322:$D596,4,FALSE)</f>
        <v>#N/A</v>
      </c>
    </row>
    <row r="597" spans="1:3" x14ac:dyDescent="0.35">
      <c r="A597" s="21">
        <v>16</v>
      </c>
      <c r="B597" t="str">
        <f>VLOOKUP(A597,Products!$A$1:$F$322,2,FALSE)</f>
        <v>Electra Townie Original 7D EQ - 2016</v>
      </c>
      <c r="C597" s="21" t="e">
        <f>VLOOKUP(A597,Products!A$322:$D597,4,FALSE)</f>
        <v>#N/A</v>
      </c>
    </row>
    <row r="598" spans="1:3" x14ac:dyDescent="0.35">
      <c r="A598" s="21">
        <v>12</v>
      </c>
      <c r="B598" t="str">
        <f>VLOOKUP(A598,Products!$A$1:$F$322,2,FALSE)</f>
        <v>Electra Townie Original 21D - 2016</v>
      </c>
      <c r="C598" s="21" t="e">
        <f>VLOOKUP(A598,Products!A$322:$D598,4,FALSE)</f>
        <v>#N/A</v>
      </c>
    </row>
    <row r="599" spans="1:3" x14ac:dyDescent="0.35">
      <c r="A599" s="21">
        <v>19</v>
      </c>
      <c r="B599" t="str">
        <f>VLOOKUP(A599,Products!$A$1:$F$322,2,FALSE)</f>
        <v>Pure Cycles William 3-Speed - 2016</v>
      </c>
      <c r="C599" s="21" t="e">
        <f>VLOOKUP(A599,Products!A$322:$D599,4,FALSE)</f>
        <v>#N/A</v>
      </c>
    </row>
    <row r="600" spans="1:3" x14ac:dyDescent="0.35">
      <c r="A600" s="21">
        <v>7</v>
      </c>
      <c r="B600" t="str">
        <f>VLOOKUP(A600,Products!$A$1:$F$322,2,FALSE)</f>
        <v>Trek Slash 8 27.5 - 2016</v>
      </c>
      <c r="C600" s="21" t="e">
        <f>VLOOKUP(A600,Products!A$322:$D600,4,FALSE)</f>
        <v>#N/A</v>
      </c>
    </row>
    <row r="601" spans="1:3" x14ac:dyDescent="0.35">
      <c r="A601" s="21">
        <v>13</v>
      </c>
      <c r="B601" t="str">
        <f>VLOOKUP(A601,Products!$A$1:$F$322,2,FALSE)</f>
        <v>Electra Cruiser 1 (24-Inch) - 2016</v>
      </c>
      <c r="C601" s="21" t="e">
        <f>VLOOKUP(A601,Products!A$322:$D601,4,FALSE)</f>
        <v>#N/A</v>
      </c>
    </row>
    <row r="602" spans="1:3" x14ac:dyDescent="0.35">
      <c r="A602" s="21">
        <v>21</v>
      </c>
      <c r="B602" t="str">
        <f>VLOOKUP(A602,Products!$A$1:$F$322,2,FALSE)</f>
        <v>Electra Cruiser 1 (24-Inch) - 2016</v>
      </c>
      <c r="C602" s="21" t="e">
        <f>VLOOKUP(A602,Products!A$322:$D602,4,FALSE)</f>
        <v>#N/A</v>
      </c>
    </row>
    <row r="603" spans="1:3" x14ac:dyDescent="0.35">
      <c r="A603" s="21">
        <v>19</v>
      </c>
      <c r="B603" t="str">
        <f>VLOOKUP(A603,Products!$A$1:$F$322,2,FALSE)</f>
        <v>Pure Cycles William 3-Speed - 2016</v>
      </c>
      <c r="C603" s="21" t="e">
        <f>VLOOKUP(A603,Products!A$322:$D603,4,FALSE)</f>
        <v>#N/A</v>
      </c>
    </row>
    <row r="604" spans="1:3" x14ac:dyDescent="0.35">
      <c r="A604" s="21">
        <v>12</v>
      </c>
      <c r="B604" t="str">
        <f>VLOOKUP(A604,Products!$A$1:$F$322,2,FALSE)</f>
        <v>Electra Townie Original 21D - 2016</v>
      </c>
      <c r="C604" s="21" t="e">
        <f>VLOOKUP(A604,Products!A$322:$D604,4,FALSE)</f>
        <v>#N/A</v>
      </c>
    </row>
    <row r="605" spans="1:3" x14ac:dyDescent="0.35">
      <c r="A605" s="21">
        <v>22</v>
      </c>
      <c r="B605" t="str">
        <f>VLOOKUP(A605,Products!$A$1:$F$322,2,FALSE)</f>
        <v>Electra Girl's Hawaii 1 (16-inch) - 2015/2016</v>
      </c>
      <c r="C605" s="21" t="e">
        <f>VLOOKUP(A605,Products!A$322:$D605,4,FALSE)</f>
        <v>#N/A</v>
      </c>
    </row>
    <row r="606" spans="1:3" x14ac:dyDescent="0.35">
      <c r="A606" s="21">
        <v>16</v>
      </c>
      <c r="B606" t="str">
        <f>VLOOKUP(A606,Products!$A$1:$F$322,2,FALSE)</f>
        <v>Electra Townie Original 7D EQ - 2016</v>
      </c>
      <c r="C606" s="21" t="e">
        <f>VLOOKUP(A606,Products!A$322:$D606,4,FALSE)</f>
        <v>#N/A</v>
      </c>
    </row>
    <row r="607" spans="1:3" x14ac:dyDescent="0.35">
      <c r="A607" s="21">
        <v>18</v>
      </c>
      <c r="B607" t="str">
        <f>VLOOKUP(A607,Products!$A$1:$F$322,2,FALSE)</f>
        <v>Pure Cycles Western 3-Speed - Women's - 2015/2016</v>
      </c>
      <c r="C607" s="21" t="e">
        <f>VLOOKUP(A607,Products!A$322:$D607,4,FALSE)</f>
        <v>#N/A</v>
      </c>
    </row>
    <row r="608" spans="1:3" x14ac:dyDescent="0.35">
      <c r="A608" s="21">
        <v>10</v>
      </c>
      <c r="B608" t="str">
        <f>VLOOKUP(A608,Products!$A$1:$F$322,2,FALSE)</f>
        <v>Surly Straggler - 2016</v>
      </c>
      <c r="C608" s="21" t="e">
        <f>VLOOKUP(A608,Products!A$322:$D608,4,FALSE)</f>
        <v>#N/A</v>
      </c>
    </row>
    <row r="609" spans="1:3" x14ac:dyDescent="0.35">
      <c r="A609" s="21">
        <v>17</v>
      </c>
      <c r="B609" t="str">
        <f>VLOOKUP(A609,Products!$A$1:$F$322,2,FALSE)</f>
        <v>Pure Cycles Vine 8-Speed - 2016</v>
      </c>
      <c r="C609" s="21" t="e">
        <f>VLOOKUP(A609,Products!A$322:$D609,4,FALSE)</f>
        <v>#N/A</v>
      </c>
    </row>
    <row r="610" spans="1:3" x14ac:dyDescent="0.35">
      <c r="A610" s="21">
        <v>2</v>
      </c>
      <c r="B610" t="str">
        <f>VLOOKUP(A610,Products!$A$1:$F$322,2,FALSE)</f>
        <v>Ritchey Timberwolf Frameset - 2016</v>
      </c>
      <c r="C610" s="21" t="e">
        <f>VLOOKUP(A610,Products!A$322:$D610,4,FALSE)</f>
        <v>#N/A</v>
      </c>
    </row>
    <row r="611" spans="1:3" x14ac:dyDescent="0.35">
      <c r="A611" s="21">
        <v>13</v>
      </c>
      <c r="B611" t="str">
        <f>VLOOKUP(A611,Products!$A$1:$F$322,2,FALSE)</f>
        <v>Electra Cruiser 1 (24-Inch) - 2016</v>
      </c>
      <c r="C611" s="21" t="e">
        <f>VLOOKUP(A611,Products!A$322:$D611,4,FALSE)</f>
        <v>#N/A</v>
      </c>
    </row>
    <row r="612" spans="1:3" x14ac:dyDescent="0.35">
      <c r="A612" s="21">
        <v>12</v>
      </c>
      <c r="B612" t="str">
        <f>VLOOKUP(A612,Products!$A$1:$F$322,2,FALSE)</f>
        <v>Electra Townie Original 21D - 2016</v>
      </c>
      <c r="C612" s="21" t="e">
        <f>VLOOKUP(A612,Products!A$322:$D612,4,FALSE)</f>
        <v>#N/A</v>
      </c>
    </row>
    <row r="613" spans="1:3" x14ac:dyDescent="0.35">
      <c r="A613" s="21">
        <v>26</v>
      </c>
      <c r="B613" t="str">
        <f>VLOOKUP(A613,Products!$A$1:$F$322,2,FALSE)</f>
        <v>Electra Townie Original 7D EQ - 2016</v>
      </c>
      <c r="C613" s="21" t="e">
        <f>VLOOKUP(A613,Products!A$322:$D613,4,FALSE)</f>
        <v>#N/A</v>
      </c>
    </row>
    <row r="614" spans="1:3" x14ac:dyDescent="0.35">
      <c r="A614" s="21">
        <v>5</v>
      </c>
      <c r="B614" t="str">
        <f>VLOOKUP(A614,Products!$A$1:$F$322,2,FALSE)</f>
        <v>Heller Shagamaw Frame - 2016</v>
      </c>
      <c r="C614" s="21" t="e">
        <f>VLOOKUP(A614,Products!A$322:$D614,4,FALSE)</f>
        <v>#N/A</v>
      </c>
    </row>
    <row r="615" spans="1:3" x14ac:dyDescent="0.35">
      <c r="A615" s="21">
        <v>6</v>
      </c>
      <c r="B615" t="str">
        <f>VLOOKUP(A615,Products!$A$1:$F$322,2,FALSE)</f>
        <v>Surly Ice Cream Truck Frameset - 2016</v>
      </c>
      <c r="C615" s="21" t="e">
        <f>VLOOKUP(A615,Products!A$322:$D615,4,FALSE)</f>
        <v>#N/A</v>
      </c>
    </row>
    <row r="616" spans="1:3" x14ac:dyDescent="0.35">
      <c r="A616" s="21">
        <v>25</v>
      </c>
      <c r="B616" t="str">
        <f>VLOOKUP(A616,Products!$A$1:$F$322,2,FALSE)</f>
        <v>Electra Townie Original 7D - 2015/2016</v>
      </c>
      <c r="C616" s="21" t="e">
        <f>VLOOKUP(A616,Products!A$322:$D616,4,FALSE)</f>
        <v>#N/A</v>
      </c>
    </row>
    <row r="617" spans="1:3" x14ac:dyDescent="0.35">
      <c r="A617" s="21">
        <v>22</v>
      </c>
      <c r="B617" t="str">
        <f>VLOOKUP(A617,Products!$A$1:$F$322,2,FALSE)</f>
        <v>Electra Girl's Hawaii 1 (16-inch) - 2015/2016</v>
      </c>
      <c r="C617" s="21" t="e">
        <f>VLOOKUP(A617,Products!A$322:$D617,4,FALSE)</f>
        <v>#N/A</v>
      </c>
    </row>
    <row r="618" spans="1:3" x14ac:dyDescent="0.35">
      <c r="A618" s="21">
        <v>3</v>
      </c>
      <c r="B618" t="str">
        <f>VLOOKUP(A618,Products!$A$1:$F$322,2,FALSE)</f>
        <v>Surly Wednesday Frameset - 2016</v>
      </c>
      <c r="C618" s="21" t="e">
        <f>VLOOKUP(A618,Products!A$322:$D618,4,FALSE)</f>
        <v>#N/A</v>
      </c>
    </row>
    <row r="619" spans="1:3" x14ac:dyDescent="0.35">
      <c r="A619" s="21">
        <v>11</v>
      </c>
      <c r="B619" t="str">
        <f>VLOOKUP(A619,Products!$A$1:$F$322,2,FALSE)</f>
        <v>Surly Straggler 650b - 2016</v>
      </c>
      <c r="C619" s="21" t="e">
        <f>VLOOKUP(A619,Products!A$322:$D619,4,FALSE)</f>
        <v>#N/A</v>
      </c>
    </row>
    <row r="620" spans="1:3" x14ac:dyDescent="0.35">
      <c r="A620" s="21">
        <v>10</v>
      </c>
      <c r="B620" t="str">
        <f>VLOOKUP(A620,Products!$A$1:$F$322,2,FALSE)</f>
        <v>Surly Straggler - 2016</v>
      </c>
      <c r="C620" s="21" t="e">
        <f>VLOOKUP(A620,Products!A$322:$D620,4,FALSE)</f>
        <v>#N/A</v>
      </c>
    </row>
    <row r="621" spans="1:3" x14ac:dyDescent="0.35">
      <c r="A621" s="21">
        <v>2</v>
      </c>
      <c r="B621" t="str">
        <f>VLOOKUP(A621,Products!$A$1:$F$322,2,FALSE)</f>
        <v>Ritchey Timberwolf Frameset - 2016</v>
      </c>
      <c r="C621" s="21" t="e">
        <f>VLOOKUP(A621,Products!A$322:$D621,4,FALSE)</f>
        <v>#N/A</v>
      </c>
    </row>
    <row r="622" spans="1:3" x14ac:dyDescent="0.35">
      <c r="A622" s="21">
        <v>7</v>
      </c>
      <c r="B622" t="str">
        <f>VLOOKUP(A622,Products!$A$1:$F$322,2,FALSE)</f>
        <v>Trek Slash 8 27.5 - 2016</v>
      </c>
      <c r="C622" s="21" t="e">
        <f>VLOOKUP(A622,Products!A$322:$D622,4,FALSE)</f>
        <v>#N/A</v>
      </c>
    </row>
    <row r="623" spans="1:3" x14ac:dyDescent="0.35">
      <c r="A623" s="21">
        <v>5</v>
      </c>
      <c r="B623" t="str">
        <f>VLOOKUP(A623,Products!$A$1:$F$322,2,FALSE)</f>
        <v>Heller Shagamaw Frame - 2016</v>
      </c>
      <c r="C623" s="21" t="e">
        <f>VLOOKUP(A623,Products!A$322:$D623,4,FALSE)</f>
        <v>#N/A</v>
      </c>
    </row>
    <row r="624" spans="1:3" x14ac:dyDescent="0.35">
      <c r="A624" s="21">
        <v>21</v>
      </c>
      <c r="B624" t="str">
        <f>VLOOKUP(A624,Products!$A$1:$F$322,2,FALSE)</f>
        <v>Electra Cruiser 1 (24-Inch) - 2016</v>
      </c>
      <c r="C624" s="21" t="e">
        <f>VLOOKUP(A624,Products!A$322:$D624,4,FALSE)</f>
        <v>#N/A</v>
      </c>
    </row>
    <row r="625" spans="1:3" x14ac:dyDescent="0.35">
      <c r="A625" s="21">
        <v>20</v>
      </c>
      <c r="B625" t="str">
        <f>VLOOKUP(A625,Products!$A$1:$F$322,2,FALSE)</f>
        <v>Electra Townie Original 7D EQ - Women's - 2016</v>
      </c>
      <c r="C625" s="21" t="e">
        <f>VLOOKUP(A625,Products!A$322:$D625,4,FALSE)</f>
        <v>#N/A</v>
      </c>
    </row>
    <row r="626" spans="1:3" x14ac:dyDescent="0.35">
      <c r="A626" s="21">
        <v>15</v>
      </c>
      <c r="B626" t="str">
        <f>VLOOKUP(A626,Products!$A$1:$F$322,2,FALSE)</f>
        <v>Electra Moto 1 - 2016</v>
      </c>
      <c r="C626" s="21" t="e">
        <f>VLOOKUP(A626,Products!A$322:$D626,4,FALSE)</f>
        <v>#N/A</v>
      </c>
    </row>
    <row r="627" spans="1:3" x14ac:dyDescent="0.35">
      <c r="A627" s="21">
        <v>6</v>
      </c>
      <c r="B627" t="str">
        <f>VLOOKUP(A627,Products!$A$1:$F$322,2,FALSE)</f>
        <v>Surly Ice Cream Truck Frameset - 2016</v>
      </c>
      <c r="C627" s="21" t="e">
        <f>VLOOKUP(A627,Products!A$322:$D627,4,FALSE)</f>
        <v>#N/A</v>
      </c>
    </row>
    <row r="628" spans="1:3" x14ac:dyDescent="0.35">
      <c r="A628" s="21">
        <v>11</v>
      </c>
      <c r="B628" t="str">
        <f>VLOOKUP(A628,Products!$A$1:$F$322,2,FALSE)</f>
        <v>Surly Straggler 650b - 2016</v>
      </c>
      <c r="C628" s="21" t="e">
        <f>VLOOKUP(A628,Products!A$322:$D628,4,FALSE)</f>
        <v>#N/A</v>
      </c>
    </row>
    <row r="629" spans="1:3" x14ac:dyDescent="0.35">
      <c r="A629" s="21">
        <v>10</v>
      </c>
      <c r="B629" t="str">
        <f>VLOOKUP(A629,Products!$A$1:$F$322,2,FALSE)</f>
        <v>Surly Straggler - 2016</v>
      </c>
      <c r="C629" s="21" t="e">
        <f>VLOOKUP(A629,Products!A$322:$D629,4,FALSE)</f>
        <v>#N/A</v>
      </c>
    </row>
    <row r="630" spans="1:3" x14ac:dyDescent="0.35">
      <c r="A630" s="21">
        <v>25</v>
      </c>
      <c r="B630" t="str">
        <f>VLOOKUP(A630,Products!$A$1:$F$322,2,FALSE)</f>
        <v>Electra Townie Original 7D - 2015/2016</v>
      </c>
      <c r="C630" s="21" t="e">
        <f>VLOOKUP(A630,Products!A$322:$D630,4,FALSE)</f>
        <v>#N/A</v>
      </c>
    </row>
    <row r="631" spans="1:3" x14ac:dyDescent="0.35">
      <c r="A631" s="21">
        <v>21</v>
      </c>
      <c r="B631" t="str">
        <f>VLOOKUP(A631,Products!$A$1:$F$322,2,FALSE)</f>
        <v>Electra Cruiser 1 (24-Inch) - 2016</v>
      </c>
      <c r="C631" s="21" t="e">
        <f>VLOOKUP(A631,Products!A$322:$D631,4,FALSE)</f>
        <v>#N/A</v>
      </c>
    </row>
    <row r="632" spans="1:3" x14ac:dyDescent="0.35">
      <c r="A632" s="21">
        <v>9</v>
      </c>
      <c r="B632" t="str">
        <f>VLOOKUP(A632,Products!$A$1:$F$322,2,FALSE)</f>
        <v>Trek Conduit+ - 2016</v>
      </c>
      <c r="C632" s="21" t="e">
        <f>VLOOKUP(A632,Products!A$322:$D632,4,FALSE)</f>
        <v>#N/A</v>
      </c>
    </row>
    <row r="633" spans="1:3" x14ac:dyDescent="0.35">
      <c r="A633" s="21">
        <v>2</v>
      </c>
      <c r="B633" t="str">
        <f>VLOOKUP(A633,Products!$A$1:$F$322,2,FALSE)</f>
        <v>Ritchey Timberwolf Frameset - 2016</v>
      </c>
      <c r="C633" s="21" t="e">
        <f>VLOOKUP(A633,Products!A$322:$D633,4,FALSE)</f>
        <v>#N/A</v>
      </c>
    </row>
    <row r="634" spans="1:3" x14ac:dyDescent="0.35">
      <c r="A634" s="21">
        <v>3</v>
      </c>
      <c r="B634" t="str">
        <f>VLOOKUP(A634,Products!$A$1:$F$322,2,FALSE)</f>
        <v>Surly Wednesday Frameset - 2016</v>
      </c>
      <c r="C634" s="21" t="e">
        <f>VLOOKUP(A634,Products!A$322:$D634,4,FALSE)</f>
        <v>#N/A</v>
      </c>
    </row>
    <row r="635" spans="1:3" x14ac:dyDescent="0.35">
      <c r="A635" s="21">
        <v>15</v>
      </c>
      <c r="B635" t="str">
        <f>VLOOKUP(A635,Products!$A$1:$F$322,2,FALSE)</f>
        <v>Electra Moto 1 - 2016</v>
      </c>
      <c r="C635" s="21" t="e">
        <f>VLOOKUP(A635,Products!A$322:$D635,4,FALSE)</f>
        <v>#N/A</v>
      </c>
    </row>
    <row r="636" spans="1:3" x14ac:dyDescent="0.35">
      <c r="A636" s="21">
        <v>25</v>
      </c>
      <c r="B636" t="str">
        <f>VLOOKUP(A636,Products!$A$1:$F$322,2,FALSE)</f>
        <v>Electra Townie Original 7D - 2015/2016</v>
      </c>
      <c r="C636" s="21" t="e">
        <f>VLOOKUP(A636,Products!A$322:$D636,4,FALSE)</f>
        <v>#N/A</v>
      </c>
    </row>
    <row r="637" spans="1:3" x14ac:dyDescent="0.35">
      <c r="A637" s="21">
        <v>2</v>
      </c>
      <c r="B637" t="str">
        <f>VLOOKUP(A637,Products!$A$1:$F$322,2,FALSE)</f>
        <v>Ritchey Timberwolf Frameset - 2016</v>
      </c>
      <c r="C637" s="21" t="e">
        <f>VLOOKUP(A637,Products!A$322:$D637,4,FALSE)</f>
        <v>#N/A</v>
      </c>
    </row>
    <row r="638" spans="1:3" x14ac:dyDescent="0.35">
      <c r="A638" s="21">
        <v>23</v>
      </c>
      <c r="B638" t="str">
        <f>VLOOKUP(A638,Products!$A$1:$F$322,2,FALSE)</f>
        <v>Electra Girl's Hawaii 1 (20-inch) - 2015/2016</v>
      </c>
      <c r="C638" s="21" t="e">
        <f>VLOOKUP(A638,Products!A$322:$D638,4,FALSE)</f>
        <v>#N/A</v>
      </c>
    </row>
    <row r="639" spans="1:3" x14ac:dyDescent="0.35">
      <c r="A639" s="21">
        <v>4</v>
      </c>
      <c r="B639" t="str">
        <f>VLOOKUP(A639,Products!$A$1:$F$322,2,FALSE)</f>
        <v>Trek Fuel EX 8 29 - 2016</v>
      </c>
      <c r="C639" s="21" t="e">
        <f>VLOOKUP(A639,Products!A$322:$D639,4,FALSE)</f>
        <v>#N/A</v>
      </c>
    </row>
    <row r="640" spans="1:3" x14ac:dyDescent="0.35">
      <c r="A640" s="21">
        <v>22</v>
      </c>
      <c r="B640" t="str">
        <f>VLOOKUP(A640,Products!$A$1:$F$322,2,FALSE)</f>
        <v>Electra Girl's Hawaii 1 (16-inch) - 2015/2016</v>
      </c>
      <c r="C640" s="21" t="e">
        <f>VLOOKUP(A640,Products!A$322:$D640,4,FALSE)</f>
        <v>#N/A</v>
      </c>
    </row>
    <row r="641" spans="1:3" x14ac:dyDescent="0.35">
      <c r="A641" s="21">
        <v>25</v>
      </c>
      <c r="B641" t="str">
        <f>VLOOKUP(A641,Products!$A$1:$F$322,2,FALSE)</f>
        <v>Electra Townie Original 7D - 2015/2016</v>
      </c>
      <c r="C641" s="21" t="e">
        <f>VLOOKUP(A641,Products!A$322:$D641,4,FALSE)</f>
        <v>#N/A</v>
      </c>
    </row>
    <row r="642" spans="1:3" x14ac:dyDescent="0.35">
      <c r="A642" s="21">
        <v>5</v>
      </c>
      <c r="B642" t="str">
        <f>VLOOKUP(A642,Products!$A$1:$F$322,2,FALSE)</f>
        <v>Heller Shagamaw Frame - 2016</v>
      </c>
      <c r="C642" s="21" t="e">
        <f>VLOOKUP(A642,Products!A$322:$D642,4,FALSE)</f>
        <v>#N/A</v>
      </c>
    </row>
    <row r="643" spans="1:3" x14ac:dyDescent="0.35">
      <c r="A643" s="21">
        <v>8</v>
      </c>
      <c r="B643" t="str">
        <f>VLOOKUP(A643,Products!$A$1:$F$322,2,FALSE)</f>
        <v>Trek Remedy 29 Carbon Frameset - 2016</v>
      </c>
      <c r="C643" s="21" t="e">
        <f>VLOOKUP(A643,Products!A$322:$D643,4,FALSE)</f>
        <v>#N/A</v>
      </c>
    </row>
    <row r="644" spans="1:3" x14ac:dyDescent="0.35">
      <c r="A644" s="21">
        <v>11</v>
      </c>
      <c r="B644" t="str">
        <f>VLOOKUP(A644,Products!$A$1:$F$322,2,FALSE)</f>
        <v>Surly Straggler 650b - 2016</v>
      </c>
      <c r="C644" s="21" t="e">
        <f>VLOOKUP(A644,Products!A$322:$D644,4,FALSE)</f>
        <v>#N/A</v>
      </c>
    </row>
    <row r="645" spans="1:3" x14ac:dyDescent="0.35">
      <c r="A645" s="21">
        <v>8</v>
      </c>
      <c r="B645" t="str">
        <f>VLOOKUP(A645,Products!$A$1:$F$322,2,FALSE)</f>
        <v>Trek Remedy 29 Carbon Frameset - 2016</v>
      </c>
      <c r="C645" s="21" t="e">
        <f>VLOOKUP(A645,Products!A$322:$D645,4,FALSE)</f>
        <v>#N/A</v>
      </c>
    </row>
    <row r="646" spans="1:3" x14ac:dyDescent="0.35">
      <c r="A646" s="21">
        <v>14</v>
      </c>
      <c r="B646" t="str">
        <f>VLOOKUP(A646,Products!$A$1:$F$322,2,FALSE)</f>
        <v>Electra Girl's Hawaii 1 (16-inch) - 2015/2016</v>
      </c>
      <c r="C646" s="21" t="e">
        <f>VLOOKUP(A646,Products!A$322:$D646,4,FALSE)</f>
        <v>#N/A</v>
      </c>
    </row>
    <row r="647" spans="1:3" x14ac:dyDescent="0.35">
      <c r="A647" s="21">
        <v>5</v>
      </c>
      <c r="B647" t="str">
        <f>VLOOKUP(A647,Products!$A$1:$F$322,2,FALSE)</f>
        <v>Heller Shagamaw Frame - 2016</v>
      </c>
      <c r="C647" s="21" t="e">
        <f>VLOOKUP(A647,Products!A$322:$D647,4,FALSE)</f>
        <v>#N/A</v>
      </c>
    </row>
    <row r="648" spans="1:3" x14ac:dyDescent="0.35">
      <c r="A648" s="21">
        <v>18</v>
      </c>
      <c r="B648" t="str">
        <f>VLOOKUP(A648,Products!$A$1:$F$322,2,FALSE)</f>
        <v>Pure Cycles Western 3-Speed - Women's - 2015/2016</v>
      </c>
      <c r="C648" s="21" t="e">
        <f>VLOOKUP(A648,Products!A$322:$D648,4,FALSE)</f>
        <v>#N/A</v>
      </c>
    </row>
    <row r="649" spans="1:3" x14ac:dyDescent="0.35">
      <c r="A649" s="21">
        <v>11</v>
      </c>
      <c r="B649" t="str">
        <f>VLOOKUP(A649,Products!$A$1:$F$322,2,FALSE)</f>
        <v>Surly Straggler 650b - 2016</v>
      </c>
      <c r="C649" s="21" t="e">
        <f>VLOOKUP(A649,Products!A$322:$D649,4,FALSE)</f>
        <v>#N/A</v>
      </c>
    </row>
    <row r="650" spans="1:3" x14ac:dyDescent="0.35">
      <c r="A650" s="21">
        <v>26</v>
      </c>
      <c r="B650" t="str">
        <f>VLOOKUP(A650,Products!$A$1:$F$322,2,FALSE)</f>
        <v>Electra Townie Original 7D EQ - 2016</v>
      </c>
      <c r="C650" s="21" t="e">
        <f>VLOOKUP(A650,Products!A$322:$D650,4,FALSE)</f>
        <v>#N/A</v>
      </c>
    </row>
    <row r="651" spans="1:3" x14ac:dyDescent="0.35">
      <c r="A651" s="21">
        <v>8</v>
      </c>
      <c r="B651" t="str">
        <f>VLOOKUP(A651,Products!$A$1:$F$322,2,FALSE)</f>
        <v>Trek Remedy 29 Carbon Frameset - 2016</v>
      </c>
      <c r="C651" s="21" t="e">
        <f>VLOOKUP(A651,Products!A$322:$D651,4,FALSE)</f>
        <v>#N/A</v>
      </c>
    </row>
    <row r="652" spans="1:3" x14ac:dyDescent="0.35">
      <c r="A652" s="21">
        <v>14</v>
      </c>
      <c r="B652" t="str">
        <f>VLOOKUP(A652,Products!$A$1:$F$322,2,FALSE)</f>
        <v>Electra Girl's Hawaii 1 (16-inch) - 2015/2016</v>
      </c>
      <c r="C652" s="21" t="e">
        <f>VLOOKUP(A652,Products!A$322:$D652,4,FALSE)</f>
        <v>#N/A</v>
      </c>
    </row>
    <row r="653" spans="1:3" x14ac:dyDescent="0.35">
      <c r="A653" s="21">
        <v>16</v>
      </c>
      <c r="B653" t="str">
        <f>VLOOKUP(A653,Products!$A$1:$F$322,2,FALSE)</f>
        <v>Electra Townie Original 7D EQ - 2016</v>
      </c>
      <c r="C653" s="21" t="e">
        <f>VLOOKUP(A653,Products!A$322:$D653,4,FALSE)</f>
        <v>#N/A</v>
      </c>
    </row>
    <row r="654" spans="1:3" x14ac:dyDescent="0.35">
      <c r="A654" s="21">
        <v>12</v>
      </c>
      <c r="B654" t="str">
        <f>VLOOKUP(A654,Products!$A$1:$F$322,2,FALSE)</f>
        <v>Electra Townie Original 21D - 2016</v>
      </c>
      <c r="C654" s="21" t="e">
        <f>VLOOKUP(A654,Products!A$322:$D654,4,FALSE)</f>
        <v>#N/A</v>
      </c>
    </row>
    <row r="655" spans="1:3" x14ac:dyDescent="0.35">
      <c r="A655" s="21">
        <v>15</v>
      </c>
      <c r="B655" t="str">
        <f>VLOOKUP(A655,Products!$A$1:$F$322,2,FALSE)</f>
        <v>Electra Moto 1 - 2016</v>
      </c>
      <c r="C655" s="21" t="e">
        <f>VLOOKUP(A655,Products!A$322:$D655,4,FALSE)</f>
        <v>#N/A</v>
      </c>
    </row>
    <row r="656" spans="1:3" x14ac:dyDescent="0.35">
      <c r="A656" s="21">
        <v>11</v>
      </c>
      <c r="B656" t="str">
        <f>VLOOKUP(A656,Products!$A$1:$F$322,2,FALSE)</f>
        <v>Surly Straggler 650b - 2016</v>
      </c>
      <c r="C656" s="21" t="e">
        <f>VLOOKUP(A656,Products!A$322:$D656,4,FALSE)</f>
        <v>#N/A</v>
      </c>
    </row>
    <row r="657" spans="1:3" x14ac:dyDescent="0.35">
      <c r="A657" s="21">
        <v>17</v>
      </c>
      <c r="B657" t="str">
        <f>VLOOKUP(A657,Products!$A$1:$F$322,2,FALSE)</f>
        <v>Pure Cycles Vine 8-Speed - 2016</v>
      </c>
      <c r="C657" s="21" t="e">
        <f>VLOOKUP(A657,Products!A$322:$D657,4,FALSE)</f>
        <v>#N/A</v>
      </c>
    </row>
    <row r="658" spans="1:3" x14ac:dyDescent="0.35">
      <c r="A658" s="21">
        <v>12</v>
      </c>
      <c r="B658" t="str">
        <f>VLOOKUP(A658,Products!$A$1:$F$322,2,FALSE)</f>
        <v>Electra Townie Original 21D - 2016</v>
      </c>
      <c r="C658" s="21" t="e">
        <f>VLOOKUP(A658,Products!A$322:$D658,4,FALSE)</f>
        <v>#N/A</v>
      </c>
    </row>
    <row r="659" spans="1:3" x14ac:dyDescent="0.35">
      <c r="A659" s="21">
        <v>7</v>
      </c>
      <c r="B659" t="str">
        <f>VLOOKUP(A659,Products!$A$1:$F$322,2,FALSE)</f>
        <v>Trek Slash 8 27.5 - 2016</v>
      </c>
      <c r="C659" s="21" t="e">
        <f>VLOOKUP(A659,Products!A$322:$D659,4,FALSE)</f>
        <v>#N/A</v>
      </c>
    </row>
    <row r="660" spans="1:3" x14ac:dyDescent="0.35">
      <c r="A660" s="21">
        <v>23</v>
      </c>
      <c r="B660" t="str">
        <f>VLOOKUP(A660,Products!$A$1:$F$322,2,FALSE)</f>
        <v>Electra Girl's Hawaii 1 (20-inch) - 2015/2016</v>
      </c>
      <c r="C660" s="21" t="e">
        <f>VLOOKUP(A660,Products!A$322:$D660,4,FALSE)</f>
        <v>#N/A</v>
      </c>
    </row>
    <row r="661" spans="1:3" x14ac:dyDescent="0.35">
      <c r="A661" s="21">
        <v>6</v>
      </c>
      <c r="B661" t="str">
        <f>VLOOKUP(A661,Products!$A$1:$F$322,2,FALSE)</f>
        <v>Surly Ice Cream Truck Frameset - 2016</v>
      </c>
      <c r="C661" s="21" t="e">
        <f>VLOOKUP(A661,Products!A$322:$D661,4,FALSE)</f>
        <v>#N/A</v>
      </c>
    </row>
    <row r="662" spans="1:3" x14ac:dyDescent="0.35">
      <c r="A662" s="21">
        <v>13</v>
      </c>
      <c r="B662" t="str">
        <f>VLOOKUP(A662,Products!$A$1:$F$322,2,FALSE)</f>
        <v>Electra Cruiser 1 (24-Inch) - 2016</v>
      </c>
      <c r="C662" s="21" t="e">
        <f>VLOOKUP(A662,Products!A$322:$D662,4,FALSE)</f>
        <v>#N/A</v>
      </c>
    </row>
    <row r="663" spans="1:3" x14ac:dyDescent="0.35">
      <c r="A663" s="21">
        <v>7</v>
      </c>
      <c r="B663" t="str">
        <f>VLOOKUP(A663,Products!$A$1:$F$322,2,FALSE)</f>
        <v>Trek Slash 8 27.5 - 2016</v>
      </c>
      <c r="C663" s="21" t="e">
        <f>VLOOKUP(A663,Products!A$322:$D663,4,FALSE)</f>
        <v>#N/A</v>
      </c>
    </row>
    <row r="664" spans="1:3" x14ac:dyDescent="0.35">
      <c r="A664" s="21">
        <v>3</v>
      </c>
      <c r="B664" t="str">
        <f>VLOOKUP(A664,Products!$A$1:$F$322,2,FALSE)</f>
        <v>Surly Wednesday Frameset - 2016</v>
      </c>
      <c r="C664" s="21" t="e">
        <f>VLOOKUP(A664,Products!A$322:$D664,4,FALSE)</f>
        <v>#N/A</v>
      </c>
    </row>
    <row r="665" spans="1:3" x14ac:dyDescent="0.35">
      <c r="A665" s="21">
        <v>2</v>
      </c>
      <c r="B665" t="str">
        <f>VLOOKUP(A665,Products!$A$1:$F$322,2,FALSE)</f>
        <v>Ritchey Timberwolf Frameset - 2016</v>
      </c>
      <c r="C665" s="21" t="e">
        <f>VLOOKUP(A665,Products!A$322:$D665,4,FALSE)</f>
        <v>#N/A</v>
      </c>
    </row>
    <row r="666" spans="1:3" x14ac:dyDescent="0.35">
      <c r="A666" s="21">
        <v>4</v>
      </c>
      <c r="B666" t="str">
        <f>VLOOKUP(A666,Products!$A$1:$F$322,2,FALSE)</f>
        <v>Trek Fuel EX 8 29 - 2016</v>
      </c>
      <c r="C666" s="21" t="e">
        <f>VLOOKUP(A666,Products!A$322:$D666,4,FALSE)</f>
        <v>#N/A</v>
      </c>
    </row>
    <row r="667" spans="1:3" x14ac:dyDescent="0.35">
      <c r="A667" s="21">
        <v>15</v>
      </c>
      <c r="B667" t="str">
        <f>VLOOKUP(A667,Products!$A$1:$F$322,2,FALSE)</f>
        <v>Electra Moto 1 - 2016</v>
      </c>
      <c r="C667" s="21" t="e">
        <f>VLOOKUP(A667,Products!A$322:$D667,4,FALSE)</f>
        <v>#N/A</v>
      </c>
    </row>
    <row r="668" spans="1:3" x14ac:dyDescent="0.35">
      <c r="A668" s="21">
        <v>24</v>
      </c>
      <c r="B668" t="str">
        <f>VLOOKUP(A668,Products!$A$1:$F$322,2,FALSE)</f>
        <v>Electra Townie Original 21D - 2016</v>
      </c>
      <c r="C668" s="21" t="e">
        <f>VLOOKUP(A668,Products!A$322:$D668,4,FALSE)</f>
        <v>#N/A</v>
      </c>
    </row>
    <row r="669" spans="1:3" x14ac:dyDescent="0.35">
      <c r="A669" s="21">
        <v>20</v>
      </c>
      <c r="B669" t="str">
        <f>VLOOKUP(A669,Products!$A$1:$F$322,2,FALSE)</f>
        <v>Electra Townie Original 7D EQ - Women's - 2016</v>
      </c>
      <c r="C669" s="21" t="e">
        <f>VLOOKUP(A669,Products!A$322:$D669,4,FALSE)</f>
        <v>#N/A</v>
      </c>
    </row>
    <row r="670" spans="1:3" x14ac:dyDescent="0.35">
      <c r="A670" s="21">
        <v>26</v>
      </c>
      <c r="B670" t="str">
        <f>VLOOKUP(A670,Products!$A$1:$F$322,2,FALSE)</f>
        <v>Electra Townie Original 7D EQ - 2016</v>
      </c>
      <c r="C670" s="21" t="e">
        <f>VLOOKUP(A670,Products!A$322:$D670,4,FALSE)</f>
        <v>#N/A</v>
      </c>
    </row>
    <row r="671" spans="1:3" x14ac:dyDescent="0.35">
      <c r="A671" s="21">
        <v>20</v>
      </c>
      <c r="B671" t="str">
        <f>VLOOKUP(A671,Products!$A$1:$F$322,2,FALSE)</f>
        <v>Electra Townie Original 7D EQ - Women's - 2016</v>
      </c>
      <c r="C671" s="21" t="e">
        <f>VLOOKUP(A671,Products!A$322:$D671,4,FALSE)</f>
        <v>#N/A</v>
      </c>
    </row>
    <row r="672" spans="1:3" x14ac:dyDescent="0.35">
      <c r="A672" s="21">
        <v>25</v>
      </c>
      <c r="B672" t="str">
        <f>VLOOKUP(A672,Products!$A$1:$F$322,2,FALSE)</f>
        <v>Electra Townie Original 7D - 2015/2016</v>
      </c>
      <c r="C672" s="21" t="e">
        <f>VLOOKUP(A672,Products!A$322:$D672,4,FALSE)</f>
        <v>#N/A</v>
      </c>
    </row>
    <row r="673" spans="1:3" x14ac:dyDescent="0.35">
      <c r="A673" s="21">
        <v>13</v>
      </c>
      <c r="B673" t="str">
        <f>VLOOKUP(A673,Products!$A$1:$F$322,2,FALSE)</f>
        <v>Electra Cruiser 1 (24-Inch) - 2016</v>
      </c>
      <c r="C673" s="21" t="e">
        <f>VLOOKUP(A673,Products!A$322:$D673,4,FALSE)</f>
        <v>#N/A</v>
      </c>
    </row>
    <row r="674" spans="1:3" x14ac:dyDescent="0.35">
      <c r="A674" s="21">
        <v>22</v>
      </c>
      <c r="B674" t="str">
        <f>VLOOKUP(A674,Products!$A$1:$F$322,2,FALSE)</f>
        <v>Electra Girl's Hawaii 1 (16-inch) - 2015/2016</v>
      </c>
      <c r="C674" s="21" t="e">
        <f>VLOOKUP(A674,Products!A$322:$D674,4,FALSE)</f>
        <v>#N/A</v>
      </c>
    </row>
    <row r="675" spans="1:3" x14ac:dyDescent="0.35">
      <c r="A675" s="21">
        <v>7</v>
      </c>
      <c r="B675" t="str">
        <f>VLOOKUP(A675,Products!$A$1:$F$322,2,FALSE)</f>
        <v>Trek Slash 8 27.5 - 2016</v>
      </c>
      <c r="C675" s="21" t="e">
        <f>VLOOKUP(A675,Products!A$322:$D675,4,FALSE)</f>
        <v>#N/A</v>
      </c>
    </row>
    <row r="676" spans="1:3" x14ac:dyDescent="0.35">
      <c r="A676" s="21">
        <v>16</v>
      </c>
      <c r="B676" t="str">
        <f>VLOOKUP(A676,Products!$A$1:$F$322,2,FALSE)</f>
        <v>Electra Townie Original 7D EQ - 2016</v>
      </c>
      <c r="C676" s="21" t="e">
        <f>VLOOKUP(A676,Products!A$322:$D676,4,FALSE)</f>
        <v>#N/A</v>
      </c>
    </row>
    <row r="677" spans="1:3" x14ac:dyDescent="0.35">
      <c r="A677" s="21">
        <v>21</v>
      </c>
      <c r="B677" t="str">
        <f>VLOOKUP(A677,Products!$A$1:$F$322,2,FALSE)</f>
        <v>Electra Cruiser 1 (24-Inch) - 2016</v>
      </c>
      <c r="C677" s="21" t="e">
        <f>VLOOKUP(A677,Products!A$322:$D677,4,FALSE)</f>
        <v>#N/A</v>
      </c>
    </row>
    <row r="678" spans="1:3" x14ac:dyDescent="0.35">
      <c r="A678" s="21">
        <v>18</v>
      </c>
      <c r="B678" t="str">
        <f>VLOOKUP(A678,Products!$A$1:$F$322,2,FALSE)</f>
        <v>Pure Cycles Western 3-Speed - Women's - 2015/2016</v>
      </c>
      <c r="C678" s="21" t="e">
        <f>VLOOKUP(A678,Products!A$322:$D678,4,FALSE)</f>
        <v>#N/A</v>
      </c>
    </row>
    <row r="679" spans="1:3" x14ac:dyDescent="0.35">
      <c r="A679" s="21">
        <v>4</v>
      </c>
      <c r="B679" t="str">
        <f>VLOOKUP(A679,Products!$A$1:$F$322,2,FALSE)</f>
        <v>Trek Fuel EX 8 29 - 2016</v>
      </c>
      <c r="C679" s="21" t="e">
        <f>VLOOKUP(A679,Products!A$322:$D679,4,FALSE)</f>
        <v>#N/A</v>
      </c>
    </row>
    <row r="680" spans="1:3" x14ac:dyDescent="0.35">
      <c r="A680" s="21">
        <v>9</v>
      </c>
      <c r="B680" t="str">
        <f>VLOOKUP(A680,Products!$A$1:$F$322,2,FALSE)</f>
        <v>Trek Conduit+ - 2016</v>
      </c>
      <c r="C680" s="21" t="e">
        <f>VLOOKUP(A680,Products!A$322:$D680,4,FALSE)</f>
        <v>#N/A</v>
      </c>
    </row>
    <row r="681" spans="1:3" x14ac:dyDescent="0.35">
      <c r="A681" s="21">
        <v>8</v>
      </c>
      <c r="B681" t="str">
        <f>VLOOKUP(A681,Products!$A$1:$F$322,2,FALSE)</f>
        <v>Trek Remedy 29 Carbon Frameset - 2016</v>
      </c>
      <c r="C681" s="21" t="e">
        <f>VLOOKUP(A681,Products!A$322:$D681,4,FALSE)</f>
        <v>#N/A</v>
      </c>
    </row>
    <row r="682" spans="1:3" x14ac:dyDescent="0.35">
      <c r="A682" s="21">
        <v>5</v>
      </c>
      <c r="B682" t="str">
        <f>VLOOKUP(A682,Products!$A$1:$F$322,2,FALSE)</f>
        <v>Heller Shagamaw Frame - 2016</v>
      </c>
      <c r="C682" s="21" t="e">
        <f>VLOOKUP(A682,Products!A$322:$D682,4,FALSE)</f>
        <v>#N/A</v>
      </c>
    </row>
    <row r="683" spans="1:3" x14ac:dyDescent="0.35">
      <c r="A683" s="21">
        <v>18</v>
      </c>
      <c r="B683" t="str">
        <f>VLOOKUP(A683,Products!$A$1:$F$322,2,FALSE)</f>
        <v>Pure Cycles Western 3-Speed - Women's - 2015/2016</v>
      </c>
      <c r="C683" s="21" t="e">
        <f>VLOOKUP(A683,Products!A$322:$D683,4,FALSE)</f>
        <v>#N/A</v>
      </c>
    </row>
    <row r="684" spans="1:3" x14ac:dyDescent="0.35">
      <c r="A684" s="21">
        <v>7</v>
      </c>
      <c r="B684" t="str">
        <f>VLOOKUP(A684,Products!$A$1:$F$322,2,FALSE)</f>
        <v>Trek Slash 8 27.5 - 2016</v>
      </c>
      <c r="C684" s="21" t="e">
        <f>VLOOKUP(A684,Products!A$322:$D684,4,FALSE)</f>
        <v>#N/A</v>
      </c>
    </row>
    <row r="685" spans="1:3" x14ac:dyDescent="0.35">
      <c r="A685" s="21">
        <v>3</v>
      </c>
      <c r="B685" t="str">
        <f>VLOOKUP(A685,Products!$A$1:$F$322,2,FALSE)</f>
        <v>Surly Wednesday Frameset - 2016</v>
      </c>
      <c r="C685" s="21" t="e">
        <f>VLOOKUP(A685,Products!A$322:$D685,4,FALSE)</f>
        <v>#N/A</v>
      </c>
    </row>
    <row r="686" spans="1:3" x14ac:dyDescent="0.35">
      <c r="A686" s="21">
        <v>25</v>
      </c>
      <c r="B686" t="str">
        <f>VLOOKUP(A686,Products!$A$1:$F$322,2,FALSE)</f>
        <v>Electra Townie Original 7D - 2015/2016</v>
      </c>
      <c r="C686" s="21" t="e">
        <f>VLOOKUP(A686,Products!A$322:$D686,4,FALSE)</f>
        <v>#N/A</v>
      </c>
    </row>
    <row r="687" spans="1:3" x14ac:dyDescent="0.35">
      <c r="A687" s="21">
        <v>19</v>
      </c>
      <c r="B687" t="str">
        <f>VLOOKUP(A687,Products!$A$1:$F$322,2,FALSE)</f>
        <v>Pure Cycles William 3-Speed - 2016</v>
      </c>
      <c r="C687" s="21" t="e">
        <f>VLOOKUP(A687,Products!A$322:$D687,4,FALSE)</f>
        <v>#N/A</v>
      </c>
    </row>
    <row r="688" spans="1:3" x14ac:dyDescent="0.35">
      <c r="A688" s="21">
        <v>7</v>
      </c>
      <c r="B688" t="str">
        <f>VLOOKUP(A688,Products!$A$1:$F$322,2,FALSE)</f>
        <v>Trek Slash 8 27.5 - 2016</v>
      </c>
      <c r="C688" s="21" t="e">
        <f>VLOOKUP(A688,Products!A$322:$D688,4,FALSE)</f>
        <v>#N/A</v>
      </c>
    </row>
    <row r="689" spans="1:3" x14ac:dyDescent="0.35">
      <c r="A689" s="21">
        <v>19</v>
      </c>
      <c r="B689" t="str">
        <f>VLOOKUP(A689,Products!$A$1:$F$322,2,FALSE)</f>
        <v>Pure Cycles William 3-Speed - 2016</v>
      </c>
      <c r="C689" s="21" t="e">
        <f>VLOOKUP(A689,Products!A$322:$D689,4,FALSE)</f>
        <v>#N/A</v>
      </c>
    </row>
    <row r="690" spans="1:3" x14ac:dyDescent="0.35">
      <c r="A690" s="21">
        <v>25</v>
      </c>
      <c r="B690" t="str">
        <f>VLOOKUP(A690,Products!$A$1:$F$322,2,FALSE)</f>
        <v>Electra Townie Original 7D - 2015/2016</v>
      </c>
      <c r="C690" s="21" t="e">
        <f>VLOOKUP(A690,Products!A$322:$D690,4,FALSE)</f>
        <v>#N/A</v>
      </c>
    </row>
    <row r="691" spans="1:3" x14ac:dyDescent="0.35">
      <c r="A691" s="21">
        <v>22</v>
      </c>
      <c r="B691" t="str">
        <f>VLOOKUP(A691,Products!$A$1:$F$322,2,FALSE)</f>
        <v>Electra Girl's Hawaii 1 (16-inch) - 2015/2016</v>
      </c>
      <c r="C691" s="21" t="e">
        <f>VLOOKUP(A691,Products!A$322:$D691,4,FALSE)</f>
        <v>#N/A</v>
      </c>
    </row>
    <row r="692" spans="1:3" x14ac:dyDescent="0.35">
      <c r="A692" s="21">
        <v>10</v>
      </c>
      <c r="B692" t="str">
        <f>VLOOKUP(A692,Products!$A$1:$F$322,2,FALSE)</f>
        <v>Surly Straggler - 2016</v>
      </c>
      <c r="C692" s="21" t="e">
        <f>VLOOKUP(A692,Products!A$322:$D692,4,FALSE)</f>
        <v>#N/A</v>
      </c>
    </row>
    <row r="693" spans="1:3" x14ac:dyDescent="0.35">
      <c r="A693" s="21">
        <v>8</v>
      </c>
      <c r="B693" t="str">
        <f>VLOOKUP(A693,Products!$A$1:$F$322,2,FALSE)</f>
        <v>Trek Remedy 29 Carbon Frameset - 2016</v>
      </c>
      <c r="C693" s="21" t="e">
        <f>VLOOKUP(A693,Products!A$322:$D693,4,FALSE)</f>
        <v>#N/A</v>
      </c>
    </row>
    <row r="694" spans="1:3" x14ac:dyDescent="0.35">
      <c r="A694" s="21">
        <v>17</v>
      </c>
      <c r="B694" t="str">
        <f>VLOOKUP(A694,Products!$A$1:$F$322,2,FALSE)</f>
        <v>Pure Cycles Vine 8-Speed - 2016</v>
      </c>
      <c r="C694" s="21" t="e">
        <f>VLOOKUP(A694,Products!A$322:$D694,4,FALSE)</f>
        <v>#N/A</v>
      </c>
    </row>
    <row r="695" spans="1:3" x14ac:dyDescent="0.35">
      <c r="A695" s="21">
        <v>25</v>
      </c>
      <c r="B695" t="str">
        <f>VLOOKUP(A695,Products!$A$1:$F$322,2,FALSE)</f>
        <v>Electra Townie Original 7D - 2015/2016</v>
      </c>
      <c r="C695" s="21" t="e">
        <f>VLOOKUP(A695,Products!A$322:$D695,4,FALSE)</f>
        <v>#N/A</v>
      </c>
    </row>
    <row r="696" spans="1:3" x14ac:dyDescent="0.35">
      <c r="A696" s="21">
        <v>3</v>
      </c>
      <c r="B696" t="str">
        <f>VLOOKUP(A696,Products!$A$1:$F$322,2,FALSE)</f>
        <v>Surly Wednesday Frameset - 2016</v>
      </c>
      <c r="C696" s="21" t="e">
        <f>VLOOKUP(A696,Products!A$322:$D696,4,FALSE)</f>
        <v>#N/A</v>
      </c>
    </row>
    <row r="697" spans="1:3" x14ac:dyDescent="0.35">
      <c r="A697" s="21">
        <v>13</v>
      </c>
      <c r="B697" t="str">
        <f>VLOOKUP(A697,Products!$A$1:$F$322,2,FALSE)</f>
        <v>Electra Cruiser 1 (24-Inch) - 2016</v>
      </c>
      <c r="C697" s="21" t="e">
        <f>VLOOKUP(A697,Products!A$322:$D697,4,FALSE)</f>
        <v>#N/A</v>
      </c>
    </row>
    <row r="698" spans="1:3" x14ac:dyDescent="0.35">
      <c r="A698" s="21">
        <v>26</v>
      </c>
      <c r="B698" t="str">
        <f>VLOOKUP(A698,Products!$A$1:$F$322,2,FALSE)</f>
        <v>Electra Townie Original 7D EQ - 2016</v>
      </c>
      <c r="C698" s="21" t="e">
        <f>VLOOKUP(A698,Products!A$322:$D698,4,FALSE)</f>
        <v>#N/A</v>
      </c>
    </row>
    <row r="699" spans="1:3" x14ac:dyDescent="0.35">
      <c r="A699" s="21">
        <v>17</v>
      </c>
      <c r="B699" t="str">
        <f>VLOOKUP(A699,Products!$A$1:$F$322,2,FALSE)</f>
        <v>Pure Cycles Vine 8-Speed - 2016</v>
      </c>
      <c r="C699" s="21" t="e">
        <f>VLOOKUP(A699,Products!A$322:$D699,4,FALSE)</f>
        <v>#N/A</v>
      </c>
    </row>
    <row r="700" spans="1:3" x14ac:dyDescent="0.35">
      <c r="A700" s="21">
        <v>9</v>
      </c>
      <c r="B700" t="str">
        <f>VLOOKUP(A700,Products!$A$1:$F$322,2,FALSE)</f>
        <v>Trek Conduit+ - 2016</v>
      </c>
      <c r="C700" s="21" t="e">
        <f>VLOOKUP(A700,Products!A$322:$D700,4,FALSE)</f>
        <v>#N/A</v>
      </c>
    </row>
    <row r="701" spans="1:3" x14ac:dyDescent="0.35">
      <c r="A701" s="21">
        <v>7</v>
      </c>
      <c r="B701" t="str">
        <f>VLOOKUP(A701,Products!$A$1:$F$322,2,FALSE)</f>
        <v>Trek Slash 8 27.5 - 2016</v>
      </c>
      <c r="C701" s="21" t="e">
        <f>VLOOKUP(A701,Products!A$322:$D701,4,FALSE)</f>
        <v>#N/A</v>
      </c>
    </row>
    <row r="702" spans="1:3" x14ac:dyDescent="0.35">
      <c r="A702" s="21">
        <v>18</v>
      </c>
      <c r="B702" t="str">
        <f>VLOOKUP(A702,Products!$A$1:$F$322,2,FALSE)</f>
        <v>Pure Cycles Western 3-Speed - Women's - 2015/2016</v>
      </c>
      <c r="C702" s="21" t="e">
        <f>VLOOKUP(A702,Products!A$322:$D702,4,FALSE)</f>
        <v>#N/A</v>
      </c>
    </row>
    <row r="703" spans="1:3" x14ac:dyDescent="0.35">
      <c r="A703" s="21">
        <v>22</v>
      </c>
      <c r="B703" t="str">
        <f>VLOOKUP(A703,Products!$A$1:$F$322,2,FALSE)</f>
        <v>Electra Girl's Hawaii 1 (16-inch) - 2015/2016</v>
      </c>
      <c r="C703" s="21" t="e">
        <f>VLOOKUP(A703,Products!A$322:$D703,4,FALSE)</f>
        <v>#N/A</v>
      </c>
    </row>
    <row r="704" spans="1:3" x14ac:dyDescent="0.35">
      <c r="A704" s="21">
        <v>17</v>
      </c>
      <c r="B704" t="str">
        <f>VLOOKUP(A704,Products!$A$1:$F$322,2,FALSE)</f>
        <v>Pure Cycles Vine 8-Speed - 2016</v>
      </c>
      <c r="C704" s="21" t="e">
        <f>VLOOKUP(A704,Products!A$322:$D704,4,FALSE)</f>
        <v>#N/A</v>
      </c>
    </row>
    <row r="705" spans="1:3" x14ac:dyDescent="0.35">
      <c r="A705" s="21">
        <v>11</v>
      </c>
      <c r="B705" t="str">
        <f>VLOOKUP(A705,Products!$A$1:$F$322,2,FALSE)</f>
        <v>Surly Straggler 650b - 2016</v>
      </c>
      <c r="C705" s="21" t="e">
        <f>VLOOKUP(A705,Products!A$322:$D705,4,FALSE)</f>
        <v>#N/A</v>
      </c>
    </row>
    <row r="706" spans="1:3" x14ac:dyDescent="0.35">
      <c r="A706" s="21">
        <v>23</v>
      </c>
      <c r="B706" t="str">
        <f>VLOOKUP(A706,Products!$A$1:$F$322,2,FALSE)</f>
        <v>Electra Girl's Hawaii 1 (20-inch) - 2015/2016</v>
      </c>
      <c r="C706" s="21" t="e">
        <f>VLOOKUP(A706,Products!A$322:$D706,4,FALSE)</f>
        <v>#N/A</v>
      </c>
    </row>
    <row r="707" spans="1:3" x14ac:dyDescent="0.35">
      <c r="A707" s="21">
        <v>22</v>
      </c>
      <c r="B707" t="str">
        <f>VLOOKUP(A707,Products!$A$1:$F$322,2,FALSE)</f>
        <v>Electra Girl's Hawaii 1 (16-inch) - 2015/2016</v>
      </c>
      <c r="C707" s="21" t="e">
        <f>VLOOKUP(A707,Products!A$322:$D707,4,FALSE)</f>
        <v>#N/A</v>
      </c>
    </row>
    <row r="708" spans="1:3" x14ac:dyDescent="0.35">
      <c r="A708" s="21">
        <v>11</v>
      </c>
      <c r="B708" t="str">
        <f>VLOOKUP(A708,Products!$A$1:$F$322,2,FALSE)</f>
        <v>Surly Straggler 650b - 2016</v>
      </c>
      <c r="C708" s="21" t="e">
        <f>VLOOKUP(A708,Products!A$322:$D708,4,FALSE)</f>
        <v>#N/A</v>
      </c>
    </row>
    <row r="709" spans="1:3" x14ac:dyDescent="0.35">
      <c r="A709" s="21">
        <v>4</v>
      </c>
      <c r="B709" t="str">
        <f>VLOOKUP(A709,Products!$A$1:$F$322,2,FALSE)</f>
        <v>Trek Fuel EX 8 29 - 2016</v>
      </c>
      <c r="C709" s="21" t="e">
        <f>VLOOKUP(A709,Products!A$322:$D709,4,FALSE)</f>
        <v>#N/A</v>
      </c>
    </row>
    <row r="710" spans="1:3" x14ac:dyDescent="0.35">
      <c r="A710" s="21">
        <v>19</v>
      </c>
      <c r="B710" t="str">
        <f>VLOOKUP(A710,Products!$A$1:$F$322,2,FALSE)</f>
        <v>Pure Cycles William 3-Speed - 2016</v>
      </c>
      <c r="C710" s="21" t="e">
        <f>VLOOKUP(A710,Products!A$322:$D710,4,FALSE)</f>
        <v>#N/A</v>
      </c>
    </row>
    <row r="711" spans="1:3" x14ac:dyDescent="0.35">
      <c r="A711" s="21">
        <v>11</v>
      </c>
      <c r="B711" t="str">
        <f>VLOOKUP(A711,Products!$A$1:$F$322,2,FALSE)</f>
        <v>Surly Straggler 650b - 2016</v>
      </c>
      <c r="C711" s="21" t="e">
        <f>VLOOKUP(A711,Products!A$322:$D711,4,FALSE)</f>
        <v>#N/A</v>
      </c>
    </row>
    <row r="712" spans="1:3" x14ac:dyDescent="0.35">
      <c r="A712" s="21">
        <v>6</v>
      </c>
      <c r="B712" t="str">
        <f>VLOOKUP(A712,Products!$A$1:$F$322,2,FALSE)</f>
        <v>Surly Ice Cream Truck Frameset - 2016</v>
      </c>
      <c r="C712" s="21" t="e">
        <f>VLOOKUP(A712,Products!A$322:$D712,4,FALSE)</f>
        <v>#N/A</v>
      </c>
    </row>
    <row r="713" spans="1:3" x14ac:dyDescent="0.35">
      <c r="A713" s="21">
        <v>3</v>
      </c>
      <c r="B713" t="str">
        <f>VLOOKUP(A713,Products!$A$1:$F$322,2,FALSE)</f>
        <v>Surly Wednesday Frameset - 2016</v>
      </c>
      <c r="C713" s="21" t="e">
        <f>VLOOKUP(A713,Products!A$322:$D713,4,FALSE)</f>
        <v>#N/A</v>
      </c>
    </row>
    <row r="714" spans="1:3" x14ac:dyDescent="0.35">
      <c r="A714" s="21">
        <v>12</v>
      </c>
      <c r="B714" t="str">
        <f>VLOOKUP(A714,Products!$A$1:$F$322,2,FALSE)</f>
        <v>Electra Townie Original 21D - 2016</v>
      </c>
      <c r="C714" s="21" t="e">
        <f>VLOOKUP(A714,Products!A$322:$D714,4,FALSE)</f>
        <v>#N/A</v>
      </c>
    </row>
    <row r="715" spans="1:3" x14ac:dyDescent="0.35">
      <c r="A715" s="21">
        <v>5</v>
      </c>
      <c r="B715" t="str">
        <f>VLOOKUP(A715,Products!$A$1:$F$322,2,FALSE)</f>
        <v>Heller Shagamaw Frame - 2016</v>
      </c>
      <c r="C715" s="21" t="e">
        <f>VLOOKUP(A715,Products!A$322:$D715,4,FALSE)</f>
        <v>#N/A</v>
      </c>
    </row>
    <row r="716" spans="1:3" x14ac:dyDescent="0.35">
      <c r="A716" s="21">
        <v>14</v>
      </c>
      <c r="B716" t="str">
        <f>VLOOKUP(A716,Products!$A$1:$F$322,2,FALSE)</f>
        <v>Electra Girl's Hawaii 1 (16-inch) - 2015/2016</v>
      </c>
      <c r="C716" s="21" t="e">
        <f>VLOOKUP(A716,Products!A$322:$D716,4,FALSE)</f>
        <v>#N/A</v>
      </c>
    </row>
    <row r="717" spans="1:3" x14ac:dyDescent="0.35">
      <c r="A717" s="21">
        <v>2</v>
      </c>
      <c r="B717" t="str">
        <f>VLOOKUP(A717,Products!$A$1:$F$322,2,FALSE)</f>
        <v>Ritchey Timberwolf Frameset - 2016</v>
      </c>
      <c r="C717" s="21" t="e">
        <f>VLOOKUP(A717,Products!A$322:$D717,4,FALSE)</f>
        <v>#N/A</v>
      </c>
    </row>
    <row r="718" spans="1:3" x14ac:dyDescent="0.35">
      <c r="A718" s="21">
        <v>21</v>
      </c>
      <c r="B718" t="str">
        <f>VLOOKUP(A718,Products!$A$1:$F$322,2,FALSE)</f>
        <v>Electra Cruiser 1 (24-Inch) - 2016</v>
      </c>
      <c r="C718" s="21" t="e">
        <f>VLOOKUP(A718,Products!A$322:$D718,4,FALSE)</f>
        <v>#N/A</v>
      </c>
    </row>
    <row r="719" spans="1:3" x14ac:dyDescent="0.35">
      <c r="A719" s="21">
        <v>11</v>
      </c>
      <c r="B719" t="str">
        <f>VLOOKUP(A719,Products!$A$1:$F$322,2,FALSE)</f>
        <v>Surly Straggler 650b - 2016</v>
      </c>
      <c r="C719" s="21" t="e">
        <f>VLOOKUP(A719,Products!A$322:$D719,4,FALSE)</f>
        <v>#N/A</v>
      </c>
    </row>
    <row r="720" spans="1:3" x14ac:dyDescent="0.35">
      <c r="A720" s="21">
        <v>21</v>
      </c>
      <c r="B720" t="str">
        <f>VLOOKUP(A720,Products!$A$1:$F$322,2,FALSE)</f>
        <v>Electra Cruiser 1 (24-Inch) - 2016</v>
      </c>
      <c r="C720" s="21" t="e">
        <f>VLOOKUP(A720,Products!A$322:$D720,4,FALSE)</f>
        <v>#N/A</v>
      </c>
    </row>
    <row r="721" spans="1:3" x14ac:dyDescent="0.35">
      <c r="A721" s="21">
        <v>8</v>
      </c>
      <c r="B721" t="str">
        <f>VLOOKUP(A721,Products!$A$1:$F$322,2,FALSE)</f>
        <v>Trek Remedy 29 Carbon Frameset - 2016</v>
      </c>
      <c r="C721" s="21" t="e">
        <f>VLOOKUP(A721,Products!A$322:$D721,4,FALSE)</f>
        <v>#N/A</v>
      </c>
    </row>
    <row r="722" spans="1:3" x14ac:dyDescent="0.35">
      <c r="A722" s="21">
        <v>13</v>
      </c>
      <c r="B722" t="str">
        <f>VLOOKUP(A722,Products!$A$1:$F$322,2,FALSE)</f>
        <v>Electra Cruiser 1 (24-Inch) - 2016</v>
      </c>
      <c r="C722" s="21" t="e">
        <f>VLOOKUP(A722,Products!A$322:$D722,4,FALSE)</f>
        <v>#N/A</v>
      </c>
    </row>
    <row r="723" spans="1:3" x14ac:dyDescent="0.35">
      <c r="A723" s="21">
        <v>10</v>
      </c>
      <c r="B723" t="str">
        <f>VLOOKUP(A723,Products!$A$1:$F$322,2,FALSE)</f>
        <v>Surly Straggler - 2016</v>
      </c>
      <c r="C723" s="21" t="e">
        <f>VLOOKUP(A723,Products!A$322:$D723,4,FALSE)</f>
        <v>#N/A</v>
      </c>
    </row>
    <row r="724" spans="1:3" x14ac:dyDescent="0.35">
      <c r="A724" s="21">
        <v>15</v>
      </c>
      <c r="B724" t="str">
        <f>VLOOKUP(A724,Products!$A$1:$F$322,2,FALSE)</f>
        <v>Electra Moto 1 - 2016</v>
      </c>
      <c r="C724" s="21" t="e">
        <f>VLOOKUP(A724,Products!A$322:$D724,4,FALSE)</f>
        <v>#N/A</v>
      </c>
    </row>
    <row r="725" spans="1:3" x14ac:dyDescent="0.35">
      <c r="A725" s="21">
        <v>8</v>
      </c>
      <c r="B725" t="str">
        <f>VLOOKUP(A725,Products!$A$1:$F$322,2,FALSE)</f>
        <v>Trek Remedy 29 Carbon Frameset - 2016</v>
      </c>
      <c r="C725" s="21" t="e">
        <f>VLOOKUP(A725,Products!A$322:$D725,4,FALSE)</f>
        <v>#N/A</v>
      </c>
    </row>
    <row r="726" spans="1:3" x14ac:dyDescent="0.35">
      <c r="A726" s="21">
        <v>4</v>
      </c>
      <c r="B726" t="str">
        <f>VLOOKUP(A726,Products!$A$1:$F$322,2,FALSE)</f>
        <v>Trek Fuel EX 8 29 - 2016</v>
      </c>
      <c r="C726" s="21" t="e">
        <f>VLOOKUP(A726,Products!A$322:$D726,4,FALSE)</f>
        <v>#N/A</v>
      </c>
    </row>
    <row r="727" spans="1:3" x14ac:dyDescent="0.35">
      <c r="A727" s="21">
        <v>19</v>
      </c>
      <c r="B727" t="str">
        <f>VLOOKUP(A727,Products!$A$1:$F$322,2,FALSE)</f>
        <v>Pure Cycles William 3-Speed - 2016</v>
      </c>
      <c r="C727" s="21" t="e">
        <f>VLOOKUP(A727,Products!A$322:$D727,4,FALSE)</f>
        <v>#N/A</v>
      </c>
    </row>
    <row r="728" spans="1:3" x14ac:dyDescent="0.35">
      <c r="A728" s="21">
        <v>18</v>
      </c>
      <c r="B728" t="str">
        <f>VLOOKUP(A728,Products!$A$1:$F$322,2,FALSE)</f>
        <v>Pure Cycles Western 3-Speed - Women's - 2015/2016</v>
      </c>
      <c r="C728" s="21" t="e">
        <f>VLOOKUP(A728,Products!A$322:$D728,4,FALSE)</f>
        <v>#N/A</v>
      </c>
    </row>
    <row r="729" spans="1:3" x14ac:dyDescent="0.35">
      <c r="A729" s="21">
        <v>26</v>
      </c>
      <c r="B729" t="str">
        <f>VLOOKUP(A729,Products!$A$1:$F$322,2,FALSE)</f>
        <v>Electra Townie Original 7D EQ - 2016</v>
      </c>
      <c r="C729" s="21" t="e">
        <f>VLOOKUP(A729,Products!A$322:$D729,4,FALSE)</f>
        <v>#N/A</v>
      </c>
    </row>
    <row r="730" spans="1:3" x14ac:dyDescent="0.35">
      <c r="A730" s="21">
        <v>6</v>
      </c>
      <c r="B730" t="str">
        <f>VLOOKUP(A730,Products!$A$1:$F$322,2,FALSE)</f>
        <v>Surly Ice Cream Truck Frameset - 2016</v>
      </c>
      <c r="C730" s="21" t="e">
        <f>VLOOKUP(A730,Products!A$322:$D730,4,FALSE)</f>
        <v>#N/A</v>
      </c>
    </row>
    <row r="731" spans="1:3" x14ac:dyDescent="0.35">
      <c r="A731" s="21">
        <v>2</v>
      </c>
      <c r="B731" t="str">
        <f>VLOOKUP(A731,Products!$A$1:$F$322,2,FALSE)</f>
        <v>Ritchey Timberwolf Frameset - 2016</v>
      </c>
      <c r="C731" s="21" t="e">
        <f>VLOOKUP(A731,Products!A$322:$D731,4,FALSE)</f>
        <v>#N/A</v>
      </c>
    </row>
    <row r="732" spans="1:3" x14ac:dyDescent="0.35">
      <c r="A732" s="21">
        <v>4</v>
      </c>
      <c r="B732" t="str">
        <f>VLOOKUP(A732,Products!$A$1:$F$322,2,FALSE)</f>
        <v>Trek Fuel EX 8 29 - 2016</v>
      </c>
      <c r="C732" s="21" t="e">
        <f>VLOOKUP(A732,Products!A$322:$D732,4,FALSE)</f>
        <v>#N/A</v>
      </c>
    </row>
    <row r="733" spans="1:3" x14ac:dyDescent="0.35">
      <c r="A733" s="21">
        <v>23</v>
      </c>
      <c r="B733" t="str">
        <f>VLOOKUP(A733,Products!$A$1:$F$322,2,FALSE)</f>
        <v>Electra Girl's Hawaii 1 (20-inch) - 2015/2016</v>
      </c>
      <c r="C733" s="21" t="e">
        <f>VLOOKUP(A733,Products!A$322:$D733,4,FALSE)</f>
        <v>#N/A</v>
      </c>
    </row>
    <row r="734" spans="1:3" x14ac:dyDescent="0.35">
      <c r="A734" s="21">
        <v>10</v>
      </c>
      <c r="B734" t="str">
        <f>VLOOKUP(A734,Products!$A$1:$F$322,2,FALSE)</f>
        <v>Surly Straggler - 2016</v>
      </c>
      <c r="C734" s="21" t="e">
        <f>VLOOKUP(A734,Products!A$322:$D734,4,FALSE)</f>
        <v>#N/A</v>
      </c>
    </row>
    <row r="735" spans="1:3" x14ac:dyDescent="0.35">
      <c r="A735" s="21">
        <v>24</v>
      </c>
      <c r="B735" t="str">
        <f>VLOOKUP(A735,Products!$A$1:$F$322,2,FALSE)</f>
        <v>Electra Townie Original 21D - 2016</v>
      </c>
      <c r="C735" s="21" t="e">
        <f>VLOOKUP(A735,Products!A$322:$D735,4,FALSE)</f>
        <v>#N/A</v>
      </c>
    </row>
    <row r="736" spans="1:3" x14ac:dyDescent="0.35">
      <c r="A736" s="21">
        <v>16</v>
      </c>
      <c r="B736" t="str">
        <f>VLOOKUP(A736,Products!$A$1:$F$322,2,FALSE)</f>
        <v>Electra Townie Original 7D EQ - 2016</v>
      </c>
      <c r="C736" s="21" t="e">
        <f>VLOOKUP(A736,Products!A$322:$D736,4,FALSE)</f>
        <v>#N/A</v>
      </c>
    </row>
    <row r="737" spans="1:3" x14ac:dyDescent="0.35">
      <c r="A737" s="21">
        <v>14</v>
      </c>
      <c r="B737" t="str">
        <f>VLOOKUP(A737,Products!$A$1:$F$322,2,FALSE)</f>
        <v>Electra Girl's Hawaii 1 (16-inch) - 2015/2016</v>
      </c>
      <c r="C737" s="21" t="e">
        <f>VLOOKUP(A737,Products!A$322:$D737,4,FALSE)</f>
        <v>#N/A</v>
      </c>
    </row>
    <row r="738" spans="1:3" x14ac:dyDescent="0.35">
      <c r="A738" s="21">
        <v>17</v>
      </c>
      <c r="B738" t="str">
        <f>VLOOKUP(A738,Products!$A$1:$F$322,2,FALSE)</f>
        <v>Pure Cycles Vine 8-Speed - 2016</v>
      </c>
      <c r="C738" s="21" t="e">
        <f>VLOOKUP(A738,Products!A$322:$D738,4,FALSE)</f>
        <v>#N/A</v>
      </c>
    </row>
    <row r="739" spans="1:3" x14ac:dyDescent="0.35">
      <c r="A739" s="21">
        <v>2</v>
      </c>
      <c r="B739" t="str">
        <f>VLOOKUP(A739,Products!$A$1:$F$322,2,FALSE)</f>
        <v>Ritchey Timberwolf Frameset - 2016</v>
      </c>
      <c r="C739" s="21" t="e">
        <f>VLOOKUP(A739,Products!A$322:$D739,4,FALSE)</f>
        <v>#N/A</v>
      </c>
    </row>
    <row r="740" spans="1:3" x14ac:dyDescent="0.35">
      <c r="A740" s="21">
        <v>9</v>
      </c>
      <c r="B740" t="str">
        <f>VLOOKUP(A740,Products!$A$1:$F$322,2,FALSE)</f>
        <v>Trek Conduit+ - 2016</v>
      </c>
      <c r="C740" s="21" t="e">
        <f>VLOOKUP(A740,Products!A$322:$D740,4,FALSE)</f>
        <v>#N/A</v>
      </c>
    </row>
    <row r="741" spans="1:3" x14ac:dyDescent="0.35">
      <c r="A741" s="21">
        <v>9</v>
      </c>
      <c r="B741" t="str">
        <f>VLOOKUP(A741,Products!$A$1:$F$322,2,FALSE)</f>
        <v>Trek Conduit+ - 2016</v>
      </c>
      <c r="C741" s="21" t="e">
        <f>VLOOKUP(A741,Products!A$322:$D741,4,FALSE)</f>
        <v>#N/A</v>
      </c>
    </row>
    <row r="742" spans="1:3" x14ac:dyDescent="0.35">
      <c r="A742" s="21">
        <v>3</v>
      </c>
      <c r="B742" t="str">
        <f>VLOOKUP(A742,Products!$A$1:$F$322,2,FALSE)</f>
        <v>Surly Wednesday Frameset - 2016</v>
      </c>
      <c r="C742" s="21" t="e">
        <f>VLOOKUP(A742,Products!A$322:$D742,4,FALSE)</f>
        <v>#N/A</v>
      </c>
    </row>
    <row r="743" spans="1:3" x14ac:dyDescent="0.35">
      <c r="A743" s="21">
        <v>2</v>
      </c>
      <c r="B743" t="str">
        <f>VLOOKUP(A743,Products!$A$1:$F$322,2,FALSE)</f>
        <v>Ritchey Timberwolf Frameset - 2016</v>
      </c>
      <c r="C743" s="21" t="e">
        <f>VLOOKUP(A743,Products!A$322:$D743,4,FALSE)</f>
        <v>#N/A</v>
      </c>
    </row>
    <row r="744" spans="1:3" x14ac:dyDescent="0.35">
      <c r="A744" s="21">
        <v>10</v>
      </c>
      <c r="B744" t="str">
        <f>VLOOKUP(A744,Products!$A$1:$F$322,2,FALSE)</f>
        <v>Surly Straggler - 2016</v>
      </c>
      <c r="C744" s="21" t="e">
        <f>VLOOKUP(A744,Products!A$322:$D744,4,FALSE)</f>
        <v>#N/A</v>
      </c>
    </row>
    <row r="745" spans="1:3" x14ac:dyDescent="0.35">
      <c r="A745" s="21">
        <v>24</v>
      </c>
      <c r="B745" t="str">
        <f>VLOOKUP(A745,Products!$A$1:$F$322,2,FALSE)</f>
        <v>Electra Townie Original 21D - 2016</v>
      </c>
      <c r="C745" s="21" t="e">
        <f>VLOOKUP(A745,Products!A$322:$D745,4,FALSE)</f>
        <v>#N/A</v>
      </c>
    </row>
    <row r="746" spans="1:3" x14ac:dyDescent="0.35">
      <c r="A746" s="21">
        <v>15</v>
      </c>
      <c r="B746" t="str">
        <f>VLOOKUP(A746,Products!$A$1:$F$322,2,FALSE)</f>
        <v>Electra Moto 1 - 2016</v>
      </c>
      <c r="C746" s="21" t="e">
        <f>VLOOKUP(A746,Products!A$322:$D746,4,FALSE)</f>
        <v>#N/A</v>
      </c>
    </row>
    <row r="747" spans="1:3" x14ac:dyDescent="0.35">
      <c r="A747" s="21">
        <v>3</v>
      </c>
      <c r="B747" t="str">
        <f>VLOOKUP(A747,Products!$A$1:$F$322,2,FALSE)</f>
        <v>Surly Wednesday Frameset - 2016</v>
      </c>
      <c r="C747" s="21" t="e">
        <f>VLOOKUP(A747,Products!A$322:$D747,4,FALSE)</f>
        <v>#N/A</v>
      </c>
    </row>
    <row r="748" spans="1:3" x14ac:dyDescent="0.35">
      <c r="A748" s="21">
        <v>9</v>
      </c>
      <c r="B748" t="str">
        <f>VLOOKUP(A748,Products!$A$1:$F$322,2,FALSE)</f>
        <v>Trek Conduit+ - 2016</v>
      </c>
      <c r="C748" s="21" t="e">
        <f>VLOOKUP(A748,Products!A$322:$D748,4,FALSE)</f>
        <v>#N/A</v>
      </c>
    </row>
    <row r="749" spans="1:3" x14ac:dyDescent="0.35">
      <c r="A749" s="21">
        <v>6</v>
      </c>
      <c r="B749" t="str">
        <f>VLOOKUP(A749,Products!$A$1:$F$322,2,FALSE)</f>
        <v>Surly Ice Cream Truck Frameset - 2016</v>
      </c>
      <c r="C749" s="21" t="e">
        <f>VLOOKUP(A749,Products!A$322:$D749,4,FALSE)</f>
        <v>#N/A</v>
      </c>
    </row>
    <row r="750" spans="1:3" x14ac:dyDescent="0.35">
      <c r="A750" s="21">
        <v>19</v>
      </c>
      <c r="B750" t="str">
        <f>VLOOKUP(A750,Products!$A$1:$F$322,2,FALSE)</f>
        <v>Pure Cycles William 3-Speed - 2016</v>
      </c>
      <c r="C750" s="21" t="e">
        <f>VLOOKUP(A750,Products!A$322:$D750,4,FALSE)</f>
        <v>#N/A</v>
      </c>
    </row>
    <row r="751" spans="1:3" x14ac:dyDescent="0.35">
      <c r="A751" s="21">
        <v>25</v>
      </c>
      <c r="B751" t="str">
        <f>VLOOKUP(A751,Products!$A$1:$F$322,2,FALSE)</f>
        <v>Electra Townie Original 7D - 2015/2016</v>
      </c>
      <c r="C751" s="21" t="e">
        <f>VLOOKUP(A751,Products!A$322:$D751,4,FALSE)</f>
        <v>#N/A</v>
      </c>
    </row>
    <row r="752" spans="1:3" x14ac:dyDescent="0.35">
      <c r="A752" s="21">
        <v>22</v>
      </c>
      <c r="B752" t="str">
        <f>VLOOKUP(A752,Products!$A$1:$F$322,2,FALSE)</f>
        <v>Electra Girl's Hawaii 1 (16-inch) - 2015/2016</v>
      </c>
      <c r="C752" s="21" t="e">
        <f>VLOOKUP(A752,Products!A$322:$D752,4,FALSE)</f>
        <v>#N/A</v>
      </c>
    </row>
    <row r="753" spans="1:3" x14ac:dyDescent="0.35">
      <c r="A753" s="21">
        <v>23</v>
      </c>
      <c r="B753" t="str">
        <f>VLOOKUP(A753,Products!$A$1:$F$322,2,FALSE)</f>
        <v>Electra Girl's Hawaii 1 (20-inch) - 2015/2016</v>
      </c>
      <c r="C753" s="21" t="e">
        <f>VLOOKUP(A753,Products!A$322:$D753,4,FALSE)</f>
        <v>#N/A</v>
      </c>
    </row>
    <row r="754" spans="1:3" x14ac:dyDescent="0.35">
      <c r="A754" s="21">
        <v>24</v>
      </c>
      <c r="B754" t="str">
        <f>VLOOKUP(A754,Products!$A$1:$F$322,2,FALSE)</f>
        <v>Electra Townie Original 21D - 2016</v>
      </c>
      <c r="C754" s="21" t="e">
        <f>VLOOKUP(A754,Products!A$322:$D754,4,FALSE)</f>
        <v>#N/A</v>
      </c>
    </row>
    <row r="755" spans="1:3" x14ac:dyDescent="0.35">
      <c r="A755" s="21">
        <v>7</v>
      </c>
      <c r="B755" t="str">
        <f>VLOOKUP(A755,Products!$A$1:$F$322,2,FALSE)</f>
        <v>Trek Slash 8 27.5 - 2016</v>
      </c>
      <c r="C755" s="21" t="e">
        <f>VLOOKUP(A755,Products!A$322:$D755,4,FALSE)</f>
        <v>#N/A</v>
      </c>
    </row>
    <row r="756" spans="1:3" x14ac:dyDescent="0.35">
      <c r="A756" s="21">
        <v>21</v>
      </c>
      <c r="B756" t="str">
        <f>VLOOKUP(A756,Products!$A$1:$F$322,2,FALSE)</f>
        <v>Electra Cruiser 1 (24-Inch) - 2016</v>
      </c>
      <c r="C756" s="21" t="e">
        <f>VLOOKUP(A756,Products!A$322:$D756,4,FALSE)</f>
        <v>#N/A</v>
      </c>
    </row>
    <row r="757" spans="1:3" x14ac:dyDescent="0.35">
      <c r="A757" s="21">
        <v>7</v>
      </c>
      <c r="B757" t="str">
        <f>VLOOKUP(A757,Products!$A$1:$F$322,2,FALSE)</f>
        <v>Trek Slash 8 27.5 - 2016</v>
      </c>
      <c r="C757" s="21" t="e">
        <f>VLOOKUP(A757,Products!A$322:$D757,4,FALSE)</f>
        <v>#N/A</v>
      </c>
    </row>
    <row r="758" spans="1:3" x14ac:dyDescent="0.35">
      <c r="A758" s="21">
        <v>6</v>
      </c>
      <c r="B758" t="str">
        <f>VLOOKUP(A758,Products!$A$1:$F$322,2,FALSE)</f>
        <v>Surly Ice Cream Truck Frameset - 2016</v>
      </c>
      <c r="C758" s="21" t="e">
        <f>VLOOKUP(A758,Products!A$322:$D758,4,FALSE)</f>
        <v>#N/A</v>
      </c>
    </row>
    <row r="759" spans="1:3" x14ac:dyDescent="0.35">
      <c r="A759" s="21">
        <v>9</v>
      </c>
      <c r="B759" t="str">
        <f>VLOOKUP(A759,Products!$A$1:$F$322,2,FALSE)</f>
        <v>Trek Conduit+ - 2016</v>
      </c>
      <c r="C759" s="21" t="e">
        <f>VLOOKUP(A759,Products!A$322:$D759,4,FALSE)</f>
        <v>#N/A</v>
      </c>
    </row>
    <row r="760" spans="1:3" x14ac:dyDescent="0.35">
      <c r="A760" s="21">
        <v>5</v>
      </c>
      <c r="B760" t="str">
        <f>VLOOKUP(A760,Products!$A$1:$F$322,2,FALSE)</f>
        <v>Heller Shagamaw Frame - 2016</v>
      </c>
      <c r="C760" s="21" t="e">
        <f>VLOOKUP(A760,Products!A$322:$D760,4,FALSE)</f>
        <v>#N/A</v>
      </c>
    </row>
    <row r="761" spans="1:3" x14ac:dyDescent="0.35">
      <c r="A761" s="21">
        <v>23</v>
      </c>
      <c r="B761" t="str">
        <f>VLOOKUP(A761,Products!$A$1:$F$322,2,FALSE)</f>
        <v>Electra Girl's Hawaii 1 (20-inch) - 2015/2016</v>
      </c>
      <c r="C761" s="21" t="e">
        <f>VLOOKUP(A761,Products!A$322:$D761,4,FALSE)</f>
        <v>#N/A</v>
      </c>
    </row>
    <row r="762" spans="1:3" x14ac:dyDescent="0.35">
      <c r="A762" s="21">
        <v>18</v>
      </c>
      <c r="B762" t="str">
        <f>VLOOKUP(A762,Products!$A$1:$F$322,2,FALSE)</f>
        <v>Pure Cycles Western 3-Speed - Women's - 2015/2016</v>
      </c>
      <c r="C762" s="21" t="e">
        <f>VLOOKUP(A762,Products!A$322:$D762,4,FALSE)</f>
        <v>#N/A</v>
      </c>
    </row>
    <row r="763" spans="1:3" x14ac:dyDescent="0.35">
      <c r="A763" s="21">
        <v>3</v>
      </c>
      <c r="B763" t="str">
        <f>VLOOKUP(A763,Products!$A$1:$F$322,2,FALSE)</f>
        <v>Surly Wednesday Frameset - 2016</v>
      </c>
      <c r="C763" s="21" t="e">
        <f>VLOOKUP(A763,Products!A$322:$D763,4,FALSE)</f>
        <v>#N/A</v>
      </c>
    </row>
    <row r="764" spans="1:3" x14ac:dyDescent="0.35">
      <c r="A764" s="21">
        <v>25</v>
      </c>
      <c r="B764" t="str">
        <f>VLOOKUP(A764,Products!$A$1:$F$322,2,FALSE)</f>
        <v>Electra Townie Original 7D - 2015/2016</v>
      </c>
      <c r="C764" s="21" t="e">
        <f>VLOOKUP(A764,Products!A$322:$D764,4,FALSE)</f>
        <v>#N/A</v>
      </c>
    </row>
    <row r="765" spans="1:3" x14ac:dyDescent="0.35">
      <c r="A765" s="21">
        <v>15</v>
      </c>
      <c r="B765" t="str">
        <f>VLOOKUP(A765,Products!$A$1:$F$322,2,FALSE)</f>
        <v>Electra Moto 1 - 2016</v>
      </c>
      <c r="C765" s="21" t="e">
        <f>VLOOKUP(A765,Products!A$322:$D765,4,FALSE)</f>
        <v>#N/A</v>
      </c>
    </row>
    <row r="766" spans="1:3" x14ac:dyDescent="0.35">
      <c r="A766" s="21">
        <v>11</v>
      </c>
      <c r="B766" t="str">
        <f>VLOOKUP(A766,Products!$A$1:$F$322,2,FALSE)</f>
        <v>Surly Straggler 650b - 2016</v>
      </c>
      <c r="C766" s="21" t="e">
        <f>VLOOKUP(A766,Products!A$322:$D766,4,FALSE)</f>
        <v>#N/A</v>
      </c>
    </row>
    <row r="767" spans="1:3" x14ac:dyDescent="0.35">
      <c r="A767" s="21">
        <v>6</v>
      </c>
      <c r="B767" t="str">
        <f>VLOOKUP(A767,Products!$A$1:$F$322,2,FALSE)</f>
        <v>Surly Ice Cream Truck Frameset - 2016</v>
      </c>
      <c r="C767" s="21" t="e">
        <f>VLOOKUP(A767,Products!A$322:$D767,4,FALSE)</f>
        <v>#N/A</v>
      </c>
    </row>
    <row r="768" spans="1:3" x14ac:dyDescent="0.35">
      <c r="A768" s="21">
        <v>13</v>
      </c>
      <c r="B768" t="str">
        <f>VLOOKUP(A768,Products!$A$1:$F$322,2,FALSE)</f>
        <v>Electra Cruiser 1 (24-Inch) - 2016</v>
      </c>
      <c r="C768" s="21" t="e">
        <f>VLOOKUP(A768,Products!A$322:$D768,4,FALSE)</f>
        <v>#N/A</v>
      </c>
    </row>
    <row r="769" spans="1:3" x14ac:dyDescent="0.35">
      <c r="A769" s="21">
        <v>7</v>
      </c>
      <c r="B769" t="str">
        <f>VLOOKUP(A769,Products!$A$1:$F$322,2,FALSE)</f>
        <v>Trek Slash 8 27.5 - 2016</v>
      </c>
      <c r="C769" s="21" t="e">
        <f>VLOOKUP(A769,Products!A$322:$D769,4,FALSE)</f>
        <v>#N/A</v>
      </c>
    </row>
    <row r="770" spans="1:3" x14ac:dyDescent="0.35">
      <c r="A770" s="21">
        <v>2</v>
      </c>
      <c r="B770" t="str">
        <f>VLOOKUP(A770,Products!$A$1:$F$322,2,FALSE)</f>
        <v>Ritchey Timberwolf Frameset - 2016</v>
      </c>
      <c r="C770" s="21" t="e">
        <f>VLOOKUP(A770,Products!A$322:$D770,4,FALSE)</f>
        <v>#N/A</v>
      </c>
    </row>
    <row r="771" spans="1:3" x14ac:dyDescent="0.35">
      <c r="A771" s="21">
        <v>11</v>
      </c>
      <c r="B771" t="str">
        <f>VLOOKUP(A771,Products!$A$1:$F$322,2,FALSE)</f>
        <v>Surly Straggler 650b - 2016</v>
      </c>
      <c r="C771" s="21" t="e">
        <f>VLOOKUP(A771,Products!A$322:$D771,4,FALSE)</f>
        <v>#N/A</v>
      </c>
    </row>
    <row r="772" spans="1:3" x14ac:dyDescent="0.35">
      <c r="A772" s="21">
        <v>21</v>
      </c>
      <c r="B772" t="str">
        <f>VLOOKUP(A772,Products!$A$1:$F$322,2,FALSE)</f>
        <v>Electra Cruiser 1 (24-Inch) - 2016</v>
      </c>
      <c r="C772" s="21" t="e">
        <f>VLOOKUP(A772,Products!A$322:$D772,4,FALSE)</f>
        <v>#N/A</v>
      </c>
    </row>
    <row r="773" spans="1:3" x14ac:dyDescent="0.35">
      <c r="A773" s="21">
        <v>11</v>
      </c>
      <c r="B773" t="str">
        <f>VLOOKUP(A773,Products!$A$1:$F$322,2,FALSE)</f>
        <v>Surly Straggler 650b - 2016</v>
      </c>
      <c r="C773" s="21" t="e">
        <f>VLOOKUP(A773,Products!A$322:$D773,4,FALSE)</f>
        <v>#N/A</v>
      </c>
    </row>
    <row r="774" spans="1:3" x14ac:dyDescent="0.35">
      <c r="A774" s="21">
        <v>25</v>
      </c>
      <c r="B774" t="str">
        <f>VLOOKUP(A774,Products!$A$1:$F$322,2,FALSE)</f>
        <v>Electra Townie Original 7D - 2015/2016</v>
      </c>
      <c r="C774" s="21" t="e">
        <f>VLOOKUP(A774,Products!A$322:$D774,4,FALSE)</f>
        <v>#N/A</v>
      </c>
    </row>
    <row r="775" spans="1:3" x14ac:dyDescent="0.35">
      <c r="A775" s="21">
        <v>9</v>
      </c>
      <c r="B775" t="str">
        <f>VLOOKUP(A775,Products!$A$1:$F$322,2,FALSE)</f>
        <v>Trek Conduit+ - 2016</v>
      </c>
      <c r="C775" s="21" t="e">
        <f>VLOOKUP(A775,Products!A$322:$D775,4,FALSE)</f>
        <v>#N/A</v>
      </c>
    </row>
    <row r="776" spans="1:3" x14ac:dyDescent="0.35">
      <c r="A776" s="21">
        <v>18</v>
      </c>
      <c r="B776" t="str">
        <f>VLOOKUP(A776,Products!$A$1:$F$322,2,FALSE)</f>
        <v>Pure Cycles Western 3-Speed - Women's - 2015/2016</v>
      </c>
      <c r="C776" s="21" t="e">
        <f>VLOOKUP(A776,Products!A$322:$D776,4,FALSE)</f>
        <v>#N/A</v>
      </c>
    </row>
    <row r="777" spans="1:3" x14ac:dyDescent="0.35">
      <c r="A777" s="21">
        <v>25</v>
      </c>
      <c r="B777" t="str">
        <f>VLOOKUP(A777,Products!$A$1:$F$322,2,FALSE)</f>
        <v>Electra Townie Original 7D - 2015/2016</v>
      </c>
      <c r="C777" s="21" t="e">
        <f>VLOOKUP(A777,Products!A$322:$D777,4,FALSE)</f>
        <v>#N/A</v>
      </c>
    </row>
    <row r="778" spans="1:3" x14ac:dyDescent="0.35">
      <c r="A778" s="21">
        <v>7</v>
      </c>
      <c r="B778" t="str">
        <f>VLOOKUP(A778,Products!$A$1:$F$322,2,FALSE)</f>
        <v>Trek Slash 8 27.5 - 2016</v>
      </c>
      <c r="C778" s="21" t="e">
        <f>VLOOKUP(A778,Products!A$322:$D778,4,FALSE)</f>
        <v>#N/A</v>
      </c>
    </row>
    <row r="779" spans="1:3" x14ac:dyDescent="0.35">
      <c r="A779" s="21">
        <v>3</v>
      </c>
      <c r="B779" t="str">
        <f>VLOOKUP(A779,Products!$A$1:$F$322,2,FALSE)</f>
        <v>Surly Wednesday Frameset - 2016</v>
      </c>
      <c r="C779" s="21" t="e">
        <f>VLOOKUP(A779,Products!A$322:$D779,4,FALSE)</f>
        <v>#N/A</v>
      </c>
    </row>
    <row r="780" spans="1:3" x14ac:dyDescent="0.35">
      <c r="A780" s="21">
        <v>17</v>
      </c>
      <c r="B780" t="str">
        <f>VLOOKUP(A780,Products!$A$1:$F$322,2,FALSE)</f>
        <v>Pure Cycles Vine 8-Speed - 2016</v>
      </c>
      <c r="C780" s="21" t="e">
        <f>VLOOKUP(A780,Products!A$322:$D780,4,FALSE)</f>
        <v>#N/A</v>
      </c>
    </row>
    <row r="781" spans="1:3" x14ac:dyDescent="0.35">
      <c r="A781" s="21">
        <v>9</v>
      </c>
      <c r="B781" t="str">
        <f>VLOOKUP(A781,Products!$A$1:$F$322,2,FALSE)</f>
        <v>Trek Conduit+ - 2016</v>
      </c>
      <c r="C781" s="21" t="e">
        <f>VLOOKUP(A781,Products!A$322:$D781,4,FALSE)</f>
        <v>#N/A</v>
      </c>
    </row>
    <row r="782" spans="1:3" x14ac:dyDescent="0.35">
      <c r="A782" s="21">
        <v>20</v>
      </c>
      <c r="B782" t="str">
        <f>VLOOKUP(A782,Products!$A$1:$F$322,2,FALSE)</f>
        <v>Electra Townie Original 7D EQ - Women's - 2016</v>
      </c>
      <c r="C782" s="21" t="e">
        <f>VLOOKUP(A782,Products!A$322:$D782,4,FALSE)</f>
        <v>#N/A</v>
      </c>
    </row>
    <row r="783" spans="1:3" x14ac:dyDescent="0.35">
      <c r="A783" s="21">
        <v>6</v>
      </c>
      <c r="B783" t="str">
        <f>VLOOKUP(A783,Products!$A$1:$F$322,2,FALSE)</f>
        <v>Surly Ice Cream Truck Frameset - 2016</v>
      </c>
      <c r="C783" s="21" t="e">
        <f>VLOOKUP(A783,Products!A$322:$D783,4,FALSE)</f>
        <v>#N/A</v>
      </c>
    </row>
    <row r="784" spans="1:3" x14ac:dyDescent="0.35">
      <c r="A784" s="21">
        <v>13</v>
      </c>
      <c r="B784" t="str">
        <f>VLOOKUP(A784,Products!$A$1:$F$322,2,FALSE)</f>
        <v>Electra Cruiser 1 (24-Inch) - 2016</v>
      </c>
      <c r="C784" s="21" t="e">
        <f>VLOOKUP(A784,Products!A$322:$D784,4,FALSE)</f>
        <v>#N/A</v>
      </c>
    </row>
    <row r="785" spans="1:3" x14ac:dyDescent="0.35">
      <c r="A785" s="21">
        <v>16</v>
      </c>
      <c r="B785" t="str">
        <f>VLOOKUP(A785,Products!$A$1:$F$322,2,FALSE)</f>
        <v>Electra Townie Original 7D EQ - 2016</v>
      </c>
      <c r="C785" s="21" t="e">
        <f>VLOOKUP(A785,Products!A$322:$D785,4,FALSE)</f>
        <v>#N/A</v>
      </c>
    </row>
    <row r="786" spans="1:3" x14ac:dyDescent="0.35">
      <c r="A786" s="21">
        <v>19</v>
      </c>
      <c r="B786" t="str">
        <f>VLOOKUP(A786,Products!$A$1:$F$322,2,FALSE)</f>
        <v>Pure Cycles William 3-Speed - 2016</v>
      </c>
      <c r="C786" s="21" t="e">
        <f>VLOOKUP(A786,Products!A$322:$D786,4,FALSE)</f>
        <v>#N/A</v>
      </c>
    </row>
    <row r="787" spans="1:3" x14ac:dyDescent="0.35">
      <c r="A787" s="21">
        <v>13</v>
      </c>
      <c r="B787" t="str">
        <f>VLOOKUP(A787,Products!$A$1:$F$322,2,FALSE)</f>
        <v>Electra Cruiser 1 (24-Inch) - 2016</v>
      </c>
      <c r="C787" s="21" t="e">
        <f>VLOOKUP(A787,Products!A$322:$D787,4,FALSE)</f>
        <v>#N/A</v>
      </c>
    </row>
    <row r="788" spans="1:3" x14ac:dyDescent="0.35">
      <c r="A788" s="21">
        <v>11</v>
      </c>
      <c r="B788" t="str">
        <f>VLOOKUP(A788,Products!$A$1:$F$322,2,FALSE)</f>
        <v>Surly Straggler 650b - 2016</v>
      </c>
      <c r="C788" s="21" t="e">
        <f>VLOOKUP(A788,Products!A$322:$D788,4,FALSE)</f>
        <v>#N/A</v>
      </c>
    </row>
    <row r="789" spans="1:3" x14ac:dyDescent="0.35">
      <c r="A789" s="21">
        <v>25</v>
      </c>
      <c r="B789" t="str">
        <f>VLOOKUP(A789,Products!$A$1:$F$322,2,FALSE)</f>
        <v>Electra Townie Original 7D - 2015/2016</v>
      </c>
      <c r="C789" s="21" t="e">
        <f>VLOOKUP(A789,Products!A$322:$D789,4,FALSE)</f>
        <v>#N/A</v>
      </c>
    </row>
    <row r="790" spans="1:3" x14ac:dyDescent="0.35">
      <c r="A790" s="21">
        <v>25</v>
      </c>
      <c r="B790" t="str">
        <f>VLOOKUP(A790,Products!$A$1:$F$322,2,FALSE)</f>
        <v>Electra Townie Original 7D - 2015/2016</v>
      </c>
      <c r="C790" s="21" t="e">
        <f>VLOOKUP(A790,Products!A$322:$D790,4,FALSE)</f>
        <v>#N/A</v>
      </c>
    </row>
    <row r="791" spans="1:3" x14ac:dyDescent="0.35">
      <c r="A791" s="21">
        <v>26</v>
      </c>
      <c r="B791" t="str">
        <f>VLOOKUP(A791,Products!$A$1:$F$322,2,FALSE)</f>
        <v>Electra Townie Original 7D EQ - 2016</v>
      </c>
      <c r="C791" s="21" t="e">
        <f>VLOOKUP(A791,Products!A$322:$D791,4,FALSE)</f>
        <v>#N/A</v>
      </c>
    </row>
    <row r="792" spans="1:3" x14ac:dyDescent="0.35">
      <c r="A792" s="21">
        <v>13</v>
      </c>
      <c r="B792" t="str">
        <f>VLOOKUP(A792,Products!$A$1:$F$322,2,FALSE)</f>
        <v>Electra Cruiser 1 (24-Inch) - 2016</v>
      </c>
      <c r="C792" s="21" t="e">
        <f>VLOOKUP(A792,Products!A$322:$D792,4,FALSE)</f>
        <v>#N/A</v>
      </c>
    </row>
    <row r="793" spans="1:3" x14ac:dyDescent="0.35">
      <c r="A793" s="21">
        <v>22</v>
      </c>
      <c r="B793" t="str">
        <f>VLOOKUP(A793,Products!$A$1:$F$322,2,FALSE)</f>
        <v>Electra Girl's Hawaii 1 (16-inch) - 2015/2016</v>
      </c>
      <c r="C793" s="21" t="e">
        <f>VLOOKUP(A793,Products!A$322:$D793,4,FALSE)</f>
        <v>#N/A</v>
      </c>
    </row>
    <row r="794" spans="1:3" x14ac:dyDescent="0.35">
      <c r="A794" s="21">
        <v>14</v>
      </c>
      <c r="B794" t="str">
        <f>VLOOKUP(A794,Products!$A$1:$F$322,2,FALSE)</f>
        <v>Electra Girl's Hawaii 1 (16-inch) - 2015/2016</v>
      </c>
      <c r="C794" s="21" t="e">
        <f>VLOOKUP(A794,Products!A$322:$D794,4,FALSE)</f>
        <v>#N/A</v>
      </c>
    </row>
    <row r="795" spans="1:3" x14ac:dyDescent="0.35">
      <c r="A795" s="21">
        <v>7</v>
      </c>
      <c r="B795" t="str">
        <f>VLOOKUP(A795,Products!$A$1:$F$322,2,FALSE)</f>
        <v>Trek Slash 8 27.5 - 2016</v>
      </c>
      <c r="C795" s="21" t="e">
        <f>VLOOKUP(A795,Products!A$322:$D795,4,FALSE)</f>
        <v>#N/A</v>
      </c>
    </row>
    <row r="796" spans="1:3" x14ac:dyDescent="0.35">
      <c r="A796" s="21">
        <v>20</v>
      </c>
      <c r="B796" t="str">
        <f>VLOOKUP(A796,Products!$A$1:$F$322,2,FALSE)</f>
        <v>Electra Townie Original 7D EQ - Women's - 2016</v>
      </c>
      <c r="C796" s="21" t="e">
        <f>VLOOKUP(A796,Products!A$322:$D796,4,FALSE)</f>
        <v>#N/A</v>
      </c>
    </row>
    <row r="797" spans="1:3" x14ac:dyDescent="0.35">
      <c r="A797" s="21">
        <v>7</v>
      </c>
      <c r="B797" t="str">
        <f>VLOOKUP(A797,Products!$A$1:$F$322,2,FALSE)</f>
        <v>Trek Slash 8 27.5 - 2016</v>
      </c>
      <c r="C797" s="21" t="e">
        <f>VLOOKUP(A797,Products!A$322:$D797,4,FALSE)</f>
        <v>#N/A</v>
      </c>
    </row>
    <row r="798" spans="1:3" x14ac:dyDescent="0.35">
      <c r="A798" s="21">
        <v>3</v>
      </c>
      <c r="B798" t="str">
        <f>VLOOKUP(A798,Products!$A$1:$F$322,2,FALSE)</f>
        <v>Surly Wednesday Frameset - 2016</v>
      </c>
      <c r="C798" s="21" t="e">
        <f>VLOOKUP(A798,Products!A$322:$D798,4,FALSE)</f>
        <v>#N/A</v>
      </c>
    </row>
    <row r="799" spans="1:3" x14ac:dyDescent="0.35">
      <c r="A799" s="21">
        <v>16</v>
      </c>
      <c r="B799" t="str">
        <f>VLOOKUP(A799,Products!$A$1:$F$322,2,FALSE)</f>
        <v>Electra Townie Original 7D EQ - 2016</v>
      </c>
      <c r="C799" s="21" t="e">
        <f>VLOOKUP(A799,Products!A$322:$D799,4,FALSE)</f>
        <v>#N/A</v>
      </c>
    </row>
    <row r="800" spans="1:3" x14ac:dyDescent="0.35">
      <c r="A800" s="21">
        <v>9</v>
      </c>
      <c r="B800" t="str">
        <f>VLOOKUP(A800,Products!$A$1:$F$322,2,FALSE)</f>
        <v>Trek Conduit+ - 2016</v>
      </c>
      <c r="C800" s="21" t="e">
        <f>VLOOKUP(A800,Products!A$322:$D800,4,FALSE)</f>
        <v>#N/A</v>
      </c>
    </row>
    <row r="801" spans="1:3" x14ac:dyDescent="0.35">
      <c r="A801" s="21">
        <v>16</v>
      </c>
      <c r="B801" t="str">
        <f>VLOOKUP(A801,Products!$A$1:$F$322,2,FALSE)</f>
        <v>Electra Townie Original 7D EQ - 2016</v>
      </c>
      <c r="C801" s="21" t="e">
        <f>VLOOKUP(A801,Products!A$322:$D801,4,FALSE)</f>
        <v>#N/A</v>
      </c>
    </row>
    <row r="802" spans="1:3" x14ac:dyDescent="0.35">
      <c r="A802" s="21">
        <v>24</v>
      </c>
      <c r="B802" t="str">
        <f>VLOOKUP(A802,Products!$A$1:$F$322,2,FALSE)</f>
        <v>Electra Townie Original 21D - 2016</v>
      </c>
      <c r="C802" s="21" t="e">
        <f>VLOOKUP(A802,Products!A$322:$D802,4,FALSE)</f>
        <v>#N/A</v>
      </c>
    </row>
    <row r="803" spans="1:3" x14ac:dyDescent="0.35">
      <c r="A803" s="21">
        <v>20</v>
      </c>
      <c r="B803" t="str">
        <f>VLOOKUP(A803,Products!$A$1:$F$322,2,FALSE)</f>
        <v>Electra Townie Original 7D EQ - Women's - 2016</v>
      </c>
      <c r="C803" s="21" t="e">
        <f>VLOOKUP(A803,Products!A$322:$D803,4,FALSE)</f>
        <v>#N/A</v>
      </c>
    </row>
    <row r="804" spans="1:3" x14ac:dyDescent="0.35">
      <c r="A804" s="21">
        <v>16</v>
      </c>
      <c r="B804" t="str">
        <f>VLOOKUP(A804,Products!$A$1:$F$322,2,FALSE)</f>
        <v>Electra Townie Original 7D EQ - 2016</v>
      </c>
      <c r="C804" s="21" t="e">
        <f>VLOOKUP(A804,Products!A$322:$D804,4,FALSE)</f>
        <v>#N/A</v>
      </c>
    </row>
    <row r="805" spans="1:3" x14ac:dyDescent="0.35">
      <c r="A805" s="21">
        <v>12</v>
      </c>
      <c r="B805" t="str">
        <f>VLOOKUP(A805,Products!$A$1:$F$322,2,FALSE)</f>
        <v>Electra Townie Original 21D - 2016</v>
      </c>
      <c r="C805" s="21" t="e">
        <f>VLOOKUP(A805,Products!A$322:$D805,4,FALSE)</f>
        <v>#N/A</v>
      </c>
    </row>
    <row r="806" spans="1:3" x14ac:dyDescent="0.35">
      <c r="A806" s="21">
        <v>2</v>
      </c>
      <c r="B806" t="str">
        <f>VLOOKUP(A806,Products!$A$1:$F$322,2,FALSE)</f>
        <v>Ritchey Timberwolf Frameset - 2016</v>
      </c>
      <c r="C806" s="21" t="e">
        <f>VLOOKUP(A806,Products!A$322:$D806,4,FALSE)</f>
        <v>#N/A</v>
      </c>
    </row>
    <row r="807" spans="1:3" x14ac:dyDescent="0.35">
      <c r="A807" s="21">
        <v>26</v>
      </c>
      <c r="B807" t="str">
        <f>VLOOKUP(A807,Products!$A$1:$F$322,2,FALSE)</f>
        <v>Electra Townie Original 7D EQ - 2016</v>
      </c>
      <c r="C807" s="21" t="e">
        <f>VLOOKUP(A807,Products!A$322:$D807,4,FALSE)</f>
        <v>#N/A</v>
      </c>
    </row>
    <row r="808" spans="1:3" x14ac:dyDescent="0.35">
      <c r="A808" s="21">
        <v>21</v>
      </c>
      <c r="B808" t="str">
        <f>VLOOKUP(A808,Products!$A$1:$F$322,2,FALSE)</f>
        <v>Electra Cruiser 1 (24-Inch) - 2016</v>
      </c>
      <c r="C808" s="21" t="e">
        <f>VLOOKUP(A808,Products!A$322:$D808,4,FALSE)</f>
        <v>#N/A</v>
      </c>
    </row>
    <row r="809" spans="1:3" x14ac:dyDescent="0.35">
      <c r="A809" s="21">
        <v>16</v>
      </c>
      <c r="B809" t="str">
        <f>VLOOKUP(A809,Products!$A$1:$F$322,2,FALSE)</f>
        <v>Electra Townie Original 7D EQ - 2016</v>
      </c>
      <c r="C809" s="21" t="e">
        <f>VLOOKUP(A809,Products!A$322:$D809,4,FALSE)</f>
        <v>#N/A</v>
      </c>
    </row>
    <row r="810" spans="1:3" x14ac:dyDescent="0.35">
      <c r="A810" s="21">
        <v>7</v>
      </c>
      <c r="B810" t="str">
        <f>VLOOKUP(A810,Products!$A$1:$F$322,2,FALSE)</f>
        <v>Trek Slash 8 27.5 - 2016</v>
      </c>
      <c r="C810" s="21" t="e">
        <f>VLOOKUP(A810,Products!A$322:$D810,4,FALSE)</f>
        <v>#N/A</v>
      </c>
    </row>
    <row r="811" spans="1:3" x14ac:dyDescent="0.35">
      <c r="A811" s="21">
        <v>5</v>
      </c>
      <c r="B811" t="str">
        <f>VLOOKUP(A811,Products!$A$1:$F$322,2,FALSE)</f>
        <v>Heller Shagamaw Frame - 2016</v>
      </c>
      <c r="C811" s="21" t="e">
        <f>VLOOKUP(A811,Products!A$322:$D811,4,FALSE)</f>
        <v>#N/A</v>
      </c>
    </row>
    <row r="812" spans="1:3" x14ac:dyDescent="0.35">
      <c r="A812" s="21">
        <v>10</v>
      </c>
      <c r="B812" t="str">
        <f>VLOOKUP(A812,Products!$A$1:$F$322,2,FALSE)</f>
        <v>Surly Straggler - 2016</v>
      </c>
      <c r="C812" s="21" t="e">
        <f>VLOOKUP(A812,Products!A$322:$D812,4,FALSE)</f>
        <v>#N/A</v>
      </c>
    </row>
    <row r="813" spans="1:3" x14ac:dyDescent="0.35">
      <c r="A813" s="21">
        <v>2</v>
      </c>
      <c r="B813" t="str">
        <f>VLOOKUP(A813,Products!$A$1:$F$322,2,FALSE)</f>
        <v>Ritchey Timberwolf Frameset - 2016</v>
      </c>
      <c r="C813" s="21" t="e">
        <f>VLOOKUP(A813,Products!A$322:$D813,4,FALSE)</f>
        <v>#N/A</v>
      </c>
    </row>
    <row r="814" spans="1:3" x14ac:dyDescent="0.35">
      <c r="A814" s="21">
        <v>20</v>
      </c>
      <c r="B814" t="str">
        <f>VLOOKUP(A814,Products!$A$1:$F$322,2,FALSE)</f>
        <v>Electra Townie Original 7D EQ - Women's - 2016</v>
      </c>
      <c r="C814" s="21" t="e">
        <f>VLOOKUP(A814,Products!A$322:$D814,4,FALSE)</f>
        <v>#N/A</v>
      </c>
    </row>
    <row r="815" spans="1:3" x14ac:dyDescent="0.35">
      <c r="A815" s="21">
        <v>4</v>
      </c>
      <c r="B815" t="str">
        <f>VLOOKUP(A815,Products!$A$1:$F$322,2,FALSE)</f>
        <v>Trek Fuel EX 8 29 - 2016</v>
      </c>
      <c r="C815" s="21" t="e">
        <f>VLOOKUP(A815,Products!A$322:$D815,4,FALSE)</f>
        <v>#N/A</v>
      </c>
    </row>
    <row r="816" spans="1:3" x14ac:dyDescent="0.35">
      <c r="A816" s="21">
        <v>10</v>
      </c>
      <c r="B816" t="str">
        <f>VLOOKUP(A816,Products!$A$1:$F$322,2,FALSE)</f>
        <v>Surly Straggler - 2016</v>
      </c>
      <c r="C816" s="21" t="e">
        <f>VLOOKUP(A816,Products!A$322:$D816,4,FALSE)</f>
        <v>#N/A</v>
      </c>
    </row>
    <row r="817" spans="1:3" x14ac:dyDescent="0.35">
      <c r="A817" s="21">
        <v>7</v>
      </c>
      <c r="B817" t="str">
        <f>VLOOKUP(A817,Products!$A$1:$F$322,2,FALSE)</f>
        <v>Trek Slash 8 27.5 - 2016</v>
      </c>
      <c r="C817" s="21" t="e">
        <f>VLOOKUP(A817,Products!A$322:$D817,4,FALSE)</f>
        <v>#N/A</v>
      </c>
    </row>
    <row r="818" spans="1:3" x14ac:dyDescent="0.35">
      <c r="A818" s="21">
        <v>13</v>
      </c>
      <c r="B818" t="str">
        <f>VLOOKUP(A818,Products!$A$1:$F$322,2,FALSE)</f>
        <v>Electra Cruiser 1 (24-Inch) - 2016</v>
      </c>
      <c r="C818" s="21" t="e">
        <f>VLOOKUP(A818,Products!A$322:$D818,4,FALSE)</f>
        <v>#N/A</v>
      </c>
    </row>
    <row r="819" spans="1:3" x14ac:dyDescent="0.35">
      <c r="A819" s="21">
        <v>24</v>
      </c>
      <c r="B819" t="str">
        <f>VLOOKUP(A819,Products!$A$1:$F$322,2,FALSE)</f>
        <v>Electra Townie Original 21D - 2016</v>
      </c>
      <c r="C819" s="21" t="e">
        <f>VLOOKUP(A819,Products!A$322:$D819,4,FALSE)</f>
        <v>#N/A</v>
      </c>
    </row>
    <row r="820" spans="1:3" x14ac:dyDescent="0.35">
      <c r="A820" s="21">
        <v>17</v>
      </c>
      <c r="B820" t="str">
        <f>VLOOKUP(A820,Products!$A$1:$F$322,2,FALSE)</f>
        <v>Pure Cycles Vine 8-Speed - 2016</v>
      </c>
      <c r="C820" s="21" t="e">
        <f>VLOOKUP(A820,Products!A$322:$D820,4,FALSE)</f>
        <v>#N/A</v>
      </c>
    </row>
    <row r="821" spans="1:3" x14ac:dyDescent="0.35">
      <c r="A821" s="21">
        <v>2</v>
      </c>
      <c r="B821" t="str">
        <f>VLOOKUP(A821,Products!$A$1:$F$322,2,FALSE)</f>
        <v>Ritchey Timberwolf Frameset - 2016</v>
      </c>
      <c r="C821" s="21" t="e">
        <f>VLOOKUP(A821,Products!A$322:$D821,4,FALSE)</f>
        <v>#N/A</v>
      </c>
    </row>
    <row r="822" spans="1:3" x14ac:dyDescent="0.35">
      <c r="A822" s="21">
        <v>5</v>
      </c>
      <c r="B822" t="str">
        <f>VLOOKUP(A822,Products!$A$1:$F$322,2,FALSE)</f>
        <v>Heller Shagamaw Frame - 2016</v>
      </c>
      <c r="C822" s="21" t="e">
        <f>VLOOKUP(A822,Products!A$322:$D822,4,FALSE)</f>
        <v>#N/A</v>
      </c>
    </row>
    <row r="823" spans="1:3" x14ac:dyDescent="0.35">
      <c r="A823" s="21">
        <v>21</v>
      </c>
      <c r="B823" t="str">
        <f>VLOOKUP(A823,Products!$A$1:$F$322,2,FALSE)</f>
        <v>Electra Cruiser 1 (24-Inch) - 2016</v>
      </c>
      <c r="C823" s="21" t="e">
        <f>VLOOKUP(A823,Products!A$322:$D823,4,FALSE)</f>
        <v>#N/A</v>
      </c>
    </row>
    <row r="824" spans="1:3" x14ac:dyDescent="0.35">
      <c r="A824" s="21">
        <v>6</v>
      </c>
      <c r="B824" t="str">
        <f>VLOOKUP(A824,Products!$A$1:$F$322,2,FALSE)</f>
        <v>Surly Ice Cream Truck Frameset - 2016</v>
      </c>
      <c r="C824" s="21" t="e">
        <f>VLOOKUP(A824,Products!A$322:$D824,4,FALSE)</f>
        <v>#N/A</v>
      </c>
    </row>
    <row r="825" spans="1:3" x14ac:dyDescent="0.35">
      <c r="A825" s="21">
        <v>21</v>
      </c>
      <c r="B825" t="str">
        <f>VLOOKUP(A825,Products!$A$1:$F$322,2,FALSE)</f>
        <v>Electra Cruiser 1 (24-Inch) - 2016</v>
      </c>
      <c r="C825" s="21" t="e">
        <f>VLOOKUP(A825,Products!A$322:$D825,4,FALSE)</f>
        <v>#N/A</v>
      </c>
    </row>
    <row r="826" spans="1:3" x14ac:dyDescent="0.35">
      <c r="A826" s="21">
        <v>18</v>
      </c>
      <c r="B826" t="str">
        <f>VLOOKUP(A826,Products!$A$1:$F$322,2,FALSE)</f>
        <v>Pure Cycles Western 3-Speed - Women's - 2015/2016</v>
      </c>
      <c r="C826" s="21" t="e">
        <f>VLOOKUP(A826,Products!A$322:$D826,4,FALSE)</f>
        <v>#N/A</v>
      </c>
    </row>
    <row r="827" spans="1:3" x14ac:dyDescent="0.35">
      <c r="A827" s="21">
        <v>4</v>
      </c>
      <c r="B827" t="str">
        <f>VLOOKUP(A827,Products!$A$1:$F$322,2,FALSE)</f>
        <v>Trek Fuel EX 8 29 - 2016</v>
      </c>
      <c r="C827" s="21" t="e">
        <f>VLOOKUP(A827,Products!A$322:$D827,4,FALSE)</f>
        <v>#N/A</v>
      </c>
    </row>
    <row r="828" spans="1:3" x14ac:dyDescent="0.35">
      <c r="A828" s="21">
        <v>10</v>
      </c>
      <c r="B828" t="str">
        <f>VLOOKUP(A828,Products!$A$1:$F$322,2,FALSE)</f>
        <v>Surly Straggler - 2016</v>
      </c>
      <c r="C828" s="21" t="e">
        <f>VLOOKUP(A828,Products!A$322:$D828,4,FALSE)</f>
        <v>#N/A</v>
      </c>
    </row>
    <row r="829" spans="1:3" x14ac:dyDescent="0.35">
      <c r="A829" s="21">
        <v>19</v>
      </c>
      <c r="B829" t="str">
        <f>VLOOKUP(A829,Products!$A$1:$F$322,2,FALSE)</f>
        <v>Pure Cycles William 3-Speed - 2016</v>
      </c>
      <c r="C829" s="21" t="e">
        <f>VLOOKUP(A829,Products!A$322:$D829,4,FALSE)</f>
        <v>#N/A</v>
      </c>
    </row>
    <row r="830" spans="1:3" x14ac:dyDescent="0.35">
      <c r="A830" s="21">
        <v>6</v>
      </c>
      <c r="B830" t="str">
        <f>VLOOKUP(A830,Products!$A$1:$F$322,2,FALSE)</f>
        <v>Surly Ice Cream Truck Frameset - 2016</v>
      </c>
      <c r="C830" s="21" t="e">
        <f>VLOOKUP(A830,Products!A$322:$D830,4,FALSE)</f>
        <v>#N/A</v>
      </c>
    </row>
    <row r="831" spans="1:3" x14ac:dyDescent="0.35">
      <c r="A831" s="21">
        <v>18</v>
      </c>
      <c r="B831" t="str">
        <f>VLOOKUP(A831,Products!$A$1:$F$322,2,FALSE)</f>
        <v>Pure Cycles Western 3-Speed - Women's - 2015/2016</v>
      </c>
      <c r="C831" s="21" t="e">
        <f>VLOOKUP(A831,Products!A$322:$D831,4,FALSE)</f>
        <v>#N/A</v>
      </c>
    </row>
    <row r="832" spans="1:3" x14ac:dyDescent="0.35">
      <c r="A832" s="21">
        <v>14</v>
      </c>
      <c r="B832" t="str">
        <f>VLOOKUP(A832,Products!$A$1:$F$322,2,FALSE)</f>
        <v>Electra Girl's Hawaii 1 (16-inch) - 2015/2016</v>
      </c>
      <c r="C832" s="21" t="e">
        <f>VLOOKUP(A832,Products!A$322:$D832,4,FALSE)</f>
        <v>#N/A</v>
      </c>
    </row>
    <row r="833" spans="1:3" x14ac:dyDescent="0.35">
      <c r="A833" s="21">
        <v>7</v>
      </c>
      <c r="B833" t="str">
        <f>VLOOKUP(A833,Products!$A$1:$F$322,2,FALSE)</f>
        <v>Trek Slash 8 27.5 - 2016</v>
      </c>
      <c r="C833" s="21" t="e">
        <f>VLOOKUP(A833,Products!A$322:$D833,4,FALSE)</f>
        <v>#N/A</v>
      </c>
    </row>
    <row r="834" spans="1:3" x14ac:dyDescent="0.35">
      <c r="A834" s="21">
        <v>25</v>
      </c>
      <c r="B834" t="str">
        <f>VLOOKUP(A834,Products!$A$1:$F$322,2,FALSE)</f>
        <v>Electra Townie Original 7D - 2015/2016</v>
      </c>
      <c r="C834" s="21" t="e">
        <f>VLOOKUP(A834,Products!A$322:$D834,4,FALSE)</f>
        <v>#N/A</v>
      </c>
    </row>
    <row r="835" spans="1:3" x14ac:dyDescent="0.35">
      <c r="A835" s="21">
        <v>22</v>
      </c>
      <c r="B835" t="str">
        <f>VLOOKUP(A835,Products!$A$1:$F$322,2,FALSE)</f>
        <v>Electra Girl's Hawaii 1 (16-inch) - 2015/2016</v>
      </c>
      <c r="C835" s="21" t="e">
        <f>VLOOKUP(A835,Products!A$322:$D835,4,FALSE)</f>
        <v>#N/A</v>
      </c>
    </row>
    <row r="836" spans="1:3" x14ac:dyDescent="0.35">
      <c r="A836" s="21">
        <v>25</v>
      </c>
      <c r="B836" t="str">
        <f>VLOOKUP(A836,Products!$A$1:$F$322,2,FALSE)</f>
        <v>Electra Townie Original 7D - 2015/2016</v>
      </c>
      <c r="C836" s="21" t="e">
        <f>VLOOKUP(A836,Products!A$322:$D836,4,FALSE)</f>
        <v>#N/A</v>
      </c>
    </row>
    <row r="837" spans="1:3" x14ac:dyDescent="0.35">
      <c r="A837" s="21">
        <v>12</v>
      </c>
      <c r="B837" t="str">
        <f>VLOOKUP(A837,Products!$A$1:$F$322,2,FALSE)</f>
        <v>Electra Townie Original 21D - 2016</v>
      </c>
      <c r="C837" s="21" t="e">
        <f>VLOOKUP(A837,Products!A$322:$D837,4,FALSE)</f>
        <v>#N/A</v>
      </c>
    </row>
    <row r="838" spans="1:3" x14ac:dyDescent="0.35">
      <c r="A838" s="21">
        <v>11</v>
      </c>
      <c r="B838" t="str">
        <f>VLOOKUP(A838,Products!$A$1:$F$322,2,FALSE)</f>
        <v>Surly Straggler 650b - 2016</v>
      </c>
      <c r="C838" s="21" t="e">
        <f>VLOOKUP(A838,Products!A$322:$D838,4,FALSE)</f>
        <v>#N/A</v>
      </c>
    </row>
    <row r="839" spans="1:3" x14ac:dyDescent="0.35">
      <c r="A839" s="21">
        <v>9</v>
      </c>
      <c r="B839" t="str">
        <f>VLOOKUP(A839,Products!$A$1:$F$322,2,FALSE)</f>
        <v>Trek Conduit+ - 2016</v>
      </c>
      <c r="C839" s="21" t="e">
        <f>VLOOKUP(A839,Products!A$322:$D839,4,FALSE)</f>
        <v>#N/A</v>
      </c>
    </row>
    <row r="840" spans="1:3" x14ac:dyDescent="0.35">
      <c r="A840" s="21">
        <v>4</v>
      </c>
      <c r="B840" t="str">
        <f>VLOOKUP(A840,Products!$A$1:$F$322,2,FALSE)</f>
        <v>Trek Fuel EX 8 29 - 2016</v>
      </c>
      <c r="C840" s="21" t="e">
        <f>VLOOKUP(A840,Products!A$322:$D840,4,FALSE)</f>
        <v>#N/A</v>
      </c>
    </row>
    <row r="841" spans="1:3" x14ac:dyDescent="0.35">
      <c r="A841" s="21">
        <v>23</v>
      </c>
      <c r="B841" t="str">
        <f>VLOOKUP(A841,Products!$A$1:$F$322,2,FALSE)</f>
        <v>Electra Girl's Hawaii 1 (20-inch) - 2015/2016</v>
      </c>
      <c r="C841" s="21" t="e">
        <f>VLOOKUP(A841,Products!A$322:$D841,4,FALSE)</f>
        <v>#N/A</v>
      </c>
    </row>
    <row r="842" spans="1:3" x14ac:dyDescent="0.35">
      <c r="A842" s="21">
        <v>6</v>
      </c>
      <c r="B842" t="str">
        <f>VLOOKUP(A842,Products!$A$1:$F$322,2,FALSE)</f>
        <v>Surly Ice Cream Truck Frameset - 2016</v>
      </c>
      <c r="C842" s="21" t="e">
        <f>VLOOKUP(A842,Products!A$322:$D842,4,FALSE)</f>
        <v>#N/A</v>
      </c>
    </row>
    <row r="843" spans="1:3" x14ac:dyDescent="0.35">
      <c r="A843" s="21">
        <v>22</v>
      </c>
      <c r="B843" t="str">
        <f>VLOOKUP(A843,Products!$A$1:$F$322,2,FALSE)</f>
        <v>Electra Girl's Hawaii 1 (16-inch) - 2015/2016</v>
      </c>
      <c r="C843" s="21" t="e">
        <f>VLOOKUP(A843,Products!A$322:$D843,4,FALSE)</f>
        <v>#N/A</v>
      </c>
    </row>
    <row r="844" spans="1:3" x14ac:dyDescent="0.35">
      <c r="A844" s="21">
        <v>9</v>
      </c>
      <c r="B844" t="str">
        <f>VLOOKUP(A844,Products!$A$1:$F$322,2,FALSE)</f>
        <v>Trek Conduit+ - 2016</v>
      </c>
      <c r="C844" s="21" t="e">
        <f>VLOOKUP(A844,Products!A$322:$D844,4,FALSE)</f>
        <v>#N/A</v>
      </c>
    </row>
    <row r="845" spans="1:3" x14ac:dyDescent="0.35">
      <c r="A845" s="21">
        <v>14</v>
      </c>
      <c r="B845" t="str">
        <f>VLOOKUP(A845,Products!$A$1:$F$322,2,FALSE)</f>
        <v>Electra Girl's Hawaii 1 (16-inch) - 2015/2016</v>
      </c>
      <c r="C845" s="21" t="e">
        <f>VLOOKUP(A845,Products!A$322:$D845,4,FALSE)</f>
        <v>#N/A</v>
      </c>
    </row>
    <row r="846" spans="1:3" x14ac:dyDescent="0.35">
      <c r="A846" s="21">
        <v>11</v>
      </c>
      <c r="B846" t="str">
        <f>VLOOKUP(A846,Products!$A$1:$F$322,2,FALSE)</f>
        <v>Surly Straggler 650b - 2016</v>
      </c>
      <c r="C846" s="21" t="e">
        <f>VLOOKUP(A846,Products!A$322:$D846,4,FALSE)</f>
        <v>#N/A</v>
      </c>
    </row>
    <row r="847" spans="1:3" x14ac:dyDescent="0.35">
      <c r="A847" s="21">
        <v>10</v>
      </c>
      <c r="B847" t="str">
        <f>VLOOKUP(A847,Products!$A$1:$F$322,2,FALSE)</f>
        <v>Surly Straggler - 2016</v>
      </c>
      <c r="C847" s="21" t="e">
        <f>VLOOKUP(A847,Products!A$322:$D847,4,FALSE)</f>
        <v>#N/A</v>
      </c>
    </row>
    <row r="848" spans="1:3" x14ac:dyDescent="0.35">
      <c r="A848" s="21">
        <v>16</v>
      </c>
      <c r="B848" t="str">
        <f>VLOOKUP(A848,Products!$A$1:$F$322,2,FALSE)</f>
        <v>Electra Townie Original 7D EQ - 2016</v>
      </c>
      <c r="C848" s="21" t="e">
        <f>VLOOKUP(A848,Products!A$322:$D848,4,FALSE)</f>
        <v>#N/A</v>
      </c>
    </row>
    <row r="849" spans="1:3" x14ac:dyDescent="0.35">
      <c r="A849" s="21">
        <v>9</v>
      </c>
      <c r="B849" t="str">
        <f>VLOOKUP(A849,Products!$A$1:$F$322,2,FALSE)</f>
        <v>Trek Conduit+ - 2016</v>
      </c>
      <c r="C849" s="21" t="e">
        <f>VLOOKUP(A849,Products!A$322:$D849,4,FALSE)</f>
        <v>#N/A</v>
      </c>
    </row>
    <row r="850" spans="1:3" x14ac:dyDescent="0.35">
      <c r="A850" s="21">
        <v>10</v>
      </c>
      <c r="B850" t="str">
        <f>VLOOKUP(A850,Products!$A$1:$F$322,2,FALSE)</f>
        <v>Surly Straggler - 2016</v>
      </c>
      <c r="C850" s="21" t="e">
        <f>VLOOKUP(A850,Products!A$322:$D850,4,FALSE)</f>
        <v>#N/A</v>
      </c>
    </row>
    <row r="851" spans="1:3" x14ac:dyDescent="0.35">
      <c r="A851" s="21">
        <v>11</v>
      </c>
      <c r="B851" t="str">
        <f>VLOOKUP(A851,Products!$A$1:$F$322,2,FALSE)</f>
        <v>Surly Straggler 650b - 2016</v>
      </c>
      <c r="C851" s="21" t="e">
        <f>VLOOKUP(A851,Products!A$322:$D851,4,FALSE)</f>
        <v>#N/A</v>
      </c>
    </row>
    <row r="852" spans="1:3" x14ac:dyDescent="0.35">
      <c r="A852" s="21">
        <v>6</v>
      </c>
      <c r="B852" t="str">
        <f>VLOOKUP(A852,Products!$A$1:$F$322,2,FALSE)</f>
        <v>Surly Ice Cream Truck Frameset - 2016</v>
      </c>
      <c r="C852" s="21" t="e">
        <f>VLOOKUP(A852,Products!A$322:$D852,4,FALSE)</f>
        <v>#N/A</v>
      </c>
    </row>
    <row r="853" spans="1:3" x14ac:dyDescent="0.35">
      <c r="A853" s="21">
        <v>22</v>
      </c>
      <c r="B853" t="str">
        <f>VLOOKUP(A853,Products!$A$1:$F$322,2,FALSE)</f>
        <v>Electra Girl's Hawaii 1 (16-inch) - 2015/2016</v>
      </c>
      <c r="C853" s="21" t="e">
        <f>VLOOKUP(A853,Products!A$322:$D853,4,FALSE)</f>
        <v>#N/A</v>
      </c>
    </row>
    <row r="854" spans="1:3" x14ac:dyDescent="0.35">
      <c r="A854" s="21">
        <v>24</v>
      </c>
      <c r="B854" t="str">
        <f>VLOOKUP(A854,Products!$A$1:$F$322,2,FALSE)</f>
        <v>Electra Townie Original 21D - 2016</v>
      </c>
      <c r="C854" s="21" t="e">
        <f>VLOOKUP(A854,Products!A$322:$D854,4,FALSE)</f>
        <v>#N/A</v>
      </c>
    </row>
    <row r="855" spans="1:3" x14ac:dyDescent="0.35">
      <c r="A855" s="21">
        <v>18</v>
      </c>
      <c r="B855" t="str">
        <f>VLOOKUP(A855,Products!$A$1:$F$322,2,FALSE)</f>
        <v>Pure Cycles Western 3-Speed - Women's - 2015/2016</v>
      </c>
      <c r="C855" s="21" t="e">
        <f>VLOOKUP(A855,Products!A$322:$D855,4,FALSE)</f>
        <v>#N/A</v>
      </c>
    </row>
    <row r="856" spans="1:3" x14ac:dyDescent="0.35">
      <c r="A856" s="21">
        <v>2</v>
      </c>
      <c r="B856" t="str">
        <f>VLOOKUP(A856,Products!$A$1:$F$322,2,FALSE)</f>
        <v>Ritchey Timberwolf Frameset - 2016</v>
      </c>
      <c r="C856" s="21" t="e">
        <f>VLOOKUP(A856,Products!A$322:$D856,4,FALSE)</f>
        <v>#N/A</v>
      </c>
    </row>
    <row r="857" spans="1:3" x14ac:dyDescent="0.35">
      <c r="A857" s="21">
        <v>8</v>
      </c>
      <c r="B857" t="str">
        <f>VLOOKUP(A857,Products!$A$1:$F$322,2,FALSE)</f>
        <v>Trek Remedy 29 Carbon Frameset - 2016</v>
      </c>
      <c r="C857" s="21" t="e">
        <f>VLOOKUP(A857,Products!A$322:$D857,4,FALSE)</f>
        <v>#N/A</v>
      </c>
    </row>
    <row r="858" spans="1:3" x14ac:dyDescent="0.35">
      <c r="A858" s="21">
        <v>24</v>
      </c>
      <c r="B858" t="str">
        <f>VLOOKUP(A858,Products!$A$1:$F$322,2,FALSE)</f>
        <v>Electra Townie Original 21D - 2016</v>
      </c>
      <c r="C858" s="21" t="e">
        <f>VLOOKUP(A858,Products!A$322:$D858,4,FALSE)</f>
        <v>#N/A</v>
      </c>
    </row>
    <row r="859" spans="1:3" x14ac:dyDescent="0.35">
      <c r="A859" s="21">
        <v>10</v>
      </c>
      <c r="B859" t="str">
        <f>VLOOKUP(A859,Products!$A$1:$F$322,2,FALSE)</f>
        <v>Surly Straggler - 2016</v>
      </c>
      <c r="C859" s="21" t="e">
        <f>VLOOKUP(A859,Products!A$322:$D859,4,FALSE)</f>
        <v>#N/A</v>
      </c>
    </row>
    <row r="860" spans="1:3" x14ac:dyDescent="0.35">
      <c r="A860" s="21">
        <v>7</v>
      </c>
      <c r="B860" t="str">
        <f>VLOOKUP(A860,Products!$A$1:$F$322,2,FALSE)</f>
        <v>Trek Slash 8 27.5 - 2016</v>
      </c>
      <c r="C860" s="21" t="e">
        <f>VLOOKUP(A860,Products!A$322:$D860,4,FALSE)</f>
        <v>#N/A</v>
      </c>
    </row>
    <row r="861" spans="1:3" x14ac:dyDescent="0.35">
      <c r="A861" s="21">
        <v>20</v>
      </c>
      <c r="B861" t="str">
        <f>VLOOKUP(A861,Products!$A$1:$F$322,2,FALSE)</f>
        <v>Electra Townie Original 7D EQ - Women's - 2016</v>
      </c>
      <c r="C861" s="21" t="e">
        <f>VLOOKUP(A861,Products!A$322:$D861,4,FALSE)</f>
        <v>#N/A</v>
      </c>
    </row>
    <row r="862" spans="1:3" x14ac:dyDescent="0.35">
      <c r="A862" s="21">
        <v>10</v>
      </c>
      <c r="B862" t="str">
        <f>VLOOKUP(A862,Products!$A$1:$F$322,2,FALSE)</f>
        <v>Surly Straggler - 2016</v>
      </c>
      <c r="C862" s="21" t="e">
        <f>VLOOKUP(A862,Products!A$322:$D862,4,FALSE)</f>
        <v>#N/A</v>
      </c>
    </row>
    <row r="863" spans="1:3" x14ac:dyDescent="0.35">
      <c r="A863" s="21">
        <v>6</v>
      </c>
      <c r="B863" t="str">
        <f>VLOOKUP(A863,Products!$A$1:$F$322,2,FALSE)</f>
        <v>Surly Ice Cream Truck Frameset - 2016</v>
      </c>
      <c r="C863" s="21" t="e">
        <f>VLOOKUP(A863,Products!A$322:$D863,4,FALSE)</f>
        <v>#N/A</v>
      </c>
    </row>
    <row r="864" spans="1:3" x14ac:dyDescent="0.35">
      <c r="A864" s="21">
        <v>3</v>
      </c>
      <c r="B864" t="str">
        <f>VLOOKUP(A864,Products!$A$1:$F$322,2,FALSE)</f>
        <v>Surly Wednesday Frameset - 2016</v>
      </c>
      <c r="C864" s="21" t="e">
        <f>VLOOKUP(A864,Products!A$322:$D864,4,FALSE)</f>
        <v>#N/A</v>
      </c>
    </row>
    <row r="865" spans="1:3" x14ac:dyDescent="0.35">
      <c r="A865" s="21">
        <v>10</v>
      </c>
      <c r="B865" t="str">
        <f>VLOOKUP(A865,Products!$A$1:$F$322,2,FALSE)</f>
        <v>Surly Straggler - 2016</v>
      </c>
      <c r="C865" s="21" t="e">
        <f>VLOOKUP(A865,Products!A$322:$D865,4,FALSE)</f>
        <v>#N/A</v>
      </c>
    </row>
    <row r="866" spans="1:3" x14ac:dyDescent="0.35">
      <c r="A866" s="21">
        <v>22</v>
      </c>
      <c r="B866" t="str">
        <f>VLOOKUP(A866,Products!$A$1:$F$322,2,FALSE)</f>
        <v>Electra Girl's Hawaii 1 (16-inch) - 2015/2016</v>
      </c>
      <c r="C866" s="21" t="e">
        <f>VLOOKUP(A866,Products!A$322:$D866,4,FALSE)</f>
        <v>#N/A</v>
      </c>
    </row>
    <row r="867" spans="1:3" x14ac:dyDescent="0.35">
      <c r="A867" s="21">
        <v>15</v>
      </c>
      <c r="B867" t="str">
        <f>VLOOKUP(A867,Products!$A$1:$F$322,2,FALSE)</f>
        <v>Electra Moto 1 - 2016</v>
      </c>
      <c r="C867" s="21" t="e">
        <f>VLOOKUP(A867,Products!A$322:$D867,4,FALSE)</f>
        <v>#N/A</v>
      </c>
    </row>
    <row r="868" spans="1:3" x14ac:dyDescent="0.35">
      <c r="A868" s="21">
        <v>7</v>
      </c>
      <c r="B868" t="str">
        <f>VLOOKUP(A868,Products!$A$1:$F$322,2,FALSE)</f>
        <v>Trek Slash 8 27.5 - 2016</v>
      </c>
      <c r="C868" s="21" t="e">
        <f>VLOOKUP(A868,Products!A$322:$D868,4,FALSE)</f>
        <v>#N/A</v>
      </c>
    </row>
    <row r="869" spans="1:3" x14ac:dyDescent="0.35">
      <c r="A869" s="21">
        <v>18</v>
      </c>
      <c r="B869" t="str">
        <f>VLOOKUP(A869,Products!$A$1:$F$322,2,FALSE)</f>
        <v>Pure Cycles Western 3-Speed - Women's - 2015/2016</v>
      </c>
      <c r="C869" s="21" t="e">
        <f>VLOOKUP(A869,Products!A$322:$D869,4,FALSE)</f>
        <v>#N/A</v>
      </c>
    </row>
    <row r="870" spans="1:3" x14ac:dyDescent="0.35">
      <c r="A870" s="21">
        <v>14</v>
      </c>
      <c r="B870" t="str">
        <f>VLOOKUP(A870,Products!$A$1:$F$322,2,FALSE)</f>
        <v>Electra Girl's Hawaii 1 (16-inch) - 2015/2016</v>
      </c>
      <c r="C870" s="21" t="e">
        <f>VLOOKUP(A870,Products!A$322:$D870,4,FALSE)</f>
        <v>#N/A</v>
      </c>
    </row>
    <row r="871" spans="1:3" x14ac:dyDescent="0.35">
      <c r="A871" s="21">
        <v>3</v>
      </c>
      <c r="B871" t="str">
        <f>VLOOKUP(A871,Products!$A$1:$F$322,2,FALSE)</f>
        <v>Surly Wednesday Frameset - 2016</v>
      </c>
      <c r="C871" s="21" t="e">
        <f>VLOOKUP(A871,Products!A$322:$D871,4,FALSE)</f>
        <v>#N/A</v>
      </c>
    </row>
    <row r="872" spans="1:3" x14ac:dyDescent="0.35">
      <c r="A872" s="21">
        <v>12</v>
      </c>
      <c r="B872" t="str">
        <f>VLOOKUP(A872,Products!$A$1:$F$322,2,FALSE)</f>
        <v>Electra Townie Original 21D - 2016</v>
      </c>
      <c r="C872" s="21" t="e">
        <f>VLOOKUP(A872,Products!A$322:$D872,4,FALSE)</f>
        <v>#N/A</v>
      </c>
    </row>
    <row r="873" spans="1:3" x14ac:dyDescent="0.35">
      <c r="A873" s="21">
        <v>7</v>
      </c>
      <c r="B873" t="str">
        <f>VLOOKUP(A873,Products!$A$1:$F$322,2,FALSE)</f>
        <v>Trek Slash 8 27.5 - 2016</v>
      </c>
      <c r="C873" s="21" t="e">
        <f>VLOOKUP(A873,Products!A$322:$D873,4,FALSE)</f>
        <v>#N/A</v>
      </c>
    </row>
    <row r="874" spans="1:3" x14ac:dyDescent="0.35">
      <c r="A874" s="21">
        <v>14</v>
      </c>
      <c r="B874" t="str">
        <f>VLOOKUP(A874,Products!$A$1:$F$322,2,FALSE)</f>
        <v>Electra Girl's Hawaii 1 (16-inch) - 2015/2016</v>
      </c>
      <c r="C874" s="21" t="e">
        <f>VLOOKUP(A874,Products!A$322:$D874,4,FALSE)</f>
        <v>#N/A</v>
      </c>
    </row>
    <row r="875" spans="1:3" x14ac:dyDescent="0.35">
      <c r="A875" s="21">
        <v>5</v>
      </c>
      <c r="B875" t="str">
        <f>VLOOKUP(A875,Products!$A$1:$F$322,2,FALSE)</f>
        <v>Heller Shagamaw Frame - 2016</v>
      </c>
      <c r="C875" s="21" t="e">
        <f>VLOOKUP(A875,Products!A$322:$D875,4,FALSE)</f>
        <v>#N/A</v>
      </c>
    </row>
    <row r="876" spans="1:3" x14ac:dyDescent="0.35">
      <c r="A876" s="21">
        <v>8</v>
      </c>
      <c r="B876" t="str">
        <f>VLOOKUP(A876,Products!$A$1:$F$322,2,FALSE)</f>
        <v>Trek Remedy 29 Carbon Frameset - 2016</v>
      </c>
      <c r="C876" s="21" t="e">
        <f>VLOOKUP(A876,Products!A$322:$D876,4,FALSE)</f>
        <v>#N/A</v>
      </c>
    </row>
    <row r="877" spans="1:3" x14ac:dyDescent="0.35">
      <c r="A877" s="21">
        <v>17</v>
      </c>
      <c r="B877" t="str">
        <f>VLOOKUP(A877,Products!$A$1:$F$322,2,FALSE)</f>
        <v>Pure Cycles Vine 8-Speed - 2016</v>
      </c>
      <c r="C877" s="21" t="e">
        <f>VLOOKUP(A877,Products!A$322:$D877,4,FALSE)</f>
        <v>#N/A</v>
      </c>
    </row>
    <row r="878" spans="1:3" x14ac:dyDescent="0.35">
      <c r="A878" s="21">
        <v>5</v>
      </c>
      <c r="B878" t="str">
        <f>VLOOKUP(A878,Products!$A$1:$F$322,2,FALSE)</f>
        <v>Heller Shagamaw Frame - 2016</v>
      </c>
      <c r="C878" s="21" t="e">
        <f>VLOOKUP(A878,Products!A$322:$D878,4,FALSE)</f>
        <v>#N/A</v>
      </c>
    </row>
    <row r="879" spans="1:3" x14ac:dyDescent="0.35">
      <c r="A879" s="21">
        <v>24</v>
      </c>
      <c r="B879" t="str">
        <f>VLOOKUP(A879,Products!$A$1:$F$322,2,FALSE)</f>
        <v>Electra Townie Original 21D - 2016</v>
      </c>
      <c r="C879" s="21" t="e">
        <f>VLOOKUP(A879,Products!A$322:$D879,4,FALSE)</f>
        <v>#N/A</v>
      </c>
    </row>
    <row r="880" spans="1:3" x14ac:dyDescent="0.35">
      <c r="A880" s="21">
        <v>14</v>
      </c>
      <c r="B880" t="str">
        <f>VLOOKUP(A880,Products!$A$1:$F$322,2,FALSE)</f>
        <v>Electra Girl's Hawaii 1 (16-inch) - 2015/2016</v>
      </c>
      <c r="C880" s="21" t="e">
        <f>VLOOKUP(A880,Products!A$322:$D880,4,FALSE)</f>
        <v>#N/A</v>
      </c>
    </row>
    <row r="881" spans="1:3" x14ac:dyDescent="0.35">
      <c r="A881" s="21">
        <v>16</v>
      </c>
      <c r="B881" t="str">
        <f>VLOOKUP(A881,Products!$A$1:$F$322,2,FALSE)</f>
        <v>Electra Townie Original 7D EQ - 2016</v>
      </c>
      <c r="C881" s="21" t="e">
        <f>VLOOKUP(A881,Products!A$322:$D881,4,FALSE)</f>
        <v>#N/A</v>
      </c>
    </row>
    <row r="882" spans="1:3" x14ac:dyDescent="0.35">
      <c r="A882" s="21">
        <v>4</v>
      </c>
      <c r="B882" t="str">
        <f>VLOOKUP(A882,Products!$A$1:$F$322,2,FALSE)</f>
        <v>Trek Fuel EX 8 29 - 2016</v>
      </c>
      <c r="C882" s="21" t="e">
        <f>VLOOKUP(A882,Products!A$322:$D882,4,FALSE)</f>
        <v>#N/A</v>
      </c>
    </row>
    <row r="883" spans="1:3" x14ac:dyDescent="0.35">
      <c r="A883" s="21">
        <v>10</v>
      </c>
      <c r="B883" t="str">
        <f>VLOOKUP(A883,Products!$A$1:$F$322,2,FALSE)</f>
        <v>Surly Straggler - 2016</v>
      </c>
      <c r="C883" s="21" t="e">
        <f>VLOOKUP(A883,Products!A$322:$D883,4,FALSE)</f>
        <v>#N/A</v>
      </c>
    </row>
    <row r="884" spans="1:3" x14ac:dyDescent="0.35">
      <c r="A884" s="21">
        <v>5</v>
      </c>
      <c r="B884" t="str">
        <f>VLOOKUP(A884,Products!$A$1:$F$322,2,FALSE)</f>
        <v>Heller Shagamaw Frame - 2016</v>
      </c>
      <c r="C884" s="21" t="e">
        <f>VLOOKUP(A884,Products!A$322:$D884,4,FALSE)</f>
        <v>#N/A</v>
      </c>
    </row>
    <row r="885" spans="1:3" x14ac:dyDescent="0.35">
      <c r="A885" s="21">
        <v>9</v>
      </c>
      <c r="B885" t="str">
        <f>VLOOKUP(A885,Products!$A$1:$F$322,2,FALSE)</f>
        <v>Trek Conduit+ - 2016</v>
      </c>
      <c r="C885" s="21" t="e">
        <f>VLOOKUP(A885,Products!A$322:$D885,4,FALSE)</f>
        <v>#N/A</v>
      </c>
    </row>
    <row r="886" spans="1:3" x14ac:dyDescent="0.35">
      <c r="A886" s="21">
        <v>22</v>
      </c>
      <c r="B886" t="str">
        <f>VLOOKUP(A886,Products!$A$1:$F$322,2,FALSE)</f>
        <v>Electra Girl's Hawaii 1 (16-inch) - 2015/2016</v>
      </c>
      <c r="C886" s="21" t="e">
        <f>VLOOKUP(A886,Products!A$322:$D886,4,FALSE)</f>
        <v>#N/A</v>
      </c>
    </row>
    <row r="887" spans="1:3" x14ac:dyDescent="0.35">
      <c r="A887" s="21">
        <v>7</v>
      </c>
      <c r="B887" t="str">
        <f>VLOOKUP(A887,Products!$A$1:$F$322,2,FALSE)</f>
        <v>Trek Slash 8 27.5 - 2016</v>
      </c>
      <c r="C887" s="21" t="e">
        <f>VLOOKUP(A887,Products!A$322:$D887,4,FALSE)</f>
        <v>#N/A</v>
      </c>
    </row>
    <row r="888" spans="1:3" x14ac:dyDescent="0.35">
      <c r="A888" s="21">
        <v>11</v>
      </c>
      <c r="B888" t="str">
        <f>VLOOKUP(A888,Products!$A$1:$F$322,2,FALSE)</f>
        <v>Surly Straggler 650b - 2016</v>
      </c>
      <c r="C888" s="21" t="e">
        <f>VLOOKUP(A888,Products!A$322:$D888,4,FALSE)</f>
        <v>#N/A</v>
      </c>
    </row>
    <row r="889" spans="1:3" x14ac:dyDescent="0.35">
      <c r="A889" s="21">
        <v>9</v>
      </c>
      <c r="B889" t="str">
        <f>VLOOKUP(A889,Products!$A$1:$F$322,2,FALSE)</f>
        <v>Trek Conduit+ - 2016</v>
      </c>
      <c r="C889" s="21" t="e">
        <f>VLOOKUP(A889,Products!A$322:$D889,4,FALSE)</f>
        <v>#N/A</v>
      </c>
    </row>
    <row r="890" spans="1:3" x14ac:dyDescent="0.35">
      <c r="A890" s="21">
        <v>2</v>
      </c>
      <c r="B890" t="str">
        <f>VLOOKUP(A890,Products!$A$1:$F$322,2,FALSE)</f>
        <v>Ritchey Timberwolf Frameset - 2016</v>
      </c>
      <c r="C890" s="21" t="e">
        <f>VLOOKUP(A890,Products!A$322:$D890,4,FALSE)</f>
        <v>#N/A</v>
      </c>
    </row>
    <row r="891" spans="1:3" x14ac:dyDescent="0.35">
      <c r="A891" s="21">
        <v>16</v>
      </c>
      <c r="B891" t="str">
        <f>VLOOKUP(A891,Products!$A$1:$F$322,2,FALSE)</f>
        <v>Electra Townie Original 7D EQ - 2016</v>
      </c>
      <c r="C891" s="21" t="e">
        <f>VLOOKUP(A891,Products!A$322:$D891,4,FALSE)</f>
        <v>#N/A</v>
      </c>
    </row>
    <row r="892" spans="1:3" x14ac:dyDescent="0.35">
      <c r="A892" s="21">
        <v>20</v>
      </c>
      <c r="B892" t="str">
        <f>VLOOKUP(A892,Products!$A$1:$F$322,2,FALSE)</f>
        <v>Electra Townie Original 7D EQ - Women's - 2016</v>
      </c>
      <c r="C892" s="21" t="e">
        <f>VLOOKUP(A892,Products!A$322:$D892,4,FALSE)</f>
        <v>#N/A</v>
      </c>
    </row>
    <row r="893" spans="1:3" x14ac:dyDescent="0.35">
      <c r="A893" s="21">
        <v>19</v>
      </c>
      <c r="B893" t="str">
        <f>VLOOKUP(A893,Products!$A$1:$F$322,2,FALSE)</f>
        <v>Pure Cycles William 3-Speed - 2016</v>
      </c>
      <c r="C893" s="21" t="e">
        <f>VLOOKUP(A893,Products!A$322:$D893,4,FALSE)</f>
        <v>#N/A</v>
      </c>
    </row>
    <row r="894" spans="1:3" x14ac:dyDescent="0.35">
      <c r="A894" s="21">
        <v>17</v>
      </c>
      <c r="B894" t="str">
        <f>VLOOKUP(A894,Products!$A$1:$F$322,2,FALSE)</f>
        <v>Pure Cycles Vine 8-Speed - 2016</v>
      </c>
      <c r="C894" s="21" t="e">
        <f>VLOOKUP(A894,Products!A$322:$D894,4,FALSE)</f>
        <v>#N/A</v>
      </c>
    </row>
    <row r="895" spans="1:3" x14ac:dyDescent="0.35">
      <c r="A895" s="21">
        <v>10</v>
      </c>
      <c r="B895" t="str">
        <f>VLOOKUP(A895,Products!$A$1:$F$322,2,FALSE)</f>
        <v>Surly Straggler - 2016</v>
      </c>
      <c r="C895" s="21" t="e">
        <f>VLOOKUP(A895,Products!A$322:$D895,4,FALSE)</f>
        <v>#N/A</v>
      </c>
    </row>
    <row r="896" spans="1:3" x14ac:dyDescent="0.35">
      <c r="A896" s="21">
        <v>22</v>
      </c>
      <c r="B896" t="str">
        <f>VLOOKUP(A896,Products!$A$1:$F$322,2,FALSE)</f>
        <v>Electra Girl's Hawaii 1 (16-inch) - 2015/2016</v>
      </c>
      <c r="C896" s="21" t="e">
        <f>VLOOKUP(A896,Products!A$322:$D896,4,FALSE)</f>
        <v>#N/A</v>
      </c>
    </row>
    <row r="897" spans="1:3" x14ac:dyDescent="0.35">
      <c r="A897" s="21">
        <v>15</v>
      </c>
      <c r="B897" t="str">
        <f>VLOOKUP(A897,Products!$A$1:$F$322,2,FALSE)</f>
        <v>Electra Moto 1 - 2016</v>
      </c>
      <c r="C897" s="21" t="e">
        <f>VLOOKUP(A897,Products!A$322:$D897,4,FALSE)</f>
        <v>#N/A</v>
      </c>
    </row>
    <row r="898" spans="1:3" x14ac:dyDescent="0.35">
      <c r="A898" s="21">
        <v>13</v>
      </c>
      <c r="B898" t="str">
        <f>VLOOKUP(A898,Products!$A$1:$F$322,2,FALSE)</f>
        <v>Electra Cruiser 1 (24-Inch) - 2016</v>
      </c>
      <c r="C898" s="21" t="e">
        <f>VLOOKUP(A898,Products!A$322:$D898,4,FALSE)</f>
        <v>#N/A</v>
      </c>
    </row>
    <row r="899" spans="1:3" x14ac:dyDescent="0.35">
      <c r="A899" s="21">
        <v>13</v>
      </c>
      <c r="B899" t="str">
        <f>VLOOKUP(A899,Products!$A$1:$F$322,2,FALSE)</f>
        <v>Electra Cruiser 1 (24-Inch) - 2016</v>
      </c>
      <c r="C899" s="21" t="e">
        <f>VLOOKUP(A899,Products!A$322:$D899,4,FALSE)</f>
        <v>#N/A</v>
      </c>
    </row>
    <row r="900" spans="1:3" x14ac:dyDescent="0.35">
      <c r="A900" s="21">
        <v>25</v>
      </c>
      <c r="B900" t="str">
        <f>VLOOKUP(A900,Products!$A$1:$F$322,2,FALSE)</f>
        <v>Electra Townie Original 7D - 2015/2016</v>
      </c>
      <c r="C900" s="21" t="e">
        <f>VLOOKUP(A900,Products!A$322:$D900,4,FALSE)</f>
        <v>#N/A</v>
      </c>
    </row>
    <row r="901" spans="1:3" x14ac:dyDescent="0.35">
      <c r="A901" s="21">
        <v>9</v>
      </c>
      <c r="B901" t="str">
        <f>VLOOKUP(A901,Products!$A$1:$F$322,2,FALSE)</f>
        <v>Trek Conduit+ - 2016</v>
      </c>
      <c r="C901" s="21" t="e">
        <f>VLOOKUP(A901,Products!A$322:$D901,4,FALSE)</f>
        <v>#N/A</v>
      </c>
    </row>
    <row r="902" spans="1:3" x14ac:dyDescent="0.35">
      <c r="A902" s="21">
        <v>11</v>
      </c>
      <c r="B902" t="str">
        <f>VLOOKUP(A902,Products!$A$1:$F$322,2,FALSE)</f>
        <v>Surly Straggler 650b - 2016</v>
      </c>
      <c r="C902" s="21" t="e">
        <f>VLOOKUP(A902,Products!A$322:$D902,4,FALSE)</f>
        <v>#N/A</v>
      </c>
    </row>
    <row r="903" spans="1:3" x14ac:dyDescent="0.35">
      <c r="A903" s="21">
        <v>21</v>
      </c>
      <c r="B903" t="str">
        <f>VLOOKUP(A903,Products!$A$1:$F$322,2,FALSE)</f>
        <v>Electra Cruiser 1 (24-Inch) - 2016</v>
      </c>
      <c r="C903" s="21" t="e">
        <f>VLOOKUP(A903,Products!A$322:$D903,4,FALSE)</f>
        <v>#N/A</v>
      </c>
    </row>
    <row r="904" spans="1:3" x14ac:dyDescent="0.35">
      <c r="A904" s="21">
        <v>15</v>
      </c>
      <c r="B904" t="str">
        <f>VLOOKUP(A904,Products!$A$1:$F$322,2,FALSE)</f>
        <v>Electra Moto 1 - 2016</v>
      </c>
      <c r="C904" s="21" t="e">
        <f>VLOOKUP(A904,Products!A$322:$D904,4,FALSE)</f>
        <v>#N/A</v>
      </c>
    </row>
    <row r="905" spans="1:3" x14ac:dyDescent="0.35">
      <c r="A905" s="21">
        <v>23</v>
      </c>
      <c r="B905" t="str">
        <f>VLOOKUP(A905,Products!$A$1:$F$322,2,FALSE)</f>
        <v>Electra Girl's Hawaii 1 (20-inch) - 2015/2016</v>
      </c>
      <c r="C905" s="21" t="e">
        <f>VLOOKUP(A905,Products!A$322:$D905,4,FALSE)</f>
        <v>#N/A</v>
      </c>
    </row>
    <row r="906" spans="1:3" x14ac:dyDescent="0.35">
      <c r="A906" s="21">
        <v>2</v>
      </c>
      <c r="B906" t="str">
        <f>VLOOKUP(A906,Products!$A$1:$F$322,2,FALSE)</f>
        <v>Ritchey Timberwolf Frameset - 2016</v>
      </c>
      <c r="C906" s="21" t="e">
        <f>VLOOKUP(A906,Products!A$322:$D906,4,FALSE)</f>
        <v>#N/A</v>
      </c>
    </row>
    <row r="907" spans="1:3" x14ac:dyDescent="0.35">
      <c r="A907" s="21">
        <v>4</v>
      </c>
      <c r="B907" t="str">
        <f>VLOOKUP(A907,Products!$A$1:$F$322,2,FALSE)</f>
        <v>Trek Fuel EX 8 29 - 2016</v>
      </c>
      <c r="C907" s="21" t="e">
        <f>VLOOKUP(A907,Products!A$322:$D907,4,FALSE)</f>
        <v>#N/A</v>
      </c>
    </row>
    <row r="908" spans="1:3" x14ac:dyDescent="0.35">
      <c r="A908" s="21">
        <v>12</v>
      </c>
      <c r="B908" t="str">
        <f>VLOOKUP(A908,Products!$A$1:$F$322,2,FALSE)</f>
        <v>Electra Townie Original 21D - 2016</v>
      </c>
      <c r="C908" s="21" t="e">
        <f>VLOOKUP(A908,Products!A$322:$D908,4,FALSE)</f>
        <v>#N/A</v>
      </c>
    </row>
    <row r="909" spans="1:3" x14ac:dyDescent="0.35">
      <c r="A909" s="21">
        <v>26</v>
      </c>
      <c r="B909" t="str">
        <f>VLOOKUP(A909,Products!$A$1:$F$322,2,FALSE)</f>
        <v>Electra Townie Original 7D EQ - 2016</v>
      </c>
      <c r="C909" s="21" t="e">
        <f>VLOOKUP(A909,Products!A$322:$D909,4,FALSE)</f>
        <v>#N/A</v>
      </c>
    </row>
    <row r="910" spans="1:3" x14ac:dyDescent="0.35">
      <c r="A910" s="21">
        <v>23</v>
      </c>
      <c r="B910" t="str">
        <f>VLOOKUP(A910,Products!$A$1:$F$322,2,FALSE)</f>
        <v>Electra Girl's Hawaii 1 (20-inch) - 2015/2016</v>
      </c>
      <c r="C910" s="21" t="e">
        <f>VLOOKUP(A910,Products!A$322:$D910,4,FALSE)</f>
        <v>#N/A</v>
      </c>
    </row>
    <row r="911" spans="1:3" x14ac:dyDescent="0.35">
      <c r="A911" s="21">
        <v>13</v>
      </c>
      <c r="B911" t="str">
        <f>VLOOKUP(A911,Products!$A$1:$F$322,2,FALSE)</f>
        <v>Electra Cruiser 1 (24-Inch) - 2016</v>
      </c>
      <c r="C911" s="21" t="e">
        <f>VLOOKUP(A911,Products!A$322:$D911,4,FALSE)</f>
        <v>#N/A</v>
      </c>
    </row>
    <row r="912" spans="1:3" x14ac:dyDescent="0.35">
      <c r="A912" s="21">
        <v>21</v>
      </c>
      <c r="B912" t="str">
        <f>VLOOKUP(A912,Products!$A$1:$F$322,2,FALSE)</f>
        <v>Electra Cruiser 1 (24-Inch) - 2016</v>
      </c>
      <c r="C912" s="21" t="e">
        <f>VLOOKUP(A912,Products!A$322:$D912,4,FALSE)</f>
        <v>#N/A</v>
      </c>
    </row>
    <row r="913" spans="1:3" x14ac:dyDescent="0.35">
      <c r="A913" s="21">
        <v>13</v>
      </c>
      <c r="B913" t="str">
        <f>VLOOKUP(A913,Products!$A$1:$F$322,2,FALSE)</f>
        <v>Electra Cruiser 1 (24-Inch) - 2016</v>
      </c>
      <c r="C913" s="21" t="e">
        <f>VLOOKUP(A913,Products!A$322:$D913,4,FALSE)</f>
        <v>#N/A</v>
      </c>
    </row>
    <row r="914" spans="1:3" x14ac:dyDescent="0.35">
      <c r="A914" s="21">
        <v>26</v>
      </c>
      <c r="B914" t="str">
        <f>VLOOKUP(A914,Products!$A$1:$F$322,2,FALSE)</f>
        <v>Electra Townie Original 7D EQ - 2016</v>
      </c>
      <c r="C914" s="21" t="e">
        <f>VLOOKUP(A914,Products!A$322:$D914,4,FALSE)</f>
        <v>#N/A</v>
      </c>
    </row>
    <row r="915" spans="1:3" x14ac:dyDescent="0.35">
      <c r="A915" s="21">
        <v>2</v>
      </c>
      <c r="B915" t="str">
        <f>VLOOKUP(A915,Products!$A$1:$F$322,2,FALSE)</f>
        <v>Ritchey Timberwolf Frameset - 2016</v>
      </c>
      <c r="C915" s="21" t="e">
        <f>VLOOKUP(A915,Products!A$322:$D915,4,FALSE)</f>
        <v>#N/A</v>
      </c>
    </row>
    <row r="916" spans="1:3" x14ac:dyDescent="0.35">
      <c r="A916" s="21">
        <v>17</v>
      </c>
      <c r="B916" t="str">
        <f>VLOOKUP(A916,Products!$A$1:$F$322,2,FALSE)</f>
        <v>Pure Cycles Vine 8-Speed - 2016</v>
      </c>
      <c r="C916" s="21" t="e">
        <f>VLOOKUP(A916,Products!A$322:$D916,4,FALSE)</f>
        <v>#N/A</v>
      </c>
    </row>
    <row r="917" spans="1:3" x14ac:dyDescent="0.35">
      <c r="A917" s="21">
        <v>22</v>
      </c>
      <c r="B917" t="str">
        <f>VLOOKUP(A917,Products!$A$1:$F$322,2,FALSE)</f>
        <v>Electra Girl's Hawaii 1 (16-inch) - 2015/2016</v>
      </c>
      <c r="C917" s="21" t="e">
        <f>VLOOKUP(A917,Products!A$322:$D917,4,FALSE)</f>
        <v>#N/A</v>
      </c>
    </row>
    <row r="918" spans="1:3" x14ac:dyDescent="0.35">
      <c r="A918" s="21">
        <v>19</v>
      </c>
      <c r="B918" t="str">
        <f>VLOOKUP(A918,Products!$A$1:$F$322,2,FALSE)</f>
        <v>Pure Cycles William 3-Speed - 2016</v>
      </c>
      <c r="C918" s="21" t="e">
        <f>VLOOKUP(A918,Products!A$322:$D918,4,FALSE)</f>
        <v>#N/A</v>
      </c>
    </row>
    <row r="919" spans="1:3" x14ac:dyDescent="0.35">
      <c r="A919" s="21">
        <v>12</v>
      </c>
      <c r="B919" t="str">
        <f>VLOOKUP(A919,Products!$A$1:$F$322,2,FALSE)</f>
        <v>Electra Townie Original 21D - 2016</v>
      </c>
      <c r="C919" s="21" t="e">
        <f>VLOOKUP(A919,Products!A$322:$D919,4,FALSE)</f>
        <v>#N/A</v>
      </c>
    </row>
    <row r="920" spans="1:3" x14ac:dyDescent="0.35">
      <c r="A920" s="21">
        <v>7</v>
      </c>
      <c r="B920" t="str">
        <f>VLOOKUP(A920,Products!$A$1:$F$322,2,FALSE)</f>
        <v>Trek Slash 8 27.5 - 2016</v>
      </c>
      <c r="C920" s="21" t="e">
        <f>VLOOKUP(A920,Products!A$322:$D920,4,FALSE)</f>
        <v>#N/A</v>
      </c>
    </row>
    <row r="921" spans="1:3" x14ac:dyDescent="0.35">
      <c r="A921" s="21">
        <v>12</v>
      </c>
      <c r="B921" t="str">
        <f>VLOOKUP(A921,Products!$A$1:$F$322,2,FALSE)</f>
        <v>Electra Townie Original 21D - 2016</v>
      </c>
      <c r="C921" s="21" t="e">
        <f>VLOOKUP(A921,Products!A$322:$D921,4,FALSE)</f>
        <v>#N/A</v>
      </c>
    </row>
    <row r="922" spans="1:3" x14ac:dyDescent="0.35">
      <c r="A922" s="21">
        <v>6</v>
      </c>
      <c r="B922" t="str">
        <f>VLOOKUP(A922,Products!$A$1:$F$322,2,FALSE)</f>
        <v>Surly Ice Cream Truck Frameset - 2016</v>
      </c>
      <c r="C922" s="21" t="e">
        <f>VLOOKUP(A922,Products!A$322:$D922,4,FALSE)</f>
        <v>#N/A</v>
      </c>
    </row>
    <row r="923" spans="1:3" x14ac:dyDescent="0.35">
      <c r="A923" s="21">
        <v>12</v>
      </c>
      <c r="B923" t="str">
        <f>VLOOKUP(A923,Products!$A$1:$F$322,2,FALSE)</f>
        <v>Electra Townie Original 21D - 2016</v>
      </c>
      <c r="C923" s="21" t="e">
        <f>VLOOKUP(A923,Products!A$322:$D923,4,FALSE)</f>
        <v>#N/A</v>
      </c>
    </row>
    <row r="924" spans="1:3" x14ac:dyDescent="0.35">
      <c r="A924" s="21">
        <v>23</v>
      </c>
      <c r="B924" t="str">
        <f>VLOOKUP(A924,Products!$A$1:$F$322,2,FALSE)</f>
        <v>Electra Girl's Hawaii 1 (20-inch) - 2015/2016</v>
      </c>
      <c r="C924" s="21" t="e">
        <f>VLOOKUP(A924,Products!A$322:$D924,4,FALSE)</f>
        <v>#N/A</v>
      </c>
    </row>
    <row r="925" spans="1:3" x14ac:dyDescent="0.35">
      <c r="A925" s="21">
        <v>12</v>
      </c>
      <c r="B925" t="str">
        <f>VLOOKUP(A925,Products!$A$1:$F$322,2,FALSE)</f>
        <v>Electra Townie Original 21D - 2016</v>
      </c>
      <c r="C925" s="21" t="e">
        <f>VLOOKUP(A925,Products!A$322:$D925,4,FALSE)</f>
        <v>#N/A</v>
      </c>
    </row>
    <row r="926" spans="1:3" x14ac:dyDescent="0.35">
      <c r="A926" s="21">
        <v>13</v>
      </c>
      <c r="B926" t="str">
        <f>VLOOKUP(A926,Products!$A$1:$F$322,2,FALSE)</f>
        <v>Electra Cruiser 1 (24-Inch) - 2016</v>
      </c>
      <c r="C926" s="21" t="e">
        <f>VLOOKUP(A926,Products!A$322:$D926,4,FALSE)</f>
        <v>#N/A</v>
      </c>
    </row>
    <row r="927" spans="1:3" x14ac:dyDescent="0.35">
      <c r="A927" s="21">
        <v>4</v>
      </c>
      <c r="B927" t="str">
        <f>VLOOKUP(A927,Products!$A$1:$F$322,2,FALSE)</f>
        <v>Trek Fuel EX 8 29 - 2016</v>
      </c>
      <c r="C927" s="21" t="e">
        <f>VLOOKUP(A927,Products!A$322:$D927,4,FALSE)</f>
        <v>#N/A</v>
      </c>
    </row>
    <row r="928" spans="1:3" x14ac:dyDescent="0.35">
      <c r="A928" s="21">
        <v>6</v>
      </c>
      <c r="B928" t="str">
        <f>VLOOKUP(A928,Products!$A$1:$F$322,2,FALSE)</f>
        <v>Surly Ice Cream Truck Frameset - 2016</v>
      </c>
      <c r="C928" s="21" t="e">
        <f>VLOOKUP(A928,Products!A$322:$D928,4,FALSE)</f>
        <v>#N/A</v>
      </c>
    </row>
    <row r="929" spans="1:3" x14ac:dyDescent="0.35">
      <c r="A929" s="21">
        <v>14</v>
      </c>
      <c r="B929" t="str">
        <f>VLOOKUP(A929,Products!$A$1:$F$322,2,FALSE)</f>
        <v>Electra Girl's Hawaii 1 (16-inch) - 2015/2016</v>
      </c>
      <c r="C929" s="21" t="e">
        <f>VLOOKUP(A929,Products!A$322:$D929,4,FALSE)</f>
        <v>#N/A</v>
      </c>
    </row>
    <row r="930" spans="1:3" x14ac:dyDescent="0.35">
      <c r="A930" s="21">
        <v>8</v>
      </c>
      <c r="B930" t="str">
        <f>VLOOKUP(A930,Products!$A$1:$F$322,2,FALSE)</f>
        <v>Trek Remedy 29 Carbon Frameset - 2016</v>
      </c>
      <c r="C930" s="21" t="e">
        <f>VLOOKUP(A930,Products!A$322:$D930,4,FALSE)</f>
        <v>#N/A</v>
      </c>
    </row>
    <row r="931" spans="1:3" x14ac:dyDescent="0.35">
      <c r="A931" s="21">
        <v>23</v>
      </c>
      <c r="B931" t="str">
        <f>VLOOKUP(A931,Products!$A$1:$F$322,2,FALSE)</f>
        <v>Electra Girl's Hawaii 1 (20-inch) - 2015/2016</v>
      </c>
      <c r="C931" s="21" t="e">
        <f>VLOOKUP(A931,Products!A$322:$D931,4,FALSE)</f>
        <v>#N/A</v>
      </c>
    </row>
    <row r="932" spans="1:3" x14ac:dyDescent="0.35">
      <c r="A932" s="21">
        <v>17</v>
      </c>
      <c r="B932" t="str">
        <f>VLOOKUP(A932,Products!$A$1:$F$322,2,FALSE)</f>
        <v>Pure Cycles Vine 8-Speed - 2016</v>
      </c>
      <c r="C932" s="21" t="e">
        <f>VLOOKUP(A932,Products!A$322:$D932,4,FALSE)</f>
        <v>#N/A</v>
      </c>
    </row>
    <row r="933" spans="1:3" x14ac:dyDescent="0.35">
      <c r="A933" s="21">
        <v>26</v>
      </c>
      <c r="B933" t="str">
        <f>VLOOKUP(A933,Products!$A$1:$F$322,2,FALSE)</f>
        <v>Electra Townie Original 7D EQ - 2016</v>
      </c>
      <c r="C933" s="21" t="e">
        <f>VLOOKUP(A933,Products!A$322:$D933,4,FALSE)</f>
        <v>#N/A</v>
      </c>
    </row>
    <row r="934" spans="1:3" x14ac:dyDescent="0.35">
      <c r="A934" s="21">
        <v>21</v>
      </c>
      <c r="B934" t="str">
        <f>VLOOKUP(A934,Products!$A$1:$F$322,2,FALSE)</f>
        <v>Electra Cruiser 1 (24-Inch) - 2016</v>
      </c>
      <c r="C934" s="21" t="e">
        <f>VLOOKUP(A934,Products!A$322:$D934,4,FALSE)</f>
        <v>#N/A</v>
      </c>
    </row>
    <row r="935" spans="1:3" x14ac:dyDescent="0.35">
      <c r="A935" s="21">
        <v>17</v>
      </c>
      <c r="B935" t="str">
        <f>VLOOKUP(A935,Products!$A$1:$F$322,2,FALSE)</f>
        <v>Pure Cycles Vine 8-Speed - 2016</v>
      </c>
      <c r="C935" s="21" t="e">
        <f>VLOOKUP(A935,Products!A$322:$D935,4,FALSE)</f>
        <v>#N/A</v>
      </c>
    </row>
    <row r="936" spans="1:3" x14ac:dyDescent="0.35">
      <c r="A936" s="21">
        <v>18</v>
      </c>
      <c r="B936" t="str">
        <f>VLOOKUP(A936,Products!$A$1:$F$322,2,FALSE)</f>
        <v>Pure Cycles Western 3-Speed - Women's - 2015/2016</v>
      </c>
      <c r="C936" s="21" t="e">
        <f>VLOOKUP(A936,Products!A$322:$D936,4,FALSE)</f>
        <v>#N/A</v>
      </c>
    </row>
    <row r="937" spans="1:3" x14ac:dyDescent="0.35">
      <c r="A937" s="21">
        <v>18</v>
      </c>
      <c r="B937" t="str">
        <f>VLOOKUP(A937,Products!$A$1:$F$322,2,FALSE)</f>
        <v>Pure Cycles Western 3-Speed - Women's - 2015/2016</v>
      </c>
      <c r="C937" s="21" t="e">
        <f>VLOOKUP(A937,Products!A$322:$D937,4,FALSE)</f>
        <v>#N/A</v>
      </c>
    </row>
    <row r="938" spans="1:3" x14ac:dyDescent="0.35">
      <c r="A938" s="21">
        <v>8</v>
      </c>
      <c r="B938" t="str">
        <f>VLOOKUP(A938,Products!$A$1:$F$322,2,FALSE)</f>
        <v>Trek Remedy 29 Carbon Frameset - 2016</v>
      </c>
      <c r="C938" s="21" t="e">
        <f>VLOOKUP(A938,Products!A$322:$D938,4,FALSE)</f>
        <v>#N/A</v>
      </c>
    </row>
    <row r="939" spans="1:3" x14ac:dyDescent="0.35">
      <c r="A939" s="21">
        <v>3</v>
      </c>
      <c r="B939" t="str">
        <f>VLOOKUP(A939,Products!$A$1:$F$322,2,FALSE)</f>
        <v>Surly Wednesday Frameset - 2016</v>
      </c>
      <c r="C939" s="21" t="e">
        <f>VLOOKUP(A939,Products!A$322:$D939,4,FALSE)</f>
        <v>#N/A</v>
      </c>
    </row>
    <row r="940" spans="1:3" x14ac:dyDescent="0.35">
      <c r="A940" s="21">
        <v>16</v>
      </c>
      <c r="B940" t="str">
        <f>VLOOKUP(A940,Products!$A$1:$F$322,2,FALSE)</f>
        <v>Electra Townie Original 7D EQ - 2016</v>
      </c>
      <c r="C940" s="21" t="e">
        <f>VLOOKUP(A940,Products!A$322:$D940,4,FALSE)</f>
        <v>#N/A</v>
      </c>
    </row>
    <row r="941" spans="1:3" x14ac:dyDescent="0.35">
      <c r="A941" s="21">
        <v>9</v>
      </c>
      <c r="B941" t="str">
        <f>VLOOKUP(A941,Products!$A$1:$F$322,2,FALSE)</f>
        <v>Trek Conduit+ - 2016</v>
      </c>
      <c r="C941" s="21" t="e">
        <f>VLOOKUP(A941,Products!A$322:$D941,4,FALSE)</f>
        <v>#N/A</v>
      </c>
    </row>
    <row r="942" spans="1:3" x14ac:dyDescent="0.35">
      <c r="A942" s="21">
        <v>3</v>
      </c>
      <c r="B942" t="str">
        <f>VLOOKUP(A942,Products!$A$1:$F$322,2,FALSE)</f>
        <v>Surly Wednesday Frameset - 2016</v>
      </c>
      <c r="C942" s="21" t="e">
        <f>VLOOKUP(A942,Products!A$322:$D942,4,FALSE)</f>
        <v>#N/A</v>
      </c>
    </row>
    <row r="943" spans="1:3" x14ac:dyDescent="0.35">
      <c r="A943" s="21">
        <v>6</v>
      </c>
      <c r="B943" t="str">
        <f>VLOOKUP(A943,Products!$A$1:$F$322,2,FALSE)</f>
        <v>Surly Ice Cream Truck Frameset - 2016</v>
      </c>
      <c r="C943" s="21" t="e">
        <f>VLOOKUP(A943,Products!A$322:$D943,4,FALSE)</f>
        <v>#N/A</v>
      </c>
    </row>
    <row r="944" spans="1:3" x14ac:dyDescent="0.35">
      <c r="A944" s="21">
        <v>2</v>
      </c>
      <c r="B944" t="str">
        <f>VLOOKUP(A944,Products!$A$1:$F$322,2,FALSE)</f>
        <v>Ritchey Timberwolf Frameset - 2016</v>
      </c>
      <c r="C944" s="21" t="e">
        <f>VLOOKUP(A944,Products!A$322:$D944,4,FALSE)</f>
        <v>#N/A</v>
      </c>
    </row>
    <row r="945" spans="1:3" x14ac:dyDescent="0.35">
      <c r="A945" s="21">
        <v>21</v>
      </c>
      <c r="B945" t="str">
        <f>VLOOKUP(A945,Products!$A$1:$F$322,2,FALSE)</f>
        <v>Electra Cruiser 1 (24-Inch) - 2016</v>
      </c>
      <c r="C945" s="21" t="e">
        <f>VLOOKUP(A945,Products!A$322:$D945,4,FALSE)</f>
        <v>#N/A</v>
      </c>
    </row>
    <row r="946" spans="1:3" x14ac:dyDescent="0.35">
      <c r="A946" s="21">
        <v>4</v>
      </c>
      <c r="B946" t="str">
        <f>VLOOKUP(A946,Products!$A$1:$F$322,2,FALSE)</f>
        <v>Trek Fuel EX 8 29 - 2016</v>
      </c>
      <c r="C946" s="21" t="e">
        <f>VLOOKUP(A946,Products!A$322:$D946,4,FALSE)</f>
        <v>#N/A</v>
      </c>
    </row>
    <row r="947" spans="1:3" x14ac:dyDescent="0.35">
      <c r="A947" s="21">
        <v>12</v>
      </c>
      <c r="B947" t="str">
        <f>VLOOKUP(A947,Products!$A$1:$F$322,2,FALSE)</f>
        <v>Electra Townie Original 21D - 2016</v>
      </c>
      <c r="C947" s="21" t="e">
        <f>VLOOKUP(A947,Products!A$322:$D947,4,FALSE)</f>
        <v>#N/A</v>
      </c>
    </row>
    <row r="948" spans="1:3" x14ac:dyDescent="0.35">
      <c r="A948" s="21">
        <v>18</v>
      </c>
      <c r="B948" t="str">
        <f>VLOOKUP(A948,Products!$A$1:$F$322,2,FALSE)</f>
        <v>Pure Cycles Western 3-Speed - Women's - 2015/2016</v>
      </c>
      <c r="C948" s="21" t="e">
        <f>VLOOKUP(A948,Products!A$322:$D948,4,FALSE)</f>
        <v>#N/A</v>
      </c>
    </row>
    <row r="949" spans="1:3" x14ac:dyDescent="0.35">
      <c r="A949" s="21">
        <v>4</v>
      </c>
      <c r="B949" t="str">
        <f>VLOOKUP(A949,Products!$A$1:$F$322,2,FALSE)</f>
        <v>Trek Fuel EX 8 29 - 2016</v>
      </c>
      <c r="C949" s="21" t="e">
        <f>VLOOKUP(A949,Products!A$322:$D949,4,FALSE)</f>
        <v>#N/A</v>
      </c>
    </row>
    <row r="950" spans="1:3" x14ac:dyDescent="0.35">
      <c r="A950" s="21">
        <v>6</v>
      </c>
      <c r="B950" t="str">
        <f>VLOOKUP(A950,Products!$A$1:$F$322,2,FALSE)</f>
        <v>Surly Ice Cream Truck Frameset - 2016</v>
      </c>
      <c r="C950" s="21" t="e">
        <f>VLOOKUP(A950,Products!A$322:$D950,4,FALSE)</f>
        <v>#N/A</v>
      </c>
    </row>
    <row r="951" spans="1:3" x14ac:dyDescent="0.35">
      <c r="A951" s="21">
        <v>10</v>
      </c>
      <c r="B951" t="str">
        <f>VLOOKUP(A951,Products!$A$1:$F$322,2,FALSE)</f>
        <v>Surly Straggler - 2016</v>
      </c>
      <c r="C951" s="21" t="e">
        <f>VLOOKUP(A951,Products!A$322:$D951,4,FALSE)</f>
        <v>#N/A</v>
      </c>
    </row>
    <row r="952" spans="1:3" x14ac:dyDescent="0.35">
      <c r="A952" s="21">
        <v>22</v>
      </c>
      <c r="B952" t="str">
        <f>VLOOKUP(A952,Products!$A$1:$F$322,2,FALSE)</f>
        <v>Electra Girl's Hawaii 1 (16-inch) - 2015/2016</v>
      </c>
      <c r="C952" s="21" t="e">
        <f>VLOOKUP(A952,Products!A$322:$D952,4,FALSE)</f>
        <v>#N/A</v>
      </c>
    </row>
    <row r="953" spans="1:3" x14ac:dyDescent="0.35">
      <c r="A953" s="21">
        <v>11</v>
      </c>
      <c r="B953" t="str">
        <f>VLOOKUP(A953,Products!$A$1:$F$322,2,FALSE)</f>
        <v>Surly Straggler 650b - 2016</v>
      </c>
      <c r="C953" s="21" t="e">
        <f>VLOOKUP(A953,Products!A$322:$D953,4,FALSE)</f>
        <v>#N/A</v>
      </c>
    </row>
    <row r="954" spans="1:3" x14ac:dyDescent="0.35">
      <c r="A954" s="21">
        <v>9</v>
      </c>
      <c r="B954" t="str">
        <f>VLOOKUP(A954,Products!$A$1:$F$322,2,FALSE)</f>
        <v>Trek Conduit+ - 2016</v>
      </c>
      <c r="C954" s="21" t="e">
        <f>VLOOKUP(A954,Products!A$322:$D954,4,FALSE)</f>
        <v>#N/A</v>
      </c>
    </row>
    <row r="955" spans="1:3" x14ac:dyDescent="0.35">
      <c r="A955" s="21">
        <v>13</v>
      </c>
      <c r="B955" t="str">
        <f>VLOOKUP(A955,Products!$A$1:$F$322,2,FALSE)</f>
        <v>Electra Cruiser 1 (24-Inch) - 2016</v>
      </c>
      <c r="C955" s="21" t="e">
        <f>VLOOKUP(A955,Products!A$322:$D955,4,FALSE)</f>
        <v>#N/A</v>
      </c>
    </row>
    <row r="956" spans="1:3" x14ac:dyDescent="0.35">
      <c r="A956" s="21">
        <v>15</v>
      </c>
      <c r="B956" t="str">
        <f>VLOOKUP(A956,Products!$A$1:$F$322,2,FALSE)</f>
        <v>Electra Moto 1 - 2016</v>
      </c>
      <c r="C956" s="21" t="e">
        <f>VLOOKUP(A956,Products!A$322:$D956,4,FALSE)</f>
        <v>#N/A</v>
      </c>
    </row>
    <row r="957" spans="1:3" x14ac:dyDescent="0.35">
      <c r="A957" s="21">
        <v>11</v>
      </c>
      <c r="B957" t="str">
        <f>VLOOKUP(A957,Products!$A$1:$F$322,2,FALSE)</f>
        <v>Surly Straggler 650b - 2016</v>
      </c>
      <c r="C957" s="21" t="e">
        <f>VLOOKUP(A957,Products!A$322:$D957,4,FALSE)</f>
        <v>#N/A</v>
      </c>
    </row>
    <row r="958" spans="1:3" x14ac:dyDescent="0.35">
      <c r="A958" s="21">
        <v>24</v>
      </c>
      <c r="B958" t="str">
        <f>VLOOKUP(A958,Products!$A$1:$F$322,2,FALSE)</f>
        <v>Electra Townie Original 21D - 2016</v>
      </c>
      <c r="C958" s="21" t="e">
        <f>VLOOKUP(A958,Products!A$322:$D958,4,FALSE)</f>
        <v>#N/A</v>
      </c>
    </row>
    <row r="959" spans="1:3" x14ac:dyDescent="0.35">
      <c r="A959" s="21">
        <v>13</v>
      </c>
      <c r="B959" t="str">
        <f>VLOOKUP(A959,Products!$A$1:$F$322,2,FALSE)</f>
        <v>Electra Cruiser 1 (24-Inch) - 2016</v>
      </c>
      <c r="C959" s="21" t="e">
        <f>VLOOKUP(A959,Products!A$322:$D959,4,FALSE)</f>
        <v>#N/A</v>
      </c>
    </row>
    <row r="960" spans="1:3" x14ac:dyDescent="0.35">
      <c r="A960" s="21">
        <v>12</v>
      </c>
      <c r="B960" t="str">
        <f>VLOOKUP(A960,Products!$A$1:$F$322,2,FALSE)</f>
        <v>Electra Townie Original 21D - 2016</v>
      </c>
      <c r="C960" s="21" t="e">
        <f>VLOOKUP(A960,Products!A$322:$D960,4,FALSE)</f>
        <v>#N/A</v>
      </c>
    </row>
    <row r="961" spans="1:3" x14ac:dyDescent="0.35">
      <c r="A961" s="21">
        <v>10</v>
      </c>
      <c r="B961" t="str">
        <f>VLOOKUP(A961,Products!$A$1:$F$322,2,FALSE)</f>
        <v>Surly Straggler - 2016</v>
      </c>
      <c r="C961" s="21" t="e">
        <f>VLOOKUP(A961,Products!A$322:$D961,4,FALSE)</f>
        <v>#N/A</v>
      </c>
    </row>
    <row r="962" spans="1:3" x14ac:dyDescent="0.35">
      <c r="A962" s="21">
        <v>23</v>
      </c>
      <c r="B962" t="str">
        <f>VLOOKUP(A962,Products!$A$1:$F$322,2,FALSE)</f>
        <v>Electra Girl's Hawaii 1 (20-inch) - 2015/2016</v>
      </c>
      <c r="C962" s="21" t="e">
        <f>VLOOKUP(A962,Products!A$322:$D962,4,FALSE)</f>
        <v>#N/A</v>
      </c>
    </row>
    <row r="963" spans="1:3" x14ac:dyDescent="0.35">
      <c r="A963" s="21">
        <v>26</v>
      </c>
      <c r="B963" t="str">
        <f>VLOOKUP(A963,Products!$A$1:$F$322,2,FALSE)</f>
        <v>Electra Townie Original 7D EQ - 2016</v>
      </c>
      <c r="C963" s="21" t="e">
        <f>VLOOKUP(A963,Products!A$322:$D963,4,FALSE)</f>
        <v>#N/A</v>
      </c>
    </row>
    <row r="964" spans="1:3" x14ac:dyDescent="0.35">
      <c r="A964" s="21">
        <v>9</v>
      </c>
      <c r="B964" t="str">
        <f>VLOOKUP(A964,Products!$A$1:$F$322,2,FALSE)</f>
        <v>Trek Conduit+ - 2016</v>
      </c>
      <c r="C964" s="21" t="e">
        <f>VLOOKUP(A964,Products!A$322:$D964,4,FALSE)</f>
        <v>#N/A</v>
      </c>
    </row>
    <row r="965" spans="1:3" x14ac:dyDescent="0.35">
      <c r="A965" s="21">
        <v>16</v>
      </c>
      <c r="B965" t="str">
        <f>VLOOKUP(A965,Products!$A$1:$F$322,2,FALSE)</f>
        <v>Electra Townie Original 7D EQ - 2016</v>
      </c>
      <c r="C965" s="21" t="e">
        <f>VLOOKUP(A965,Products!A$322:$D965,4,FALSE)</f>
        <v>#N/A</v>
      </c>
    </row>
    <row r="966" spans="1:3" x14ac:dyDescent="0.35">
      <c r="A966" s="21">
        <v>20</v>
      </c>
      <c r="B966" t="str">
        <f>VLOOKUP(A966,Products!$A$1:$F$322,2,FALSE)</f>
        <v>Electra Townie Original 7D EQ - Women's - 2016</v>
      </c>
      <c r="C966" s="21" t="e">
        <f>VLOOKUP(A966,Products!A$322:$D966,4,FALSE)</f>
        <v>#N/A</v>
      </c>
    </row>
    <row r="967" spans="1:3" x14ac:dyDescent="0.35">
      <c r="A967" s="21">
        <v>25</v>
      </c>
      <c r="B967" t="str">
        <f>VLOOKUP(A967,Products!$A$1:$F$322,2,FALSE)</f>
        <v>Electra Townie Original 7D - 2015/2016</v>
      </c>
      <c r="C967" s="21" t="e">
        <f>VLOOKUP(A967,Products!A$322:$D967,4,FALSE)</f>
        <v>#N/A</v>
      </c>
    </row>
    <row r="968" spans="1:3" x14ac:dyDescent="0.35">
      <c r="A968" s="21">
        <v>5</v>
      </c>
      <c r="B968" t="str">
        <f>VLOOKUP(A968,Products!$A$1:$F$322,2,FALSE)</f>
        <v>Heller Shagamaw Frame - 2016</v>
      </c>
      <c r="C968" s="21" t="e">
        <f>VLOOKUP(A968,Products!A$322:$D968,4,FALSE)</f>
        <v>#N/A</v>
      </c>
    </row>
    <row r="969" spans="1:3" x14ac:dyDescent="0.35">
      <c r="A969" s="21">
        <v>10</v>
      </c>
      <c r="B969" t="str">
        <f>VLOOKUP(A969,Products!$A$1:$F$322,2,FALSE)</f>
        <v>Surly Straggler - 2016</v>
      </c>
      <c r="C969" s="21" t="e">
        <f>VLOOKUP(A969,Products!A$322:$D969,4,FALSE)</f>
        <v>#N/A</v>
      </c>
    </row>
    <row r="970" spans="1:3" x14ac:dyDescent="0.35">
      <c r="A970" s="21">
        <v>22</v>
      </c>
      <c r="B970" t="str">
        <f>VLOOKUP(A970,Products!$A$1:$F$322,2,FALSE)</f>
        <v>Electra Girl's Hawaii 1 (16-inch) - 2015/2016</v>
      </c>
      <c r="C970" s="21" t="e">
        <f>VLOOKUP(A970,Products!A$322:$D970,4,FALSE)</f>
        <v>#N/A</v>
      </c>
    </row>
    <row r="971" spans="1:3" x14ac:dyDescent="0.35">
      <c r="A971" s="21">
        <v>18</v>
      </c>
      <c r="B971" t="str">
        <f>VLOOKUP(A971,Products!$A$1:$F$322,2,FALSE)</f>
        <v>Pure Cycles Western 3-Speed - Women's - 2015/2016</v>
      </c>
      <c r="C971" s="21" t="e">
        <f>VLOOKUP(A971,Products!A$322:$D971,4,FALSE)</f>
        <v>#N/A</v>
      </c>
    </row>
    <row r="972" spans="1:3" x14ac:dyDescent="0.35">
      <c r="A972" s="21">
        <v>14</v>
      </c>
      <c r="B972" t="str">
        <f>VLOOKUP(A972,Products!$A$1:$F$322,2,FALSE)</f>
        <v>Electra Girl's Hawaii 1 (16-inch) - 2015/2016</v>
      </c>
      <c r="C972" s="21" t="e">
        <f>VLOOKUP(A972,Products!A$322:$D972,4,FALSE)</f>
        <v>#N/A</v>
      </c>
    </row>
    <row r="973" spans="1:3" x14ac:dyDescent="0.35">
      <c r="A973" s="21">
        <v>18</v>
      </c>
      <c r="B973" t="str">
        <f>VLOOKUP(A973,Products!$A$1:$F$322,2,FALSE)</f>
        <v>Pure Cycles Western 3-Speed - Women's - 2015/2016</v>
      </c>
      <c r="C973" s="21" t="e">
        <f>VLOOKUP(A973,Products!A$322:$D973,4,FALSE)</f>
        <v>#N/A</v>
      </c>
    </row>
    <row r="974" spans="1:3" x14ac:dyDescent="0.35">
      <c r="A974" s="21">
        <v>24</v>
      </c>
      <c r="B974" t="str">
        <f>VLOOKUP(A974,Products!$A$1:$F$322,2,FALSE)</f>
        <v>Electra Townie Original 21D - 2016</v>
      </c>
      <c r="C974" s="21" t="e">
        <f>VLOOKUP(A974,Products!A$322:$D974,4,FALSE)</f>
        <v>#N/A</v>
      </c>
    </row>
    <row r="975" spans="1:3" x14ac:dyDescent="0.35">
      <c r="A975" s="21">
        <v>13</v>
      </c>
      <c r="B975" t="str">
        <f>VLOOKUP(A975,Products!$A$1:$F$322,2,FALSE)</f>
        <v>Electra Cruiser 1 (24-Inch) - 2016</v>
      </c>
      <c r="C975" s="21" t="e">
        <f>VLOOKUP(A975,Products!A$322:$D975,4,FALSE)</f>
        <v>#N/A</v>
      </c>
    </row>
    <row r="976" spans="1:3" x14ac:dyDescent="0.35">
      <c r="A976" s="21">
        <v>23</v>
      </c>
      <c r="B976" t="str">
        <f>VLOOKUP(A976,Products!$A$1:$F$322,2,FALSE)</f>
        <v>Electra Girl's Hawaii 1 (20-inch) - 2015/2016</v>
      </c>
      <c r="C976" s="21" t="e">
        <f>VLOOKUP(A976,Products!A$322:$D976,4,FALSE)</f>
        <v>#N/A</v>
      </c>
    </row>
    <row r="977" spans="1:3" x14ac:dyDescent="0.35">
      <c r="A977" s="21">
        <v>21</v>
      </c>
      <c r="B977" t="str">
        <f>VLOOKUP(A977,Products!$A$1:$F$322,2,FALSE)</f>
        <v>Electra Cruiser 1 (24-Inch) - 2016</v>
      </c>
      <c r="C977" s="21" t="e">
        <f>VLOOKUP(A977,Products!A$322:$D977,4,FALSE)</f>
        <v>#N/A</v>
      </c>
    </row>
    <row r="978" spans="1:3" x14ac:dyDescent="0.35">
      <c r="A978" s="21">
        <v>15</v>
      </c>
      <c r="B978" t="str">
        <f>VLOOKUP(A978,Products!$A$1:$F$322,2,FALSE)</f>
        <v>Electra Moto 1 - 2016</v>
      </c>
      <c r="C978" s="21" t="e">
        <f>VLOOKUP(A978,Products!A$322:$D978,4,FALSE)</f>
        <v>#N/A</v>
      </c>
    </row>
    <row r="979" spans="1:3" x14ac:dyDescent="0.35">
      <c r="A979" s="21">
        <v>18</v>
      </c>
      <c r="B979" t="str">
        <f>VLOOKUP(A979,Products!$A$1:$F$322,2,FALSE)</f>
        <v>Pure Cycles Western 3-Speed - Women's - 2015/2016</v>
      </c>
      <c r="C979" s="21" t="e">
        <f>VLOOKUP(A979,Products!A$322:$D979,4,FALSE)</f>
        <v>#N/A</v>
      </c>
    </row>
    <row r="980" spans="1:3" x14ac:dyDescent="0.35">
      <c r="A980" s="21">
        <v>23</v>
      </c>
      <c r="B980" t="str">
        <f>VLOOKUP(A980,Products!$A$1:$F$322,2,FALSE)</f>
        <v>Electra Girl's Hawaii 1 (20-inch) - 2015/2016</v>
      </c>
      <c r="C980" s="21" t="e">
        <f>VLOOKUP(A980,Products!A$322:$D980,4,FALSE)</f>
        <v>#N/A</v>
      </c>
    </row>
    <row r="981" spans="1:3" x14ac:dyDescent="0.35">
      <c r="A981" s="21">
        <v>5</v>
      </c>
      <c r="B981" t="str">
        <f>VLOOKUP(A981,Products!$A$1:$F$322,2,FALSE)</f>
        <v>Heller Shagamaw Frame - 2016</v>
      </c>
      <c r="C981" s="21" t="e">
        <f>VLOOKUP(A981,Products!A$322:$D981,4,FALSE)</f>
        <v>#N/A</v>
      </c>
    </row>
    <row r="982" spans="1:3" x14ac:dyDescent="0.35">
      <c r="A982" s="21">
        <v>15</v>
      </c>
      <c r="B982" t="str">
        <f>VLOOKUP(A982,Products!$A$1:$F$322,2,FALSE)</f>
        <v>Electra Moto 1 - 2016</v>
      </c>
      <c r="C982" s="21" t="e">
        <f>VLOOKUP(A982,Products!A$322:$D982,4,FALSE)</f>
        <v>#N/A</v>
      </c>
    </row>
    <row r="983" spans="1:3" x14ac:dyDescent="0.35">
      <c r="A983" s="21">
        <v>20</v>
      </c>
      <c r="B983" t="str">
        <f>VLOOKUP(A983,Products!$A$1:$F$322,2,FALSE)</f>
        <v>Electra Townie Original 7D EQ - Women's - 2016</v>
      </c>
      <c r="C983" s="21" t="e">
        <f>VLOOKUP(A983,Products!A$322:$D983,4,FALSE)</f>
        <v>#N/A</v>
      </c>
    </row>
    <row r="984" spans="1:3" x14ac:dyDescent="0.35">
      <c r="A984" s="21">
        <v>6</v>
      </c>
      <c r="B984" t="str">
        <f>VLOOKUP(A984,Products!$A$1:$F$322,2,FALSE)</f>
        <v>Surly Ice Cream Truck Frameset - 2016</v>
      </c>
      <c r="C984" s="21" t="e">
        <f>VLOOKUP(A984,Products!A$322:$D984,4,FALSE)</f>
        <v>#N/A</v>
      </c>
    </row>
    <row r="985" spans="1:3" x14ac:dyDescent="0.35">
      <c r="A985" s="21">
        <v>20</v>
      </c>
      <c r="B985" t="str">
        <f>VLOOKUP(A985,Products!$A$1:$F$322,2,FALSE)</f>
        <v>Electra Townie Original 7D EQ - Women's - 2016</v>
      </c>
      <c r="C985" s="21" t="e">
        <f>VLOOKUP(A985,Products!A$322:$D985,4,FALSE)</f>
        <v>#N/A</v>
      </c>
    </row>
    <row r="986" spans="1:3" x14ac:dyDescent="0.35">
      <c r="A986" s="21">
        <v>3</v>
      </c>
      <c r="B986" t="str">
        <f>VLOOKUP(A986,Products!$A$1:$F$322,2,FALSE)</f>
        <v>Surly Wednesday Frameset - 2016</v>
      </c>
      <c r="C986" s="21" t="e">
        <f>VLOOKUP(A986,Products!A$322:$D986,4,FALSE)</f>
        <v>#N/A</v>
      </c>
    </row>
    <row r="987" spans="1:3" x14ac:dyDescent="0.35">
      <c r="A987" s="21">
        <v>4</v>
      </c>
      <c r="B987" t="str">
        <f>VLOOKUP(A987,Products!$A$1:$F$322,2,FALSE)</f>
        <v>Trek Fuel EX 8 29 - 2016</v>
      </c>
      <c r="C987" s="21" t="e">
        <f>VLOOKUP(A987,Products!A$322:$D987,4,FALSE)</f>
        <v>#N/A</v>
      </c>
    </row>
    <row r="988" spans="1:3" x14ac:dyDescent="0.35">
      <c r="A988" s="21">
        <v>24</v>
      </c>
      <c r="B988" t="str">
        <f>VLOOKUP(A988,Products!$A$1:$F$322,2,FALSE)</f>
        <v>Electra Townie Original 21D - 2016</v>
      </c>
      <c r="C988" s="21" t="e">
        <f>VLOOKUP(A988,Products!A$322:$D988,4,FALSE)</f>
        <v>#N/A</v>
      </c>
    </row>
    <row r="989" spans="1:3" x14ac:dyDescent="0.35">
      <c r="A989" s="21">
        <v>20</v>
      </c>
      <c r="B989" t="str">
        <f>VLOOKUP(A989,Products!$A$1:$F$322,2,FALSE)</f>
        <v>Electra Townie Original 7D EQ - Women's - 2016</v>
      </c>
      <c r="C989" s="21" t="e">
        <f>VLOOKUP(A989,Products!A$322:$D989,4,FALSE)</f>
        <v>#N/A</v>
      </c>
    </row>
    <row r="990" spans="1:3" x14ac:dyDescent="0.35">
      <c r="A990" s="21">
        <v>22</v>
      </c>
      <c r="B990" t="str">
        <f>VLOOKUP(A990,Products!$A$1:$F$322,2,FALSE)</f>
        <v>Electra Girl's Hawaii 1 (16-inch) - 2015/2016</v>
      </c>
      <c r="C990" s="21" t="e">
        <f>VLOOKUP(A990,Products!A$322:$D990,4,FALSE)</f>
        <v>#N/A</v>
      </c>
    </row>
    <row r="991" spans="1:3" x14ac:dyDescent="0.35">
      <c r="A991" s="21">
        <v>11</v>
      </c>
      <c r="B991" t="str">
        <f>VLOOKUP(A991,Products!$A$1:$F$322,2,FALSE)</f>
        <v>Surly Straggler 650b - 2016</v>
      </c>
      <c r="C991" s="21" t="e">
        <f>VLOOKUP(A991,Products!A$322:$D991,4,FALSE)</f>
        <v>#N/A</v>
      </c>
    </row>
    <row r="992" spans="1:3" x14ac:dyDescent="0.35">
      <c r="A992" s="21">
        <v>14</v>
      </c>
      <c r="B992" t="str">
        <f>VLOOKUP(A992,Products!$A$1:$F$322,2,FALSE)</f>
        <v>Electra Girl's Hawaii 1 (16-inch) - 2015/2016</v>
      </c>
      <c r="C992" s="21" t="e">
        <f>VLOOKUP(A992,Products!A$322:$D992,4,FALSE)</f>
        <v>#N/A</v>
      </c>
    </row>
    <row r="993" spans="1:3" x14ac:dyDescent="0.35">
      <c r="A993" s="21">
        <v>2</v>
      </c>
      <c r="B993" t="str">
        <f>VLOOKUP(A993,Products!$A$1:$F$322,2,FALSE)</f>
        <v>Ritchey Timberwolf Frameset - 2016</v>
      </c>
      <c r="C993" s="21" t="e">
        <f>VLOOKUP(A993,Products!A$322:$D993,4,FALSE)</f>
        <v>#N/A</v>
      </c>
    </row>
    <row r="994" spans="1:3" x14ac:dyDescent="0.35">
      <c r="A994" s="21">
        <v>21</v>
      </c>
      <c r="B994" t="str">
        <f>VLOOKUP(A994,Products!$A$1:$F$322,2,FALSE)</f>
        <v>Electra Cruiser 1 (24-Inch) - 2016</v>
      </c>
      <c r="C994" s="21" t="e">
        <f>VLOOKUP(A994,Products!A$322:$D994,4,FALSE)</f>
        <v>#N/A</v>
      </c>
    </row>
    <row r="995" spans="1:3" x14ac:dyDescent="0.35">
      <c r="A995" s="21">
        <v>19</v>
      </c>
      <c r="B995" t="str">
        <f>VLOOKUP(A995,Products!$A$1:$F$322,2,FALSE)</f>
        <v>Pure Cycles William 3-Speed - 2016</v>
      </c>
      <c r="C995" s="21" t="e">
        <f>VLOOKUP(A995,Products!A$322:$D995,4,FALSE)</f>
        <v>#N/A</v>
      </c>
    </row>
    <row r="996" spans="1:3" x14ac:dyDescent="0.35">
      <c r="A996" s="21">
        <v>16</v>
      </c>
      <c r="B996" t="str">
        <f>VLOOKUP(A996,Products!$A$1:$F$322,2,FALSE)</f>
        <v>Electra Townie Original 7D EQ - 2016</v>
      </c>
      <c r="C996" s="21" t="e">
        <f>VLOOKUP(A996,Products!A$322:$D996,4,FALSE)</f>
        <v>#N/A</v>
      </c>
    </row>
    <row r="997" spans="1:3" x14ac:dyDescent="0.35">
      <c r="A997" s="21">
        <v>14</v>
      </c>
      <c r="B997" t="str">
        <f>VLOOKUP(A997,Products!$A$1:$F$322,2,FALSE)</f>
        <v>Electra Girl's Hawaii 1 (16-inch) - 2015/2016</v>
      </c>
      <c r="C997" s="21" t="e">
        <f>VLOOKUP(A997,Products!A$322:$D997,4,FALSE)</f>
        <v>#N/A</v>
      </c>
    </row>
    <row r="998" spans="1:3" x14ac:dyDescent="0.35">
      <c r="A998" s="21">
        <v>23</v>
      </c>
      <c r="B998" t="str">
        <f>VLOOKUP(A998,Products!$A$1:$F$322,2,FALSE)</f>
        <v>Electra Girl's Hawaii 1 (20-inch) - 2015/2016</v>
      </c>
      <c r="C998" s="21" t="e">
        <f>VLOOKUP(A998,Products!A$322:$D998,4,FALSE)</f>
        <v>#N/A</v>
      </c>
    </row>
    <row r="999" spans="1:3" x14ac:dyDescent="0.35">
      <c r="A999" s="21">
        <v>4</v>
      </c>
      <c r="B999" t="str">
        <f>VLOOKUP(A999,Products!$A$1:$F$322,2,FALSE)</f>
        <v>Trek Fuel EX 8 29 - 2016</v>
      </c>
      <c r="C999" s="21" t="e">
        <f>VLOOKUP(A999,Products!A$322:$D999,4,FALSE)</f>
        <v>#N/A</v>
      </c>
    </row>
    <row r="1000" spans="1:3" x14ac:dyDescent="0.35">
      <c r="A1000" s="21">
        <v>13</v>
      </c>
      <c r="B1000" t="str">
        <f>VLOOKUP(A1000,Products!$A$1:$F$322,2,FALSE)</f>
        <v>Electra Cruiser 1 (24-Inch) - 2016</v>
      </c>
      <c r="C1000" s="21" t="e">
        <f>VLOOKUP(A1000,Products!A$322:$D1000,4,FALSE)</f>
        <v>#N/A</v>
      </c>
    </row>
    <row r="1001" spans="1:3" x14ac:dyDescent="0.35">
      <c r="A1001" s="21">
        <v>17</v>
      </c>
      <c r="B1001" t="str">
        <f>VLOOKUP(A1001,Products!$A$1:$F$322,2,FALSE)</f>
        <v>Pure Cycles Vine 8-Speed - 2016</v>
      </c>
      <c r="C1001" s="21" t="e">
        <f>VLOOKUP(A1001,Products!A$322:$D1001,4,FALSE)</f>
        <v>#N/A</v>
      </c>
    </row>
    <row r="1002" spans="1:3" x14ac:dyDescent="0.35">
      <c r="A1002" s="21">
        <v>21</v>
      </c>
      <c r="B1002" t="str">
        <f>VLOOKUP(A1002,Products!$A$1:$F$322,2,FALSE)</f>
        <v>Electra Cruiser 1 (24-Inch) - 2016</v>
      </c>
      <c r="C1002" s="21" t="e">
        <f>VLOOKUP(A1002,Products!A$322:$D1002,4,FALSE)</f>
        <v>#N/A</v>
      </c>
    </row>
    <row r="1003" spans="1:3" x14ac:dyDescent="0.35">
      <c r="A1003" s="21">
        <v>24</v>
      </c>
      <c r="B1003" t="str">
        <f>VLOOKUP(A1003,Products!$A$1:$F$322,2,FALSE)</f>
        <v>Electra Townie Original 21D - 2016</v>
      </c>
      <c r="C1003" s="21" t="e">
        <f>VLOOKUP(A1003,Products!A$322:$D1003,4,FALSE)</f>
        <v>#N/A</v>
      </c>
    </row>
    <row r="1004" spans="1:3" x14ac:dyDescent="0.35">
      <c r="A1004" s="21">
        <v>9</v>
      </c>
      <c r="B1004" t="str">
        <f>VLOOKUP(A1004,Products!$A$1:$F$322,2,FALSE)</f>
        <v>Trek Conduit+ - 2016</v>
      </c>
      <c r="C1004" s="21" t="e">
        <f>VLOOKUP(A1004,Products!A$322:$D1004,4,FALSE)</f>
        <v>#N/A</v>
      </c>
    </row>
    <row r="1005" spans="1:3" x14ac:dyDescent="0.35">
      <c r="A1005" s="21">
        <v>21</v>
      </c>
      <c r="B1005" t="str">
        <f>VLOOKUP(A1005,Products!$A$1:$F$322,2,FALSE)</f>
        <v>Electra Cruiser 1 (24-Inch) - 2016</v>
      </c>
      <c r="C1005" s="21" t="e">
        <f>VLOOKUP(A1005,Products!A$322:$D1005,4,FALSE)</f>
        <v>#N/A</v>
      </c>
    </row>
    <row r="1006" spans="1:3" x14ac:dyDescent="0.35">
      <c r="A1006" s="21">
        <v>6</v>
      </c>
      <c r="B1006" t="str">
        <f>VLOOKUP(A1006,Products!$A$1:$F$322,2,FALSE)</f>
        <v>Surly Ice Cream Truck Frameset - 2016</v>
      </c>
      <c r="C1006" s="21" t="e">
        <f>VLOOKUP(A1006,Products!A$322:$D1006,4,FALSE)</f>
        <v>#N/A</v>
      </c>
    </row>
    <row r="1007" spans="1:3" x14ac:dyDescent="0.35">
      <c r="A1007" s="21">
        <v>8</v>
      </c>
      <c r="B1007" t="str">
        <f>VLOOKUP(A1007,Products!$A$1:$F$322,2,FALSE)</f>
        <v>Trek Remedy 29 Carbon Frameset - 2016</v>
      </c>
      <c r="C1007" s="21" t="e">
        <f>VLOOKUP(A1007,Products!A$322:$D1007,4,FALSE)</f>
        <v>#N/A</v>
      </c>
    </row>
    <row r="1008" spans="1:3" x14ac:dyDescent="0.35">
      <c r="A1008" s="21">
        <v>18</v>
      </c>
      <c r="B1008" t="str">
        <f>VLOOKUP(A1008,Products!$A$1:$F$322,2,FALSE)</f>
        <v>Pure Cycles Western 3-Speed - Women's - 2015/2016</v>
      </c>
      <c r="C1008" s="21" t="e">
        <f>VLOOKUP(A1008,Products!A$322:$D1008,4,FALSE)</f>
        <v>#N/A</v>
      </c>
    </row>
    <row r="1009" spans="1:3" x14ac:dyDescent="0.35">
      <c r="A1009" s="21">
        <v>15</v>
      </c>
      <c r="B1009" t="str">
        <f>VLOOKUP(A1009,Products!$A$1:$F$322,2,FALSE)</f>
        <v>Electra Moto 1 - 2016</v>
      </c>
      <c r="C1009" s="21" t="e">
        <f>VLOOKUP(A1009,Products!A$322:$D1009,4,FALSE)</f>
        <v>#N/A</v>
      </c>
    </row>
    <row r="1010" spans="1:3" x14ac:dyDescent="0.35">
      <c r="A1010" s="21">
        <v>9</v>
      </c>
      <c r="B1010" t="str">
        <f>VLOOKUP(A1010,Products!$A$1:$F$322,2,FALSE)</f>
        <v>Trek Conduit+ - 2016</v>
      </c>
      <c r="C1010" s="21" t="e">
        <f>VLOOKUP(A1010,Products!A$322:$D1010,4,FALSE)</f>
        <v>#N/A</v>
      </c>
    </row>
    <row r="1011" spans="1:3" x14ac:dyDescent="0.35">
      <c r="A1011" s="21">
        <v>7</v>
      </c>
      <c r="B1011" t="str">
        <f>VLOOKUP(A1011,Products!$A$1:$F$322,2,FALSE)</f>
        <v>Trek Slash 8 27.5 - 2016</v>
      </c>
      <c r="C1011" s="21" t="e">
        <f>VLOOKUP(A1011,Products!A$322:$D1011,4,FALSE)</f>
        <v>#N/A</v>
      </c>
    </row>
    <row r="1012" spans="1:3" x14ac:dyDescent="0.35">
      <c r="A1012" s="21">
        <v>26</v>
      </c>
      <c r="B1012" t="str">
        <f>VLOOKUP(A1012,Products!$A$1:$F$322,2,FALSE)</f>
        <v>Electra Townie Original 7D EQ - 2016</v>
      </c>
      <c r="C1012" s="21" t="e">
        <f>VLOOKUP(A1012,Products!A$322:$D1012,4,FALSE)</f>
        <v>#N/A</v>
      </c>
    </row>
    <row r="1013" spans="1:3" x14ac:dyDescent="0.35">
      <c r="A1013" s="21">
        <v>7</v>
      </c>
      <c r="B1013" t="str">
        <f>VLOOKUP(A1013,Products!$A$1:$F$322,2,FALSE)</f>
        <v>Trek Slash 8 27.5 - 2016</v>
      </c>
      <c r="C1013" s="21" t="e">
        <f>VLOOKUP(A1013,Products!A$322:$D1013,4,FALSE)</f>
        <v>#N/A</v>
      </c>
    </row>
    <row r="1014" spans="1:3" x14ac:dyDescent="0.35">
      <c r="A1014" s="21">
        <v>13</v>
      </c>
      <c r="B1014" t="str">
        <f>VLOOKUP(A1014,Products!$A$1:$F$322,2,FALSE)</f>
        <v>Electra Cruiser 1 (24-Inch) - 2016</v>
      </c>
      <c r="C1014" s="21" t="e">
        <f>VLOOKUP(A1014,Products!A$322:$D1014,4,FALSE)</f>
        <v>#N/A</v>
      </c>
    </row>
    <row r="1015" spans="1:3" x14ac:dyDescent="0.35">
      <c r="A1015" s="21">
        <v>25</v>
      </c>
      <c r="B1015" t="str">
        <f>VLOOKUP(A1015,Products!$A$1:$F$322,2,FALSE)</f>
        <v>Electra Townie Original 7D - 2015/2016</v>
      </c>
      <c r="C1015" s="21" t="e">
        <f>VLOOKUP(A1015,Products!A$322:$D1015,4,FALSE)</f>
        <v>#N/A</v>
      </c>
    </row>
    <row r="1016" spans="1:3" x14ac:dyDescent="0.35">
      <c r="A1016" s="21">
        <v>24</v>
      </c>
      <c r="B1016" t="str">
        <f>VLOOKUP(A1016,Products!$A$1:$F$322,2,FALSE)</f>
        <v>Electra Townie Original 21D - 2016</v>
      </c>
      <c r="C1016" s="21" t="e">
        <f>VLOOKUP(A1016,Products!A$322:$D1016,4,FALSE)</f>
        <v>#N/A</v>
      </c>
    </row>
    <row r="1017" spans="1:3" x14ac:dyDescent="0.35">
      <c r="A1017" s="21">
        <v>6</v>
      </c>
      <c r="B1017" t="str">
        <f>VLOOKUP(A1017,Products!$A$1:$F$322,2,FALSE)</f>
        <v>Surly Ice Cream Truck Frameset - 2016</v>
      </c>
      <c r="C1017" s="21" t="e">
        <f>VLOOKUP(A1017,Products!A$322:$D1017,4,FALSE)</f>
        <v>#N/A</v>
      </c>
    </row>
    <row r="1018" spans="1:3" x14ac:dyDescent="0.35">
      <c r="A1018" s="21">
        <v>11</v>
      </c>
      <c r="B1018" t="str">
        <f>VLOOKUP(A1018,Products!$A$1:$F$322,2,FALSE)</f>
        <v>Surly Straggler 650b - 2016</v>
      </c>
      <c r="C1018" s="21" t="e">
        <f>VLOOKUP(A1018,Products!A$322:$D1018,4,FALSE)</f>
        <v>#N/A</v>
      </c>
    </row>
    <row r="1019" spans="1:3" x14ac:dyDescent="0.35">
      <c r="A1019" s="21">
        <v>2</v>
      </c>
      <c r="B1019" t="str">
        <f>VLOOKUP(A1019,Products!$A$1:$F$322,2,FALSE)</f>
        <v>Ritchey Timberwolf Frameset - 2016</v>
      </c>
      <c r="C1019" s="21" t="e">
        <f>VLOOKUP(A1019,Products!A$322:$D1019,4,FALSE)</f>
        <v>#N/A</v>
      </c>
    </row>
    <row r="1020" spans="1:3" x14ac:dyDescent="0.35">
      <c r="A1020" s="21">
        <v>21</v>
      </c>
      <c r="B1020" t="str">
        <f>VLOOKUP(A1020,Products!$A$1:$F$322,2,FALSE)</f>
        <v>Electra Cruiser 1 (24-Inch) - 2016</v>
      </c>
      <c r="C1020" s="21" t="e">
        <f>VLOOKUP(A1020,Products!A$322:$D1020,4,FALSE)</f>
        <v>#N/A</v>
      </c>
    </row>
    <row r="1021" spans="1:3" x14ac:dyDescent="0.35">
      <c r="A1021" s="21">
        <v>14</v>
      </c>
      <c r="B1021" t="str">
        <f>VLOOKUP(A1021,Products!$A$1:$F$322,2,FALSE)</f>
        <v>Electra Girl's Hawaii 1 (16-inch) - 2015/2016</v>
      </c>
      <c r="C1021" s="21" t="e">
        <f>VLOOKUP(A1021,Products!A$322:$D1021,4,FALSE)</f>
        <v>#N/A</v>
      </c>
    </row>
    <row r="1022" spans="1:3" x14ac:dyDescent="0.35">
      <c r="A1022" s="21">
        <v>15</v>
      </c>
      <c r="B1022" t="str">
        <f>VLOOKUP(A1022,Products!$A$1:$F$322,2,FALSE)</f>
        <v>Electra Moto 1 - 2016</v>
      </c>
      <c r="C1022" s="21" t="e">
        <f>VLOOKUP(A1022,Products!A$322:$D1022,4,FALSE)</f>
        <v>#N/A</v>
      </c>
    </row>
    <row r="1023" spans="1:3" x14ac:dyDescent="0.35">
      <c r="A1023" s="21">
        <v>20</v>
      </c>
      <c r="B1023" t="str">
        <f>VLOOKUP(A1023,Products!$A$1:$F$322,2,FALSE)</f>
        <v>Electra Townie Original 7D EQ - Women's - 2016</v>
      </c>
      <c r="C1023" s="21" t="e">
        <f>VLOOKUP(A1023,Products!A$322:$D1023,4,FALSE)</f>
        <v>#N/A</v>
      </c>
    </row>
    <row r="1024" spans="1:3" x14ac:dyDescent="0.35">
      <c r="A1024" s="21">
        <v>25</v>
      </c>
      <c r="B1024" t="str">
        <f>VLOOKUP(A1024,Products!$A$1:$F$322,2,FALSE)</f>
        <v>Electra Townie Original 7D - 2015/2016</v>
      </c>
      <c r="C1024" s="21" t="e">
        <f>VLOOKUP(A1024,Products!A$322:$D1024,4,FALSE)</f>
        <v>#N/A</v>
      </c>
    </row>
    <row r="1025" spans="1:3" x14ac:dyDescent="0.35">
      <c r="A1025" s="21">
        <v>24</v>
      </c>
      <c r="B1025" t="str">
        <f>VLOOKUP(A1025,Products!$A$1:$F$322,2,FALSE)</f>
        <v>Electra Townie Original 21D - 2016</v>
      </c>
      <c r="C1025" s="21" t="e">
        <f>VLOOKUP(A1025,Products!A$322:$D1025,4,FALSE)</f>
        <v>#N/A</v>
      </c>
    </row>
    <row r="1026" spans="1:3" x14ac:dyDescent="0.35">
      <c r="A1026" s="21">
        <v>21</v>
      </c>
      <c r="B1026" t="str">
        <f>VLOOKUP(A1026,Products!$A$1:$F$322,2,FALSE)</f>
        <v>Electra Cruiser 1 (24-Inch) - 2016</v>
      </c>
      <c r="C1026" s="21" t="e">
        <f>VLOOKUP(A1026,Products!A$322:$D1026,4,FALSE)</f>
        <v>#N/A</v>
      </c>
    </row>
    <row r="1027" spans="1:3" x14ac:dyDescent="0.35">
      <c r="A1027" s="21">
        <v>4</v>
      </c>
      <c r="B1027" t="str">
        <f>VLOOKUP(A1027,Products!$A$1:$F$322,2,FALSE)</f>
        <v>Trek Fuel EX 8 29 - 2016</v>
      </c>
      <c r="C1027" s="21" t="e">
        <f>VLOOKUP(A1027,Products!A$322:$D1027,4,FALSE)</f>
        <v>#N/A</v>
      </c>
    </row>
    <row r="1028" spans="1:3" x14ac:dyDescent="0.35">
      <c r="A1028" s="21">
        <v>16</v>
      </c>
      <c r="B1028" t="str">
        <f>VLOOKUP(A1028,Products!$A$1:$F$322,2,FALSE)</f>
        <v>Electra Townie Original 7D EQ - 2016</v>
      </c>
      <c r="C1028" s="21" t="e">
        <f>VLOOKUP(A1028,Products!A$322:$D1028,4,FALSE)</f>
        <v>#N/A</v>
      </c>
    </row>
    <row r="1029" spans="1:3" x14ac:dyDescent="0.35">
      <c r="A1029" s="21">
        <v>26</v>
      </c>
      <c r="B1029" t="str">
        <f>VLOOKUP(A1029,Products!$A$1:$F$322,2,FALSE)</f>
        <v>Electra Townie Original 7D EQ - 2016</v>
      </c>
      <c r="C1029" s="21" t="e">
        <f>VLOOKUP(A1029,Products!A$322:$D1029,4,FALSE)</f>
        <v>#N/A</v>
      </c>
    </row>
    <row r="1030" spans="1:3" x14ac:dyDescent="0.35">
      <c r="A1030" s="21">
        <v>14</v>
      </c>
      <c r="B1030" t="str">
        <f>VLOOKUP(A1030,Products!$A$1:$F$322,2,FALSE)</f>
        <v>Electra Girl's Hawaii 1 (16-inch) - 2015/2016</v>
      </c>
      <c r="C1030" s="21" t="e">
        <f>VLOOKUP(A1030,Products!A$322:$D1030,4,FALSE)</f>
        <v>#N/A</v>
      </c>
    </row>
    <row r="1031" spans="1:3" x14ac:dyDescent="0.35">
      <c r="A1031" s="21">
        <v>10</v>
      </c>
      <c r="B1031" t="str">
        <f>VLOOKUP(A1031,Products!$A$1:$F$322,2,FALSE)</f>
        <v>Surly Straggler - 2016</v>
      </c>
      <c r="C1031" s="21" t="e">
        <f>VLOOKUP(A1031,Products!A$322:$D1031,4,FALSE)</f>
        <v>#N/A</v>
      </c>
    </row>
    <row r="1032" spans="1:3" x14ac:dyDescent="0.35">
      <c r="A1032" s="21">
        <v>5</v>
      </c>
      <c r="B1032" t="str">
        <f>VLOOKUP(A1032,Products!$A$1:$F$322,2,FALSE)</f>
        <v>Heller Shagamaw Frame - 2016</v>
      </c>
      <c r="C1032" s="21" t="e">
        <f>VLOOKUP(A1032,Products!A$322:$D1032,4,FALSE)</f>
        <v>#N/A</v>
      </c>
    </row>
    <row r="1033" spans="1:3" x14ac:dyDescent="0.35">
      <c r="A1033" s="21">
        <v>10</v>
      </c>
      <c r="B1033" t="str">
        <f>VLOOKUP(A1033,Products!$A$1:$F$322,2,FALSE)</f>
        <v>Surly Straggler - 2016</v>
      </c>
      <c r="C1033" s="21" t="e">
        <f>VLOOKUP(A1033,Products!A$322:$D1033,4,FALSE)</f>
        <v>#N/A</v>
      </c>
    </row>
    <row r="1034" spans="1:3" x14ac:dyDescent="0.35">
      <c r="A1034" s="21">
        <v>21</v>
      </c>
      <c r="B1034" t="str">
        <f>VLOOKUP(A1034,Products!$A$1:$F$322,2,FALSE)</f>
        <v>Electra Cruiser 1 (24-Inch) - 2016</v>
      </c>
      <c r="C1034" s="21" t="e">
        <f>VLOOKUP(A1034,Products!A$322:$D1034,4,FALSE)</f>
        <v>#N/A</v>
      </c>
    </row>
    <row r="1035" spans="1:3" x14ac:dyDescent="0.35">
      <c r="A1035" s="21">
        <v>19</v>
      </c>
      <c r="B1035" t="str">
        <f>VLOOKUP(A1035,Products!$A$1:$F$322,2,FALSE)</f>
        <v>Pure Cycles William 3-Speed - 2016</v>
      </c>
      <c r="C1035" s="21" t="e">
        <f>VLOOKUP(A1035,Products!A$322:$D1035,4,FALSE)</f>
        <v>#N/A</v>
      </c>
    </row>
    <row r="1036" spans="1:3" x14ac:dyDescent="0.35">
      <c r="A1036" s="21">
        <v>10</v>
      </c>
      <c r="B1036" t="str">
        <f>VLOOKUP(A1036,Products!$A$1:$F$322,2,FALSE)</f>
        <v>Surly Straggler - 2016</v>
      </c>
      <c r="C1036" s="21" t="e">
        <f>VLOOKUP(A1036,Products!A$322:$D1036,4,FALSE)</f>
        <v>#N/A</v>
      </c>
    </row>
    <row r="1037" spans="1:3" x14ac:dyDescent="0.35">
      <c r="A1037" s="21">
        <v>25</v>
      </c>
      <c r="B1037" t="str">
        <f>VLOOKUP(A1037,Products!$A$1:$F$322,2,FALSE)</f>
        <v>Electra Townie Original 7D - 2015/2016</v>
      </c>
      <c r="C1037" s="21" t="e">
        <f>VLOOKUP(A1037,Products!A$322:$D1037,4,FALSE)</f>
        <v>#N/A</v>
      </c>
    </row>
    <row r="1038" spans="1:3" x14ac:dyDescent="0.35">
      <c r="A1038" s="21">
        <v>4</v>
      </c>
      <c r="B1038" t="str">
        <f>VLOOKUP(A1038,Products!$A$1:$F$322,2,FALSE)</f>
        <v>Trek Fuel EX 8 29 - 2016</v>
      </c>
      <c r="C1038" s="21" t="e">
        <f>VLOOKUP(A1038,Products!A$322:$D1038,4,FALSE)</f>
        <v>#N/A</v>
      </c>
    </row>
    <row r="1039" spans="1:3" x14ac:dyDescent="0.35">
      <c r="A1039" s="21">
        <v>14</v>
      </c>
      <c r="B1039" t="str">
        <f>VLOOKUP(A1039,Products!$A$1:$F$322,2,FALSE)</f>
        <v>Electra Girl's Hawaii 1 (16-inch) - 2015/2016</v>
      </c>
      <c r="C1039" s="21" t="e">
        <f>VLOOKUP(A1039,Products!A$322:$D1039,4,FALSE)</f>
        <v>#N/A</v>
      </c>
    </row>
    <row r="1040" spans="1:3" x14ac:dyDescent="0.35">
      <c r="A1040" s="21">
        <v>12</v>
      </c>
      <c r="B1040" t="str">
        <f>VLOOKUP(A1040,Products!$A$1:$F$322,2,FALSE)</f>
        <v>Electra Townie Original 21D - 2016</v>
      </c>
      <c r="C1040" s="21" t="e">
        <f>VLOOKUP(A1040,Products!A$322:$D1040,4,FALSE)</f>
        <v>#N/A</v>
      </c>
    </row>
    <row r="1041" spans="1:3" x14ac:dyDescent="0.35">
      <c r="A1041" s="21">
        <v>11</v>
      </c>
      <c r="B1041" t="str">
        <f>VLOOKUP(A1041,Products!$A$1:$F$322,2,FALSE)</f>
        <v>Surly Straggler 650b - 2016</v>
      </c>
      <c r="C1041" s="21" t="e">
        <f>VLOOKUP(A1041,Products!A$322:$D1041,4,FALSE)</f>
        <v>#N/A</v>
      </c>
    </row>
    <row r="1042" spans="1:3" x14ac:dyDescent="0.35">
      <c r="A1042" s="21">
        <v>14</v>
      </c>
      <c r="B1042" t="str">
        <f>VLOOKUP(A1042,Products!$A$1:$F$322,2,FALSE)</f>
        <v>Electra Girl's Hawaii 1 (16-inch) - 2015/2016</v>
      </c>
      <c r="C1042" s="21" t="e">
        <f>VLOOKUP(A1042,Products!A$322:$D1042,4,FALSE)</f>
        <v>#N/A</v>
      </c>
    </row>
    <row r="1043" spans="1:3" x14ac:dyDescent="0.35">
      <c r="A1043" s="21">
        <v>5</v>
      </c>
      <c r="B1043" t="str">
        <f>VLOOKUP(A1043,Products!$A$1:$F$322,2,FALSE)</f>
        <v>Heller Shagamaw Frame - 2016</v>
      </c>
      <c r="C1043" s="21" t="e">
        <f>VLOOKUP(A1043,Products!A$322:$D1043,4,FALSE)</f>
        <v>#N/A</v>
      </c>
    </row>
    <row r="1044" spans="1:3" x14ac:dyDescent="0.35">
      <c r="A1044" s="21">
        <v>8</v>
      </c>
      <c r="B1044" t="str">
        <f>VLOOKUP(A1044,Products!$A$1:$F$322,2,FALSE)</f>
        <v>Trek Remedy 29 Carbon Frameset - 2016</v>
      </c>
      <c r="C1044" s="21" t="e">
        <f>VLOOKUP(A1044,Products!A$322:$D1044,4,FALSE)</f>
        <v>#N/A</v>
      </c>
    </row>
    <row r="1045" spans="1:3" x14ac:dyDescent="0.35">
      <c r="A1045" s="21">
        <v>22</v>
      </c>
      <c r="B1045" t="str">
        <f>VLOOKUP(A1045,Products!$A$1:$F$322,2,FALSE)</f>
        <v>Electra Girl's Hawaii 1 (16-inch) - 2015/2016</v>
      </c>
      <c r="C1045" s="21" t="e">
        <f>VLOOKUP(A1045,Products!A$322:$D1045,4,FALSE)</f>
        <v>#N/A</v>
      </c>
    </row>
    <row r="1046" spans="1:3" x14ac:dyDescent="0.35">
      <c r="A1046" s="21">
        <v>19</v>
      </c>
      <c r="B1046" t="str">
        <f>VLOOKUP(A1046,Products!$A$1:$F$322,2,FALSE)</f>
        <v>Pure Cycles William 3-Speed - 2016</v>
      </c>
      <c r="C1046" s="21" t="e">
        <f>VLOOKUP(A1046,Products!A$322:$D1046,4,FALSE)</f>
        <v>#N/A</v>
      </c>
    </row>
    <row r="1047" spans="1:3" x14ac:dyDescent="0.35">
      <c r="A1047" s="21">
        <v>12</v>
      </c>
      <c r="B1047" t="str">
        <f>VLOOKUP(A1047,Products!$A$1:$F$322,2,FALSE)</f>
        <v>Electra Townie Original 21D - 2016</v>
      </c>
      <c r="C1047" s="21" t="e">
        <f>VLOOKUP(A1047,Products!A$322:$D1047,4,FALSE)</f>
        <v>#N/A</v>
      </c>
    </row>
    <row r="1048" spans="1:3" x14ac:dyDescent="0.35">
      <c r="A1048" s="21">
        <v>13</v>
      </c>
      <c r="B1048" t="str">
        <f>VLOOKUP(A1048,Products!$A$1:$F$322,2,FALSE)</f>
        <v>Electra Cruiser 1 (24-Inch) - 2016</v>
      </c>
      <c r="C1048" s="21" t="e">
        <f>VLOOKUP(A1048,Products!A$322:$D1048,4,FALSE)</f>
        <v>#N/A</v>
      </c>
    </row>
    <row r="1049" spans="1:3" x14ac:dyDescent="0.35">
      <c r="A1049" s="21">
        <v>10</v>
      </c>
      <c r="B1049" t="str">
        <f>VLOOKUP(A1049,Products!$A$1:$F$322,2,FALSE)</f>
        <v>Surly Straggler - 2016</v>
      </c>
      <c r="C1049" s="21" t="e">
        <f>VLOOKUP(A1049,Products!A$322:$D1049,4,FALSE)</f>
        <v>#N/A</v>
      </c>
    </row>
    <row r="1050" spans="1:3" x14ac:dyDescent="0.35">
      <c r="A1050" s="21">
        <v>7</v>
      </c>
      <c r="B1050" t="str">
        <f>VLOOKUP(A1050,Products!$A$1:$F$322,2,FALSE)</f>
        <v>Trek Slash 8 27.5 - 2016</v>
      </c>
      <c r="C1050" s="21" t="e">
        <f>VLOOKUP(A1050,Products!A$322:$D1050,4,FALSE)</f>
        <v>#N/A</v>
      </c>
    </row>
    <row r="1051" spans="1:3" x14ac:dyDescent="0.35">
      <c r="A1051" s="21">
        <v>21</v>
      </c>
      <c r="B1051" t="str">
        <f>VLOOKUP(A1051,Products!$A$1:$F$322,2,FALSE)</f>
        <v>Electra Cruiser 1 (24-Inch) - 2016</v>
      </c>
      <c r="C1051" s="21" t="e">
        <f>VLOOKUP(A1051,Products!A$322:$D1051,4,FALSE)</f>
        <v>#N/A</v>
      </c>
    </row>
    <row r="1052" spans="1:3" x14ac:dyDescent="0.35">
      <c r="A1052" s="21">
        <v>2</v>
      </c>
      <c r="B1052" t="str">
        <f>VLOOKUP(A1052,Products!$A$1:$F$322,2,FALSE)</f>
        <v>Ritchey Timberwolf Frameset - 2016</v>
      </c>
      <c r="C1052" s="21" t="e">
        <f>VLOOKUP(A1052,Products!A$322:$D1052,4,FALSE)</f>
        <v>#N/A</v>
      </c>
    </row>
    <row r="1053" spans="1:3" x14ac:dyDescent="0.35">
      <c r="A1053" s="21">
        <v>4</v>
      </c>
      <c r="B1053" t="str">
        <f>VLOOKUP(A1053,Products!$A$1:$F$322,2,FALSE)</f>
        <v>Trek Fuel EX 8 29 - 2016</v>
      </c>
      <c r="C1053" s="21" t="e">
        <f>VLOOKUP(A1053,Products!A$322:$D1053,4,FALSE)</f>
        <v>#N/A</v>
      </c>
    </row>
    <row r="1054" spans="1:3" x14ac:dyDescent="0.35">
      <c r="A1054" s="21">
        <v>12</v>
      </c>
      <c r="B1054" t="str">
        <f>VLOOKUP(A1054,Products!$A$1:$F$322,2,FALSE)</f>
        <v>Electra Townie Original 21D - 2016</v>
      </c>
      <c r="C1054" s="21" t="e">
        <f>VLOOKUP(A1054,Products!A$322:$D1054,4,FALSE)</f>
        <v>#N/A</v>
      </c>
    </row>
    <row r="1055" spans="1:3" x14ac:dyDescent="0.35">
      <c r="A1055" s="21">
        <v>2</v>
      </c>
      <c r="B1055" t="str">
        <f>VLOOKUP(A1055,Products!$A$1:$F$322,2,FALSE)</f>
        <v>Ritchey Timberwolf Frameset - 2016</v>
      </c>
      <c r="C1055" s="21" t="e">
        <f>VLOOKUP(A1055,Products!A$322:$D1055,4,FALSE)</f>
        <v>#N/A</v>
      </c>
    </row>
    <row r="1056" spans="1:3" x14ac:dyDescent="0.35">
      <c r="A1056" s="21">
        <v>23</v>
      </c>
      <c r="B1056" t="str">
        <f>VLOOKUP(A1056,Products!$A$1:$F$322,2,FALSE)</f>
        <v>Electra Girl's Hawaii 1 (20-inch) - 2015/2016</v>
      </c>
      <c r="C1056" s="21" t="e">
        <f>VLOOKUP(A1056,Products!A$322:$D1056,4,FALSE)</f>
        <v>#N/A</v>
      </c>
    </row>
    <row r="1057" spans="1:3" x14ac:dyDescent="0.35">
      <c r="A1057" s="21">
        <v>8</v>
      </c>
      <c r="B1057" t="str">
        <f>VLOOKUP(A1057,Products!$A$1:$F$322,2,FALSE)</f>
        <v>Trek Remedy 29 Carbon Frameset - 2016</v>
      </c>
      <c r="C1057" s="21" t="e">
        <f>VLOOKUP(A1057,Products!A$322:$D1057,4,FALSE)</f>
        <v>#N/A</v>
      </c>
    </row>
    <row r="1058" spans="1:3" x14ac:dyDescent="0.35">
      <c r="A1058" s="21">
        <v>14</v>
      </c>
      <c r="B1058" t="str">
        <f>VLOOKUP(A1058,Products!$A$1:$F$322,2,FALSE)</f>
        <v>Electra Girl's Hawaii 1 (16-inch) - 2015/2016</v>
      </c>
      <c r="C1058" s="21" t="e">
        <f>VLOOKUP(A1058,Products!A$322:$D1058,4,FALSE)</f>
        <v>#N/A</v>
      </c>
    </row>
    <row r="1059" spans="1:3" x14ac:dyDescent="0.35">
      <c r="A1059" s="21">
        <v>26</v>
      </c>
      <c r="B1059" t="str">
        <f>VLOOKUP(A1059,Products!$A$1:$F$322,2,FALSE)</f>
        <v>Electra Townie Original 7D EQ - 2016</v>
      </c>
      <c r="C1059" s="21" t="e">
        <f>VLOOKUP(A1059,Products!A$322:$D1059,4,FALSE)</f>
        <v>#N/A</v>
      </c>
    </row>
    <row r="1060" spans="1:3" x14ac:dyDescent="0.35">
      <c r="A1060" s="21">
        <v>9</v>
      </c>
      <c r="B1060" t="str">
        <f>VLOOKUP(A1060,Products!$A$1:$F$322,2,FALSE)</f>
        <v>Trek Conduit+ - 2016</v>
      </c>
      <c r="C1060" s="21" t="e">
        <f>VLOOKUP(A1060,Products!A$322:$D1060,4,FALSE)</f>
        <v>#N/A</v>
      </c>
    </row>
    <row r="1061" spans="1:3" x14ac:dyDescent="0.35">
      <c r="A1061" s="21">
        <v>16</v>
      </c>
      <c r="B1061" t="str">
        <f>VLOOKUP(A1061,Products!$A$1:$F$322,2,FALSE)</f>
        <v>Electra Townie Original 7D EQ - 2016</v>
      </c>
      <c r="C1061" s="21" t="e">
        <f>VLOOKUP(A1061,Products!A$322:$D1061,4,FALSE)</f>
        <v>#N/A</v>
      </c>
    </row>
    <row r="1062" spans="1:3" x14ac:dyDescent="0.35">
      <c r="A1062" s="21">
        <v>16</v>
      </c>
      <c r="B1062" t="str">
        <f>VLOOKUP(A1062,Products!$A$1:$F$322,2,FALSE)</f>
        <v>Electra Townie Original 7D EQ - 2016</v>
      </c>
      <c r="C1062" s="21" t="e">
        <f>VLOOKUP(A1062,Products!A$322:$D1062,4,FALSE)</f>
        <v>#N/A</v>
      </c>
    </row>
    <row r="1063" spans="1:3" x14ac:dyDescent="0.35">
      <c r="A1063" s="21">
        <v>11</v>
      </c>
      <c r="B1063" t="str">
        <f>VLOOKUP(A1063,Products!$A$1:$F$322,2,FALSE)</f>
        <v>Surly Straggler 650b - 2016</v>
      </c>
      <c r="C1063" s="21" t="e">
        <f>VLOOKUP(A1063,Products!A$322:$D1063,4,FALSE)</f>
        <v>#N/A</v>
      </c>
    </row>
    <row r="1064" spans="1:3" x14ac:dyDescent="0.35">
      <c r="A1064" s="21">
        <v>21</v>
      </c>
      <c r="B1064" t="str">
        <f>VLOOKUP(A1064,Products!$A$1:$F$322,2,FALSE)</f>
        <v>Electra Cruiser 1 (24-Inch) - 2016</v>
      </c>
      <c r="C1064" s="21" t="e">
        <f>VLOOKUP(A1064,Products!A$322:$D1064,4,FALSE)</f>
        <v>#N/A</v>
      </c>
    </row>
    <row r="1065" spans="1:3" x14ac:dyDescent="0.35">
      <c r="A1065" s="21">
        <v>8</v>
      </c>
      <c r="B1065" t="str">
        <f>VLOOKUP(A1065,Products!$A$1:$F$322,2,FALSE)</f>
        <v>Trek Remedy 29 Carbon Frameset - 2016</v>
      </c>
      <c r="C1065" s="21" t="e">
        <f>VLOOKUP(A1065,Products!A$322:$D1065,4,FALSE)</f>
        <v>#N/A</v>
      </c>
    </row>
    <row r="1066" spans="1:3" x14ac:dyDescent="0.35">
      <c r="A1066" s="21">
        <v>9</v>
      </c>
      <c r="B1066" t="str">
        <f>VLOOKUP(A1066,Products!$A$1:$F$322,2,FALSE)</f>
        <v>Trek Conduit+ - 2016</v>
      </c>
      <c r="C1066" s="21" t="e">
        <f>VLOOKUP(A1066,Products!A$322:$D1066,4,FALSE)</f>
        <v>#N/A</v>
      </c>
    </row>
    <row r="1067" spans="1:3" x14ac:dyDescent="0.35">
      <c r="A1067" s="21">
        <v>13</v>
      </c>
      <c r="B1067" t="str">
        <f>VLOOKUP(A1067,Products!$A$1:$F$322,2,FALSE)</f>
        <v>Electra Cruiser 1 (24-Inch) - 2016</v>
      </c>
      <c r="C1067" s="21" t="e">
        <f>VLOOKUP(A1067,Products!A$322:$D1067,4,FALSE)</f>
        <v>#N/A</v>
      </c>
    </row>
    <row r="1068" spans="1:3" x14ac:dyDescent="0.35">
      <c r="A1068" s="21">
        <v>19</v>
      </c>
      <c r="B1068" t="str">
        <f>VLOOKUP(A1068,Products!$A$1:$F$322,2,FALSE)</f>
        <v>Pure Cycles William 3-Speed - 2016</v>
      </c>
      <c r="C1068" s="21" t="e">
        <f>VLOOKUP(A1068,Products!A$322:$D1068,4,FALSE)</f>
        <v>#N/A</v>
      </c>
    </row>
    <row r="1069" spans="1:3" x14ac:dyDescent="0.35">
      <c r="A1069" s="21">
        <v>22</v>
      </c>
      <c r="B1069" t="str">
        <f>VLOOKUP(A1069,Products!$A$1:$F$322,2,FALSE)</f>
        <v>Electra Girl's Hawaii 1 (16-inch) - 2015/2016</v>
      </c>
      <c r="C1069" s="21" t="e">
        <f>VLOOKUP(A1069,Products!A$322:$D1069,4,FALSE)</f>
        <v>#N/A</v>
      </c>
    </row>
    <row r="1070" spans="1:3" x14ac:dyDescent="0.35">
      <c r="A1070" s="21">
        <v>13</v>
      </c>
      <c r="B1070" t="str">
        <f>VLOOKUP(A1070,Products!$A$1:$F$322,2,FALSE)</f>
        <v>Electra Cruiser 1 (24-Inch) - 2016</v>
      </c>
      <c r="C1070" s="21" t="e">
        <f>VLOOKUP(A1070,Products!A$322:$D1070,4,FALSE)</f>
        <v>#N/A</v>
      </c>
    </row>
    <row r="1071" spans="1:3" x14ac:dyDescent="0.35">
      <c r="A1071" s="21">
        <v>21</v>
      </c>
      <c r="B1071" t="str">
        <f>VLOOKUP(A1071,Products!$A$1:$F$322,2,FALSE)</f>
        <v>Electra Cruiser 1 (24-Inch) - 2016</v>
      </c>
      <c r="C1071" s="21" t="e">
        <f>VLOOKUP(A1071,Products!A$322:$D1071,4,FALSE)</f>
        <v>#N/A</v>
      </c>
    </row>
    <row r="1072" spans="1:3" x14ac:dyDescent="0.35">
      <c r="A1072" s="21">
        <v>14</v>
      </c>
      <c r="B1072" t="str">
        <f>VLOOKUP(A1072,Products!$A$1:$F$322,2,FALSE)</f>
        <v>Electra Girl's Hawaii 1 (16-inch) - 2015/2016</v>
      </c>
      <c r="C1072" s="21" t="e">
        <f>VLOOKUP(A1072,Products!A$322:$D1072,4,FALSE)</f>
        <v>#N/A</v>
      </c>
    </row>
    <row r="1073" spans="1:3" x14ac:dyDescent="0.35">
      <c r="A1073" s="21">
        <v>20</v>
      </c>
      <c r="B1073" t="str">
        <f>VLOOKUP(A1073,Products!$A$1:$F$322,2,FALSE)</f>
        <v>Electra Townie Original 7D EQ - Women's - 2016</v>
      </c>
      <c r="C1073" s="21" t="e">
        <f>VLOOKUP(A1073,Products!A$322:$D1073,4,FALSE)</f>
        <v>#N/A</v>
      </c>
    </row>
    <row r="1074" spans="1:3" x14ac:dyDescent="0.35">
      <c r="A1074" s="21">
        <v>21</v>
      </c>
      <c r="B1074" t="str">
        <f>VLOOKUP(A1074,Products!$A$1:$F$322,2,FALSE)</f>
        <v>Electra Cruiser 1 (24-Inch) - 2016</v>
      </c>
      <c r="C1074" s="21" t="e">
        <f>VLOOKUP(A1074,Products!A$322:$D1074,4,FALSE)</f>
        <v>#N/A</v>
      </c>
    </row>
    <row r="1075" spans="1:3" x14ac:dyDescent="0.35">
      <c r="A1075" s="21">
        <v>8</v>
      </c>
      <c r="B1075" t="str">
        <f>VLOOKUP(A1075,Products!$A$1:$F$322,2,FALSE)</f>
        <v>Trek Remedy 29 Carbon Frameset - 2016</v>
      </c>
      <c r="C1075" s="21" t="e">
        <f>VLOOKUP(A1075,Products!A$322:$D1075,4,FALSE)</f>
        <v>#N/A</v>
      </c>
    </row>
    <row r="1076" spans="1:3" x14ac:dyDescent="0.35">
      <c r="A1076" s="21">
        <v>15</v>
      </c>
      <c r="B1076" t="str">
        <f>VLOOKUP(A1076,Products!$A$1:$F$322,2,FALSE)</f>
        <v>Electra Moto 1 - 2016</v>
      </c>
      <c r="C1076" s="21" t="e">
        <f>VLOOKUP(A1076,Products!A$322:$D1076,4,FALSE)</f>
        <v>#N/A</v>
      </c>
    </row>
    <row r="1077" spans="1:3" x14ac:dyDescent="0.35">
      <c r="A1077" s="21">
        <v>4</v>
      </c>
      <c r="B1077" t="str">
        <f>VLOOKUP(A1077,Products!$A$1:$F$322,2,FALSE)</f>
        <v>Trek Fuel EX 8 29 - 2016</v>
      </c>
      <c r="C1077" s="21" t="e">
        <f>VLOOKUP(A1077,Products!A$322:$D1077,4,FALSE)</f>
        <v>#N/A</v>
      </c>
    </row>
    <row r="1078" spans="1:3" x14ac:dyDescent="0.35">
      <c r="A1078" s="21">
        <v>21</v>
      </c>
      <c r="B1078" t="str">
        <f>VLOOKUP(A1078,Products!$A$1:$F$322,2,FALSE)</f>
        <v>Electra Cruiser 1 (24-Inch) - 2016</v>
      </c>
      <c r="C1078" s="21" t="e">
        <f>VLOOKUP(A1078,Products!A$322:$D1078,4,FALSE)</f>
        <v>#N/A</v>
      </c>
    </row>
    <row r="1079" spans="1:3" x14ac:dyDescent="0.35">
      <c r="A1079" s="21">
        <v>7</v>
      </c>
      <c r="B1079" t="str">
        <f>VLOOKUP(A1079,Products!$A$1:$F$322,2,FALSE)</f>
        <v>Trek Slash 8 27.5 - 2016</v>
      </c>
      <c r="C1079" s="21" t="e">
        <f>VLOOKUP(A1079,Products!A$322:$D1079,4,FALSE)</f>
        <v>#N/A</v>
      </c>
    </row>
    <row r="1080" spans="1:3" x14ac:dyDescent="0.35">
      <c r="A1080" s="21">
        <v>26</v>
      </c>
      <c r="B1080" t="str">
        <f>VLOOKUP(A1080,Products!$A$1:$F$322,2,FALSE)</f>
        <v>Electra Townie Original 7D EQ - 2016</v>
      </c>
      <c r="C1080" s="21" t="e">
        <f>VLOOKUP(A1080,Products!A$322:$D1080,4,FALSE)</f>
        <v>#N/A</v>
      </c>
    </row>
    <row r="1081" spans="1:3" x14ac:dyDescent="0.35">
      <c r="A1081" s="21">
        <v>8</v>
      </c>
      <c r="B1081" t="str">
        <f>VLOOKUP(A1081,Products!$A$1:$F$322,2,FALSE)</f>
        <v>Trek Remedy 29 Carbon Frameset - 2016</v>
      </c>
      <c r="C1081" s="21" t="e">
        <f>VLOOKUP(A1081,Products!A$322:$D1081,4,FALSE)</f>
        <v>#N/A</v>
      </c>
    </row>
    <row r="1082" spans="1:3" x14ac:dyDescent="0.35">
      <c r="A1082" s="21">
        <v>3</v>
      </c>
      <c r="B1082" t="str">
        <f>VLOOKUP(A1082,Products!$A$1:$F$322,2,FALSE)</f>
        <v>Surly Wednesday Frameset - 2016</v>
      </c>
      <c r="C1082" s="21" t="e">
        <f>VLOOKUP(A1082,Products!A$322:$D1082,4,FALSE)</f>
        <v>#N/A</v>
      </c>
    </row>
    <row r="1083" spans="1:3" x14ac:dyDescent="0.35">
      <c r="A1083" s="21">
        <v>16</v>
      </c>
      <c r="B1083" t="str">
        <f>VLOOKUP(A1083,Products!$A$1:$F$322,2,FALSE)</f>
        <v>Electra Townie Original 7D EQ - 2016</v>
      </c>
      <c r="C1083" s="21" t="e">
        <f>VLOOKUP(A1083,Products!A$322:$D1083,4,FALSE)</f>
        <v>#N/A</v>
      </c>
    </row>
    <row r="1084" spans="1:3" x14ac:dyDescent="0.35">
      <c r="A1084" s="21">
        <v>18</v>
      </c>
      <c r="B1084" t="str">
        <f>VLOOKUP(A1084,Products!$A$1:$F$322,2,FALSE)</f>
        <v>Pure Cycles Western 3-Speed - Women's - 2015/2016</v>
      </c>
      <c r="C1084" s="21" t="e">
        <f>VLOOKUP(A1084,Products!A$322:$D1084,4,FALSE)</f>
        <v>#N/A</v>
      </c>
    </row>
    <row r="1085" spans="1:3" x14ac:dyDescent="0.35">
      <c r="A1085" s="21">
        <v>19</v>
      </c>
      <c r="B1085" t="str">
        <f>VLOOKUP(A1085,Products!$A$1:$F$322,2,FALSE)</f>
        <v>Pure Cycles William 3-Speed - 2016</v>
      </c>
      <c r="C1085" s="21" t="e">
        <f>VLOOKUP(A1085,Products!A$322:$D1085,4,FALSE)</f>
        <v>#N/A</v>
      </c>
    </row>
    <row r="1086" spans="1:3" x14ac:dyDescent="0.35">
      <c r="A1086" s="21">
        <v>13</v>
      </c>
      <c r="B1086" t="str">
        <f>VLOOKUP(A1086,Products!$A$1:$F$322,2,FALSE)</f>
        <v>Electra Cruiser 1 (24-Inch) - 2016</v>
      </c>
      <c r="C1086" s="21" t="e">
        <f>VLOOKUP(A1086,Products!A$322:$D1086,4,FALSE)</f>
        <v>#N/A</v>
      </c>
    </row>
    <row r="1087" spans="1:3" x14ac:dyDescent="0.35">
      <c r="A1087" s="21">
        <v>2</v>
      </c>
      <c r="B1087" t="str">
        <f>VLOOKUP(A1087,Products!$A$1:$F$322,2,FALSE)</f>
        <v>Ritchey Timberwolf Frameset - 2016</v>
      </c>
      <c r="C1087" s="21" t="e">
        <f>VLOOKUP(A1087,Products!A$322:$D1087,4,FALSE)</f>
        <v>#N/A</v>
      </c>
    </row>
    <row r="1088" spans="1:3" x14ac:dyDescent="0.35">
      <c r="A1088" s="21">
        <v>11</v>
      </c>
      <c r="B1088" t="str">
        <f>VLOOKUP(A1088,Products!$A$1:$F$322,2,FALSE)</f>
        <v>Surly Straggler 650b - 2016</v>
      </c>
      <c r="C1088" s="21" t="e">
        <f>VLOOKUP(A1088,Products!A$322:$D1088,4,FALSE)</f>
        <v>#N/A</v>
      </c>
    </row>
    <row r="1089" spans="1:3" x14ac:dyDescent="0.35">
      <c r="A1089" s="21">
        <v>2</v>
      </c>
      <c r="B1089" t="str">
        <f>VLOOKUP(A1089,Products!$A$1:$F$322,2,FALSE)</f>
        <v>Ritchey Timberwolf Frameset - 2016</v>
      </c>
      <c r="C1089" s="21" t="e">
        <f>VLOOKUP(A1089,Products!A$322:$D1089,4,FALSE)</f>
        <v>#N/A</v>
      </c>
    </row>
    <row r="1090" spans="1:3" x14ac:dyDescent="0.35">
      <c r="A1090" s="21">
        <v>15</v>
      </c>
      <c r="B1090" t="str">
        <f>VLOOKUP(A1090,Products!$A$1:$F$322,2,FALSE)</f>
        <v>Electra Moto 1 - 2016</v>
      </c>
      <c r="C1090" s="21" t="e">
        <f>VLOOKUP(A1090,Products!A$322:$D1090,4,FALSE)</f>
        <v>#N/A</v>
      </c>
    </row>
    <row r="1091" spans="1:3" x14ac:dyDescent="0.35">
      <c r="A1091" s="21">
        <v>10</v>
      </c>
      <c r="B1091" t="str">
        <f>VLOOKUP(A1091,Products!$A$1:$F$322,2,FALSE)</f>
        <v>Surly Straggler - 2016</v>
      </c>
      <c r="C1091" s="21" t="e">
        <f>VLOOKUP(A1091,Products!A$322:$D1091,4,FALSE)</f>
        <v>#N/A</v>
      </c>
    </row>
    <row r="1092" spans="1:3" x14ac:dyDescent="0.35">
      <c r="A1092" s="21">
        <v>5</v>
      </c>
      <c r="B1092" t="str">
        <f>VLOOKUP(A1092,Products!$A$1:$F$322,2,FALSE)</f>
        <v>Heller Shagamaw Frame - 2016</v>
      </c>
      <c r="C1092" s="21" t="e">
        <f>VLOOKUP(A1092,Products!A$322:$D1092,4,FALSE)</f>
        <v>#N/A</v>
      </c>
    </row>
    <row r="1093" spans="1:3" x14ac:dyDescent="0.35">
      <c r="A1093" s="21">
        <v>9</v>
      </c>
      <c r="B1093" t="str">
        <f>VLOOKUP(A1093,Products!$A$1:$F$322,2,FALSE)</f>
        <v>Trek Conduit+ - 2016</v>
      </c>
      <c r="C1093" s="21" t="e">
        <f>VLOOKUP(A1093,Products!A$322:$D1093,4,FALSE)</f>
        <v>#N/A</v>
      </c>
    </row>
    <row r="1094" spans="1:3" x14ac:dyDescent="0.35">
      <c r="A1094" s="21">
        <v>23</v>
      </c>
      <c r="B1094" t="str">
        <f>VLOOKUP(A1094,Products!$A$1:$F$322,2,FALSE)</f>
        <v>Electra Girl's Hawaii 1 (20-inch) - 2015/2016</v>
      </c>
      <c r="C1094" s="21" t="e">
        <f>VLOOKUP(A1094,Products!A$322:$D1094,4,FALSE)</f>
        <v>#N/A</v>
      </c>
    </row>
    <row r="1095" spans="1:3" x14ac:dyDescent="0.35">
      <c r="A1095" s="21">
        <v>7</v>
      </c>
      <c r="B1095" t="str">
        <f>VLOOKUP(A1095,Products!$A$1:$F$322,2,FALSE)</f>
        <v>Trek Slash 8 27.5 - 2016</v>
      </c>
      <c r="C1095" s="21" t="e">
        <f>VLOOKUP(A1095,Products!A$322:$D1095,4,FALSE)</f>
        <v>#N/A</v>
      </c>
    </row>
    <row r="1096" spans="1:3" x14ac:dyDescent="0.35">
      <c r="A1096" s="21">
        <v>9</v>
      </c>
      <c r="B1096" t="str">
        <f>VLOOKUP(A1096,Products!$A$1:$F$322,2,FALSE)</f>
        <v>Trek Conduit+ - 2016</v>
      </c>
      <c r="C1096" s="21" t="e">
        <f>VLOOKUP(A1096,Products!A$322:$D1096,4,FALSE)</f>
        <v>#N/A</v>
      </c>
    </row>
    <row r="1097" spans="1:3" x14ac:dyDescent="0.35">
      <c r="A1097" s="21">
        <v>8</v>
      </c>
      <c r="B1097" t="str">
        <f>VLOOKUP(A1097,Products!$A$1:$F$322,2,FALSE)</f>
        <v>Trek Remedy 29 Carbon Frameset - 2016</v>
      </c>
      <c r="C1097" s="21" t="e">
        <f>VLOOKUP(A1097,Products!A$322:$D1097,4,FALSE)</f>
        <v>#N/A</v>
      </c>
    </row>
    <row r="1098" spans="1:3" x14ac:dyDescent="0.35">
      <c r="A1098" s="21">
        <v>5</v>
      </c>
      <c r="B1098" t="str">
        <f>VLOOKUP(A1098,Products!$A$1:$F$322,2,FALSE)</f>
        <v>Heller Shagamaw Frame - 2016</v>
      </c>
      <c r="C1098" s="21" t="e">
        <f>VLOOKUP(A1098,Products!A$322:$D1098,4,FALSE)</f>
        <v>#N/A</v>
      </c>
    </row>
    <row r="1099" spans="1:3" x14ac:dyDescent="0.35">
      <c r="A1099" s="21">
        <v>24</v>
      </c>
      <c r="B1099" t="str">
        <f>VLOOKUP(A1099,Products!$A$1:$F$322,2,FALSE)</f>
        <v>Electra Townie Original 21D - 2016</v>
      </c>
      <c r="C1099" s="21" t="e">
        <f>VLOOKUP(A1099,Products!A$322:$D1099,4,FALSE)</f>
        <v>#N/A</v>
      </c>
    </row>
    <row r="1100" spans="1:3" x14ac:dyDescent="0.35">
      <c r="A1100" s="21">
        <v>14</v>
      </c>
      <c r="B1100" t="str">
        <f>VLOOKUP(A1100,Products!$A$1:$F$322,2,FALSE)</f>
        <v>Electra Girl's Hawaii 1 (16-inch) - 2015/2016</v>
      </c>
      <c r="C1100" s="21" t="e">
        <f>VLOOKUP(A1100,Products!A$322:$D1100,4,FALSE)</f>
        <v>#N/A</v>
      </c>
    </row>
    <row r="1101" spans="1:3" x14ac:dyDescent="0.35">
      <c r="A1101" s="21">
        <v>3</v>
      </c>
      <c r="B1101" t="str">
        <f>VLOOKUP(A1101,Products!$A$1:$F$322,2,FALSE)</f>
        <v>Surly Wednesday Frameset - 2016</v>
      </c>
      <c r="C1101" s="21" t="e">
        <f>VLOOKUP(A1101,Products!A$322:$D1101,4,FALSE)</f>
        <v>#N/A</v>
      </c>
    </row>
    <row r="1102" spans="1:3" x14ac:dyDescent="0.35">
      <c r="A1102" s="21">
        <v>6</v>
      </c>
      <c r="B1102" t="str">
        <f>VLOOKUP(A1102,Products!$A$1:$F$322,2,FALSE)</f>
        <v>Surly Ice Cream Truck Frameset - 2016</v>
      </c>
      <c r="C1102" s="21" t="e">
        <f>VLOOKUP(A1102,Products!A$322:$D1102,4,FALSE)</f>
        <v>#N/A</v>
      </c>
    </row>
    <row r="1103" spans="1:3" x14ac:dyDescent="0.35">
      <c r="A1103" s="21">
        <v>23</v>
      </c>
      <c r="B1103" t="str">
        <f>VLOOKUP(A1103,Products!$A$1:$F$322,2,FALSE)</f>
        <v>Electra Girl's Hawaii 1 (20-inch) - 2015/2016</v>
      </c>
      <c r="C1103" s="21" t="e">
        <f>VLOOKUP(A1103,Products!A$322:$D1103,4,FALSE)</f>
        <v>#N/A</v>
      </c>
    </row>
    <row r="1104" spans="1:3" x14ac:dyDescent="0.35">
      <c r="A1104" s="21">
        <v>16</v>
      </c>
      <c r="B1104" t="str">
        <f>VLOOKUP(A1104,Products!$A$1:$F$322,2,FALSE)</f>
        <v>Electra Townie Original 7D EQ - 2016</v>
      </c>
      <c r="C1104" s="21" t="e">
        <f>VLOOKUP(A1104,Products!A$322:$D1104,4,FALSE)</f>
        <v>#N/A</v>
      </c>
    </row>
    <row r="1105" spans="1:3" x14ac:dyDescent="0.35">
      <c r="A1105" s="21">
        <v>14</v>
      </c>
      <c r="B1105" t="str">
        <f>VLOOKUP(A1105,Products!$A$1:$F$322,2,FALSE)</f>
        <v>Electra Girl's Hawaii 1 (16-inch) - 2015/2016</v>
      </c>
      <c r="C1105" s="21" t="e">
        <f>VLOOKUP(A1105,Products!A$322:$D1105,4,FALSE)</f>
        <v>#N/A</v>
      </c>
    </row>
    <row r="1106" spans="1:3" x14ac:dyDescent="0.35">
      <c r="A1106" s="21">
        <v>14</v>
      </c>
      <c r="B1106" t="str">
        <f>VLOOKUP(A1106,Products!$A$1:$F$322,2,FALSE)</f>
        <v>Electra Girl's Hawaii 1 (16-inch) - 2015/2016</v>
      </c>
      <c r="C1106" s="21" t="e">
        <f>VLOOKUP(A1106,Products!A$322:$D1106,4,FALSE)</f>
        <v>#N/A</v>
      </c>
    </row>
    <row r="1107" spans="1:3" x14ac:dyDescent="0.35">
      <c r="A1107" s="21">
        <v>12</v>
      </c>
      <c r="B1107" t="str">
        <f>VLOOKUP(A1107,Products!$A$1:$F$322,2,FALSE)</f>
        <v>Electra Townie Original 21D - 2016</v>
      </c>
      <c r="C1107" s="21" t="e">
        <f>VLOOKUP(A1107,Products!A$322:$D1107,4,FALSE)</f>
        <v>#N/A</v>
      </c>
    </row>
    <row r="1108" spans="1:3" x14ac:dyDescent="0.35">
      <c r="A1108" s="21">
        <v>25</v>
      </c>
      <c r="B1108" t="str">
        <f>VLOOKUP(A1108,Products!$A$1:$F$322,2,FALSE)</f>
        <v>Electra Townie Original 7D - 2015/2016</v>
      </c>
      <c r="C1108" s="21" t="e">
        <f>VLOOKUP(A1108,Products!A$322:$D1108,4,FALSE)</f>
        <v>#N/A</v>
      </c>
    </row>
    <row r="1109" spans="1:3" x14ac:dyDescent="0.35">
      <c r="A1109" s="21">
        <v>5</v>
      </c>
      <c r="B1109" t="str">
        <f>VLOOKUP(A1109,Products!$A$1:$F$322,2,FALSE)</f>
        <v>Heller Shagamaw Frame - 2016</v>
      </c>
      <c r="C1109" s="21" t="e">
        <f>VLOOKUP(A1109,Products!A$322:$D1109,4,FALSE)</f>
        <v>#N/A</v>
      </c>
    </row>
    <row r="1110" spans="1:3" x14ac:dyDescent="0.35">
      <c r="A1110" s="21">
        <v>7</v>
      </c>
      <c r="B1110" t="str">
        <f>VLOOKUP(A1110,Products!$A$1:$F$322,2,FALSE)</f>
        <v>Trek Slash 8 27.5 - 2016</v>
      </c>
      <c r="C1110" s="21" t="e">
        <f>VLOOKUP(A1110,Products!A$322:$D1110,4,FALSE)</f>
        <v>#N/A</v>
      </c>
    </row>
    <row r="1111" spans="1:3" x14ac:dyDescent="0.35">
      <c r="A1111" s="21">
        <v>8</v>
      </c>
      <c r="B1111" t="str">
        <f>VLOOKUP(A1111,Products!$A$1:$F$322,2,FALSE)</f>
        <v>Trek Remedy 29 Carbon Frameset - 2016</v>
      </c>
      <c r="C1111" s="21" t="e">
        <f>VLOOKUP(A1111,Products!A$322:$D1111,4,FALSE)</f>
        <v>#N/A</v>
      </c>
    </row>
    <row r="1112" spans="1:3" x14ac:dyDescent="0.35">
      <c r="A1112" s="21">
        <v>18</v>
      </c>
      <c r="B1112" t="str">
        <f>VLOOKUP(A1112,Products!$A$1:$F$322,2,FALSE)</f>
        <v>Pure Cycles Western 3-Speed - Women's - 2015/2016</v>
      </c>
      <c r="C1112" s="21" t="e">
        <f>VLOOKUP(A1112,Products!A$322:$D1112,4,FALSE)</f>
        <v>#N/A</v>
      </c>
    </row>
    <row r="1113" spans="1:3" x14ac:dyDescent="0.35">
      <c r="A1113" s="21">
        <v>25</v>
      </c>
      <c r="B1113" t="str">
        <f>VLOOKUP(A1113,Products!$A$1:$F$322,2,FALSE)</f>
        <v>Electra Townie Original 7D - 2015/2016</v>
      </c>
      <c r="C1113" s="21" t="e">
        <f>VLOOKUP(A1113,Products!A$322:$D1113,4,FALSE)</f>
        <v>#N/A</v>
      </c>
    </row>
    <row r="1114" spans="1:3" x14ac:dyDescent="0.35">
      <c r="A1114" s="21">
        <v>17</v>
      </c>
      <c r="B1114" t="str">
        <f>VLOOKUP(A1114,Products!$A$1:$F$322,2,FALSE)</f>
        <v>Pure Cycles Vine 8-Speed - 2016</v>
      </c>
      <c r="C1114" s="21" t="e">
        <f>VLOOKUP(A1114,Products!A$322:$D1114,4,FALSE)</f>
        <v>#N/A</v>
      </c>
    </row>
    <row r="1115" spans="1:3" x14ac:dyDescent="0.35">
      <c r="A1115" s="21">
        <v>25</v>
      </c>
      <c r="B1115" t="str">
        <f>VLOOKUP(A1115,Products!$A$1:$F$322,2,FALSE)</f>
        <v>Electra Townie Original 7D - 2015/2016</v>
      </c>
      <c r="C1115" s="21" t="e">
        <f>VLOOKUP(A1115,Products!A$322:$D1115,4,FALSE)</f>
        <v>#N/A</v>
      </c>
    </row>
    <row r="1116" spans="1:3" x14ac:dyDescent="0.35">
      <c r="A1116" s="21">
        <v>11</v>
      </c>
      <c r="B1116" t="str">
        <f>VLOOKUP(A1116,Products!$A$1:$F$322,2,FALSE)</f>
        <v>Surly Straggler 650b - 2016</v>
      </c>
      <c r="C1116" s="21" t="e">
        <f>VLOOKUP(A1116,Products!A$322:$D1116,4,FALSE)</f>
        <v>#N/A</v>
      </c>
    </row>
    <row r="1117" spans="1:3" x14ac:dyDescent="0.35">
      <c r="A1117" s="21">
        <v>14</v>
      </c>
      <c r="B1117" t="str">
        <f>VLOOKUP(A1117,Products!$A$1:$F$322,2,FALSE)</f>
        <v>Electra Girl's Hawaii 1 (16-inch) - 2015/2016</v>
      </c>
      <c r="C1117" s="21" t="e">
        <f>VLOOKUP(A1117,Products!A$322:$D1117,4,FALSE)</f>
        <v>#N/A</v>
      </c>
    </row>
    <row r="1118" spans="1:3" x14ac:dyDescent="0.35">
      <c r="A1118" s="21">
        <v>24</v>
      </c>
      <c r="B1118" t="str">
        <f>VLOOKUP(A1118,Products!$A$1:$F$322,2,FALSE)</f>
        <v>Electra Townie Original 21D - 2016</v>
      </c>
      <c r="C1118" s="21" t="e">
        <f>VLOOKUP(A1118,Products!A$322:$D1118,4,FALSE)</f>
        <v>#N/A</v>
      </c>
    </row>
    <row r="1119" spans="1:3" x14ac:dyDescent="0.35">
      <c r="A1119" s="21">
        <v>9</v>
      </c>
      <c r="B1119" t="str">
        <f>VLOOKUP(A1119,Products!$A$1:$F$322,2,FALSE)</f>
        <v>Trek Conduit+ - 2016</v>
      </c>
      <c r="C1119" s="21" t="e">
        <f>VLOOKUP(A1119,Products!A$322:$D1119,4,FALSE)</f>
        <v>#N/A</v>
      </c>
    </row>
    <row r="1120" spans="1:3" x14ac:dyDescent="0.35">
      <c r="A1120" s="21">
        <v>3</v>
      </c>
      <c r="B1120" t="str">
        <f>VLOOKUP(A1120,Products!$A$1:$F$322,2,FALSE)</f>
        <v>Surly Wednesday Frameset - 2016</v>
      </c>
      <c r="C1120" s="21" t="e">
        <f>VLOOKUP(A1120,Products!A$322:$D1120,4,FALSE)</f>
        <v>#N/A</v>
      </c>
    </row>
    <row r="1121" spans="1:3" x14ac:dyDescent="0.35">
      <c r="A1121" s="21">
        <v>23</v>
      </c>
      <c r="B1121" t="str">
        <f>VLOOKUP(A1121,Products!$A$1:$F$322,2,FALSE)</f>
        <v>Electra Girl's Hawaii 1 (20-inch) - 2015/2016</v>
      </c>
      <c r="C1121" s="21" t="e">
        <f>VLOOKUP(A1121,Products!A$322:$D1121,4,FALSE)</f>
        <v>#N/A</v>
      </c>
    </row>
    <row r="1122" spans="1:3" x14ac:dyDescent="0.35">
      <c r="A1122" s="21">
        <v>10</v>
      </c>
      <c r="B1122" t="str">
        <f>VLOOKUP(A1122,Products!$A$1:$F$322,2,FALSE)</f>
        <v>Surly Straggler - 2016</v>
      </c>
      <c r="C1122" s="21" t="e">
        <f>VLOOKUP(A1122,Products!A$322:$D1122,4,FALSE)</f>
        <v>#N/A</v>
      </c>
    </row>
    <row r="1123" spans="1:3" x14ac:dyDescent="0.35">
      <c r="A1123" s="21">
        <v>6</v>
      </c>
      <c r="B1123" t="str">
        <f>VLOOKUP(A1123,Products!$A$1:$F$322,2,FALSE)</f>
        <v>Surly Ice Cream Truck Frameset - 2016</v>
      </c>
      <c r="C1123" s="21" t="e">
        <f>VLOOKUP(A1123,Products!A$322:$D1123,4,FALSE)</f>
        <v>#N/A</v>
      </c>
    </row>
    <row r="1124" spans="1:3" x14ac:dyDescent="0.35">
      <c r="A1124" s="21">
        <v>5</v>
      </c>
      <c r="B1124" t="str">
        <f>VLOOKUP(A1124,Products!$A$1:$F$322,2,FALSE)</f>
        <v>Heller Shagamaw Frame - 2016</v>
      </c>
      <c r="C1124" s="21" t="e">
        <f>VLOOKUP(A1124,Products!A$322:$D1124,4,FALSE)</f>
        <v>#N/A</v>
      </c>
    </row>
    <row r="1125" spans="1:3" x14ac:dyDescent="0.35">
      <c r="A1125" s="21">
        <v>26</v>
      </c>
      <c r="B1125" t="str">
        <f>VLOOKUP(A1125,Products!$A$1:$F$322,2,FALSE)</f>
        <v>Electra Townie Original 7D EQ - 2016</v>
      </c>
      <c r="C1125" s="21" t="e">
        <f>VLOOKUP(A1125,Products!A$322:$D1125,4,FALSE)</f>
        <v>#N/A</v>
      </c>
    </row>
    <row r="1126" spans="1:3" x14ac:dyDescent="0.35">
      <c r="A1126" s="21">
        <v>12</v>
      </c>
      <c r="B1126" t="str">
        <f>VLOOKUP(A1126,Products!$A$1:$F$322,2,FALSE)</f>
        <v>Electra Townie Original 21D - 2016</v>
      </c>
      <c r="C1126" s="21" t="e">
        <f>VLOOKUP(A1126,Products!A$322:$D1126,4,FALSE)</f>
        <v>#N/A</v>
      </c>
    </row>
    <row r="1127" spans="1:3" x14ac:dyDescent="0.35">
      <c r="A1127" s="21">
        <v>7</v>
      </c>
      <c r="B1127" t="str">
        <f>VLOOKUP(A1127,Products!$A$1:$F$322,2,FALSE)</f>
        <v>Trek Slash 8 27.5 - 2016</v>
      </c>
      <c r="C1127" s="21" t="e">
        <f>VLOOKUP(A1127,Products!A$322:$D1127,4,FALSE)</f>
        <v>#N/A</v>
      </c>
    </row>
    <row r="1128" spans="1:3" x14ac:dyDescent="0.35">
      <c r="A1128" s="21">
        <v>22</v>
      </c>
      <c r="B1128" t="str">
        <f>VLOOKUP(A1128,Products!$A$1:$F$322,2,FALSE)</f>
        <v>Electra Girl's Hawaii 1 (16-inch) - 2015/2016</v>
      </c>
      <c r="C1128" s="21" t="e">
        <f>VLOOKUP(A1128,Products!A$322:$D1128,4,FALSE)</f>
        <v>#N/A</v>
      </c>
    </row>
    <row r="1129" spans="1:3" x14ac:dyDescent="0.35">
      <c r="A1129" s="21">
        <v>24</v>
      </c>
      <c r="B1129" t="str">
        <f>VLOOKUP(A1129,Products!$A$1:$F$322,2,FALSE)</f>
        <v>Electra Townie Original 21D - 2016</v>
      </c>
      <c r="C1129" s="21" t="e">
        <f>VLOOKUP(A1129,Products!A$322:$D1129,4,FALSE)</f>
        <v>#N/A</v>
      </c>
    </row>
    <row r="1130" spans="1:3" x14ac:dyDescent="0.35">
      <c r="A1130" s="21">
        <v>9</v>
      </c>
      <c r="B1130" t="str">
        <f>VLOOKUP(A1130,Products!$A$1:$F$322,2,FALSE)</f>
        <v>Trek Conduit+ - 2016</v>
      </c>
      <c r="C1130" s="21" t="e">
        <f>VLOOKUP(A1130,Products!A$322:$D1130,4,FALSE)</f>
        <v>#N/A</v>
      </c>
    </row>
    <row r="1131" spans="1:3" x14ac:dyDescent="0.35">
      <c r="A1131" s="21">
        <v>25</v>
      </c>
      <c r="B1131" t="str">
        <f>VLOOKUP(A1131,Products!$A$1:$F$322,2,FALSE)</f>
        <v>Electra Townie Original 7D - 2015/2016</v>
      </c>
      <c r="C1131" s="21" t="e">
        <f>VLOOKUP(A1131,Products!A$322:$D1131,4,FALSE)</f>
        <v>#N/A</v>
      </c>
    </row>
    <row r="1132" spans="1:3" x14ac:dyDescent="0.35">
      <c r="A1132" s="21">
        <v>16</v>
      </c>
      <c r="B1132" t="str">
        <f>VLOOKUP(A1132,Products!$A$1:$F$322,2,FALSE)</f>
        <v>Electra Townie Original 7D EQ - 2016</v>
      </c>
      <c r="C1132" s="21" t="e">
        <f>VLOOKUP(A1132,Products!A$322:$D1132,4,FALSE)</f>
        <v>#N/A</v>
      </c>
    </row>
    <row r="1133" spans="1:3" x14ac:dyDescent="0.35">
      <c r="A1133" s="21">
        <v>3</v>
      </c>
      <c r="B1133" t="str">
        <f>VLOOKUP(A1133,Products!$A$1:$F$322,2,FALSE)</f>
        <v>Surly Wednesday Frameset - 2016</v>
      </c>
      <c r="C1133" s="21" t="e">
        <f>VLOOKUP(A1133,Products!A$322:$D1133,4,FALSE)</f>
        <v>#N/A</v>
      </c>
    </row>
    <row r="1134" spans="1:3" x14ac:dyDescent="0.35">
      <c r="A1134" s="21">
        <v>10</v>
      </c>
      <c r="B1134" t="str">
        <f>VLOOKUP(A1134,Products!$A$1:$F$322,2,FALSE)</f>
        <v>Surly Straggler - 2016</v>
      </c>
      <c r="C1134" s="21" t="e">
        <f>VLOOKUP(A1134,Products!A$322:$D1134,4,FALSE)</f>
        <v>#N/A</v>
      </c>
    </row>
    <row r="1135" spans="1:3" x14ac:dyDescent="0.35">
      <c r="A1135" s="21">
        <v>14</v>
      </c>
      <c r="B1135" t="str">
        <f>VLOOKUP(A1135,Products!$A$1:$F$322,2,FALSE)</f>
        <v>Electra Girl's Hawaii 1 (16-inch) - 2015/2016</v>
      </c>
      <c r="C1135" s="21" t="e">
        <f>VLOOKUP(A1135,Products!A$322:$D1135,4,FALSE)</f>
        <v>#N/A</v>
      </c>
    </row>
    <row r="1136" spans="1:3" x14ac:dyDescent="0.35">
      <c r="A1136" s="21">
        <v>4</v>
      </c>
      <c r="B1136" t="str">
        <f>VLOOKUP(A1136,Products!$A$1:$F$322,2,FALSE)</f>
        <v>Trek Fuel EX 8 29 - 2016</v>
      </c>
      <c r="C1136" s="21" t="e">
        <f>VLOOKUP(A1136,Products!A$322:$D1136,4,FALSE)</f>
        <v>#N/A</v>
      </c>
    </row>
    <row r="1137" spans="1:3" x14ac:dyDescent="0.35">
      <c r="A1137" s="21">
        <v>20</v>
      </c>
      <c r="B1137" t="str">
        <f>VLOOKUP(A1137,Products!$A$1:$F$322,2,FALSE)</f>
        <v>Electra Townie Original 7D EQ - Women's - 2016</v>
      </c>
      <c r="C1137" s="21" t="e">
        <f>VLOOKUP(A1137,Products!A$322:$D1137,4,FALSE)</f>
        <v>#N/A</v>
      </c>
    </row>
    <row r="1138" spans="1:3" x14ac:dyDescent="0.35">
      <c r="A1138" s="21">
        <v>5</v>
      </c>
      <c r="B1138" t="str">
        <f>VLOOKUP(A1138,Products!$A$1:$F$322,2,FALSE)</f>
        <v>Heller Shagamaw Frame - 2016</v>
      </c>
      <c r="C1138" s="21" t="e">
        <f>VLOOKUP(A1138,Products!A$322:$D1138,4,FALSE)</f>
        <v>#N/A</v>
      </c>
    </row>
    <row r="1139" spans="1:3" x14ac:dyDescent="0.35">
      <c r="A1139" s="21">
        <v>18</v>
      </c>
      <c r="B1139" t="str">
        <f>VLOOKUP(A1139,Products!$A$1:$F$322,2,FALSE)</f>
        <v>Pure Cycles Western 3-Speed - Women's - 2015/2016</v>
      </c>
      <c r="C1139" s="21" t="e">
        <f>VLOOKUP(A1139,Products!A$322:$D1139,4,FALSE)</f>
        <v>#N/A</v>
      </c>
    </row>
    <row r="1140" spans="1:3" x14ac:dyDescent="0.35">
      <c r="A1140" s="21">
        <v>3</v>
      </c>
      <c r="B1140" t="str">
        <f>VLOOKUP(A1140,Products!$A$1:$F$322,2,FALSE)</f>
        <v>Surly Wednesday Frameset - 2016</v>
      </c>
      <c r="C1140" s="21" t="e">
        <f>VLOOKUP(A1140,Products!A$322:$D1140,4,FALSE)</f>
        <v>#N/A</v>
      </c>
    </row>
    <row r="1141" spans="1:3" x14ac:dyDescent="0.35">
      <c r="A1141" s="21">
        <v>2</v>
      </c>
      <c r="B1141" t="str">
        <f>VLOOKUP(A1141,Products!$A$1:$F$322,2,FALSE)</f>
        <v>Ritchey Timberwolf Frameset - 2016</v>
      </c>
      <c r="C1141" s="21" t="e">
        <f>VLOOKUP(A1141,Products!A$322:$D1141,4,FALSE)</f>
        <v>#N/A</v>
      </c>
    </row>
    <row r="1142" spans="1:3" x14ac:dyDescent="0.35">
      <c r="A1142" s="21">
        <v>17</v>
      </c>
      <c r="B1142" t="str">
        <f>VLOOKUP(A1142,Products!$A$1:$F$322,2,FALSE)</f>
        <v>Pure Cycles Vine 8-Speed - 2016</v>
      </c>
      <c r="C1142" s="21" t="e">
        <f>VLOOKUP(A1142,Products!A$322:$D1142,4,FALSE)</f>
        <v>#N/A</v>
      </c>
    </row>
    <row r="1143" spans="1:3" x14ac:dyDescent="0.35">
      <c r="A1143" s="21">
        <v>15</v>
      </c>
      <c r="B1143" t="str">
        <f>VLOOKUP(A1143,Products!$A$1:$F$322,2,FALSE)</f>
        <v>Electra Moto 1 - 2016</v>
      </c>
      <c r="C1143" s="21" t="e">
        <f>VLOOKUP(A1143,Products!A$322:$D1143,4,FALSE)</f>
        <v>#N/A</v>
      </c>
    </row>
    <row r="1144" spans="1:3" x14ac:dyDescent="0.35">
      <c r="A1144" s="21">
        <v>16</v>
      </c>
      <c r="B1144" t="str">
        <f>VLOOKUP(A1144,Products!$A$1:$F$322,2,FALSE)</f>
        <v>Electra Townie Original 7D EQ - 2016</v>
      </c>
      <c r="C1144" s="21" t="e">
        <f>VLOOKUP(A1144,Products!A$322:$D1144,4,FALSE)</f>
        <v>#N/A</v>
      </c>
    </row>
    <row r="1145" spans="1:3" x14ac:dyDescent="0.35">
      <c r="A1145" s="21">
        <v>21</v>
      </c>
      <c r="B1145" t="str">
        <f>VLOOKUP(A1145,Products!$A$1:$F$322,2,FALSE)</f>
        <v>Electra Cruiser 1 (24-Inch) - 2016</v>
      </c>
      <c r="C1145" s="21" t="e">
        <f>VLOOKUP(A1145,Products!A$322:$D1145,4,FALSE)</f>
        <v>#N/A</v>
      </c>
    </row>
    <row r="1146" spans="1:3" x14ac:dyDescent="0.35">
      <c r="A1146" s="21">
        <v>25</v>
      </c>
      <c r="B1146" t="str">
        <f>VLOOKUP(A1146,Products!$A$1:$F$322,2,FALSE)</f>
        <v>Electra Townie Original 7D - 2015/2016</v>
      </c>
      <c r="C1146" s="21" t="e">
        <f>VLOOKUP(A1146,Products!A$322:$D1146,4,FALSE)</f>
        <v>#N/A</v>
      </c>
    </row>
    <row r="1147" spans="1:3" x14ac:dyDescent="0.35">
      <c r="A1147" s="21">
        <v>9</v>
      </c>
      <c r="B1147" t="str">
        <f>VLOOKUP(A1147,Products!$A$1:$F$322,2,FALSE)</f>
        <v>Trek Conduit+ - 2016</v>
      </c>
      <c r="C1147" s="21" t="e">
        <f>VLOOKUP(A1147,Products!A$322:$D1147,4,FALSE)</f>
        <v>#N/A</v>
      </c>
    </row>
    <row r="1148" spans="1:3" x14ac:dyDescent="0.35">
      <c r="A1148" s="21">
        <v>24</v>
      </c>
      <c r="B1148" t="str">
        <f>VLOOKUP(A1148,Products!$A$1:$F$322,2,FALSE)</f>
        <v>Electra Townie Original 21D - 2016</v>
      </c>
      <c r="C1148" s="21" t="e">
        <f>VLOOKUP(A1148,Products!A$322:$D1148,4,FALSE)</f>
        <v>#N/A</v>
      </c>
    </row>
    <row r="1149" spans="1:3" x14ac:dyDescent="0.35">
      <c r="A1149" s="21">
        <v>2</v>
      </c>
      <c r="B1149" t="str">
        <f>VLOOKUP(A1149,Products!$A$1:$F$322,2,FALSE)</f>
        <v>Ritchey Timberwolf Frameset - 2016</v>
      </c>
      <c r="C1149" s="21" t="e">
        <f>VLOOKUP(A1149,Products!A$322:$D1149,4,FALSE)</f>
        <v>#N/A</v>
      </c>
    </row>
    <row r="1150" spans="1:3" x14ac:dyDescent="0.35">
      <c r="A1150" s="21">
        <v>26</v>
      </c>
      <c r="B1150" t="str">
        <f>VLOOKUP(A1150,Products!$A$1:$F$322,2,FALSE)</f>
        <v>Electra Townie Original 7D EQ - 2016</v>
      </c>
      <c r="C1150" s="21" t="e">
        <f>VLOOKUP(A1150,Products!A$322:$D1150,4,FALSE)</f>
        <v>#N/A</v>
      </c>
    </row>
    <row r="1151" spans="1:3" x14ac:dyDescent="0.35">
      <c r="A1151" s="21">
        <v>7</v>
      </c>
      <c r="B1151" t="str">
        <f>VLOOKUP(A1151,Products!$A$1:$F$322,2,FALSE)</f>
        <v>Trek Slash 8 27.5 - 2016</v>
      </c>
      <c r="C1151" s="21" t="e">
        <f>VLOOKUP(A1151,Products!A$322:$D1151,4,FALSE)</f>
        <v>#N/A</v>
      </c>
    </row>
    <row r="1152" spans="1:3" x14ac:dyDescent="0.35">
      <c r="A1152" s="21">
        <v>24</v>
      </c>
      <c r="B1152" t="str">
        <f>VLOOKUP(A1152,Products!$A$1:$F$322,2,FALSE)</f>
        <v>Electra Townie Original 21D - 2016</v>
      </c>
      <c r="C1152" s="21" t="e">
        <f>VLOOKUP(A1152,Products!A$322:$D1152,4,FALSE)</f>
        <v>#N/A</v>
      </c>
    </row>
    <row r="1153" spans="1:3" x14ac:dyDescent="0.35">
      <c r="A1153" s="21">
        <v>17</v>
      </c>
      <c r="B1153" t="str">
        <f>VLOOKUP(A1153,Products!$A$1:$F$322,2,FALSE)</f>
        <v>Pure Cycles Vine 8-Speed - 2016</v>
      </c>
      <c r="C1153" s="21" t="e">
        <f>VLOOKUP(A1153,Products!A$322:$D1153,4,FALSE)</f>
        <v>#N/A</v>
      </c>
    </row>
    <row r="1154" spans="1:3" x14ac:dyDescent="0.35">
      <c r="A1154" s="21">
        <v>8</v>
      </c>
      <c r="B1154" t="str">
        <f>VLOOKUP(A1154,Products!$A$1:$F$322,2,FALSE)</f>
        <v>Trek Remedy 29 Carbon Frameset - 2016</v>
      </c>
      <c r="C1154" s="21" t="e">
        <f>VLOOKUP(A1154,Products!A$322:$D1154,4,FALSE)</f>
        <v>#N/A</v>
      </c>
    </row>
    <row r="1155" spans="1:3" x14ac:dyDescent="0.35">
      <c r="A1155" s="21">
        <v>25</v>
      </c>
      <c r="B1155" t="str">
        <f>VLOOKUP(A1155,Products!$A$1:$F$322,2,FALSE)</f>
        <v>Electra Townie Original 7D - 2015/2016</v>
      </c>
      <c r="C1155" s="21" t="e">
        <f>VLOOKUP(A1155,Products!A$322:$D1155,4,FALSE)</f>
        <v>#N/A</v>
      </c>
    </row>
    <row r="1156" spans="1:3" x14ac:dyDescent="0.35">
      <c r="A1156" s="21">
        <v>9</v>
      </c>
      <c r="B1156" t="str">
        <f>VLOOKUP(A1156,Products!$A$1:$F$322,2,FALSE)</f>
        <v>Trek Conduit+ - 2016</v>
      </c>
      <c r="C1156" s="21" t="e">
        <f>VLOOKUP(A1156,Products!A$322:$D1156,4,FALSE)</f>
        <v>#N/A</v>
      </c>
    </row>
    <row r="1157" spans="1:3" x14ac:dyDescent="0.35">
      <c r="A1157" s="21">
        <v>4</v>
      </c>
      <c r="B1157" t="str">
        <f>VLOOKUP(A1157,Products!$A$1:$F$322,2,FALSE)</f>
        <v>Trek Fuel EX 8 29 - 2016</v>
      </c>
      <c r="C1157" s="21" t="e">
        <f>VLOOKUP(A1157,Products!A$322:$D1157,4,FALSE)</f>
        <v>#N/A</v>
      </c>
    </row>
    <row r="1158" spans="1:3" x14ac:dyDescent="0.35">
      <c r="A1158" s="21">
        <v>3</v>
      </c>
      <c r="B1158" t="str">
        <f>VLOOKUP(A1158,Products!$A$1:$F$322,2,FALSE)</f>
        <v>Surly Wednesday Frameset - 2016</v>
      </c>
      <c r="C1158" s="21" t="e">
        <f>VLOOKUP(A1158,Products!A$322:$D1158,4,FALSE)</f>
        <v>#N/A</v>
      </c>
    </row>
    <row r="1159" spans="1:3" x14ac:dyDescent="0.35">
      <c r="A1159" s="21">
        <v>23</v>
      </c>
      <c r="B1159" t="str">
        <f>VLOOKUP(A1159,Products!$A$1:$F$322,2,FALSE)</f>
        <v>Electra Girl's Hawaii 1 (20-inch) - 2015/2016</v>
      </c>
      <c r="C1159" s="21" t="e">
        <f>VLOOKUP(A1159,Products!A$322:$D1159,4,FALSE)</f>
        <v>#N/A</v>
      </c>
    </row>
    <row r="1160" spans="1:3" x14ac:dyDescent="0.35">
      <c r="A1160" s="21">
        <v>5</v>
      </c>
      <c r="B1160" t="str">
        <f>VLOOKUP(A1160,Products!$A$1:$F$322,2,FALSE)</f>
        <v>Heller Shagamaw Frame - 2016</v>
      </c>
      <c r="C1160" s="21" t="e">
        <f>VLOOKUP(A1160,Products!A$322:$D1160,4,FALSE)</f>
        <v>#N/A</v>
      </c>
    </row>
    <row r="1161" spans="1:3" x14ac:dyDescent="0.35">
      <c r="A1161" s="21">
        <v>6</v>
      </c>
      <c r="B1161" t="str">
        <f>VLOOKUP(A1161,Products!$A$1:$F$322,2,FALSE)</f>
        <v>Surly Ice Cream Truck Frameset - 2016</v>
      </c>
      <c r="C1161" s="21" t="e">
        <f>VLOOKUP(A1161,Products!A$322:$D1161,4,FALSE)</f>
        <v>#N/A</v>
      </c>
    </row>
    <row r="1162" spans="1:3" x14ac:dyDescent="0.35">
      <c r="A1162" s="21">
        <v>22</v>
      </c>
      <c r="B1162" t="str">
        <f>VLOOKUP(A1162,Products!$A$1:$F$322,2,FALSE)</f>
        <v>Electra Girl's Hawaii 1 (16-inch) - 2015/2016</v>
      </c>
      <c r="C1162" s="21" t="e">
        <f>VLOOKUP(A1162,Products!A$322:$D1162,4,FALSE)</f>
        <v>#N/A</v>
      </c>
    </row>
    <row r="1163" spans="1:3" x14ac:dyDescent="0.35">
      <c r="A1163" s="21">
        <v>14</v>
      </c>
      <c r="B1163" t="str">
        <f>VLOOKUP(A1163,Products!$A$1:$F$322,2,FALSE)</f>
        <v>Electra Girl's Hawaii 1 (16-inch) - 2015/2016</v>
      </c>
      <c r="C1163" s="21" t="e">
        <f>VLOOKUP(A1163,Products!A$322:$D1163,4,FALSE)</f>
        <v>#N/A</v>
      </c>
    </row>
    <row r="1164" spans="1:3" x14ac:dyDescent="0.35">
      <c r="A1164" s="21">
        <v>24</v>
      </c>
      <c r="B1164" t="str">
        <f>VLOOKUP(A1164,Products!$A$1:$F$322,2,FALSE)</f>
        <v>Electra Townie Original 21D - 2016</v>
      </c>
      <c r="C1164" s="21" t="e">
        <f>VLOOKUP(A1164,Products!A$322:$D1164,4,FALSE)</f>
        <v>#N/A</v>
      </c>
    </row>
    <row r="1165" spans="1:3" x14ac:dyDescent="0.35">
      <c r="A1165" s="21">
        <v>26</v>
      </c>
      <c r="B1165" t="str">
        <f>VLOOKUP(A1165,Products!$A$1:$F$322,2,FALSE)</f>
        <v>Electra Townie Original 7D EQ - 2016</v>
      </c>
      <c r="C1165" s="21" t="e">
        <f>VLOOKUP(A1165,Products!A$322:$D1165,4,FALSE)</f>
        <v>#N/A</v>
      </c>
    </row>
    <row r="1166" spans="1:3" x14ac:dyDescent="0.35">
      <c r="A1166" s="21">
        <v>6</v>
      </c>
      <c r="B1166" t="str">
        <f>VLOOKUP(A1166,Products!$A$1:$F$322,2,FALSE)</f>
        <v>Surly Ice Cream Truck Frameset - 2016</v>
      </c>
      <c r="C1166" s="21" t="e">
        <f>VLOOKUP(A1166,Products!A$322:$D1166,4,FALSE)</f>
        <v>#N/A</v>
      </c>
    </row>
    <row r="1167" spans="1:3" x14ac:dyDescent="0.35">
      <c r="A1167" s="21">
        <v>12</v>
      </c>
      <c r="B1167" t="str">
        <f>VLOOKUP(A1167,Products!$A$1:$F$322,2,FALSE)</f>
        <v>Electra Townie Original 21D - 2016</v>
      </c>
      <c r="C1167" s="21" t="e">
        <f>VLOOKUP(A1167,Products!A$322:$D1167,4,FALSE)</f>
        <v>#N/A</v>
      </c>
    </row>
    <row r="1168" spans="1:3" x14ac:dyDescent="0.35">
      <c r="A1168" s="21">
        <v>20</v>
      </c>
      <c r="B1168" t="str">
        <f>VLOOKUP(A1168,Products!$A$1:$F$322,2,FALSE)</f>
        <v>Electra Townie Original 7D EQ - Women's - 2016</v>
      </c>
      <c r="C1168" s="21" t="e">
        <f>VLOOKUP(A1168,Products!A$322:$D1168,4,FALSE)</f>
        <v>#N/A</v>
      </c>
    </row>
    <row r="1169" spans="1:3" x14ac:dyDescent="0.35">
      <c r="A1169" s="21">
        <v>9</v>
      </c>
      <c r="B1169" t="str">
        <f>VLOOKUP(A1169,Products!$A$1:$F$322,2,FALSE)</f>
        <v>Trek Conduit+ - 2016</v>
      </c>
      <c r="C1169" s="21" t="e">
        <f>VLOOKUP(A1169,Products!A$322:$D1169,4,FALSE)</f>
        <v>#N/A</v>
      </c>
    </row>
    <row r="1170" spans="1:3" x14ac:dyDescent="0.35">
      <c r="A1170" s="21">
        <v>17</v>
      </c>
      <c r="B1170" t="str">
        <f>VLOOKUP(A1170,Products!$A$1:$F$322,2,FALSE)</f>
        <v>Pure Cycles Vine 8-Speed - 2016</v>
      </c>
      <c r="C1170" s="21" t="e">
        <f>VLOOKUP(A1170,Products!A$322:$D1170,4,FALSE)</f>
        <v>#N/A</v>
      </c>
    </row>
    <row r="1171" spans="1:3" x14ac:dyDescent="0.35">
      <c r="A1171" s="21">
        <v>15</v>
      </c>
      <c r="B1171" t="str">
        <f>VLOOKUP(A1171,Products!$A$1:$F$322,2,FALSE)</f>
        <v>Electra Moto 1 - 2016</v>
      </c>
      <c r="C1171" s="21" t="e">
        <f>VLOOKUP(A1171,Products!A$322:$D1171,4,FALSE)</f>
        <v>#N/A</v>
      </c>
    </row>
    <row r="1172" spans="1:3" x14ac:dyDescent="0.35">
      <c r="A1172" s="21">
        <v>3</v>
      </c>
      <c r="B1172" t="str">
        <f>VLOOKUP(A1172,Products!$A$1:$F$322,2,FALSE)</f>
        <v>Surly Wednesday Frameset - 2016</v>
      </c>
      <c r="C1172" s="21" t="e">
        <f>VLOOKUP(A1172,Products!A$322:$D1172,4,FALSE)</f>
        <v>#N/A</v>
      </c>
    </row>
    <row r="1173" spans="1:3" x14ac:dyDescent="0.35">
      <c r="A1173" s="21">
        <v>6</v>
      </c>
      <c r="B1173" t="str">
        <f>VLOOKUP(A1173,Products!$A$1:$F$322,2,FALSE)</f>
        <v>Surly Ice Cream Truck Frameset - 2016</v>
      </c>
      <c r="C1173" s="21" t="e">
        <f>VLOOKUP(A1173,Products!A$322:$D1173,4,FALSE)</f>
        <v>#N/A</v>
      </c>
    </row>
    <row r="1174" spans="1:3" x14ac:dyDescent="0.35">
      <c r="A1174" s="21">
        <v>3</v>
      </c>
      <c r="B1174" t="str">
        <f>VLOOKUP(A1174,Products!$A$1:$F$322,2,FALSE)</f>
        <v>Surly Wednesday Frameset - 2016</v>
      </c>
      <c r="C1174" s="21" t="e">
        <f>VLOOKUP(A1174,Products!A$322:$D1174,4,FALSE)</f>
        <v>#N/A</v>
      </c>
    </row>
    <row r="1175" spans="1:3" x14ac:dyDescent="0.35">
      <c r="A1175" s="21">
        <v>20</v>
      </c>
      <c r="B1175" t="str">
        <f>VLOOKUP(A1175,Products!$A$1:$F$322,2,FALSE)</f>
        <v>Electra Townie Original 7D EQ - Women's - 2016</v>
      </c>
      <c r="C1175" s="21" t="e">
        <f>VLOOKUP(A1175,Products!A$322:$D1175,4,FALSE)</f>
        <v>#N/A</v>
      </c>
    </row>
    <row r="1176" spans="1:3" x14ac:dyDescent="0.35">
      <c r="A1176" s="21">
        <v>4</v>
      </c>
      <c r="B1176" t="str">
        <f>VLOOKUP(A1176,Products!$A$1:$F$322,2,FALSE)</f>
        <v>Trek Fuel EX 8 29 - 2016</v>
      </c>
      <c r="C1176" s="21" t="e">
        <f>VLOOKUP(A1176,Products!A$322:$D1176,4,FALSE)</f>
        <v>#N/A</v>
      </c>
    </row>
    <row r="1177" spans="1:3" x14ac:dyDescent="0.35">
      <c r="A1177" s="21">
        <v>23</v>
      </c>
      <c r="B1177" t="str">
        <f>VLOOKUP(A1177,Products!$A$1:$F$322,2,FALSE)</f>
        <v>Electra Girl's Hawaii 1 (20-inch) - 2015/2016</v>
      </c>
      <c r="C1177" s="21" t="e">
        <f>VLOOKUP(A1177,Products!A$322:$D1177,4,FALSE)</f>
        <v>#N/A</v>
      </c>
    </row>
    <row r="1178" spans="1:3" x14ac:dyDescent="0.35">
      <c r="A1178" s="21">
        <v>20</v>
      </c>
      <c r="B1178" t="str">
        <f>VLOOKUP(A1178,Products!$A$1:$F$322,2,FALSE)</f>
        <v>Electra Townie Original 7D EQ - Women's - 2016</v>
      </c>
      <c r="C1178" s="21" t="e">
        <f>VLOOKUP(A1178,Products!A$322:$D1178,4,FALSE)</f>
        <v>#N/A</v>
      </c>
    </row>
    <row r="1179" spans="1:3" x14ac:dyDescent="0.35">
      <c r="A1179" s="21">
        <v>8</v>
      </c>
      <c r="B1179" t="str">
        <f>VLOOKUP(A1179,Products!$A$1:$F$322,2,FALSE)</f>
        <v>Trek Remedy 29 Carbon Frameset - 2016</v>
      </c>
      <c r="C1179" s="21" t="e">
        <f>VLOOKUP(A1179,Products!A$322:$D1179,4,FALSE)</f>
        <v>#N/A</v>
      </c>
    </row>
    <row r="1180" spans="1:3" x14ac:dyDescent="0.35">
      <c r="A1180" s="21">
        <v>17</v>
      </c>
      <c r="B1180" t="str">
        <f>VLOOKUP(A1180,Products!$A$1:$F$322,2,FALSE)</f>
        <v>Pure Cycles Vine 8-Speed - 2016</v>
      </c>
      <c r="C1180" s="21" t="e">
        <f>VLOOKUP(A1180,Products!A$322:$D1180,4,FALSE)</f>
        <v>#N/A</v>
      </c>
    </row>
    <row r="1181" spans="1:3" x14ac:dyDescent="0.35">
      <c r="A1181" s="21">
        <v>23</v>
      </c>
      <c r="B1181" t="str">
        <f>VLOOKUP(A1181,Products!$A$1:$F$322,2,FALSE)</f>
        <v>Electra Girl's Hawaii 1 (20-inch) - 2015/2016</v>
      </c>
      <c r="C1181" s="21" t="e">
        <f>VLOOKUP(A1181,Products!A$322:$D1181,4,FALSE)</f>
        <v>#N/A</v>
      </c>
    </row>
    <row r="1182" spans="1:3" x14ac:dyDescent="0.35">
      <c r="A1182" s="21">
        <v>2</v>
      </c>
      <c r="B1182" t="str">
        <f>VLOOKUP(A1182,Products!$A$1:$F$322,2,FALSE)</f>
        <v>Ritchey Timberwolf Frameset - 2016</v>
      </c>
      <c r="C1182" s="21" t="e">
        <f>VLOOKUP(A1182,Products!A$322:$D1182,4,FALSE)</f>
        <v>#N/A</v>
      </c>
    </row>
    <row r="1183" spans="1:3" x14ac:dyDescent="0.35">
      <c r="A1183" s="21">
        <v>22</v>
      </c>
      <c r="B1183" t="str">
        <f>VLOOKUP(A1183,Products!$A$1:$F$322,2,FALSE)</f>
        <v>Electra Girl's Hawaii 1 (16-inch) - 2015/2016</v>
      </c>
      <c r="C1183" s="21" t="e">
        <f>VLOOKUP(A1183,Products!A$322:$D1183,4,FALSE)</f>
        <v>#N/A</v>
      </c>
    </row>
    <row r="1184" spans="1:3" x14ac:dyDescent="0.35">
      <c r="A1184" s="21">
        <v>6</v>
      </c>
      <c r="B1184" t="str">
        <f>VLOOKUP(A1184,Products!$A$1:$F$322,2,FALSE)</f>
        <v>Surly Ice Cream Truck Frameset - 2016</v>
      </c>
      <c r="C1184" s="21" t="e">
        <f>VLOOKUP(A1184,Products!A$322:$D1184,4,FALSE)</f>
        <v>#N/A</v>
      </c>
    </row>
    <row r="1185" spans="1:3" x14ac:dyDescent="0.35">
      <c r="A1185" s="21">
        <v>6</v>
      </c>
      <c r="B1185" t="str">
        <f>VLOOKUP(A1185,Products!$A$1:$F$322,2,FALSE)</f>
        <v>Surly Ice Cream Truck Frameset - 2016</v>
      </c>
      <c r="C1185" s="21" t="e">
        <f>VLOOKUP(A1185,Products!A$322:$D1185,4,FALSE)</f>
        <v>#N/A</v>
      </c>
    </row>
    <row r="1186" spans="1:3" x14ac:dyDescent="0.35">
      <c r="A1186" s="21">
        <v>21</v>
      </c>
      <c r="B1186" t="str">
        <f>VLOOKUP(A1186,Products!$A$1:$F$322,2,FALSE)</f>
        <v>Electra Cruiser 1 (24-Inch) - 2016</v>
      </c>
      <c r="C1186" s="21" t="e">
        <f>VLOOKUP(A1186,Products!A$322:$D1186,4,FALSE)</f>
        <v>#N/A</v>
      </c>
    </row>
    <row r="1187" spans="1:3" x14ac:dyDescent="0.35">
      <c r="A1187" s="21">
        <v>19</v>
      </c>
      <c r="B1187" t="str">
        <f>VLOOKUP(A1187,Products!$A$1:$F$322,2,FALSE)</f>
        <v>Pure Cycles William 3-Speed - 2016</v>
      </c>
      <c r="C1187" s="21" t="e">
        <f>VLOOKUP(A1187,Products!A$322:$D1187,4,FALSE)</f>
        <v>#N/A</v>
      </c>
    </row>
    <row r="1188" spans="1:3" x14ac:dyDescent="0.35">
      <c r="A1188" s="21">
        <v>10</v>
      </c>
      <c r="B1188" t="str">
        <f>VLOOKUP(A1188,Products!$A$1:$F$322,2,FALSE)</f>
        <v>Surly Straggler - 2016</v>
      </c>
      <c r="C1188" s="21" t="e">
        <f>VLOOKUP(A1188,Products!A$322:$D1188,4,FALSE)</f>
        <v>#N/A</v>
      </c>
    </row>
    <row r="1189" spans="1:3" x14ac:dyDescent="0.35">
      <c r="A1189" s="21">
        <v>23</v>
      </c>
      <c r="B1189" t="str">
        <f>VLOOKUP(A1189,Products!$A$1:$F$322,2,FALSE)</f>
        <v>Electra Girl's Hawaii 1 (20-inch) - 2015/2016</v>
      </c>
      <c r="C1189" s="21" t="e">
        <f>VLOOKUP(A1189,Products!A$322:$D1189,4,FALSE)</f>
        <v>#N/A</v>
      </c>
    </row>
    <row r="1190" spans="1:3" x14ac:dyDescent="0.35">
      <c r="A1190" s="21">
        <v>12</v>
      </c>
      <c r="B1190" t="str">
        <f>VLOOKUP(A1190,Products!$A$1:$F$322,2,FALSE)</f>
        <v>Electra Townie Original 21D - 2016</v>
      </c>
      <c r="C1190" s="21" t="e">
        <f>VLOOKUP(A1190,Products!A$322:$D1190,4,FALSE)</f>
        <v>#N/A</v>
      </c>
    </row>
    <row r="1191" spans="1:3" x14ac:dyDescent="0.35">
      <c r="A1191" s="21">
        <v>15</v>
      </c>
      <c r="B1191" t="str">
        <f>VLOOKUP(A1191,Products!$A$1:$F$322,2,FALSE)</f>
        <v>Electra Moto 1 - 2016</v>
      </c>
      <c r="C1191" s="21" t="e">
        <f>VLOOKUP(A1191,Products!A$322:$D1191,4,FALSE)</f>
        <v>#N/A</v>
      </c>
    </row>
    <row r="1192" spans="1:3" x14ac:dyDescent="0.35">
      <c r="A1192" s="21">
        <v>26</v>
      </c>
      <c r="B1192" t="str">
        <f>VLOOKUP(A1192,Products!$A$1:$F$322,2,FALSE)</f>
        <v>Electra Townie Original 7D EQ - 2016</v>
      </c>
      <c r="C1192" s="21" t="e">
        <f>VLOOKUP(A1192,Products!A$322:$D1192,4,FALSE)</f>
        <v>#N/A</v>
      </c>
    </row>
    <row r="1193" spans="1:3" x14ac:dyDescent="0.35">
      <c r="A1193" s="21">
        <v>5</v>
      </c>
      <c r="B1193" t="str">
        <f>VLOOKUP(A1193,Products!$A$1:$F$322,2,FALSE)</f>
        <v>Heller Shagamaw Frame - 2016</v>
      </c>
      <c r="C1193" s="21" t="e">
        <f>VLOOKUP(A1193,Products!A$322:$D1193,4,FALSE)</f>
        <v>#N/A</v>
      </c>
    </row>
    <row r="1194" spans="1:3" x14ac:dyDescent="0.35">
      <c r="A1194" s="21">
        <v>14</v>
      </c>
      <c r="B1194" t="str">
        <f>VLOOKUP(A1194,Products!$A$1:$F$322,2,FALSE)</f>
        <v>Electra Girl's Hawaii 1 (16-inch) - 2015/2016</v>
      </c>
      <c r="C1194" s="21" t="e">
        <f>VLOOKUP(A1194,Products!A$322:$D1194,4,FALSE)</f>
        <v>#N/A</v>
      </c>
    </row>
    <row r="1195" spans="1:3" x14ac:dyDescent="0.35">
      <c r="A1195" s="21">
        <v>11</v>
      </c>
      <c r="B1195" t="str">
        <f>VLOOKUP(A1195,Products!$A$1:$F$322,2,FALSE)</f>
        <v>Surly Straggler 650b - 2016</v>
      </c>
      <c r="C1195" s="21" t="e">
        <f>VLOOKUP(A1195,Products!A$322:$D1195,4,FALSE)</f>
        <v>#N/A</v>
      </c>
    </row>
    <row r="1196" spans="1:3" x14ac:dyDescent="0.35">
      <c r="A1196" s="21">
        <v>4</v>
      </c>
      <c r="B1196" t="str">
        <f>VLOOKUP(A1196,Products!$A$1:$F$322,2,FALSE)</f>
        <v>Trek Fuel EX 8 29 - 2016</v>
      </c>
      <c r="C1196" s="21" t="e">
        <f>VLOOKUP(A1196,Products!A$322:$D1196,4,FALSE)</f>
        <v>#N/A</v>
      </c>
    </row>
    <row r="1197" spans="1:3" x14ac:dyDescent="0.35">
      <c r="A1197" s="21">
        <v>5</v>
      </c>
      <c r="B1197" t="str">
        <f>VLOOKUP(A1197,Products!$A$1:$F$322,2,FALSE)</f>
        <v>Heller Shagamaw Frame - 2016</v>
      </c>
      <c r="C1197" s="21" t="e">
        <f>VLOOKUP(A1197,Products!A$322:$D1197,4,FALSE)</f>
        <v>#N/A</v>
      </c>
    </row>
    <row r="1198" spans="1:3" x14ac:dyDescent="0.35">
      <c r="A1198" s="21">
        <v>6</v>
      </c>
      <c r="B1198" t="str">
        <f>VLOOKUP(A1198,Products!$A$1:$F$322,2,FALSE)</f>
        <v>Surly Ice Cream Truck Frameset - 2016</v>
      </c>
      <c r="C1198" s="21" t="e">
        <f>VLOOKUP(A1198,Products!A$322:$D1198,4,FALSE)</f>
        <v>#N/A</v>
      </c>
    </row>
    <row r="1199" spans="1:3" x14ac:dyDescent="0.35">
      <c r="A1199" s="21">
        <v>2</v>
      </c>
      <c r="B1199" t="str">
        <f>VLOOKUP(A1199,Products!$A$1:$F$322,2,FALSE)</f>
        <v>Ritchey Timberwolf Frameset - 2016</v>
      </c>
      <c r="C1199" s="21" t="e">
        <f>VLOOKUP(A1199,Products!A$322:$D1199,4,FALSE)</f>
        <v>#N/A</v>
      </c>
    </row>
    <row r="1200" spans="1:3" x14ac:dyDescent="0.35">
      <c r="A1200" s="21">
        <v>22</v>
      </c>
      <c r="B1200" t="str">
        <f>VLOOKUP(A1200,Products!$A$1:$F$322,2,FALSE)</f>
        <v>Electra Girl's Hawaii 1 (16-inch) - 2015/2016</v>
      </c>
      <c r="C1200" s="21" t="e">
        <f>VLOOKUP(A1200,Products!A$322:$D1200,4,FALSE)</f>
        <v>#N/A</v>
      </c>
    </row>
    <row r="1201" spans="1:3" x14ac:dyDescent="0.35">
      <c r="A1201" s="21">
        <v>11</v>
      </c>
      <c r="B1201" t="str">
        <f>VLOOKUP(A1201,Products!$A$1:$F$322,2,FALSE)</f>
        <v>Surly Straggler 650b - 2016</v>
      </c>
      <c r="C1201" s="21" t="e">
        <f>VLOOKUP(A1201,Products!A$322:$D1201,4,FALSE)</f>
        <v>#N/A</v>
      </c>
    </row>
    <row r="1202" spans="1:3" x14ac:dyDescent="0.35">
      <c r="A1202" s="21">
        <v>4</v>
      </c>
      <c r="B1202" t="str">
        <f>VLOOKUP(A1202,Products!$A$1:$F$322,2,FALSE)</f>
        <v>Trek Fuel EX 8 29 - 2016</v>
      </c>
      <c r="C1202" s="21" t="e">
        <f>VLOOKUP(A1202,Products!A$322:$D1202,4,FALSE)</f>
        <v>#N/A</v>
      </c>
    </row>
    <row r="1203" spans="1:3" x14ac:dyDescent="0.35">
      <c r="A1203" s="21">
        <v>13</v>
      </c>
      <c r="B1203" t="str">
        <f>VLOOKUP(A1203,Products!$A$1:$F$322,2,FALSE)</f>
        <v>Electra Cruiser 1 (24-Inch) - 2016</v>
      </c>
      <c r="C1203" s="21" t="e">
        <f>VLOOKUP(A1203,Products!A$322:$D1203,4,FALSE)</f>
        <v>#N/A</v>
      </c>
    </row>
    <row r="1204" spans="1:3" x14ac:dyDescent="0.35">
      <c r="A1204" s="21">
        <v>8</v>
      </c>
      <c r="B1204" t="str">
        <f>VLOOKUP(A1204,Products!$A$1:$F$322,2,FALSE)</f>
        <v>Trek Remedy 29 Carbon Frameset - 2016</v>
      </c>
      <c r="C1204" s="21" t="e">
        <f>VLOOKUP(A1204,Products!A$322:$D1204,4,FALSE)</f>
        <v>#N/A</v>
      </c>
    </row>
    <row r="1205" spans="1:3" x14ac:dyDescent="0.35">
      <c r="A1205" s="21">
        <v>14</v>
      </c>
      <c r="B1205" t="str">
        <f>VLOOKUP(A1205,Products!$A$1:$F$322,2,FALSE)</f>
        <v>Electra Girl's Hawaii 1 (16-inch) - 2015/2016</v>
      </c>
      <c r="C1205" s="21" t="e">
        <f>VLOOKUP(A1205,Products!A$322:$D1205,4,FALSE)</f>
        <v>#N/A</v>
      </c>
    </row>
    <row r="1206" spans="1:3" x14ac:dyDescent="0.35">
      <c r="A1206" s="21">
        <v>6</v>
      </c>
      <c r="B1206" t="str">
        <f>VLOOKUP(A1206,Products!$A$1:$F$322,2,FALSE)</f>
        <v>Surly Ice Cream Truck Frameset - 2016</v>
      </c>
      <c r="C1206" s="21" t="e">
        <f>VLOOKUP(A1206,Products!A$322:$D1206,4,FALSE)</f>
        <v>#N/A</v>
      </c>
    </row>
    <row r="1207" spans="1:3" x14ac:dyDescent="0.35">
      <c r="A1207" s="21">
        <v>18</v>
      </c>
      <c r="B1207" t="str">
        <f>VLOOKUP(A1207,Products!$A$1:$F$322,2,FALSE)</f>
        <v>Pure Cycles Western 3-Speed - Women's - 2015/2016</v>
      </c>
      <c r="C1207" s="21" t="e">
        <f>VLOOKUP(A1207,Products!A$322:$D1207,4,FALSE)</f>
        <v>#N/A</v>
      </c>
    </row>
    <row r="1208" spans="1:3" x14ac:dyDescent="0.35">
      <c r="A1208" s="21">
        <v>13</v>
      </c>
      <c r="B1208" t="str">
        <f>VLOOKUP(A1208,Products!$A$1:$F$322,2,FALSE)</f>
        <v>Electra Cruiser 1 (24-Inch) - 2016</v>
      </c>
      <c r="C1208" s="21" t="e">
        <f>VLOOKUP(A1208,Products!A$322:$D1208,4,FALSE)</f>
        <v>#N/A</v>
      </c>
    </row>
    <row r="1209" spans="1:3" x14ac:dyDescent="0.35">
      <c r="A1209" s="21">
        <v>19</v>
      </c>
      <c r="B1209" t="str">
        <f>VLOOKUP(A1209,Products!$A$1:$F$322,2,FALSE)</f>
        <v>Pure Cycles William 3-Speed - 2016</v>
      </c>
      <c r="C1209" s="21" t="e">
        <f>VLOOKUP(A1209,Products!A$322:$D1209,4,FALSE)</f>
        <v>#N/A</v>
      </c>
    </row>
    <row r="1210" spans="1:3" x14ac:dyDescent="0.35">
      <c r="A1210" s="21">
        <v>10</v>
      </c>
      <c r="B1210" t="str">
        <f>VLOOKUP(A1210,Products!$A$1:$F$322,2,FALSE)</f>
        <v>Surly Straggler - 2016</v>
      </c>
      <c r="C1210" s="21" t="e">
        <f>VLOOKUP(A1210,Products!A$322:$D1210,4,FALSE)</f>
        <v>#N/A</v>
      </c>
    </row>
    <row r="1211" spans="1:3" x14ac:dyDescent="0.35">
      <c r="A1211" s="21">
        <v>7</v>
      </c>
      <c r="B1211" t="str">
        <f>VLOOKUP(A1211,Products!$A$1:$F$322,2,FALSE)</f>
        <v>Trek Slash 8 27.5 - 2016</v>
      </c>
      <c r="C1211" s="21" t="e">
        <f>VLOOKUP(A1211,Products!A$322:$D1211,4,FALSE)</f>
        <v>#N/A</v>
      </c>
    </row>
    <row r="1212" spans="1:3" x14ac:dyDescent="0.35">
      <c r="A1212" s="21">
        <v>6</v>
      </c>
      <c r="B1212" t="str">
        <f>VLOOKUP(A1212,Products!$A$1:$F$322,2,FALSE)</f>
        <v>Surly Ice Cream Truck Frameset - 2016</v>
      </c>
      <c r="C1212" s="21" t="e">
        <f>VLOOKUP(A1212,Products!A$322:$D1212,4,FALSE)</f>
        <v>#N/A</v>
      </c>
    </row>
    <row r="1213" spans="1:3" x14ac:dyDescent="0.35">
      <c r="A1213" s="21">
        <v>10</v>
      </c>
      <c r="B1213" t="str">
        <f>VLOOKUP(A1213,Products!$A$1:$F$322,2,FALSE)</f>
        <v>Surly Straggler - 2016</v>
      </c>
      <c r="C1213" s="21" t="e">
        <f>VLOOKUP(A1213,Products!A$322:$D1213,4,FALSE)</f>
        <v>#N/A</v>
      </c>
    </row>
    <row r="1214" spans="1:3" x14ac:dyDescent="0.35">
      <c r="A1214" s="21">
        <v>24</v>
      </c>
      <c r="B1214" t="str">
        <f>VLOOKUP(A1214,Products!$A$1:$F$322,2,FALSE)</f>
        <v>Electra Townie Original 21D - 2016</v>
      </c>
      <c r="C1214" s="21" t="e">
        <f>VLOOKUP(A1214,Products!A$322:$D1214,4,FALSE)</f>
        <v>#N/A</v>
      </c>
    </row>
    <row r="1215" spans="1:3" x14ac:dyDescent="0.35">
      <c r="A1215" s="21">
        <v>4</v>
      </c>
      <c r="B1215" t="str">
        <f>VLOOKUP(A1215,Products!$A$1:$F$322,2,FALSE)</f>
        <v>Trek Fuel EX 8 29 - 2016</v>
      </c>
      <c r="C1215" s="21" t="e">
        <f>VLOOKUP(A1215,Products!A$322:$D1215,4,FALSE)</f>
        <v>#N/A</v>
      </c>
    </row>
    <row r="1216" spans="1:3" x14ac:dyDescent="0.35">
      <c r="A1216" s="21">
        <v>21</v>
      </c>
      <c r="B1216" t="str">
        <f>VLOOKUP(A1216,Products!$A$1:$F$322,2,FALSE)</f>
        <v>Electra Cruiser 1 (24-Inch) - 2016</v>
      </c>
      <c r="C1216" s="21" t="e">
        <f>VLOOKUP(A1216,Products!A$322:$D1216,4,FALSE)</f>
        <v>#N/A</v>
      </c>
    </row>
    <row r="1217" spans="1:3" x14ac:dyDescent="0.35">
      <c r="A1217" s="21">
        <v>20</v>
      </c>
      <c r="B1217" t="str">
        <f>VLOOKUP(A1217,Products!$A$1:$F$322,2,FALSE)</f>
        <v>Electra Townie Original 7D EQ - Women's - 2016</v>
      </c>
      <c r="C1217" s="21" t="e">
        <f>VLOOKUP(A1217,Products!A$322:$D1217,4,FALSE)</f>
        <v>#N/A</v>
      </c>
    </row>
    <row r="1218" spans="1:3" x14ac:dyDescent="0.35">
      <c r="A1218" s="21">
        <v>9</v>
      </c>
      <c r="B1218" t="str">
        <f>VLOOKUP(A1218,Products!$A$1:$F$322,2,FALSE)</f>
        <v>Trek Conduit+ - 2016</v>
      </c>
      <c r="C1218" s="21" t="e">
        <f>VLOOKUP(A1218,Products!A$322:$D1218,4,FALSE)</f>
        <v>#N/A</v>
      </c>
    </row>
    <row r="1219" spans="1:3" x14ac:dyDescent="0.35">
      <c r="A1219" s="21">
        <v>11</v>
      </c>
      <c r="B1219" t="str">
        <f>VLOOKUP(A1219,Products!$A$1:$F$322,2,FALSE)</f>
        <v>Surly Straggler 650b - 2016</v>
      </c>
      <c r="C1219" s="21" t="e">
        <f>VLOOKUP(A1219,Products!A$322:$D1219,4,FALSE)</f>
        <v>#N/A</v>
      </c>
    </row>
    <row r="1220" spans="1:3" x14ac:dyDescent="0.35">
      <c r="A1220" s="21">
        <v>18</v>
      </c>
      <c r="B1220" t="str">
        <f>VLOOKUP(A1220,Products!$A$1:$F$322,2,FALSE)</f>
        <v>Pure Cycles Western 3-Speed - Women's - 2015/2016</v>
      </c>
      <c r="C1220" s="21" t="e">
        <f>VLOOKUP(A1220,Products!A$322:$D1220,4,FALSE)</f>
        <v>#N/A</v>
      </c>
    </row>
    <row r="1221" spans="1:3" x14ac:dyDescent="0.35">
      <c r="A1221" s="21">
        <v>22</v>
      </c>
      <c r="B1221" t="str">
        <f>VLOOKUP(A1221,Products!$A$1:$F$322,2,FALSE)</f>
        <v>Electra Girl's Hawaii 1 (16-inch) - 2015/2016</v>
      </c>
      <c r="C1221" s="21" t="e">
        <f>VLOOKUP(A1221,Products!A$322:$D1221,4,FALSE)</f>
        <v>#N/A</v>
      </c>
    </row>
    <row r="1222" spans="1:3" x14ac:dyDescent="0.35">
      <c r="A1222" s="21">
        <v>9</v>
      </c>
      <c r="B1222" t="str">
        <f>VLOOKUP(A1222,Products!$A$1:$F$322,2,FALSE)</f>
        <v>Trek Conduit+ - 2016</v>
      </c>
      <c r="C1222" s="21" t="e">
        <f>VLOOKUP(A1222,Products!A$322:$D1222,4,FALSE)</f>
        <v>#N/A</v>
      </c>
    </row>
    <row r="1223" spans="1:3" x14ac:dyDescent="0.35">
      <c r="A1223" s="21">
        <v>18</v>
      </c>
      <c r="B1223" t="str">
        <f>VLOOKUP(A1223,Products!$A$1:$F$322,2,FALSE)</f>
        <v>Pure Cycles Western 3-Speed - Women's - 2015/2016</v>
      </c>
      <c r="C1223" s="21" t="e">
        <f>VLOOKUP(A1223,Products!A$322:$D1223,4,FALSE)</f>
        <v>#N/A</v>
      </c>
    </row>
    <row r="1224" spans="1:3" x14ac:dyDescent="0.35">
      <c r="A1224" s="21">
        <v>3</v>
      </c>
      <c r="B1224" t="str">
        <f>VLOOKUP(A1224,Products!$A$1:$F$322,2,FALSE)</f>
        <v>Surly Wednesday Frameset - 2016</v>
      </c>
      <c r="C1224" s="21" t="e">
        <f>VLOOKUP(A1224,Products!A$322:$D1224,4,FALSE)</f>
        <v>#N/A</v>
      </c>
    </row>
    <row r="1225" spans="1:3" x14ac:dyDescent="0.35">
      <c r="A1225" s="21">
        <v>23</v>
      </c>
      <c r="B1225" t="str">
        <f>VLOOKUP(A1225,Products!$A$1:$F$322,2,FALSE)</f>
        <v>Electra Girl's Hawaii 1 (20-inch) - 2015/2016</v>
      </c>
      <c r="C1225" s="21" t="e">
        <f>VLOOKUP(A1225,Products!A$322:$D1225,4,FALSE)</f>
        <v>#N/A</v>
      </c>
    </row>
    <row r="1226" spans="1:3" x14ac:dyDescent="0.35">
      <c r="A1226" s="21">
        <v>3</v>
      </c>
      <c r="B1226" t="str">
        <f>VLOOKUP(A1226,Products!$A$1:$F$322,2,FALSE)</f>
        <v>Surly Wednesday Frameset - 2016</v>
      </c>
      <c r="C1226" s="21" t="e">
        <f>VLOOKUP(A1226,Products!A$322:$D1226,4,FALSE)</f>
        <v>#N/A</v>
      </c>
    </row>
    <row r="1227" spans="1:3" x14ac:dyDescent="0.35">
      <c r="A1227" s="21">
        <v>10</v>
      </c>
      <c r="B1227" t="str">
        <f>VLOOKUP(A1227,Products!$A$1:$F$322,2,FALSE)</f>
        <v>Surly Straggler - 2016</v>
      </c>
      <c r="C1227" s="21" t="e">
        <f>VLOOKUP(A1227,Products!A$322:$D1227,4,FALSE)</f>
        <v>#N/A</v>
      </c>
    </row>
    <row r="1228" spans="1:3" x14ac:dyDescent="0.35">
      <c r="A1228" s="21">
        <v>8</v>
      </c>
      <c r="B1228" t="str">
        <f>VLOOKUP(A1228,Products!$A$1:$F$322,2,FALSE)</f>
        <v>Trek Remedy 29 Carbon Frameset - 2016</v>
      </c>
      <c r="C1228" s="21" t="e">
        <f>VLOOKUP(A1228,Products!A$322:$D1228,4,FALSE)</f>
        <v>#N/A</v>
      </c>
    </row>
    <row r="1229" spans="1:3" x14ac:dyDescent="0.35">
      <c r="A1229" s="21">
        <v>4</v>
      </c>
      <c r="B1229" t="str">
        <f>VLOOKUP(A1229,Products!$A$1:$F$322,2,FALSE)</f>
        <v>Trek Fuel EX 8 29 - 2016</v>
      </c>
      <c r="C1229" s="21" t="e">
        <f>VLOOKUP(A1229,Products!A$322:$D1229,4,FALSE)</f>
        <v>#N/A</v>
      </c>
    </row>
    <row r="1230" spans="1:3" x14ac:dyDescent="0.35">
      <c r="A1230" s="21">
        <v>22</v>
      </c>
      <c r="B1230" t="str">
        <f>VLOOKUP(A1230,Products!$A$1:$F$322,2,FALSE)</f>
        <v>Electra Girl's Hawaii 1 (16-inch) - 2015/2016</v>
      </c>
      <c r="C1230" s="21" t="e">
        <f>VLOOKUP(A1230,Products!A$322:$D1230,4,FALSE)</f>
        <v>#N/A</v>
      </c>
    </row>
    <row r="1231" spans="1:3" x14ac:dyDescent="0.35">
      <c r="A1231" s="21">
        <v>8</v>
      </c>
      <c r="B1231" t="str">
        <f>VLOOKUP(A1231,Products!$A$1:$F$322,2,FALSE)</f>
        <v>Trek Remedy 29 Carbon Frameset - 2016</v>
      </c>
      <c r="C1231" s="21" t="e">
        <f>VLOOKUP(A1231,Products!A$322:$D1231,4,FALSE)</f>
        <v>#N/A</v>
      </c>
    </row>
    <row r="1232" spans="1:3" x14ac:dyDescent="0.35">
      <c r="A1232" s="21">
        <v>13</v>
      </c>
      <c r="B1232" t="str">
        <f>VLOOKUP(A1232,Products!$A$1:$F$322,2,FALSE)</f>
        <v>Electra Cruiser 1 (24-Inch) - 2016</v>
      </c>
      <c r="C1232" s="21" t="e">
        <f>VLOOKUP(A1232,Products!A$322:$D1232,4,FALSE)</f>
        <v>#N/A</v>
      </c>
    </row>
    <row r="1233" spans="1:3" x14ac:dyDescent="0.35">
      <c r="A1233" s="21">
        <v>6</v>
      </c>
      <c r="B1233" t="str">
        <f>VLOOKUP(A1233,Products!$A$1:$F$322,2,FALSE)</f>
        <v>Surly Ice Cream Truck Frameset - 2016</v>
      </c>
      <c r="C1233" s="21" t="e">
        <f>VLOOKUP(A1233,Products!A$322:$D1233,4,FALSE)</f>
        <v>#N/A</v>
      </c>
    </row>
    <row r="1234" spans="1:3" x14ac:dyDescent="0.35">
      <c r="A1234" s="21">
        <v>7</v>
      </c>
      <c r="B1234" t="str">
        <f>VLOOKUP(A1234,Products!$A$1:$F$322,2,FALSE)</f>
        <v>Trek Slash 8 27.5 - 2016</v>
      </c>
      <c r="C1234" s="21" t="e">
        <f>VLOOKUP(A1234,Products!A$322:$D1234,4,FALSE)</f>
        <v>#N/A</v>
      </c>
    </row>
    <row r="1235" spans="1:3" x14ac:dyDescent="0.35">
      <c r="A1235" s="21">
        <v>19</v>
      </c>
      <c r="B1235" t="str">
        <f>VLOOKUP(A1235,Products!$A$1:$F$322,2,FALSE)</f>
        <v>Pure Cycles William 3-Speed - 2016</v>
      </c>
      <c r="C1235" s="21" t="e">
        <f>VLOOKUP(A1235,Products!A$322:$D1235,4,FALSE)</f>
        <v>#N/A</v>
      </c>
    </row>
    <row r="1236" spans="1:3" x14ac:dyDescent="0.35">
      <c r="A1236" s="21">
        <v>4</v>
      </c>
      <c r="B1236" t="str">
        <f>VLOOKUP(A1236,Products!$A$1:$F$322,2,FALSE)</f>
        <v>Trek Fuel EX 8 29 - 2016</v>
      </c>
      <c r="C1236" s="21" t="e">
        <f>VLOOKUP(A1236,Products!A$322:$D1236,4,FALSE)</f>
        <v>#N/A</v>
      </c>
    </row>
    <row r="1237" spans="1:3" x14ac:dyDescent="0.35">
      <c r="A1237" s="21">
        <v>12</v>
      </c>
      <c r="B1237" t="str">
        <f>VLOOKUP(A1237,Products!$A$1:$F$322,2,FALSE)</f>
        <v>Electra Townie Original 21D - 2016</v>
      </c>
      <c r="C1237" s="21" t="e">
        <f>VLOOKUP(A1237,Products!A$322:$D1237,4,FALSE)</f>
        <v>#N/A</v>
      </c>
    </row>
    <row r="1238" spans="1:3" x14ac:dyDescent="0.35">
      <c r="A1238" s="21">
        <v>15</v>
      </c>
      <c r="B1238" t="str">
        <f>VLOOKUP(A1238,Products!$A$1:$F$322,2,FALSE)</f>
        <v>Electra Moto 1 - 2016</v>
      </c>
      <c r="C1238" s="21" t="e">
        <f>VLOOKUP(A1238,Products!A$322:$D1238,4,FALSE)</f>
        <v>#N/A</v>
      </c>
    </row>
    <row r="1239" spans="1:3" x14ac:dyDescent="0.35">
      <c r="A1239" s="21">
        <v>16</v>
      </c>
      <c r="B1239" t="str">
        <f>VLOOKUP(A1239,Products!$A$1:$F$322,2,FALSE)</f>
        <v>Electra Townie Original 7D EQ - 2016</v>
      </c>
      <c r="C1239" s="21" t="e">
        <f>VLOOKUP(A1239,Products!A$322:$D1239,4,FALSE)</f>
        <v>#N/A</v>
      </c>
    </row>
    <row r="1240" spans="1:3" x14ac:dyDescent="0.35">
      <c r="A1240" s="21">
        <v>26</v>
      </c>
      <c r="B1240" t="str">
        <f>VLOOKUP(A1240,Products!$A$1:$F$322,2,FALSE)</f>
        <v>Electra Townie Original 7D EQ - 2016</v>
      </c>
      <c r="C1240" s="21" t="e">
        <f>VLOOKUP(A1240,Products!A$322:$D1240,4,FALSE)</f>
        <v>#N/A</v>
      </c>
    </row>
    <row r="1241" spans="1:3" x14ac:dyDescent="0.35">
      <c r="A1241" s="21">
        <v>6</v>
      </c>
      <c r="B1241" t="str">
        <f>VLOOKUP(A1241,Products!$A$1:$F$322,2,FALSE)</f>
        <v>Surly Ice Cream Truck Frameset - 2016</v>
      </c>
      <c r="C1241" s="21" t="e">
        <f>VLOOKUP(A1241,Products!A$322:$D1241,4,FALSE)</f>
        <v>#N/A</v>
      </c>
    </row>
    <row r="1242" spans="1:3" x14ac:dyDescent="0.35">
      <c r="A1242" s="21">
        <v>5</v>
      </c>
      <c r="B1242" t="str">
        <f>VLOOKUP(A1242,Products!$A$1:$F$322,2,FALSE)</f>
        <v>Heller Shagamaw Frame - 2016</v>
      </c>
      <c r="C1242" s="21" t="e">
        <f>VLOOKUP(A1242,Products!A$322:$D1242,4,FALSE)</f>
        <v>#N/A</v>
      </c>
    </row>
    <row r="1243" spans="1:3" x14ac:dyDescent="0.35">
      <c r="A1243" s="21">
        <v>26</v>
      </c>
      <c r="B1243" t="str">
        <f>VLOOKUP(A1243,Products!$A$1:$F$322,2,FALSE)</f>
        <v>Electra Townie Original 7D EQ - 2016</v>
      </c>
      <c r="C1243" s="21" t="e">
        <f>VLOOKUP(A1243,Products!A$322:$D1243,4,FALSE)</f>
        <v>#N/A</v>
      </c>
    </row>
    <row r="1244" spans="1:3" x14ac:dyDescent="0.35">
      <c r="A1244" s="21">
        <v>22</v>
      </c>
      <c r="B1244" t="str">
        <f>VLOOKUP(A1244,Products!$A$1:$F$322,2,FALSE)</f>
        <v>Electra Girl's Hawaii 1 (16-inch) - 2015/2016</v>
      </c>
      <c r="C1244" s="21" t="e">
        <f>VLOOKUP(A1244,Products!A$322:$D1244,4,FALSE)</f>
        <v>#N/A</v>
      </c>
    </row>
    <row r="1245" spans="1:3" x14ac:dyDescent="0.35">
      <c r="A1245" s="21">
        <v>15</v>
      </c>
      <c r="B1245" t="str">
        <f>VLOOKUP(A1245,Products!$A$1:$F$322,2,FALSE)</f>
        <v>Electra Moto 1 - 2016</v>
      </c>
      <c r="C1245" s="21" t="e">
        <f>VLOOKUP(A1245,Products!A$322:$D1245,4,FALSE)</f>
        <v>#N/A</v>
      </c>
    </row>
    <row r="1246" spans="1:3" x14ac:dyDescent="0.35">
      <c r="A1246" s="21">
        <v>20</v>
      </c>
      <c r="B1246" t="str">
        <f>VLOOKUP(A1246,Products!$A$1:$F$322,2,FALSE)</f>
        <v>Electra Townie Original 7D EQ - Women's - 2016</v>
      </c>
      <c r="C1246" s="21" t="e">
        <f>VLOOKUP(A1246,Products!A$322:$D1246,4,FALSE)</f>
        <v>#N/A</v>
      </c>
    </row>
    <row r="1247" spans="1:3" x14ac:dyDescent="0.35">
      <c r="A1247" s="21">
        <v>16</v>
      </c>
      <c r="B1247" t="str">
        <f>VLOOKUP(A1247,Products!$A$1:$F$322,2,FALSE)</f>
        <v>Electra Townie Original 7D EQ - 2016</v>
      </c>
      <c r="C1247" s="21" t="e">
        <f>VLOOKUP(A1247,Products!A$322:$D1247,4,FALSE)</f>
        <v>#N/A</v>
      </c>
    </row>
    <row r="1248" spans="1:3" x14ac:dyDescent="0.35">
      <c r="A1248" s="21">
        <v>10</v>
      </c>
      <c r="B1248" t="str">
        <f>VLOOKUP(A1248,Products!$A$1:$F$322,2,FALSE)</f>
        <v>Surly Straggler - 2016</v>
      </c>
      <c r="C1248" s="21" t="e">
        <f>VLOOKUP(A1248,Products!A$322:$D1248,4,FALSE)</f>
        <v>#N/A</v>
      </c>
    </row>
    <row r="1249" spans="1:3" x14ac:dyDescent="0.35">
      <c r="A1249" s="21">
        <v>7</v>
      </c>
      <c r="B1249" t="str">
        <f>VLOOKUP(A1249,Products!$A$1:$F$322,2,FALSE)</f>
        <v>Trek Slash 8 27.5 - 2016</v>
      </c>
      <c r="C1249" s="21" t="e">
        <f>VLOOKUP(A1249,Products!A$322:$D1249,4,FALSE)</f>
        <v>#N/A</v>
      </c>
    </row>
    <row r="1250" spans="1:3" x14ac:dyDescent="0.35">
      <c r="A1250" s="21">
        <v>16</v>
      </c>
      <c r="B1250" t="str">
        <f>VLOOKUP(A1250,Products!$A$1:$F$322,2,FALSE)</f>
        <v>Electra Townie Original 7D EQ - 2016</v>
      </c>
      <c r="C1250" s="21" t="e">
        <f>VLOOKUP(A1250,Products!A$322:$D1250,4,FALSE)</f>
        <v>#N/A</v>
      </c>
    </row>
    <row r="1251" spans="1:3" x14ac:dyDescent="0.35">
      <c r="A1251" s="21">
        <v>23</v>
      </c>
      <c r="B1251" t="str">
        <f>VLOOKUP(A1251,Products!$A$1:$F$322,2,FALSE)</f>
        <v>Electra Girl's Hawaii 1 (20-inch) - 2015/2016</v>
      </c>
      <c r="C1251" s="21" t="e">
        <f>VLOOKUP(A1251,Products!A$322:$D1251,4,FALSE)</f>
        <v>#N/A</v>
      </c>
    </row>
    <row r="1252" spans="1:3" x14ac:dyDescent="0.35">
      <c r="A1252" s="21">
        <v>22</v>
      </c>
      <c r="B1252" t="str">
        <f>VLOOKUP(A1252,Products!$A$1:$F$322,2,FALSE)</f>
        <v>Electra Girl's Hawaii 1 (16-inch) - 2015/2016</v>
      </c>
      <c r="C1252" s="21" t="e">
        <f>VLOOKUP(A1252,Products!A$322:$D1252,4,FALSE)</f>
        <v>#N/A</v>
      </c>
    </row>
    <row r="1253" spans="1:3" x14ac:dyDescent="0.35">
      <c r="A1253" s="21">
        <v>16</v>
      </c>
      <c r="B1253" t="str">
        <f>VLOOKUP(A1253,Products!$A$1:$F$322,2,FALSE)</f>
        <v>Electra Townie Original 7D EQ - 2016</v>
      </c>
      <c r="C1253" s="21" t="e">
        <f>VLOOKUP(A1253,Products!A$322:$D1253,4,FALSE)</f>
        <v>#N/A</v>
      </c>
    </row>
    <row r="1254" spans="1:3" x14ac:dyDescent="0.35">
      <c r="A1254" s="21">
        <v>4</v>
      </c>
      <c r="B1254" t="str">
        <f>VLOOKUP(A1254,Products!$A$1:$F$322,2,FALSE)</f>
        <v>Trek Fuel EX 8 29 - 2016</v>
      </c>
      <c r="C1254" s="21" t="e">
        <f>VLOOKUP(A1254,Products!A$322:$D1254,4,FALSE)</f>
        <v>#N/A</v>
      </c>
    </row>
    <row r="1255" spans="1:3" x14ac:dyDescent="0.35">
      <c r="A1255" s="21">
        <v>3</v>
      </c>
      <c r="B1255" t="str">
        <f>VLOOKUP(A1255,Products!$A$1:$F$322,2,FALSE)</f>
        <v>Surly Wednesday Frameset - 2016</v>
      </c>
      <c r="C1255" s="21" t="e">
        <f>VLOOKUP(A1255,Products!A$322:$D1255,4,FALSE)</f>
        <v>#N/A</v>
      </c>
    </row>
    <row r="1256" spans="1:3" x14ac:dyDescent="0.35">
      <c r="A1256" s="21">
        <v>8</v>
      </c>
      <c r="B1256" t="str">
        <f>VLOOKUP(A1256,Products!$A$1:$F$322,2,FALSE)</f>
        <v>Trek Remedy 29 Carbon Frameset - 2016</v>
      </c>
      <c r="C1256" s="21" t="e">
        <f>VLOOKUP(A1256,Products!A$322:$D1256,4,FALSE)</f>
        <v>#N/A</v>
      </c>
    </row>
    <row r="1257" spans="1:3" x14ac:dyDescent="0.35">
      <c r="A1257" s="21">
        <v>13</v>
      </c>
      <c r="B1257" t="str">
        <f>VLOOKUP(A1257,Products!$A$1:$F$322,2,FALSE)</f>
        <v>Electra Cruiser 1 (24-Inch) - 2016</v>
      </c>
      <c r="C1257" s="21" t="e">
        <f>VLOOKUP(A1257,Products!A$322:$D1257,4,FALSE)</f>
        <v>#N/A</v>
      </c>
    </row>
    <row r="1258" spans="1:3" x14ac:dyDescent="0.35">
      <c r="A1258" s="21">
        <v>6</v>
      </c>
      <c r="B1258" t="str">
        <f>VLOOKUP(A1258,Products!$A$1:$F$322,2,FALSE)</f>
        <v>Surly Ice Cream Truck Frameset - 2016</v>
      </c>
      <c r="C1258" s="21" t="e">
        <f>VLOOKUP(A1258,Products!A$322:$D1258,4,FALSE)</f>
        <v>#N/A</v>
      </c>
    </row>
    <row r="1259" spans="1:3" x14ac:dyDescent="0.35">
      <c r="A1259" s="21">
        <v>17</v>
      </c>
      <c r="B1259" t="str">
        <f>VLOOKUP(A1259,Products!$A$1:$F$322,2,FALSE)</f>
        <v>Pure Cycles Vine 8-Speed - 2016</v>
      </c>
      <c r="C1259" s="21" t="e">
        <f>VLOOKUP(A1259,Products!A$322:$D1259,4,FALSE)</f>
        <v>#N/A</v>
      </c>
    </row>
    <row r="1260" spans="1:3" x14ac:dyDescent="0.35">
      <c r="A1260" s="21">
        <v>2</v>
      </c>
      <c r="B1260" t="str">
        <f>VLOOKUP(A1260,Products!$A$1:$F$322,2,FALSE)</f>
        <v>Ritchey Timberwolf Frameset - 2016</v>
      </c>
      <c r="C1260" s="21" t="e">
        <f>VLOOKUP(A1260,Products!A$322:$D1260,4,FALSE)</f>
        <v>#N/A</v>
      </c>
    </row>
    <row r="1261" spans="1:3" x14ac:dyDescent="0.35">
      <c r="A1261" s="21">
        <v>7</v>
      </c>
      <c r="B1261" t="str">
        <f>VLOOKUP(A1261,Products!$A$1:$F$322,2,FALSE)</f>
        <v>Trek Slash 8 27.5 - 2016</v>
      </c>
      <c r="C1261" s="21" t="e">
        <f>VLOOKUP(A1261,Products!A$322:$D1261,4,FALSE)</f>
        <v>#N/A</v>
      </c>
    </row>
    <row r="1262" spans="1:3" x14ac:dyDescent="0.35">
      <c r="A1262" s="21">
        <v>26</v>
      </c>
      <c r="B1262" t="str">
        <f>VLOOKUP(A1262,Products!$A$1:$F$322,2,FALSE)</f>
        <v>Electra Townie Original 7D EQ - 2016</v>
      </c>
      <c r="C1262" s="21" t="e">
        <f>VLOOKUP(A1262,Products!A$322:$D1262,4,FALSE)</f>
        <v>#N/A</v>
      </c>
    </row>
    <row r="1263" spans="1:3" x14ac:dyDescent="0.35">
      <c r="A1263" s="21">
        <v>24</v>
      </c>
      <c r="B1263" t="str">
        <f>VLOOKUP(A1263,Products!$A$1:$F$322,2,FALSE)</f>
        <v>Electra Townie Original 21D - 2016</v>
      </c>
      <c r="C1263" s="21" t="e">
        <f>VLOOKUP(A1263,Products!A$322:$D1263,4,FALSE)</f>
        <v>#N/A</v>
      </c>
    </row>
    <row r="1264" spans="1:3" x14ac:dyDescent="0.35">
      <c r="A1264" s="21">
        <v>12</v>
      </c>
      <c r="B1264" t="str">
        <f>VLOOKUP(A1264,Products!$A$1:$F$322,2,FALSE)</f>
        <v>Electra Townie Original 21D - 2016</v>
      </c>
      <c r="C1264" s="21" t="e">
        <f>VLOOKUP(A1264,Products!A$322:$D1264,4,FALSE)</f>
        <v>#N/A</v>
      </c>
    </row>
    <row r="1265" spans="1:3" x14ac:dyDescent="0.35">
      <c r="A1265" s="21">
        <v>5</v>
      </c>
      <c r="B1265" t="str">
        <f>VLOOKUP(A1265,Products!$A$1:$F$322,2,FALSE)</f>
        <v>Heller Shagamaw Frame - 2016</v>
      </c>
      <c r="C1265" s="21" t="e">
        <f>VLOOKUP(A1265,Products!A$322:$D1265,4,FALSE)</f>
        <v>#N/A</v>
      </c>
    </row>
    <row r="1266" spans="1:3" x14ac:dyDescent="0.35">
      <c r="A1266" s="21">
        <v>14</v>
      </c>
      <c r="B1266" t="str">
        <f>VLOOKUP(A1266,Products!$A$1:$F$322,2,FALSE)</f>
        <v>Electra Girl's Hawaii 1 (16-inch) - 2015/2016</v>
      </c>
      <c r="C1266" s="21" t="e">
        <f>VLOOKUP(A1266,Products!A$322:$D1266,4,FALSE)</f>
        <v>#N/A</v>
      </c>
    </row>
    <row r="1267" spans="1:3" x14ac:dyDescent="0.35">
      <c r="A1267" s="21">
        <v>11</v>
      </c>
      <c r="B1267" t="str">
        <f>VLOOKUP(A1267,Products!$A$1:$F$322,2,FALSE)</f>
        <v>Surly Straggler 650b - 2016</v>
      </c>
      <c r="C1267" s="21" t="e">
        <f>VLOOKUP(A1267,Products!A$322:$D1267,4,FALSE)</f>
        <v>#N/A</v>
      </c>
    </row>
    <row r="1268" spans="1:3" x14ac:dyDescent="0.35">
      <c r="A1268" s="21">
        <v>16</v>
      </c>
      <c r="B1268" t="str">
        <f>VLOOKUP(A1268,Products!$A$1:$F$322,2,FALSE)</f>
        <v>Electra Townie Original 7D EQ - 2016</v>
      </c>
      <c r="C1268" s="21" t="e">
        <f>VLOOKUP(A1268,Products!A$322:$D1268,4,FALSE)</f>
        <v>#N/A</v>
      </c>
    </row>
    <row r="1269" spans="1:3" x14ac:dyDescent="0.35">
      <c r="A1269" s="21">
        <v>7</v>
      </c>
      <c r="B1269" t="str">
        <f>VLOOKUP(A1269,Products!$A$1:$F$322,2,FALSE)</f>
        <v>Trek Slash 8 27.5 - 2016</v>
      </c>
      <c r="C1269" s="21" t="e">
        <f>VLOOKUP(A1269,Products!A$322:$D1269,4,FALSE)</f>
        <v>#N/A</v>
      </c>
    </row>
    <row r="1270" spans="1:3" x14ac:dyDescent="0.35">
      <c r="A1270" s="21">
        <v>8</v>
      </c>
      <c r="B1270" t="str">
        <f>VLOOKUP(A1270,Products!$A$1:$F$322,2,FALSE)</f>
        <v>Trek Remedy 29 Carbon Frameset - 2016</v>
      </c>
      <c r="C1270" s="21" t="e">
        <f>VLOOKUP(A1270,Products!A$322:$D1270,4,FALSE)</f>
        <v>#N/A</v>
      </c>
    </row>
    <row r="1271" spans="1:3" x14ac:dyDescent="0.35">
      <c r="A1271" s="21">
        <v>23</v>
      </c>
      <c r="B1271" t="str">
        <f>VLOOKUP(A1271,Products!$A$1:$F$322,2,FALSE)</f>
        <v>Electra Girl's Hawaii 1 (20-inch) - 2015/2016</v>
      </c>
      <c r="C1271" s="21" t="e">
        <f>VLOOKUP(A1271,Products!A$322:$D1271,4,FALSE)</f>
        <v>#N/A</v>
      </c>
    </row>
    <row r="1272" spans="1:3" x14ac:dyDescent="0.35">
      <c r="A1272" s="21">
        <v>20</v>
      </c>
      <c r="B1272" t="str">
        <f>VLOOKUP(A1272,Products!$A$1:$F$322,2,FALSE)</f>
        <v>Electra Townie Original 7D EQ - Women's - 2016</v>
      </c>
      <c r="C1272" s="21" t="e">
        <f>VLOOKUP(A1272,Products!A$322:$D1272,4,FALSE)</f>
        <v>#N/A</v>
      </c>
    </row>
    <row r="1273" spans="1:3" x14ac:dyDescent="0.35">
      <c r="A1273" s="21">
        <v>4</v>
      </c>
      <c r="B1273" t="str">
        <f>VLOOKUP(A1273,Products!$A$1:$F$322,2,FALSE)</f>
        <v>Trek Fuel EX 8 29 - 2016</v>
      </c>
      <c r="C1273" s="21" t="e">
        <f>VLOOKUP(A1273,Products!A$322:$D1273,4,FALSE)</f>
        <v>#N/A</v>
      </c>
    </row>
    <row r="1274" spans="1:3" x14ac:dyDescent="0.35">
      <c r="A1274" s="21">
        <v>25</v>
      </c>
      <c r="B1274" t="str">
        <f>VLOOKUP(A1274,Products!$A$1:$F$322,2,FALSE)</f>
        <v>Electra Townie Original 7D - 2015/2016</v>
      </c>
      <c r="C1274" s="21" t="e">
        <f>VLOOKUP(A1274,Products!A$322:$D1274,4,FALSE)</f>
        <v>#N/A</v>
      </c>
    </row>
    <row r="1275" spans="1:3" x14ac:dyDescent="0.35">
      <c r="A1275" s="21">
        <v>13</v>
      </c>
      <c r="B1275" t="str">
        <f>VLOOKUP(A1275,Products!$A$1:$F$322,2,FALSE)</f>
        <v>Electra Cruiser 1 (24-Inch) - 2016</v>
      </c>
      <c r="C1275" s="21" t="e">
        <f>VLOOKUP(A1275,Products!A$322:$D1275,4,FALSE)</f>
        <v>#N/A</v>
      </c>
    </row>
    <row r="1276" spans="1:3" x14ac:dyDescent="0.35">
      <c r="A1276" s="21">
        <v>24</v>
      </c>
      <c r="B1276" t="str">
        <f>VLOOKUP(A1276,Products!$A$1:$F$322,2,FALSE)</f>
        <v>Electra Townie Original 21D - 2016</v>
      </c>
      <c r="C1276" s="21" t="e">
        <f>VLOOKUP(A1276,Products!A$322:$D1276,4,FALSE)</f>
        <v>#N/A</v>
      </c>
    </row>
    <row r="1277" spans="1:3" x14ac:dyDescent="0.35">
      <c r="A1277" s="21">
        <v>9</v>
      </c>
      <c r="B1277" t="str">
        <f>VLOOKUP(A1277,Products!$A$1:$F$322,2,FALSE)</f>
        <v>Trek Conduit+ - 2016</v>
      </c>
      <c r="C1277" s="21" t="e">
        <f>VLOOKUP(A1277,Products!A$322:$D1277,4,FALSE)</f>
        <v>#N/A</v>
      </c>
    </row>
    <row r="1278" spans="1:3" x14ac:dyDescent="0.35">
      <c r="A1278" s="21">
        <v>17</v>
      </c>
      <c r="B1278" t="str">
        <f>VLOOKUP(A1278,Products!$A$1:$F$322,2,FALSE)</f>
        <v>Pure Cycles Vine 8-Speed - 2016</v>
      </c>
      <c r="C1278" s="21" t="e">
        <f>VLOOKUP(A1278,Products!A$322:$D1278,4,FALSE)</f>
        <v>#N/A</v>
      </c>
    </row>
    <row r="1279" spans="1:3" x14ac:dyDescent="0.35">
      <c r="A1279" s="21">
        <v>23</v>
      </c>
      <c r="B1279" t="str">
        <f>VLOOKUP(A1279,Products!$A$1:$F$322,2,FALSE)</f>
        <v>Electra Girl's Hawaii 1 (20-inch) - 2015/2016</v>
      </c>
      <c r="C1279" s="21" t="e">
        <f>VLOOKUP(A1279,Products!A$322:$D1279,4,FALSE)</f>
        <v>#N/A</v>
      </c>
    </row>
    <row r="1280" spans="1:3" x14ac:dyDescent="0.35">
      <c r="A1280" s="21">
        <v>24</v>
      </c>
      <c r="B1280" t="str">
        <f>VLOOKUP(A1280,Products!$A$1:$F$322,2,FALSE)</f>
        <v>Electra Townie Original 21D - 2016</v>
      </c>
      <c r="C1280" s="21" t="e">
        <f>VLOOKUP(A1280,Products!A$322:$D1280,4,FALSE)</f>
        <v>#N/A</v>
      </c>
    </row>
    <row r="1281" spans="1:3" x14ac:dyDescent="0.35">
      <c r="A1281" s="21">
        <v>2</v>
      </c>
      <c r="B1281" t="str">
        <f>VLOOKUP(A1281,Products!$A$1:$F$322,2,FALSE)</f>
        <v>Ritchey Timberwolf Frameset - 2016</v>
      </c>
      <c r="C1281" s="21" t="e">
        <f>VLOOKUP(A1281,Products!A$322:$D1281,4,FALSE)</f>
        <v>#N/A</v>
      </c>
    </row>
    <row r="1282" spans="1:3" x14ac:dyDescent="0.35">
      <c r="A1282" s="21">
        <v>7</v>
      </c>
      <c r="B1282" t="str">
        <f>VLOOKUP(A1282,Products!$A$1:$F$322,2,FALSE)</f>
        <v>Trek Slash 8 27.5 - 2016</v>
      </c>
      <c r="C1282" s="21" t="e">
        <f>VLOOKUP(A1282,Products!A$322:$D1282,4,FALSE)</f>
        <v>#N/A</v>
      </c>
    </row>
    <row r="1283" spans="1:3" x14ac:dyDescent="0.35">
      <c r="A1283" s="21">
        <v>17</v>
      </c>
      <c r="B1283" t="str">
        <f>VLOOKUP(A1283,Products!$A$1:$F$322,2,FALSE)</f>
        <v>Pure Cycles Vine 8-Speed - 2016</v>
      </c>
      <c r="C1283" s="21" t="e">
        <f>VLOOKUP(A1283,Products!A$322:$D1283,4,FALSE)</f>
        <v>#N/A</v>
      </c>
    </row>
    <row r="1284" spans="1:3" x14ac:dyDescent="0.35">
      <c r="A1284" s="21">
        <v>2</v>
      </c>
      <c r="B1284" t="str">
        <f>VLOOKUP(A1284,Products!$A$1:$F$322,2,FALSE)</f>
        <v>Ritchey Timberwolf Frameset - 2016</v>
      </c>
      <c r="C1284" s="21" t="e">
        <f>VLOOKUP(A1284,Products!A$322:$D1284,4,FALSE)</f>
        <v>#N/A</v>
      </c>
    </row>
    <row r="1285" spans="1:3" x14ac:dyDescent="0.35">
      <c r="A1285" s="21">
        <v>21</v>
      </c>
      <c r="B1285" t="str">
        <f>VLOOKUP(A1285,Products!$A$1:$F$322,2,FALSE)</f>
        <v>Electra Cruiser 1 (24-Inch) - 2016</v>
      </c>
      <c r="C1285" s="21" t="e">
        <f>VLOOKUP(A1285,Products!A$322:$D1285,4,FALSE)</f>
        <v>#N/A</v>
      </c>
    </row>
    <row r="1286" spans="1:3" x14ac:dyDescent="0.35">
      <c r="A1286" s="21">
        <v>11</v>
      </c>
      <c r="B1286" t="str">
        <f>VLOOKUP(A1286,Products!$A$1:$F$322,2,FALSE)</f>
        <v>Surly Straggler 650b - 2016</v>
      </c>
      <c r="C1286" s="21" t="e">
        <f>VLOOKUP(A1286,Products!A$322:$D1286,4,FALSE)</f>
        <v>#N/A</v>
      </c>
    </row>
    <row r="1287" spans="1:3" x14ac:dyDescent="0.35">
      <c r="A1287" s="21">
        <v>24</v>
      </c>
      <c r="B1287" t="str">
        <f>VLOOKUP(A1287,Products!$A$1:$F$322,2,FALSE)</f>
        <v>Electra Townie Original 21D - 2016</v>
      </c>
      <c r="C1287" s="21" t="e">
        <f>VLOOKUP(A1287,Products!A$322:$D1287,4,FALSE)</f>
        <v>#N/A</v>
      </c>
    </row>
    <row r="1288" spans="1:3" x14ac:dyDescent="0.35">
      <c r="A1288" s="21">
        <v>3</v>
      </c>
      <c r="B1288" t="str">
        <f>VLOOKUP(A1288,Products!$A$1:$F$322,2,FALSE)</f>
        <v>Surly Wednesday Frameset - 2016</v>
      </c>
      <c r="C1288" s="21" t="e">
        <f>VLOOKUP(A1288,Products!A$322:$D1288,4,FALSE)</f>
        <v>#N/A</v>
      </c>
    </row>
    <row r="1289" spans="1:3" x14ac:dyDescent="0.35">
      <c r="A1289" s="21">
        <v>11</v>
      </c>
      <c r="B1289" t="str">
        <f>VLOOKUP(A1289,Products!$A$1:$F$322,2,FALSE)</f>
        <v>Surly Straggler 650b - 2016</v>
      </c>
      <c r="C1289" s="21" t="e">
        <f>VLOOKUP(A1289,Products!A$322:$D1289,4,FALSE)</f>
        <v>#N/A</v>
      </c>
    </row>
    <row r="1290" spans="1:3" x14ac:dyDescent="0.35">
      <c r="A1290" s="21">
        <v>19</v>
      </c>
      <c r="B1290" t="str">
        <f>VLOOKUP(A1290,Products!$A$1:$F$322,2,FALSE)</f>
        <v>Pure Cycles William 3-Speed - 2016</v>
      </c>
      <c r="C1290" s="21" t="e">
        <f>VLOOKUP(A1290,Products!A$322:$D1290,4,FALSE)</f>
        <v>#N/A</v>
      </c>
    </row>
    <row r="1291" spans="1:3" x14ac:dyDescent="0.35">
      <c r="A1291" s="21">
        <v>18</v>
      </c>
      <c r="B1291" t="str">
        <f>VLOOKUP(A1291,Products!$A$1:$F$322,2,FALSE)</f>
        <v>Pure Cycles Western 3-Speed - Women's - 2015/2016</v>
      </c>
      <c r="C1291" s="21" t="e">
        <f>VLOOKUP(A1291,Products!A$322:$D1291,4,FALSE)</f>
        <v>#N/A</v>
      </c>
    </row>
    <row r="1292" spans="1:3" x14ac:dyDescent="0.35">
      <c r="A1292" s="21">
        <v>4</v>
      </c>
      <c r="B1292" t="str">
        <f>VLOOKUP(A1292,Products!$A$1:$F$322,2,FALSE)</f>
        <v>Trek Fuel EX 8 29 - 2016</v>
      </c>
      <c r="C1292" s="21" t="e">
        <f>VLOOKUP(A1292,Products!A$322:$D1292,4,FALSE)</f>
        <v>#N/A</v>
      </c>
    </row>
    <row r="1293" spans="1:3" x14ac:dyDescent="0.35">
      <c r="A1293" s="21">
        <v>22</v>
      </c>
      <c r="B1293" t="str">
        <f>VLOOKUP(A1293,Products!$A$1:$F$322,2,FALSE)</f>
        <v>Electra Girl's Hawaii 1 (16-inch) - 2015/2016</v>
      </c>
      <c r="C1293" s="21" t="e">
        <f>VLOOKUP(A1293,Products!A$322:$D1293,4,FALSE)</f>
        <v>#N/A</v>
      </c>
    </row>
    <row r="1294" spans="1:3" x14ac:dyDescent="0.35">
      <c r="A1294" s="21">
        <v>16</v>
      </c>
      <c r="B1294" t="str">
        <f>VLOOKUP(A1294,Products!$A$1:$F$322,2,FALSE)</f>
        <v>Electra Townie Original 7D EQ - 2016</v>
      </c>
      <c r="C1294" s="21" t="e">
        <f>VLOOKUP(A1294,Products!A$322:$D1294,4,FALSE)</f>
        <v>#N/A</v>
      </c>
    </row>
    <row r="1295" spans="1:3" x14ac:dyDescent="0.35">
      <c r="A1295" s="21">
        <v>4</v>
      </c>
      <c r="B1295" t="str">
        <f>VLOOKUP(A1295,Products!$A$1:$F$322,2,FALSE)</f>
        <v>Trek Fuel EX 8 29 - 2016</v>
      </c>
      <c r="C1295" s="21" t="e">
        <f>VLOOKUP(A1295,Products!A$322:$D1295,4,FALSE)</f>
        <v>#N/A</v>
      </c>
    </row>
    <row r="1296" spans="1:3" x14ac:dyDescent="0.35">
      <c r="A1296" s="21">
        <v>8</v>
      </c>
      <c r="B1296" t="str">
        <f>VLOOKUP(A1296,Products!$A$1:$F$322,2,FALSE)</f>
        <v>Trek Remedy 29 Carbon Frameset - 2016</v>
      </c>
      <c r="C1296" s="21" t="e">
        <f>VLOOKUP(A1296,Products!A$322:$D1296,4,FALSE)</f>
        <v>#N/A</v>
      </c>
    </row>
    <row r="1297" spans="1:3" x14ac:dyDescent="0.35">
      <c r="A1297" s="21">
        <v>24</v>
      </c>
      <c r="B1297" t="str">
        <f>VLOOKUP(A1297,Products!$A$1:$F$322,2,FALSE)</f>
        <v>Electra Townie Original 21D - 2016</v>
      </c>
      <c r="C1297" s="21" t="e">
        <f>VLOOKUP(A1297,Products!A$322:$D1297,4,FALSE)</f>
        <v>#N/A</v>
      </c>
    </row>
    <row r="1298" spans="1:3" x14ac:dyDescent="0.35">
      <c r="A1298" s="21">
        <v>18</v>
      </c>
      <c r="B1298" t="str">
        <f>VLOOKUP(A1298,Products!$A$1:$F$322,2,FALSE)</f>
        <v>Pure Cycles Western 3-Speed - Women's - 2015/2016</v>
      </c>
      <c r="C1298" s="21" t="e">
        <f>VLOOKUP(A1298,Products!A$322:$D1298,4,FALSE)</f>
        <v>#N/A</v>
      </c>
    </row>
    <row r="1299" spans="1:3" x14ac:dyDescent="0.35">
      <c r="A1299" s="21">
        <v>12</v>
      </c>
      <c r="B1299" t="str">
        <f>VLOOKUP(A1299,Products!$A$1:$F$322,2,FALSE)</f>
        <v>Electra Townie Original 21D - 2016</v>
      </c>
      <c r="C1299" s="21" t="e">
        <f>VLOOKUP(A1299,Products!A$322:$D1299,4,FALSE)</f>
        <v>#N/A</v>
      </c>
    </row>
    <row r="1300" spans="1:3" x14ac:dyDescent="0.35">
      <c r="A1300" s="21">
        <v>13</v>
      </c>
      <c r="B1300" t="str">
        <f>VLOOKUP(A1300,Products!$A$1:$F$322,2,FALSE)</f>
        <v>Electra Cruiser 1 (24-Inch) - 2016</v>
      </c>
      <c r="C1300" s="21" t="e">
        <f>VLOOKUP(A1300,Products!A$322:$D1300,4,FALSE)</f>
        <v>#N/A</v>
      </c>
    </row>
    <row r="1301" spans="1:3" x14ac:dyDescent="0.35">
      <c r="A1301" s="21">
        <v>7</v>
      </c>
      <c r="B1301" t="str">
        <f>VLOOKUP(A1301,Products!$A$1:$F$322,2,FALSE)</f>
        <v>Trek Slash 8 27.5 - 2016</v>
      </c>
      <c r="C1301" s="21" t="e">
        <f>VLOOKUP(A1301,Products!A$322:$D1301,4,FALSE)</f>
        <v>#N/A</v>
      </c>
    </row>
    <row r="1302" spans="1:3" x14ac:dyDescent="0.35">
      <c r="A1302" s="21">
        <v>6</v>
      </c>
      <c r="B1302" t="str">
        <f>VLOOKUP(A1302,Products!$A$1:$F$322,2,FALSE)</f>
        <v>Surly Ice Cream Truck Frameset - 2016</v>
      </c>
      <c r="C1302" s="21" t="e">
        <f>VLOOKUP(A1302,Products!A$322:$D1302,4,FALSE)</f>
        <v>#N/A</v>
      </c>
    </row>
    <row r="1303" spans="1:3" x14ac:dyDescent="0.35">
      <c r="A1303" s="21">
        <v>25</v>
      </c>
      <c r="B1303" t="str">
        <f>VLOOKUP(A1303,Products!$A$1:$F$322,2,FALSE)</f>
        <v>Electra Townie Original 7D - 2015/2016</v>
      </c>
      <c r="C1303" s="21" t="e">
        <f>VLOOKUP(A1303,Products!A$322:$D1303,4,FALSE)</f>
        <v>#N/A</v>
      </c>
    </row>
    <row r="1304" spans="1:3" x14ac:dyDescent="0.35">
      <c r="A1304" s="21">
        <v>19</v>
      </c>
      <c r="B1304" t="str">
        <f>VLOOKUP(A1304,Products!$A$1:$F$322,2,FALSE)</f>
        <v>Pure Cycles William 3-Speed - 2016</v>
      </c>
      <c r="C1304" s="21" t="e">
        <f>VLOOKUP(A1304,Products!A$322:$D1304,4,FALSE)</f>
        <v>#N/A</v>
      </c>
    </row>
    <row r="1305" spans="1:3" x14ac:dyDescent="0.35">
      <c r="A1305" s="21">
        <v>6</v>
      </c>
      <c r="B1305" t="str">
        <f>VLOOKUP(A1305,Products!$A$1:$F$322,2,FALSE)</f>
        <v>Surly Ice Cream Truck Frameset - 2016</v>
      </c>
      <c r="C1305" s="21" t="e">
        <f>VLOOKUP(A1305,Products!A$322:$D1305,4,FALSE)</f>
        <v>#N/A</v>
      </c>
    </row>
    <row r="1306" spans="1:3" x14ac:dyDescent="0.35">
      <c r="A1306" s="21">
        <v>7</v>
      </c>
      <c r="B1306" t="str">
        <f>VLOOKUP(A1306,Products!$A$1:$F$322,2,FALSE)</f>
        <v>Trek Slash 8 27.5 - 2016</v>
      </c>
      <c r="C1306" s="21" t="e">
        <f>VLOOKUP(A1306,Products!A$322:$D1306,4,FALSE)</f>
        <v>#N/A</v>
      </c>
    </row>
    <row r="1307" spans="1:3" x14ac:dyDescent="0.35">
      <c r="A1307" s="21">
        <v>15</v>
      </c>
      <c r="B1307" t="str">
        <f>VLOOKUP(A1307,Products!$A$1:$F$322,2,FALSE)</f>
        <v>Electra Moto 1 - 2016</v>
      </c>
      <c r="C1307" s="21" t="e">
        <f>VLOOKUP(A1307,Products!A$322:$D1307,4,FALSE)</f>
        <v>#N/A</v>
      </c>
    </row>
    <row r="1308" spans="1:3" x14ac:dyDescent="0.35">
      <c r="A1308" s="21">
        <v>5</v>
      </c>
      <c r="B1308" t="str">
        <f>VLOOKUP(A1308,Products!$A$1:$F$322,2,FALSE)</f>
        <v>Heller Shagamaw Frame - 2016</v>
      </c>
      <c r="C1308" s="21" t="e">
        <f>VLOOKUP(A1308,Products!A$322:$D1308,4,FALSE)</f>
        <v>#N/A</v>
      </c>
    </row>
    <row r="1309" spans="1:3" x14ac:dyDescent="0.35">
      <c r="A1309" s="21">
        <v>19</v>
      </c>
      <c r="B1309" t="str">
        <f>VLOOKUP(A1309,Products!$A$1:$F$322,2,FALSE)</f>
        <v>Pure Cycles William 3-Speed - 2016</v>
      </c>
      <c r="C1309" s="21" t="e">
        <f>VLOOKUP(A1309,Products!A$322:$D1309,4,FALSE)</f>
        <v>#N/A</v>
      </c>
    </row>
    <row r="1310" spans="1:3" x14ac:dyDescent="0.35">
      <c r="A1310" s="21">
        <v>10</v>
      </c>
      <c r="B1310" t="str">
        <f>VLOOKUP(A1310,Products!$A$1:$F$322,2,FALSE)</f>
        <v>Surly Straggler - 2016</v>
      </c>
      <c r="C1310" s="21" t="e">
        <f>VLOOKUP(A1310,Products!A$322:$D1310,4,FALSE)</f>
        <v>#N/A</v>
      </c>
    </row>
    <row r="1311" spans="1:3" x14ac:dyDescent="0.35">
      <c r="A1311" s="21">
        <v>22</v>
      </c>
      <c r="B1311" t="str">
        <f>VLOOKUP(A1311,Products!$A$1:$F$322,2,FALSE)</f>
        <v>Electra Girl's Hawaii 1 (16-inch) - 2015/2016</v>
      </c>
      <c r="C1311" s="21" t="e">
        <f>VLOOKUP(A1311,Products!A$322:$D1311,4,FALSE)</f>
        <v>#N/A</v>
      </c>
    </row>
    <row r="1312" spans="1:3" x14ac:dyDescent="0.35">
      <c r="A1312" s="21">
        <v>17</v>
      </c>
      <c r="B1312" t="str">
        <f>VLOOKUP(A1312,Products!$A$1:$F$322,2,FALSE)</f>
        <v>Pure Cycles Vine 8-Speed - 2016</v>
      </c>
      <c r="C1312" s="21" t="e">
        <f>VLOOKUP(A1312,Products!A$322:$D1312,4,FALSE)</f>
        <v>#N/A</v>
      </c>
    </row>
    <row r="1313" spans="1:3" x14ac:dyDescent="0.35">
      <c r="A1313" s="21">
        <v>11</v>
      </c>
      <c r="B1313" t="str">
        <f>VLOOKUP(A1313,Products!$A$1:$F$322,2,FALSE)</f>
        <v>Surly Straggler 650b - 2016</v>
      </c>
      <c r="C1313" s="21" t="e">
        <f>VLOOKUP(A1313,Products!A$322:$D1313,4,FALSE)</f>
        <v>#N/A</v>
      </c>
    </row>
    <row r="1314" spans="1:3" x14ac:dyDescent="0.35">
      <c r="A1314" s="21">
        <v>19</v>
      </c>
      <c r="B1314" t="str">
        <f>VLOOKUP(A1314,Products!$A$1:$F$322,2,FALSE)</f>
        <v>Pure Cycles William 3-Speed - 2016</v>
      </c>
      <c r="C1314" s="21" t="e">
        <f>VLOOKUP(A1314,Products!A$322:$D1314,4,FALSE)</f>
        <v>#N/A</v>
      </c>
    </row>
    <row r="1315" spans="1:3" x14ac:dyDescent="0.35">
      <c r="A1315" s="21">
        <v>9</v>
      </c>
      <c r="B1315" t="str">
        <f>VLOOKUP(A1315,Products!$A$1:$F$322,2,FALSE)</f>
        <v>Trek Conduit+ - 2016</v>
      </c>
      <c r="C1315" s="21" t="e">
        <f>VLOOKUP(A1315,Products!A$322:$D1315,4,FALSE)</f>
        <v>#N/A</v>
      </c>
    </row>
    <row r="1316" spans="1:3" x14ac:dyDescent="0.35">
      <c r="A1316" s="21">
        <v>10</v>
      </c>
      <c r="B1316" t="str">
        <f>VLOOKUP(A1316,Products!$A$1:$F$322,2,FALSE)</f>
        <v>Surly Straggler - 2016</v>
      </c>
      <c r="C1316" s="21" t="e">
        <f>VLOOKUP(A1316,Products!A$322:$D1316,4,FALSE)</f>
        <v>#N/A</v>
      </c>
    </row>
    <row r="1317" spans="1:3" x14ac:dyDescent="0.35">
      <c r="A1317" s="21">
        <v>25</v>
      </c>
      <c r="B1317" t="str">
        <f>VLOOKUP(A1317,Products!$A$1:$F$322,2,FALSE)</f>
        <v>Electra Townie Original 7D - 2015/2016</v>
      </c>
      <c r="C1317" s="21" t="e">
        <f>VLOOKUP(A1317,Products!A$322:$D1317,4,FALSE)</f>
        <v>#N/A</v>
      </c>
    </row>
    <row r="1318" spans="1:3" x14ac:dyDescent="0.35">
      <c r="A1318" s="21">
        <v>8</v>
      </c>
      <c r="B1318" t="str">
        <f>VLOOKUP(A1318,Products!$A$1:$F$322,2,FALSE)</f>
        <v>Trek Remedy 29 Carbon Frameset - 2016</v>
      </c>
      <c r="C1318" s="21" t="e">
        <f>VLOOKUP(A1318,Products!A$322:$D1318,4,FALSE)</f>
        <v>#N/A</v>
      </c>
    </row>
    <row r="1319" spans="1:3" x14ac:dyDescent="0.35">
      <c r="A1319" s="21">
        <v>4</v>
      </c>
      <c r="B1319" t="str">
        <f>VLOOKUP(A1319,Products!$A$1:$F$322,2,FALSE)</f>
        <v>Trek Fuel EX 8 29 - 2016</v>
      </c>
      <c r="C1319" s="21" t="e">
        <f>VLOOKUP(A1319,Products!A$322:$D1319,4,FALSE)</f>
        <v>#N/A</v>
      </c>
    </row>
    <row r="1320" spans="1:3" x14ac:dyDescent="0.35">
      <c r="A1320" s="21">
        <v>15</v>
      </c>
      <c r="B1320" t="str">
        <f>VLOOKUP(A1320,Products!$A$1:$F$322,2,FALSE)</f>
        <v>Electra Moto 1 - 2016</v>
      </c>
      <c r="C1320" s="21" t="e">
        <f>VLOOKUP(A1320,Products!A$322:$D1320,4,FALSE)</f>
        <v>#N/A</v>
      </c>
    </row>
    <row r="1321" spans="1:3" x14ac:dyDescent="0.35">
      <c r="A1321" s="21">
        <v>18</v>
      </c>
      <c r="B1321" t="str">
        <f>VLOOKUP(A1321,Products!$A$1:$F$322,2,FALSE)</f>
        <v>Pure Cycles Western 3-Speed - Women's - 2015/2016</v>
      </c>
      <c r="C1321" s="21" t="e">
        <f>VLOOKUP(A1321,Products!A$322:$D1321,4,FALSE)</f>
        <v>#N/A</v>
      </c>
    </row>
    <row r="1322" spans="1:3" x14ac:dyDescent="0.35">
      <c r="A1322" s="21">
        <v>13</v>
      </c>
      <c r="B1322" t="str">
        <f>VLOOKUP(A1322,Products!$A$1:$F$322,2,FALSE)</f>
        <v>Electra Cruiser 1 (24-Inch) - 2016</v>
      </c>
      <c r="C1322" s="21" t="e">
        <f>VLOOKUP(A1322,Products!A$322:$D1322,4,FALSE)</f>
        <v>#N/A</v>
      </c>
    </row>
    <row r="1323" spans="1:3" x14ac:dyDescent="0.35">
      <c r="A1323" s="21">
        <v>8</v>
      </c>
      <c r="B1323" t="str">
        <f>VLOOKUP(A1323,Products!$A$1:$F$322,2,FALSE)</f>
        <v>Trek Remedy 29 Carbon Frameset - 2016</v>
      </c>
      <c r="C1323" s="21" t="e">
        <f>VLOOKUP(A1323,Products!A$322:$D1323,4,FALSE)</f>
        <v>#N/A</v>
      </c>
    </row>
    <row r="1324" spans="1:3" x14ac:dyDescent="0.35">
      <c r="A1324" s="21">
        <v>14</v>
      </c>
      <c r="B1324" t="str">
        <f>VLOOKUP(A1324,Products!$A$1:$F$322,2,FALSE)</f>
        <v>Electra Girl's Hawaii 1 (16-inch) - 2015/2016</v>
      </c>
      <c r="C1324" s="21" t="e">
        <f>VLOOKUP(A1324,Products!A$322:$D1324,4,FALSE)</f>
        <v>#N/A</v>
      </c>
    </row>
    <row r="1325" spans="1:3" x14ac:dyDescent="0.35">
      <c r="A1325" s="21">
        <v>13</v>
      </c>
      <c r="B1325" t="str">
        <f>VLOOKUP(A1325,Products!$A$1:$F$322,2,FALSE)</f>
        <v>Electra Cruiser 1 (24-Inch) - 2016</v>
      </c>
      <c r="C1325" s="21" t="e">
        <f>VLOOKUP(A1325,Products!A$322:$D1325,4,FALSE)</f>
        <v>#N/A</v>
      </c>
    </row>
    <row r="1326" spans="1:3" x14ac:dyDescent="0.35">
      <c r="A1326" s="21">
        <v>15</v>
      </c>
      <c r="B1326" t="str">
        <f>VLOOKUP(A1326,Products!$A$1:$F$322,2,FALSE)</f>
        <v>Electra Moto 1 - 2016</v>
      </c>
      <c r="C1326" s="21" t="e">
        <f>VLOOKUP(A1326,Products!A$322:$D1326,4,FALSE)</f>
        <v>#N/A</v>
      </c>
    </row>
    <row r="1327" spans="1:3" x14ac:dyDescent="0.35">
      <c r="A1327" s="21">
        <v>21</v>
      </c>
      <c r="B1327" t="str">
        <f>VLOOKUP(A1327,Products!$A$1:$F$322,2,FALSE)</f>
        <v>Electra Cruiser 1 (24-Inch) - 2016</v>
      </c>
      <c r="C1327" s="21" t="e">
        <f>VLOOKUP(A1327,Products!A$322:$D1327,4,FALSE)</f>
        <v>#N/A</v>
      </c>
    </row>
    <row r="1328" spans="1:3" x14ac:dyDescent="0.35">
      <c r="A1328" s="21">
        <v>26</v>
      </c>
      <c r="B1328" t="str">
        <f>VLOOKUP(A1328,Products!$A$1:$F$322,2,FALSE)</f>
        <v>Electra Townie Original 7D EQ - 2016</v>
      </c>
      <c r="C1328" s="21" t="e">
        <f>VLOOKUP(A1328,Products!A$322:$D1328,4,FALSE)</f>
        <v>#N/A</v>
      </c>
    </row>
    <row r="1329" spans="1:3" x14ac:dyDescent="0.35">
      <c r="A1329" s="21">
        <v>19</v>
      </c>
      <c r="B1329" t="str">
        <f>VLOOKUP(A1329,Products!$A$1:$F$322,2,FALSE)</f>
        <v>Pure Cycles William 3-Speed - 2016</v>
      </c>
      <c r="C1329" s="21" t="e">
        <f>VLOOKUP(A1329,Products!A$322:$D1329,4,FALSE)</f>
        <v>#N/A</v>
      </c>
    </row>
    <row r="1330" spans="1:3" x14ac:dyDescent="0.35">
      <c r="A1330" s="21">
        <v>11</v>
      </c>
      <c r="B1330" t="str">
        <f>VLOOKUP(A1330,Products!$A$1:$F$322,2,FALSE)</f>
        <v>Surly Straggler 650b - 2016</v>
      </c>
      <c r="C1330" s="21" t="e">
        <f>VLOOKUP(A1330,Products!A$322:$D1330,4,FALSE)</f>
        <v>#N/A</v>
      </c>
    </row>
    <row r="1331" spans="1:3" x14ac:dyDescent="0.35">
      <c r="A1331" s="21">
        <v>17</v>
      </c>
      <c r="B1331" t="str">
        <f>VLOOKUP(A1331,Products!$A$1:$F$322,2,FALSE)</f>
        <v>Pure Cycles Vine 8-Speed - 2016</v>
      </c>
      <c r="C1331" s="21" t="e">
        <f>VLOOKUP(A1331,Products!A$322:$D1331,4,FALSE)</f>
        <v>#N/A</v>
      </c>
    </row>
    <row r="1332" spans="1:3" x14ac:dyDescent="0.35">
      <c r="A1332" s="21">
        <v>26</v>
      </c>
      <c r="B1332" t="str">
        <f>VLOOKUP(A1332,Products!$A$1:$F$322,2,FALSE)</f>
        <v>Electra Townie Original 7D EQ - 2016</v>
      </c>
      <c r="C1332" s="21" t="e">
        <f>VLOOKUP(A1332,Products!A$322:$D1332,4,FALSE)</f>
        <v>#N/A</v>
      </c>
    </row>
    <row r="1333" spans="1:3" x14ac:dyDescent="0.35">
      <c r="A1333" s="21">
        <v>25</v>
      </c>
      <c r="B1333" t="str">
        <f>VLOOKUP(A1333,Products!$A$1:$F$322,2,FALSE)</f>
        <v>Electra Townie Original 7D - 2015/2016</v>
      </c>
      <c r="C1333" s="21" t="e">
        <f>VLOOKUP(A1333,Products!A$322:$D1333,4,FALSE)</f>
        <v>#N/A</v>
      </c>
    </row>
    <row r="1334" spans="1:3" x14ac:dyDescent="0.35">
      <c r="A1334" s="21">
        <v>22</v>
      </c>
      <c r="B1334" t="str">
        <f>VLOOKUP(A1334,Products!$A$1:$F$322,2,FALSE)</f>
        <v>Electra Girl's Hawaii 1 (16-inch) - 2015/2016</v>
      </c>
      <c r="C1334" s="21" t="e">
        <f>VLOOKUP(A1334,Products!A$322:$D1334,4,FALSE)</f>
        <v>#N/A</v>
      </c>
    </row>
    <row r="1335" spans="1:3" x14ac:dyDescent="0.35">
      <c r="A1335" s="21">
        <v>4</v>
      </c>
      <c r="B1335" t="str">
        <f>VLOOKUP(A1335,Products!$A$1:$F$322,2,FALSE)</f>
        <v>Trek Fuel EX 8 29 - 2016</v>
      </c>
      <c r="C1335" s="21" t="e">
        <f>VLOOKUP(A1335,Products!A$322:$D1335,4,FALSE)</f>
        <v>#N/A</v>
      </c>
    </row>
    <row r="1336" spans="1:3" x14ac:dyDescent="0.35">
      <c r="A1336" s="21">
        <v>11</v>
      </c>
      <c r="B1336" t="str">
        <f>VLOOKUP(A1336,Products!$A$1:$F$322,2,FALSE)</f>
        <v>Surly Straggler 650b - 2016</v>
      </c>
      <c r="C1336" s="21" t="e">
        <f>VLOOKUP(A1336,Products!A$322:$D1336,4,FALSE)</f>
        <v>#N/A</v>
      </c>
    </row>
    <row r="1337" spans="1:3" x14ac:dyDescent="0.35">
      <c r="A1337" s="21">
        <v>20</v>
      </c>
      <c r="B1337" t="str">
        <f>VLOOKUP(A1337,Products!$A$1:$F$322,2,FALSE)</f>
        <v>Electra Townie Original 7D EQ - Women's - 2016</v>
      </c>
      <c r="C1337" s="21" t="e">
        <f>VLOOKUP(A1337,Products!A$322:$D1337,4,FALSE)</f>
        <v>#N/A</v>
      </c>
    </row>
    <row r="1338" spans="1:3" x14ac:dyDescent="0.35">
      <c r="A1338" s="21">
        <v>6</v>
      </c>
      <c r="B1338" t="str">
        <f>VLOOKUP(A1338,Products!$A$1:$F$322,2,FALSE)</f>
        <v>Surly Ice Cream Truck Frameset - 2016</v>
      </c>
      <c r="C1338" s="21" t="e">
        <f>VLOOKUP(A1338,Products!A$322:$D1338,4,FALSE)</f>
        <v>#N/A</v>
      </c>
    </row>
    <row r="1339" spans="1:3" x14ac:dyDescent="0.35">
      <c r="A1339" s="21">
        <v>10</v>
      </c>
      <c r="B1339" t="str">
        <f>VLOOKUP(A1339,Products!$A$1:$F$322,2,FALSE)</f>
        <v>Surly Straggler - 2016</v>
      </c>
      <c r="C1339" s="21" t="e">
        <f>VLOOKUP(A1339,Products!A$322:$D1339,4,FALSE)</f>
        <v>#N/A</v>
      </c>
    </row>
    <row r="1340" spans="1:3" x14ac:dyDescent="0.35">
      <c r="A1340" s="21">
        <v>21</v>
      </c>
      <c r="B1340" t="str">
        <f>VLOOKUP(A1340,Products!$A$1:$F$322,2,FALSE)</f>
        <v>Electra Cruiser 1 (24-Inch) - 2016</v>
      </c>
      <c r="C1340" s="21" t="e">
        <f>VLOOKUP(A1340,Products!A$322:$D1340,4,FALSE)</f>
        <v>#N/A</v>
      </c>
    </row>
    <row r="1341" spans="1:3" x14ac:dyDescent="0.35">
      <c r="A1341" s="21">
        <v>26</v>
      </c>
      <c r="B1341" t="str">
        <f>VLOOKUP(A1341,Products!$A$1:$F$322,2,FALSE)</f>
        <v>Electra Townie Original 7D EQ - 2016</v>
      </c>
      <c r="C1341" s="21" t="e">
        <f>VLOOKUP(A1341,Products!A$322:$D1341,4,FALSE)</f>
        <v>#N/A</v>
      </c>
    </row>
    <row r="1342" spans="1:3" x14ac:dyDescent="0.35">
      <c r="A1342" s="21">
        <v>12</v>
      </c>
      <c r="B1342" t="str">
        <f>VLOOKUP(A1342,Products!$A$1:$F$322,2,FALSE)</f>
        <v>Electra Townie Original 21D - 2016</v>
      </c>
      <c r="C1342" s="21" t="e">
        <f>VLOOKUP(A1342,Products!A$322:$D1342,4,FALSE)</f>
        <v>#N/A</v>
      </c>
    </row>
    <row r="1343" spans="1:3" x14ac:dyDescent="0.35">
      <c r="A1343" s="21">
        <v>21</v>
      </c>
      <c r="B1343" t="str">
        <f>VLOOKUP(A1343,Products!$A$1:$F$322,2,FALSE)</f>
        <v>Electra Cruiser 1 (24-Inch) - 2016</v>
      </c>
      <c r="C1343" s="21" t="e">
        <f>VLOOKUP(A1343,Products!A$322:$D1343,4,FALSE)</f>
        <v>#N/A</v>
      </c>
    </row>
    <row r="1344" spans="1:3" x14ac:dyDescent="0.35">
      <c r="A1344" s="21">
        <v>7</v>
      </c>
      <c r="B1344" t="str">
        <f>VLOOKUP(A1344,Products!$A$1:$F$322,2,FALSE)</f>
        <v>Trek Slash 8 27.5 - 2016</v>
      </c>
      <c r="C1344" s="21" t="e">
        <f>VLOOKUP(A1344,Products!A$322:$D1344,4,FALSE)</f>
        <v>#N/A</v>
      </c>
    </row>
    <row r="1345" spans="1:3" x14ac:dyDescent="0.35">
      <c r="A1345" s="21">
        <v>10</v>
      </c>
      <c r="B1345" t="str">
        <f>VLOOKUP(A1345,Products!$A$1:$F$322,2,FALSE)</f>
        <v>Surly Straggler - 2016</v>
      </c>
      <c r="C1345" s="21" t="e">
        <f>VLOOKUP(A1345,Products!A$322:$D1345,4,FALSE)</f>
        <v>#N/A</v>
      </c>
    </row>
    <row r="1346" spans="1:3" x14ac:dyDescent="0.35">
      <c r="A1346" s="21">
        <v>4</v>
      </c>
      <c r="B1346" t="str">
        <f>VLOOKUP(A1346,Products!$A$1:$F$322,2,FALSE)</f>
        <v>Trek Fuel EX 8 29 - 2016</v>
      </c>
      <c r="C1346" s="21" t="e">
        <f>VLOOKUP(A1346,Products!A$322:$D1346,4,FALSE)</f>
        <v>#N/A</v>
      </c>
    </row>
    <row r="1347" spans="1:3" x14ac:dyDescent="0.35">
      <c r="A1347" s="21">
        <v>15</v>
      </c>
      <c r="B1347" t="str">
        <f>VLOOKUP(A1347,Products!$A$1:$F$322,2,FALSE)</f>
        <v>Electra Moto 1 - 2016</v>
      </c>
      <c r="C1347" s="21" t="e">
        <f>VLOOKUP(A1347,Products!A$322:$D1347,4,FALSE)</f>
        <v>#N/A</v>
      </c>
    </row>
    <row r="1348" spans="1:3" x14ac:dyDescent="0.35">
      <c r="A1348" s="21">
        <v>23</v>
      </c>
      <c r="B1348" t="str">
        <f>VLOOKUP(A1348,Products!$A$1:$F$322,2,FALSE)</f>
        <v>Electra Girl's Hawaii 1 (20-inch) - 2015/2016</v>
      </c>
      <c r="C1348" s="21" t="e">
        <f>VLOOKUP(A1348,Products!A$322:$D1348,4,FALSE)</f>
        <v>#N/A</v>
      </c>
    </row>
    <row r="1349" spans="1:3" x14ac:dyDescent="0.35">
      <c r="A1349" s="21">
        <v>13</v>
      </c>
      <c r="B1349" t="str">
        <f>VLOOKUP(A1349,Products!$A$1:$F$322,2,FALSE)</f>
        <v>Electra Cruiser 1 (24-Inch) - 2016</v>
      </c>
      <c r="C1349" s="21" t="e">
        <f>VLOOKUP(A1349,Products!A$322:$D1349,4,FALSE)</f>
        <v>#N/A</v>
      </c>
    </row>
    <row r="1350" spans="1:3" x14ac:dyDescent="0.35">
      <c r="A1350" s="21">
        <v>16</v>
      </c>
      <c r="B1350" t="str">
        <f>VLOOKUP(A1350,Products!$A$1:$F$322,2,FALSE)</f>
        <v>Electra Townie Original 7D EQ - 2016</v>
      </c>
      <c r="C1350" s="21" t="e">
        <f>VLOOKUP(A1350,Products!A$322:$D1350,4,FALSE)</f>
        <v>#N/A</v>
      </c>
    </row>
    <row r="1351" spans="1:3" x14ac:dyDescent="0.35">
      <c r="A1351" s="21">
        <v>9</v>
      </c>
      <c r="B1351" t="str">
        <f>VLOOKUP(A1351,Products!$A$1:$F$322,2,FALSE)</f>
        <v>Trek Conduit+ - 2016</v>
      </c>
      <c r="C1351" s="21" t="e">
        <f>VLOOKUP(A1351,Products!A$322:$D1351,4,FALSE)</f>
        <v>#N/A</v>
      </c>
    </row>
    <row r="1352" spans="1:3" x14ac:dyDescent="0.35">
      <c r="A1352" s="21">
        <v>13</v>
      </c>
      <c r="B1352" t="str">
        <f>VLOOKUP(A1352,Products!$A$1:$F$322,2,FALSE)</f>
        <v>Electra Cruiser 1 (24-Inch) - 2016</v>
      </c>
      <c r="C1352" s="21" t="e">
        <f>VLOOKUP(A1352,Products!A$322:$D1352,4,FALSE)</f>
        <v>#N/A</v>
      </c>
    </row>
    <row r="1353" spans="1:3" x14ac:dyDescent="0.35">
      <c r="A1353" s="21">
        <v>14</v>
      </c>
      <c r="B1353" t="str">
        <f>VLOOKUP(A1353,Products!$A$1:$F$322,2,FALSE)</f>
        <v>Electra Girl's Hawaii 1 (16-inch) - 2015/2016</v>
      </c>
      <c r="C1353" s="21" t="e">
        <f>VLOOKUP(A1353,Products!A$322:$D1353,4,FALSE)</f>
        <v>#N/A</v>
      </c>
    </row>
    <row r="1354" spans="1:3" x14ac:dyDescent="0.35">
      <c r="A1354" s="21">
        <v>17</v>
      </c>
      <c r="B1354" t="str">
        <f>VLOOKUP(A1354,Products!$A$1:$F$322,2,FALSE)</f>
        <v>Pure Cycles Vine 8-Speed - 2016</v>
      </c>
      <c r="C1354" s="21" t="e">
        <f>VLOOKUP(A1354,Products!A$322:$D1354,4,FALSE)</f>
        <v>#N/A</v>
      </c>
    </row>
    <row r="1355" spans="1:3" x14ac:dyDescent="0.35">
      <c r="A1355" s="21">
        <v>8</v>
      </c>
      <c r="B1355" t="str">
        <f>VLOOKUP(A1355,Products!$A$1:$F$322,2,FALSE)</f>
        <v>Trek Remedy 29 Carbon Frameset - 2016</v>
      </c>
      <c r="C1355" s="21" t="e">
        <f>VLOOKUP(A1355,Products!A$322:$D1355,4,FALSE)</f>
        <v>#N/A</v>
      </c>
    </row>
    <row r="1356" spans="1:3" x14ac:dyDescent="0.35">
      <c r="A1356" s="21">
        <v>24</v>
      </c>
      <c r="B1356" t="str">
        <f>VLOOKUP(A1356,Products!$A$1:$F$322,2,FALSE)</f>
        <v>Electra Townie Original 21D - 2016</v>
      </c>
      <c r="C1356" s="21" t="e">
        <f>VLOOKUP(A1356,Products!A$322:$D1356,4,FALSE)</f>
        <v>#N/A</v>
      </c>
    </row>
    <row r="1357" spans="1:3" x14ac:dyDescent="0.35">
      <c r="A1357" s="21">
        <v>9</v>
      </c>
      <c r="B1357" t="str">
        <f>VLOOKUP(A1357,Products!$A$1:$F$322,2,FALSE)</f>
        <v>Trek Conduit+ - 2016</v>
      </c>
      <c r="C1357" s="21" t="e">
        <f>VLOOKUP(A1357,Products!A$322:$D1357,4,FALSE)</f>
        <v>#N/A</v>
      </c>
    </row>
    <row r="1358" spans="1:3" x14ac:dyDescent="0.35">
      <c r="A1358" s="21">
        <v>6</v>
      </c>
      <c r="B1358" t="str">
        <f>VLOOKUP(A1358,Products!$A$1:$F$322,2,FALSE)</f>
        <v>Surly Ice Cream Truck Frameset - 2016</v>
      </c>
      <c r="C1358" s="21" t="e">
        <f>VLOOKUP(A1358,Products!A$322:$D1358,4,FALSE)</f>
        <v>#N/A</v>
      </c>
    </row>
    <row r="1359" spans="1:3" x14ac:dyDescent="0.35">
      <c r="A1359" s="21">
        <v>13</v>
      </c>
      <c r="B1359" t="str">
        <f>VLOOKUP(A1359,Products!$A$1:$F$322,2,FALSE)</f>
        <v>Electra Cruiser 1 (24-Inch) - 2016</v>
      </c>
      <c r="C1359" s="21" t="e">
        <f>VLOOKUP(A1359,Products!A$322:$D1359,4,FALSE)</f>
        <v>#N/A</v>
      </c>
    </row>
    <row r="1360" spans="1:3" x14ac:dyDescent="0.35">
      <c r="A1360" s="21">
        <v>26</v>
      </c>
      <c r="B1360" t="str">
        <f>VLOOKUP(A1360,Products!$A$1:$F$322,2,FALSE)</f>
        <v>Electra Townie Original 7D EQ - 2016</v>
      </c>
      <c r="C1360" s="21" t="e">
        <f>VLOOKUP(A1360,Products!A$322:$D1360,4,FALSE)</f>
        <v>#N/A</v>
      </c>
    </row>
    <row r="1361" spans="1:3" x14ac:dyDescent="0.35">
      <c r="A1361" s="21">
        <v>9</v>
      </c>
      <c r="B1361" t="str">
        <f>VLOOKUP(A1361,Products!$A$1:$F$322,2,FALSE)</f>
        <v>Trek Conduit+ - 2016</v>
      </c>
      <c r="C1361" s="21" t="e">
        <f>VLOOKUP(A1361,Products!A$322:$D1361,4,FALSE)</f>
        <v>#N/A</v>
      </c>
    </row>
    <row r="1362" spans="1:3" x14ac:dyDescent="0.35">
      <c r="A1362" s="21">
        <v>23</v>
      </c>
      <c r="B1362" t="str">
        <f>VLOOKUP(A1362,Products!$A$1:$F$322,2,FALSE)</f>
        <v>Electra Girl's Hawaii 1 (20-inch) - 2015/2016</v>
      </c>
      <c r="C1362" s="21" t="e">
        <f>VLOOKUP(A1362,Products!A$322:$D1362,4,FALSE)</f>
        <v>#N/A</v>
      </c>
    </row>
    <row r="1363" spans="1:3" x14ac:dyDescent="0.35">
      <c r="A1363" s="21">
        <v>6</v>
      </c>
      <c r="B1363" t="str">
        <f>VLOOKUP(A1363,Products!$A$1:$F$322,2,FALSE)</f>
        <v>Surly Ice Cream Truck Frameset - 2016</v>
      </c>
      <c r="C1363" s="21" t="e">
        <f>VLOOKUP(A1363,Products!A$322:$D1363,4,FALSE)</f>
        <v>#N/A</v>
      </c>
    </row>
    <row r="1364" spans="1:3" x14ac:dyDescent="0.35">
      <c r="A1364" s="21">
        <v>13</v>
      </c>
      <c r="B1364" t="str">
        <f>VLOOKUP(A1364,Products!$A$1:$F$322,2,FALSE)</f>
        <v>Electra Cruiser 1 (24-Inch) - 2016</v>
      </c>
      <c r="C1364" s="21" t="e">
        <f>VLOOKUP(A1364,Products!A$322:$D1364,4,FALSE)</f>
        <v>#N/A</v>
      </c>
    </row>
    <row r="1365" spans="1:3" x14ac:dyDescent="0.35">
      <c r="A1365" s="21">
        <v>23</v>
      </c>
      <c r="B1365" t="str">
        <f>VLOOKUP(A1365,Products!$A$1:$F$322,2,FALSE)</f>
        <v>Electra Girl's Hawaii 1 (20-inch) - 2015/2016</v>
      </c>
      <c r="C1365" s="21" t="e">
        <f>VLOOKUP(A1365,Products!A$322:$D1365,4,FALSE)</f>
        <v>#N/A</v>
      </c>
    </row>
    <row r="1366" spans="1:3" x14ac:dyDescent="0.35">
      <c r="A1366" s="21">
        <v>22</v>
      </c>
      <c r="B1366" t="str">
        <f>VLOOKUP(A1366,Products!$A$1:$F$322,2,FALSE)</f>
        <v>Electra Girl's Hawaii 1 (16-inch) - 2015/2016</v>
      </c>
      <c r="C1366" s="21" t="e">
        <f>VLOOKUP(A1366,Products!A$322:$D1366,4,FALSE)</f>
        <v>#N/A</v>
      </c>
    </row>
    <row r="1367" spans="1:3" x14ac:dyDescent="0.35">
      <c r="A1367" s="21">
        <v>8</v>
      </c>
      <c r="B1367" t="str">
        <f>VLOOKUP(A1367,Products!$A$1:$F$322,2,FALSE)</f>
        <v>Trek Remedy 29 Carbon Frameset - 2016</v>
      </c>
      <c r="C1367" s="21" t="e">
        <f>VLOOKUP(A1367,Products!A$322:$D1367,4,FALSE)</f>
        <v>#N/A</v>
      </c>
    </row>
    <row r="1368" spans="1:3" x14ac:dyDescent="0.35">
      <c r="A1368" s="21">
        <v>12</v>
      </c>
      <c r="B1368" t="str">
        <f>VLOOKUP(A1368,Products!$A$1:$F$322,2,FALSE)</f>
        <v>Electra Townie Original 21D - 2016</v>
      </c>
      <c r="C1368" s="21" t="e">
        <f>VLOOKUP(A1368,Products!A$322:$D1368,4,FALSE)</f>
        <v>#N/A</v>
      </c>
    </row>
    <row r="1369" spans="1:3" x14ac:dyDescent="0.35">
      <c r="A1369" s="21">
        <v>23</v>
      </c>
      <c r="B1369" t="str">
        <f>VLOOKUP(A1369,Products!$A$1:$F$322,2,FALSE)</f>
        <v>Electra Girl's Hawaii 1 (20-inch) - 2015/2016</v>
      </c>
      <c r="C1369" s="21" t="e">
        <f>VLOOKUP(A1369,Products!A$322:$D1369,4,FALSE)</f>
        <v>#N/A</v>
      </c>
    </row>
    <row r="1370" spans="1:3" x14ac:dyDescent="0.35">
      <c r="A1370" s="21">
        <v>14</v>
      </c>
      <c r="B1370" t="str">
        <f>VLOOKUP(A1370,Products!$A$1:$F$322,2,FALSE)</f>
        <v>Electra Girl's Hawaii 1 (16-inch) - 2015/2016</v>
      </c>
      <c r="C1370" s="21" t="e">
        <f>VLOOKUP(A1370,Products!A$322:$D1370,4,FALSE)</f>
        <v>#N/A</v>
      </c>
    </row>
    <row r="1371" spans="1:3" x14ac:dyDescent="0.35">
      <c r="A1371" s="21">
        <v>13</v>
      </c>
      <c r="B1371" t="str">
        <f>VLOOKUP(A1371,Products!$A$1:$F$322,2,FALSE)</f>
        <v>Electra Cruiser 1 (24-Inch) - 2016</v>
      </c>
      <c r="C1371" s="21" t="e">
        <f>VLOOKUP(A1371,Products!A$322:$D1371,4,FALSE)</f>
        <v>#N/A</v>
      </c>
    </row>
    <row r="1372" spans="1:3" x14ac:dyDescent="0.35">
      <c r="A1372" s="21">
        <v>9</v>
      </c>
      <c r="B1372" t="str">
        <f>VLOOKUP(A1372,Products!$A$1:$F$322,2,FALSE)</f>
        <v>Trek Conduit+ - 2016</v>
      </c>
      <c r="C1372" s="21" t="e">
        <f>VLOOKUP(A1372,Products!A$322:$D1372,4,FALSE)</f>
        <v>#N/A</v>
      </c>
    </row>
    <row r="1373" spans="1:3" x14ac:dyDescent="0.35">
      <c r="A1373" s="21">
        <v>21</v>
      </c>
      <c r="B1373" t="str">
        <f>VLOOKUP(A1373,Products!$A$1:$F$322,2,FALSE)</f>
        <v>Electra Cruiser 1 (24-Inch) - 2016</v>
      </c>
      <c r="C1373" s="21" t="e">
        <f>VLOOKUP(A1373,Products!A$322:$D1373,4,FALSE)</f>
        <v>#N/A</v>
      </c>
    </row>
    <row r="1374" spans="1:3" x14ac:dyDescent="0.35">
      <c r="A1374" s="21">
        <v>15</v>
      </c>
      <c r="B1374" t="str">
        <f>VLOOKUP(A1374,Products!$A$1:$F$322,2,FALSE)</f>
        <v>Electra Moto 1 - 2016</v>
      </c>
      <c r="C1374" s="21" t="e">
        <f>VLOOKUP(A1374,Products!A$322:$D1374,4,FALSE)</f>
        <v>#N/A</v>
      </c>
    </row>
    <row r="1375" spans="1:3" x14ac:dyDescent="0.35">
      <c r="A1375" s="21">
        <v>6</v>
      </c>
      <c r="B1375" t="str">
        <f>VLOOKUP(A1375,Products!$A$1:$F$322,2,FALSE)</f>
        <v>Surly Ice Cream Truck Frameset - 2016</v>
      </c>
      <c r="C1375" s="21" t="e">
        <f>VLOOKUP(A1375,Products!A$322:$D1375,4,FALSE)</f>
        <v>#N/A</v>
      </c>
    </row>
    <row r="1376" spans="1:3" x14ac:dyDescent="0.35">
      <c r="A1376" s="21">
        <v>22</v>
      </c>
      <c r="B1376" t="str">
        <f>VLOOKUP(A1376,Products!$A$1:$F$322,2,FALSE)</f>
        <v>Electra Girl's Hawaii 1 (16-inch) - 2015/2016</v>
      </c>
      <c r="C1376" s="21" t="e">
        <f>VLOOKUP(A1376,Products!A$322:$D1376,4,FALSE)</f>
        <v>#N/A</v>
      </c>
    </row>
    <row r="1377" spans="1:3" x14ac:dyDescent="0.35">
      <c r="A1377" s="21">
        <v>26</v>
      </c>
      <c r="B1377" t="str">
        <f>VLOOKUP(A1377,Products!$A$1:$F$322,2,FALSE)</f>
        <v>Electra Townie Original 7D EQ - 2016</v>
      </c>
      <c r="C1377" s="21" t="e">
        <f>VLOOKUP(A1377,Products!A$322:$D1377,4,FALSE)</f>
        <v>#N/A</v>
      </c>
    </row>
    <row r="1378" spans="1:3" x14ac:dyDescent="0.35">
      <c r="A1378" s="21">
        <v>15</v>
      </c>
      <c r="B1378" t="str">
        <f>VLOOKUP(A1378,Products!$A$1:$F$322,2,FALSE)</f>
        <v>Electra Moto 1 - 2016</v>
      </c>
      <c r="C1378" s="21" t="e">
        <f>VLOOKUP(A1378,Products!A$322:$D1378,4,FALSE)</f>
        <v>#N/A</v>
      </c>
    </row>
    <row r="1379" spans="1:3" x14ac:dyDescent="0.35">
      <c r="A1379" s="21">
        <v>18</v>
      </c>
      <c r="B1379" t="str">
        <f>VLOOKUP(A1379,Products!$A$1:$F$322,2,FALSE)</f>
        <v>Pure Cycles Western 3-Speed - Women's - 2015/2016</v>
      </c>
      <c r="C1379" s="21" t="e">
        <f>VLOOKUP(A1379,Products!A$322:$D1379,4,FALSE)</f>
        <v>#N/A</v>
      </c>
    </row>
    <row r="1380" spans="1:3" x14ac:dyDescent="0.35">
      <c r="A1380" s="21">
        <v>26</v>
      </c>
      <c r="B1380" t="str">
        <f>VLOOKUP(A1380,Products!$A$1:$F$322,2,FALSE)</f>
        <v>Electra Townie Original 7D EQ - 2016</v>
      </c>
      <c r="C1380" s="21" t="e">
        <f>VLOOKUP(A1380,Products!A$322:$D1380,4,FALSE)</f>
        <v>#N/A</v>
      </c>
    </row>
    <row r="1381" spans="1:3" x14ac:dyDescent="0.35">
      <c r="A1381" s="21">
        <v>23</v>
      </c>
      <c r="B1381" t="str">
        <f>VLOOKUP(A1381,Products!$A$1:$F$322,2,FALSE)</f>
        <v>Electra Girl's Hawaii 1 (20-inch) - 2015/2016</v>
      </c>
      <c r="C1381" s="21" t="e">
        <f>VLOOKUP(A1381,Products!A$322:$D1381,4,FALSE)</f>
        <v>#N/A</v>
      </c>
    </row>
    <row r="1382" spans="1:3" x14ac:dyDescent="0.35">
      <c r="A1382" s="21">
        <v>22</v>
      </c>
      <c r="B1382" t="str">
        <f>VLOOKUP(A1382,Products!$A$1:$F$322,2,FALSE)</f>
        <v>Electra Girl's Hawaii 1 (16-inch) - 2015/2016</v>
      </c>
      <c r="C1382" s="21" t="e">
        <f>VLOOKUP(A1382,Products!A$322:$D1382,4,FALSE)</f>
        <v>#N/A</v>
      </c>
    </row>
    <row r="1383" spans="1:3" x14ac:dyDescent="0.35">
      <c r="A1383" s="21">
        <v>9</v>
      </c>
      <c r="B1383" t="str">
        <f>VLOOKUP(A1383,Products!$A$1:$F$322,2,FALSE)</f>
        <v>Trek Conduit+ - 2016</v>
      </c>
      <c r="C1383" s="21" t="e">
        <f>VLOOKUP(A1383,Products!A$322:$D1383,4,FALSE)</f>
        <v>#N/A</v>
      </c>
    </row>
    <row r="1384" spans="1:3" x14ac:dyDescent="0.35">
      <c r="A1384" s="21">
        <v>23</v>
      </c>
      <c r="B1384" t="str">
        <f>VLOOKUP(A1384,Products!$A$1:$F$322,2,FALSE)</f>
        <v>Electra Girl's Hawaii 1 (20-inch) - 2015/2016</v>
      </c>
      <c r="C1384" s="21" t="e">
        <f>VLOOKUP(A1384,Products!A$322:$D1384,4,FALSE)</f>
        <v>#N/A</v>
      </c>
    </row>
    <row r="1385" spans="1:3" x14ac:dyDescent="0.35">
      <c r="A1385" s="21">
        <v>13</v>
      </c>
      <c r="B1385" t="str">
        <f>VLOOKUP(A1385,Products!$A$1:$F$322,2,FALSE)</f>
        <v>Electra Cruiser 1 (24-Inch) - 2016</v>
      </c>
      <c r="C1385" s="21" t="e">
        <f>VLOOKUP(A1385,Products!A$322:$D1385,4,FALSE)</f>
        <v>#N/A</v>
      </c>
    </row>
    <row r="1386" spans="1:3" x14ac:dyDescent="0.35">
      <c r="A1386" s="21">
        <v>21</v>
      </c>
      <c r="B1386" t="str">
        <f>VLOOKUP(A1386,Products!$A$1:$F$322,2,FALSE)</f>
        <v>Electra Cruiser 1 (24-Inch) - 2016</v>
      </c>
      <c r="C1386" s="21" t="e">
        <f>VLOOKUP(A1386,Products!A$322:$D1386,4,FALSE)</f>
        <v>#N/A</v>
      </c>
    </row>
    <row r="1387" spans="1:3" x14ac:dyDescent="0.35">
      <c r="A1387" s="21">
        <v>25</v>
      </c>
      <c r="B1387" t="str">
        <f>VLOOKUP(A1387,Products!$A$1:$F$322,2,FALSE)</f>
        <v>Electra Townie Original 7D - 2015/2016</v>
      </c>
      <c r="C1387" s="21" t="e">
        <f>VLOOKUP(A1387,Products!A$322:$D1387,4,FALSE)</f>
        <v>#N/A</v>
      </c>
    </row>
    <row r="1388" spans="1:3" x14ac:dyDescent="0.35">
      <c r="A1388" s="21">
        <v>24</v>
      </c>
      <c r="B1388" t="str">
        <f>VLOOKUP(A1388,Products!$A$1:$F$322,2,FALSE)</f>
        <v>Electra Townie Original 21D - 2016</v>
      </c>
      <c r="C1388" s="21" t="e">
        <f>VLOOKUP(A1388,Products!A$322:$D1388,4,FALSE)</f>
        <v>#N/A</v>
      </c>
    </row>
    <row r="1389" spans="1:3" x14ac:dyDescent="0.35">
      <c r="A1389" s="21">
        <v>21</v>
      </c>
      <c r="B1389" t="str">
        <f>VLOOKUP(A1389,Products!$A$1:$F$322,2,FALSE)</f>
        <v>Electra Cruiser 1 (24-Inch) - 2016</v>
      </c>
      <c r="C1389" s="21" t="e">
        <f>VLOOKUP(A1389,Products!A$322:$D1389,4,FALSE)</f>
        <v>#N/A</v>
      </c>
    </row>
    <row r="1390" spans="1:3" x14ac:dyDescent="0.35">
      <c r="A1390" s="21">
        <v>10</v>
      </c>
      <c r="B1390" t="str">
        <f>VLOOKUP(A1390,Products!$A$1:$F$322,2,FALSE)</f>
        <v>Surly Straggler - 2016</v>
      </c>
      <c r="C1390" s="21" t="e">
        <f>VLOOKUP(A1390,Products!A$322:$D1390,4,FALSE)</f>
        <v>#N/A</v>
      </c>
    </row>
    <row r="1391" spans="1:3" x14ac:dyDescent="0.35">
      <c r="A1391" s="21">
        <v>11</v>
      </c>
      <c r="B1391" t="str">
        <f>VLOOKUP(A1391,Products!$A$1:$F$322,2,FALSE)</f>
        <v>Surly Straggler 650b - 2016</v>
      </c>
      <c r="C1391" s="21" t="e">
        <f>VLOOKUP(A1391,Products!A$322:$D1391,4,FALSE)</f>
        <v>#N/A</v>
      </c>
    </row>
    <row r="1392" spans="1:3" x14ac:dyDescent="0.35">
      <c r="A1392" s="21">
        <v>15</v>
      </c>
      <c r="B1392" t="str">
        <f>VLOOKUP(A1392,Products!$A$1:$F$322,2,FALSE)</f>
        <v>Electra Moto 1 - 2016</v>
      </c>
      <c r="C1392" s="21" t="e">
        <f>VLOOKUP(A1392,Products!A$322:$D1392,4,FALSE)</f>
        <v>#N/A</v>
      </c>
    </row>
    <row r="1393" spans="1:3" x14ac:dyDescent="0.35">
      <c r="A1393" s="21">
        <v>14</v>
      </c>
      <c r="B1393" t="str">
        <f>VLOOKUP(A1393,Products!$A$1:$F$322,2,FALSE)</f>
        <v>Electra Girl's Hawaii 1 (16-inch) - 2015/2016</v>
      </c>
      <c r="C1393" s="21" t="e">
        <f>VLOOKUP(A1393,Products!A$322:$D1393,4,FALSE)</f>
        <v>#N/A</v>
      </c>
    </row>
    <row r="1394" spans="1:3" x14ac:dyDescent="0.35">
      <c r="A1394" s="21">
        <v>20</v>
      </c>
      <c r="B1394" t="str">
        <f>VLOOKUP(A1394,Products!$A$1:$F$322,2,FALSE)</f>
        <v>Electra Townie Original 7D EQ - Women's - 2016</v>
      </c>
      <c r="C1394" s="21" t="e">
        <f>VLOOKUP(A1394,Products!A$322:$D1394,4,FALSE)</f>
        <v>#N/A</v>
      </c>
    </row>
    <row r="1395" spans="1:3" x14ac:dyDescent="0.35">
      <c r="A1395" s="21">
        <v>12</v>
      </c>
      <c r="B1395" t="str">
        <f>VLOOKUP(A1395,Products!$A$1:$F$322,2,FALSE)</f>
        <v>Electra Townie Original 21D - 2016</v>
      </c>
      <c r="C1395" s="21" t="e">
        <f>VLOOKUP(A1395,Products!A$322:$D1395,4,FALSE)</f>
        <v>#N/A</v>
      </c>
    </row>
    <row r="1396" spans="1:3" x14ac:dyDescent="0.35">
      <c r="A1396" s="21">
        <v>14</v>
      </c>
      <c r="B1396" t="str">
        <f>VLOOKUP(A1396,Products!$A$1:$F$322,2,FALSE)</f>
        <v>Electra Girl's Hawaii 1 (16-inch) - 2015/2016</v>
      </c>
      <c r="C1396" s="21" t="e">
        <f>VLOOKUP(A1396,Products!A$322:$D1396,4,FALSE)</f>
        <v>#N/A</v>
      </c>
    </row>
    <row r="1397" spans="1:3" x14ac:dyDescent="0.35">
      <c r="A1397" s="21">
        <v>19</v>
      </c>
      <c r="B1397" t="str">
        <f>VLOOKUP(A1397,Products!$A$1:$F$322,2,FALSE)</f>
        <v>Pure Cycles William 3-Speed - 2016</v>
      </c>
      <c r="C1397" s="21" t="e">
        <f>VLOOKUP(A1397,Products!A$322:$D1397,4,FALSE)</f>
        <v>#N/A</v>
      </c>
    </row>
    <row r="1398" spans="1:3" x14ac:dyDescent="0.35">
      <c r="A1398" s="21">
        <v>8</v>
      </c>
      <c r="B1398" t="str">
        <f>VLOOKUP(A1398,Products!$A$1:$F$322,2,FALSE)</f>
        <v>Trek Remedy 29 Carbon Frameset - 2016</v>
      </c>
      <c r="C1398" s="21" t="e">
        <f>VLOOKUP(A1398,Products!A$322:$D1398,4,FALSE)</f>
        <v>#N/A</v>
      </c>
    </row>
    <row r="1399" spans="1:3" x14ac:dyDescent="0.35">
      <c r="A1399" s="21">
        <v>14</v>
      </c>
      <c r="B1399" t="str">
        <f>VLOOKUP(A1399,Products!$A$1:$F$322,2,FALSE)</f>
        <v>Electra Girl's Hawaii 1 (16-inch) - 2015/2016</v>
      </c>
      <c r="C1399" s="21" t="e">
        <f>VLOOKUP(A1399,Products!A$322:$D1399,4,FALSE)</f>
        <v>#N/A</v>
      </c>
    </row>
    <row r="1400" spans="1:3" x14ac:dyDescent="0.35">
      <c r="A1400" s="21">
        <v>23</v>
      </c>
      <c r="B1400" t="str">
        <f>VLOOKUP(A1400,Products!$A$1:$F$322,2,FALSE)</f>
        <v>Electra Girl's Hawaii 1 (20-inch) - 2015/2016</v>
      </c>
      <c r="C1400" s="21" t="e">
        <f>VLOOKUP(A1400,Products!A$322:$D1400,4,FALSE)</f>
        <v>#N/A</v>
      </c>
    </row>
    <row r="1401" spans="1:3" x14ac:dyDescent="0.35">
      <c r="A1401" s="21">
        <v>13</v>
      </c>
      <c r="B1401" t="str">
        <f>VLOOKUP(A1401,Products!$A$1:$F$322,2,FALSE)</f>
        <v>Electra Cruiser 1 (24-Inch) - 2016</v>
      </c>
      <c r="C1401" s="21" t="e">
        <f>VLOOKUP(A1401,Products!A$322:$D1401,4,FALSE)</f>
        <v>#N/A</v>
      </c>
    </row>
    <row r="1402" spans="1:3" x14ac:dyDescent="0.35">
      <c r="A1402" s="21">
        <v>13</v>
      </c>
      <c r="B1402" t="str">
        <f>VLOOKUP(A1402,Products!$A$1:$F$322,2,FALSE)</f>
        <v>Electra Cruiser 1 (24-Inch) - 2016</v>
      </c>
      <c r="C1402" s="21" t="e">
        <f>VLOOKUP(A1402,Products!A$322:$D1402,4,FALSE)</f>
        <v>#N/A</v>
      </c>
    </row>
    <row r="1403" spans="1:3" x14ac:dyDescent="0.35">
      <c r="A1403" s="21">
        <v>10</v>
      </c>
      <c r="B1403" t="str">
        <f>VLOOKUP(A1403,Products!$A$1:$F$322,2,FALSE)</f>
        <v>Surly Straggler - 2016</v>
      </c>
      <c r="C1403" s="21" t="e">
        <f>VLOOKUP(A1403,Products!A$322:$D1403,4,FALSE)</f>
        <v>#N/A</v>
      </c>
    </row>
    <row r="1404" spans="1:3" x14ac:dyDescent="0.35">
      <c r="A1404" s="21">
        <v>24</v>
      </c>
      <c r="B1404" t="str">
        <f>VLOOKUP(A1404,Products!$A$1:$F$322,2,FALSE)</f>
        <v>Electra Townie Original 21D - 2016</v>
      </c>
      <c r="C1404" s="21" t="e">
        <f>VLOOKUP(A1404,Products!A$322:$D1404,4,FALSE)</f>
        <v>#N/A</v>
      </c>
    </row>
    <row r="1405" spans="1:3" x14ac:dyDescent="0.35">
      <c r="A1405" s="21">
        <v>2</v>
      </c>
      <c r="B1405" t="str">
        <f>VLOOKUP(A1405,Products!$A$1:$F$322,2,FALSE)</f>
        <v>Ritchey Timberwolf Frameset - 2016</v>
      </c>
      <c r="C1405" s="21" t="e">
        <f>VLOOKUP(A1405,Products!A$322:$D1405,4,FALSE)</f>
        <v>#N/A</v>
      </c>
    </row>
    <row r="1406" spans="1:3" x14ac:dyDescent="0.35">
      <c r="A1406" s="21">
        <v>26</v>
      </c>
      <c r="B1406" t="str">
        <f>VLOOKUP(A1406,Products!$A$1:$F$322,2,FALSE)</f>
        <v>Electra Townie Original 7D EQ - 2016</v>
      </c>
      <c r="C1406" s="21" t="e">
        <f>VLOOKUP(A1406,Products!A$322:$D1406,4,FALSE)</f>
        <v>#N/A</v>
      </c>
    </row>
    <row r="1407" spans="1:3" x14ac:dyDescent="0.35">
      <c r="A1407" s="21">
        <v>25</v>
      </c>
      <c r="B1407" t="str">
        <f>VLOOKUP(A1407,Products!$A$1:$F$322,2,FALSE)</f>
        <v>Electra Townie Original 7D - 2015/2016</v>
      </c>
      <c r="C1407" s="21" t="e">
        <f>VLOOKUP(A1407,Products!A$322:$D1407,4,FALSE)</f>
        <v>#N/A</v>
      </c>
    </row>
    <row r="1408" spans="1:3" x14ac:dyDescent="0.35">
      <c r="A1408" s="21">
        <v>7</v>
      </c>
      <c r="B1408" t="str">
        <f>VLOOKUP(A1408,Products!$A$1:$F$322,2,FALSE)</f>
        <v>Trek Slash 8 27.5 - 2016</v>
      </c>
      <c r="C1408" s="21" t="e">
        <f>VLOOKUP(A1408,Products!A$322:$D1408,4,FALSE)</f>
        <v>#N/A</v>
      </c>
    </row>
    <row r="1409" spans="1:3" x14ac:dyDescent="0.35">
      <c r="A1409" s="21">
        <v>11</v>
      </c>
      <c r="B1409" t="str">
        <f>VLOOKUP(A1409,Products!$A$1:$F$322,2,FALSE)</f>
        <v>Surly Straggler 650b - 2016</v>
      </c>
      <c r="C1409" s="21" t="e">
        <f>VLOOKUP(A1409,Products!A$322:$D1409,4,FALSE)</f>
        <v>#N/A</v>
      </c>
    </row>
    <row r="1410" spans="1:3" x14ac:dyDescent="0.35">
      <c r="A1410" s="21">
        <v>13</v>
      </c>
      <c r="B1410" t="str">
        <f>VLOOKUP(A1410,Products!$A$1:$F$322,2,FALSE)</f>
        <v>Electra Cruiser 1 (24-Inch) - 2016</v>
      </c>
      <c r="C1410" s="21" t="e">
        <f>VLOOKUP(A1410,Products!A$322:$D1410,4,FALSE)</f>
        <v>#N/A</v>
      </c>
    </row>
    <row r="1411" spans="1:3" x14ac:dyDescent="0.35">
      <c r="A1411" s="21">
        <v>20</v>
      </c>
      <c r="B1411" t="str">
        <f>VLOOKUP(A1411,Products!$A$1:$F$322,2,FALSE)</f>
        <v>Electra Townie Original 7D EQ - Women's - 2016</v>
      </c>
      <c r="C1411" s="21" t="e">
        <f>VLOOKUP(A1411,Products!A$322:$D1411,4,FALSE)</f>
        <v>#N/A</v>
      </c>
    </row>
    <row r="1412" spans="1:3" x14ac:dyDescent="0.35">
      <c r="A1412" s="21">
        <v>8</v>
      </c>
      <c r="B1412" t="str">
        <f>VLOOKUP(A1412,Products!$A$1:$F$322,2,FALSE)</f>
        <v>Trek Remedy 29 Carbon Frameset - 2016</v>
      </c>
      <c r="C1412" s="21" t="e">
        <f>VLOOKUP(A1412,Products!A$322:$D1412,4,FALSE)</f>
        <v>#N/A</v>
      </c>
    </row>
    <row r="1413" spans="1:3" x14ac:dyDescent="0.35">
      <c r="A1413" s="21">
        <v>2</v>
      </c>
      <c r="B1413" t="str">
        <f>VLOOKUP(A1413,Products!$A$1:$F$322,2,FALSE)</f>
        <v>Ritchey Timberwolf Frameset - 2016</v>
      </c>
      <c r="C1413" s="21" t="e">
        <f>VLOOKUP(A1413,Products!A$322:$D1413,4,FALSE)</f>
        <v>#N/A</v>
      </c>
    </row>
    <row r="1414" spans="1:3" x14ac:dyDescent="0.35">
      <c r="A1414" s="21">
        <v>10</v>
      </c>
      <c r="B1414" t="str">
        <f>VLOOKUP(A1414,Products!$A$1:$F$322,2,FALSE)</f>
        <v>Surly Straggler - 2016</v>
      </c>
      <c r="C1414" s="21" t="e">
        <f>VLOOKUP(A1414,Products!A$322:$D1414,4,FALSE)</f>
        <v>#N/A</v>
      </c>
    </row>
    <row r="1415" spans="1:3" x14ac:dyDescent="0.35">
      <c r="A1415" s="21">
        <v>25</v>
      </c>
      <c r="B1415" t="str">
        <f>VLOOKUP(A1415,Products!$A$1:$F$322,2,FALSE)</f>
        <v>Electra Townie Original 7D - 2015/2016</v>
      </c>
      <c r="C1415" s="21" t="e">
        <f>VLOOKUP(A1415,Products!A$322:$D1415,4,FALSE)</f>
        <v>#N/A</v>
      </c>
    </row>
    <row r="1416" spans="1:3" x14ac:dyDescent="0.35">
      <c r="A1416" s="21">
        <v>23</v>
      </c>
      <c r="B1416" t="str">
        <f>VLOOKUP(A1416,Products!$A$1:$F$322,2,FALSE)</f>
        <v>Electra Girl's Hawaii 1 (20-inch) - 2015/2016</v>
      </c>
      <c r="C1416" s="21" t="e">
        <f>VLOOKUP(A1416,Products!A$322:$D1416,4,FALSE)</f>
        <v>#N/A</v>
      </c>
    </row>
    <row r="1417" spans="1:3" x14ac:dyDescent="0.35">
      <c r="A1417" s="21">
        <v>4</v>
      </c>
      <c r="B1417" t="str">
        <f>VLOOKUP(A1417,Products!$A$1:$F$322,2,FALSE)</f>
        <v>Trek Fuel EX 8 29 - 2016</v>
      </c>
      <c r="C1417" s="21" t="e">
        <f>VLOOKUP(A1417,Products!A$322:$D1417,4,FALSE)</f>
        <v>#N/A</v>
      </c>
    </row>
    <row r="1418" spans="1:3" x14ac:dyDescent="0.35">
      <c r="A1418" s="21">
        <v>17</v>
      </c>
      <c r="B1418" t="str">
        <f>VLOOKUP(A1418,Products!$A$1:$F$322,2,FALSE)</f>
        <v>Pure Cycles Vine 8-Speed - 2016</v>
      </c>
      <c r="C1418" s="21" t="e">
        <f>VLOOKUP(A1418,Products!A$322:$D1418,4,FALSE)</f>
        <v>#N/A</v>
      </c>
    </row>
    <row r="1419" spans="1:3" x14ac:dyDescent="0.35">
      <c r="A1419" s="21">
        <v>22</v>
      </c>
      <c r="B1419" t="str">
        <f>VLOOKUP(A1419,Products!$A$1:$F$322,2,FALSE)</f>
        <v>Electra Girl's Hawaii 1 (16-inch) - 2015/2016</v>
      </c>
      <c r="C1419" s="21" t="e">
        <f>VLOOKUP(A1419,Products!A$322:$D1419,4,FALSE)</f>
        <v>#N/A</v>
      </c>
    </row>
    <row r="1420" spans="1:3" x14ac:dyDescent="0.35">
      <c r="A1420" s="21">
        <v>13</v>
      </c>
      <c r="B1420" t="str">
        <f>VLOOKUP(A1420,Products!$A$1:$F$322,2,FALSE)</f>
        <v>Electra Cruiser 1 (24-Inch) - 2016</v>
      </c>
      <c r="C1420" s="21" t="e">
        <f>VLOOKUP(A1420,Products!A$322:$D1420,4,FALSE)</f>
        <v>#N/A</v>
      </c>
    </row>
    <row r="1421" spans="1:3" x14ac:dyDescent="0.35">
      <c r="A1421" s="21">
        <v>21</v>
      </c>
      <c r="B1421" t="str">
        <f>VLOOKUP(A1421,Products!$A$1:$F$322,2,FALSE)</f>
        <v>Electra Cruiser 1 (24-Inch) - 2016</v>
      </c>
      <c r="C1421" s="21" t="e">
        <f>VLOOKUP(A1421,Products!A$322:$D1421,4,FALSE)</f>
        <v>#N/A</v>
      </c>
    </row>
    <row r="1422" spans="1:3" x14ac:dyDescent="0.35">
      <c r="A1422" s="21">
        <v>7</v>
      </c>
      <c r="B1422" t="str">
        <f>VLOOKUP(A1422,Products!$A$1:$F$322,2,FALSE)</f>
        <v>Trek Slash 8 27.5 - 2016</v>
      </c>
      <c r="C1422" s="21" t="e">
        <f>VLOOKUP(A1422,Products!A$322:$D1422,4,FALSE)</f>
        <v>#N/A</v>
      </c>
    </row>
    <row r="1423" spans="1:3" x14ac:dyDescent="0.35">
      <c r="A1423" s="21">
        <v>13</v>
      </c>
      <c r="B1423" t="str">
        <f>VLOOKUP(A1423,Products!$A$1:$F$322,2,FALSE)</f>
        <v>Electra Cruiser 1 (24-Inch) - 2016</v>
      </c>
      <c r="C1423" s="21" t="e">
        <f>VLOOKUP(A1423,Products!A$322:$D1423,4,FALSE)</f>
        <v>#N/A</v>
      </c>
    </row>
    <row r="1424" spans="1:3" x14ac:dyDescent="0.35">
      <c r="A1424" s="21">
        <v>23</v>
      </c>
      <c r="B1424" t="str">
        <f>VLOOKUP(A1424,Products!$A$1:$F$322,2,FALSE)</f>
        <v>Electra Girl's Hawaii 1 (20-inch) - 2015/2016</v>
      </c>
      <c r="C1424" s="21" t="e">
        <f>VLOOKUP(A1424,Products!A$322:$D1424,4,FALSE)</f>
        <v>#N/A</v>
      </c>
    </row>
    <row r="1425" spans="1:3" x14ac:dyDescent="0.35">
      <c r="A1425" s="21">
        <v>18</v>
      </c>
      <c r="B1425" t="str">
        <f>VLOOKUP(A1425,Products!$A$1:$F$322,2,FALSE)</f>
        <v>Pure Cycles Western 3-Speed - Women's - 2015/2016</v>
      </c>
      <c r="C1425" s="21" t="e">
        <f>VLOOKUP(A1425,Products!A$322:$D1425,4,FALSE)</f>
        <v>#N/A</v>
      </c>
    </row>
    <row r="1426" spans="1:3" x14ac:dyDescent="0.35">
      <c r="A1426" s="21">
        <v>17</v>
      </c>
      <c r="B1426" t="str">
        <f>VLOOKUP(A1426,Products!$A$1:$F$322,2,FALSE)</f>
        <v>Pure Cycles Vine 8-Speed - 2016</v>
      </c>
      <c r="C1426" s="21" t="e">
        <f>VLOOKUP(A1426,Products!A$322:$D1426,4,FALSE)</f>
        <v>#N/A</v>
      </c>
    </row>
    <row r="1427" spans="1:3" x14ac:dyDescent="0.35">
      <c r="A1427" s="21">
        <v>8</v>
      </c>
      <c r="B1427" t="str">
        <f>VLOOKUP(A1427,Products!$A$1:$F$322,2,FALSE)</f>
        <v>Trek Remedy 29 Carbon Frameset - 2016</v>
      </c>
      <c r="C1427" s="21" t="e">
        <f>VLOOKUP(A1427,Products!A$322:$D1427,4,FALSE)</f>
        <v>#N/A</v>
      </c>
    </row>
    <row r="1428" spans="1:3" x14ac:dyDescent="0.35">
      <c r="A1428" s="21">
        <v>5</v>
      </c>
      <c r="B1428" t="str">
        <f>VLOOKUP(A1428,Products!$A$1:$F$322,2,FALSE)</f>
        <v>Heller Shagamaw Frame - 2016</v>
      </c>
      <c r="C1428" s="21" t="e">
        <f>VLOOKUP(A1428,Products!A$322:$D1428,4,FALSE)</f>
        <v>#N/A</v>
      </c>
    </row>
    <row r="1429" spans="1:3" x14ac:dyDescent="0.35">
      <c r="A1429" s="21">
        <v>25</v>
      </c>
      <c r="B1429" t="str">
        <f>VLOOKUP(A1429,Products!$A$1:$F$322,2,FALSE)</f>
        <v>Electra Townie Original 7D - 2015/2016</v>
      </c>
      <c r="C1429" s="21" t="e">
        <f>VLOOKUP(A1429,Products!A$322:$D1429,4,FALSE)</f>
        <v>#N/A</v>
      </c>
    </row>
    <row r="1430" spans="1:3" x14ac:dyDescent="0.35">
      <c r="A1430" s="21">
        <v>6</v>
      </c>
      <c r="B1430" t="str">
        <f>VLOOKUP(A1430,Products!$A$1:$F$322,2,FALSE)</f>
        <v>Surly Ice Cream Truck Frameset - 2016</v>
      </c>
      <c r="C1430" s="21" t="e">
        <f>VLOOKUP(A1430,Products!A$322:$D1430,4,FALSE)</f>
        <v>#N/A</v>
      </c>
    </row>
    <row r="1431" spans="1:3" x14ac:dyDescent="0.35">
      <c r="A1431" s="21">
        <v>7</v>
      </c>
      <c r="B1431" t="str">
        <f>VLOOKUP(A1431,Products!$A$1:$F$322,2,FALSE)</f>
        <v>Trek Slash 8 27.5 - 2016</v>
      </c>
      <c r="C1431" s="21" t="e">
        <f>VLOOKUP(A1431,Products!A$322:$D1431,4,FALSE)</f>
        <v>#N/A</v>
      </c>
    </row>
    <row r="1432" spans="1:3" x14ac:dyDescent="0.35">
      <c r="A1432" s="21">
        <v>5</v>
      </c>
      <c r="B1432" t="str">
        <f>VLOOKUP(A1432,Products!$A$1:$F$322,2,FALSE)</f>
        <v>Heller Shagamaw Frame - 2016</v>
      </c>
      <c r="C1432" s="21" t="e">
        <f>VLOOKUP(A1432,Products!A$322:$D1432,4,FALSE)</f>
        <v>#N/A</v>
      </c>
    </row>
    <row r="1433" spans="1:3" x14ac:dyDescent="0.35">
      <c r="A1433" s="21">
        <v>21</v>
      </c>
      <c r="B1433" t="str">
        <f>VLOOKUP(A1433,Products!$A$1:$F$322,2,FALSE)</f>
        <v>Electra Cruiser 1 (24-Inch) - 2016</v>
      </c>
      <c r="C1433" s="21" t="e">
        <f>VLOOKUP(A1433,Products!A$322:$D1433,4,FALSE)</f>
        <v>#N/A</v>
      </c>
    </row>
    <row r="1434" spans="1:3" x14ac:dyDescent="0.35">
      <c r="A1434" s="21">
        <v>16</v>
      </c>
      <c r="B1434" t="str">
        <f>VLOOKUP(A1434,Products!$A$1:$F$322,2,FALSE)</f>
        <v>Electra Townie Original 7D EQ - 2016</v>
      </c>
      <c r="C1434" s="21" t="e">
        <f>VLOOKUP(A1434,Products!A$322:$D1434,4,FALSE)</f>
        <v>#N/A</v>
      </c>
    </row>
    <row r="1435" spans="1:3" x14ac:dyDescent="0.35">
      <c r="A1435" s="21">
        <v>5</v>
      </c>
      <c r="B1435" t="str">
        <f>VLOOKUP(A1435,Products!$A$1:$F$322,2,FALSE)</f>
        <v>Heller Shagamaw Frame - 2016</v>
      </c>
      <c r="C1435" s="21" t="e">
        <f>VLOOKUP(A1435,Products!A$322:$D1435,4,FALSE)</f>
        <v>#N/A</v>
      </c>
    </row>
    <row r="1436" spans="1:3" x14ac:dyDescent="0.35">
      <c r="A1436" s="21">
        <v>25</v>
      </c>
      <c r="B1436" t="str">
        <f>VLOOKUP(A1436,Products!$A$1:$F$322,2,FALSE)</f>
        <v>Electra Townie Original 7D - 2015/2016</v>
      </c>
      <c r="C1436" s="21" t="e">
        <f>VLOOKUP(A1436,Products!A$322:$D1436,4,FALSE)</f>
        <v>#N/A</v>
      </c>
    </row>
    <row r="1437" spans="1:3" x14ac:dyDescent="0.35">
      <c r="A1437" s="21">
        <v>15</v>
      </c>
      <c r="B1437" t="str">
        <f>VLOOKUP(A1437,Products!$A$1:$F$322,2,FALSE)</f>
        <v>Electra Moto 1 - 2016</v>
      </c>
      <c r="C1437" s="21" t="e">
        <f>VLOOKUP(A1437,Products!A$322:$D1437,4,FALSE)</f>
        <v>#N/A</v>
      </c>
    </row>
    <row r="1438" spans="1:3" x14ac:dyDescent="0.35">
      <c r="A1438" s="21">
        <v>11</v>
      </c>
      <c r="B1438" t="str">
        <f>VLOOKUP(A1438,Products!$A$1:$F$322,2,FALSE)</f>
        <v>Surly Straggler 650b - 2016</v>
      </c>
      <c r="C1438" s="21" t="e">
        <f>VLOOKUP(A1438,Products!A$322:$D1438,4,FALSE)</f>
        <v>#N/A</v>
      </c>
    </row>
    <row r="1439" spans="1:3" x14ac:dyDescent="0.35">
      <c r="A1439" s="21">
        <v>6</v>
      </c>
      <c r="B1439" t="str">
        <f>VLOOKUP(A1439,Products!$A$1:$F$322,2,FALSE)</f>
        <v>Surly Ice Cream Truck Frameset - 2016</v>
      </c>
      <c r="C1439" s="21" t="e">
        <f>VLOOKUP(A1439,Products!A$322:$D1439,4,FALSE)</f>
        <v>#N/A</v>
      </c>
    </row>
    <row r="1440" spans="1:3" x14ac:dyDescent="0.35">
      <c r="A1440" s="21">
        <v>16</v>
      </c>
      <c r="B1440" t="str">
        <f>VLOOKUP(A1440,Products!$A$1:$F$322,2,FALSE)</f>
        <v>Electra Townie Original 7D EQ - 2016</v>
      </c>
      <c r="C1440" s="21" t="e">
        <f>VLOOKUP(A1440,Products!A$322:$D1440,4,FALSE)</f>
        <v>#N/A</v>
      </c>
    </row>
    <row r="1441" spans="1:3" x14ac:dyDescent="0.35">
      <c r="A1441" s="21">
        <v>23</v>
      </c>
      <c r="B1441" t="str">
        <f>VLOOKUP(A1441,Products!$A$1:$F$322,2,FALSE)</f>
        <v>Electra Girl's Hawaii 1 (20-inch) - 2015/2016</v>
      </c>
      <c r="C1441" s="21" t="e">
        <f>VLOOKUP(A1441,Products!A$322:$D1441,4,FALSE)</f>
        <v>#N/A</v>
      </c>
    </row>
    <row r="1442" spans="1:3" x14ac:dyDescent="0.35">
      <c r="A1442" s="21">
        <v>18</v>
      </c>
      <c r="B1442" t="str">
        <f>VLOOKUP(A1442,Products!$A$1:$F$322,2,FALSE)</f>
        <v>Pure Cycles Western 3-Speed - Women's - 2015/2016</v>
      </c>
      <c r="C1442" s="21" t="e">
        <f>VLOOKUP(A1442,Products!A$322:$D1442,4,FALSE)</f>
        <v>#N/A</v>
      </c>
    </row>
    <row r="1443" spans="1:3" x14ac:dyDescent="0.35">
      <c r="A1443" s="21">
        <v>7</v>
      </c>
      <c r="B1443" t="str">
        <f>VLOOKUP(A1443,Products!$A$1:$F$322,2,FALSE)</f>
        <v>Trek Slash 8 27.5 - 2016</v>
      </c>
      <c r="C1443" s="21" t="e">
        <f>VLOOKUP(A1443,Products!A$322:$D1443,4,FALSE)</f>
        <v>#N/A</v>
      </c>
    </row>
    <row r="1444" spans="1:3" x14ac:dyDescent="0.35">
      <c r="A1444" s="21">
        <v>26</v>
      </c>
      <c r="B1444" t="str">
        <f>VLOOKUP(A1444,Products!$A$1:$F$322,2,FALSE)</f>
        <v>Electra Townie Original 7D EQ - 2016</v>
      </c>
      <c r="C1444" s="21" t="e">
        <f>VLOOKUP(A1444,Products!A$322:$D1444,4,FALSE)</f>
        <v>#N/A</v>
      </c>
    </row>
    <row r="1445" spans="1:3" x14ac:dyDescent="0.35">
      <c r="A1445" s="21">
        <v>24</v>
      </c>
      <c r="B1445" t="str">
        <f>VLOOKUP(A1445,Products!$A$1:$F$322,2,FALSE)</f>
        <v>Electra Townie Original 21D - 2016</v>
      </c>
      <c r="C1445" s="21" t="e">
        <f>VLOOKUP(A1445,Products!A$322:$D1445,4,FALSE)</f>
        <v>#N/A</v>
      </c>
    </row>
    <row r="1446" spans="1:3" x14ac:dyDescent="0.35">
      <c r="A1446" s="21">
        <v>10</v>
      </c>
      <c r="B1446" t="str">
        <f>VLOOKUP(A1446,Products!$A$1:$F$322,2,FALSE)</f>
        <v>Surly Straggler - 2016</v>
      </c>
      <c r="C1446" s="21" t="e">
        <f>VLOOKUP(A1446,Products!A$322:$D1446,4,FALSE)</f>
        <v>#N/A</v>
      </c>
    </row>
    <row r="1447" spans="1:3" x14ac:dyDescent="0.35">
      <c r="A1447" s="21">
        <v>5</v>
      </c>
      <c r="B1447" t="str">
        <f>VLOOKUP(A1447,Products!$A$1:$F$322,2,FALSE)</f>
        <v>Heller Shagamaw Frame - 2016</v>
      </c>
      <c r="C1447" s="21" t="e">
        <f>VLOOKUP(A1447,Products!A$322:$D1447,4,FALSE)</f>
        <v>#N/A</v>
      </c>
    </row>
    <row r="1448" spans="1:3" x14ac:dyDescent="0.35">
      <c r="A1448" s="21">
        <v>14</v>
      </c>
      <c r="B1448" t="str">
        <f>VLOOKUP(A1448,Products!$A$1:$F$322,2,FALSE)</f>
        <v>Electra Girl's Hawaii 1 (16-inch) - 2015/2016</v>
      </c>
      <c r="C1448" s="21" t="e">
        <f>VLOOKUP(A1448,Products!A$322:$D1448,4,FALSE)</f>
        <v>#N/A</v>
      </c>
    </row>
    <row r="1449" spans="1:3" x14ac:dyDescent="0.35">
      <c r="A1449" s="21">
        <v>4</v>
      </c>
      <c r="B1449" t="str">
        <f>VLOOKUP(A1449,Products!$A$1:$F$322,2,FALSE)</f>
        <v>Trek Fuel EX 8 29 - 2016</v>
      </c>
      <c r="C1449" s="21" t="e">
        <f>VLOOKUP(A1449,Products!A$322:$D1449,4,FALSE)</f>
        <v>#N/A</v>
      </c>
    </row>
    <row r="1450" spans="1:3" x14ac:dyDescent="0.35">
      <c r="A1450" s="21">
        <v>22</v>
      </c>
      <c r="B1450" t="str">
        <f>VLOOKUP(A1450,Products!$A$1:$F$322,2,FALSE)</f>
        <v>Electra Girl's Hawaii 1 (16-inch) - 2015/2016</v>
      </c>
      <c r="C1450" s="21" t="e">
        <f>VLOOKUP(A1450,Products!A$322:$D1450,4,FALSE)</f>
        <v>#N/A</v>
      </c>
    </row>
    <row r="1451" spans="1:3" x14ac:dyDescent="0.35">
      <c r="A1451" s="21">
        <v>21</v>
      </c>
      <c r="B1451" t="str">
        <f>VLOOKUP(A1451,Products!$A$1:$F$322,2,FALSE)</f>
        <v>Electra Cruiser 1 (24-Inch) - 2016</v>
      </c>
      <c r="C1451" s="21" t="e">
        <f>VLOOKUP(A1451,Products!A$322:$D1451,4,FALSE)</f>
        <v>#N/A</v>
      </c>
    </row>
    <row r="1452" spans="1:3" x14ac:dyDescent="0.35">
      <c r="A1452" s="21">
        <v>12</v>
      </c>
      <c r="B1452" t="str">
        <f>VLOOKUP(A1452,Products!$A$1:$F$322,2,FALSE)</f>
        <v>Electra Townie Original 21D - 2016</v>
      </c>
      <c r="C1452" s="21" t="e">
        <f>VLOOKUP(A1452,Products!A$322:$D1452,4,FALSE)</f>
        <v>#N/A</v>
      </c>
    </row>
    <row r="1453" spans="1:3" x14ac:dyDescent="0.35">
      <c r="A1453" s="21">
        <v>20</v>
      </c>
      <c r="B1453" t="str">
        <f>VLOOKUP(A1453,Products!$A$1:$F$322,2,FALSE)</f>
        <v>Electra Townie Original 7D EQ - Women's - 2016</v>
      </c>
      <c r="C1453" s="21" t="e">
        <f>VLOOKUP(A1453,Products!A$322:$D1453,4,FALSE)</f>
        <v>#N/A</v>
      </c>
    </row>
    <row r="1454" spans="1:3" x14ac:dyDescent="0.35">
      <c r="A1454" s="21">
        <v>5</v>
      </c>
      <c r="B1454" t="str">
        <f>VLOOKUP(A1454,Products!$A$1:$F$322,2,FALSE)</f>
        <v>Heller Shagamaw Frame - 2016</v>
      </c>
      <c r="C1454" s="21" t="e">
        <f>VLOOKUP(A1454,Products!A$322:$D1454,4,FALSE)</f>
        <v>#N/A</v>
      </c>
    </row>
    <row r="1455" spans="1:3" x14ac:dyDescent="0.35">
      <c r="A1455" s="21">
        <v>16</v>
      </c>
      <c r="B1455" t="str">
        <f>VLOOKUP(A1455,Products!$A$1:$F$322,2,FALSE)</f>
        <v>Electra Townie Original 7D EQ - 2016</v>
      </c>
      <c r="C1455" s="21" t="e">
        <f>VLOOKUP(A1455,Products!A$322:$D1455,4,FALSE)</f>
        <v>#N/A</v>
      </c>
    </row>
    <row r="1456" spans="1:3" x14ac:dyDescent="0.35">
      <c r="A1456" s="21">
        <v>11</v>
      </c>
      <c r="B1456" t="str">
        <f>VLOOKUP(A1456,Products!$A$1:$F$322,2,FALSE)</f>
        <v>Surly Straggler 650b - 2016</v>
      </c>
      <c r="C1456" s="21" t="e">
        <f>VLOOKUP(A1456,Products!A$322:$D1456,4,FALSE)</f>
        <v>#N/A</v>
      </c>
    </row>
    <row r="1457" spans="1:3" x14ac:dyDescent="0.35">
      <c r="A1457" s="21">
        <v>2</v>
      </c>
      <c r="B1457" t="str">
        <f>VLOOKUP(A1457,Products!$A$1:$F$322,2,FALSE)</f>
        <v>Ritchey Timberwolf Frameset - 2016</v>
      </c>
      <c r="C1457" s="21" t="e">
        <f>VLOOKUP(A1457,Products!A$322:$D1457,4,FALSE)</f>
        <v>#N/A</v>
      </c>
    </row>
    <row r="1458" spans="1:3" x14ac:dyDescent="0.35">
      <c r="A1458" s="21">
        <v>9</v>
      </c>
      <c r="B1458" t="str">
        <f>VLOOKUP(A1458,Products!$A$1:$F$322,2,FALSE)</f>
        <v>Trek Conduit+ - 2016</v>
      </c>
      <c r="C1458" s="21" t="e">
        <f>VLOOKUP(A1458,Products!A$322:$D1458,4,FALSE)</f>
        <v>#N/A</v>
      </c>
    </row>
    <row r="1459" spans="1:3" x14ac:dyDescent="0.35">
      <c r="A1459" s="21">
        <v>3</v>
      </c>
      <c r="B1459" t="str">
        <f>VLOOKUP(A1459,Products!$A$1:$F$322,2,FALSE)</f>
        <v>Surly Wednesday Frameset - 2016</v>
      </c>
      <c r="C1459" s="21" t="e">
        <f>VLOOKUP(A1459,Products!A$322:$D1459,4,FALSE)</f>
        <v>#N/A</v>
      </c>
    </row>
    <row r="1460" spans="1:3" x14ac:dyDescent="0.35">
      <c r="A1460" s="21">
        <v>26</v>
      </c>
      <c r="B1460" t="str">
        <f>VLOOKUP(A1460,Products!$A$1:$F$322,2,FALSE)</f>
        <v>Electra Townie Original 7D EQ - 2016</v>
      </c>
      <c r="C1460" s="21" t="e">
        <f>VLOOKUP(A1460,Products!A$322:$D1460,4,FALSE)</f>
        <v>#N/A</v>
      </c>
    </row>
    <row r="1461" spans="1:3" x14ac:dyDescent="0.35">
      <c r="A1461" s="21">
        <v>9</v>
      </c>
      <c r="B1461" t="str">
        <f>VLOOKUP(A1461,Products!$A$1:$F$322,2,FALSE)</f>
        <v>Trek Conduit+ - 2016</v>
      </c>
      <c r="C1461" s="21" t="e">
        <f>VLOOKUP(A1461,Products!A$322:$D1461,4,FALSE)</f>
        <v>#N/A</v>
      </c>
    </row>
    <row r="1462" spans="1:3" x14ac:dyDescent="0.35">
      <c r="A1462" s="21">
        <v>6</v>
      </c>
      <c r="B1462" t="str">
        <f>VLOOKUP(A1462,Products!$A$1:$F$322,2,FALSE)</f>
        <v>Surly Ice Cream Truck Frameset - 2016</v>
      </c>
      <c r="C1462" s="21" t="e">
        <f>VLOOKUP(A1462,Products!A$322:$D1462,4,FALSE)</f>
        <v>#N/A</v>
      </c>
    </row>
    <row r="1463" spans="1:3" x14ac:dyDescent="0.35">
      <c r="A1463" s="21">
        <v>10</v>
      </c>
      <c r="B1463" t="str">
        <f>VLOOKUP(A1463,Products!$A$1:$F$322,2,FALSE)</f>
        <v>Surly Straggler - 2016</v>
      </c>
      <c r="C1463" s="21" t="e">
        <f>VLOOKUP(A1463,Products!A$322:$D1463,4,FALSE)</f>
        <v>#N/A</v>
      </c>
    </row>
    <row r="1464" spans="1:3" x14ac:dyDescent="0.35">
      <c r="A1464" s="21">
        <v>3</v>
      </c>
      <c r="B1464" t="str">
        <f>VLOOKUP(A1464,Products!$A$1:$F$322,2,FALSE)</f>
        <v>Surly Wednesday Frameset - 2016</v>
      </c>
      <c r="C1464" s="21" t="e">
        <f>VLOOKUP(A1464,Products!A$322:$D1464,4,FALSE)</f>
        <v>#N/A</v>
      </c>
    </row>
    <row r="1465" spans="1:3" x14ac:dyDescent="0.35">
      <c r="A1465" s="21">
        <v>8</v>
      </c>
      <c r="B1465" t="str">
        <f>VLOOKUP(A1465,Products!$A$1:$F$322,2,FALSE)</f>
        <v>Trek Remedy 29 Carbon Frameset - 2016</v>
      </c>
      <c r="C1465" s="21" t="e">
        <f>VLOOKUP(A1465,Products!A$322:$D1465,4,FALSE)</f>
        <v>#N/A</v>
      </c>
    </row>
    <row r="1466" spans="1:3" x14ac:dyDescent="0.35">
      <c r="A1466" s="21">
        <v>21</v>
      </c>
      <c r="B1466" t="str">
        <f>VLOOKUP(A1466,Products!$A$1:$F$322,2,FALSE)</f>
        <v>Electra Cruiser 1 (24-Inch) - 2016</v>
      </c>
      <c r="C1466" s="21" t="e">
        <f>VLOOKUP(A1466,Products!A$322:$D1466,4,FALSE)</f>
        <v>#N/A</v>
      </c>
    </row>
    <row r="1467" spans="1:3" x14ac:dyDescent="0.35">
      <c r="A1467" s="21">
        <v>15</v>
      </c>
      <c r="B1467" t="str">
        <f>VLOOKUP(A1467,Products!$A$1:$F$322,2,FALSE)</f>
        <v>Electra Moto 1 - 2016</v>
      </c>
      <c r="C1467" s="21" t="e">
        <f>VLOOKUP(A1467,Products!A$322:$D1467,4,FALSE)</f>
        <v>#N/A</v>
      </c>
    </row>
    <row r="1468" spans="1:3" x14ac:dyDescent="0.35">
      <c r="A1468" s="21">
        <v>18</v>
      </c>
      <c r="B1468" t="str">
        <f>VLOOKUP(A1468,Products!$A$1:$F$322,2,FALSE)</f>
        <v>Pure Cycles Western 3-Speed - Women's - 2015/2016</v>
      </c>
      <c r="C1468" s="21" t="e">
        <f>VLOOKUP(A1468,Products!A$322:$D1468,4,FALSE)</f>
        <v>#N/A</v>
      </c>
    </row>
    <row r="1469" spans="1:3" x14ac:dyDescent="0.35">
      <c r="A1469" s="21">
        <v>4</v>
      </c>
      <c r="B1469" t="str">
        <f>VLOOKUP(A1469,Products!$A$1:$F$322,2,FALSE)</f>
        <v>Trek Fuel EX 8 29 - 2016</v>
      </c>
      <c r="C1469" s="21" t="e">
        <f>VLOOKUP(A1469,Products!A$322:$D1469,4,FALSE)</f>
        <v>#N/A</v>
      </c>
    </row>
    <row r="1470" spans="1:3" x14ac:dyDescent="0.35">
      <c r="A1470" s="21">
        <v>19</v>
      </c>
      <c r="B1470" t="str">
        <f>VLOOKUP(A1470,Products!$A$1:$F$322,2,FALSE)</f>
        <v>Pure Cycles William 3-Speed - 2016</v>
      </c>
      <c r="C1470" s="21" t="e">
        <f>VLOOKUP(A1470,Products!A$322:$D1470,4,FALSE)</f>
        <v>#N/A</v>
      </c>
    </row>
    <row r="1471" spans="1:3" x14ac:dyDescent="0.35">
      <c r="A1471" s="21">
        <v>9</v>
      </c>
      <c r="B1471" t="str">
        <f>VLOOKUP(A1471,Products!$A$1:$F$322,2,FALSE)</f>
        <v>Trek Conduit+ - 2016</v>
      </c>
      <c r="C1471" s="21" t="e">
        <f>VLOOKUP(A1471,Products!A$322:$D1471,4,FALSE)</f>
        <v>#N/A</v>
      </c>
    </row>
    <row r="1472" spans="1:3" x14ac:dyDescent="0.35">
      <c r="A1472" s="21">
        <v>21</v>
      </c>
      <c r="B1472" t="str">
        <f>VLOOKUP(A1472,Products!$A$1:$F$322,2,FALSE)</f>
        <v>Electra Cruiser 1 (24-Inch) - 2016</v>
      </c>
      <c r="C1472" s="21" t="e">
        <f>VLOOKUP(A1472,Products!A$322:$D1472,4,FALSE)</f>
        <v>#N/A</v>
      </c>
    </row>
    <row r="1473" spans="1:3" x14ac:dyDescent="0.35">
      <c r="A1473" s="21">
        <v>12</v>
      </c>
      <c r="B1473" t="str">
        <f>VLOOKUP(A1473,Products!$A$1:$F$322,2,FALSE)</f>
        <v>Electra Townie Original 21D - 2016</v>
      </c>
      <c r="C1473" s="21" t="e">
        <f>VLOOKUP(A1473,Products!A$322:$D1473,4,FALSE)</f>
        <v>#N/A</v>
      </c>
    </row>
    <row r="1474" spans="1:3" x14ac:dyDescent="0.35">
      <c r="A1474" s="21">
        <v>2</v>
      </c>
      <c r="B1474" t="str">
        <f>VLOOKUP(A1474,Products!$A$1:$F$322,2,FALSE)</f>
        <v>Ritchey Timberwolf Frameset - 2016</v>
      </c>
      <c r="C1474" s="21" t="e">
        <f>VLOOKUP(A1474,Products!A$322:$D1474,4,FALSE)</f>
        <v>#N/A</v>
      </c>
    </row>
    <row r="1475" spans="1:3" x14ac:dyDescent="0.35">
      <c r="A1475" s="21">
        <v>4</v>
      </c>
      <c r="B1475" t="str">
        <f>VLOOKUP(A1475,Products!$A$1:$F$322,2,FALSE)</f>
        <v>Trek Fuel EX 8 29 - 2016</v>
      </c>
      <c r="C1475" s="21" t="e">
        <f>VLOOKUP(A1475,Products!A$322:$D1475,4,FALSE)</f>
        <v>#N/A</v>
      </c>
    </row>
    <row r="1476" spans="1:3" x14ac:dyDescent="0.35">
      <c r="A1476" s="21">
        <v>6</v>
      </c>
      <c r="B1476" t="str">
        <f>VLOOKUP(A1476,Products!$A$1:$F$322,2,FALSE)</f>
        <v>Surly Ice Cream Truck Frameset - 2016</v>
      </c>
      <c r="C1476" s="21" t="e">
        <f>VLOOKUP(A1476,Products!A$322:$D1476,4,FALSE)</f>
        <v>#N/A</v>
      </c>
    </row>
    <row r="1477" spans="1:3" x14ac:dyDescent="0.35">
      <c r="A1477" s="21">
        <v>6</v>
      </c>
      <c r="B1477" t="str">
        <f>VLOOKUP(A1477,Products!$A$1:$F$322,2,FALSE)</f>
        <v>Surly Ice Cream Truck Frameset - 2016</v>
      </c>
      <c r="C1477" s="21" t="e">
        <f>VLOOKUP(A1477,Products!A$322:$D1477,4,FALSE)</f>
        <v>#N/A</v>
      </c>
    </row>
    <row r="1478" spans="1:3" x14ac:dyDescent="0.35">
      <c r="A1478" s="21">
        <v>12</v>
      </c>
      <c r="B1478" t="str">
        <f>VLOOKUP(A1478,Products!$A$1:$F$322,2,FALSE)</f>
        <v>Electra Townie Original 21D - 2016</v>
      </c>
      <c r="C1478" s="21" t="e">
        <f>VLOOKUP(A1478,Products!A$322:$D1478,4,FALSE)</f>
        <v>#N/A</v>
      </c>
    </row>
    <row r="1479" spans="1:3" x14ac:dyDescent="0.35">
      <c r="A1479" s="21">
        <v>25</v>
      </c>
      <c r="B1479" t="str">
        <f>VLOOKUP(A1479,Products!$A$1:$F$322,2,FALSE)</f>
        <v>Electra Townie Original 7D - 2015/2016</v>
      </c>
      <c r="C1479" s="21" t="e">
        <f>VLOOKUP(A1479,Products!A$322:$D1479,4,FALSE)</f>
        <v>#N/A</v>
      </c>
    </row>
    <row r="1480" spans="1:3" x14ac:dyDescent="0.35">
      <c r="A1480" s="21">
        <v>17</v>
      </c>
      <c r="B1480" t="str">
        <f>VLOOKUP(A1480,Products!$A$1:$F$322,2,FALSE)</f>
        <v>Pure Cycles Vine 8-Speed - 2016</v>
      </c>
      <c r="C1480" s="21" t="e">
        <f>VLOOKUP(A1480,Products!A$322:$D1480,4,FALSE)</f>
        <v>#N/A</v>
      </c>
    </row>
    <row r="1481" spans="1:3" x14ac:dyDescent="0.35">
      <c r="A1481" s="21">
        <v>16</v>
      </c>
      <c r="B1481" t="str">
        <f>VLOOKUP(A1481,Products!$A$1:$F$322,2,FALSE)</f>
        <v>Electra Townie Original 7D EQ - 2016</v>
      </c>
      <c r="C1481" s="21" t="e">
        <f>VLOOKUP(A1481,Products!A$322:$D1481,4,FALSE)</f>
        <v>#N/A</v>
      </c>
    </row>
    <row r="1482" spans="1:3" x14ac:dyDescent="0.35">
      <c r="A1482" s="21">
        <v>12</v>
      </c>
      <c r="B1482" t="str">
        <f>VLOOKUP(A1482,Products!$A$1:$F$322,2,FALSE)</f>
        <v>Electra Townie Original 21D - 2016</v>
      </c>
      <c r="C1482" s="21" t="e">
        <f>VLOOKUP(A1482,Products!A$322:$D1482,4,FALSE)</f>
        <v>#N/A</v>
      </c>
    </row>
    <row r="1483" spans="1:3" x14ac:dyDescent="0.35">
      <c r="A1483" s="21">
        <v>4</v>
      </c>
      <c r="B1483" t="str">
        <f>VLOOKUP(A1483,Products!$A$1:$F$322,2,FALSE)</f>
        <v>Trek Fuel EX 8 29 - 2016</v>
      </c>
      <c r="C1483" s="21" t="e">
        <f>VLOOKUP(A1483,Products!A$322:$D1483,4,FALSE)</f>
        <v>#N/A</v>
      </c>
    </row>
    <row r="1484" spans="1:3" x14ac:dyDescent="0.35">
      <c r="A1484" s="21">
        <v>12</v>
      </c>
      <c r="B1484" t="str">
        <f>VLOOKUP(A1484,Products!$A$1:$F$322,2,FALSE)</f>
        <v>Electra Townie Original 21D - 2016</v>
      </c>
      <c r="C1484" s="21" t="e">
        <f>VLOOKUP(A1484,Products!A$322:$D1484,4,FALSE)</f>
        <v>#N/A</v>
      </c>
    </row>
    <row r="1485" spans="1:3" x14ac:dyDescent="0.35">
      <c r="A1485" s="21">
        <v>10</v>
      </c>
      <c r="B1485" t="str">
        <f>VLOOKUP(A1485,Products!$A$1:$F$322,2,FALSE)</f>
        <v>Surly Straggler - 2016</v>
      </c>
      <c r="C1485" s="21" t="e">
        <f>VLOOKUP(A1485,Products!A$322:$D1485,4,FALSE)</f>
        <v>#N/A</v>
      </c>
    </row>
    <row r="1486" spans="1:3" x14ac:dyDescent="0.35">
      <c r="A1486" s="21">
        <v>25</v>
      </c>
      <c r="B1486" t="str">
        <f>VLOOKUP(A1486,Products!$A$1:$F$322,2,FALSE)</f>
        <v>Electra Townie Original 7D - 2015/2016</v>
      </c>
      <c r="C1486" s="21" t="e">
        <f>VLOOKUP(A1486,Products!A$322:$D1486,4,FALSE)</f>
        <v>#N/A</v>
      </c>
    </row>
    <row r="1487" spans="1:3" x14ac:dyDescent="0.35">
      <c r="A1487" s="21">
        <v>21</v>
      </c>
      <c r="B1487" t="str">
        <f>VLOOKUP(A1487,Products!$A$1:$F$322,2,FALSE)</f>
        <v>Electra Cruiser 1 (24-Inch) - 2016</v>
      </c>
      <c r="C1487" s="21" t="e">
        <f>VLOOKUP(A1487,Products!A$322:$D1487,4,FALSE)</f>
        <v>#N/A</v>
      </c>
    </row>
    <row r="1488" spans="1:3" x14ac:dyDescent="0.35">
      <c r="A1488" s="21">
        <v>9</v>
      </c>
      <c r="B1488" t="str">
        <f>VLOOKUP(A1488,Products!$A$1:$F$322,2,FALSE)</f>
        <v>Trek Conduit+ - 2016</v>
      </c>
      <c r="C1488" s="21" t="e">
        <f>VLOOKUP(A1488,Products!A$322:$D1488,4,FALSE)</f>
        <v>#N/A</v>
      </c>
    </row>
    <row r="1489" spans="1:3" x14ac:dyDescent="0.35">
      <c r="A1489" s="21">
        <v>2</v>
      </c>
      <c r="B1489" t="str">
        <f>VLOOKUP(A1489,Products!$A$1:$F$322,2,FALSE)</f>
        <v>Ritchey Timberwolf Frameset - 2016</v>
      </c>
      <c r="C1489" s="21" t="e">
        <f>VLOOKUP(A1489,Products!A$322:$D1489,4,FALSE)</f>
        <v>#N/A</v>
      </c>
    </row>
    <row r="1490" spans="1:3" x14ac:dyDescent="0.35">
      <c r="A1490" s="21">
        <v>24</v>
      </c>
      <c r="B1490" t="str">
        <f>VLOOKUP(A1490,Products!$A$1:$F$322,2,FALSE)</f>
        <v>Electra Townie Original 21D - 2016</v>
      </c>
      <c r="C1490" s="21" t="e">
        <f>VLOOKUP(A1490,Products!A$322:$D1490,4,FALSE)</f>
        <v>#N/A</v>
      </c>
    </row>
    <row r="1491" spans="1:3" x14ac:dyDescent="0.35">
      <c r="A1491" s="21">
        <v>24</v>
      </c>
      <c r="B1491" t="str">
        <f>VLOOKUP(A1491,Products!$A$1:$F$322,2,FALSE)</f>
        <v>Electra Townie Original 21D - 2016</v>
      </c>
      <c r="C1491" s="21" t="e">
        <f>VLOOKUP(A1491,Products!A$322:$D1491,4,FALSE)</f>
        <v>#N/A</v>
      </c>
    </row>
    <row r="1492" spans="1:3" x14ac:dyDescent="0.35">
      <c r="A1492" s="21">
        <v>15</v>
      </c>
      <c r="B1492" t="str">
        <f>VLOOKUP(A1492,Products!$A$1:$F$322,2,FALSE)</f>
        <v>Electra Moto 1 - 2016</v>
      </c>
      <c r="C1492" s="21" t="e">
        <f>VLOOKUP(A1492,Products!A$322:$D1492,4,FALSE)</f>
        <v>#N/A</v>
      </c>
    </row>
    <row r="1493" spans="1:3" x14ac:dyDescent="0.35">
      <c r="A1493" s="21">
        <v>22</v>
      </c>
      <c r="B1493" t="str">
        <f>VLOOKUP(A1493,Products!$A$1:$F$322,2,FALSE)</f>
        <v>Electra Girl's Hawaii 1 (16-inch) - 2015/2016</v>
      </c>
      <c r="C1493" s="21" t="e">
        <f>VLOOKUP(A1493,Products!A$322:$D1493,4,FALSE)</f>
        <v>#N/A</v>
      </c>
    </row>
    <row r="1494" spans="1:3" x14ac:dyDescent="0.35">
      <c r="A1494" s="21">
        <v>22</v>
      </c>
      <c r="B1494" t="str">
        <f>VLOOKUP(A1494,Products!$A$1:$F$322,2,FALSE)</f>
        <v>Electra Girl's Hawaii 1 (16-inch) - 2015/2016</v>
      </c>
      <c r="C1494" s="21" t="e">
        <f>VLOOKUP(A1494,Products!A$322:$D1494,4,FALSE)</f>
        <v>#N/A</v>
      </c>
    </row>
    <row r="1495" spans="1:3" x14ac:dyDescent="0.35">
      <c r="A1495" s="21">
        <v>2</v>
      </c>
      <c r="B1495" t="str">
        <f>VLOOKUP(A1495,Products!$A$1:$F$322,2,FALSE)</f>
        <v>Ritchey Timberwolf Frameset - 2016</v>
      </c>
      <c r="C1495" s="21" t="e">
        <f>VLOOKUP(A1495,Products!A$322:$D1495,4,FALSE)</f>
        <v>#N/A</v>
      </c>
    </row>
    <row r="1496" spans="1:3" x14ac:dyDescent="0.35">
      <c r="A1496" s="21">
        <v>12</v>
      </c>
      <c r="B1496" t="str">
        <f>VLOOKUP(A1496,Products!$A$1:$F$322,2,FALSE)</f>
        <v>Electra Townie Original 21D - 2016</v>
      </c>
      <c r="C1496" s="21" t="e">
        <f>VLOOKUP(A1496,Products!A$322:$D1496,4,FALSE)</f>
        <v>#N/A</v>
      </c>
    </row>
    <row r="1497" spans="1:3" x14ac:dyDescent="0.35">
      <c r="A1497" s="21">
        <v>14</v>
      </c>
      <c r="B1497" t="str">
        <f>VLOOKUP(A1497,Products!$A$1:$F$322,2,FALSE)</f>
        <v>Electra Girl's Hawaii 1 (16-inch) - 2015/2016</v>
      </c>
      <c r="C1497" s="21" t="e">
        <f>VLOOKUP(A1497,Products!A$322:$D1497,4,FALSE)</f>
        <v>#N/A</v>
      </c>
    </row>
    <row r="1498" spans="1:3" x14ac:dyDescent="0.35">
      <c r="A1498" s="21">
        <v>10</v>
      </c>
      <c r="B1498" t="str">
        <f>VLOOKUP(A1498,Products!$A$1:$F$322,2,FALSE)</f>
        <v>Surly Straggler - 2016</v>
      </c>
      <c r="C1498" s="21" t="e">
        <f>VLOOKUP(A1498,Products!A$322:$D1498,4,FALSE)</f>
        <v>#N/A</v>
      </c>
    </row>
    <row r="1499" spans="1:3" x14ac:dyDescent="0.35">
      <c r="A1499" s="21">
        <v>26</v>
      </c>
      <c r="B1499" t="str">
        <f>VLOOKUP(A1499,Products!$A$1:$F$322,2,FALSE)</f>
        <v>Electra Townie Original 7D EQ - 2016</v>
      </c>
      <c r="C1499" s="21" t="e">
        <f>VLOOKUP(A1499,Products!A$322:$D1499,4,FALSE)</f>
        <v>#N/A</v>
      </c>
    </row>
    <row r="1500" spans="1:3" x14ac:dyDescent="0.35">
      <c r="A1500" s="21">
        <v>17</v>
      </c>
      <c r="B1500" t="str">
        <f>VLOOKUP(A1500,Products!$A$1:$F$322,2,FALSE)</f>
        <v>Pure Cycles Vine 8-Speed - 2016</v>
      </c>
      <c r="C1500" s="21" t="e">
        <f>VLOOKUP(A1500,Products!A$322:$D1500,4,FALSE)</f>
        <v>#N/A</v>
      </c>
    </row>
    <row r="1501" spans="1:3" x14ac:dyDescent="0.35">
      <c r="A1501" s="21">
        <v>25</v>
      </c>
      <c r="B1501" t="str">
        <f>VLOOKUP(A1501,Products!$A$1:$F$322,2,FALSE)</f>
        <v>Electra Townie Original 7D - 2015/2016</v>
      </c>
      <c r="C1501" s="21" t="e">
        <f>VLOOKUP(A1501,Products!A$322:$D1501,4,FALSE)</f>
        <v>#N/A</v>
      </c>
    </row>
    <row r="1502" spans="1:3" x14ac:dyDescent="0.35">
      <c r="A1502" s="21">
        <v>2</v>
      </c>
      <c r="B1502" t="str">
        <f>VLOOKUP(A1502,Products!$A$1:$F$322,2,FALSE)</f>
        <v>Ritchey Timberwolf Frameset - 2016</v>
      </c>
      <c r="C1502" s="21" t="e">
        <f>VLOOKUP(A1502,Products!A$322:$D1502,4,FALSE)</f>
        <v>#N/A</v>
      </c>
    </row>
    <row r="1503" spans="1:3" x14ac:dyDescent="0.35">
      <c r="A1503" s="21">
        <v>9</v>
      </c>
      <c r="B1503" t="str">
        <f>VLOOKUP(A1503,Products!$A$1:$F$322,2,FALSE)</f>
        <v>Trek Conduit+ - 2016</v>
      </c>
      <c r="C1503" s="21" t="e">
        <f>VLOOKUP(A1503,Products!A$322:$D1503,4,FALSE)</f>
        <v>#N/A</v>
      </c>
    </row>
    <row r="1504" spans="1:3" x14ac:dyDescent="0.35">
      <c r="A1504" s="21">
        <v>23</v>
      </c>
      <c r="B1504" t="str">
        <f>VLOOKUP(A1504,Products!$A$1:$F$322,2,FALSE)</f>
        <v>Electra Girl's Hawaii 1 (20-inch) - 2015/2016</v>
      </c>
      <c r="C1504" s="21" t="e">
        <f>VLOOKUP(A1504,Products!A$322:$D1504,4,FALSE)</f>
        <v>#N/A</v>
      </c>
    </row>
    <row r="1505" spans="1:3" x14ac:dyDescent="0.35">
      <c r="A1505" s="21">
        <v>21</v>
      </c>
      <c r="B1505" t="str">
        <f>VLOOKUP(A1505,Products!$A$1:$F$322,2,FALSE)</f>
        <v>Electra Cruiser 1 (24-Inch) - 2016</v>
      </c>
      <c r="C1505" s="21" t="e">
        <f>VLOOKUP(A1505,Products!A$322:$D1505,4,FALSE)</f>
        <v>#N/A</v>
      </c>
    </row>
    <row r="1506" spans="1:3" x14ac:dyDescent="0.35">
      <c r="A1506" s="21">
        <v>19</v>
      </c>
      <c r="B1506" t="str">
        <f>VLOOKUP(A1506,Products!$A$1:$F$322,2,FALSE)</f>
        <v>Pure Cycles William 3-Speed - 2016</v>
      </c>
      <c r="C1506" s="21" t="e">
        <f>VLOOKUP(A1506,Products!A$322:$D1506,4,FALSE)</f>
        <v>#N/A</v>
      </c>
    </row>
    <row r="1507" spans="1:3" x14ac:dyDescent="0.35">
      <c r="A1507" s="21">
        <v>26</v>
      </c>
      <c r="B1507" t="str">
        <f>VLOOKUP(A1507,Products!$A$1:$F$322,2,FALSE)</f>
        <v>Electra Townie Original 7D EQ - 2016</v>
      </c>
      <c r="C1507" s="21" t="e">
        <f>VLOOKUP(A1507,Products!A$322:$D1507,4,FALSE)</f>
        <v>#N/A</v>
      </c>
    </row>
    <row r="1508" spans="1:3" x14ac:dyDescent="0.35">
      <c r="A1508" s="21">
        <v>23</v>
      </c>
      <c r="B1508" t="str">
        <f>VLOOKUP(A1508,Products!$A$1:$F$322,2,FALSE)</f>
        <v>Electra Girl's Hawaii 1 (20-inch) - 2015/2016</v>
      </c>
      <c r="C1508" s="21" t="e">
        <f>VLOOKUP(A1508,Products!A$322:$D1508,4,FALSE)</f>
        <v>#N/A</v>
      </c>
    </row>
    <row r="1509" spans="1:3" x14ac:dyDescent="0.35">
      <c r="A1509" s="21">
        <v>22</v>
      </c>
      <c r="B1509" t="str">
        <f>VLOOKUP(A1509,Products!$A$1:$F$322,2,FALSE)</f>
        <v>Electra Girl's Hawaii 1 (16-inch) - 2015/2016</v>
      </c>
      <c r="C1509" s="21" t="e">
        <f>VLOOKUP(A1509,Products!A$322:$D1509,4,FALSE)</f>
        <v>#N/A</v>
      </c>
    </row>
    <row r="1510" spans="1:3" x14ac:dyDescent="0.35">
      <c r="A1510" s="21">
        <v>16</v>
      </c>
      <c r="B1510" t="str">
        <f>VLOOKUP(A1510,Products!$A$1:$F$322,2,FALSE)</f>
        <v>Electra Townie Original 7D EQ - 2016</v>
      </c>
      <c r="C1510" s="21" t="e">
        <f>VLOOKUP(A1510,Products!A$322:$D1510,4,FALSE)</f>
        <v>#N/A</v>
      </c>
    </row>
    <row r="1511" spans="1:3" x14ac:dyDescent="0.35">
      <c r="A1511" s="21">
        <v>9</v>
      </c>
      <c r="B1511" t="str">
        <f>VLOOKUP(A1511,Products!$A$1:$F$322,2,FALSE)</f>
        <v>Trek Conduit+ - 2016</v>
      </c>
      <c r="C1511" s="21" t="e">
        <f>VLOOKUP(A1511,Products!A$322:$D1511,4,FALSE)</f>
        <v>#N/A</v>
      </c>
    </row>
    <row r="1512" spans="1:3" x14ac:dyDescent="0.35">
      <c r="A1512" s="21">
        <v>20</v>
      </c>
      <c r="B1512" t="str">
        <f>VLOOKUP(A1512,Products!$A$1:$F$322,2,FALSE)</f>
        <v>Electra Townie Original 7D EQ - Women's - 2016</v>
      </c>
      <c r="C1512" s="21" t="e">
        <f>VLOOKUP(A1512,Products!A$322:$D1512,4,FALSE)</f>
        <v>#N/A</v>
      </c>
    </row>
    <row r="1513" spans="1:3" x14ac:dyDescent="0.35">
      <c r="A1513" s="21">
        <v>19</v>
      </c>
      <c r="B1513" t="str">
        <f>VLOOKUP(A1513,Products!$A$1:$F$322,2,FALSE)</f>
        <v>Pure Cycles William 3-Speed - 2016</v>
      </c>
      <c r="C1513" s="21" t="e">
        <f>VLOOKUP(A1513,Products!A$322:$D1513,4,FALSE)</f>
        <v>#N/A</v>
      </c>
    </row>
    <row r="1514" spans="1:3" x14ac:dyDescent="0.35">
      <c r="A1514" s="21">
        <v>25</v>
      </c>
      <c r="B1514" t="str">
        <f>VLOOKUP(A1514,Products!$A$1:$F$322,2,FALSE)</f>
        <v>Electra Townie Original 7D - 2015/2016</v>
      </c>
      <c r="C1514" s="21" t="e">
        <f>VLOOKUP(A1514,Products!A$322:$D1514,4,FALSE)</f>
        <v>#N/A</v>
      </c>
    </row>
    <row r="1515" spans="1:3" x14ac:dyDescent="0.35">
      <c r="A1515" s="21">
        <v>18</v>
      </c>
      <c r="B1515" t="str">
        <f>VLOOKUP(A1515,Products!$A$1:$F$322,2,FALSE)</f>
        <v>Pure Cycles Western 3-Speed - Women's - 2015/2016</v>
      </c>
      <c r="C1515" s="21" t="e">
        <f>VLOOKUP(A1515,Products!A$322:$D1515,4,FALSE)</f>
        <v>#N/A</v>
      </c>
    </row>
    <row r="1516" spans="1:3" x14ac:dyDescent="0.35">
      <c r="A1516" s="21">
        <v>26</v>
      </c>
      <c r="B1516" t="str">
        <f>VLOOKUP(A1516,Products!$A$1:$F$322,2,FALSE)</f>
        <v>Electra Townie Original 7D EQ - 2016</v>
      </c>
      <c r="C1516" s="21" t="e">
        <f>VLOOKUP(A1516,Products!A$322:$D1516,4,FALSE)</f>
        <v>#N/A</v>
      </c>
    </row>
    <row r="1517" spans="1:3" x14ac:dyDescent="0.35">
      <c r="A1517" s="21">
        <v>12</v>
      </c>
      <c r="B1517" t="str">
        <f>VLOOKUP(A1517,Products!$A$1:$F$322,2,FALSE)</f>
        <v>Electra Townie Original 21D - 2016</v>
      </c>
      <c r="C1517" s="21" t="e">
        <f>VLOOKUP(A1517,Products!A$322:$D1517,4,FALSE)</f>
        <v>#N/A</v>
      </c>
    </row>
    <row r="1518" spans="1:3" x14ac:dyDescent="0.35">
      <c r="A1518" s="21">
        <v>17</v>
      </c>
      <c r="B1518" t="str">
        <f>VLOOKUP(A1518,Products!$A$1:$F$322,2,FALSE)</f>
        <v>Pure Cycles Vine 8-Speed - 2016</v>
      </c>
      <c r="C1518" s="21" t="e">
        <f>VLOOKUP(A1518,Products!A$322:$D1518,4,FALSE)</f>
        <v>#N/A</v>
      </c>
    </row>
    <row r="1519" spans="1:3" x14ac:dyDescent="0.35">
      <c r="A1519" s="21">
        <v>21</v>
      </c>
      <c r="B1519" t="str">
        <f>VLOOKUP(A1519,Products!$A$1:$F$322,2,FALSE)</f>
        <v>Electra Cruiser 1 (24-Inch) - 2016</v>
      </c>
      <c r="C1519" s="21" t="e">
        <f>VLOOKUP(A1519,Products!A$322:$D1519,4,FALSE)</f>
        <v>#N/A</v>
      </c>
    </row>
    <row r="1520" spans="1:3" x14ac:dyDescent="0.35">
      <c r="A1520" s="21">
        <v>25</v>
      </c>
      <c r="B1520" t="str">
        <f>VLOOKUP(A1520,Products!$A$1:$F$322,2,FALSE)</f>
        <v>Electra Townie Original 7D - 2015/2016</v>
      </c>
      <c r="C1520" s="21" t="e">
        <f>VLOOKUP(A1520,Products!A$322:$D1520,4,FALSE)</f>
        <v>#N/A</v>
      </c>
    </row>
    <row r="1521" spans="1:3" x14ac:dyDescent="0.35">
      <c r="A1521" s="21">
        <v>6</v>
      </c>
      <c r="B1521" t="str">
        <f>VLOOKUP(A1521,Products!$A$1:$F$322,2,FALSE)</f>
        <v>Surly Ice Cream Truck Frameset - 2016</v>
      </c>
      <c r="C1521" s="21" t="e">
        <f>VLOOKUP(A1521,Products!A$322:$D1521,4,FALSE)</f>
        <v>#N/A</v>
      </c>
    </row>
    <row r="1522" spans="1:3" x14ac:dyDescent="0.35">
      <c r="A1522" s="21">
        <v>24</v>
      </c>
      <c r="B1522" t="str">
        <f>VLOOKUP(A1522,Products!$A$1:$F$322,2,FALSE)</f>
        <v>Electra Townie Original 21D - 2016</v>
      </c>
      <c r="C1522" s="21" t="e">
        <f>VLOOKUP(A1522,Products!A$322:$D1522,4,FALSE)</f>
        <v>#N/A</v>
      </c>
    </row>
    <row r="1523" spans="1:3" x14ac:dyDescent="0.35">
      <c r="A1523" s="21">
        <v>20</v>
      </c>
      <c r="B1523" t="str">
        <f>VLOOKUP(A1523,Products!$A$1:$F$322,2,FALSE)</f>
        <v>Electra Townie Original 7D EQ - Women's - 2016</v>
      </c>
      <c r="C1523" s="21" t="e">
        <f>VLOOKUP(A1523,Products!A$322:$D1523,4,FALSE)</f>
        <v>#N/A</v>
      </c>
    </row>
    <row r="1524" spans="1:3" x14ac:dyDescent="0.35">
      <c r="A1524" s="21">
        <v>17</v>
      </c>
      <c r="B1524" t="str">
        <f>VLOOKUP(A1524,Products!$A$1:$F$322,2,FALSE)</f>
        <v>Pure Cycles Vine 8-Speed - 2016</v>
      </c>
      <c r="C1524" s="21" t="e">
        <f>VLOOKUP(A1524,Products!A$322:$D1524,4,FALSE)</f>
        <v>#N/A</v>
      </c>
    </row>
    <row r="1525" spans="1:3" x14ac:dyDescent="0.35">
      <c r="A1525" s="21">
        <v>8</v>
      </c>
      <c r="B1525" t="str">
        <f>VLOOKUP(A1525,Products!$A$1:$F$322,2,FALSE)</f>
        <v>Trek Remedy 29 Carbon Frameset - 2016</v>
      </c>
      <c r="C1525" s="21" t="e">
        <f>VLOOKUP(A1525,Products!A$322:$D1525,4,FALSE)</f>
        <v>#N/A</v>
      </c>
    </row>
    <row r="1526" spans="1:3" x14ac:dyDescent="0.35">
      <c r="A1526" s="21">
        <v>18</v>
      </c>
      <c r="B1526" t="str">
        <f>VLOOKUP(A1526,Products!$A$1:$F$322,2,FALSE)</f>
        <v>Pure Cycles Western 3-Speed - Women's - 2015/2016</v>
      </c>
      <c r="C1526" s="21" t="e">
        <f>VLOOKUP(A1526,Products!A$322:$D1526,4,FALSE)</f>
        <v>#N/A</v>
      </c>
    </row>
    <row r="1527" spans="1:3" x14ac:dyDescent="0.35">
      <c r="A1527" s="21">
        <v>11</v>
      </c>
      <c r="B1527" t="str">
        <f>VLOOKUP(A1527,Products!$A$1:$F$322,2,FALSE)</f>
        <v>Surly Straggler 650b - 2016</v>
      </c>
      <c r="C1527" s="21" t="e">
        <f>VLOOKUP(A1527,Products!A$322:$D1527,4,FALSE)</f>
        <v>#N/A</v>
      </c>
    </row>
    <row r="1528" spans="1:3" x14ac:dyDescent="0.35">
      <c r="A1528" s="21">
        <v>9</v>
      </c>
      <c r="B1528" t="str">
        <f>VLOOKUP(A1528,Products!$A$1:$F$322,2,FALSE)</f>
        <v>Trek Conduit+ - 2016</v>
      </c>
      <c r="C1528" s="21" t="e">
        <f>VLOOKUP(A1528,Products!A$322:$D1528,4,FALSE)</f>
        <v>#N/A</v>
      </c>
    </row>
    <row r="1529" spans="1:3" x14ac:dyDescent="0.35">
      <c r="A1529" s="21">
        <v>5</v>
      </c>
      <c r="B1529" t="str">
        <f>VLOOKUP(A1529,Products!$A$1:$F$322,2,FALSE)</f>
        <v>Heller Shagamaw Frame - 2016</v>
      </c>
      <c r="C1529" s="21" t="e">
        <f>VLOOKUP(A1529,Products!A$322:$D1529,4,FALSE)</f>
        <v>#N/A</v>
      </c>
    </row>
    <row r="1530" spans="1:3" x14ac:dyDescent="0.35">
      <c r="A1530" s="21">
        <v>8</v>
      </c>
      <c r="B1530" t="str">
        <f>VLOOKUP(A1530,Products!$A$1:$F$322,2,FALSE)</f>
        <v>Trek Remedy 29 Carbon Frameset - 2016</v>
      </c>
      <c r="C1530" s="21" t="e">
        <f>VLOOKUP(A1530,Products!A$322:$D1530,4,FALSE)</f>
        <v>#N/A</v>
      </c>
    </row>
    <row r="1531" spans="1:3" x14ac:dyDescent="0.35">
      <c r="A1531" s="21">
        <v>11</v>
      </c>
      <c r="B1531" t="str">
        <f>VLOOKUP(A1531,Products!$A$1:$F$322,2,FALSE)</f>
        <v>Surly Straggler 650b - 2016</v>
      </c>
      <c r="C1531" s="21" t="e">
        <f>VLOOKUP(A1531,Products!A$322:$D1531,4,FALSE)</f>
        <v>#N/A</v>
      </c>
    </row>
    <row r="1532" spans="1:3" x14ac:dyDescent="0.35">
      <c r="A1532" s="21">
        <v>15</v>
      </c>
      <c r="B1532" t="str">
        <f>VLOOKUP(A1532,Products!$A$1:$F$322,2,FALSE)</f>
        <v>Electra Moto 1 - 2016</v>
      </c>
      <c r="C1532" s="21" t="e">
        <f>VLOOKUP(A1532,Products!A$322:$D1532,4,FALSE)</f>
        <v>#N/A</v>
      </c>
    </row>
    <row r="1533" spans="1:3" x14ac:dyDescent="0.35">
      <c r="A1533" s="21">
        <v>16</v>
      </c>
      <c r="B1533" t="str">
        <f>VLOOKUP(A1533,Products!$A$1:$F$322,2,FALSE)</f>
        <v>Electra Townie Original 7D EQ - 2016</v>
      </c>
      <c r="C1533" s="21" t="e">
        <f>VLOOKUP(A1533,Products!A$322:$D1533,4,FALSE)</f>
        <v>#N/A</v>
      </c>
    </row>
    <row r="1534" spans="1:3" x14ac:dyDescent="0.35">
      <c r="A1534" s="21">
        <v>3</v>
      </c>
      <c r="B1534" t="str">
        <f>VLOOKUP(A1534,Products!$A$1:$F$322,2,FALSE)</f>
        <v>Surly Wednesday Frameset - 2016</v>
      </c>
      <c r="C1534" s="21" t="e">
        <f>VLOOKUP(A1534,Products!A$322:$D1534,4,FALSE)</f>
        <v>#N/A</v>
      </c>
    </row>
    <row r="1535" spans="1:3" x14ac:dyDescent="0.35">
      <c r="A1535" s="21">
        <v>7</v>
      </c>
      <c r="B1535" t="str">
        <f>VLOOKUP(A1535,Products!$A$1:$F$322,2,FALSE)</f>
        <v>Trek Slash 8 27.5 - 2016</v>
      </c>
      <c r="C1535" s="21" t="e">
        <f>VLOOKUP(A1535,Products!A$322:$D1535,4,FALSE)</f>
        <v>#N/A</v>
      </c>
    </row>
    <row r="1536" spans="1:3" x14ac:dyDescent="0.35">
      <c r="A1536" s="21">
        <v>13</v>
      </c>
      <c r="B1536" t="str">
        <f>VLOOKUP(A1536,Products!$A$1:$F$322,2,FALSE)</f>
        <v>Electra Cruiser 1 (24-Inch) - 2016</v>
      </c>
      <c r="C1536" s="21" t="e">
        <f>VLOOKUP(A1536,Products!A$322:$D1536,4,FALSE)</f>
        <v>#N/A</v>
      </c>
    </row>
    <row r="1537" spans="1:3" x14ac:dyDescent="0.35">
      <c r="A1537" s="21">
        <v>4</v>
      </c>
      <c r="B1537" t="str">
        <f>VLOOKUP(A1537,Products!$A$1:$F$322,2,FALSE)</f>
        <v>Trek Fuel EX 8 29 - 2016</v>
      </c>
      <c r="C1537" s="21" t="e">
        <f>VLOOKUP(A1537,Products!A$322:$D1537,4,FALSE)</f>
        <v>#N/A</v>
      </c>
    </row>
    <row r="1538" spans="1:3" x14ac:dyDescent="0.35">
      <c r="A1538" s="21">
        <v>16</v>
      </c>
      <c r="B1538" t="str">
        <f>VLOOKUP(A1538,Products!$A$1:$F$322,2,FALSE)</f>
        <v>Electra Townie Original 7D EQ - 2016</v>
      </c>
      <c r="C1538" s="21" t="e">
        <f>VLOOKUP(A1538,Products!A$322:$D1538,4,FALSE)</f>
        <v>#N/A</v>
      </c>
    </row>
    <row r="1539" spans="1:3" x14ac:dyDescent="0.35">
      <c r="A1539" s="21">
        <v>26</v>
      </c>
      <c r="B1539" t="str">
        <f>VLOOKUP(A1539,Products!$A$1:$F$322,2,FALSE)</f>
        <v>Electra Townie Original 7D EQ - 2016</v>
      </c>
      <c r="C1539" s="21" t="e">
        <f>VLOOKUP(A1539,Products!A$322:$D1539,4,FALSE)</f>
        <v>#N/A</v>
      </c>
    </row>
    <row r="1540" spans="1:3" x14ac:dyDescent="0.35">
      <c r="A1540" s="21">
        <v>11</v>
      </c>
      <c r="B1540" t="str">
        <f>VLOOKUP(A1540,Products!$A$1:$F$322,2,FALSE)</f>
        <v>Surly Straggler 650b - 2016</v>
      </c>
      <c r="C1540" s="21" t="e">
        <f>VLOOKUP(A1540,Products!A$322:$D1540,4,FALSE)</f>
        <v>#N/A</v>
      </c>
    </row>
    <row r="1541" spans="1:3" x14ac:dyDescent="0.35">
      <c r="A1541" s="21">
        <v>15</v>
      </c>
      <c r="B1541" t="str">
        <f>VLOOKUP(A1541,Products!$A$1:$F$322,2,FALSE)</f>
        <v>Electra Moto 1 - 2016</v>
      </c>
      <c r="C1541" s="21" t="e">
        <f>VLOOKUP(A1541,Products!A$322:$D1541,4,FALSE)</f>
        <v>#N/A</v>
      </c>
    </row>
    <row r="1542" spans="1:3" x14ac:dyDescent="0.35">
      <c r="A1542" s="21">
        <v>23</v>
      </c>
      <c r="B1542" t="str">
        <f>VLOOKUP(A1542,Products!$A$1:$F$322,2,FALSE)</f>
        <v>Electra Girl's Hawaii 1 (20-inch) - 2015/2016</v>
      </c>
      <c r="C1542" s="21" t="e">
        <f>VLOOKUP(A1542,Products!A$322:$D1542,4,FALSE)</f>
        <v>#N/A</v>
      </c>
    </row>
    <row r="1543" spans="1:3" x14ac:dyDescent="0.35">
      <c r="A1543" s="21">
        <v>2</v>
      </c>
      <c r="B1543" t="str">
        <f>VLOOKUP(A1543,Products!$A$1:$F$322,2,FALSE)</f>
        <v>Ritchey Timberwolf Frameset - 2016</v>
      </c>
      <c r="C1543" s="21" t="e">
        <f>VLOOKUP(A1543,Products!A$322:$D1543,4,FALSE)</f>
        <v>#N/A</v>
      </c>
    </row>
    <row r="1544" spans="1:3" x14ac:dyDescent="0.35">
      <c r="A1544" s="21">
        <v>24</v>
      </c>
      <c r="B1544" t="str">
        <f>VLOOKUP(A1544,Products!$A$1:$F$322,2,FALSE)</f>
        <v>Electra Townie Original 21D - 2016</v>
      </c>
      <c r="C1544" s="21" t="e">
        <f>VLOOKUP(A1544,Products!A$322:$D1544,4,FALSE)</f>
        <v>#N/A</v>
      </c>
    </row>
    <row r="1545" spans="1:3" x14ac:dyDescent="0.35">
      <c r="A1545" s="21">
        <v>18</v>
      </c>
      <c r="B1545" t="str">
        <f>VLOOKUP(A1545,Products!$A$1:$F$322,2,FALSE)</f>
        <v>Pure Cycles Western 3-Speed - Women's - 2015/2016</v>
      </c>
      <c r="C1545" s="21" t="e">
        <f>VLOOKUP(A1545,Products!A$322:$D1545,4,FALSE)</f>
        <v>#N/A</v>
      </c>
    </row>
    <row r="1546" spans="1:3" x14ac:dyDescent="0.35">
      <c r="A1546" s="21">
        <v>19</v>
      </c>
      <c r="B1546" t="str">
        <f>VLOOKUP(A1546,Products!$A$1:$F$322,2,FALSE)</f>
        <v>Pure Cycles William 3-Speed - 2016</v>
      </c>
      <c r="C1546" s="21" t="e">
        <f>VLOOKUP(A1546,Products!A$322:$D1546,4,FALSE)</f>
        <v>#N/A</v>
      </c>
    </row>
    <row r="1547" spans="1:3" x14ac:dyDescent="0.35">
      <c r="A1547" s="21">
        <v>24</v>
      </c>
      <c r="B1547" t="str">
        <f>VLOOKUP(A1547,Products!$A$1:$F$322,2,FALSE)</f>
        <v>Electra Townie Original 21D - 2016</v>
      </c>
      <c r="C1547" s="21" t="e">
        <f>VLOOKUP(A1547,Products!A$322:$D1547,4,FALSE)</f>
        <v>#N/A</v>
      </c>
    </row>
    <row r="1548" spans="1:3" x14ac:dyDescent="0.35">
      <c r="A1548" s="21">
        <v>18</v>
      </c>
      <c r="B1548" t="str">
        <f>VLOOKUP(A1548,Products!$A$1:$F$322,2,FALSE)</f>
        <v>Pure Cycles Western 3-Speed - Women's - 2015/2016</v>
      </c>
      <c r="C1548" s="21" t="e">
        <f>VLOOKUP(A1548,Products!A$322:$D1548,4,FALSE)</f>
        <v>#N/A</v>
      </c>
    </row>
    <row r="1549" spans="1:3" x14ac:dyDescent="0.35">
      <c r="A1549" s="21">
        <v>12</v>
      </c>
      <c r="B1549" t="str">
        <f>VLOOKUP(A1549,Products!$A$1:$F$322,2,FALSE)</f>
        <v>Electra Townie Original 21D - 2016</v>
      </c>
      <c r="C1549" s="21" t="e">
        <f>VLOOKUP(A1549,Products!A$322:$D1549,4,FALSE)</f>
        <v>#N/A</v>
      </c>
    </row>
    <row r="1550" spans="1:3" x14ac:dyDescent="0.35">
      <c r="A1550" s="21">
        <v>3</v>
      </c>
      <c r="B1550" t="str">
        <f>VLOOKUP(A1550,Products!$A$1:$F$322,2,FALSE)</f>
        <v>Surly Wednesday Frameset - 2016</v>
      </c>
      <c r="C1550" s="21" t="e">
        <f>VLOOKUP(A1550,Products!A$322:$D1550,4,FALSE)</f>
        <v>#N/A</v>
      </c>
    </row>
    <row r="1551" spans="1:3" x14ac:dyDescent="0.35">
      <c r="A1551" s="21">
        <v>22</v>
      </c>
      <c r="B1551" t="str">
        <f>VLOOKUP(A1551,Products!$A$1:$F$322,2,FALSE)</f>
        <v>Electra Girl's Hawaii 1 (16-inch) - 2015/2016</v>
      </c>
      <c r="C1551" s="21" t="e">
        <f>VLOOKUP(A1551,Products!A$322:$D1551,4,FALSE)</f>
        <v>#N/A</v>
      </c>
    </row>
    <row r="1552" spans="1:3" x14ac:dyDescent="0.35">
      <c r="A1552" s="21">
        <v>4</v>
      </c>
      <c r="B1552" t="str">
        <f>VLOOKUP(A1552,Products!$A$1:$F$322,2,FALSE)</f>
        <v>Trek Fuel EX 8 29 - 2016</v>
      </c>
      <c r="C1552" s="21" t="e">
        <f>VLOOKUP(A1552,Products!A$322:$D1552,4,FALSE)</f>
        <v>#N/A</v>
      </c>
    </row>
    <row r="1553" spans="1:3" x14ac:dyDescent="0.35">
      <c r="A1553" s="21">
        <v>8</v>
      </c>
      <c r="B1553" t="str">
        <f>VLOOKUP(A1553,Products!$A$1:$F$322,2,FALSE)</f>
        <v>Trek Remedy 29 Carbon Frameset - 2016</v>
      </c>
      <c r="C1553" s="21" t="e">
        <f>VLOOKUP(A1553,Products!A$322:$D1553,4,FALSE)</f>
        <v>#N/A</v>
      </c>
    </row>
    <row r="1554" spans="1:3" x14ac:dyDescent="0.35">
      <c r="A1554" s="21">
        <v>7</v>
      </c>
      <c r="B1554" t="str">
        <f>VLOOKUP(A1554,Products!$A$1:$F$322,2,FALSE)</f>
        <v>Trek Slash 8 27.5 - 2016</v>
      </c>
      <c r="C1554" s="21" t="e">
        <f>VLOOKUP(A1554,Products!A$322:$D1554,4,FALSE)</f>
        <v>#N/A</v>
      </c>
    </row>
    <row r="1555" spans="1:3" x14ac:dyDescent="0.35">
      <c r="A1555" s="21">
        <v>20</v>
      </c>
      <c r="B1555" t="str">
        <f>VLOOKUP(A1555,Products!$A$1:$F$322,2,FALSE)</f>
        <v>Electra Townie Original 7D EQ - Women's - 2016</v>
      </c>
      <c r="C1555" s="21" t="e">
        <f>VLOOKUP(A1555,Products!A$322:$D1555,4,FALSE)</f>
        <v>#N/A</v>
      </c>
    </row>
    <row r="1556" spans="1:3" x14ac:dyDescent="0.35">
      <c r="A1556" s="21">
        <v>16</v>
      </c>
      <c r="B1556" t="str">
        <f>VLOOKUP(A1556,Products!$A$1:$F$322,2,FALSE)</f>
        <v>Electra Townie Original 7D EQ - 2016</v>
      </c>
      <c r="C1556" s="21" t="e">
        <f>VLOOKUP(A1556,Products!A$322:$D1556,4,FALSE)</f>
        <v>#N/A</v>
      </c>
    </row>
    <row r="1557" spans="1:3" x14ac:dyDescent="0.35">
      <c r="A1557" s="21">
        <v>4</v>
      </c>
      <c r="B1557" t="str">
        <f>VLOOKUP(A1557,Products!$A$1:$F$322,2,FALSE)</f>
        <v>Trek Fuel EX 8 29 - 2016</v>
      </c>
      <c r="C1557" s="21" t="e">
        <f>VLOOKUP(A1557,Products!A$322:$D1557,4,FALSE)</f>
        <v>#N/A</v>
      </c>
    </row>
    <row r="1558" spans="1:3" x14ac:dyDescent="0.35">
      <c r="A1558" s="21">
        <v>9</v>
      </c>
      <c r="B1558" t="str">
        <f>VLOOKUP(A1558,Products!$A$1:$F$322,2,FALSE)</f>
        <v>Trek Conduit+ - 2016</v>
      </c>
      <c r="C1558" s="21" t="e">
        <f>VLOOKUP(A1558,Products!A$322:$D1558,4,FALSE)</f>
        <v>#N/A</v>
      </c>
    </row>
    <row r="1559" spans="1:3" x14ac:dyDescent="0.35">
      <c r="A1559" s="21">
        <v>10</v>
      </c>
      <c r="B1559" t="str">
        <f>VLOOKUP(A1559,Products!$A$1:$F$322,2,FALSE)</f>
        <v>Surly Straggler - 2016</v>
      </c>
      <c r="C1559" s="21" t="e">
        <f>VLOOKUP(A1559,Products!A$322:$D1559,4,FALSE)</f>
        <v>#N/A</v>
      </c>
    </row>
    <row r="1560" spans="1:3" x14ac:dyDescent="0.35">
      <c r="A1560" s="21">
        <v>7</v>
      </c>
      <c r="B1560" t="str">
        <f>VLOOKUP(A1560,Products!$A$1:$F$322,2,FALSE)</f>
        <v>Trek Slash 8 27.5 - 2016</v>
      </c>
      <c r="C1560" s="21" t="e">
        <f>VLOOKUP(A1560,Products!A$322:$D1560,4,FALSE)</f>
        <v>#N/A</v>
      </c>
    </row>
    <row r="1561" spans="1:3" x14ac:dyDescent="0.35">
      <c r="A1561" s="21">
        <v>16</v>
      </c>
      <c r="B1561" t="str">
        <f>VLOOKUP(A1561,Products!$A$1:$F$322,2,FALSE)</f>
        <v>Electra Townie Original 7D EQ - 2016</v>
      </c>
      <c r="C1561" s="21" t="e">
        <f>VLOOKUP(A1561,Products!A$322:$D1561,4,FALSE)</f>
        <v>#N/A</v>
      </c>
    </row>
    <row r="1562" spans="1:3" x14ac:dyDescent="0.35">
      <c r="A1562" s="21">
        <v>9</v>
      </c>
      <c r="B1562" t="str">
        <f>VLOOKUP(A1562,Products!$A$1:$F$322,2,FALSE)</f>
        <v>Trek Conduit+ - 2016</v>
      </c>
      <c r="C1562" s="21" t="e">
        <f>VLOOKUP(A1562,Products!A$322:$D1562,4,FALSE)</f>
        <v>#N/A</v>
      </c>
    </row>
    <row r="1563" spans="1:3" x14ac:dyDescent="0.35">
      <c r="A1563" s="21">
        <v>21</v>
      </c>
      <c r="B1563" t="str">
        <f>VLOOKUP(A1563,Products!$A$1:$F$322,2,FALSE)</f>
        <v>Electra Cruiser 1 (24-Inch) - 2016</v>
      </c>
      <c r="C1563" s="21" t="e">
        <f>VLOOKUP(A1563,Products!A$322:$D1563,4,FALSE)</f>
        <v>#N/A</v>
      </c>
    </row>
    <row r="1564" spans="1:3" x14ac:dyDescent="0.35">
      <c r="A1564" s="21">
        <v>10</v>
      </c>
      <c r="B1564" t="str">
        <f>VLOOKUP(A1564,Products!$A$1:$F$322,2,FALSE)</f>
        <v>Surly Straggler - 2016</v>
      </c>
      <c r="C1564" s="21" t="e">
        <f>VLOOKUP(A1564,Products!A$322:$D1564,4,FALSE)</f>
        <v>#N/A</v>
      </c>
    </row>
    <row r="1565" spans="1:3" x14ac:dyDescent="0.35">
      <c r="A1565" s="21">
        <v>15</v>
      </c>
      <c r="B1565" t="str">
        <f>VLOOKUP(A1565,Products!$A$1:$F$322,2,FALSE)</f>
        <v>Electra Moto 1 - 2016</v>
      </c>
      <c r="C1565" s="21" t="e">
        <f>VLOOKUP(A1565,Products!A$322:$D1565,4,FALSE)</f>
        <v>#N/A</v>
      </c>
    </row>
    <row r="1566" spans="1:3" x14ac:dyDescent="0.35">
      <c r="A1566" s="21">
        <v>6</v>
      </c>
      <c r="B1566" t="str">
        <f>VLOOKUP(A1566,Products!$A$1:$F$322,2,FALSE)</f>
        <v>Surly Ice Cream Truck Frameset - 2016</v>
      </c>
      <c r="C1566" s="21" t="e">
        <f>VLOOKUP(A1566,Products!A$322:$D1566,4,FALSE)</f>
        <v>#N/A</v>
      </c>
    </row>
    <row r="1567" spans="1:3" x14ac:dyDescent="0.35">
      <c r="A1567" s="21">
        <v>7</v>
      </c>
      <c r="B1567" t="str">
        <f>VLOOKUP(A1567,Products!$A$1:$F$322,2,FALSE)</f>
        <v>Trek Slash 8 27.5 - 2016</v>
      </c>
      <c r="C1567" s="21" t="e">
        <f>VLOOKUP(A1567,Products!A$322:$D1567,4,FALSE)</f>
        <v>#N/A</v>
      </c>
    </row>
    <row r="1568" spans="1:3" x14ac:dyDescent="0.35">
      <c r="A1568" s="21">
        <v>16</v>
      </c>
      <c r="B1568" t="str">
        <f>VLOOKUP(A1568,Products!$A$1:$F$322,2,FALSE)</f>
        <v>Electra Townie Original 7D EQ - 2016</v>
      </c>
      <c r="C1568" s="21" t="e">
        <f>VLOOKUP(A1568,Products!A$322:$D1568,4,FALSE)</f>
        <v>#N/A</v>
      </c>
    </row>
    <row r="1569" spans="1:3" x14ac:dyDescent="0.35">
      <c r="A1569" s="21">
        <v>26</v>
      </c>
      <c r="B1569" t="str">
        <f>VLOOKUP(A1569,Products!$A$1:$F$322,2,FALSE)</f>
        <v>Electra Townie Original 7D EQ - 2016</v>
      </c>
      <c r="C1569" s="21" t="e">
        <f>VLOOKUP(A1569,Products!A$322:$D1569,4,FALSE)</f>
        <v>#N/A</v>
      </c>
    </row>
    <row r="1570" spans="1:3" x14ac:dyDescent="0.35">
      <c r="A1570" s="21">
        <v>15</v>
      </c>
      <c r="B1570" t="str">
        <f>VLOOKUP(A1570,Products!$A$1:$F$322,2,FALSE)</f>
        <v>Electra Moto 1 - 2016</v>
      </c>
      <c r="C1570" s="21" t="e">
        <f>VLOOKUP(A1570,Products!A$322:$D1570,4,FALSE)</f>
        <v>#N/A</v>
      </c>
    </row>
    <row r="1571" spans="1:3" x14ac:dyDescent="0.35">
      <c r="A1571" s="21">
        <v>18</v>
      </c>
      <c r="B1571" t="str">
        <f>VLOOKUP(A1571,Products!$A$1:$F$322,2,FALSE)</f>
        <v>Pure Cycles Western 3-Speed - Women's - 2015/2016</v>
      </c>
      <c r="C1571" s="21" t="e">
        <f>VLOOKUP(A1571,Products!A$322:$D1571,4,FALSE)</f>
        <v>#N/A</v>
      </c>
    </row>
    <row r="1572" spans="1:3" x14ac:dyDescent="0.35">
      <c r="A1572" s="21">
        <v>5</v>
      </c>
      <c r="B1572" t="str">
        <f>VLOOKUP(A1572,Products!$A$1:$F$322,2,FALSE)</f>
        <v>Heller Shagamaw Frame - 2016</v>
      </c>
      <c r="C1572" s="21" t="e">
        <f>VLOOKUP(A1572,Products!A$322:$D1572,4,FALSE)</f>
        <v>#N/A</v>
      </c>
    </row>
    <row r="1573" spans="1:3" x14ac:dyDescent="0.35">
      <c r="A1573" s="21">
        <v>17</v>
      </c>
      <c r="B1573" t="str">
        <f>VLOOKUP(A1573,Products!$A$1:$F$322,2,FALSE)</f>
        <v>Pure Cycles Vine 8-Speed - 2016</v>
      </c>
      <c r="C1573" s="21" t="e">
        <f>VLOOKUP(A1573,Products!A$322:$D1573,4,FALSE)</f>
        <v>#N/A</v>
      </c>
    </row>
    <row r="1574" spans="1:3" x14ac:dyDescent="0.35">
      <c r="A1574" s="21">
        <v>25</v>
      </c>
      <c r="B1574" t="str">
        <f>VLOOKUP(A1574,Products!$A$1:$F$322,2,FALSE)</f>
        <v>Electra Townie Original 7D - 2015/2016</v>
      </c>
      <c r="C1574" s="21" t="e">
        <f>VLOOKUP(A1574,Products!A$322:$D1574,4,FALSE)</f>
        <v>#N/A</v>
      </c>
    </row>
    <row r="1575" spans="1:3" x14ac:dyDescent="0.35">
      <c r="A1575" s="21">
        <v>26</v>
      </c>
      <c r="B1575" t="str">
        <f>VLOOKUP(A1575,Products!$A$1:$F$322,2,FALSE)</f>
        <v>Electra Townie Original 7D EQ - 2016</v>
      </c>
      <c r="C1575" s="21" t="e">
        <f>VLOOKUP(A1575,Products!A$322:$D1575,4,FALSE)</f>
        <v>#N/A</v>
      </c>
    </row>
    <row r="1576" spans="1:3" x14ac:dyDescent="0.35">
      <c r="A1576" s="21">
        <v>6</v>
      </c>
      <c r="B1576" t="str">
        <f>VLOOKUP(A1576,Products!$A$1:$F$322,2,FALSE)</f>
        <v>Surly Ice Cream Truck Frameset - 2016</v>
      </c>
      <c r="C1576" s="21" t="e">
        <f>VLOOKUP(A1576,Products!A$322:$D1576,4,FALSE)</f>
        <v>#N/A</v>
      </c>
    </row>
    <row r="1577" spans="1:3" x14ac:dyDescent="0.35">
      <c r="A1577" s="21">
        <v>19</v>
      </c>
      <c r="B1577" t="str">
        <f>VLOOKUP(A1577,Products!$A$1:$F$322,2,FALSE)</f>
        <v>Pure Cycles William 3-Speed - 2016</v>
      </c>
      <c r="C1577" s="21" t="e">
        <f>VLOOKUP(A1577,Products!A$322:$D1577,4,FALSE)</f>
        <v>#N/A</v>
      </c>
    </row>
    <row r="1578" spans="1:3" x14ac:dyDescent="0.35">
      <c r="A1578" s="21">
        <v>13</v>
      </c>
      <c r="B1578" t="str">
        <f>VLOOKUP(A1578,Products!$A$1:$F$322,2,FALSE)</f>
        <v>Electra Cruiser 1 (24-Inch) - 2016</v>
      </c>
      <c r="C1578" s="21" t="e">
        <f>VLOOKUP(A1578,Products!A$322:$D1578,4,FALSE)</f>
        <v>#N/A</v>
      </c>
    </row>
    <row r="1579" spans="1:3" x14ac:dyDescent="0.35">
      <c r="A1579" s="21">
        <v>4</v>
      </c>
      <c r="B1579" t="str">
        <f>VLOOKUP(A1579,Products!$A$1:$F$322,2,FALSE)</f>
        <v>Trek Fuel EX 8 29 - 2016</v>
      </c>
      <c r="C1579" s="21" t="e">
        <f>VLOOKUP(A1579,Products!A$322:$D1579,4,FALSE)</f>
        <v>#N/A</v>
      </c>
    </row>
    <row r="1580" spans="1:3" x14ac:dyDescent="0.35">
      <c r="A1580" s="21">
        <v>15</v>
      </c>
      <c r="B1580" t="str">
        <f>VLOOKUP(A1580,Products!$A$1:$F$322,2,FALSE)</f>
        <v>Electra Moto 1 - 2016</v>
      </c>
      <c r="C1580" s="21" t="e">
        <f>VLOOKUP(A1580,Products!A$322:$D1580,4,FALSE)</f>
        <v>#N/A</v>
      </c>
    </row>
    <row r="1581" spans="1:3" x14ac:dyDescent="0.35">
      <c r="A1581" s="21">
        <v>18</v>
      </c>
      <c r="B1581" t="str">
        <f>VLOOKUP(A1581,Products!$A$1:$F$322,2,FALSE)</f>
        <v>Pure Cycles Western 3-Speed - Women's - 2015/2016</v>
      </c>
      <c r="C1581" s="21" t="e">
        <f>VLOOKUP(A1581,Products!A$322:$D1581,4,FALSE)</f>
        <v>#N/A</v>
      </c>
    </row>
    <row r="1582" spans="1:3" x14ac:dyDescent="0.35">
      <c r="A1582" s="21">
        <v>25</v>
      </c>
      <c r="B1582" t="str">
        <f>VLOOKUP(A1582,Products!$A$1:$F$322,2,FALSE)</f>
        <v>Electra Townie Original 7D - 2015/2016</v>
      </c>
      <c r="C1582" s="21" t="e">
        <f>VLOOKUP(A1582,Products!A$322:$D1582,4,FALSE)</f>
        <v>#N/A</v>
      </c>
    </row>
    <row r="1583" spans="1:3" x14ac:dyDescent="0.35">
      <c r="A1583" s="21">
        <v>9</v>
      </c>
      <c r="B1583" t="str">
        <f>VLOOKUP(A1583,Products!$A$1:$F$322,2,FALSE)</f>
        <v>Trek Conduit+ - 2016</v>
      </c>
      <c r="C1583" s="21" t="e">
        <f>VLOOKUP(A1583,Products!A$322:$D1583,4,FALSE)</f>
        <v>#N/A</v>
      </c>
    </row>
    <row r="1584" spans="1:3" x14ac:dyDescent="0.35">
      <c r="A1584" s="21">
        <v>17</v>
      </c>
      <c r="B1584" t="str">
        <f>VLOOKUP(A1584,Products!$A$1:$F$322,2,FALSE)</f>
        <v>Pure Cycles Vine 8-Speed - 2016</v>
      </c>
      <c r="C1584" s="21" t="e">
        <f>VLOOKUP(A1584,Products!A$322:$D1584,4,FALSE)</f>
        <v>#N/A</v>
      </c>
    </row>
    <row r="1585" spans="1:3" x14ac:dyDescent="0.35">
      <c r="A1585" s="21">
        <v>24</v>
      </c>
      <c r="B1585" t="str">
        <f>VLOOKUP(A1585,Products!$A$1:$F$322,2,FALSE)</f>
        <v>Electra Townie Original 21D - 2016</v>
      </c>
      <c r="C1585" s="21" t="e">
        <f>VLOOKUP(A1585,Products!A$322:$D1585,4,FALSE)</f>
        <v>#N/A</v>
      </c>
    </row>
    <row r="1586" spans="1:3" x14ac:dyDescent="0.35">
      <c r="A1586" s="21">
        <v>7</v>
      </c>
      <c r="B1586" t="str">
        <f>VLOOKUP(A1586,Products!$A$1:$F$322,2,FALSE)</f>
        <v>Trek Slash 8 27.5 - 2016</v>
      </c>
      <c r="C1586" s="21" t="e">
        <f>VLOOKUP(A1586,Products!A$322:$D1586,4,FALSE)</f>
        <v>#N/A</v>
      </c>
    </row>
    <row r="1587" spans="1:3" x14ac:dyDescent="0.35">
      <c r="A1587" s="21">
        <v>8</v>
      </c>
      <c r="B1587" t="str">
        <f>VLOOKUP(A1587,Products!$A$1:$F$322,2,FALSE)</f>
        <v>Trek Remedy 29 Carbon Frameset - 2016</v>
      </c>
      <c r="C1587" s="21" t="e">
        <f>VLOOKUP(A1587,Products!A$322:$D1587,4,FALSE)</f>
        <v>#N/A</v>
      </c>
    </row>
    <row r="1588" spans="1:3" x14ac:dyDescent="0.35">
      <c r="A1588" s="21">
        <v>21</v>
      </c>
      <c r="B1588" t="str">
        <f>VLOOKUP(A1588,Products!$A$1:$F$322,2,FALSE)</f>
        <v>Electra Cruiser 1 (24-Inch) - 2016</v>
      </c>
      <c r="C1588" s="21" t="e">
        <f>VLOOKUP(A1588,Products!A$322:$D1588,4,FALSE)</f>
        <v>#N/A</v>
      </c>
    </row>
    <row r="1589" spans="1:3" x14ac:dyDescent="0.35">
      <c r="A1589" s="21">
        <v>9</v>
      </c>
      <c r="B1589" t="str">
        <f>VLOOKUP(A1589,Products!$A$1:$F$322,2,FALSE)</f>
        <v>Trek Conduit+ - 2016</v>
      </c>
      <c r="C1589" s="21" t="e">
        <f>VLOOKUP(A1589,Products!A$322:$D1589,4,FALSE)</f>
        <v>#N/A</v>
      </c>
    </row>
    <row r="1590" spans="1:3" x14ac:dyDescent="0.35">
      <c r="A1590" s="21">
        <v>5</v>
      </c>
      <c r="B1590" t="str">
        <f>VLOOKUP(A1590,Products!$A$1:$F$322,2,FALSE)</f>
        <v>Heller Shagamaw Frame - 2016</v>
      </c>
      <c r="C1590" s="21" t="e">
        <f>VLOOKUP(A1590,Products!A$322:$D1590,4,FALSE)</f>
        <v>#N/A</v>
      </c>
    </row>
    <row r="1591" spans="1:3" x14ac:dyDescent="0.35">
      <c r="A1591" s="21">
        <v>5</v>
      </c>
      <c r="B1591" t="str">
        <f>VLOOKUP(A1591,Products!$A$1:$F$322,2,FALSE)</f>
        <v>Heller Shagamaw Frame - 2016</v>
      </c>
      <c r="C1591" s="21" t="e">
        <f>VLOOKUP(A1591,Products!A$322:$D1591,4,FALSE)</f>
        <v>#N/A</v>
      </c>
    </row>
    <row r="1592" spans="1:3" x14ac:dyDescent="0.35">
      <c r="A1592" s="21">
        <v>10</v>
      </c>
      <c r="B1592" t="str">
        <f>VLOOKUP(A1592,Products!$A$1:$F$322,2,FALSE)</f>
        <v>Surly Straggler - 2016</v>
      </c>
      <c r="C1592" s="21" t="e">
        <f>VLOOKUP(A1592,Products!A$322:$D1592,4,FALSE)</f>
        <v>#N/A</v>
      </c>
    </row>
    <row r="1593" spans="1:3" x14ac:dyDescent="0.35">
      <c r="A1593" s="21">
        <v>16</v>
      </c>
      <c r="B1593" t="str">
        <f>VLOOKUP(A1593,Products!$A$1:$F$322,2,FALSE)</f>
        <v>Electra Townie Original 7D EQ - 2016</v>
      </c>
      <c r="C1593" s="21" t="e">
        <f>VLOOKUP(A1593,Products!A$322:$D1593,4,FALSE)</f>
        <v>#N/A</v>
      </c>
    </row>
    <row r="1594" spans="1:3" x14ac:dyDescent="0.35">
      <c r="A1594" s="21">
        <v>24</v>
      </c>
      <c r="B1594" t="str">
        <f>VLOOKUP(A1594,Products!$A$1:$F$322,2,FALSE)</f>
        <v>Electra Townie Original 21D - 2016</v>
      </c>
      <c r="C1594" s="21" t="e">
        <f>VLOOKUP(A1594,Products!A$322:$D1594,4,FALSE)</f>
        <v>#N/A</v>
      </c>
    </row>
    <row r="1595" spans="1:3" x14ac:dyDescent="0.35">
      <c r="A1595" s="21">
        <v>18</v>
      </c>
      <c r="B1595" t="str">
        <f>VLOOKUP(A1595,Products!$A$1:$F$322,2,FALSE)</f>
        <v>Pure Cycles Western 3-Speed - Women's - 2015/2016</v>
      </c>
      <c r="C1595" s="21" t="e">
        <f>VLOOKUP(A1595,Products!A$322:$D1595,4,FALSE)</f>
        <v>#N/A</v>
      </c>
    </row>
    <row r="1596" spans="1:3" x14ac:dyDescent="0.35">
      <c r="A1596" s="21">
        <v>24</v>
      </c>
      <c r="B1596" t="str">
        <f>VLOOKUP(A1596,Products!$A$1:$F$322,2,FALSE)</f>
        <v>Electra Townie Original 21D - 2016</v>
      </c>
      <c r="C1596" s="21" t="e">
        <f>VLOOKUP(A1596,Products!A$322:$D1596,4,FALSE)</f>
        <v>#N/A</v>
      </c>
    </row>
    <row r="1597" spans="1:3" x14ac:dyDescent="0.35">
      <c r="A1597" s="21">
        <v>3</v>
      </c>
      <c r="B1597" t="str">
        <f>VLOOKUP(A1597,Products!$A$1:$F$322,2,FALSE)</f>
        <v>Surly Wednesday Frameset - 2016</v>
      </c>
      <c r="C1597" s="21" t="e">
        <f>VLOOKUP(A1597,Products!A$322:$D1597,4,FALSE)</f>
        <v>#N/A</v>
      </c>
    </row>
    <row r="1598" spans="1:3" x14ac:dyDescent="0.35">
      <c r="A1598" s="21">
        <v>11</v>
      </c>
      <c r="B1598" t="str">
        <f>VLOOKUP(A1598,Products!$A$1:$F$322,2,FALSE)</f>
        <v>Surly Straggler 650b - 2016</v>
      </c>
      <c r="C1598" s="21" t="e">
        <f>VLOOKUP(A1598,Products!A$322:$D1598,4,FALSE)</f>
        <v>#N/A</v>
      </c>
    </row>
    <row r="1599" spans="1:3" x14ac:dyDescent="0.35">
      <c r="A1599" s="21">
        <v>16</v>
      </c>
      <c r="B1599" t="str">
        <f>VLOOKUP(A1599,Products!$A$1:$F$322,2,FALSE)</f>
        <v>Electra Townie Original 7D EQ - 2016</v>
      </c>
      <c r="C1599" s="21" t="e">
        <f>VLOOKUP(A1599,Products!A$322:$D1599,4,FALSE)</f>
        <v>#N/A</v>
      </c>
    </row>
    <row r="1600" spans="1:3" x14ac:dyDescent="0.35">
      <c r="A1600" s="21">
        <v>4</v>
      </c>
      <c r="B1600" t="str">
        <f>VLOOKUP(A1600,Products!$A$1:$F$322,2,FALSE)</f>
        <v>Trek Fuel EX 8 29 - 2016</v>
      </c>
      <c r="C1600" s="21" t="e">
        <f>VLOOKUP(A1600,Products!A$322:$D1600,4,FALSE)</f>
        <v>#N/A</v>
      </c>
    </row>
    <row r="1601" spans="1:3" x14ac:dyDescent="0.35">
      <c r="A1601" s="21">
        <v>9</v>
      </c>
      <c r="B1601" t="str">
        <f>VLOOKUP(A1601,Products!$A$1:$F$322,2,FALSE)</f>
        <v>Trek Conduit+ - 2016</v>
      </c>
      <c r="C1601" s="21" t="e">
        <f>VLOOKUP(A1601,Products!A$322:$D1601,4,FALSE)</f>
        <v>#N/A</v>
      </c>
    </row>
    <row r="1602" spans="1:3" x14ac:dyDescent="0.35">
      <c r="A1602" s="21">
        <v>3</v>
      </c>
      <c r="B1602" t="str">
        <f>VLOOKUP(A1602,Products!$A$1:$F$322,2,FALSE)</f>
        <v>Surly Wednesday Frameset - 2016</v>
      </c>
      <c r="C1602" s="21" t="e">
        <f>VLOOKUP(A1602,Products!A$322:$D1602,4,FALSE)</f>
        <v>#N/A</v>
      </c>
    </row>
    <row r="1603" spans="1:3" x14ac:dyDescent="0.35">
      <c r="A1603" s="21">
        <v>13</v>
      </c>
      <c r="B1603" t="str">
        <f>VLOOKUP(A1603,Products!$A$1:$F$322,2,FALSE)</f>
        <v>Electra Cruiser 1 (24-Inch) - 2016</v>
      </c>
      <c r="C1603" s="21" t="e">
        <f>VLOOKUP(A1603,Products!A$322:$D1603,4,FALSE)</f>
        <v>#N/A</v>
      </c>
    </row>
    <row r="1604" spans="1:3" x14ac:dyDescent="0.35">
      <c r="A1604" s="21">
        <v>11</v>
      </c>
      <c r="B1604" t="str">
        <f>VLOOKUP(A1604,Products!$A$1:$F$322,2,FALSE)</f>
        <v>Surly Straggler 650b - 2016</v>
      </c>
      <c r="C1604" s="21" t="e">
        <f>VLOOKUP(A1604,Products!A$322:$D1604,4,FALSE)</f>
        <v>#N/A</v>
      </c>
    </row>
    <row r="1605" spans="1:3" x14ac:dyDescent="0.35">
      <c r="A1605" s="21">
        <v>2</v>
      </c>
      <c r="B1605" t="str">
        <f>VLOOKUP(A1605,Products!$A$1:$F$322,2,FALSE)</f>
        <v>Ritchey Timberwolf Frameset - 2016</v>
      </c>
      <c r="C1605" s="21" t="e">
        <f>VLOOKUP(A1605,Products!A$322:$D1605,4,FALSE)</f>
        <v>#N/A</v>
      </c>
    </row>
    <row r="1606" spans="1:3" x14ac:dyDescent="0.35">
      <c r="A1606" s="21">
        <v>26</v>
      </c>
      <c r="B1606" t="str">
        <f>VLOOKUP(A1606,Products!$A$1:$F$322,2,FALSE)</f>
        <v>Electra Townie Original 7D EQ - 2016</v>
      </c>
      <c r="C1606" s="21" t="e">
        <f>VLOOKUP(A1606,Products!A$322:$D1606,4,FALSE)</f>
        <v>#N/A</v>
      </c>
    </row>
    <row r="1607" spans="1:3" x14ac:dyDescent="0.35">
      <c r="A1607" s="21">
        <v>13</v>
      </c>
      <c r="B1607" t="str">
        <f>VLOOKUP(A1607,Products!$A$1:$F$322,2,FALSE)</f>
        <v>Electra Cruiser 1 (24-Inch) - 2016</v>
      </c>
      <c r="C1607" s="21" t="e">
        <f>VLOOKUP(A1607,Products!A$322:$D1607,4,FALSE)</f>
        <v>#N/A</v>
      </c>
    </row>
    <row r="1608" spans="1:3" x14ac:dyDescent="0.35">
      <c r="A1608" s="21">
        <v>12</v>
      </c>
      <c r="B1608" t="str">
        <f>VLOOKUP(A1608,Products!$A$1:$F$322,2,FALSE)</f>
        <v>Electra Townie Original 21D - 2016</v>
      </c>
      <c r="C1608" s="21" t="e">
        <f>VLOOKUP(A1608,Products!A$322:$D1608,4,FALSE)</f>
        <v>#N/A</v>
      </c>
    </row>
    <row r="1609" spans="1:3" x14ac:dyDescent="0.35">
      <c r="A1609" s="21">
        <v>23</v>
      </c>
      <c r="B1609" t="str">
        <f>VLOOKUP(A1609,Products!$A$1:$F$322,2,FALSE)</f>
        <v>Electra Girl's Hawaii 1 (20-inch) - 2015/2016</v>
      </c>
      <c r="C1609" s="21" t="e">
        <f>VLOOKUP(A1609,Products!A$322:$D1609,4,FALSE)</f>
        <v>#N/A</v>
      </c>
    </row>
    <row r="1610" spans="1:3" x14ac:dyDescent="0.35">
      <c r="A1610" s="21">
        <v>11</v>
      </c>
      <c r="B1610" t="str">
        <f>VLOOKUP(A1610,Products!$A$1:$F$322,2,FALSE)</f>
        <v>Surly Straggler 650b - 2016</v>
      </c>
      <c r="C1610" s="21" t="e">
        <f>VLOOKUP(A1610,Products!A$322:$D1610,4,FALSE)</f>
        <v>#N/A</v>
      </c>
    </row>
    <row r="1611" spans="1:3" x14ac:dyDescent="0.35">
      <c r="A1611" s="21">
        <v>4</v>
      </c>
      <c r="B1611" t="str">
        <f>VLOOKUP(A1611,Products!$A$1:$F$322,2,FALSE)</f>
        <v>Trek Fuel EX 8 29 - 2016</v>
      </c>
      <c r="C1611" s="21" t="e">
        <f>VLOOKUP(A1611,Products!A$322:$D1611,4,FALSE)</f>
        <v>#N/A</v>
      </c>
    </row>
    <row r="1612" spans="1:3" x14ac:dyDescent="0.35">
      <c r="A1612" s="21">
        <v>12</v>
      </c>
      <c r="B1612" t="str">
        <f>VLOOKUP(A1612,Products!$A$1:$F$322,2,FALSE)</f>
        <v>Electra Townie Original 21D - 2016</v>
      </c>
      <c r="C1612" s="21" t="e">
        <f>VLOOKUP(A1612,Products!A$322:$D1612,4,FALSE)</f>
        <v>#N/A</v>
      </c>
    </row>
    <row r="1613" spans="1:3" x14ac:dyDescent="0.35">
      <c r="A1613" s="21">
        <v>9</v>
      </c>
      <c r="B1613" t="str">
        <f>VLOOKUP(A1613,Products!$A$1:$F$322,2,FALSE)</f>
        <v>Trek Conduit+ - 2016</v>
      </c>
      <c r="C1613" s="21" t="e">
        <f>VLOOKUP(A1613,Products!A$322:$D1613,4,FALSE)</f>
        <v>#N/A</v>
      </c>
    </row>
    <row r="1614" spans="1:3" x14ac:dyDescent="0.35">
      <c r="A1614" s="21">
        <v>3</v>
      </c>
      <c r="B1614" t="str">
        <f>VLOOKUP(A1614,Products!$A$1:$F$322,2,FALSE)</f>
        <v>Surly Wednesday Frameset - 2016</v>
      </c>
      <c r="C1614" s="21" t="e">
        <f>VLOOKUP(A1614,Products!A$322:$D1614,4,FALSE)</f>
        <v>#N/A</v>
      </c>
    </row>
    <row r="1615" spans="1:3" x14ac:dyDescent="0.35">
      <c r="A1615" s="21">
        <v>21</v>
      </c>
      <c r="B1615" t="str">
        <f>VLOOKUP(A1615,Products!$A$1:$F$322,2,FALSE)</f>
        <v>Electra Cruiser 1 (24-Inch) - 2016</v>
      </c>
      <c r="C1615" s="21" t="e">
        <f>VLOOKUP(A1615,Products!A$322:$D1615,4,FALSE)</f>
        <v>#N/A</v>
      </c>
    </row>
    <row r="1616" spans="1:3" x14ac:dyDescent="0.35">
      <c r="A1616" s="21">
        <v>25</v>
      </c>
      <c r="B1616" t="str">
        <f>VLOOKUP(A1616,Products!$A$1:$F$322,2,FALSE)</f>
        <v>Electra Townie Original 7D - 2015/2016</v>
      </c>
      <c r="C1616" s="21" t="e">
        <f>VLOOKUP(A1616,Products!A$322:$D1616,4,FALSE)</f>
        <v>#N/A</v>
      </c>
    </row>
    <row r="1617" spans="1:3" x14ac:dyDescent="0.35">
      <c r="A1617" s="21">
        <v>18</v>
      </c>
      <c r="B1617" t="str">
        <f>VLOOKUP(A1617,Products!$A$1:$F$322,2,FALSE)</f>
        <v>Pure Cycles Western 3-Speed - Women's - 2015/2016</v>
      </c>
      <c r="C1617" s="21" t="e">
        <f>VLOOKUP(A1617,Products!A$322:$D1617,4,FALSE)</f>
        <v>#N/A</v>
      </c>
    </row>
    <row r="1618" spans="1:3" x14ac:dyDescent="0.35">
      <c r="A1618" s="21">
        <v>8</v>
      </c>
      <c r="B1618" t="str">
        <f>VLOOKUP(A1618,Products!$A$1:$F$322,2,FALSE)</f>
        <v>Trek Remedy 29 Carbon Frameset - 2016</v>
      </c>
      <c r="C1618" s="21" t="e">
        <f>VLOOKUP(A1618,Products!A$322:$D1618,4,FALSE)</f>
        <v>#N/A</v>
      </c>
    </row>
    <row r="1619" spans="1:3" x14ac:dyDescent="0.35">
      <c r="A1619" s="21">
        <v>7</v>
      </c>
      <c r="B1619" t="str">
        <f>VLOOKUP(A1619,Products!$A$1:$F$322,2,FALSE)</f>
        <v>Trek Slash 8 27.5 - 2016</v>
      </c>
      <c r="C1619" s="21" t="e">
        <f>VLOOKUP(A1619,Products!A$322:$D1619,4,FALSE)</f>
        <v>#N/A</v>
      </c>
    </row>
    <row r="1620" spans="1:3" x14ac:dyDescent="0.35">
      <c r="A1620" s="21">
        <v>6</v>
      </c>
      <c r="B1620" t="str">
        <f>VLOOKUP(A1620,Products!$A$1:$F$322,2,FALSE)</f>
        <v>Surly Ice Cream Truck Frameset - 2016</v>
      </c>
      <c r="C1620" s="21" t="e">
        <f>VLOOKUP(A1620,Products!A$322:$D1620,4,FALSE)</f>
        <v>#N/A</v>
      </c>
    </row>
    <row r="1621" spans="1:3" x14ac:dyDescent="0.35">
      <c r="A1621" s="21">
        <v>16</v>
      </c>
      <c r="B1621" t="str">
        <f>VLOOKUP(A1621,Products!$A$1:$F$322,2,FALSE)</f>
        <v>Electra Townie Original 7D EQ - 2016</v>
      </c>
      <c r="C1621" s="21" t="e">
        <f>VLOOKUP(A1621,Products!A$322:$D1621,4,FALSE)</f>
        <v>#N/A</v>
      </c>
    </row>
    <row r="1622" spans="1:3" x14ac:dyDescent="0.35">
      <c r="A1622" s="21">
        <v>15</v>
      </c>
      <c r="B1622" t="str">
        <f>VLOOKUP(A1622,Products!$A$1:$F$322,2,FALSE)</f>
        <v>Electra Moto 1 - 2016</v>
      </c>
      <c r="C1622" s="21" t="e">
        <f>VLOOKUP(A1622,Products!A$322:$D1622,4,FALSE)</f>
        <v>#N/A</v>
      </c>
    </row>
    <row r="1623" spans="1:3" x14ac:dyDescent="0.35">
      <c r="A1623" s="21">
        <v>21</v>
      </c>
      <c r="B1623" t="str">
        <f>VLOOKUP(A1623,Products!$A$1:$F$322,2,FALSE)</f>
        <v>Electra Cruiser 1 (24-Inch) - 2016</v>
      </c>
      <c r="C1623" s="21" t="e">
        <f>VLOOKUP(A1623,Products!A$322:$D1623,4,FALSE)</f>
        <v>#N/A</v>
      </c>
    </row>
    <row r="1624" spans="1:3" x14ac:dyDescent="0.35">
      <c r="A1624" s="21">
        <v>9</v>
      </c>
      <c r="B1624" t="str">
        <f>VLOOKUP(A1624,Products!$A$1:$F$322,2,FALSE)</f>
        <v>Trek Conduit+ - 2016</v>
      </c>
      <c r="C1624" s="21" t="e">
        <f>VLOOKUP(A1624,Products!A$322:$D1624,4,FALSE)</f>
        <v>#N/A</v>
      </c>
    </row>
    <row r="1625" spans="1:3" x14ac:dyDescent="0.35">
      <c r="A1625" s="21">
        <v>19</v>
      </c>
      <c r="B1625" t="str">
        <f>VLOOKUP(A1625,Products!$A$1:$F$322,2,FALSE)</f>
        <v>Pure Cycles William 3-Speed - 2016</v>
      </c>
      <c r="C1625" s="21" t="e">
        <f>VLOOKUP(A1625,Products!A$322:$D1625,4,FALSE)</f>
        <v>#N/A</v>
      </c>
    </row>
    <row r="1626" spans="1:3" x14ac:dyDescent="0.35">
      <c r="A1626" s="21">
        <v>8</v>
      </c>
      <c r="B1626" t="str">
        <f>VLOOKUP(A1626,Products!$A$1:$F$322,2,FALSE)</f>
        <v>Trek Remedy 29 Carbon Frameset - 2016</v>
      </c>
      <c r="C1626" s="21" t="e">
        <f>VLOOKUP(A1626,Products!A$322:$D1626,4,FALSE)</f>
        <v>#N/A</v>
      </c>
    </row>
    <row r="1627" spans="1:3" x14ac:dyDescent="0.35">
      <c r="A1627" s="21">
        <v>10</v>
      </c>
      <c r="B1627" t="str">
        <f>VLOOKUP(A1627,Products!$A$1:$F$322,2,FALSE)</f>
        <v>Surly Straggler - 2016</v>
      </c>
      <c r="C1627" s="21" t="e">
        <f>VLOOKUP(A1627,Products!A$322:$D1627,4,FALSE)</f>
        <v>#N/A</v>
      </c>
    </row>
    <row r="1628" spans="1:3" x14ac:dyDescent="0.35">
      <c r="A1628" s="21">
        <v>17</v>
      </c>
      <c r="B1628" t="str">
        <f>VLOOKUP(A1628,Products!$A$1:$F$322,2,FALSE)</f>
        <v>Pure Cycles Vine 8-Speed - 2016</v>
      </c>
      <c r="C1628" s="21" t="e">
        <f>VLOOKUP(A1628,Products!A$322:$D1628,4,FALSE)</f>
        <v>#N/A</v>
      </c>
    </row>
    <row r="1629" spans="1:3" x14ac:dyDescent="0.35">
      <c r="A1629" s="21">
        <v>15</v>
      </c>
      <c r="B1629" t="str">
        <f>VLOOKUP(A1629,Products!$A$1:$F$322,2,FALSE)</f>
        <v>Electra Moto 1 - 2016</v>
      </c>
      <c r="C1629" s="21" t="e">
        <f>VLOOKUP(A1629,Products!A$322:$D1629,4,FALSE)</f>
        <v>#N/A</v>
      </c>
    </row>
    <row r="1630" spans="1:3" x14ac:dyDescent="0.35">
      <c r="A1630" s="21">
        <v>19</v>
      </c>
      <c r="B1630" t="str">
        <f>VLOOKUP(A1630,Products!$A$1:$F$322,2,FALSE)</f>
        <v>Pure Cycles William 3-Speed - 2016</v>
      </c>
      <c r="C1630" s="21" t="e">
        <f>VLOOKUP(A1630,Products!A$322:$D1630,4,FALSE)</f>
        <v>#N/A</v>
      </c>
    </row>
    <row r="1631" spans="1:3" x14ac:dyDescent="0.35">
      <c r="A1631" s="21">
        <v>23</v>
      </c>
      <c r="B1631" t="str">
        <f>VLOOKUP(A1631,Products!$A$1:$F$322,2,FALSE)</f>
        <v>Electra Girl's Hawaii 1 (20-inch) - 2015/2016</v>
      </c>
      <c r="C1631" s="21" t="e">
        <f>VLOOKUP(A1631,Products!A$322:$D1631,4,FALSE)</f>
        <v>#N/A</v>
      </c>
    </row>
    <row r="1632" spans="1:3" x14ac:dyDescent="0.35">
      <c r="A1632" s="21">
        <v>15</v>
      </c>
      <c r="B1632" t="str">
        <f>VLOOKUP(A1632,Products!$A$1:$F$322,2,FALSE)</f>
        <v>Electra Moto 1 - 2016</v>
      </c>
      <c r="C1632" s="21" t="e">
        <f>VLOOKUP(A1632,Products!A$322:$D1632,4,FALSE)</f>
        <v>#N/A</v>
      </c>
    </row>
    <row r="1633" spans="1:3" x14ac:dyDescent="0.35">
      <c r="A1633" s="21">
        <v>22</v>
      </c>
      <c r="B1633" t="str">
        <f>VLOOKUP(A1633,Products!$A$1:$F$322,2,FALSE)</f>
        <v>Electra Girl's Hawaii 1 (16-inch) - 2015/2016</v>
      </c>
      <c r="C1633" s="21" t="e">
        <f>VLOOKUP(A1633,Products!A$322:$D1633,4,FALSE)</f>
        <v>#N/A</v>
      </c>
    </row>
    <row r="1634" spans="1:3" x14ac:dyDescent="0.35">
      <c r="A1634" s="21">
        <v>8</v>
      </c>
      <c r="B1634" t="str">
        <f>VLOOKUP(A1634,Products!$A$1:$F$322,2,FALSE)</f>
        <v>Trek Remedy 29 Carbon Frameset - 2016</v>
      </c>
      <c r="C1634" s="21" t="e">
        <f>VLOOKUP(A1634,Products!A$322:$D1634,4,FALSE)</f>
        <v>#N/A</v>
      </c>
    </row>
    <row r="1635" spans="1:3" x14ac:dyDescent="0.35">
      <c r="A1635" s="21">
        <v>10</v>
      </c>
      <c r="B1635" t="str">
        <f>VLOOKUP(A1635,Products!$A$1:$F$322,2,FALSE)</f>
        <v>Surly Straggler - 2016</v>
      </c>
      <c r="C1635" s="21" t="e">
        <f>VLOOKUP(A1635,Products!A$322:$D1635,4,FALSE)</f>
        <v>#N/A</v>
      </c>
    </row>
    <row r="1636" spans="1:3" x14ac:dyDescent="0.35">
      <c r="A1636" s="21">
        <v>18</v>
      </c>
      <c r="B1636" t="str">
        <f>VLOOKUP(A1636,Products!$A$1:$F$322,2,FALSE)</f>
        <v>Pure Cycles Western 3-Speed - Women's - 2015/2016</v>
      </c>
      <c r="C1636" s="21" t="e">
        <f>VLOOKUP(A1636,Products!A$322:$D1636,4,FALSE)</f>
        <v>#N/A</v>
      </c>
    </row>
    <row r="1637" spans="1:3" x14ac:dyDescent="0.35">
      <c r="A1637" s="21">
        <v>15</v>
      </c>
      <c r="B1637" t="str">
        <f>VLOOKUP(A1637,Products!$A$1:$F$322,2,FALSE)</f>
        <v>Electra Moto 1 - 2016</v>
      </c>
      <c r="C1637" s="21" t="e">
        <f>VLOOKUP(A1637,Products!A$322:$D1637,4,FALSE)</f>
        <v>#N/A</v>
      </c>
    </row>
    <row r="1638" spans="1:3" x14ac:dyDescent="0.35">
      <c r="A1638" s="21">
        <v>12</v>
      </c>
      <c r="B1638" t="str">
        <f>VLOOKUP(A1638,Products!$A$1:$F$322,2,FALSE)</f>
        <v>Electra Townie Original 21D - 2016</v>
      </c>
      <c r="C1638" s="21" t="e">
        <f>VLOOKUP(A1638,Products!A$322:$D1638,4,FALSE)</f>
        <v>#N/A</v>
      </c>
    </row>
    <row r="1639" spans="1:3" x14ac:dyDescent="0.35">
      <c r="A1639" s="21">
        <v>11</v>
      </c>
      <c r="B1639" t="str">
        <f>VLOOKUP(A1639,Products!$A$1:$F$322,2,FALSE)</f>
        <v>Surly Straggler 650b - 2016</v>
      </c>
      <c r="C1639" s="21" t="e">
        <f>VLOOKUP(A1639,Products!A$322:$D1639,4,FALSE)</f>
        <v>#N/A</v>
      </c>
    </row>
    <row r="1640" spans="1:3" x14ac:dyDescent="0.35">
      <c r="A1640" s="21">
        <v>23</v>
      </c>
      <c r="B1640" t="str">
        <f>VLOOKUP(A1640,Products!$A$1:$F$322,2,FALSE)</f>
        <v>Electra Girl's Hawaii 1 (20-inch) - 2015/2016</v>
      </c>
      <c r="C1640" s="21" t="e">
        <f>VLOOKUP(A1640,Products!A$322:$D1640,4,FALSE)</f>
        <v>#N/A</v>
      </c>
    </row>
    <row r="1641" spans="1:3" x14ac:dyDescent="0.35">
      <c r="A1641" s="21">
        <v>24</v>
      </c>
      <c r="B1641" t="str">
        <f>VLOOKUP(A1641,Products!$A$1:$F$322,2,FALSE)</f>
        <v>Electra Townie Original 21D - 2016</v>
      </c>
      <c r="C1641" s="21" t="e">
        <f>VLOOKUP(A1641,Products!A$322:$D1641,4,FALSE)</f>
        <v>#N/A</v>
      </c>
    </row>
    <row r="1642" spans="1:3" x14ac:dyDescent="0.35">
      <c r="A1642" s="21">
        <v>23</v>
      </c>
      <c r="B1642" t="str">
        <f>VLOOKUP(A1642,Products!$A$1:$F$322,2,FALSE)</f>
        <v>Electra Girl's Hawaii 1 (20-inch) - 2015/2016</v>
      </c>
      <c r="C1642" s="21" t="e">
        <f>VLOOKUP(A1642,Products!A$322:$D1642,4,FALSE)</f>
        <v>#N/A</v>
      </c>
    </row>
    <row r="1643" spans="1:3" x14ac:dyDescent="0.35">
      <c r="A1643" s="21">
        <v>18</v>
      </c>
      <c r="B1643" t="str">
        <f>VLOOKUP(A1643,Products!$A$1:$F$322,2,FALSE)</f>
        <v>Pure Cycles Western 3-Speed - Women's - 2015/2016</v>
      </c>
      <c r="C1643" s="21" t="e">
        <f>VLOOKUP(A1643,Products!A$322:$D1643,4,FALSE)</f>
        <v>#N/A</v>
      </c>
    </row>
    <row r="1644" spans="1:3" x14ac:dyDescent="0.35">
      <c r="A1644" s="21">
        <v>21</v>
      </c>
      <c r="B1644" t="str">
        <f>VLOOKUP(A1644,Products!$A$1:$F$322,2,FALSE)</f>
        <v>Electra Cruiser 1 (24-Inch) - 2016</v>
      </c>
      <c r="C1644" s="21" t="e">
        <f>VLOOKUP(A1644,Products!A$322:$D1644,4,FALSE)</f>
        <v>#N/A</v>
      </c>
    </row>
    <row r="1645" spans="1:3" x14ac:dyDescent="0.35">
      <c r="A1645" s="21">
        <v>10</v>
      </c>
      <c r="B1645" t="str">
        <f>VLOOKUP(A1645,Products!$A$1:$F$322,2,FALSE)</f>
        <v>Surly Straggler - 2016</v>
      </c>
      <c r="C1645" s="21" t="e">
        <f>VLOOKUP(A1645,Products!A$322:$D1645,4,FALSE)</f>
        <v>#N/A</v>
      </c>
    </row>
    <row r="1646" spans="1:3" x14ac:dyDescent="0.35">
      <c r="A1646" s="21">
        <v>23</v>
      </c>
      <c r="B1646" t="str">
        <f>VLOOKUP(A1646,Products!$A$1:$F$322,2,FALSE)</f>
        <v>Electra Girl's Hawaii 1 (20-inch) - 2015/2016</v>
      </c>
      <c r="C1646" s="21" t="e">
        <f>VLOOKUP(A1646,Products!A$322:$D1646,4,FALSE)</f>
        <v>#N/A</v>
      </c>
    </row>
    <row r="1647" spans="1:3" x14ac:dyDescent="0.35">
      <c r="A1647" s="21">
        <v>15</v>
      </c>
      <c r="B1647" t="str">
        <f>VLOOKUP(A1647,Products!$A$1:$F$322,2,FALSE)</f>
        <v>Electra Moto 1 - 2016</v>
      </c>
      <c r="C1647" s="21" t="e">
        <f>VLOOKUP(A1647,Products!A$322:$D1647,4,FALSE)</f>
        <v>#N/A</v>
      </c>
    </row>
    <row r="1648" spans="1:3" x14ac:dyDescent="0.35">
      <c r="A1648" s="21">
        <v>2</v>
      </c>
      <c r="B1648" t="str">
        <f>VLOOKUP(A1648,Products!$A$1:$F$322,2,FALSE)</f>
        <v>Ritchey Timberwolf Frameset - 2016</v>
      </c>
      <c r="C1648" s="21" t="e">
        <f>VLOOKUP(A1648,Products!A$322:$D1648,4,FALSE)</f>
        <v>#N/A</v>
      </c>
    </row>
    <row r="1649" spans="1:3" x14ac:dyDescent="0.35">
      <c r="A1649" s="21">
        <v>20</v>
      </c>
      <c r="B1649" t="str">
        <f>VLOOKUP(A1649,Products!$A$1:$F$322,2,FALSE)</f>
        <v>Electra Townie Original 7D EQ - Women's - 2016</v>
      </c>
      <c r="C1649" s="21" t="e">
        <f>VLOOKUP(A1649,Products!A$322:$D1649,4,FALSE)</f>
        <v>#N/A</v>
      </c>
    </row>
    <row r="1650" spans="1:3" x14ac:dyDescent="0.35">
      <c r="A1650" s="21">
        <v>8</v>
      </c>
      <c r="B1650" t="str">
        <f>VLOOKUP(A1650,Products!$A$1:$F$322,2,FALSE)</f>
        <v>Trek Remedy 29 Carbon Frameset - 2016</v>
      </c>
      <c r="C1650" s="21" t="e">
        <f>VLOOKUP(A1650,Products!A$322:$D1650,4,FALSE)</f>
        <v>#N/A</v>
      </c>
    </row>
    <row r="1651" spans="1:3" x14ac:dyDescent="0.35">
      <c r="A1651" s="21">
        <v>5</v>
      </c>
      <c r="B1651" t="str">
        <f>VLOOKUP(A1651,Products!$A$1:$F$322,2,FALSE)</f>
        <v>Heller Shagamaw Frame - 2016</v>
      </c>
      <c r="C1651" s="21" t="e">
        <f>VLOOKUP(A1651,Products!A$322:$D1651,4,FALSE)</f>
        <v>#N/A</v>
      </c>
    </row>
    <row r="1652" spans="1:3" x14ac:dyDescent="0.35">
      <c r="A1652" s="21">
        <v>24</v>
      </c>
      <c r="B1652" t="str">
        <f>VLOOKUP(A1652,Products!$A$1:$F$322,2,FALSE)</f>
        <v>Electra Townie Original 21D - 2016</v>
      </c>
      <c r="C1652" s="21" t="e">
        <f>VLOOKUP(A1652,Products!A$322:$D1652,4,FALSE)</f>
        <v>#N/A</v>
      </c>
    </row>
    <row r="1653" spans="1:3" x14ac:dyDescent="0.35">
      <c r="A1653" s="21">
        <v>16</v>
      </c>
      <c r="B1653" t="str">
        <f>VLOOKUP(A1653,Products!$A$1:$F$322,2,FALSE)</f>
        <v>Electra Townie Original 7D EQ - 2016</v>
      </c>
      <c r="C1653" s="21" t="e">
        <f>VLOOKUP(A1653,Products!A$322:$D1653,4,FALSE)</f>
        <v>#N/A</v>
      </c>
    </row>
    <row r="1654" spans="1:3" x14ac:dyDescent="0.35">
      <c r="A1654" s="21">
        <v>25</v>
      </c>
      <c r="B1654" t="str">
        <f>VLOOKUP(A1654,Products!$A$1:$F$322,2,FALSE)</f>
        <v>Electra Townie Original 7D - 2015/2016</v>
      </c>
      <c r="C1654" s="21" t="e">
        <f>VLOOKUP(A1654,Products!A$322:$D1654,4,FALSE)</f>
        <v>#N/A</v>
      </c>
    </row>
    <row r="1655" spans="1:3" x14ac:dyDescent="0.35">
      <c r="A1655" s="21">
        <v>2</v>
      </c>
      <c r="B1655" t="str">
        <f>VLOOKUP(A1655,Products!$A$1:$F$322,2,FALSE)</f>
        <v>Ritchey Timberwolf Frameset - 2016</v>
      </c>
      <c r="C1655" s="21" t="e">
        <f>VLOOKUP(A1655,Products!A$322:$D1655,4,FALSE)</f>
        <v>#N/A</v>
      </c>
    </row>
    <row r="1656" spans="1:3" x14ac:dyDescent="0.35">
      <c r="A1656" s="21">
        <v>21</v>
      </c>
      <c r="B1656" t="str">
        <f>VLOOKUP(A1656,Products!$A$1:$F$322,2,FALSE)</f>
        <v>Electra Cruiser 1 (24-Inch) - 2016</v>
      </c>
      <c r="C1656" s="21" t="e">
        <f>VLOOKUP(A1656,Products!A$322:$D1656,4,FALSE)</f>
        <v>#N/A</v>
      </c>
    </row>
    <row r="1657" spans="1:3" x14ac:dyDescent="0.35">
      <c r="A1657" s="21">
        <v>16</v>
      </c>
      <c r="B1657" t="str">
        <f>VLOOKUP(A1657,Products!$A$1:$F$322,2,FALSE)</f>
        <v>Electra Townie Original 7D EQ - 2016</v>
      </c>
      <c r="C1657" s="21" t="e">
        <f>VLOOKUP(A1657,Products!A$322:$D1657,4,FALSE)</f>
        <v>#N/A</v>
      </c>
    </row>
    <row r="1658" spans="1:3" x14ac:dyDescent="0.35">
      <c r="A1658" s="21">
        <v>18</v>
      </c>
      <c r="B1658" t="str">
        <f>VLOOKUP(A1658,Products!$A$1:$F$322,2,FALSE)</f>
        <v>Pure Cycles Western 3-Speed - Women's - 2015/2016</v>
      </c>
      <c r="C1658" s="21" t="e">
        <f>VLOOKUP(A1658,Products!A$322:$D1658,4,FALSE)</f>
        <v>#N/A</v>
      </c>
    </row>
    <row r="1659" spans="1:3" x14ac:dyDescent="0.35">
      <c r="A1659" s="21">
        <v>3</v>
      </c>
      <c r="B1659" t="str">
        <f>VLOOKUP(A1659,Products!$A$1:$F$322,2,FALSE)</f>
        <v>Surly Wednesday Frameset - 2016</v>
      </c>
      <c r="C1659" s="21" t="e">
        <f>VLOOKUP(A1659,Products!A$322:$D1659,4,FALSE)</f>
        <v>#N/A</v>
      </c>
    </row>
    <row r="1660" spans="1:3" x14ac:dyDescent="0.35">
      <c r="A1660" s="21">
        <v>25</v>
      </c>
      <c r="B1660" t="str">
        <f>VLOOKUP(A1660,Products!$A$1:$F$322,2,FALSE)</f>
        <v>Electra Townie Original 7D - 2015/2016</v>
      </c>
      <c r="C1660" s="21" t="e">
        <f>VLOOKUP(A1660,Products!A$322:$D1660,4,FALSE)</f>
        <v>#N/A</v>
      </c>
    </row>
    <row r="1661" spans="1:3" x14ac:dyDescent="0.35">
      <c r="A1661" s="21">
        <v>26</v>
      </c>
      <c r="B1661" t="str">
        <f>VLOOKUP(A1661,Products!$A$1:$F$322,2,FALSE)</f>
        <v>Electra Townie Original 7D EQ - 2016</v>
      </c>
      <c r="C1661" s="21" t="e">
        <f>VLOOKUP(A1661,Products!A$322:$D1661,4,FALSE)</f>
        <v>#N/A</v>
      </c>
    </row>
    <row r="1662" spans="1:3" x14ac:dyDescent="0.35">
      <c r="A1662" s="21">
        <v>21</v>
      </c>
      <c r="B1662" t="str">
        <f>VLOOKUP(A1662,Products!$A$1:$F$322,2,FALSE)</f>
        <v>Electra Cruiser 1 (24-Inch) - 2016</v>
      </c>
      <c r="C1662" s="21" t="e">
        <f>VLOOKUP(A1662,Products!A$322:$D1662,4,FALSE)</f>
        <v>#N/A</v>
      </c>
    </row>
    <row r="1663" spans="1:3" x14ac:dyDescent="0.35">
      <c r="A1663" s="21">
        <v>4</v>
      </c>
      <c r="B1663" t="str">
        <f>VLOOKUP(A1663,Products!$A$1:$F$322,2,FALSE)</f>
        <v>Trek Fuel EX 8 29 - 2016</v>
      </c>
      <c r="C1663" s="21" t="e">
        <f>VLOOKUP(A1663,Products!A$322:$D1663,4,FALSE)</f>
        <v>#N/A</v>
      </c>
    </row>
    <row r="1664" spans="1:3" x14ac:dyDescent="0.35">
      <c r="A1664" s="21">
        <v>19</v>
      </c>
      <c r="B1664" t="str">
        <f>VLOOKUP(A1664,Products!$A$1:$F$322,2,FALSE)</f>
        <v>Pure Cycles William 3-Speed - 2016</v>
      </c>
      <c r="C1664" s="21" t="e">
        <f>VLOOKUP(A1664,Products!A$322:$D1664,4,FALSE)</f>
        <v>#N/A</v>
      </c>
    </row>
    <row r="1665" spans="1:3" x14ac:dyDescent="0.35">
      <c r="A1665" s="21">
        <v>3</v>
      </c>
      <c r="B1665" t="str">
        <f>VLOOKUP(A1665,Products!$A$1:$F$322,2,FALSE)</f>
        <v>Surly Wednesday Frameset - 2016</v>
      </c>
      <c r="C1665" s="21" t="e">
        <f>VLOOKUP(A1665,Products!A$322:$D1665,4,FALSE)</f>
        <v>#N/A</v>
      </c>
    </row>
    <row r="1666" spans="1:3" x14ac:dyDescent="0.35">
      <c r="A1666" s="21">
        <v>10</v>
      </c>
      <c r="B1666" t="str">
        <f>VLOOKUP(A1666,Products!$A$1:$F$322,2,FALSE)</f>
        <v>Surly Straggler - 2016</v>
      </c>
      <c r="C1666" s="21" t="e">
        <f>VLOOKUP(A1666,Products!A$322:$D1666,4,FALSE)</f>
        <v>#N/A</v>
      </c>
    </row>
    <row r="1667" spans="1:3" x14ac:dyDescent="0.35">
      <c r="A1667" s="21">
        <v>26</v>
      </c>
      <c r="B1667" t="str">
        <f>VLOOKUP(A1667,Products!$A$1:$F$322,2,FALSE)</f>
        <v>Electra Townie Original 7D EQ - 2016</v>
      </c>
      <c r="C1667" s="21" t="e">
        <f>VLOOKUP(A1667,Products!A$322:$D1667,4,FALSE)</f>
        <v>#N/A</v>
      </c>
    </row>
    <row r="1668" spans="1:3" x14ac:dyDescent="0.35">
      <c r="A1668" s="21">
        <v>5</v>
      </c>
      <c r="B1668" t="str">
        <f>VLOOKUP(A1668,Products!$A$1:$F$322,2,FALSE)</f>
        <v>Heller Shagamaw Frame - 2016</v>
      </c>
      <c r="C1668" s="21" t="e">
        <f>VLOOKUP(A1668,Products!A$322:$D1668,4,FALSE)</f>
        <v>#N/A</v>
      </c>
    </row>
    <row r="1669" spans="1:3" x14ac:dyDescent="0.35">
      <c r="A1669" s="21">
        <v>23</v>
      </c>
      <c r="B1669" t="str">
        <f>VLOOKUP(A1669,Products!$A$1:$F$322,2,FALSE)</f>
        <v>Electra Girl's Hawaii 1 (20-inch) - 2015/2016</v>
      </c>
      <c r="C1669" s="21" t="e">
        <f>VLOOKUP(A1669,Products!A$322:$D1669,4,FALSE)</f>
        <v>#N/A</v>
      </c>
    </row>
    <row r="1670" spans="1:3" x14ac:dyDescent="0.35">
      <c r="A1670" s="21">
        <v>9</v>
      </c>
      <c r="B1670" t="str">
        <f>VLOOKUP(A1670,Products!$A$1:$F$322,2,FALSE)</f>
        <v>Trek Conduit+ - 2016</v>
      </c>
      <c r="C1670" s="21" t="e">
        <f>VLOOKUP(A1670,Products!A$322:$D1670,4,FALSE)</f>
        <v>#N/A</v>
      </c>
    </row>
    <row r="1671" spans="1:3" x14ac:dyDescent="0.35">
      <c r="A1671" s="21">
        <v>17</v>
      </c>
      <c r="B1671" t="str">
        <f>VLOOKUP(A1671,Products!$A$1:$F$322,2,FALSE)</f>
        <v>Pure Cycles Vine 8-Speed - 2016</v>
      </c>
      <c r="C1671" s="21" t="e">
        <f>VLOOKUP(A1671,Products!A$322:$D1671,4,FALSE)</f>
        <v>#N/A</v>
      </c>
    </row>
    <row r="1672" spans="1:3" x14ac:dyDescent="0.35">
      <c r="A1672" s="21">
        <v>8</v>
      </c>
      <c r="B1672" t="str">
        <f>VLOOKUP(A1672,Products!$A$1:$F$322,2,FALSE)</f>
        <v>Trek Remedy 29 Carbon Frameset - 2016</v>
      </c>
      <c r="C1672" s="21" t="e">
        <f>VLOOKUP(A1672,Products!A$322:$D1672,4,FALSE)</f>
        <v>#N/A</v>
      </c>
    </row>
    <row r="1673" spans="1:3" x14ac:dyDescent="0.35">
      <c r="A1673" s="21">
        <v>4</v>
      </c>
      <c r="B1673" t="str">
        <f>VLOOKUP(A1673,Products!$A$1:$F$322,2,FALSE)</f>
        <v>Trek Fuel EX 8 29 - 2016</v>
      </c>
      <c r="C1673" s="21" t="e">
        <f>VLOOKUP(A1673,Products!A$322:$D1673,4,FALSE)</f>
        <v>#N/A</v>
      </c>
    </row>
    <row r="1674" spans="1:3" x14ac:dyDescent="0.35">
      <c r="A1674" s="21">
        <v>16</v>
      </c>
      <c r="B1674" t="str">
        <f>VLOOKUP(A1674,Products!$A$1:$F$322,2,FALSE)</f>
        <v>Electra Townie Original 7D EQ - 2016</v>
      </c>
      <c r="C1674" s="21" t="e">
        <f>VLOOKUP(A1674,Products!A$322:$D1674,4,FALSE)</f>
        <v>#N/A</v>
      </c>
    </row>
    <row r="1675" spans="1:3" x14ac:dyDescent="0.35">
      <c r="A1675" s="21">
        <v>14</v>
      </c>
      <c r="B1675" t="str">
        <f>VLOOKUP(A1675,Products!$A$1:$F$322,2,FALSE)</f>
        <v>Electra Girl's Hawaii 1 (16-inch) - 2015/2016</v>
      </c>
      <c r="C1675" s="21" t="e">
        <f>VLOOKUP(A1675,Products!A$322:$D1675,4,FALSE)</f>
        <v>#N/A</v>
      </c>
    </row>
    <row r="1676" spans="1:3" x14ac:dyDescent="0.35">
      <c r="A1676" s="21">
        <v>9</v>
      </c>
      <c r="B1676" t="str">
        <f>VLOOKUP(A1676,Products!$A$1:$F$322,2,FALSE)</f>
        <v>Trek Conduit+ - 2016</v>
      </c>
      <c r="C1676" s="21" t="e">
        <f>VLOOKUP(A1676,Products!A$322:$D1676,4,FALSE)</f>
        <v>#N/A</v>
      </c>
    </row>
    <row r="1677" spans="1:3" x14ac:dyDescent="0.35">
      <c r="A1677" s="21">
        <v>22</v>
      </c>
      <c r="B1677" t="str">
        <f>VLOOKUP(A1677,Products!$A$1:$F$322,2,FALSE)</f>
        <v>Electra Girl's Hawaii 1 (16-inch) - 2015/2016</v>
      </c>
      <c r="C1677" s="21" t="e">
        <f>VLOOKUP(A1677,Products!A$322:$D1677,4,FALSE)</f>
        <v>#N/A</v>
      </c>
    </row>
    <row r="1678" spans="1:3" x14ac:dyDescent="0.35">
      <c r="A1678" s="21">
        <v>23</v>
      </c>
      <c r="B1678" t="str">
        <f>VLOOKUP(A1678,Products!$A$1:$F$322,2,FALSE)</f>
        <v>Electra Girl's Hawaii 1 (20-inch) - 2015/2016</v>
      </c>
      <c r="C1678" s="21" t="e">
        <f>VLOOKUP(A1678,Products!A$322:$D1678,4,FALSE)</f>
        <v>#N/A</v>
      </c>
    </row>
    <row r="1679" spans="1:3" x14ac:dyDescent="0.35">
      <c r="A1679" s="21">
        <v>10</v>
      </c>
      <c r="B1679" t="str">
        <f>VLOOKUP(A1679,Products!$A$1:$F$322,2,FALSE)</f>
        <v>Surly Straggler - 2016</v>
      </c>
      <c r="C1679" s="21" t="e">
        <f>VLOOKUP(A1679,Products!A$322:$D1679,4,FALSE)</f>
        <v>#N/A</v>
      </c>
    </row>
    <row r="1680" spans="1:3" x14ac:dyDescent="0.35">
      <c r="A1680" s="21">
        <v>26</v>
      </c>
      <c r="B1680" t="str">
        <f>VLOOKUP(A1680,Products!$A$1:$F$322,2,FALSE)</f>
        <v>Electra Townie Original 7D EQ - 2016</v>
      </c>
      <c r="C1680" s="21" t="e">
        <f>VLOOKUP(A1680,Products!A$322:$D1680,4,FALSE)</f>
        <v>#N/A</v>
      </c>
    </row>
    <row r="1681" spans="1:3" x14ac:dyDescent="0.35">
      <c r="A1681" s="21">
        <v>4</v>
      </c>
      <c r="B1681" t="str">
        <f>VLOOKUP(A1681,Products!$A$1:$F$322,2,FALSE)</f>
        <v>Trek Fuel EX 8 29 - 2016</v>
      </c>
      <c r="C1681" s="21" t="e">
        <f>VLOOKUP(A1681,Products!A$322:$D1681,4,FALSE)</f>
        <v>#N/A</v>
      </c>
    </row>
    <row r="1682" spans="1:3" x14ac:dyDescent="0.35">
      <c r="A1682" s="21">
        <v>18</v>
      </c>
      <c r="B1682" t="str">
        <f>VLOOKUP(A1682,Products!$A$1:$F$322,2,FALSE)</f>
        <v>Pure Cycles Western 3-Speed - Women's - 2015/2016</v>
      </c>
      <c r="C1682" s="21" t="e">
        <f>VLOOKUP(A1682,Products!A$322:$D1682,4,FALSE)</f>
        <v>#N/A</v>
      </c>
    </row>
    <row r="1683" spans="1:3" x14ac:dyDescent="0.35">
      <c r="A1683" s="21">
        <v>12</v>
      </c>
      <c r="B1683" t="str">
        <f>VLOOKUP(A1683,Products!$A$1:$F$322,2,FALSE)</f>
        <v>Electra Townie Original 21D - 2016</v>
      </c>
      <c r="C1683" s="21" t="e">
        <f>VLOOKUP(A1683,Products!A$322:$D1683,4,FALSE)</f>
        <v>#N/A</v>
      </c>
    </row>
    <row r="1684" spans="1:3" x14ac:dyDescent="0.35">
      <c r="A1684" s="21">
        <v>15</v>
      </c>
      <c r="B1684" t="str">
        <f>VLOOKUP(A1684,Products!$A$1:$F$322,2,FALSE)</f>
        <v>Electra Moto 1 - 2016</v>
      </c>
      <c r="C1684" s="21" t="e">
        <f>VLOOKUP(A1684,Products!A$322:$D1684,4,FALSE)</f>
        <v>#N/A</v>
      </c>
    </row>
    <row r="1685" spans="1:3" x14ac:dyDescent="0.35">
      <c r="A1685" s="21">
        <v>5</v>
      </c>
      <c r="B1685" t="str">
        <f>VLOOKUP(A1685,Products!$A$1:$F$322,2,FALSE)</f>
        <v>Heller Shagamaw Frame - 2016</v>
      </c>
      <c r="C1685" s="21" t="e">
        <f>VLOOKUP(A1685,Products!A$322:$D1685,4,FALSE)</f>
        <v>#N/A</v>
      </c>
    </row>
    <row r="1686" spans="1:3" x14ac:dyDescent="0.35">
      <c r="A1686" s="21">
        <v>12</v>
      </c>
      <c r="B1686" t="str">
        <f>VLOOKUP(A1686,Products!$A$1:$F$322,2,FALSE)</f>
        <v>Electra Townie Original 21D - 2016</v>
      </c>
      <c r="C1686" s="21" t="e">
        <f>VLOOKUP(A1686,Products!A$322:$D1686,4,FALSE)</f>
        <v>#N/A</v>
      </c>
    </row>
    <row r="1687" spans="1:3" x14ac:dyDescent="0.35">
      <c r="A1687" s="21">
        <v>4</v>
      </c>
      <c r="B1687" t="str">
        <f>VLOOKUP(A1687,Products!$A$1:$F$322,2,FALSE)</f>
        <v>Trek Fuel EX 8 29 - 2016</v>
      </c>
      <c r="C1687" s="21" t="e">
        <f>VLOOKUP(A1687,Products!A$322:$D1687,4,FALSE)</f>
        <v>#N/A</v>
      </c>
    </row>
    <row r="1688" spans="1:3" x14ac:dyDescent="0.35">
      <c r="A1688" s="21">
        <v>10</v>
      </c>
      <c r="B1688" t="str">
        <f>VLOOKUP(A1688,Products!$A$1:$F$322,2,FALSE)</f>
        <v>Surly Straggler - 2016</v>
      </c>
      <c r="C1688" s="21" t="e">
        <f>VLOOKUP(A1688,Products!A$322:$D1688,4,FALSE)</f>
        <v>#N/A</v>
      </c>
    </row>
    <row r="1689" spans="1:3" x14ac:dyDescent="0.35">
      <c r="A1689" s="21">
        <v>9</v>
      </c>
      <c r="B1689" t="str">
        <f>VLOOKUP(A1689,Products!$A$1:$F$322,2,FALSE)</f>
        <v>Trek Conduit+ - 2016</v>
      </c>
      <c r="C1689" s="21" t="e">
        <f>VLOOKUP(A1689,Products!A$322:$D1689,4,FALSE)</f>
        <v>#N/A</v>
      </c>
    </row>
    <row r="1690" spans="1:3" x14ac:dyDescent="0.35">
      <c r="A1690" s="21">
        <v>19</v>
      </c>
      <c r="B1690" t="str">
        <f>VLOOKUP(A1690,Products!$A$1:$F$322,2,FALSE)</f>
        <v>Pure Cycles William 3-Speed - 2016</v>
      </c>
      <c r="C1690" s="21" t="e">
        <f>VLOOKUP(A1690,Products!A$322:$D1690,4,FALSE)</f>
        <v>#N/A</v>
      </c>
    </row>
    <row r="1691" spans="1:3" x14ac:dyDescent="0.35">
      <c r="A1691" s="21">
        <v>25</v>
      </c>
      <c r="B1691" t="str">
        <f>VLOOKUP(A1691,Products!$A$1:$F$322,2,FALSE)</f>
        <v>Electra Townie Original 7D - 2015/2016</v>
      </c>
      <c r="C1691" s="21" t="e">
        <f>VLOOKUP(A1691,Products!A$322:$D1691,4,FALSE)</f>
        <v>#N/A</v>
      </c>
    </row>
    <row r="1692" spans="1:3" x14ac:dyDescent="0.35">
      <c r="A1692" s="21">
        <v>13</v>
      </c>
      <c r="B1692" t="str">
        <f>VLOOKUP(A1692,Products!$A$1:$F$322,2,FALSE)</f>
        <v>Electra Cruiser 1 (24-Inch) - 2016</v>
      </c>
      <c r="C1692" s="21" t="e">
        <f>VLOOKUP(A1692,Products!A$322:$D1692,4,FALSE)</f>
        <v>#N/A</v>
      </c>
    </row>
    <row r="1693" spans="1:3" x14ac:dyDescent="0.35">
      <c r="A1693" s="21">
        <v>11</v>
      </c>
      <c r="B1693" t="str">
        <f>VLOOKUP(A1693,Products!$A$1:$F$322,2,FALSE)</f>
        <v>Surly Straggler 650b - 2016</v>
      </c>
      <c r="C1693" s="21" t="e">
        <f>VLOOKUP(A1693,Products!A$322:$D1693,4,FALSE)</f>
        <v>#N/A</v>
      </c>
    </row>
    <row r="1694" spans="1:3" x14ac:dyDescent="0.35">
      <c r="A1694" s="21">
        <v>6</v>
      </c>
      <c r="B1694" t="str">
        <f>VLOOKUP(A1694,Products!$A$1:$F$322,2,FALSE)</f>
        <v>Surly Ice Cream Truck Frameset - 2016</v>
      </c>
      <c r="C1694" s="21" t="e">
        <f>VLOOKUP(A1694,Products!A$322:$D1694,4,FALSE)</f>
        <v>#N/A</v>
      </c>
    </row>
    <row r="1695" spans="1:3" x14ac:dyDescent="0.35">
      <c r="A1695" s="21">
        <v>18</v>
      </c>
      <c r="B1695" t="str">
        <f>VLOOKUP(A1695,Products!$A$1:$F$322,2,FALSE)</f>
        <v>Pure Cycles Western 3-Speed - Women's - 2015/2016</v>
      </c>
      <c r="C1695" s="21" t="e">
        <f>VLOOKUP(A1695,Products!A$322:$D1695,4,FALSE)</f>
        <v>#N/A</v>
      </c>
    </row>
    <row r="1696" spans="1:3" x14ac:dyDescent="0.35">
      <c r="A1696" s="21">
        <v>11</v>
      </c>
      <c r="B1696" t="str">
        <f>VLOOKUP(A1696,Products!$A$1:$F$322,2,FALSE)</f>
        <v>Surly Straggler 650b - 2016</v>
      </c>
      <c r="C1696" s="21" t="e">
        <f>VLOOKUP(A1696,Products!A$322:$D1696,4,FALSE)</f>
        <v>#N/A</v>
      </c>
    </row>
    <row r="1697" spans="1:3" x14ac:dyDescent="0.35">
      <c r="A1697" s="21">
        <v>26</v>
      </c>
      <c r="B1697" t="str">
        <f>VLOOKUP(A1697,Products!$A$1:$F$322,2,FALSE)</f>
        <v>Electra Townie Original 7D EQ - 2016</v>
      </c>
      <c r="C1697" s="21" t="e">
        <f>VLOOKUP(A1697,Products!A$322:$D1697,4,FALSE)</f>
        <v>#N/A</v>
      </c>
    </row>
    <row r="1698" spans="1:3" x14ac:dyDescent="0.35">
      <c r="A1698" s="21">
        <v>14</v>
      </c>
      <c r="B1698" t="str">
        <f>VLOOKUP(A1698,Products!$A$1:$F$322,2,FALSE)</f>
        <v>Electra Girl's Hawaii 1 (16-inch) - 2015/2016</v>
      </c>
      <c r="C1698" s="21" t="e">
        <f>VLOOKUP(A1698,Products!A$322:$D1698,4,FALSE)</f>
        <v>#N/A</v>
      </c>
    </row>
    <row r="1699" spans="1:3" x14ac:dyDescent="0.35">
      <c r="A1699" s="21">
        <v>4</v>
      </c>
      <c r="B1699" t="str">
        <f>VLOOKUP(A1699,Products!$A$1:$F$322,2,FALSE)</f>
        <v>Trek Fuel EX 8 29 - 2016</v>
      </c>
      <c r="C1699" s="21" t="e">
        <f>VLOOKUP(A1699,Products!A$322:$D1699,4,FALSE)</f>
        <v>#N/A</v>
      </c>
    </row>
    <row r="1700" spans="1:3" x14ac:dyDescent="0.35">
      <c r="A1700" s="21">
        <v>7</v>
      </c>
      <c r="B1700" t="str">
        <f>VLOOKUP(A1700,Products!$A$1:$F$322,2,FALSE)</f>
        <v>Trek Slash 8 27.5 - 2016</v>
      </c>
      <c r="C1700" s="21" t="e">
        <f>VLOOKUP(A1700,Products!A$322:$D1700,4,FALSE)</f>
        <v>#N/A</v>
      </c>
    </row>
    <row r="1701" spans="1:3" x14ac:dyDescent="0.35">
      <c r="A1701" s="21">
        <v>24</v>
      </c>
      <c r="B1701" t="str">
        <f>VLOOKUP(A1701,Products!$A$1:$F$322,2,FALSE)</f>
        <v>Electra Townie Original 21D - 2016</v>
      </c>
      <c r="C1701" s="21" t="e">
        <f>VLOOKUP(A1701,Products!A$322:$D1701,4,FALSE)</f>
        <v>#N/A</v>
      </c>
    </row>
    <row r="1702" spans="1:3" x14ac:dyDescent="0.35">
      <c r="A1702" s="21">
        <v>10</v>
      </c>
      <c r="B1702" t="str">
        <f>VLOOKUP(A1702,Products!$A$1:$F$322,2,FALSE)</f>
        <v>Surly Straggler - 2016</v>
      </c>
      <c r="C1702" s="21" t="e">
        <f>VLOOKUP(A1702,Products!A$322:$D1702,4,FALSE)</f>
        <v>#N/A</v>
      </c>
    </row>
    <row r="1703" spans="1:3" x14ac:dyDescent="0.35">
      <c r="A1703" s="21">
        <v>7</v>
      </c>
      <c r="B1703" t="str">
        <f>VLOOKUP(A1703,Products!$A$1:$F$322,2,FALSE)</f>
        <v>Trek Slash 8 27.5 - 2016</v>
      </c>
      <c r="C1703" s="21" t="e">
        <f>VLOOKUP(A1703,Products!A$322:$D1703,4,FALSE)</f>
        <v>#N/A</v>
      </c>
    </row>
    <row r="1704" spans="1:3" x14ac:dyDescent="0.35">
      <c r="A1704" s="21">
        <v>22</v>
      </c>
      <c r="B1704" t="str">
        <f>VLOOKUP(A1704,Products!$A$1:$F$322,2,FALSE)</f>
        <v>Electra Girl's Hawaii 1 (16-inch) - 2015/2016</v>
      </c>
      <c r="C1704" s="21" t="e">
        <f>VLOOKUP(A1704,Products!A$322:$D1704,4,FALSE)</f>
        <v>#N/A</v>
      </c>
    </row>
    <row r="1705" spans="1:3" x14ac:dyDescent="0.35">
      <c r="A1705" s="21">
        <v>5</v>
      </c>
      <c r="B1705" t="str">
        <f>VLOOKUP(A1705,Products!$A$1:$F$322,2,FALSE)</f>
        <v>Heller Shagamaw Frame - 2016</v>
      </c>
      <c r="C1705" s="21" t="e">
        <f>VLOOKUP(A1705,Products!A$322:$D1705,4,FALSE)</f>
        <v>#N/A</v>
      </c>
    </row>
    <row r="1706" spans="1:3" x14ac:dyDescent="0.35">
      <c r="A1706" s="21">
        <v>26</v>
      </c>
      <c r="B1706" t="str">
        <f>VLOOKUP(A1706,Products!$A$1:$F$322,2,FALSE)</f>
        <v>Electra Townie Original 7D EQ - 2016</v>
      </c>
      <c r="C1706" s="21" t="e">
        <f>VLOOKUP(A1706,Products!A$322:$D1706,4,FALSE)</f>
        <v>#N/A</v>
      </c>
    </row>
    <row r="1707" spans="1:3" x14ac:dyDescent="0.35">
      <c r="A1707" s="21">
        <v>24</v>
      </c>
      <c r="B1707" t="str">
        <f>VLOOKUP(A1707,Products!$A$1:$F$322,2,FALSE)</f>
        <v>Electra Townie Original 21D - 2016</v>
      </c>
      <c r="C1707" s="21" t="e">
        <f>VLOOKUP(A1707,Products!A$322:$D1707,4,FALSE)</f>
        <v>#N/A</v>
      </c>
    </row>
    <row r="1708" spans="1:3" x14ac:dyDescent="0.35">
      <c r="A1708" s="21">
        <v>18</v>
      </c>
      <c r="B1708" t="str">
        <f>VLOOKUP(A1708,Products!$A$1:$F$322,2,FALSE)</f>
        <v>Pure Cycles Western 3-Speed - Women's - 2015/2016</v>
      </c>
      <c r="C1708" s="21" t="e">
        <f>VLOOKUP(A1708,Products!A$322:$D1708,4,FALSE)</f>
        <v>#N/A</v>
      </c>
    </row>
    <row r="1709" spans="1:3" x14ac:dyDescent="0.35">
      <c r="A1709" s="21">
        <v>3</v>
      </c>
      <c r="B1709" t="str">
        <f>VLOOKUP(A1709,Products!$A$1:$F$322,2,FALSE)</f>
        <v>Surly Wednesday Frameset - 2016</v>
      </c>
      <c r="C1709" s="21" t="e">
        <f>VLOOKUP(A1709,Products!A$322:$D1709,4,FALSE)</f>
        <v>#N/A</v>
      </c>
    </row>
    <row r="1710" spans="1:3" x14ac:dyDescent="0.35">
      <c r="A1710" s="21">
        <v>8</v>
      </c>
      <c r="B1710" t="str">
        <f>VLOOKUP(A1710,Products!$A$1:$F$322,2,FALSE)</f>
        <v>Trek Remedy 29 Carbon Frameset - 2016</v>
      </c>
      <c r="C1710" s="21" t="e">
        <f>VLOOKUP(A1710,Products!A$322:$D1710,4,FALSE)</f>
        <v>#N/A</v>
      </c>
    </row>
    <row r="1711" spans="1:3" x14ac:dyDescent="0.35">
      <c r="A1711" s="21">
        <v>16</v>
      </c>
      <c r="B1711" t="str">
        <f>VLOOKUP(A1711,Products!$A$1:$F$322,2,FALSE)</f>
        <v>Electra Townie Original 7D EQ - 2016</v>
      </c>
      <c r="C1711" s="21" t="e">
        <f>VLOOKUP(A1711,Products!A$322:$D1711,4,FALSE)</f>
        <v>#N/A</v>
      </c>
    </row>
    <row r="1712" spans="1:3" x14ac:dyDescent="0.35">
      <c r="A1712" s="21">
        <v>13</v>
      </c>
      <c r="B1712" t="str">
        <f>VLOOKUP(A1712,Products!$A$1:$F$322,2,FALSE)</f>
        <v>Electra Cruiser 1 (24-Inch) - 2016</v>
      </c>
      <c r="C1712" s="21" t="e">
        <f>VLOOKUP(A1712,Products!A$322:$D1712,4,FALSE)</f>
        <v>#N/A</v>
      </c>
    </row>
    <row r="1713" spans="1:3" x14ac:dyDescent="0.35">
      <c r="A1713" s="21">
        <v>14</v>
      </c>
      <c r="B1713" t="str">
        <f>VLOOKUP(A1713,Products!$A$1:$F$322,2,FALSE)</f>
        <v>Electra Girl's Hawaii 1 (16-inch) - 2015/2016</v>
      </c>
      <c r="C1713" s="21" t="e">
        <f>VLOOKUP(A1713,Products!A$322:$D1713,4,FALSE)</f>
        <v>#N/A</v>
      </c>
    </row>
    <row r="1714" spans="1:3" x14ac:dyDescent="0.35">
      <c r="A1714" s="21">
        <v>17</v>
      </c>
      <c r="B1714" t="str">
        <f>VLOOKUP(A1714,Products!$A$1:$F$322,2,FALSE)</f>
        <v>Pure Cycles Vine 8-Speed - 2016</v>
      </c>
      <c r="C1714" s="21" t="e">
        <f>VLOOKUP(A1714,Products!A$322:$D1714,4,FALSE)</f>
        <v>#N/A</v>
      </c>
    </row>
    <row r="1715" spans="1:3" x14ac:dyDescent="0.35">
      <c r="A1715" s="21">
        <v>20</v>
      </c>
      <c r="B1715" t="str">
        <f>VLOOKUP(A1715,Products!$A$1:$F$322,2,FALSE)</f>
        <v>Electra Townie Original 7D EQ - Women's - 2016</v>
      </c>
      <c r="C1715" s="21" t="e">
        <f>VLOOKUP(A1715,Products!A$322:$D1715,4,FALSE)</f>
        <v>#N/A</v>
      </c>
    </row>
    <row r="1716" spans="1:3" x14ac:dyDescent="0.35">
      <c r="A1716" s="21">
        <v>9</v>
      </c>
      <c r="B1716" t="str">
        <f>VLOOKUP(A1716,Products!$A$1:$F$322,2,FALSE)</f>
        <v>Trek Conduit+ - 2016</v>
      </c>
      <c r="C1716" s="21" t="e">
        <f>VLOOKUP(A1716,Products!A$322:$D1716,4,FALSE)</f>
        <v>#N/A</v>
      </c>
    </row>
    <row r="1717" spans="1:3" x14ac:dyDescent="0.35">
      <c r="A1717" s="21">
        <v>18</v>
      </c>
      <c r="B1717" t="str">
        <f>VLOOKUP(A1717,Products!$A$1:$F$322,2,FALSE)</f>
        <v>Pure Cycles Western 3-Speed - Women's - 2015/2016</v>
      </c>
      <c r="C1717" s="21" t="e">
        <f>VLOOKUP(A1717,Products!A$322:$D1717,4,FALSE)</f>
        <v>#N/A</v>
      </c>
    </row>
    <row r="1718" spans="1:3" x14ac:dyDescent="0.35">
      <c r="A1718" s="21">
        <v>12</v>
      </c>
      <c r="B1718" t="str">
        <f>VLOOKUP(A1718,Products!$A$1:$F$322,2,FALSE)</f>
        <v>Electra Townie Original 21D - 2016</v>
      </c>
      <c r="C1718" s="21" t="e">
        <f>VLOOKUP(A1718,Products!A$322:$D1718,4,FALSE)</f>
        <v>#N/A</v>
      </c>
    </row>
    <row r="1719" spans="1:3" x14ac:dyDescent="0.35">
      <c r="A1719" s="21">
        <v>18</v>
      </c>
      <c r="B1719" t="str">
        <f>VLOOKUP(A1719,Products!$A$1:$F$322,2,FALSE)</f>
        <v>Pure Cycles Western 3-Speed - Women's - 2015/2016</v>
      </c>
      <c r="C1719" s="21" t="e">
        <f>VLOOKUP(A1719,Products!A$322:$D1719,4,FALSE)</f>
        <v>#N/A</v>
      </c>
    </row>
    <row r="1720" spans="1:3" x14ac:dyDescent="0.35">
      <c r="A1720" s="21">
        <v>21</v>
      </c>
      <c r="B1720" t="str">
        <f>VLOOKUP(A1720,Products!$A$1:$F$322,2,FALSE)</f>
        <v>Electra Cruiser 1 (24-Inch) - 2016</v>
      </c>
      <c r="C1720" s="21" t="e">
        <f>VLOOKUP(A1720,Products!A$322:$D1720,4,FALSE)</f>
        <v>#N/A</v>
      </c>
    </row>
    <row r="1721" spans="1:3" x14ac:dyDescent="0.35">
      <c r="A1721" s="21">
        <v>11</v>
      </c>
      <c r="B1721" t="str">
        <f>VLOOKUP(A1721,Products!$A$1:$F$322,2,FALSE)</f>
        <v>Surly Straggler 650b - 2016</v>
      </c>
      <c r="C1721" s="21" t="e">
        <f>VLOOKUP(A1721,Products!A$322:$D1721,4,FALSE)</f>
        <v>#N/A</v>
      </c>
    </row>
    <row r="1722" spans="1:3" x14ac:dyDescent="0.35">
      <c r="A1722" s="21">
        <v>23</v>
      </c>
      <c r="B1722" t="str">
        <f>VLOOKUP(A1722,Products!$A$1:$F$322,2,FALSE)</f>
        <v>Electra Girl's Hawaii 1 (20-inch) - 2015/2016</v>
      </c>
      <c r="C1722" s="21" t="e">
        <f>VLOOKUP(A1722,Products!A$322:$D1722,4,FALSE)</f>
        <v>#N/A</v>
      </c>
    </row>
    <row r="1723" spans="1:3" x14ac:dyDescent="0.35">
      <c r="A1723" s="21">
        <v>6</v>
      </c>
      <c r="B1723" t="str">
        <f>VLOOKUP(A1723,Products!$A$1:$F$322,2,FALSE)</f>
        <v>Surly Ice Cream Truck Frameset - 2016</v>
      </c>
      <c r="C1723" s="21" t="e">
        <f>VLOOKUP(A1723,Products!A$322:$D1723,4,FALSE)</f>
        <v>#N/A</v>
      </c>
    </row>
    <row r="1724" spans="1:3" x14ac:dyDescent="0.35">
      <c r="A1724" s="21">
        <v>19</v>
      </c>
      <c r="B1724" t="str">
        <f>VLOOKUP(A1724,Products!$A$1:$F$322,2,FALSE)</f>
        <v>Pure Cycles William 3-Speed - 2016</v>
      </c>
      <c r="C1724" s="21" t="e">
        <f>VLOOKUP(A1724,Products!A$322:$D1724,4,FALSE)</f>
        <v>#N/A</v>
      </c>
    </row>
    <row r="1725" spans="1:3" x14ac:dyDescent="0.35">
      <c r="A1725" s="21">
        <v>24</v>
      </c>
      <c r="B1725" t="str">
        <f>VLOOKUP(A1725,Products!$A$1:$F$322,2,FALSE)</f>
        <v>Electra Townie Original 21D - 2016</v>
      </c>
      <c r="C1725" s="21" t="e">
        <f>VLOOKUP(A1725,Products!A$322:$D1725,4,FALSE)</f>
        <v>#N/A</v>
      </c>
    </row>
    <row r="1726" spans="1:3" x14ac:dyDescent="0.35">
      <c r="A1726" s="21">
        <v>16</v>
      </c>
      <c r="B1726" t="str">
        <f>VLOOKUP(A1726,Products!$A$1:$F$322,2,FALSE)</f>
        <v>Electra Townie Original 7D EQ - 2016</v>
      </c>
      <c r="C1726" s="21" t="e">
        <f>VLOOKUP(A1726,Products!A$322:$D1726,4,FALSE)</f>
        <v>#N/A</v>
      </c>
    </row>
    <row r="1727" spans="1:3" x14ac:dyDescent="0.35">
      <c r="A1727" s="21">
        <v>15</v>
      </c>
      <c r="B1727" t="str">
        <f>VLOOKUP(A1727,Products!$A$1:$F$322,2,FALSE)</f>
        <v>Electra Moto 1 - 2016</v>
      </c>
      <c r="C1727" s="21" t="e">
        <f>VLOOKUP(A1727,Products!A$322:$D1727,4,FALSE)</f>
        <v>#N/A</v>
      </c>
    </row>
    <row r="1728" spans="1:3" x14ac:dyDescent="0.35">
      <c r="A1728" s="21">
        <v>11</v>
      </c>
      <c r="B1728" t="str">
        <f>VLOOKUP(A1728,Products!$A$1:$F$322,2,FALSE)</f>
        <v>Surly Straggler 650b - 2016</v>
      </c>
      <c r="C1728" s="21" t="e">
        <f>VLOOKUP(A1728,Products!A$322:$D1728,4,FALSE)</f>
        <v>#N/A</v>
      </c>
    </row>
    <row r="1729" spans="1:3" x14ac:dyDescent="0.35">
      <c r="A1729" s="21">
        <v>17</v>
      </c>
      <c r="B1729" t="str">
        <f>VLOOKUP(A1729,Products!$A$1:$F$322,2,FALSE)</f>
        <v>Pure Cycles Vine 8-Speed - 2016</v>
      </c>
      <c r="C1729" s="21" t="e">
        <f>VLOOKUP(A1729,Products!A$322:$D1729,4,FALSE)</f>
        <v>#N/A</v>
      </c>
    </row>
    <row r="1730" spans="1:3" x14ac:dyDescent="0.35">
      <c r="A1730" s="21">
        <v>11</v>
      </c>
      <c r="B1730" t="str">
        <f>VLOOKUP(A1730,Products!$A$1:$F$322,2,FALSE)</f>
        <v>Surly Straggler 650b - 2016</v>
      </c>
      <c r="C1730" s="21" t="e">
        <f>VLOOKUP(A1730,Products!A$322:$D1730,4,FALSE)</f>
        <v>#N/A</v>
      </c>
    </row>
    <row r="1731" spans="1:3" x14ac:dyDescent="0.35">
      <c r="A1731" s="21">
        <v>25</v>
      </c>
      <c r="B1731" t="str">
        <f>VLOOKUP(A1731,Products!$A$1:$F$322,2,FALSE)</f>
        <v>Electra Townie Original 7D - 2015/2016</v>
      </c>
      <c r="C1731" s="21" t="e">
        <f>VLOOKUP(A1731,Products!A$322:$D1731,4,FALSE)</f>
        <v>#N/A</v>
      </c>
    </row>
    <row r="1732" spans="1:3" x14ac:dyDescent="0.35">
      <c r="A1732" s="21">
        <v>5</v>
      </c>
      <c r="B1732" t="str">
        <f>VLOOKUP(A1732,Products!$A$1:$F$322,2,FALSE)</f>
        <v>Heller Shagamaw Frame - 2016</v>
      </c>
      <c r="C1732" s="21" t="e">
        <f>VLOOKUP(A1732,Products!A$322:$D1732,4,FALSE)</f>
        <v>#N/A</v>
      </c>
    </row>
    <row r="1733" spans="1:3" x14ac:dyDescent="0.35">
      <c r="A1733" s="21">
        <v>17</v>
      </c>
      <c r="B1733" t="str">
        <f>VLOOKUP(A1733,Products!$A$1:$F$322,2,FALSE)</f>
        <v>Pure Cycles Vine 8-Speed - 2016</v>
      </c>
      <c r="C1733" s="21" t="e">
        <f>VLOOKUP(A1733,Products!A$322:$D1733,4,FALSE)</f>
        <v>#N/A</v>
      </c>
    </row>
    <row r="1734" spans="1:3" x14ac:dyDescent="0.35">
      <c r="A1734" s="21">
        <v>9</v>
      </c>
      <c r="B1734" t="str">
        <f>VLOOKUP(A1734,Products!$A$1:$F$322,2,FALSE)</f>
        <v>Trek Conduit+ - 2016</v>
      </c>
      <c r="C1734" s="21" t="e">
        <f>VLOOKUP(A1734,Products!A$322:$D1734,4,FALSE)</f>
        <v>#N/A</v>
      </c>
    </row>
    <row r="1735" spans="1:3" x14ac:dyDescent="0.35">
      <c r="A1735" s="21">
        <v>18</v>
      </c>
      <c r="B1735" t="str">
        <f>VLOOKUP(A1735,Products!$A$1:$F$322,2,FALSE)</f>
        <v>Pure Cycles Western 3-Speed - Women's - 2015/2016</v>
      </c>
      <c r="C1735" s="21" t="e">
        <f>VLOOKUP(A1735,Products!A$322:$D1735,4,FALSE)</f>
        <v>#N/A</v>
      </c>
    </row>
    <row r="1736" spans="1:3" x14ac:dyDescent="0.35">
      <c r="A1736" s="21">
        <v>10</v>
      </c>
      <c r="B1736" t="str">
        <f>VLOOKUP(A1736,Products!$A$1:$F$322,2,FALSE)</f>
        <v>Surly Straggler - 2016</v>
      </c>
      <c r="C1736" s="21" t="e">
        <f>VLOOKUP(A1736,Products!A$322:$D1736,4,FALSE)</f>
        <v>#N/A</v>
      </c>
    </row>
    <row r="1737" spans="1:3" x14ac:dyDescent="0.35">
      <c r="A1737" s="21">
        <v>25</v>
      </c>
      <c r="B1737" t="str">
        <f>VLOOKUP(A1737,Products!$A$1:$F$322,2,FALSE)</f>
        <v>Electra Townie Original 7D - 2015/2016</v>
      </c>
      <c r="C1737" s="21" t="e">
        <f>VLOOKUP(A1737,Products!A$322:$D1737,4,FALSE)</f>
        <v>#N/A</v>
      </c>
    </row>
    <row r="1738" spans="1:3" x14ac:dyDescent="0.35">
      <c r="A1738" s="21">
        <v>8</v>
      </c>
      <c r="B1738" t="str">
        <f>VLOOKUP(A1738,Products!$A$1:$F$322,2,FALSE)</f>
        <v>Trek Remedy 29 Carbon Frameset - 2016</v>
      </c>
      <c r="C1738" s="21" t="e">
        <f>VLOOKUP(A1738,Products!A$322:$D1738,4,FALSE)</f>
        <v>#N/A</v>
      </c>
    </row>
    <row r="1739" spans="1:3" x14ac:dyDescent="0.35">
      <c r="A1739" s="21">
        <v>21</v>
      </c>
      <c r="B1739" t="str">
        <f>VLOOKUP(A1739,Products!$A$1:$F$322,2,FALSE)</f>
        <v>Electra Cruiser 1 (24-Inch) - 2016</v>
      </c>
      <c r="C1739" s="21" t="e">
        <f>VLOOKUP(A1739,Products!A$322:$D1739,4,FALSE)</f>
        <v>#N/A</v>
      </c>
    </row>
    <row r="1740" spans="1:3" x14ac:dyDescent="0.35">
      <c r="A1740" s="21">
        <v>16</v>
      </c>
      <c r="B1740" t="str">
        <f>VLOOKUP(A1740,Products!$A$1:$F$322,2,FALSE)</f>
        <v>Electra Townie Original 7D EQ - 2016</v>
      </c>
      <c r="C1740" s="21" t="e">
        <f>VLOOKUP(A1740,Products!A$322:$D1740,4,FALSE)</f>
        <v>#N/A</v>
      </c>
    </row>
    <row r="1741" spans="1:3" x14ac:dyDescent="0.35">
      <c r="A1741" s="21">
        <v>22</v>
      </c>
      <c r="B1741" t="str">
        <f>VLOOKUP(A1741,Products!$A$1:$F$322,2,FALSE)</f>
        <v>Electra Girl's Hawaii 1 (16-inch) - 2015/2016</v>
      </c>
      <c r="C1741" s="21" t="e">
        <f>VLOOKUP(A1741,Products!A$322:$D1741,4,FALSE)</f>
        <v>#N/A</v>
      </c>
    </row>
    <row r="1742" spans="1:3" x14ac:dyDescent="0.35">
      <c r="A1742" s="21">
        <v>14</v>
      </c>
      <c r="B1742" t="str">
        <f>VLOOKUP(A1742,Products!$A$1:$F$322,2,FALSE)</f>
        <v>Electra Girl's Hawaii 1 (16-inch) - 2015/2016</v>
      </c>
      <c r="C1742" s="21" t="e">
        <f>VLOOKUP(A1742,Products!A$322:$D1742,4,FALSE)</f>
        <v>#N/A</v>
      </c>
    </row>
    <row r="1743" spans="1:3" x14ac:dyDescent="0.35">
      <c r="A1743" s="21">
        <v>17</v>
      </c>
      <c r="B1743" t="str">
        <f>VLOOKUP(A1743,Products!$A$1:$F$322,2,FALSE)</f>
        <v>Pure Cycles Vine 8-Speed - 2016</v>
      </c>
      <c r="C1743" s="21" t="e">
        <f>VLOOKUP(A1743,Products!A$322:$D1743,4,FALSE)</f>
        <v>#N/A</v>
      </c>
    </row>
    <row r="1744" spans="1:3" x14ac:dyDescent="0.35">
      <c r="A1744" s="21">
        <v>11</v>
      </c>
      <c r="B1744" t="str">
        <f>VLOOKUP(A1744,Products!$A$1:$F$322,2,FALSE)</f>
        <v>Surly Straggler 650b - 2016</v>
      </c>
      <c r="C1744" s="21" t="e">
        <f>VLOOKUP(A1744,Products!A$322:$D1744,4,FALSE)</f>
        <v>#N/A</v>
      </c>
    </row>
    <row r="1745" spans="1:3" x14ac:dyDescent="0.35">
      <c r="A1745" s="21">
        <v>26</v>
      </c>
      <c r="B1745" t="str">
        <f>VLOOKUP(A1745,Products!$A$1:$F$322,2,FALSE)</f>
        <v>Electra Townie Original 7D EQ - 2016</v>
      </c>
      <c r="C1745" s="21" t="e">
        <f>VLOOKUP(A1745,Products!A$322:$D1745,4,FALSE)</f>
        <v>#N/A</v>
      </c>
    </row>
    <row r="1746" spans="1:3" x14ac:dyDescent="0.35">
      <c r="A1746" s="21">
        <v>23</v>
      </c>
      <c r="B1746" t="str">
        <f>VLOOKUP(A1746,Products!$A$1:$F$322,2,FALSE)</f>
        <v>Electra Girl's Hawaii 1 (20-inch) - 2015/2016</v>
      </c>
      <c r="C1746" s="21" t="e">
        <f>VLOOKUP(A1746,Products!A$322:$D1746,4,FALSE)</f>
        <v>#N/A</v>
      </c>
    </row>
    <row r="1747" spans="1:3" x14ac:dyDescent="0.35">
      <c r="A1747" s="21">
        <v>15</v>
      </c>
      <c r="B1747" t="str">
        <f>VLOOKUP(A1747,Products!$A$1:$F$322,2,FALSE)</f>
        <v>Electra Moto 1 - 2016</v>
      </c>
      <c r="C1747" s="21" t="e">
        <f>VLOOKUP(A1747,Products!A$322:$D1747,4,FALSE)</f>
        <v>#N/A</v>
      </c>
    </row>
    <row r="1748" spans="1:3" x14ac:dyDescent="0.35">
      <c r="A1748" s="21">
        <v>19</v>
      </c>
      <c r="B1748" t="str">
        <f>VLOOKUP(A1748,Products!$A$1:$F$322,2,FALSE)</f>
        <v>Pure Cycles William 3-Speed - 2016</v>
      </c>
      <c r="C1748" s="21" t="e">
        <f>VLOOKUP(A1748,Products!A$322:$D1748,4,FALSE)</f>
        <v>#N/A</v>
      </c>
    </row>
    <row r="1749" spans="1:3" x14ac:dyDescent="0.35">
      <c r="A1749" s="21">
        <v>9</v>
      </c>
      <c r="B1749" t="str">
        <f>VLOOKUP(A1749,Products!$A$1:$F$322,2,FALSE)</f>
        <v>Trek Conduit+ - 2016</v>
      </c>
      <c r="C1749" s="21" t="e">
        <f>VLOOKUP(A1749,Products!A$322:$D1749,4,FALSE)</f>
        <v>#N/A</v>
      </c>
    </row>
    <row r="1750" spans="1:3" x14ac:dyDescent="0.35">
      <c r="A1750" s="21">
        <v>26</v>
      </c>
      <c r="B1750" t="str">
        <f>VLOOKUP(A1750,Products!$A$1:$F$322,2,FALSE)</f>
        <v>Electra Townie Original 7D EQ - 2016</v>
      </c>
      <c r="C1750" s="21" t="e">
        <f>VLOOKUP(A1750,Products!A$322:$D1750,4,FALSE)</f>
        <v>#N/A</v>
      </c>
    </row>
    <row r="1751" spans="1:3" x14ac:dyDescent="0.35">
      <c r="A1751" s="21">
        <v>15</v>
      </c>
      <c r="B1751" t="str">
        <f>VLOOKUP(A1751,Products!$A$1:$F$322,2,FALSE)</f>
        <v>Electra Moto 1 - 2016</v>
      </c>
      <c r="C1751" s="21" t="e">
        <f>VLOOKUP(A1751,Products!A$322:$D1751,4,FALSE)</f>
        <v>#N/A</v>
      </c>
    </row>
    <row r="1752" spans="1:3" x14ac:dyDescent="0.35">
      <c r="A1752" s="21">
        <v>19</v>
      </c>
      <c r="B1752" t="str">
        <f>VLOOKUP(A1752,Products!$A$1:$F$322,2,FALSE)</f>
        <v>Pure Cycles William 3-Speed - 2016</v>
      </c>
      <c r="C1752" s="21" t="e">
        <f>VLOOKUP(A1752,Products!A$322:$D1752,4,FALSE)</f>
        <v>#N/A</v>
      </c>
    </row>
    <row r="1753" spans="1:3" x14ac:dyDescent="0.35">
      <c r="A1753" s="21">
        <v>5</v>
      </c>
      <c r="B1753" t="str">
        <f>VLOOKUP(A1753,Products!$A$1:$F$322,2,FALSE)</f>
        <v>Heller Shagamaw Frame - 2016</v>
      </c>
      <c r="C1753" s="21" t="e">
        <f>VLOOKUP(A1753,Products!A$322:$D1753,4,FALSE)</f>
        <v>#N/A</v>
      </c>
    </row>
    <row r="1754" spans="1:3" x14ac:dyDescent="0.35">
      <c r="A1754" s="21">
        <v>23</v>
      </c>
      <c r="B1754" t="str">
        <f>VLOOKUP(A1754,Products!$A$1:$F$322,2,FALSE)</f>
        <v>Electra Girl's Hawaii 1 (20-inch) - 2015/2016</v>
      </c>
      <c r="C1754" s="21" t="e">
        <f>VLOOKUP(A1754,Products!A$322:$D1754,4,FALSE)</f>
        <v>#N/A</v>
      </c>
    </row>
    <row r="1755" spans="1:3" x14ac:dyDescent="0.35">
      <c r="A1755" s="21">
        <v>14</v>
      </c>
      <c r="B1755" t="str">
        <f>VLOOKUP(A1755,Products!$A$1:$F$322,2,FALSE)</f>
        <v>Electra Girl's Hawaii 1 (16-inch) - 2015/2016</v>
      </c>
      <c r="C1755" s="21" t="e">
        <f>VLOOKUP(A1755,Products!A$322:$D1755,4,FALSE)</f>
        <v>#N/A</v>
      </c>
    </row>
    <row r="1756" spans="1:3" x14ac:dyDescent="0.35">
      <c r="A1756" s="21">
        <v>6</v>
      </c>
      <c r="B1756" t="str">
        <f>VLOOKUP(A1756,Products!$A$1:$F$322,2,FALSE)</f>
        <v>Surly Ice Cream Truck Frameset - 2016</v>
      </c>
      <c r="C1756" s="21" t="e">
        <f>VLOOKUP(A1756,Products!A$322:$D1756,4,FALSE)</f>
        <v>#N/A</v>
      </c>
    </row>
    <row r="1757" spans="1:3" x14ac:dyDescent="0.35">
      <c r="A1757" s="21">
        <v>5</v>
      </c>
      <c r="B1757" t="str">
        <f>VLOOKUP(A1757,Products!$A$1:$F$322,2,FALSE)</f>
        <v>Heller Shagamaw Frame - 2016</v>
      </c>
      <c r="C1757" s="21" t="e">
        <f>VLOOKUP(A1757,Products!A$322:$D1757,4,FALSE)</f>
        <v>#N/A</v>
      </c>
    </row>
    <row r="1758" spans="1:3" x14ac:dyDescent="0.35">
      <c r="A1758" s="21">
        <v>25</v>
      </c>
      <c r="B1758" t="str">
        <f>VLOOKUP(A1758,Products!$A$1:$F$322,2,FALSE)</f>
        <v>Electra Townie Original 7D - 2015/2016</v>
      </c>
      <c r="C1758" s="21" t="e">
        <f>VLOOKUP(A1758,Products!A$322:$D1758,4,FALSE)</f>
        <v>#N/A</v>
      </c>
    </row>
    <row r="1759" spans="1:3" x14ac:dyDescent="0.35">
      <c r="A1759" s="21">
        <v>18</v>
      </c>
      <c r="B1759" t="str">
        <f>VLOOKUP(A1759,Products!$A$1:$F$322,2,FALSE)</f>
        <v>Pure Cycles Western 3-Speed - Women's - 2015/2016</v>
      </c>
      <c r="C1759" s="21" t="e">
        <f>VLOOKUP(A1759,Products!A$322:$D1759,4,FALSE)</f>
        <v>#N/A</v>
      </c>
    </row>
    <row r="1760" spans="1:3" x14ac:dyDescent="0.35">
      <c r="A1760" s="21">
        <v>21</v>
      </c>
      <c r="B1760" t="str">
        <f>VLOOKUP(A1760,Products!$A$1:$F$322,2,FALSE)</f>
        <v>Electra Cruiser 1 (24-Inch) - 2016</v>
      </c>
      <c r="C1760" s="21" t="e">
        <f>VLOOKUP(A1760,Products!A$322:$D1760,4,FALSE)</f>
        <v>#N/A</v>
      </c>
    </row>
    <row r="1761" spans="1:3" x14ac:dyDescent="0.35">
      <c r="A1761" s="21">
        <v>24</v>
      </c>
      <c r="B1761" t="str">
        <f>VLOOKUP(A1761,Products!$A$1:$F$322,2,FALSE)</f>
        <v>Electra Townie Original 21D - 2016</v>
      </c>
      <c r="C1761" s="21" t="e">
        <f>VLOOKUP(A1761,Products!A$322:$D1761,4,FALSE)</f>
        <v>#N/A</v>
      </c>
    </row>
    <row r="1762" spans="1:3" x14ac:dyDescent="0.35">
      <c r="A1762" s="21">
        <v>15</v>
      </c>
      <c r="B1762" t="str">
        <f>VLOOKUP(A1762,Products!$A$1:$F$322,2,FALSE)</f>
        <v>Electra Moto 1 - 2016</v>
      </c>
      <c r="C1762" s="21" t="e">
        <f>VLOOKUP(A1762,Products!A$322:$D1762,4,FALSE)</f>
        <v>#N/A</v>
      </c>
    </row>
    <row r="1763" spans="1:3" x14ac:dyDescent="0.35">
      <c r="A1763" s="21">
        <v>25</v>
      </c>
      <c r="B1763" t="str">
        <f>VLOOKUP(A1763,Products!$A$1:$F$322,2,FALSE)</f>
        <v>Electra Townie Original 7D - 2015/2016</v>
      </c>
      <c r="C1763" s="21" t="e">
        <f>VLOOKUP(A1763,Products!A$322:$D1763,4,FALSE)</f>
        <v>#N/A</v>
      </c>
    </row>
    <row r="1764" spans="1:3" x14ac:dyDescent="0.35">
      <c r="A1764" s="21">
        <v>11</v>
      </c>
      <c r="B1764" t="str">
        <f>VLOOKUP(A1764,Products!$A$1:$F$322,2,FALSE)</f>
        <v>Surly Straggler 650b - 2016</v>
      </c>
      <c r="C1764" s="21" t="e">
        <f>VLOOKUP(A1764,Products!A$322:$D1764,4,FALSE)</f>
        <v>#N/A</v>
      </c>
    </row>
    <row r="1765" spans="1:3" x14ac:dyDescent="0.35">
      <c r="A1765" s="21">
        <v>15</v>
      </c>
      <c r="B1765" t="str">
        <f>VLOOKUP(A1765,Products!$A$1:$F$322,2,FALSE)</f>
        <v>Electra Moto 1 - 2016</v>
      </c>
      <c r="C1765" s="21" t="e">
        <f>VLOOKUP(A1765,Products!A$322:$D1765,4,FALSE)</f>
        <v>#N/A</v>
      </c>
    </row>
    <row r="1766" spans="1:3" x14ac:dyDescent="0.35">
      <c r="A1766" s="21">
        <v>6</v>
      </c>
      <c r="B1766" t="str">
        <f>VLOOKUP(A1766,Products!$A$1:$F$322,2,FALSE)</f>
        <v>Surly Ice Cream Truck Frameset - 2016</v>
      </c>
      <c r="C1766" s="21" t="e">
        <f>VLOOKUP(A1766,Products!A$322:$D1766,4,FALSE)</f>
        <v>#N/A</v>
      </c>
    </row>
    <row r="1767" spans="1:3" x14ac:dyDescent="0.35">
      <c r="A1767" s="21">
        <v>22</v>
      </c>
      <c r="B1767" t="str">
        <f>VLOOKUP(A1767,Products!$A$1:$F$322,2,FALSE)</f>
        <v>Electra Girl's Hawaii 1 (16-inch) - 2015/2016</v>
      </c>
      <c r="C1767" s="21" t="e">
        <f>VLOOKUP(A1767,Products!A$322:$D1767,4,FALSE)</f>
        <v>#N/A</v>
      </c>
    </row>
    <row r="1768" spans="1:3" x14ac:dyDescent="0.35">
      <c r="A1768" s="21">
        <v>12</v>
      </c>
      <c r="B1768" t="str">
        <f>VLOOKUP(A1768,Products!$A$1:$F$322,2,FALSE)</f>
        <v>Electra Townie Original 21D - 2016</v>
      </c>
      <c r="C1768" s="21" t="e">
        <f>VLOOKUP(A1768,Products!A$322:$D1768,4,FALSE)</f>
        <v>#N/A</v>
      </c>
    </row>
    <row r="1769" spans="1:3" x14ac:dyDescent="0.35">
      <c r="A1769" s="21">
        <v>13</v>
      </c>
      <c r="B1769" t="str">
        <f>VLOOKUP(A1769,Products!$A$1:$F$322,2,FALSE)</f>
        <v>Electra Cruiser 1 (24-Inch) - 2016</v>
      </c>
      <c r="C1769" s="21" t="e">
        <f>VLOOKUP(A1769,Products!A$322:$D1769,4,FALSE)</f>
        <v>#N/A</v>
      </c>
    </row>
    <row r="1770" spans="1:3" x14ac:dyDescent="0.35">
      <c r="A1770" s="21">
        <v>5</v>
      </c>
      <c r="B1770" t="str">
        <f>VLOOKUP(A1770,Products!$A$1:$F$322,2,FALSE)</f>
        <v>Heller Shagamaw Frame - 2016</v>
      </c>
      <c r="C1770" s="21" t="e">
        <f>VLOOKUP(A1770,Products!A$322:$D1770,4,FALSE)</f>
        <v>#N/A</v>
      </c>
    </row>
    <row r="1771" spans="1:3" x14ac:dyDescent="0.35">
      <c r="A1771" s="21">
        <v>10</v>
      </c>
      <c r="B1771" t="str">
        <f>VLOOKUP(A1771,Products!$A$1:$F$322,2,FALSE)</f>
        <v>Surly Straggler - 2016</v>
      </c>
      <c r="C1771" s="21" t="e">
        <f>VLOOKUP(A1771,Products!A$322:$D1771,4,FALSE)</f>
        <v>#N/A</v>
      </c>
    </row>
    <row r="1772" spans="1:3" x14ac:dyDescent="0.35">
      <c r="A1772" s="21">
        <v>4</v>
      </c>
      <c r="B1772" t="str">
        <f>VLOOKUP(A1772,Products!$A$1:$F$322,2,FALSE)</f>
        <v>Trek Fuel EX 8 29 - 2016</v>
      </c>
      <c r="C1772" s="21" t="e">
        <f>VLOOKUP(A1772,Products!A$322:$D1772,4,FALSE)</f>
        <v>#N/A</v>
      </c>
    </row>
    <row r="1773" spans="1:3" x14ac:dyDescent="0.35">
      <c r="A1773" s="21">
        <v>12</v>
      </c>
      <c r="B1773" t="str">
        <f>VLOOKUP(A1773,Products!$A$1:$F$322,2,FALSE)</f>
        <v>Electra Townie Original 21D - 2016</v>
      </c>
      <c r="C1773" s="21" t="e">
        <f>VLOOKUP(A1773,Products!A$322:$D1773,4,FALSE)</f>
        <v>#N/A</v>
      </c>
    </row>
    <row r="1774" spans="1:3" x14ac:dyDescent="0.35">
      <c r="A1774" s="21">
        <v>4</v>
      </c>
      <c r="B1774" t="str">
        <f>VLOOKUP(A1774,Products!$A$1:$F$322,2,FALSE)</f>
        <v>Trek Fuel EX 8 29 - 2016</v>
      </c>
      <c r="C1774" s="21" t="e">
        <f>VLOOKUP(A1774,Products!A$322:$D1774,4,FALSE)</f>
        <v>#N/A</v>
      </c>
    </row>
    <row r="1775" spans="1:3" x14ac:dyDescent="0.35">
      <c r="A1775" s="21">
        <v>85</v>
      </c>
      <c r="B1775" t="str">
        <f>VLOOKUP(A1775,Products!$A$1:$F$322,2,FALSE)</f>
        <v>Haro Downtown 16 - 2017</v>
      </c>
      <c r="C1775" s="21" t="e">
        <f>VLOOKUP(A1775,Products!A$322:$D1775,4,FALSE)</f>
        <v>#N/A</v>
      </c>
    </row>
    <row r="1776" spans="1:3" x14ac:dyDescent="0.35">
      <c r="A1776" s="21">
        <v>9</v>
      </c>
      <c r="B1776" t="str">
        <f>VLOOKUP(A1776,Products!$A$1:$F$322,2,FALSE)</f>
        <v>Trek Conduit+ - 2016</v>
      </c>
      <c r="C1776" s="21" t="e">
        <f>VLOOKUP(A1776,Products!A$322:$D1776,4,FALSE)</f>
        <v>#N/A</v>
      </c>
    </row>
    <row r="1777" spans="1:3" x14ac:dyDescent="0.35">
      <c r="A1777" s="21">
        <v>106</v>
      </c>
      <c r="B1777" t="str">
        <f>VLOOKUP(A1777,Products!$A$1:$F$322,2,FALSE)</f>
        <v>Sun Bicycles Cruz 3 - 2017</v>
      </c>
      <c r="C1777" s="21" t="e">
        <f>VLOOKUP(A1777,Products!A$322:$D1777,4,FALSE)</f>
        <v>#N/A</v>
      </c>
    </row>
    <row r="1778" spans="1:3" x14ac:dyDescent="0.35">
      <c r="A1778" s="21">
        <v>103</v>
      </c>
      <c r="B1778" t="str">
        <f>VLOOKUP(A1778,Products!$A$1:$F$322,2,FALSE)</f>
        <v>Sun Bicycles Streamway 3 - 2017</v>
      </c>
      <c r="C1778" s="21" t="e">
        <f>VLOOKUP(A1778,Products!A$322:$D1778,4,FALSE)</f>
        <v>#N/A</v>
      </c>
    </row>
    <row r="1779" spans="1:3" x14ac:dyDescent="0.35">
      <c r="A1779" s="21">
        <v>56</v>
      </c>
      <c r="B1779" t="str">
        <f>VLOOKUP(A1779,Products!$A$1:$F$322,2,FALSE)</f>
        <v>Trek Domane SLR 6 Disc - 2017</v>
      </c>
      <c r="C1779" s="21" t="e">
        <f>VLOOKUP(A1779,Products!A$322:$D1779,4,FALSE)</f>
        <v>#N/A</v>
      </c>
    </row>
    <row r="1780" spans="1:3" x14ac:dyDescent="0.35">
      <c r="A1780" s="21">
        <v>53</v>
      </c>
      <c r="B1780" t="str">
        <f>VLOOKUP(A1780,Products!$A$1:$F$322,2,FALSE)</f>
        <v>Surly Ogre Frameset - 2017</v>
      </c>
      <c r="C1780" s="21" t="e">
        <f>VLOOKUP(A1780,Products!A$322:$D1780,4,FALSE)</f>
        <v>#N/A</v>
      </c>
    </row>
    <row r="1781" spans="1:3" x14ac:dyDescent="0.35">
      <c r="A1781" s="21">
        <v>15</v>
      </c>
      <c r="B1781" t="str">
        <f>VLOOKUP(A1781,Products!$A$1:$F$322,2,FALSE)</f>
        <v>Electra Moto 1 - 2016</v>
      </c>
      <c r="C1781" s="21" t="e">
        <f>VLOOKUP(A1781,Products!A$322:$D1781,4,FALSE)</f>
        <v>#N/A</v>
      </c>
    </row>
    <row r="1782" spans="1:3" x14ac:dyDescent="0.35">
      <c r="A1782" s="21">
        <v>73</v>
      </c>
      <c r="B1782" t="str">
        <f>VLOOKUP(A1782,Products!$A$1:$F$322,2,FALSE)</f>
        <v>Sun Bicycles Brickell Tandem 7 - 2017</v>
      </c>
      <c r="C1782" s="21" t="e">
        <f>VLOOKUP(A1782,Products!A$322:$D1782,4,FALSE)</f>
        <v>#N/A</v>
      </c>
    </row>
    <row r="1783" spans="1:3" x14ac:dyDescent="0.35">
      <c r="A1783" s="21">
        <v>72</v>
      </c>
      <c r="B1783" t="str">
        <f>VLOOKUP(A1783,Products!$A$1:$F$322,2,FALSE)</f>
        <v>Sun Bicycles Biscayne Tandem 7 - 2017</v>
      </c>
      <c r="C1783" s="21" t="e">
        <f>VLOOKUP(A1783,Products!A$322:$D1783,4,FALSE)</f>
        <v>#N/A</v>
      </c>
    </row>
    <row r="1784" spans="1:3" x14ac:dyDescent="0.35">
      <c r="A1784" s="21">
        <v>61</v>
      </c>
      <c r="B1784" t="str">
        <f>VLOOKUP(A1784,Products!$A$1:$F$322,2,FALSE)</f>
        <v>Trek Powerfly 8 FS Plus - 2017</v>
      </c>
      <c r="C1784" s="21" t="e">
        <f>VLOOKUP(A1784,Products!A$322:$D1784,4,FALSE)</f>
        <v>#N/A</v>
      </c>
    </row>
    <row r="1785" spans="1:3" x14ac:dyDescent="0.35">
      <c r="A1785" s="21">
        <v>106</v>
      </c>
      <c r="B1785" t="str">
        <f>VLOOKUP(A1785,Products!$A$1:$F$322,2,FALSE)</f>
        <v>Sun Bicycles Cruz 3 - 2017</v>
      </c>
      <c r="C1785" s="21" t="e">
        <f>VLOOKUP(A1785,Products!A$322:$D1785,4,FALSE)</f>
        <v>#N/A</v>
      </c>
    </row>
    <row r="1786" spans="1:3" x14ac:dyDescent="0.35">
      <c r="A1786" s="21">
        <v>32</v>
      </c>
      <c r="B1786" t="str">
        <f>VLOOKUP(A1786,Products!$A$1:$F$322,2,FALSE)</f>
        <v>Trek Farley Alloy Frameset - 2017</v>
      </c>
      <c r="C1786" s="21" t="e">
        <f>VLOOKUP(A1786,Products!A$322:$D1786,4,FALSE)</f>
        <v>#N/A</v>
      </c>
    </row>
    <row r="1787" spans="1:3" x14ac:dyDescent="0.35">
      <c r="A1787" s="21">
        <v>30</v>
      </c>
      <c r="B1787" t="str">
        <f>VLOOKUP(A1787,Products!$A$1:$F$322,2,FALSE)</f>
        <v>Surly Ice Cream Truck Frameset - 2017</v>
      </c>
      <c r="C1787" s="21" t="e">
        <f>VLOOKUP(A1787,Products!A$322:$D1787,4,FALSE)</f>
        <v>#N/A</v>
      </c>
    </row>
    <row r="1788" spans="1:3" x14ac:dyDescent="0.35">
      <c r="A1788" s="21">
        <v>76</v>
      </c>
      <c r="B1788" t="str">
        <f>VLOOKUP(A1788,Products!$A$1:$F$322,2,FALSE)</f>
        <v>Electra Girl's Hawaii 1 16" - 2017</v>
      </c>
      <c r="C1788" s="21" t="e">
        <f>VLOOKUP(A1788,Products!A$322:$D1788,4,FALSE)</f>
        <v>#N/A</v>
      </c>
    </row>
    <row r="1789" spans="1:3" x14ac:dyDescent="0.35">
      <c r="A1789" s="21">
        <v>109</v>
      </c>
      <c r="B1789" t="str">
        <f>VLOOKUP(A1789,Products!$A$1:$F$322,2,FALSE)</f>
        <v>Sun Bicycles Cruz 7 - Women's - 2017</v>
      </c>
      <c r="C1789" s="21" t="e">
        <f>VLOOKUP(A1789,Products!A$322:$D1789,4,FALSE)</f>
        <v>#N/A</v>
      </c>
    </row>
    <row r="1790" spans="1:3" x14ac:dyDescent="0.35">
      <c r="A1790" s="21">
        <v>15</v>
      </c>
      <c r="B1790" t="str">
        <f>VLOOKUP(A1790,Products!$A$1:$F$322,2,FALSE)</f>
        <v>Electra Moto 1 - 2016</v>
      </c>
      <c r="C1790" s="21" t="e">
        <f>VLOOKUP(A1790,Products!A$322:$D1790,4,FALSE)</f>
        <v>#N/A</v>
      </c>
    </row>
    <row r="1791" spans="1:3" x14ac:dyDescent="0.35">
      <c r="A1791" s="21">
        <v>62</v>
      </c>
      <c r="B1791" t="str">
        <f>VLOOKUP(A1791,Products!$A$1:$F$322,2,FALSE)</f>
        <v>Trek Boone 7 - 2017</v>
      </c>
      <c r="C1791" s="21" t="e">
        <f>VLOOKUP(A1791,Products!A$322:$D1791,4,FALSE)</f>
        <v>#N/A</v>
      </c>
    </row>
    <row r="1792" spans="1:3" x14ac:dyDescent="0.35">
      <c r="A1792" s="21">
        <v>64</v>
      </c>
      <c r="B1792" t="str">
        <f>VLOOKUP(A1792,Products!$A$1:$F$322,2,FALSE)</f>
        <v>Electra Townie Original 7D - 2017</v>
      </c>
      <c r="C1792" s="21" t="e">
        <f>VLOOKUP(A1792,Products!A$322:$D1792,4,FALSE)</f>
        <v>#N/A</v>
      </c>
    </row>
    <row r="1793" spans="1:3" x14ac:dyDescent="0.35">
      <c r="A1793" s="21">
        <v>68</v>
      </c>
      <c r="B1793" t="str">
        <f>VLOOKUP(A1793,Products!$A$1:$F$322,2,FALSE)</f>
        <v>Sun Bicycles Cruz 3 - 2017</v>
      </c>
      <c r="C1793" s="21" t="e">
        <f>VLOOKUP(A1793,Products!A$322:$D1793,4,FALSE)</f>
        <v>#N/A</v>
      </c>
    </row>
    <row r="1794" spans="1:3" x14ac:dyDescent="0.35">
      <c r="A1794" s="21">
        <v>53</v>
      </c>
      <c r="B1794" t="str">
        <f>VLOOKUP(A1794,Products!$A$1:$F$322,2,FALSE)</f>
        <v>Surly Ogre Frameset - 2017</v>
      </c>
      <c r="C1794" s="21" t="e">
        <f>VLOOKUP(A1794,Products!A$322:$D1794,4,FALSE)</f>
        <v>#N/A</v>
      </c>
    </row>
    <row r="1795" spans="1:3" x14ac:dyDescent="0.35">
      <c r="A1795" s="21">
        <v>9</v>
      </c>
      <c r="B1795" t="str">
        <f>VLOOKUP(A1795,Products!$A$1:$F$322,2,FALSE)</f>
        <v>Trek Conduit+ - 2016</v>
      </c>
      <c r="C1795" s="21" t="e">
        <f>VLOOKUP(A1795,Products!A$322:$D1795,4,FALSE)</f>
        <v>#N/A</v>
      </c>
    </row>
    <row r="1796" spans="1:3" x14ac:dyDescent="0.35">
      <c r="A1796" s="21">
        <v>99</v>
      </c>
      <c r="B1796" t="str">
        <f>VLOOKUP(A1796,Products!$A$1:$F$322,2,FALSE)</f>
        <v>Electra Sugar Skulls 1 (20-inch) - Girl's - 2017</v>
      </c>
      <c r="C1796" s="21" t="e">
        <f>VLOOKUP(A1796,Products!A$322:$D1796,4,FALSE)</f>
        <v>#N/A</v>
      </c>
    </row>
    <row r="1797" spans="1:3" x14ac:dyDescent="0.35">
      <c r="A1797" s="21">
        <v>42</v>
      </c>
      <c r="B1797" t="str">
        <f>VLOOKUP(A1797,Products!$A$1:$F$322,2,FALSE)</f>
        <v>Trek Fuel EX 5 27.5 Plus - 2017</v>
      </c>
      <c r="C1797" s="21" t="e">
        <f>VLOOKUP(A1797,Products!A$322:$D1797,4,FALSE)</f>
        <v>#N/A</v>
      </c>
    </row>
    <row r="1798" spans="1:3" x14ac:dyDescent="0.35">
      <c r="A1798" s="21">
        <v>6</v>
      </c>
      <c r="B1798" t="str">
        <f>VLOOKUP(A1798,Products!$A$1:$F$322,2,FALSE)</f>
        <v>Surly Ice Cream Truck Frameset - 2016</v>
      </c>
      <c r="C1798" s="21" t="e">
        <f>VLOOKUP(A1798,Products!A$322:$D1798,4,FALSE)</f>
        <v>#N/A</v>
      </c>
    </row>
    <row r="1799" spans="1:3" x14ac:dyDescent="0.35">
      <c r="A1799" s="21">
        <v>47</v>
      </c>
      <c r="B1799" t="str">
        <f>VLOOKUP(A1799,Products!$A$1:$F$322,2,FALSE)</f>
        <v>Trek Remedy 9.8 - 2017</v>
      </c>
      <c r="C1799" s="21" t="e">
        <f>VLOOKUP(A1799,Products!A$322:$D1799,4,FALSE)</f>
        <v>#N/A</v>
      </c>
    </row>
    <row r="1800" spans="1:3" x14ac:dyDescent="0.35">
      <c r="A1800" s="21">
        <v>21</v>
      </c>
      <c r="B1800" t="str">
        <f>VLOOKUP(A1800,Products!$A$1:$F$322,2,FALSE)</f>
        <v>Electra Cruiser 1 (24-Inch) - 2016</v>
      </c>
      <c r="C1800" s="21" t="e">
        <f>VLOOKUP(A1800,Products!A$322:$D1800,4,FALSE)</f>
        <v>#N/A</v>
      </c>
    </row>
    <row r="1801" spans="1:3" x14ac:dyDescent="0.35">
      <c r="A1801" s="21">
        <v>15</v>
      </c>
      <c r="B1801" t="str">
        <f>VLOOKUP(A1801,Products!$A$1:$F$322,2,FALSE)</f>
        <v>Electra Moto 1 - 2016</v>
      </c>
      <c r="C1801" s="21" t="e">
        <f>VLOOKUP(A1801,Products!A$322:$D1801,4,FALSE)</f>
        <v>#N/A</v>
      </c>
    </row>
    <row r="1802" spans="1:3" x14ac:dyDescent="0.35">
      <c r="A1802" s="21">
        <v>4</v>
      </c>
      <c r="B1802" t="str">
        <f>VLOOKUP(A1802,Products!$A$1:$F$322,2,FALSE)</f>
        <v>Trek Fuel EX 8 29 - 2016</v>
      </c>
      <c r="C1802" s="21" t="e">
        <f>VLOOKUP(A1802,Products!A$322:$D1802,4,FALSE)</f>
        <v>#N/A</v>
      </c>
    </row>
    <row r="1803" spans="1:3" x14ac:dyDescent="0.35">
      <c r="A1803" s="21">
        <v>95</v>
      </c>
      <c r="B1803" t="str">
        <f>VLOOKUP(A1803,Products!$A$1:$F$322,2,FALSE)</f>
        <v>Electra Girl's Hawaii 1 16" - 2017</v>
      </c>
      <c r="C1803" s="21" t="e">
        <f>VLOOKUP(A1803,Products!A$322:$D1803,4,FALSE)</f>
        <v>#N/A</v>
      </c>
    </row>
    <row r="1804" spans="1:3" x14ac:dyDescent="0.35">
      <c r="A1804" s="21">
        <v>12</v>
      </c>
      <c r="B1804" t="str">
        <f>VLOOKUP(A1804,Products!$A$1:$F$322,2,FALSE)</f>
        <v>Electra Townie Original 21D - 2016</v>
      </c>
      <c r="C1804" s="21" t="e">
        <f>VLOOKUP(A1804,Products!A$322:$D1804,4,FALSE)</f>
        <v>#N/A</v>
      </c>
    </row>
    <row r="1805" spans="1:3" x14ac:dyDescent="0.35">
      <c r="A1805" s="21">
        <v>25</v>
      </c>
      <c r="B1805" t="str">
        <f>VLOOKUP(A1805,Products!$A$1:$F$322,2,FALSE)</f>
        <v>Electra Townie Original 7D - 2015/2016</v>
      </c>
      <c r="C1805" s="21" t="e">
        <f>VLOOKUP(A1805,Products!A$322:$D1805,4,FALSE)</f>
        <v>#N/A</v>
      </c>
    </row>
    <row r="1806" spans="1:3" x14ac:dyDescent="0.35">
      <c r="A1806" s="21">
        <v>13</v>
      </c>
      <c r="B1806" t="str">
        <f>VLOOKUP(A1806,Products!$A$1:$F$322,2,FALSE)</f>
        <v>Electra Cruiser 1 (24-Inch) - 2016</v>
      </c>
      <c r="C1806" s="21" t="e">
        <f>VLOOKUP(A1806,Products!A$322:$D1806,4,FALSE)</f>
        <v>#N/A</v>
      </c>
    </row>
    <row r="1807" spans="1:3" x14ac:dyDescent="0.35">
      <c r="A1807" s="21">
        <v>24</v>
      </c>
      <c r="B1807" t="str">
        <f>VLOOKUP(A1807,Products!$A$1:$F$322,2,FALSE)</f>
        <v>Electra Townie Original 21D - 2016</v>
      </c>
      <c r="C1807" s="21" t="e">
        <f>VLOOKUP(A1807,Products!A$322:$D1807,4,FALSE)</f>
        <v>#N/A</v>
      </c>
    </row>
    <row r="1808" spans="1:3" x14ac:dyDescent="0.35">
      <c r="A1808" s="21">
        <v>97</v>
      </c>
      <c r="B1808" t="str">
        <f>VLOOKUP(A1808,Products!$A$1:$F$322,2,FALSE)</f>
        <v>Electra Savannah 3i (20-inch) - Girl's - 2017</v>
      </c>
      <c r="C1808" s="21" t="e">
        <f>VLOOKUP(A1808,Products!A$322:$D1808,4,FALSE)</f>
        <v>#N/A</v>
      </c>
    </row>
    <row r="1809" spans="1:3" x14ac:dyDescent="0.35">
      <c r="A1809" s="21">
        <v>90</v>
      </c>
      <c r="B1809" t="str">
        <f>VLOOKUP(A1809,Products!$A$1:$F$322,2,FALSE)</f>
        <v>Trek Precaliber 16 Girls - 2017</v>
      </c>
      <c r="C1809" s="21" t="e">
        <f>VLOOKUP(A1809,Products!A$322:$D1809,4,FALSE)</f>
        <v>#N/A</v>
      </c>
    </row>
    <row r="1810" spans="1:3" x14ac:dyDescent="0.35">
      <c r="A1810" s="21">
        <v>11</v>
      </c>
      <c r="B1810" t="str">
        <f>VLOOKUP(A1810,Products!$A$1:$F$322,2,FALSE)</f>
        <v>Surly Straggler 650b - 2016</v>
      </c>
      <c r="C1810" s="21" t="e">
        <f>VLOOKUP(A1810,Products!A$322:$D1810,4,FALSE)</f>
        <v>#N/A</v>
      </c>
    </row>
    <row r="1811" spans="1:3" x14ac:dyDescent="0.35">
      <c r="A1811" s="21">
        <v>78</v>
      </c>
      <c r="B1811" t="str">
        <f>VLOOKUP(A1811,Products!$A$1:$F$322,2,FALSE)</f>
        <v>Sun Bicycles Biscayne Tandem CB - 2017</v>
      </c>
      <c r="C1811" s="21" t="e">
        <f>VLOOKUP(A1811,Products!A$322:$D1811,4,FALSE)</f>
        <v>#N/A</v>
      </c>
    </row>
    <row r="1812" spans="1:3" x14ac:dyDescent="0.35">
      <c r="A1812" s="21">
        <v>3</v>
      </c>
      <c r="B1812" t="str">
        <f>VLOOKUP(A1812,Products!$A$1:$F$322,2,FALSE)</f>
        <v>Surly Wednesday Frameset - 2016</v>
      </c>
      <c r="C1812" s="21" t="e">
        <f>VLOOKUP(A1812,Products!A$322:$D1812,4,FALSE)</f>
        <v>#N/A</v>
      </c>
    </row>
    <row r="1813" spans="1:3" x14ac:dyDescent="0.35">
      <c r="A1813" s="21">
        <v>79</v>
      </c>
      <c r="B1813" t="str">
        <f>VLOOKUP(A1813,Products!$A$1:$F$322,2,FALSE)</f>
        <v>Sun Bicycles Boardwalk (24-inch Wheels) - 2017</v>
      </c>
      <c r="C1813" s="21" t="e">
        <f>VLOOKUP(A1813,Products!A$322:$D1813,4,FALSE)</f>
        <v>#N/A</v>
      </c>
    </row>
    <row r="1814" spans="1:3" x14ac:dyDescent="0.35">
      <c r="A1814" s="21">
        <v>85</v>
      </c>
      <c r="B1814" t="str">
        <f>VLOOKUP(A1814,Products!$A$1:$F$322,2,FALSE)</f>
        <v>Haro Downtown 16 - 2017</v>
      </c>
      <c r="C1814" s="21" t="e">
        <f>VLOOKUP(A1814,Products!A$322:$D1814,4,FALSE)</f>
        <v>#N/A</v>
      </c>
    </row>
    <row r="1815" spans="1:3" x14ac:dyDescent="0.35">
      <c r="A1815" s="21">
        <v>102</v>
      </c>
      <c r="B1815" t="str">
        <f>VLOOKUP(A1815,Products!$A$1:$F$322,2,FALSE)</f>
        <v>Electra Townie Original 7D - 2017</v>
      </c>
      <c r="C1815" s="21" t="e">
        <f>VLOOKUP(A1815,Products!A$322:$D1815,4,FALSE)</f>
        <v>#N/A</v>
      </c>
    </row>
    <row r="1816" spans="1:3" x14ac:dyDescent="0.35">
      <c r="A1816" s="21">
        <v>94</v>
      </c>
      <c r="B1816" t="str">
        <f>VLOOKUP(A1816,Products!$A$1:$F$322,2,FALSE)</f>
        <v>Haro Shredder Pro 20 - 2017</v>
      </c>
      <c r="C1816" s="21" t="e">
        <f>VLOOKUP(A1816,Products!A$322:$D1816,4,FALSE)</f>
        <v>#N/A</v>
      </c>
    </row>
    <row r="1817" spans="1:3" x14ac:dyDescent="0.35">
      <c r="A1817" s="21">
        <v>102</v>
      </c>
      <c r="B1817" t="str">
        <f>VLOOKUP(A1817,Products!$A$1:$F$322,2,FALSE)</f>
        <v>Electra Townie Original 7D - 2017</v>
      </c>
      <c r="C1817" s="21" t="e">
        <f>VLOOKUP(A1817,Products!A$322:$D1817,4,FALSE)</f>
        <v>#N/A</v>
      </c>
    </row>
    <row r="1818" spans="1:3" x14ac:dyDescent="0.35">
      <c r="A1818" s="21">
        <v>62</v>
      </c>
      <c r="B1818" t="str">
        <f>VLOOKUP(A1818,Products!$A$1:$F$322,2,FALSE)</f>
        <v>Trek Boone 7 - 2017</v>
      </c>
      <c r="C1818" s="21" t="e">
        <f>VLOOKUP(A1818,Products!A$322:$D1818,4,FALSE)</f>
        <v>#N/A</v>
      </c>
    </row>
    <row r="1819" spans="1:3" x14ac:dyDescent="0.35">
      <c r="A1819" s="21">
        <v>67</v>
      </c>
      <c r="B1819" t="str">
        <f>VLOOKUP(A1819,Products!$A$1:$F$322,2,FALSE)</f>
        <v>Sun Bicycles Revolutions 24 - Girl's - 2017</v>
      </c>
      <c r="C1819" s="21" t="e">
        <f>VLOOKUP(A1819,Products!A$322:$D1819,4,FALSE)</f>
        <v>#N/A</v>
      </c>
    </row>
    <row r="1820" spans="1:3" x14ac:dyDescent="0.35">
      <c r="A1820" s="21">
        <v>23</v>
      </c>
      <c r="B1820" t="str">
        <f>VLOOKUP(A1820,Products!$A$1:$F$322,2,FALSE)</f>
        <v>Electra Girl's Hawaii 1 (20-inch) - 2015/2016</v>
      </c>
      <c r="C1820" s="21" t="e">
        <f>VLOOKUP(A1820,Products!A$322:$D1820,4,FALSE)</f>
        <v>#N/A</v>
      </c>
    </row>
    <row r="1821" spans="1:3" x14ac:dyDescent="0.35">
      <c r="A1821" s="21">
        <v>74</v>
      </c>
      <c r="B1821" t="str">
        <f>VLOOKUP(A1821,Products!$A$1:$F$322,2,FALSE)</f>
        <v>Electra Cruiser Lux 1 - 2017</v>
      </c>
      <c r="C1821" s="21" t="e">
        <f>VLOOKUP(A1821,Products!A$322:$D1821,4,FALSE)</f>
        <v>#N/A</v>
      </c>
    </row>
    <row r="1822" spans="1:3" x14ac:dyDescent="0.35">
      <c r="A1822" s="21">
        <v>6</v>
      </c>
      <c r="B1822" t="str">
        <f>VLOOKUP(A1822,Products!$A$1:$F$322,2,FALSE)</f>
        <v>Surly Ice Cream Truck Frameset - 2016</v>
      </c>
      <c r="C1822" s="21" t="e">
        <f>VLOOKUP(A1822,Products!A$322:$D1822,4,FALSE)</f>
        <v>#N/A</v>
      </c>
    </row>
    <row r="1823" spans="1:3" x14ac:dyDescent="0.35">
      <c r="A1823" s="21">
        <v>43</v>
      </c>
      <c r="B1823" t="str">
        <f>VLOOKUP(A1823,Products!$A$1:$F$322,2,FALSE)</f>
        <v>Trek Fuel EX 9.8 27.5 Plus - 2017</v>
      </c>
      <c r="C1823" s="21" t="e">
        <f>VLOOKUP(A1823,Products!A$322:$D1823,4,FALSE)</f>
        <v>#N/A</v>
      </c>
    </row>
    <row r="1824" spans="1:3" x14ac:dyDescent="0.35">
      <c r="A1824" s="21">
        <v>2</v>
      </c>
      <c r="B1824" t="str">
        <f>VLOOKUP(A1824,Products!$A$1:$F$322,2,FALSE)</f>
        <v>Ritchey Timberwolf Frameset - 2016</v>
      </c>
      <c r="C1824" s="21" t="e">
        <f>VLOOKUP(A1824,Products!A$322:$D1824,4,FALSE)</f>
        <v>#N/A</v>
      </c>
    </row>
    <row r="1825" spans="1:3" x14ac:dyDescent="0.35">
      <c r="A1825" s="21">
        <v>80</v>
      </c>
      <c r="B1825" t="str">
        <f>VLOOKUP(A1825,Products!$A$1:$F$322,2,FALSE)</f>
        <v>Sun Bicycles Brickell Tandem CB - 2017</v>
      </c>
      <c r="C1825" s="21" t="e">
        <f>VLOOKUP(A1825,Products!A$322:$D1825,4,FALSE)</f>
        <v>#N/A</v>
      </c>
    </row>
    <row r="1826" spans="1:3" x14ac:dyDescent="0.35">
      <c r="A1826" s="21">
        <v>88</v>
      </c>
      <c r="B1826" t="str">
        <f>VLOOKUP(A1826,Products!$A$1:$F$322,2,FALSE)</f>
        <v>Trek Precaliber 12 Girls - 2017</v>
      </c>
      <c r="C1826" s="21" t="e">
        <f>VLOOKUP(A1826,Products!A$322:$D1826,4,FALSE)</f>
        <v>#N/A</v>
      </c>
    </row>
    <row r="1827" spans="1:3" x14ac:dyDescent="0.35">
      <c r="A1827" s="21">
        <v>9</v>
      </c>
      <c r="B1827" t="str">
        <f>VLOOKUP(A1827,Products!$A$1:$F$322,2,FALSE)</f>
        <v>Trek Conduit+ - 2016</v>
      </c>
      <c r="C1827" s="21" t="e">
        <f>VLOOKUP(A1827,Products!A$322:$D1827,4,FALSE)</f>
        <v>#N/A</v>
      </c>
    </row>
    <row r="1828" spans="1:3" x14ac:dyDescent="0.35">
      <c r="A1828" s="21">
        <v>95</v>
      </c>
      <c r="B1828" t="str">
        <f>VLOOKUP(A1828,Products!$A$1:$F$322,2,FALSE)</f>
        <v>Electra Girl's Hawaii 1 16" - 2017</v>
      </c>
      <c r="C1828" s="21" t="e">
        <f>VLOOKUP(A1828,Products!A$322:$D1828,4,FALSE)</f>
        <v>#N/A</v>
      </c>
    </row>
    <row r="1829" spans="1:3" x14ac:dyDescent="0.35">
      <c r="A1829" s="21">
        <v>110</v>
      </c>
      <c r="B1829" t="str">
        <f>VLOOKUP(A1829,Products!$A$1:$F$322,2,FALSE)</f>
        <v>Sun Bicycles Drifter 7 - 2017</v>
      </c>
      <c r="C1829" s="21" t="e">
        <f>VLOOKUP(A1829,Products!A$322:$D1829,4,FALSE)</f>
        <v>#N/A</v>
      </c>
    </row>
    <row r="1830" spans="1:3" x14ac:dyDescent="0.35">
      <c r="A1830" s="21">
        <v>97</v>
      </c>
      <c r="B1830" t="str">
        <f>VLOOKUP(A1830,Products!$A$1:$F$322,2,FALSE)</f>
        <v>Electra Savannah 3i (20-inch) - Girl's - 2017</v>
      </c>
      <c r="C1830" s="21" t="e">
        <f>VLOOKUP(A1830,Products!A$322:$D1830,4,FALSE)</f>
        <v>#N/A</v>
      </c>
    </row>
    <row r="1831" spans="1:3" x14ac:dyDescent="0.35">
      <c r="A1831" s="21">
        <v>67</v>
      </c>
      <c r="B1831" t="str">
        <f>VLOOKUP(A1831,Products!$A$1:$F$322,2,FALSE)</f>
        <v>Sun Bicycles Revolutions 24 - Girl's - 2017</v>
      </c>
      <c r="C1831" s="21" t="e">
        <f>VLOOKUP(A1831,Products!A$322:$D1831,4,FALSE)</f>
        <v>#N/A</v>
      </c>
    </row>
    <row r="1832" spans="1:3" x14ac:dyDescent="0.35">
      <c r="A1832" s="21">
        <v>83</v>
      </c>
      <c r="B1832" t="str">
        <f>VLOOKUP(A1832,Products!$A$1:$F$322,2,FALSE)</f>
        <v>Trek Boy's Kickster - 2015/2017</v>
      </c>
      <c r="C1832" s="21" t="e">
        <f>VLOOKUP(A1832,Products!A$322:$D1832,4,FALSE)</f>
        <v>#N/A</v>
      </c>
    </row>
    <row r="1833" spans="1:3" x14ac:dyDescent="0.35">
      <c r="A1833" s="21">
        <v>22</v>
      </c>
      <c r="B1833" t="str">
        <f>VLOOKUP(A1833,Products!$A$1:$F$322,2,FALSE)</f>
        <v>Electra Girl's Hawaii 1 (16-inch) - 2015/2016</v>
      </c>
      <c r="C1833" s="21" t="e">
        <f>VLOOKUP(A1833,Products!A$322:$D1833,4,FALSE)</f>
        <v>#N/A</v>
      </c>
    </row>
    <row r="1834" spans="1:3" x14ac:dyDescent="0.35">
      <c r="A1834" s="21">
        <v>33</v>
      </c>
      <c r="B1834" t="str">
        <f>VLOOKUP(A1834,Products!$A$1:$F$322,2,FALSE)</f>
        <v>Surly Wednesday Frameset - 2017</v>
      </c>
      <c r="C1834" s="21" t="e">
        <f>VLOOKUP(A1834,Products!A$322:$D1834,4,FALSE)</f>
        <v>#N/A</v>
      </c>
    </row>
    <row r="1835" spans="1:3" x14ac:dyDescent="0.35">
      <c r="A1835" s="21">
        <v>52</v>
      </c>
      <c r="B1835" t="str">
        <f>VLOOKUP(A1835,Products!$A$1:$F$322,2,FALSE)</f>
        <v>Surly Steamroller - 2017</v>
      </c>
      <c r="C1835" s="21" t="e">
        <f>VLOOKUP(A1835,Products!A$322:$D1835,4,FALSE)</f>
        <v>#N/A</v>
      </c>
    </row>
    <row r="1836" spans="1:3" x14ac:dyDescent="0.35">
      <c r="A1836" s="21">
        <v>54</v>
      </c>
      <c r="B1836" t="str">
        <f>VLOOKUP(A1836,Products!$A$1:$F$322,2,FALSE)</f>
        <v>Trek Domane SL Disc Frameset - 2017</v>
      </c>
      <c r="C1836" s="21" t="e">
        <f>VLOOKUP(A1836,Products!A$322:$D1836,4,FALSE)</f>
        <v>#N/A</v>
      </c>
    </row>
    <row r="1837" spans="1:3" x14ac:dyDescent="0.35">
      <c r="A1837" s="21">
        <v>49</v>
      </c>
      <c r="B1837" t="str">
        <f>VLOOKUP(A1837,Products!$A$1:$F$322,2,FALSE)</f>
        <v>Trek Domane SL 6 - 2017</v>
      </c>
      <c r="C1837" s="21" t="e">
        <f>VLOOKUP(A1837,Products!A$322:$D1837,4,FALSE)</f>
        <v>#N/A</v>
      </c>
    </row>
    <row r="1838" spans="1:3" x14ac:dyDescent="0.35">
      <c r="A1838" s="21">
        <v>29</v>
      </c>
      <c r="B1838" t="str">
        <f>VLOOKUP(A1838,Products!$A$1:$F$322,2,FALSE)</f>
        <v>Trek X-Caliber 8 - 2017</v>
      </c>
      <c r="C1838" s="21" t="e">
        <f>VLOOKUP(A1838,Products!A$322:$D1838,4,FALSE)</f>
        <v>#N/A</v>
      </c>
    </row>
    <row r="1839" spans="1:3" x14ac:dyDescent="0.35">
      <c r="A1839" s="21">
        <v>9</v>
      </c>
      <c r="B1839" t="str">
        <f>VLOOKUP(A1839,Products!$A$1:$F$322,2,FALSE)</f>
        <v>Trek Conduit+ - 2016</v>
      </c>
      <c r="C1839" s="21" t="e">
        <f>VLOOKUP(A1839,Products!A$322:$D1839,4,FALSE)</f>
        <v>#N/A</v>
      </c>
    </row>
    <row r="1840" spans="1:3" x14ac:dyDescent="0.35">
      <c r="A1840" s="21">
        <v>42</v>
      </c>
      <c r="B1840" t="str">
        <f>VLOOKUP(A1840,Products!$A$1:$F$322,2,FALSE)</f>
        <v>Trek Fuel EX 5 27.5 Plus - 2017</v>
      </c>
      <c r="C1840" s="21" t="e">
        <f>VLOOKUP(A1840,Products!A$322:$D1840,4,FALSE)</f>
        <v>#N/A</v>
      </c>
    </row>
    <row r="1841" spans="1:3" x14ac:dyDescent="0.35">
      <c r="A1841" s="21">
        <v>39</v>
      </c>
      <c r="B1841" t="str">
        <f>VLOOKUP(A1841,Products!$A$1:$F$322,2,FALSE)</f>
        <v>Trek Stache 5 - 2017</v>
      </c>
      <c r="C1841" s="21" t="e">
        <f>VLOOKUP(A1841,Products!A$322:$D1841,4,FALSE)</f>
        <v>#N/A</v>
      </c>
    </row>
    <row r="1842" spans="1:3" x14ac:dyDescent="0.35">
      <c r="A1842" s="21">
        <v>70</v>
      </c>
      <c r="B1842" t="str">
        <f>VLOOKUP(A1842,Products!$A$1:$F$322,2,FALSE)</f>
        <v>Electra Amsterdam Original 3i - 2015/2017</v>
      </c>
      <c r="C1842" s="21" t="e">
        <f>VLOOKUP(A1842,Products!A$322:$D1842,4,FALSE)</f>
        <v>#N/A</v>
      </c>
    </row>
    <row r="1843" spans="1:3" x14ac:dyDescent="0.35">
      <c r="A1843" s="21">
        <v>61</v>
      </c>
      <c r="B1843" t="str">
        <f>VLOOKUP(A1843,Products!$A$1:$F$322,2,FALSE)</f>
        <v>Trek Powerfly 8 FS Plus - 2017</v>
      </c>
      <c r="C1843" s="21" t="e">
        <f>VLOOKUP(A1843,Products!A$322:$D1843,4,FALSE)</f>
        <v>#N/A</v>
      </c>
    </row>
    <row r="1844" spans="1:3" x14ac:dyDescent="0.35">
      <c r="A1844" s="21">
        <v>30</v>
      </c>
      <c r="B1844" t="str">
        <f>VLOOKUP(A1844,Products!$A$1:$F$322,2,FALSE)</f>
        <v>Surly Ice Cream Truck Frameset - 2017</v>
      </c>
      <c r="C1844" s="21" t="e">
        <f>VLOOKUP(A1844,Products!A$322:$D1844,4,FALSE)</f>
        <v>#N/A</v>
      </c>
    </row>
    <row r="1845" spans="1:3" x14ac:dyDescent="0.35">
      <c r="A1845" s="21">
        <v>59</v>
      </c>
      <c r="B1845" t="str">
        <f>VLOOKUP(A1845,Products!$A$1:$F$322,2,FALSE)</f>
        <v>Trek Domane S 5 Disc - 2017</v>
      </c>
      <c r="C1845" s="21" t="e">
        <f>VLOOKUP(A1845,Products!A$322:$D1845,4,FALSE)</f>
        <v>#N/A</v>
      </c>
    </row>
    <row r="1846" spans="1:3" x14ac:dyDescent="0.35">
      <c r="A1846" s="21">
        <v>47</v>
      </c>
      <c r="B1846" t="str">
        <f>VLOOKUP(A1846,Products!$A$1:$F$322,2,FALSE)</f>
        <v>Trek Remedy 9.8 - 2017</v>
      </c>
      <c r="C1846" s="21" t="e">
        <f>VLOOKUP(A1846,Products!A$322:$D1846,4,FALSE)</f>
        <v>#N/A</v>
      </c>
    </row>
    <row r="1847" spans="1:3" x14ac:dyDescent="0.35">
      <c r="A1847" s="21">
        <v>29</v>
      </c>
      <c r="B1847" t="str">
        <f>VLOOKUP(A1847,Products!$A$1:$F$322,2,FALSE)</f>
        <v>Trek X-Caliber 8 - 2017</v>
      </c>
      <c r="C1847" s="21" t="e">
        <f>VLOOKUP(A1847,Products!A$322:$D1847,4,FALSE)</f>
        <v>#N/A</v>
      </c>
    </row>
    <row r="1848" spans="1:3" x14ac:dyDescent="0.35">
      <c r="A1848" s="21">
        <v>63</v>
      </c>
      <c r="B1848" t="str">
        <f>VLOOKUP(A1848,Products!$A$1:$F$322,2,FALSE)</f>
        <v>Trek Boone Race Shop Limited - 2017</v>
      </c>
      <c r="C1848" s="21" t="e">
        <f>VLOOKUP(A1848,Products!A$322:$D1848,4,FALSE)</f>
        <v>#N/A</v>
      </c>
    </row>
    <row r="1849" spans="1:3" x14ac:dyDescent="0.35">
      <c r="A1849" s="21">
        <v>22</v>
      </c>
      <c r="B1849" t="str">
        <f>VLOOKUP(A1849,Products!$A$1:$F$322,2,FALSE)</f>
        <v>Electra Girl's Hawaii 1 (16-inch) - 2015/2016</v>
      </c>
      <c r="C1849" s="21" t="e">
        <f>VLOOKUP(A1849,Products!A$322:$D1849,4,FALSE)</f>
        <v>#N/A</v>
      </c>
    </row>
    <row r="1850" spans="1:3" x14ac:dyDescent="0.35">
      <c r="A1850" s="21">
        <v>55</v>
      </c>
      <c r="B1850" t="str">
        <f>VLOOKUP(A1850,Products!$A$1:$F$322,2,FALSE)</f>
        <v>Trek Domane S 6 - 2017</v>
      </c>
      <c r="C1850" s="21" t="e">
        <f>VLOOKUP(A1850,Products!A$322:$D1850,4,FALSE)</f>
        <v>#N/A</v>
      </c>
    </row>
    <row r="1851" spans="1:3" x14ac:dyDescent="0.35">
      <c r="A1851" s="21">
        <v>95</v>
      </c>
      <c r="B1851" t="str">
        <f>VLOOKUP(A1851,Products!$A$1:$F$322,2,FALSE)</f>
        <v>Electra Girl's Hawaii 1 16" - 2017</v>
      </c>
      <c r="C1851" s="21" t="e">
        <f>VLOOKUP(A1851,Products!A$322:$D1851,4,FALSE)</f>
        <v>#N/A</v>
      </c>
    </row>
    <row r="1852" spans="1:3" x14ac:dyDescent="0.35">
      <c r="A1852" s="21">
        <v>102</v>
      </c>
      <c r="B1852" t="str">
        <f>VLOOKUP(A1852,Products!$A$1:$F$322,2,FALSE)</f>
        <v>Electra Townie Original 7D - 2017</v>
      </c>
      <c r="C1852" s="21" t="e">
        <f>VLOOKUP(A1852,Products!A$322:$D1852,4,FALSE)</f>
        <v>#N/A</v>
      </c>
    </row>
    <row r="1853" spans="1:3" x14ac:dyDescent="0.35">
      <c r="A1853" s="21">
        <v>22</v>
      </c>
      <c r="B1853" t="str">
        <f>VLOOKUP(A1853,Products!$A$1:$F$322,2,FALSE)</f>
        <v>Electra Girl's Hawaii 1 (16-inch) - 2015/2016</v>
      </c>
      <c r="C1853" s="21" t="e">
        <f>VLOOKUP(A1853,Products!A$322:$D1853,4,FALSE)</f>
        <v>#N/A</v>
      </c>
    </row>
    <row r="1854" spans="1:3" x14ac:dyDescent="0.35">
      <c r="A1854" s="21">
        <v>106</v>
      </c>
      <c r="B1854" t="str">
        <f>VLOOKUP(A1854,Products!$A$1:$F$322,2,FALSE)</f>
        <v>Sun Bicycles Cruz 3 - 2017</v>
      </c>
      <c r="C1854" s="21" t="e">
        <f>VLOOKUP(A1854,Products!A$322:$D1854,4,FALSE)</f>
        <v>#N/A</v>
      </c>
    </row>
    <row r="1855" spans="1:3" x14ac:dyDescent="0.35">
      <c r="A1855" s="21">
        <v>41</v>
      </c>
      <c r="B1855" t="str">
        <f>VLOOKUP(A1855,Products!$A$1:$F$322,2,FALSE)</f>
        <v>Haro Shift R3 - 2017</v>
      </c>
      <c r="C1855" s="21" t="e">
        <f>VLOOKUP(A1855,Products!A$322:$D1855,4,FALSE)</f>
        <v>#N/A</v>
      </c>
    </row>
    <row r="1856" spans="1:3" x14ac:dyDescent="0.35">
      <c r="A1856" s="21">
        <v>17</v>
      </c>
      <c r="B1856" t="str">
        <f>VLOOKUP(A1856,Products!$A$1:$F$322,2,FALSE)</f>
        <v>Pure Cycles Vine 8-Speed - 2016</v>
      </c>
      <c r="C1856" s="21" t="e">
        <f>VLOOKUP(A1856,Products!A$322:$D1856,4,FALSE)</f>
        <v>#N/A</v>
      </c>
    </row>
    <row r="1857" spans="1:3" x14ac:dyDescent="0.35">
      <c r="A1857" s="21">
        <v>94</v>
      </c>
      <c r="B1857" t="str">
        <f>VLOOKUP(A1857,Products!$A$1:$F$322,2,FALSE)</f>
        <v>Haro Shredder Pro 20 - 2017</v>
      </c>
      <c r="C1857" s="21" t="e">
        <f>VLOOKUP(A1857,Products!A$322:$D1857,4,FALSE)</f>
        <v>#N/A</v>
      </c>
    </row>
    <row r="1858" spans="1:3" x14ac:dyDescent="0.35">
      <c r="A1858" s="21">
        <v>71</v>
      </c>
      <c r="B1858" t="str">
        <f>VLOOKUP(A1858,Products!$A$1:$F$322,2,FALSE)</f>
        <v>Sun Bicycles Atlas X-Type - 2017</v>
      </c>
      <c r="C1858" s="21" t="e">
        <f>VLOOKUP(A1858,Products!A$322:$D1858,4,FALSE)</f>
        <v>#N/A</v>
      </c>
    </row>
    <row r="1859" spans="1:3" x14ac:dyDescent="0.35">
      <c r="A1859" s="21">
        <v>106</v>
      </c>
      <c r="B1859" t="str">
        <f>VLOOKUP(A1859,Products!$A$1:$F$322,2,FALSE)</f>
        <v>Sun Bicycles Cruz 3 - 2017</v>
      </c>
      <c r="C1859" s="21" t="e">
        <f>VLOOKUP(A1859,Products!A$322:$D1859,4,FALSE)</f>
        <v>#N/A</v>
      </c>
    </row>
    <row r="1860" spans="1:3" x14ac:dyDescent="0.35">
      <c r="A1860" s="21">
        <v>52</v>
      </c>
      <c r="B1860" t="str">
        <f>VLOOKUP(A1860,Products!$A$1:$F$322,2,FALSE)</f>
        <v>Surly Steamroller - 2017</v>
      </c>
      <c r="C1860" s="21" t="e">
        <f>VLOOKUP(A1860,Products!A$322:$D1860,4,FALSE)</f>
        <v>#N/A</v>
      </c>
    </row>
    <row r="1861" spans="1:3" x14ac:dyDescent="0.35">
      <c r="A1861" s="21">
        <v>5</v>
      </c>
      <c r="B1861" t="str">
        <f>VLOOKUP(A1861,Products!$A$1:$F$322,2,FALSE)</f>
        <v>Heller Shagamaw Frame - 2016</v>
      </c>
      <c r="C1861" s="21" t="e">
        <f>VLOOKUP(A1861,Products!A$322:$D1861,4,FALSE)</f>
        <v>#N/A</v>
      </c>
    </row>
    <row r="1862" spans="1:3" x14ac:dyDescent="0.35">
      <c r="A1862" s="21">
        <v>50</v>
      </c>
      <c r="B1862" t="str">
        <f>VLOOKUP(A1862,Products!$A$1:$F$322,2,FALSE)</f>
        <v>Trek Silque SLR 7 Women's - 2017</v>
      </c>
      <c r="C1862" s="21" t="e">
        <f>VLOOKUP(A1862,Products!A$322:$D1862,4,FALSE)</f>
        <v>#N/A</v>
      </c>
    </row>
    <row r="1863" spans="1:3" x14ac:dyDescent="0.35">
      <c r="A1863" s="21">
        <v>101</v>
      </c>
      <c r="B1863" t="str">
        <f>VLOOKUP(A1863,Products!$A$1:$F$322,2,FALSE)</f>
        <v>Electra Townie 7D (20-inch) - Boys' - 2017</v>
      </c>
      <c r="C1863" s="21" t="e">
        <f>VLOOKUP(A1863,Products!A$322:$D1863,4,FALSE)</f>
        <v>#N/A</v>
      </c>
    </row>
    <row r="1864" spans="1:3" x14ac:dyDescent="0.35">
      <c r="A1864" s="21">
        <v>47</v>
      </c>
      <c r="B1864" t="str">
        <f>VLOOKUP(A1864,Products!$A$1:$F$322,2,FALSE)</f>
        <v>Trek Remedy 9.8 - 2017</v>
      </c>
      <c r="C1864" s="21" t="e">
        <f>VLOOKUP(A1864,Products!A$322:$D1864,4,FALSE)</f>
        <v>#N/A</v>
      </c>
    </row>
    <row r="1865" spans="1:3" x14ac:dyDescent="0.35">
      <c r="A1865" s="21">
        <v>58</v>
      </c>
      <c r="B1865" t="str">
        <f>VLOOKUP(A1865,Products!$A$1:$F$322,2,FALSE)</f>
        <v>Trek Madone 9.2 - 2017</v>
      </c>
      <c r="C1865" s="21" t="e">
        <f>VLOOKUP(A1865,Products!A$322:$D1865,4,FALSE)</f>
        <v>#N/A</v>
      </c>
    </row>
    <row r="1866" spans="1:3" x14ac:dyDescent="0.35">
      <c r="A1866" s="21">
        <v>42</v>
      </c>
      <c r="B1866" t="str">
        <f>VLOOKUP(A1866,Products!$A$1:$F$322,2,FALSE)</f>
        <v>Trek Fuel EX 5 27.5 Plus - 2017</v>
      </c>
      <c r="C1866" s="21" t="e">
        <f>VLOOKUP(A1866,Products!A$322:$D1866,4,FALSE)</f>
        <v>#N/A</v>
      </c>
    </row>
    <row r="1867" spans="1:3" x14ac:dyDescent="0.35">
      <c r="A1867" s="21">
        <v>25</v>
      </c>
      <c r="B1867" t="str">
        <f>VLOOKUP(A1867,Products!$A$1:$F$322,2,FALSE)</f>
        <v>Electra Townie Original 7D - 2015/2016</v>
      </c>
      <c r="C1867" s="21" t="e">
        <f>VLOOKUP(A1867,Products!A$322:$D1867,4,FALSE)</f>
        <v>#N/A</v>
      </c>
    </row>
    <row r="1868" spans="1:3" x14ac:dyDescent="0.35">
      <c r="A1868" s="21">
        <v>98</v>
      </c>
      <c r="B1868" t="str">
        <f>VLOOKUP(A1868,Products!$A$1:$F$322,2,FALSE)</f>
        <v>Electra Straight 8 3i (20-inch) - Boy's - 2017</v>
      </c>
      <c r="C1868" s="21" t="e">
        <f>VLOOKUP(A1868,Products!A$322:$D1868,4,FALSE)</f>
        <v>#N/A</v>
      </c>
    </row>
    <row r="1869" spans="1:3" x14ac:dyDescent="0.35">
      <c r="A1869" s="21">
        <v>39</v>
      </c>
      <c r="B1869" t="str">
        <f>VLOOKUP(A1869,Products!$A$1:$F$322,2,FALSE)</f>
        <v>Trek Stache 5 - 2017</v>
      </c>
      <c r="C1869" s="21" t="e">
        <f>VLOOKUP(A1869,Products!A$322:$D1869,4,FALSE)</f>
        <v>#N/A</v>
      </c>
    </row>
    <row r="1870" spans="1:3" x14ac:dyDescent="0.35">
      <c r="A1870" s="21">
        <v>79</v>
      </c>
      <c r="B1870" t="str">
        <f>VLOOKUP(A1870,Products!$A$1:$F$322,2,FALSE)</f>
        <v>Sun Bicycles Boardwalk (24-inch Wheels) - 2017</v>
      </c>
      <c r="C1870" s="21" t="e">
        <f>VLOOKUP(A1870,Products!A$322:$D1870,4,FALSE)</f>
        <v>#N/A</v>
      </c>
    </row>
    <row r="1871" spans="1:3" x14ac:dyDescent="0.35">
      <c r="A1871" s="21">
        <v>84</v>
      </c>
      <c r="B1871" t="str">
        <f>VLOOKUP(A1871,Products!$A$1:$F$322,2,FALSE)</f>
        <v>Sun Bicycles Lil Kitt'n - 2017</v>
      </c>
      <c r="C1871" s="21" t="e">
        <f>VLOOKUP(A1871,Products!A$322:$D1871,4,FALSE)</f>
        <v>#N/A</v>
      </c>
    </row>
    <row r="1872" spans="1:3" x14ac:dyDescent="0.35">
      <c r="A1872" s="21">
        <v>3</v>
      </c>
      <c r="B1872" t="str">
        <f>VLOOKUP(A1872,Products!$A$1:$F$322,2,FALSE)</f>
        <v>Surly Wednesday Frameset - 2016</v>
      </c>
      <c r="C1872" s="21" t="e">
        <f>VLOOKUP(A1872,Products!A$322:$D1872,4,FALSE)</f>
        <v>#N/A</v>
      </c>
    </row>
    <row r="1873" spans="1:3" x14ac:dyDescent="0.35">
      <c r="A1873" s="21">
        <v>99</v>
      </c>
      <c r="B1873" t="str">
        <f>VLOOKUP(A1873,Products!$A$1:$F$322,2,FALSE)</f>
        <v>Electra Sugar Skulls 1 (20-inch) - Girl's - 2017</v>
      </c>
      <c r="C1873" s="21" t="e">
        <f>VLOOKUP(A1873,Products!A$322:$D1873,4,FALSE)</f>
        <v>#N/A</v>
      </c>
    </row>
    <row r="1874" spans="1:3" x14ac:dyDescent="0.35">
      <c r="A1874" s="21">
        <v>85</v>
      </c>
      <c r="B1874" t="str">
        <f>VLOOKUP(A1874,Products!$A$1:$F$322,2,FALSE)</f>
        <v>Haro Downtown 16 - 2017</v>
      </c>
      <c r="C1874" s="21" t="e">
        <f>VLOOKUP(A1874,Products!A$322:$D1874,4,FALSE)</f>
        <v>#N/A</v>
      </c>
    </row>
    <row r="1875" spans="1:3" x14ac:dyDescent="0.35">
      <c r="A1875" s="21">
        <v>48</v>
      </c>
      <c r="B1875" t="str">
        <f>VLOOKUP(A1875,Products!$A$1:$F$322,2,FALSE)</f>
        <v>Trek Emonda S 4 - 2017</v>
      </c>
      <c r="C1875" s="21" t="e">
        <f>VLOOKUP(A1875,Products!A$322:$D1875,4,FALSE)</f>
        <v>#N/A</v>
      </c>
    </row>
    <row r="1876" spans="1:3" x14ac:dyDescent="0.35">
      <c r="A1876" s="21">
        <v>19</v>
      </c>
      <c r="B1876" t="str">
        <f>VLOOKUP(A1876,Products!$A$1:$F$322,2,FALSE)</f>
        <v>Pure Cycles William 3-Speed - 2016</v>
      </c>
      <c r="C1876" s="21" t="e">
        <f>VLOOKUP(A1876,Products!A$322:$D1876,4,FALSE)</f>
        <v>#N/A</v>
      </c>
    </row>
    <row r="1877" spans="1:3" x14ac:dyDescent="0.35">
      <c r="A1877" s="21">
        <v>16</v>
      </c>
      <c r="B1877" t="str">
        <f>VLOOKUP(A1877,Products!$A$1:$F$322,2,FALSE)</f>
        <v>Electra Townie Original 7D EQ - 2016</v>
      </c>
      <c r="C1877" s="21" t="e">
        <f>VLOOKUP(A1877,Products!A$322:$D1877,4,FALSE)</f>
        <v>#N/A</v>
      </c>
    </row>
    <row r="1878" spans="1:3" x14ac:dyDescent="0.35">
      <c r="A1878" s="21">
        <v>72</v>
      </c>
      <c r="B1878" t="str">
        <f>VLOOKUP(A1878,Products!$A$1:$F$322,2,FALSE)</f>
        <v>Sun Bicycles Biscayne Tandem 7 - 2017</v>
      </c>
      <c r="C1878" s="21" t="e">
        <f>VLOOKUP(A1878,Products!A$322:$D1878,4,FALSE)</f>
        <v>#N/A</v>
      </c>
    </row>
    <row r="1879" spans="1:3" x14ac:dyDescent="0.35">
      <c r="A1879" s="21">
        <v>108</v>
      </c>
      <c r="B1879" t="str">
        <f>VLOOKUP(A1879,Products!$A$1:$F$322,2,FALSE)</f>
        <v>Sun Bicycles Cruz 3 - Women's - 2017</v>
      </c>
      <c r="C1879" s="21" t="e">
        <f>VLOOKUP(A1879,Products!A$322:$D1879,4,FALSE)</f>
        <v>#N/A</v>
      </c>
    </row>
    <row r="1880" spans="1:3" x14ac:dyDescent="0.35">
      <c r="A1880" s="21">
        <v>28</v>
      </c>
      <c r="B1880" t="str">
        <f>VLOOKUP(A1880,Products!$A$1:$F$322,2,FALSE)</f>
        <v>Surly Karate Monkey 27.5+ Frameset - 2017</v>
      </c>
      <c r="C1880" s="21" t="e">
        <f>VLOOKUP(A1880,Products!A$322:$D1880,4,FALSE)</f>
        <v>#N/A</v>
      </c>
    </row>
    <row r="1881" spans="1:3" x14ac:dyDescent="0.35">
      <c r="A1881" s="21">
        <v>104</v>
      </c>
      <c r="B1881" t="str">
        <f>VLOOKUP(A1881,Products!$A$1:$F$322,2,FALSE)</f>
        <v>Sun Bicycles Streamway - 2017</v>
      </c>
      <c r="C1881" s="21" t="e">
        <f>VLOOKUP(A1881,Products!A$322:$D1881,4,FALSE)</f>
        <v>#N/A</v>
      </c>
    </row>
    <row r="1882" spans="1:3" x14ac:dyDescent="0.35">
      <c r="A1882" s="21">
        <v>45</v>
      </c>
      <c r="B1882" t="str">
        <f>VLOOKUP(A1882,Products!$A$1:$F$322,2,FALSE)</f>
        <v>Haro SR 1.2 - 2017</v>
      </c>
      <c r="C1882" s="21" t="e">
        <f>VLOOKUP(A1882,Products!A$322:$D1882,4,FALSE)</f>
        <v>#N/A</v>
      </c>
    </row>
    <row r="1883" spans="1:3" x14ac:dyDescent="0.35">
      <c r="A1883" s="21">
        <v>30</v>
      </c>
      <c r="B1883" t="str">
        <f>VLOOKUP(A1883,Products!$A$1:$F$322,2,FALSE)</f>
        <v>Surly Ice Cream Truck Frameset - 2017</v>
      </c>
      <c r="C1883" s="21" t="e">
        <f>VLOOKUP(A1883,Products!A$322:$D1883,4,FALSE)</f>
        <v>#N/A</v>
      </c>
    </row>
    <row r="1884" spans="1:3" x14ac:dyDescent="0.35">
      <c r="A1884" s="21">
        <v>69</v>
      </c>
      <c r="B1884" t="str">
        <f>VLOOKUP(A1884,Products!$A$1:$F$322,2,FALSE)</f>
        <v>Sun Bicycles Cruz 7 - 2017</v>
      </c>
      <c r="C1884" s="21" t="e">
        <f>VLOOKUP(A1884,Products!A$322:$D1884,4,FALSE)</f>
        <v>#N/A</v>
      </c>
    </row>
    <row r="1885" spans="1:3" x14ac:dyDescent="0.35">
      <c r="A1885" s="21">
        <v>55</v>
      </c>
      <c r="B1885" t="str">
        <f>VLOOKUP(A1885,Products!$A$1:$F$322,2,FALSE)</f>
        <v>Trek Domane S 6 - 2017</v>
      </c>
      <c r="C1885" s="21" t="e">
        <f>VLOOKUP(A1885,Products!A$322:$D1885,4,FALSE)</f>
        <v>#N/A</v>
      </c>
    </row>
    <row r="1886" spans="1:3" x14ac:dyDescent="0.35">
      <c r="A1886" s="21">
        <v>4</v>
      </c>
      <c r="B1886" t="str">
        <f>VLOOKUP(A1886,Products!$A$1:$F$322,2,FALSE)</f>
        <v>Trek Fuel EX 8 29 - 2016</v>
      </c>
      <c r="C1886" s="21" t="e">
        <f>VLOOKUP(A1886,Products!A$322:$D1886,4,FALSE)</f>
        <v>#N/A</v>
      </c>
    </row>
    <row r="1887" spans="1:3" x14ac:dyDescent="0.35">
      <c r="A1887" s="21">
        <v>109</v>
      </c>
      <c r="B1887" t="str">
        <f>VLOOKUP(A1887,Products!$A$1:$F$322,2,FALSE)</f>
        <v>Sun Bicycles Cruz 7 - Women's - 2017</v>
      </c>
      <c r="C1887" s="21" t="e">
        <f>VLOOKUP(A1887,Products!A$322:$D1887,4,FALSE)</f>
        <v>#N/A</v>
      </c>
    </row>
    <row r="1888" spans="1:3" x14ac:dyDescent="0.35">
      <c r="A1888" s="21">
        <v>51</v>
      </c>
      <c r="B1888" t="str">
        <f>VLOOKUP(A1888,Products!$A$1:$F$322,2,FALSE)</f>
        <v>Trek Silque SLR 8 Women's - 2017</v>
      </c>
      <c r="C1888" s="21" t="e">
        <f>VLOOKUP(A1888,Products!A$322:$D1888,4,FALSE)</f>
        <v>#N/A</v>
      </c>
    </row>
    <row r="1889" spans="1:3" x14ac:dyDescent="0.35">
      <c r="A1889" s="21">
        <v>96</v>
      </c>
      <c r="B1889" t="str">
        <f>VLOOKUP(A1889,Products!$A$1:$F$322,2,FALSE)</f>
        <v>Electra Moto 3i (20-inch) - Boy's - 2017</v>
      </c>
      <c r="C1889" s="21" t="e">
        <f>VLOOKUP(A1889,Products!A$322:$D1889,4,FALSE)</f>
        <v>#N/A</v>
      </c>
    </row>
    <row r="1890" spans="1:3" x14ac:dyDescent="0.35">
      <c r="A1890" s="21">
        <v>48</v>
      </c>
      <c r="B1890" t="str">
        <f>VLOOKUP(A1890,Products!$A$1:$F$322,2,FALSE)</f>
        <v>Trek Emonda S 4 - 2017</v>
      </c>
      <c r="C1890" s="21" t="e">
        <f>VLOOKUP(A1890,Products!A$322:$D1890,4,FALSE)</f>
        <v>#N/A</v>
      </c>
    </row>
    <row r="1891" spans="1:3" x14ac:dyDescent="0.35">
      <c r="A1891" s="21">
        <v>66</v>
      </c>
      <c r="B1891" t="str">
        <f>VLOOKUP(A1891,Products!$A$1:$F$322,2,FALSE)</f>
        <v>Sun Bicycles Revolutions 24 - 2017</v>
      </c>
      <c r="C1891" s="21" t="e">
        <f>VLOOKUP(A1891,Products!A$322:$D1891,4,FALSE)</f>
        <v>#N/A</v>
      </c>
    </row>
    <row r="1892" spans="1:3" x14ac:dyDescent="0.35">
      <c r="A1892" s="21">
        <v>38</v>
      </c>
      <c r="B1892" t="str">
        <f>VLOOKUP(A1892,Products!$A$1:$F$322,2,FALSE)</f>
        <v>Haro Flightline Two 26 Plus - 2017</v>
      </c>
      <c r="C1892" s="21" t="e">
        <f>VLOOKUP(A1892,Products!A$322:$D1892,4,FALSE)</f>
        <v>#N/A</v>
      </c>
    </row>
    <row r="1893" spans="1:3" x14ac:dyDescent="0.35">
      <c r="A1893" s="21">
        <v>5</v>
      </c>
      <c r="B1893" t="str">
        <f>VLOOKUP(A1893,Products!$A$1:$F$322,2,FALSE)</f>
        <v>Heller Shagamaw Frame - 2016</v>
      </c>
      <c r="C1893" s="21" t="e">
        <f>VLOOKUP(A1893,Products!A$322:$D1893,4,FALSE)</f>
        <v>#N/A</v>
      </c>
    </row>
    <row r="1894" spans="1:3" x14ac:dyDescent="0.35">
      <c r="A1894" s="21">
        <v>13</v>
      </c>
      <c r="B1894" t="str">
        <f>VLOOKUP(A1894,Products!$A$1:$F$322,2,FALSE)</f>
        <v>Electra Cruiser 1 (24-Inch) - 2016</v>
      </c>
      <c r="C1894" s="21" t="e">
        <f>VLOOKUP(A1894,Products!A$322:$D1894,4,FALSE)</f>
        <v>#N/A</v>
      </c>
    </row>
    <row r="1895" spans="1:3" x14ac:dyDescent="0.35">
      <c r="A1895" s="21">
        <v>26</v>
      </c>
      <c r="B1895" t="str">
        <f>VLOOKUP(A1895,Products!$A$1:$F$322,2,FALSE)</f>
        <v>Electra Townie Original 7D EQ - 2016</v>
      </c>
      <c r="C1895" s="21" t="e">
        <f>VLOOKUP(A1895,Products!A$322:$D1895,4,FALSE)</f>
        <v>#N/A</v>
      </c>
    </row>
    <row r="1896" spans="1:3" x14ac:dyDescent="0.35">
      <c r="A1896" s="21">
        <v>17</v>
      </c>
      <c r="B1896" t="str">
        <f>VLOOKUP(A1896,Products!$A$1:$F$322,2,FALSE)</f>
        <v>Pure Cycles Vine 8-Speed - 2016</v>
      </c>
      <c r="C1896" s="21" t="e">
        <f>VLOOKUP(A1896,Products!A$322:$D1896,4,FALSE)</f>
        <v>#N/A</v>
      </c>
    </row>
    <row r="1897" spans="1:3" x14ac:dyDescent="0.35">
      <c r="A1897" s="21">
        <v>89</v>
      </c>
      <c r="B1897" t="str">
        <f>VLOOKUP(A1897,Products!$A$1:$F$322,2,FALSE)</f>
        <v>Trek Precaliber 16 Boys - 2017</v>
      </c>
      <c r="C1897" s="21" t="e">
        <f>VLOOKUP(A1897,Products!A$322:$D1897,4,FALSE)</f>
        <v>#N/A</v>
      </c>
    </row>
    <row r="1898" spans="1:3" x14ac:dyDescent="0.35">
      <c r="A1898" s="21">
        <v>19</v>
      </c>
      <c r="B1898" t="str">
        <f>VLOOKUP(A1898,Products!$A$1:$F$322,2,FALSE)</f>
        <v>Pure Cycles William 3-Speed - 2016</v>
      </c>
      <c r="C1898" s="21" t="e">
        <f>VLOOKUP(A1898,Products!A$322:$D1898,4,FALSE)</f>
        <v>#N/A</v>
      </c>
    </row>
    <row r="1899" spans="1:3" x14ac:dyDescent="0.35">
      <c r="A1899" s="21">
        <v>32</v>
      </c>
      <c r="B1899" t="str">
        <f>VLOOKUP(A1899,Products!$A$1:$F$322,2,FALSE)</f>
        <v>Trek Farley Alloy Frameset - 2017</v>
      </c>
      <c r="C1899" s="21" t="e">
        <f>VLOOKUP(A1899,Products!A$322:$D1899,4,FALSE)</f>
        <v>#N/A</v>
      </c>
    </row>
    <row r="1900" spans="1:3" x14ac:dyDescent="0.35">
      <c r="A1900" s="21">
        <v>70</v>
      </c>
      <c r="B1900" t="str">
        <f>VLOOKUP(A1900,Products!$A$1:$F$322,2,FALSE)</f>
        <v>Electra Amsterdam Original 3i - 2015/2017</v>
      </c>
      <c r="C1900" s="21" t="e">
        <f>VLOOKUP(A1900,Products!A$322:$D1900,4,FALSE)</f>
        <v>#N/A</v>
      </c>
    </row>
    <row r="1901" spans="1:3" x14ac:dyDescent="0.35">
      <c r="A1901" s="21">
        <v>104</v>
      </c>
      <c r="B1901" t="str">
        <f>VLOOKUP(A1901,Products!$A$1:$F$322,2,FALSE)</f>
        <v>Sun Bicycles Streamway - 2017</v>
      </c>
      <c r="C1901" s="21" t="e">
        <f>VLOOKUP(A1901,Products!A$322:$D1901,4,FALSE)</f>
        <v>#N/A</v>
      </c>
    </row>
    <row r="1902" spans="1:3" x14ac:dyDescent="0.35">
      <c r="A1902" s="21">
        <v>24</v>
      </c>
      <c r="B1902" t="str">
        <f>VLOOKUP(A1902,Products!$A$1:$F$322,2,FALSE)</f>
        <v>Electra Townie Original 21D - 2016</v>
      </c>
      <c r="C1902" s="21" t="e">
        <f>VLOOKUP(A1902,Products!A$322:$D1902,4,FALSE)</f>
        <v>#N/A</v>
      </c>
    </row>
    <row r="1903" spans="1:3" x14ac:dyDescent="0.35">
      <c r="A1903" s="21">
        <v>29</v>
      </c>
      <c r="B1903" t="str">
        <f>VLOOKUP(A1903,Products!$A$1:$F$322,2,FALSE)</f>
        <v>Trek X-Caliber 8 - 2017</v>
      </c>
      <c r="C1903" s="21" t="e">
        <f>VLOOKUP(A1903,Products!A$322:$D1903,4,FALSE)</f>
        <v>#N/A</v>
      </c>
    </row>
    <row r="1904" spans="1:3" x14ac:dyDescent="0.35">
      <c r="A1904" s="21">
        <v>75</v>
      </c>
      <c r="B1904" t="str">
        <f>VLOOKUP(A1904,Products!$A$1:$F$322,2,FALSE)</f>
        <v>Electra Cruiser Lux Fat Tire 1 Ladies - 2017</v>
      </c>
      <c r="C1904" s="21" t="e">
        <f>VLOOKUP(A1904,Products!A$322:$D1904,4,FALSE)</f>
        <v>#N/A</v>
      </c>
    </row>
    <row r="1905" spans="1:3" x14ac:dyDescent="0.35">
      <c r="A1905" s="21">
        <v>7</v>
      </c>
      <c r="B1905" t="str">
        <f>VLOOKUP(A1905,Products!$A$1:$F$322,2,FALSE)</f>
        <v>Trek Slash 8 27.5 - 2016</v>
      </c>
      <c r="C1905" s="21" t="e">
        <f>VLOOKUP(A1905,Products!A$322:$D1905,4,FALSE)</f>
        <v>#N/A</v>
      </c>
    </row>
    <row r="1906" spans="1:3" x14ac:dyDescent="0.35">
      <c r="A1906" s="21">
        <v>105</v>
      </c>
      <c r="B1906" t="str">
        <f>VLOOKUP(A1906,Products!$A$1:$F$322,2,FALSE)</f>
        <v>Sun Bicycles Streamway 7 - 2017</v>
      </c>
      <c r="C1906" s="21" t="e">
        <f>VLOOKUP(A1906,Products!A$322:$D1906,4,FALSE)</f>
        <v>#N/A</v>
      </c>
    </row>
    <row r="1907" spans="1:3" x14ac:dyDescent="0.35">
      <c r="A1907" s="21">
        <v>91</v>
      </c>
      <c r="B1907" t="str">
        <f>VLOOKUP(A1907,Products!$A$1:$F$322,2,FALSE)</f>
        <v>Trek Precaliber 24 (21-Speed) - Girls - 2017</v>
      </c>
      <c r="C1907" s="21" t="e">
        <f>VLOOKUP(A1907,Products!A$322:$D1907,4,FALSE)</f>
        <v>#N/A</v>
      </c>
    </row>
    <row r="1908" spans="1:3" x14ac:dyDescent="0.35">
      <c r="A1908" s="21">
        <v>54</v>
      </c>
      <c r="B1908" t="str">
        <f>VLOOKUP(A1908,Products!$A$1:$F$322,2,FALSE)</f>
        <v>Trek Domane SL Disc Frameset - 2017</v>
      </c>
      <c r="C1908" s="21" t="e">
        <f>VLOOKUP(A1908,Products!A$322:$D1908,4,FALSE)</f>
        <v>#N/A</v>
      </c>
    </row>
    <row r="1909" spans="1:3" x14ac:dyDescent="0.35">
      <c r="A1909" s="21">
        <v>52</v>
      </c>
      <c r="B1909" t="str">
        <f>VLOOKUP(A1909,Products!$A$1:$F$322,2,FALSE)</f>
        <v>Surly Steamroller - 2017</v>
      </c>
      <c r="C1909" s="21" t="e">
        <f>VLOOKUP(A1909,Products!A$322:$D1909,4,FALSE)</f>
        <v>#N/A</v>
      </c>
    </row>
    <row r="1910" spans="1:3" x14ac:dyDescent="0.35">
      <c r="A1910" s="21">
        <v>37</v>
      </c>
      <c r="B1910" t="str">
        <f>VLOOKUP(A1910,Products!$A$1:$F$322,2,FALSE)</f>
        <v>Haro Flightline One ST - 2017</v>
      </c>
      <c r="C1910" s="21" t="e">
        <f>VLOOKUP(A1910,Products!A$322:$D1910,4,FALSE)</f>
        <v>#N/A</v>
      </c>
    </row>
    <row r="1911" spans="1:3" x14ac:dyDescent="0.35">
      <c r="A1911" s="21">
        <v>15</v>
      </c>
      <c r="B1911" t="str">
        <f>VLOOKUP(A1911,Products!$A$1:$F$322,2,FALSE)</f>
        <v>Electra Moto 1 - 2016</v>
      </c>
      <c r="C1911" s="21" t="e">
        <f>VLOOKUP(A1911,Products!A$322:$D1911,4,FALSE)</f>
        <v>#N/A</v>
      </c>
    </row>
    <row r="1912" spans="1:3" x14ac:dyDescent="0.35">
      <c r="A1912" s="21">
        <v>83</v>
      </c>
      <c r="B1912" t="str">
        <f>VLOOKUP(A1912,Products!$A$1:$F$322,2,FALSE)</f>
        <v>Trek Boy's Kickster - 2015/2017</v>
      </c>
      <c r="C1912" s="21" t="e">
        <f>VLOOKUP(A1912,Products!A$322:$D1912,4,FALSE)</f>
        <v>#N/A</v>
      </c>
    </row>
    <row r="1913" spans="1:3" x14ac:dyDescent="0.35">
      <c r="A1913" s="21">
        <v>81</v>
      </c>
      <c r="B1913" t="str">
        <f>VLOOKUP(A1913,Products!$A$1:$F$322,2,FALSE)</f>
        <v>Electra Amsterdam Fashion 7i Ladies' - 2017</v>
      </c>
      <c r="C1913" s="21" t="e">
        <f>VLOOKUP(A1913,Products!A$322:$D1913,4,FALSE)</f>
        <v>#N/A</v>
      </c>
    </row>
    <row r="1914" spans="1:3" x14ac:dyDescent="0.35">
      <c r="A1914" s="21">
        <v>7</v>
      </c>
      <c r="B1914" t="str">
        <f>VLOOKUP(A1914,Products!$A$1:$F$322,2,FALSE)</f>
        <v>Trek Slash 8 27.5 - 2016</v>
      </c>
      <c r="C1914" s="21" t="e">
        <f>VLOOKUP(A1914,Products!A$322:$D1914,4,FALSE)</f>
        <v>#N/A</v>
      </c>
    </row>
    <row r="1915" spans="1:3" x14ac:dyDescent="0.35">
      <c r="A1915" s="21">
        <v>50</v>
      </c>
      <c r="B1915" t="str">
        <f>VLOOKUP(A1915,Products!$A$1:$F$322,2,FALSE)</f>
        <v>Trek Silque SLR 7 Women's - 2017</v>
      </c>
      <c r="C1915" s="21" t="e">
        <f>VLOOKUP(A1915,Products!A$322:$D1915,4,FALSE)</f>
        <v>#N/A</v>
      </c>
    </row>
    <row r="1916" spans="1:3" x14ac:dyDescent="0.35">
      <c r="A1916" s="21">
        <v>82</v>
      </c>
      <c r="B1916" t="str">
        <f>VLOOKUP(A1916,Products!$A$1:$F$322,2,FALSE)</f>
        <v>Electra Amsterdam Original 3i Ladies' - 2017</v>
      </c>
      <c r="C1916" s="21" t="e">
        <f>VLOOKUP(A1916,Products!A$322:$D1916,4,FALSE)</f>
        <v>#N/A</v>
      </c>
    </row>
    <row r="1917" spans="1:3" x14ac:dyDescent="0.35">
      <c r="A1917" s="21">
        <v>63</v>
      </c>
      <c r="B1917" t="str">
        <f>VLOOKUP(A1917,Products!$A$1:$F$322,2,FALSE)</f>
        <v>Trek Boone Race Shop Limited - 2017</v>
      </c>
      <c r="C1917" s="21" t="e">
        <f>VLOOKUP(A1917,Products!A$322:$D1917,4,FALSE)</f>
        <v>#N/A</v>
      </c>
    </row>
    <row r="1918" spans="1:3" x14ac:dyDescent="0.35">
      <c r="A1918" s="21">
        <v>61</v>
      </c>
      <c r="B1918" t="str">
        <f>VLOOKUP(A1918,Products!$A$1:$F$322,2,FALSE)</f>
        <v>Trek Powerfly 8 FS Plus - 2017</v>
      </c>
      <c r="C1918" s="21" t="e">
        <f>VLOOKUP(A1918,Products!A$322:$D1918,4,FALSE)</f>
        <v>#N/A</v>
      </c>
    </row>
    <row r="1919" spans="1:3" x14ac:dyDescent="0.35">
      <c r="A1919" s="21">
        <v>6</v>
      </c>
      <c r="B1919" t="str">
        <f>VLOOKUP(A1919,Products!$A$1:$F$322,2,FALSE)</f>
        <v>Surly Ice Cream Truck Frameset - 2016</v>
      </c>
      <c r="C1919" s="21" t="e">
        <f>VLOOKUP(A1919,Products!A$322:$D1919,4,FALSE)</f>
        <v>#N/A</v>
      </c>
    </row>
    <row r="1920" spans="1:3" x14ac:dyDescent="0.35">
      <c r="A1920" s="21">
        <v>30</v>
      </c>
      <c r="B1920" t="str">
        <f>VLOOKUP(A1920,Products!$A$1:$F$322,2,FALSE)</f>
        <v>Surly Ice Cream Truck Frameset - 2017</v>
      </c>
      <c r="C1920" s="21" t="e">
        <f>VLOOKUP(A1920,Products!A$322:$D1920,4,FALSE)</f>
        <v>#N/A</v>
      </c>
    </row>
    <row r="1921" spans="1:3" x14ac:dyDescent="0.35">
      <c r="A1921" s="21">
        <v>39</v>
      </c>
      <c r="B1921" t="str">
        <f>VLOOKUP(A1921,Products!$A$1:$F$322,2,FALSE)</f>
        <v>Trek Stache 5 - 2017</v>
      </c>
      <c r="C1921" s="21" t="e">
        <f>VLOOKUP(A1921,Products!A$322:$D1921,4,FALSE)</f>
        <v>#N/A</v>
      </c>
    </row>
    <row r="1922" spans="1:3" x14ac:dyDescent="0.35">
      <c r="A1922" s="21">
        <v>60</v>
      </c>
      <c r="B1922" t="str">
        <f>VLOOKUP(A1922,Products!$A$1:$F$322,2,FALSE)</f>
        <v>Sun Bicycles ElectroLite - 2017</v>
      </c>
      <c r="C1922" s="21" t="e">
        <f>VLOOKUP(A1922,Products!A$322:$D1922,4,FALSE)</f>
        <v>#N/A</v>
      </c>
    </row>
    <row r="1923" spans="1:3" x14ac:dyDescent="0.35">
      <c r="A1923" s="21">
        <v>99</v>
      </c>
      <c r="B1923" t="str">
        <f>VLOOKUP(A1923,Products!$A$1:$F$322,2,FALSE)</f>
        <v>Electra Sugar Skulls 1 (20-inch) - Girl's - 2017</v>
      </c>
      <c r="C1923" s="21" t="e">
        <f>VLOOKUP(A1923,Products!A$322:$D1923,4,FALSE)</f>
        <v>#N/A</v>
      </c>
    </row>
    <row r="1924" spans="1:3" x14ac:dyDescent="0.35">
      <c r="A1924" s="21">
        <v>2</v>
      </c>
      <c r="B1924" t="str">
        <f>VLOOKUP(A1924,Products!$A$1:$F$322,2,FALSE)</f>
        <v>Ritchey Timberwolf Frameset - 2016</v>
      </c>
      <c r="C1924" s="21" t="e">
        <f>VLOOKUP(A1924,Products!A$322:$D1924,4,FALSE)</f>
        <v>#N/A</v>
      </c>
    </row>
    <row r="1925" spans="1:3" x14ac:dyDescent="0.35">
      <c r="A1925" s="21">
        <v>56</v>
      </c>
      <c r="B1925" t="str">
        <f>VLOOKUP(A1925,Products!$A$1:$F$322,2,FALSE)</f>
        <v>Trek Domane SLR 6 Disc - 2017</v>
      </c>
      <c r="C1925" s="21" t="e">
        <f>VLOOKUP(A1925,Products!A$322:$D1925,4,FALSE)</f>
        <v>#N/A</v>
      </c>
    </row>
    <row r="1926" spans="1:3" x14ac:dyDescent="0.35">
      <c r="A1926" s="21">
        <v>33</v>
      </c>
      <c r="B1926" t="str">
        <f>VLOOKUP(A1926,Products!$A$1:$F$322,2,FALSE)</f>
        <v>Surly Wednesday Frameset - 2017</v>
      </c>
      <c r="C1926" s="21" t="e">
        <f>VLOOKUP(A1926,Products!A$322:$D1926,4,FALSE)</f>
        <v>#N/A</v>
      </c>
    </row>
    <row r="1927" spans="1:3" x14ac:dyDescent="0.35">
      <c r="A1927" s="21">
        <v>59</v>
      </c>
      <c r="B1927" t="str">
        <f>VLOOKUP(A1927,Products!$A$1:$F$322,2,FALSE)</f>
        <v>Trek Domane S 5 Disc - 2017</v>
      </c>
      <c r="C1927" s="21" t="e">
        <f>VLOOKUP(A1927,Products!A$322:$D1927,4,FALSE)</f>
        <v>#N/A</v>
      </c>
    </row>
    <row r="1928" spans="1:3" x14ac:dyDescent="0.35">
      <c r="A1928" s="21">
        <v>48</v>
      </c>
      <c r="B1928" t="str">
        <f>VLOOKUP(A1928,Products!$A$1:$F$322,2,FALSE)</f>
        <v>Trek Emonda S 4 - 2017</v>
      </c>
      <c r="C1928" s="21" t="e">
        <f>VLOOKUP(A1928,Products!A$322:$D1928,4,FALSE)</f>
        <v>#N/A</v>
      </c>
    </row>
    <row r="1929" spans="1:3" x14ac:dyDescent="0.35">
      <c r="A1929" s="21">
        <v>107</v>
      </c>
      <c r="B1929" t="str">
        <f>VLOOKUP(A1929,Products!$A$1:$F$322,2,FALSE)</f>
        <v>Sun Bicycles Cruz 7 - 2017</v>
      </c>
      <c r="C1929" s="21" t="e">
        <f>VLOOKUP(A1929,Products!A$322:$D1929,4,FALSE)</f>
        <v>#N/A</v>
      </c>
    </row>
    <row r="1930" spans="1:3" x14ac:dyDescent="0.35">
      <c r="A1930" s="21">
        <v>98</v>
      </c>
      <c r="B1930" t="str">
        <f>VLOOKUP(A1930,Products!$A$1:$F$322,2,FALSE)</f>
        <v>Electra Straight 8 3i (20-inch) - Boy's - 2017</v>
      </c>
      <c r="C1930" s="21" t="e">
        <f>VLOOKUP(A1930,Products!A$322:$D1930,4,FALSE)</f>
        <v>#N/A</v>
      </c>
    </row>
    <row r="1931" spans="1:3" x14ac:dyDescent="0.35">
      <c r="A1931" s="21">
        <v>56</v>
      </c>
      <c r="B1931" t="str">
        <f>VLOOKUP(A1931,Products!$A$1:$F$322,2,FALSE)</f>
        <v>Trek Domane SLR 6 Disc - 2017</v>
      </c>
      <c r="C1931" s="21" t="e">
        <f>VLOOKUP(A1931,Products!A$322:$D1931,4,FALSE)</f>
        <v>#N/A</v>
      </c>
    </row>
    <row r="1932" spans="1:3" x14ac:dyDescent="0.35">
      <c r="A1932" s="21">
        <v>16</v>
      </c>
      <c r="B1932" t="str">
        <f>VLOOKUP(A1932,Products!$A$1:$F$322,2,FALSE)</f>
        <v>Electra Townie Original 7D EQ - 2016</v>
      </c>
      <c r="C1932" s="21" t="e">
        <f>VLOOKUP(A1932,Products!A$322:$D1932,4,FALSE)</f>
        <v>#N/A</v>
      </c>
    </row>
    <row r="1933" spans="1:3" x14ac:dyDescent="0.35">
      <c r="A1933" s="21">
        <v>30</v>
      </c>
      <c r="B1933" t="str">
        <f>VLOOKUP(A1933,Products!$A$1:$F$322,2,FALSE)</f>
        <v>Surly Ice Cream Truck Frameset - 2017</v>
      </c>
      <c r="C1933" s="21" t="e">
        <f>VLOOKUP(A1933,Products!A$322:$D1933,4,FALSE)</f>
        <v>#N/A</v>
      </c>
    </row>
    <row r="1934" spans="1:3" x14ac:dyDescent="0.35">
      <c r="A1934" s="21">
        <v>88</v>
      </c>
      <c r="B1934" t="str">
        <f>VLOOKUP(A1934,Products!$A$1:$F$322,2,FALSE)</f>
        <v>Trek Precaliber 12 Girls - 2017</v>
      </c>
      <c r="C1934" s="21" t="e">
        <f>VLOOKUP(A1934,Products!A$322:$D1934,4,FALSE)</f>
        <v>#N/A</v>
      </c>
    </row>
    <row r="1935" spans="1:3" x14ac:dyDescent="0.35">
      <c r="A1935" s="21">
        <v>19</v>
      </c>
      <c r="B1935" t="str">
        <f>VLOOKUP(A1935,Products!$A$1:$F$322,2,FALSE)</f>
        <v>Pure Cycles William 3-Speed - 2016</v>
      </c>
      <c r="C1935" s="21" t="e">
        <f>VLOOKUP(A1935,Products!A$322:$D1935,4,FALSE)</f>
        <v>#N/A</v>
      </c>
    </row>
    <row r="1936" spans="1:3" x14ac:dyDescent="0.35">
      <c r="A1936" s="21">
        <v>104</v>
      </c>
      <c r="B1936" t="str">
        <f>VLOOKUP(A1936,Products!$A$1:$F$322,2,FALSE)</f>
        <v>Sun Bicycles Streamway - 2017</v>
      </c>
      <c r="C1936" s="21" t="e">
        <f>VLOOKUP(A1936,Products!A$322:$D1936,4,FALSE)</f>
        <v>#N/A</v>
      </c>
    </row>
    <row r="1937" spans="1:3" x14ac:dyDescent="0.35">
      <c r="A1937" s="21">
        <v>48</v>
      </c>
      <c r="B1937" t="str">
        <f>VLOOKUP(A1937,Products!$A$1:$F$322,2,FALSE)</f>
        <v>Trek Emonda S 4 - 2017</v>
      </c>
      <c r="C1937" s="21" t="e">
        <f>VLOOKUP(A1937,Products!A$322:$D1937,4,FALSE)</f>
        <v>#N/A</v>
      </c>
    </row>
    <row r="1938" spans="1:3" x14ac:dyDescent="0.35">
      <c r="A1938" s="21">
        <v>95</v>
      </c>
      <c r="B1938" t="str">
        <f>VLOOKUP(A1938,Products!$A$1:$F$322,2,FALSE)</f>
        <v>Electra Girl's Hawaii 1 16" - 2017</v>
      </c>
      <c r="C1938" s="21" t="e">
        <f>VLOOKUP(A1938,Products!A$322:$D1938,4,FALSE)</f>
        <v>#N/A</v>
      </c>
    </row>
    <row r="1939" spans="1:3" x14ac:dyDescent="0.35">
      <c r="A1939" s="21">
        <v>5</v>
      </c>
      <c r="B1939" t="str">
        <f>VLOOKUP(A1939,Products!$A$1:$F$322,2,FALSE)</f>
        <v>Heller Shagamaw Frame - 2016</v>
      </c>
      <c r="C1939" s="21" t="e">
        <f>VLOOKUP(A1939,Products!A$322:$D1939,4,FALSE)</f>
        <v>#N/A</v>
      </c>
    </row>
    <row r="1940" spans="1:3" x14ac:dyDescent="0.35">
      <c r="A1940" s="21">
        <v>83</v>
      </c>
      <c r="B1940" t="str">
        <f>VLOOKUP(A1940,Products!$A$1:$F$322,2,FALSE)</f>
        <v>Trek Boy's Kickster - 2015/2017</v>
      </c>
      <c r="C1940" s="21" t="e">
        <f>VLOOKUP(A1940,Products!A$322:$D1940,4,FALSE)</f>
        <v>#N/A</v>
      </c>
    </row>
    <row r="1941" spans="1:3" x14ac:dyDescent="0.35">
      <c r="A1941" s="21">
        <v>8</v>
      </c>
      <c r="B1941" t="str">
        <f>VLOOKUP(A1941,Products!$A$1:$F$322,2,FALSE)</f>
        <v>Trek Remedy 29 Carbon Frameset - 2016</v>
      </c>
      <c r="C1941" s="21" t="e">
        <f>VLOOKUP(A1941,Products!A$322:$D1941,4,FALSE)</f>
        <v>#N/A</v>
      </c>
    </row>
    <row r="1942" spans="1:3" x14ac:dyDescent="0.35">
      <c r="A1942" s="21">
        <v>88</v>
      </c>
      <c r="B1942" t="str">
        <f>VLOOKUP(A1942,Products!$A$1:$F$322,2,FALSE)</f>
        <v>Trek Precaliber 12 Girls - 2017</v>
      </c>
      <c r="C1942" s="21" t="e">
        <f>VLOOKUP(A1942,Products!A$322:$D1942,4,FALSE)</f>
        <v>#N/A</v>
      </c>
    </row>
    <row r="1943" spans="1:3" x14ac:dyDescent="0.35">
      <c r="A1943" s="21">
        <v>33</v>
      </c>
      <c r="B1943" t="str">
        <f>VLOOKUP(A1943,Products!$A$1:$F$322,2,FALSE)</f>
        <v>Surly Wednesday Frameset - 2017</v>
      </c>
      <c r="C1943" s="21" t="e">
        <f>VLOOKUP(A1943,Products!A$322:$D1943,4,FALSE)</f>
        <v>#N/A</v>
      </c>
    </row>
    <row r="1944" spans="1:3" x14ac:dyDescent="0.35">
      <c r="A1944" s="21">
        <v>84</v>
      </c>
      <c r="B1944" t="str">
        <f>VLOOKUP(A1944,Products!$A$1:$F$322,2,FALSE)</f>
        <v>Sun Bicycles Lil Kitt'n - 2017</v>
      </c>
      <c r="C1944" s="21" t="e">
        <f>VLOOKUP(A1944,Products!A$322:$D1944,4,FALSE)</f>
        <v>#N/A</v>
      </c>
    </row>
    <row r="1945" spans="1:3" x14ac:dyDescent="0.35">
      <c r="A1945" s="21">
        <v>11</v>
      </c>
      <c r="B1945" t="str">
        <f>VLOOKUP(A1945,Products!$A$1:$F$322,2,FALSE)</f>
        <v>Surly Straggler 650b - 2016</v>
      </c>
      <c r="C1945" s="21" t="e">
        <f>VLOOKUP(A1945,Products!A$322:$D1945,4,FALSE)</f>
        <v>#N/A</v>
      </c>
    </row>
    <row r="1946" spans="1:3" x14ac:dyDescent="0.35">
      <c r="A1946" s="21">
        <v>85</v>
      </c>
      <c r="B1946" t="str">
        <f>VLOOKUP(A1946,Products!$A$1:$F$322,2,FALSE)</f>
        <v>Haro Downtown 16 - 2017</v>
      </c>
      <c r="C1946" s="21" t="e">
        <f>VLOOKUP(A1946,Products!A$322:$D1946,4,FALSE)</f>
        <v>#N/A</v>
      </c>
    </row>
    <row r="1947" spans="1:3" x14ac:dyDescent="0.35">
      <c r="A1947" s="21">
        <v>109</v>
      </c>
      <c r="B1947" t="str">
        <f>VLOOKUP(A1947,Products!$A$1:$F$322,2,FALSE)</f>
        <v>Sun Bicycles Cruz 7 - Women's - 2017</v>
      </c>
      <c r="C1947" s="21" t="e">
        <f>VLOOKUP(A1947,Products!A$322:$D1947,4,FALSE)</f>
        <v>#N/A</v>
      </c>
    </row>
    <row r="1948" spans="1:3" x14ac:dyDescent="0.35">
      <c r="A1948" s="21">
        <v>23</v>
      </c>
      <c r="B1948" t="str">
        <f>VLOOKUP(A1948,Products!$A$1:$F$322,2,FALSE)</f>
        <v>Electra Girl's Hawaii 1 (20-inch) - 2015/2016</v>
      </c>
      <c r="C1948" s="21" t="e">
        <f>VLOOKUP(A1948,Products!A$322:$D1948,4,FALSE)</f>
        <v>#N/A</v>
      </c>
    </row>
    <row r="1949" spans="1:3" x14ac:dyDescent="0.35">
      <c r="A1949" s="21">
        <v>5</v>
      </c>
      <c r="B1949" t="str">
        <f>VLOOKUP(A1949,Products!$A$1:$F$322,2,FALSE)</f>
        <v>Heller Shagamaw Frame - 2016</v>
      </c>
      <c r="C1949" s="21" t="e">
        <f>VLOOKUP(A1949,Products!A$322:$D1949,4,FALSE)</f>
        <v>#N/A</v>
      </c>
    </row>
    <row r="1950" spans="1:3" x14ac:dyDescent="0.35">
      <c r="A1950" s="21">
        <v>55</v>
      </c>
      <c r="B1950" t="str">
        <f>VLOOKUP(A1950,Products!$A$1:$F$322,2,FALSE)</f>
        <v>Trek Domane S 6 - 2017</v>
      </c>
      <c r="C1950" s="21" t="e">
        <f>VLOOKUP(A1950,Products!A$322:$D1950,4,FALSE)</f>
        <v>#N/A</v>
      </c>
    </row>
    <row r="1951" spans="1:3" x14ac:dyDescent="0.35">
      <c r="A1951" s="21">
        <v>20</v>
      </c>
      <c r="B1951" t="str">
        <f>VLOOKUP(A1951,Products!$A$1:$F$322,2,FALSE)</f>
        <v>Electra Townie Original 7D EQ - Women's - 2016</v>
      </c>
      <c r="C1951" s="21" t="e">
        <f>VLOOKUP(A1951,Products!A$322:$D1951,4,FALSE)</f>
        <v>#N/A</v>
      </c>
    </row>
    <row r="1952" spans="1:3" x14ac:dyDescent="0.35">
      <c r="A1952" s="21">
        <v>59</v>
      </c>
      <c r="B1952" t="str">
        <f>VLOOKUP(A1952,Products!$A$1:$F$322,2,FALSE)</f>
        <v>Trek Domane S 5 Disc - 2017</v>
      </c>
      <c r="C1952" s="21" t="e">
        <f>VLOOKUP(A1952,Products!A$322:$D1952,4,FALSE)</f>
        <v>#N/A</v>
      </c>
    </row>
    <row r="1953" spans="1:3" x14ac:dyDescent="0.35">
      <c r="A1953" s="21">
        <v>75</v>
      </c>
      <c r="B1953" t="str">
        <f>VLOOKUP(A1953,Products!$A$1:$F$322,2,FALSE)</f>
        <v>Electra Cruiser Lux Fat Tire 1 Ladies - 2017</v>
      </c>
      <c r="C1953" s="21" t="e">
        <f>VLOOKUP(A1953,Products!A$322:$D1953,4,FALSE)</f>
        <v>#N/A</v>
      </c>
    </row>
    <row r="1954" spans="1:3" x14ac:dyDescent="0.35">
      <c r="A1954" s="21">
        <v>15</v>
      </c>
      <c r="B1954" t="str">
        <f>VLOOKUP(A1954,Products!$A$1:$F$322,2,FALSE)</f>
        <v>Electra Moto 1 - 2016</v>
      </c>
      <c r="C1954" s="21" t="e">
        <f>VLOOKUP(A1954,Products!A$322:$D1954,4,FALSE)</f>
        <v>#N/A</v>
      </c>
    </row>
    <row r="1955" spans="1:3" x14ac:dyDescent="0.35">
      <c r="A1955" s="21">
        <v>56</v>
      </c>
      <c r="B1955" t="str">
        <f>VLOOKUP(A1955,Products!$A$1:$F$322,2,FALSE)</f>
        <v>Trek Domane SLR 6 Disc - 2017</v>
      </c>
      <c r="C1955" s="21" t="e">
        <f>VLOOKUP(A1955,Products!A$322:$D1955,4,FALSE)</f>
        <v>#N/A</v>
      </c>
    </row>
    <row r="1956" spans="1:3" x14ac:dyDescent="0.35">
      <c r="A1956" s="21">
        <v>104</v>
      </c>
      <c r="B1956" t="str">
        <f>VLOOKUP(A1956,Products!$A$1:$F$322,2,FALSE)</f>
        <v>Sun Bicycles Streamway - 2017</v>
      </c>
      <c r="C1956" s="21" t="e">
        <f>VLOOKUP(A1956,Products!A$322:$D1956,4,FALSE)</f>
        <v>#N/A</v>
      </c>
    </row>
    <row r="1957" spans="1:3" x14ac:dyDescent="0.35">
      <c r="A1957" s="21">
        <v>13</v>
      </c>
      <c r="B1957" t="str">
        <f>VLOOKUP(A1957,Products!$A$1:$F$322,2,FALSE)</f>
        <v>Electra Cruiser 1 (24-Inch) - 2016</v>
      </c>
      <c r="C1957" s="21" t="e">
        <f>VLOOKUP(A1957,Products!A$322:$D1957,4,FALSE)</f>
        <v>#N/A</v>
      </c>
    </row>
    <row r="1958" spans="1:3" x14ac:dyDescent="0.35">
      <c r="A1958" s="21">
        <v>5</v>
      </c>
      <c r="B1958" t="str">
        <f>VLOOKUP(A1958,Products!$A$1:$F$322,2,FALSE)</f>
        <v>Heller Shagamaw Frame - 2016</v>
      </c>
      <c r="C1958" s="21" t="e">
        <f>VLOOKUP(A1958,Products!A$322:$D1958,4,FALSE)</f>
        <v>#N/A</v>
      </c>
    </row>
    <row r="1959" spans="1:3" x14ac:dyDescent="0.35">
      <c r="A1959" s="21">
        <v>31</v>
      </c>
      <c r="B1959" t="str">
        <f>VLOOKUP(A1959,Products!$A$1:$F$322,2,FALSE)</f>
        <v>Surly Wednesday - 2017</v>
      </c>
      <c r="C1959" s="21" t="e">
        <f>VLOOKUP(A1959,Products!A$322:$D1959,4,FALSE)</f>
        <v>#N/A</v>
      </c>
    </row>
    <row r="1960" spans="1:3" x14ac:dyDescent="0.35">
      <c r="A1960" s="21">
        <v>48</v>
      </c>
      <c r="B1960" t="str">
        <f>VLOOKUP(A1960,Products!$A$1:$F$322,2,FALSE)</f>
        <v>Trek Emonda S 4 - 2017</v>
      </c>
      <c r="C1960" s="21" t="e">
        <f>VLOOKUP(A1960,Products!A$322:$D1960,4,FALSE)</f>
        <v>#N/A</v>
      </c>
    </row>
    <row r="1961" spans="1:3" x14ac:dyDescent="0.35">
      <c r="A1961" s="21">
        <v>39</v>
      </c>
      <c r="B1961" t="str">
        <f>VLOOKUP(A1961,Products!$A$1:$F$322,2,FALSE)</f>
        <v>Trek Stache 5 - 2017</v>
      </c>
      <c r="C1961" s="21" t="e">
        <f>VLOOKUP(A1961,Products!A$322:$D1961,4,FALSE)</f>
        <v>#N/A</v>
      </c>
    </row>
    <row r="1962" spans="1:3" x14ac:dyDescent="0.35">
      <c r="A1962" s="21">
        <v>55</v>
      </c>
      <c r="B1962" t="str">
        <f>VLOOKUP(A1962,Products!$A$1:$F$322,2,FALSE)</f>
        <v>Trek Domane S 6 - 2017</v>
      </c>
      <c r="C1962" s="21" t="e">
        <f>VLOOKUP(A1962,Products!A$322:$D1962,4,FALSE)</f>
        <v>#N/A</v>
      </c>
    </row>
    <row r="1963" spans="1:3" x14ac:dyDescent="0.35">
      <c r="A1963" s="21">
        <v>103</v>
      </c>
      <c r="B1963" t="str">
        <f>VLOOKUP(A1963,Products!$A$1:$F$322,2,FALSE)</f>
        <v>Sun Bicycles Streamway 3 - 2017</v>
      </c>
      <c r="C1963" s="21" t="e">
        <f>VLOOKUP(A1963,Products!A$322:$D1963,4,FALSE)</f>
        <v>#N/A</v>
      </c>
    </row>
    <row r="1964" spans="1:3" x14ac:dyDescent="0.35">
      <c r="A1964" s="21">
        <v>45</v>
      </c>
      <c r="B1964" t="str">
        <f>VLOOKUP(A1964,Products!$A$1:$F$322,2,FALSE)</f>
        <v>Haro SR 1.2 - 2017</v>
      </c>
      <c r="C1964" s="21" t="e">
        <f>VLOOKUP(A1964,Products!A$322:$D1964,4,FALSE)</f>
        <v>#N/A</v>
      </c>
    </row>
    <row r="1965" spans="1:3" x14ac:dyDescent="0.35">
      <c r="A1965" s="21">
        <v>82</v>
      </c>
      <c r="B1965" t="str">
        <f>VLOOKUP(A1965,Products!$A$1:$F$322,2,FALSE)</f>
        <v>Electra Amsterdam Original 3i Ladies' - 2017</v>
      </c>
      <c r="C1965" s="21" t="e">
        <f>VLOOKUP(A1965,Products!A$322:$D1965,4,FALSE)</f>
        <v>#N/A</v>
      </c>
    </row>
    <row r="1966" spans="1:3" x14ac:dyDescent="0.35">
      <c r="A1966" s="21">
        <v>57</v>
      </c>
      <c r="B1966" t="str">
        <f>VLOOKUP(A1966,Products!$A$1:$F$322,2,FALSE)</f>
        <v>Trek Emonda S 5 - 2017</v>
      </c>
      <c r="C1966" s="21" t="e">
        <f>VLOOKUP(A1966,Products!A$322:$D1966,4,FALSE)</f>
        <v>#N/A</v>
      </c>
    </row>
    <row r="1967" spans="1:3" x14ac:dyDescent="0.35">
      <c r="A1967" s="21">
        <v>88</v>
      </c>
      <c r="B1967" t="str">
        <f>VLOOKUP(A1967,Products!$A$1:$F$322,2,FALSE)</f>
        <v>Trek Precaliber 12 Girls - 2017</v>
      </c>
      <c r="C1967" s="21" t="e">
        <f>VLOOKUP(A1967,Products!A$322:$D1967,4,FALSE)</f>
        <v>#N/A</v>
      </c>
    </row>
    <row r="1968" spans="1:3" x14ac:dyDescent="0.35">
      <c r="A1968" s="21">
        <v>7</v>
      </c>
      <c r="B1968" t="str">
        <f>VLOOKUP(A1968,Products!$A$1:$F$322,2,FALSE)</f>
        <v>Trek Slash 8 27.5 - 2016</v>
      </c>
      <c r="C1968" s="21" t="e">
        <f>VLOOKUP(A1968,Products!A$322:$D1968,4,FALSE)</f>
        <v>#N/A</v>
      </c>
    </row>
    <row r="1969" spans="1:3" x14ac:dyDescent="0.35">
      <c r="A1969" s="21">
        <v>45</v>
      </c>
      <c r="B1969" t="str">
        <f>VLOOKUP(A1969,Products!$A$1:$F$322,2,FALSE)</f>
        <v>Haro SR 1.2 - 2017</v>
      </c>
      <c r="C1969" s="21" t="e">
        <f>VLOOKUP(A1969,Products!A$322:$D1969,4,FALSE)</f>
        <v>#N/A</v>
      </c>
    </row>
    <row r="1970" spans="1:3" x14ac:dyDescent="0.35">
      <c r="A1970" s="21">
        <v>5</v>
      </c>
      <c r="B1970" t="str">
        <f>VLOOKUP(A1970,Products!$A$1:$F$322,2,FALSE)</f>
        <v>Heller Shagamaw Frame - 2016</v>
      </c>
      <c r="C1970" s="21" t="e">
        <f>VLOOKUP(A1970,Products!A$322:$D1970,4,FALSE)</f>
        <v>#N/A</v>
      </c>
    </row>
    <row r="1971" spans="1:3" x14ac:dyDescent="0.35">
      <c r="A1971" s="21">
        <v>96</v>
      </c>
      <c r="B1971" t="str">
        <f>VLOOKUP(A1971,Products!$A$1:$F$322,2,FALSE)</f>
        <v>Electra Moto 3i (20-inch) - Boy's - 2017</v>
      </c>
      <c r="C1971" s="21" t="e">
        <f>VLOOKUP(A1971,Products!A$322:$D1971,4,FALSE)</f>
        <v>#N/A</v>
      </c>
    </row>
    <row r="1972" spans="1:3" x14ac:dyDescent="0.35">
      <c r="A1972" s="21">
        <v>12</v>
      </c>
      <c r="B1972" t="str">
        <f>VLOOKUP(A1972,Products!$A$1:$F$322,2,FALSE)</f>
        <v>Electra Townie Original 21D - 2016</v>
      </c>
      <c r="C1972" s="21" t="e">
        <f>VLOOKUP(A1972,Products!A$322:$D1972,4,FALSE)</f>
        <v>#N/A</v>
      </c>
    </row>
    <row r="1973" spans="1:3" x14ac:dyDescent="0.35">
      <c r="A1973" s="21">
        <v>40</v>
      </c>
      <c r="B1973" t="str">
        <f>VLOOKUP(A1973,Products!$A$1:$F$322,2,FALSE)</f>
        <v>Trek Fuel EX 9.8 29 - 2017</v>
      </c>
      <c r="C1973" s="21" t="e">
        <f>VLOOKUP(A1973,Products!A$322:$D1973,4,FALSE)</f>
        <v>#N/A</v>
      </c>
    </row>
    <row r="1974" spans="1:3" x14ac:dyDescent="0.35">
      <c r="A1974" s="21">
        <v>106</v>
      </c>
      <c r="B1974" t="str">
        <f>VLOOKUP(A1974,Products!$A$1:$F$322,2,FALSE)</f>
        <v>Sun Bicycles Cruz 3 - 2017</v>
      </c>
      <c r="C1974" s="21" t="e">
        <f>VLOOKUP(A1974,Products!A$322:$D1974,4,FALSE)</f>
        <v>#N/A</v>
      </c>
    </row>
    <row r="1975" spans="1:3" x14ac:dyDescent="0.35">
      <c r="A1975" s="21">
        <v>48</v>
      </c>
      <c r="B1975" t="str">
        <f>VLOOKUP(A1975,Products!$A$1:$F$322,2,FALSE)</f>
        <v>Trek Emonda S 4 - 2017</v>
      </c>
      <c r="C1975" s="21" t="e">
        <f>VLOOKUP(A1975,Products!A$322:$D1975,4,FALSE)</f>
        <v>#N/A</v>
      </c>
    </row>
    <row r="1976" spans="1:3" x14ac:dyDescent="0.35">
      <c r="A1976" s="21">
        <v>31</v>
      </c>
      <c r="B1976" t="str">
        <f>VLOOKUP(A1976,Products!$A$1:$F$322,2,FALSE)</f>
        <v>Surly Wednesday - 2017</v>
      </c>
      <c r="C1976" s="21" t="e">
        <f>VLOOKUP(A1976,Products!A$322:$D1976,4,FALSE)</f>
        <v>#N/A</v>
      </c>
    </row>
    <row r="1977" spans="1:3" x14ac:dyDescent="0.35">
      <c r="A1977" s="21">
        <v>24</v>
      </c>
      <c r="B1977" t="str">
        <f>VLOOKUP(A1977,Products!$A$1:$F$322,2,FALSE)</f>
        <v>Electra Townie Original 21D - 2016</v>
      </c>
      <c r="C1977" s="21" t="e">
        <f>VLOOKUP(A1977,Products!A$322:$D1977,4,FALSE)</f>
        <v>#N/A</v>
      </c>
    </row>
    <row r="1978" spans="1:3" x14ac:dyDescent="0.35">
      <c r="A1978" s="21">
        <v>82</v>
      </c>
      <c r="B1978" t="str">
        <f>VLOOKUP(A1978,Products!$A$1:$F$322,2,FALSE)</f>
        <v>Electra Amsterdam Original 3i Ladies' - 2017</v>
      </c>
      <c r="C1978" s="21" t="e">
        <f>VLOOKUP(A1978,Products!A$322:$D1978,4,FALSE)</f>
        <v>#N/A</v>
      </c>
    </row>
    <row r="1979" spans="1:3" x14ac:dyDescent="0.35">
      <c r="A1979" s="21">
        <v>7</v>
      </c>
      <c r="B1979" t="str">
        <f>VLOOKUP(A1979,Products!$A$1:$F$322,2,FALSE)</f>
        <v>Trek Slash 8 27.5 - 2016</v>
      </c>
      <c r="C1979" s="21" t="e">
        <f>VLOOKUP(A1979,Products!A$322:$D1979,4,FALSE)</f>
        <v>#N/A</v>
      </c>
    </row>
    <row r="1980" spans="1:3" x14ac:dyDescent="0.35">
      <c r="A1980" s="21">
        <v>63</v>
      </c>
      <c r="B1980" t="str">
        <f>VLOOKUP(A1980,Products!$A$1:$F$322,2,FALSE)</f>
        <v>Trek Boone Race Shop Limited - 2017</v>
      </c>
      <c r="C1980" s="21" t="e">
        <f>VLOOKUP(A1980,Products!A$322:$D1980,4,FALSE)</f>
        <v>#N/A</v>
      </c>
    </row>
    <row r="1981" spans="1:3" x14ac:dyDescent="0.35">
      <c r="A1981" s="21">
        <v>84</v>
      </c>
      <c r="B1981" t="str">
        <f>VLOOKUP(A1981,Products!$A$1:$F$322,2,FALSE)</f>
        <v>Sun Bicycles Lil Kitt'n - 2017</v>
      </c>
      <c r="C1981" s="21" t="e">
        <f>VLOOKUP(A1981,Products!A$322:$D1981,4,FALSE)</f>
        <v>#N/A</v>
      </c>
    </row>
    <row r="1982" spans="1:3" x14ac:dyDescent="0.35">
      <c r="A1982" s="21">
        <v>25</v>
      </c>
      <c r="B1982" t="str">
        <f>VLOOKUP(A1982,Products!$A$1:$F$322,2,FALSE)</f>
        <v>Electra Townie Original 7D - 2015/2016</v>
      </c>
      <c r="C1982" s="21" t="e">
        <f>VLOOKUP(A1982,Products!A$322:$D1982,4,FALSE)</f>
        <v>#N/A</v>
      </c>
    </row>
    <row r="1983" spans="1:3" x14ac:dyDescent="0.35">
      <c r="A1983" s="21">
        <v>104</v>
      </c>
      <c r="B1983" t="str">
        <f>VLOOKUP(A1983,Products!$A$1:$F$322,2,FALSE)</f>
        <v>Sun Bicycles Streamway - 2017</v>
      </c>
      <c r="C1983" s="21" t="e">
        <f>VLOOKUP(A1983,Products!A$322:$D1983,4,FALSE)</f>
        <v>#N/A</v>
      </c>
    </row>
    <row r="1984" spans="1:3" x14ac:dyDescent="0.35">
      <c r="A1984" s="21">
        <v>3</v>
      </c>
      <c r="B1984" t="str">
        <f>VLOOKUP(A1984,Products!$A$1:$F$322,2,FALSE)</f>
        <v>Surly Wednesday Frameset - 2016</v>
      </c>
      <c r="C1984" s="21" t="e">
        <f>VLOOKUP(A1984,Products!A$322:$D1984,4,FALSE)</f>
        <v>#N/A</v>
      </c>
    </row>
    <row r="1985" spans="1:3" x14ac:dyDescent="0.35">
      <c r="A1985" s="21">
        <v>45</v>
      </c>
      <c r="B1985" t="str">
        <f>VLOOKUP(A1985,Products!$A$1:$F$322,2,FALSE)</f>
        <v>Haro SR 1.2 - 2017</v>
      </c>
      <c r="C1985" s="21" t="e">
        <f>VLOOKUP(A1985,Products!A$322:$D1985,4,FALSE)</f>
        <v>#N/A</v>
      </c>
    </row>
    <row r="1986" spans="1:3" x14ac:dyDescent="0.35">
      <c r="A1986" s="21">
        <v>66</v>
      </c>
      <c r="B1986" t="str">
        <f>VLOOKUP(A1986,Products!$A$1:$F$322,2,FALSE)</f>
        <v>Sun Bicycles Revolutions 24 - 2017</v>
      </c>
      <c r="C1986" s="21" t="e">
        <f>VLOOKUP(A1986,Products!A$322:$D1986,4,FALSE)</f>
        <v>#N/A</v>
      </c>
    </row>
    <row r="1987" spans="1:3" x14ac:dyDescent="0.35">
      <c r="A1987" s="21">
        <v>72</v>
      </c>
      <c r="B1987" t="str">
        <f>VLOOKUP(A1987,Products!$A$1:$F$322,2,FALSE)</f>
        <v>Sun Bicycles Biscayne Tandem 7 - 2017</v>
      </c>
      <c r="C1987" s="21" t="e">
        <f>VLOOKUP(A1987,Products!A$322:$D1987,4,FALSE)</f>
        <v>#N/A</v>
      </c>
    </row>
    <row r="1988" spans="1:3" x14ac:dyDescent="0.35">
      <c r="A1988" s="21">
        <v>4</v>
      </c>
      <c r="B1988" t="str">
        <f>VLOOKUP(A1988,Products!$A$1:$F$322,2,FALSE)</f>
        <v>Trek Fuel EX 8 29 - 2016</v>
      </c>
      <c r="C1988" s="21" t="e">
        <f>VLOOKUP(A1988,Products!A$322:$D1988,4,FALSE)</f>
        <v>#N/A</v>
      </c>
    </row>
    <row r="1989" spans="1:3" x14ac:dyDescent="0.35">
      <c r="A1989" s="21">
        <v>10</v>
      </c>
      <c r="B1989" t="str">
        <f>VLOOKUP(A1989,Products!$A$1:$F$322,2,FALSE)</f>
        <v>Surly Straggler - 2016</v>
      </c>
      <c r="C1989" s="21" t="e">
        <f>VLOOKUP(A1989,Products!A$322:$D1989,4,FALSE)</f>
        <v>#N/A</v>
      </c>
    </row>
    <row r="1990" spans="1:3" x14ac:dyDescent="0.35">
      <c r="A1990" s="21">
        <v>62</v>
      </c>
      <c r="B1990" t="str">
        <f>VLOOKUP(A1990,Products!$A$1:$F$322,2,FALSE)</f>
        <v>Trek Boone 7 - 2017</v>
      </c>
      <c r="C1990" s="21" t="e">
        <f>VLOOKUP(A1990,Products!A$322:$D1990,4,FALSE)</f>
        <v>#N/A</v>
      </c>
    </row>
    <row r="1991" spans="1:3" x14ac:dyDescent="0.35">
      <c r="A1991" s="21">
        <v>100</v>
      </c>
      <c r="B1991" t="str">
        <f>VLOOKUP(A1991,Products!$A$1:$F$322,2,FALSE)</f>
        <v>Electra Townie 3i EQ (20-inch) - Boys' - 2017</v>
      </c>
      <c r="C1991" s="21" t="e">
        <f>VLOOKUP(A1991,Products!A$322:$D1991,4,FALSE)</f>
        <v>#N/A</v>
      </c>
    </row>
    <row r="1992" spans="1:3" x14ac:dyDescent="0.35">
      <c r="A1992" s="21">
        <v>61</v>
      </c>
      <c r="B1992" t="str">
        <f>VLOOKUP(A1992,Products!$A$1:$F$322,2,FALSE)</f>
        <v>Trek Powerfly 8 FS Plus - 2017</v>
      </c>
      <c r="C1992" s="21" t="e">
        <f>VLOOKUP(A1992,Products!A$322:$D1992,4,FALSE)</f>
        <v>#N/A</v>
      </c>
    </row>
    <row r="1993" spans="1:3" x14ac:dyDescent="0.35">
      <c r="A1993" s="21">
        <v>27</v>
      </c>
      <c r="B1993" t="str">
        <f>VLOOKUP(A1993,Products!$A$1:$F$322,2,FALSE)</f>
        <v>Surly Big Dummy Frameset - 2017</v>
      </c>
      <c r="C1993" s="21" t="e">
        <f>VLOOKUP(A1993,Products!A$322:$D1993,4,FALSE)</f>
        <v>#N/A</v>
      </c>
    </row>
    <row r="1994" spans="1:3" x14ac:dyDescent="0.35">
      <c r="A1994" s="21">
        <v>23</v>
      </c>
      <c r="B1994" t="str">
        <f>VLOOKUP(A1994,Products!$A$1:$F$322,2,FALSE)</f>
        <v>Electra Girl's Hawaii 1 (20-inch) - 2015/2016</v>
      </c>
      <c r="C1994" s="21" t="e">
        <f>VLOOKUP(A1994,Products!A$322:$D1994,4,FALSE)</f>
        <v>#N/A</v>
      </c>
    </row>
    <row r="1995" spans="1:3" x14ac:dyDescent="0.35">
      <c r="A1995" s="21">
        <v>60</v>
      </c>
      <c r="B1995" t="str">
        <f>VLOOKUP(A1995,Products!$A$1:$F$322,2,FALSE)</f>
        <v>Sun Bicycles ElectroLite - 2017</v>
      </c>
      <c r="C1995" s="21" t="e">
        <f>VLOOKUP(A1995,Products!A$322:$D1995,4,FALSE)</f>
        <v>#N/A</v>
      </c>
    </row>
    <row r="1996" spans="1:3" x14ac:dyDescent="0.35">
      <c r="A1996" s="21">
        <v>106</v>
      </c>
      <c r="B1996" t="str">
        <f>VLOOKUP(A1996,Products!$A$1:$F$322,2,FALSE)</f>
        <v>Sun Bicycles Cruz 3 - 2017</v>
      </c>
      <c r="C1996" s="21" t="e">
        <f>VLOOKUP(A1996,Products!A$322:$D1996,4,FALSE)</f>
        <v>#N/A</v>
      </c>
    </row>
    <row r="1997" spans="1:3" x14ac:dyDescent="0.35">
      <c r="A1997" s="21">
        <v>100</v>
      </c>
      <c r="B1997" t="str">
        <f>VLOOKUP(A1997,Products!$A$1:$F$322,2,FALSE)</f>
        <v>Electra Townie 3i EQ (20-inch) - Boys' - 2017</v>
      </c>
      <c r="C1997" s="21" t="e">
        <f>VLOOKUP(A1997,Products!A$322:$D1997,4,FALSE)</f>
        <v>#N/A</v>
      </c>
    </row>
    <row r="1998" spans="1:3" x14ac:dyDescent="0.35">
      <c r="A1998" s="21">
        <v>11</v>
      </c>
      <c r="B1998" t="str">
        <f>VLOOKUP(A1998,Products!$A$1:$F$322,2,FALSE)</f>
        <v>Surly Straggler 650b - 2016</v>
      </c>
      <c r="C1998" s="21" t="e">
        <f>VLOOKUP(A1998,Products!A$322:$D1998,4,FALSE)</f>
        <v>#N/A</v>
      </c>
    </row>
    <row r="1999" spans="1:3" x14ac:dyDescent="0.35">
      <c r="A1999" s="21">
        <v>26</v>
      </c>
      <c r="B1999" t="str">
        <f>VLOOKUP(A1999,Products!$A$1:$F$322,2,FALSE)</f>
        <v>Electra Townie Original 7D EQ - 2016</v>
      </c>
      <c r="C1999" s="21" t="e">
        <f>VLOOKUP(A1999,Products!A$322:$D1999,4,FALSE)</f>
        <v>#N/A</v>
      </c>
    </row>
    <row r="2000" spans="1:3" x14ac:dyDescent="0.35">
      <c r="A2000" s="21">
        <v>6</v>
      </c>
      <c r="B2000" t="str">
        <f>VLOOKUP(A2000,Products!$A$1:$F$322,2,FALSE)</f>
        <v>Surly Ice Cream Truck Frameset - 2016</v>
      </c>
      <c r="C2000" s="21" t="e">
        <f>VLOOKUP(A2000,Products!A$322:$D2000,4,FALSE)</f>
        <v>#N/A</v>
      </c>
    </row>
    <row r="2001" spans="1:3" x14ac:dyDescent="0.35">
      <c r="A2001" s="21">
        <v>47</v>
      </c>
      <c r="B2001" t="str">
        <f>VLOOKUP(A2001,Products!$A$1:$F$322,2,FALSE)</f>
        <v>Trek Remedy 9.8 - 2017</v>
      </c>
      <c r="C2001" s="21" t="e">
        <f>VLOOKUP(A2001,Products!A$322:$D2001,4,FALSE)</f>
        <v>#N/A</v>
      </c>
    </row>
    <row r="2002" spans="1:3" x14ac:dyDescent="0.35">
      <c r="A2002" s="21">
        <v>34</v>
      </c>
      <c r="B2002" t="str">
        <f>VLOOKUP(A2002,Products!$A$1:$F$322,2,FALSE)</f>
        <v>Trek Session DH 27.5 Carbon Frameset - 2017</v>
      </c>
      <c r="C2002" s="21" t="e">
        <f>VLOOKUP(A2002,Products!A$322:$D2002,4,FALSE)</f>
        <v>#N/A</v>
      </c>
    </row>
    <row r="2003" spans="1:3" x14ac:dyDescent="0.35">
      <c r="A2003" s="21">
        <v>55</v>
      </c>
      <c r="B2003" t="str">
        <f>VLOOKUP(A2003,Products!$A$1:$F$322,2,FALSE)</f>
        <v>Trek Domane S 6 - 2017</v>
      </c>
      <c r="C2003" s="21" t="e">
        <f>VLOOKUP(A2003,Products!A$322:$D2003,4,FALSE)</f>
        <v>#N/A</v>
      </c>
    </row>
    <row r="2004" spans="1:3" x14ac:dyDescent="0.35">
      <c r="A2004" s="21">
        <v>101</v>
      </c>
      <c r="B2004" t="str">
        <f>VLOOKUP(A2004,Products!$A$1:$F$322,2,FALSE)</f>
        <v>Electra Townie 7D (20-inch) - Boys' - 2017</v>
      </c>
      <c r="C2004" s="21" t="e">
        <f>VLOOKUP(A2004,Products!A$322:$D2004,4,FALSE)</f>
        <v>#N/A</v>
      </c>
    </row>
    <row r="2005" spans="1:3" x14ac:dyDescent="0.35">
      <c r="A2005" s="21">
        <v>48</v>
      </c>
      <c r="B2005" t="str">
        <f>VLOOKUP(A2005,Products!$A$1:$F$322,2,FALSE)</f>
        <v>Trek Emonda S 4 - 2017</v>
      </c>
      <c r="C2005" s="21" t="e">
        <f>VLOOKUP(A2005,Products!A$322:$D2005,4,FALSE)</f>
        <v>#N/A</v>
      </c>
    </row>
    <row r="2006" spans="1:3" x14ac:dyDescent="0.35">
      <c r="A2006" s="21">
        <v>42</v>
      </c>
      <c r="B2006" t="str">
        <f>VLOOKUP(A2006,Products!$A$1:$F$322,2,FALSE)</f>
        <v>Trek Fuel EX 5 27.5 Plus - 2017</v>
      </c>
      <c r="C2006" s="21" t="e">
        <f>VLOOKUP(A2006,Products!A$322:$D2006,4,FALSE)</f>
        <v>#N/A</v>
      </c>
    </row>
    <row r="2007" spans="1:3" x14ac:dyDescent="0.35">
      <c r="A2007" s="21">
        <v>60</v>
      </c>
      <c r="B2007" t="str">
        <f>VLOOKUP(A2007,Products!$A$1:$F$322,2,FALSE)</f>
        <v>Sun Bicycles ElectroLite - 2017</v>
      </c>
      <c r="C2007" s="21" t="e">
        <f>VLOOKUP(A2007,Products!A$322:$D2007,4,FALSE)</f>
        <v>#N/A</v>
      </c>
    </row>
    <row r="2008" spans="1:3" x14ac:dyDescent="0.35">
      <c r="A2008" s="21">
        <v>39</v>
      </c>
      <c r="B2008" t="str">
        <f>VLOOKUP(A2008,Products!$A$1:$F$322,2,FALSE)</f>
        <v>Trek Stache 5 - 2017</v>
      </c>
      <c r="C2008" s="21" t="e">
        <f>VLOOKUP(A2008,Products!A$322:$D2008,4,FALSE)</f>
        <v>#N/A</v>
      </c>
    </row>
    <row r="2009" spans="1:3" x14ac:dyDescent="0.35">
      <c r="A2009" s="21">
        <v>57</v>
      </c>
      <c r="B2009" t="str">
        <f>VLOOKUP(A2009,Products!$A$1:$F$322,2,FALSE)</f>
        <v>Trek Emonda S 5 - 2017</v>
      </c>
      <c r="C2009" s="21" t="e">
        <f>VLOOKUP(A2009,Products!A$322:$D2009,4,FALSE)</f>
        <v>#N/A</v>
      </c>
    </row>
    <row r="2010" spans="1:3" x14ac:dyDescent="0.35">
      <c r="A2010" s="21">
        <v>28</v>
      </c>
      <c r="B2010" t="str">
        <f>VLOOKUP(A2010,Products!$A$1:$F$322,2,FALSE)</f>
        <v>Surly Karate Monkey 27.5+ Frameset - 2017</v>
      </c>
      <c r="C2010" s="21" t="e">
        <f>VLOOKUP(A2010,Products!A$322:$D2010,4,FALSE)</f>
        <v>#N/A</v>
      </c>
    </row>
    <row r="2011" spans="1:3" x14ac:dyDescent="0.35">
      <c r="A2011" s="21">
        <v>5</v>
      </c>
      <c r="B2011" t="str">
        <f>VLOOKUP(A2011,Products!$A$1:$F$322,2,FALSE)</f>
        <v>Heller Shagamaw Frame - 2016</v>
      </c>
      <c r="C2011" s="21" t="e">
        <f>VLOOKUP(A2011,Products!A$322:$D2011,4,FALSE)</f>
        <v>#N/A</v>
      </c>
    </row>
    <row r="2012" spans="1:3" x14ac:dyDescent="0.35">
      <c r="A2012" s="21">
        <v>95</v>
      </c>
      <c r="B2012" t="str">
        <f>VLOOKUP(A2012,Products!$A$1:$F$322,2,FALSE)</f>
        <v>Electra Girl's Hawaii 1 16" - 2017</v>
      </c>
      <c r="C2012" s="21" t="e">
        <f>VLOOKUP(A2012,Products!A$322:$D2012,4,FALSE)</f>
        <v>#N/A</v>
      </c>
    </row>
    <row r="2013" spans="1:3" x14ac:dyDescent="0.35">
      <c r="A2013" s="21">
        <v>72</v>
      </c>
      <c r="B2013" t="str">
        <f>VLOOKUP(A2013,Products!$A$1:$F$322,2,FALSE)</f>
        <v>Sun Bicycles Biscayne Tandem 7 - 2017</v>
      </c>
      <c r="C2013" s="21" t="e">
        <f>VLOOKUP(A2013,Products!A$322:$D2013,4,FALSE)</f>
        <v>#N/A</v>
      </c>
    </row>
    <row r="2014" spans="1:3" x14ac:dyDescent="0.35">
      <c r="A2014" s="21">
        <v>44</v>
      </c>
      <c r="B2014" t="str">
        <f>VLOOKUP(A2014,Products!$A$1:$F$322,2,FALSE)</f>
        <v>Haro SR 1.1 - 2017</v>
      </c>
      <c r="C2014" s="21" t="e">
        <f>VLOOKUP(A2014,Products!A$322:$D2014,4,FALSE)</f>
        <v>#N/A</v>
      </c>
    </row>
    <row r="2015" spans="1:3" x14ac:dyDescent="0.35">
      <c r="A2015" s="21">
        <v>74</v>
      </c>
      <c r="B2015" t="str">
        <f>VLOOKUP(A2015,Products!$A$1:$F$322,2,FALSE)</f>
        <v>Electra Cruiser Lux 1 - 2017</v>
      </c>
      <c r="C2015" s="21" t="e">
        <f>VLOOKUP(A2015,Products!A$322:$D2015,4,FALSE)</f>
        <v>#N/A</v>
      </c>
    </row>
    <row r="2016" spans="1:3" x14ac:dyDescent="0.35">
      <c r="A2016" s="21">
        <v>35</v>
      </c>
      <c r="B2016" t="str">
        <f>VLOOKUP(A2016,Products!$A$1:$F$322,2,FALSE)</f>
        <v>Sun Bicycles Spider 3i - 2017</v>
      </c>
      <c r="C2016" s="21" t="e">
        <f>VLOOKUP(A2016,Products!A$322:$D2016,4,FALSE)</f>
        <v>#N/A</v>
      </c>
    </row>
    <row r="2017" spans="1:3" x14ac:dyDescent="0.35">
      <c r="A2017" s="21">
        <v>76</v>
      </c>
      <c r="B2017" t="str">
        <f>VLOOKUP(A2017,Products!$A$1:$F$322,2,FALSE)</f>
        <v>Electra Girl's Hawaii 1 16" - 2017</v>
      </c>
      <c r="C2017" s="21" t="e">
        <f>VLOOKUP(A2017,Products!A$322:$D2017,4,FALSE)</f>
        <v>#N/A</v>
      </c>
    </row>
    <row r="2018" spans="1:3" x14ac:dyDescent="0.35">
      <c r="A2018" s="21">
        <v>4</v>
      </c>
      <c r="B2018" t="str">
        <f>VLOOKUP(A2018,Products!$A$1:$F$322,2,FALSE)</f>
        <v>Trek Fuel EX 8 29 - 2016</v>
      </c>
      <c r="C2018" s="21" t="e">
        <f>VLOOKUP(A2018,Products!A$322:$D2018,4,FALSE)</f>
        <v>#N/A</v>
      </c>
    </row>
    <row r="2019" spans="1:3" x14ac:dyDescent="0.35">
      <c r="A2019" s="21">
        <v>93</v>
      </c>
      <c r="B2019" t="str">
        <f>VLOOKUP(A2019,Products!$A$1:$F$322,2,FALSE)</f>
        <v>Haro Shredder 20 Girls - 2017</v>
      </c>
      <c r="C2019" s="21" t="e">
        <f>VLOOKUP(A2019,Products!A$322:$D2019,4,FALSE)</f>
        <v>#N/A</v>
      </c>
    </row>
    <row r="2020" spans="1:3" x14ac:dyDescent="0.35">
      <c r="A2020" s="21">
        <v>97</v>
      </c>
      <c r="B2020" t="str">
        <f>VLOOKUP(A2020,Products!$A$1:$F$322,2,FALSE)</f>
        <v>Electra Savannah 3i (20-inch) - Girl's - 2017</v>
      </c>
      <c r="C2020" s="21" t="e">
        <f>VLOOKUP(A2020,Products!A$322:$D2020,4,FALSE)</f>
        <v>#N/A</v>
      </c>
    </row>
    <row r="2021" spans="1:3" x14ac:dyDescent="0.35">
      <c r="A2021" s="21">
        <v>53</v>
      </c>
      <c r="B2021" t="str">
        <f>VLOOKUP(A2021,Products!$A$1:$F$322,2,FALSE)</f>
        <v>Surly Ogre Frameset - 2017</v>
      </c>
      <c r="C2021" s="21" t="e">
        <f>VLOOKUP(A2021,Products!A$322:$D2021,4,FALSE)</f>
        <v>#N/A</v>
      </c>
    </row>
    <row r="2022" spans="1:3" x14ac:dyDescent="0.35">
      <c r="A2022" s="21">
        <v>108</v>
      </c>
      <c r="B2022" t="str">
        <f>VLOOKUP(A2022,Products!$A$1:$F$322,2,FALSE)</f>
        <v>Sun Bicycles Cruz 3 - Women's - 2017</v>
      </c>
      <c r="C2022" s="21" t="e">
        <f>VLOOKUP(A2022,Products!A$322:$D2022,4,FALSE)</f>
        <v>#N/A</v>
      </c>
    </row>
    <row r="2023" spans="1:3" x14ac:dyDescent="0.35">
      <c r="A2023" s="21">
        <v>92</v>
      </c>
      <c r="B2023" t="str">
        <f>VLOOKUP(A2023,Products!$A$1:$F$322,2,FALSE)</f>
        <v>Haro Shredder 20 - 2017</v>
      </c>
      <c r="C2023" s="21" t="e">
        <f>VLOOKUP(A2023,Products!A$322:$D2023,4,FALSE)</f>
        <v>#N/A</v>
      </c>
    </row>
    <row r="2024" spans="1:3" x14ac:dyDescent="0.35">
      <c r="A2024" s="21">
        <v>61</v>
      </c>
      <c r="B2024" t="str">
        <f>VLOOKUP(A2024,Products!$A$1:$F$322,2,FALSE)</f>
        <v>Trek Powerfly 8 FS Plus - 2017</v>
      </c>
      <c r="C2024" s="21" t="e">
        <f>VLOOKUP(A2024,Products!A$322:$D2024,4,FALSE)</f>
        <v>#N/A</v>
      </c>
    </row>
    <row r="2025" spans="1:3" x14ac:dyDescent="0.35">
      <c r="A2025" s="21">
        <v>50</v>
      </c>
      <c r="B2025" t="str">
        <f>VLOOKUP(A2025,Products!$A$1:$F$322,2,FALSE)</f>
        <v>Trek Silque SLR 7 Women's - 2017</v>
      </c>
      <c r="C2025" s="21" t="e">
        <f>VLOOKUP(A2025,Products!A$322:$D2025,4,FALSE)</f>
        <v>#N/A</v>
      </c>
    </row>
    <row r="2026" spans="1:3" x14ac:dyDescent="0.35">
      <c r="A2026" s="21">
        <v>111</v>
      </c>
      <c r="B2026" t="str">
        <f>VLOOKUP(A2026,Products!$A$1:$F$322,2,FALSE)</f>
        <v>Sun Bicycles Drifter 7 - Women's - 2017</v>
      </c>
      <c r="C2026" s="21" t="e">
        <f>VLOOKUP(A2026,Products!A$322:$D2026,4,FALSE)</f>
        <v>#N/A</v>
      </c>
    </row>
    <row r="2027" spans="1:3" x14ac:dyDescent="0.35">
      <c r="A2027" s="21">
        <v>93</v>
      </c>
      <c r="B2027" t="str">
        <f>VLOOKUP(A2027,Products!$A$1:$F$322,2,FALSE)</f>
        <v>Haro Shredder 20 Girls - 2017</v>
      </c>
      <c r="C2027" s="21" t="e">
        <f>VLOOKUP(A2027,Products!A$322:$D2027,4,FALSE)</f>
        <v>#N/A</v>
      </c>
    </row>
    <row r="2028" spans="1:3" x14ac:dyDescent="0.35">
      <c r="A2028" s="21">
        <v>79</v>
      </c>
      <c r="B2028" t="str">
        <f>VLOOKUP(A2028,Products!$A$1:$F$322,2,FALSE)</f>
        <v>Sun Bicycles Boardwalk (24-inch Wheels) - 2017</v>
      </c>
      <c r="C2028" s="21" t="e">
        <f>VLOOKUP(A2028,Products!A$322:$D2028,4,FALSE)</f>
        <v>#N/A</v>
      </c>
    </row>
    <row r="2029" spans="1:3" x14ac:dyDescent="0.35">
      <c r="A2029" s="21">
        <v>4</v>
      </c>
      <c r="B2029" t="str">
        <f>VLOOKUP(A2029,Products!$A$1:$F$322,2,FALSE)</f>
        <v>Trek Fuel EX 8 29 - 2016</v>
      </c>
      <c r="C2029" s="21" t="e">
        <f>VLOOKUP(A2029,Products!A$322:$D2029,4,FALSE)</f>
        <v>#N/A</v>
      </c>
    </row>
    <row r="2030" spans="1:3" x14ac:dyDescent="0.35">
      <c r="A2030" s="21">
        <v>56</v>
      </c>
      <c r="B2030" t="str">
        <f>VLOOKUP(A2030,Products!$A$1:$F$322,2,FALSE)</f>
        <v>Trek Domane SLR 6 Disc - 2017</v>
      </c>
      <c r="C2030" s="21" t="e">
        <f>VLOOKUP(A2030,Products!A$322:$D2030,4,FALSE)</f>
        <v>#N/A</v>
      </c>
    </row>
    <row r="2031" spans="1:3" x14ac:dyDescent="0.35">
      <c r="A2031" s="21">
        <v>93</v>
      </c>
      <c r="B2031" t="str">
        <f>VLOOKUP(A2031,Products!$A$1:$F$322,2,FALSE)</f>
        <v>Haro Shredder 20 Girls - 2017</v>
      </c>
      <c r="C2031" s="21" t="e">
        <f>VLOOKUP(A2031,Products!A$322:$D2031,4,FALSE)</f>
        <v>#N/A</v>
      </c>
    </row>
    <row r="2032" spans="1:3" x14ac:dyDescent="0.35">
      <c r="A2032" s="21">
        <v>92</v>
      </c>
      <c r="B2032" t="str">
        <f>VLOOKUP(A2032,Products!$A$1:$F$322,2,FALSE)</f>
        <v>Haro Shredder 20 - 2017</v>
      </c>
      <c r="C2032" s="21" t="e">
        <f>VLOOKUP(A2032,Products!A$322:$D2032,4,FALSE)</f>
        <v>#N/A</v>
      </c>
    </row>
    <row r="2033" spans="1:3" x14ac:dyDescent="0.35">
      <c r="A2033" s="21">
        <v>40</v>
      </c>
      <c r="B2033" t="str">
        <f>VLOOKUP(A2033,Products!$A$1:$F$322,2,FALSE)</f>
        <v>Trek Fuel EX 9.8 29 - 2017</v>
      </c>
      <c r="C2033" s="21" t="e">
        <f>VLOOKUP(A2033,Products!A$322:$D2033,4,FALSE)</f>
        <v>#N/A</v>
      </c>
    </row>
    <row r="2034" spans="1:3" x14ac:dyDescent="0.35">
      <c r="A2034" s="21">
        <v>64</v>
      </c>
      <c r="B2034" t="str">
        <f>VLOOKUP(A2034,Products!$A$1:$F$322,2,FALSE)</f>
        <v>Electra Townie Original 7D - 2017</v>
      </c>
      <c r="C2034" s="21" t="e">
        <f>VLOOKUP(A2034,Products!A$322:$D2034,4,FALSE)</f>
        <v>#N/A</v>
      </c>
    </row>
    <row r="2035" spans="1:3" x14ac:dyDescent="0.35">
      <c r="A2035" s="21">
        <v>100</v>
      </c>
      <c r="B2035" t="str">
        <f>VLOOKUP(A2035,Products!$A$1:$F$322,2,FALSE)</f>
        <v>Electra Townie 3i EQ (20-inch) - Boys' - 2017</v>
      </c>
      <c r="C2035" s="21" t="e">
        <f>VLOOKUP(A2035,Products!A$322:$D2035,4,FALSE)</f>
        <v>#N/A</v>
      </c>
    </row>
    <row r="2036" spans="1:3" x14ac:dyDescent="0.35">
      <c r="A2036" s="21">
        <v>111</v>
      </c>
      <c r="B2036" t="str">
        <f>VLOOKUP(A2036,Products!$A$1:$F$322,2,FALSE)</f>
        <v>Sun Bicycles Drifter 7 - Women's - 2017</v>
      </c>
      <c r="C2036" s="21" t="e">
        <f>VLOOKUP(A2036,Products!A$322:$D2036,4,FALSE)</f>
        <v>#N/A</v>
      </c>
    </row>
    <row r="2037" spans="1:3" x14ac:dyDescent="0.35">
      <c r="A2037" s="21">
        <v>6</v>
      </c>
      <c r="B2037" t="str">
        <f>VLOOKUP(A2037,Products!$A$1:$F$322,2,FALSE)</f>
        <v>Surly Ice Cream Truck Frameset - 2016</v>
      </c>
      <c r="C2037" s="21" t="e">
        <f>VLOOKUP(A2037,Products!A$322:$D2037,4,FALSE)</f>
        <v>#N/A</v>
      </c>
    </row>
    <row r="2038" spans="1:3" x14ac:dyDescent="0.35">
      <c r="A2038" s="21">
        <v>45</v>
      </c>
      <c r="B2038" t="str">
        <f>VLOOKUP(A2038,Products!$A$1:$F$322,2,FALSE)</f>
        <v>Haro SR 1.2 - 2017</v>
      </c>
      <c r="C2038" s="21" t="e">
        <f>VLOOKUP(A2038,Products!A$322:$D2038,4,FALSE)</f>
        <v>#N/A</v>
      </c>
    </row>
    <row r="2039" spans="1:3" x14ac:dyDescent="0.35">
      <c r="A2039" s="21">
        <v>102</v>
      </c>
      <c r="B2039" t="str">
        <f>VLOOKUP(A2039,Products!$A$1:$F$322,2,FALSE)</f>
        <v>Electra Townie Original 7D - 2017</v>
      </c>
      <c r="C2039" s="21" t="e">
        <f>VLOOKUP(A2039,Products!A$322:$D2039,4,FALSE)</f>
        <v>#N/A</v>
      </c>
    </row>
    <row r="2040" spans="1:3" x14ac:dyDescent="0.35">
      <c r="A2040" s="21">
        <v>73</v>
      </c>
      <c r="B2040" t="str">
        <f>VLOOKUP(A2040,Products!$A$1:$F$322,2,FALSE)</f>
        <v>Sun Bicycles Brickell Tandem 7 - 2017</v>
      </c>
      <c r="C2040" s="21" t="e">
        <f>VLOOKUP(A2040,Products!A$322:$D2040,4,FALSE)</f>
        <v>#N/A</v>
      </c>
    </row>
    <row r="2041" spans="1:3" x14ac:dyDescent="0.35">
      <c r="A2041" s="21">
        <v>33</v>
      </c>
      <c r="B2041" t="str">
        <f>VLOOKUP(A2041,Products!$A$1:$F$322,2,FALSE)</f>
        <v>Surly Wednesday Frameset - 2017</v>
      </c>
      <c r="C2041" s="21" t="e">
        <f>VLOOKUP(A2041,Products!A$322:$D2041,4,FALSE)</f>
        <v>#N/A</v>
      </c>
    </row>
    <row r="2042" spans="1:3" x14ac:dyDescent="0.35">
      <c r="A2042" s="21">
        <v>22</v>
      </c>
      <c r="B2042" t="str">
        <f>VLOOKUP(A2042,Products!$A$1:$F$322,2,FALSE)</f>
        <v>Electra Girl's Hawaii 1 (16-inch) - 2015/2016</v>
      </c>
      <c r="C2042" s="21" t="e">
        <f>VLOOKUP(A2042,Products!A$322:$D2042,4,FALSE)</f>
        <v>#N/A</v>
      </c>
    </row>
    <row r="2043" spans="1:3" x14ac:dyDescent="0.35">
      <c r="A2043" s="21">
        <v>3</v>
      </c>
      <c r="B2043" t="str">
        <f>VLOOKUP(A2043,Products!$A$1:$F$322,2,FALSE)</f>
        <v>Surly Wednesday Frameset - 2016</v>
      </c>
      <c r="C2043" s="21" t="e">
        <f>VLOOKUP(A2043,Products!A$322:$D2043,4,FALSE)</f>
        <v>#N/A</v>
      </c>
    </row>
    <row r="2044" spans="1:3" x14ac:dyDescent="0.35">
      <c r="A2044" s="21">
        <v>104</v>
      </c>
      <c r="B2044" t="str">
        <f>VLOOKUP(A2044,Products!$A$1:$F$322,2,FALSE)</f>
        <v>Sun Bicycles Streamway - 2017</v>
      </c>
      <c r="C2044" s="21" t="e">
        <f>VLOOKUP(A2044,Products!A$322:$D2044,4,FALSE)</f>
        <v>#N/A</v>
      </c>
    </row>
    <row r="2045" spans="1:3" x14ac:dyDescent="0.35">
      <c r="A2045" s="21">
        <v>24</v>
      </c>
      <c r="B2045" t="str">
        <f>VLOOKUP(A2045,Products!$A$1:$F$322,2,FALSE)</f>
        <v>Electra Townie Original 21D - 2016</v>
      </c>
      <c r="C2045" s="21" t="e">
        <f>VLOOKUP(A2045,Products!A$322:$D2045,4,FALSE)</f>
        <v>#N/A</v>
      </c>
    </row>
    <row r="2046" spans="1:3" x14ac:dyDescent="0.35">
      <c r="A2046" s="21">
        <v>16</v>
      </c>
      <c r="B2046" t="str">
        <f>VLOOKUP(A2046,Products!$A$1:$F$322,2,FALSE)</f>
        <v>Electra Townie Original 7D EQ - 2016</v>
      </c>
      <c r="C2046" s="21" t="e">
        <f>VLOOKUP(A2046,Products!A$322:$D2046,4,FALSE)</f>
        <v>#N/A</v>
      </c>
    </row>
    <row r="2047" spans="1:3" x14ac:dyDescent="0.35">
      <c r="A2047" s="21">
        <v>108</v>
      </c>
      <c r="B2047" t="str">
        <f>VLOOKUP(A2047,Products!$A$1:$F$322,2,FALSE)</f>
        <v>Sun Bicycles Cruz 3 - Women's - 2017</v>
      </c>
      <c r="C2047" s="21" t="e">
        <f>VLOOKUP(A2047,Products!A$322:$D2047,4,FALSE)</f>
        <v>#N/A</v>
      </c>
    </row>
    <row r="2048" spans="1:3" x14ac:dyDescent="0.35">
      <c r="A2048" s="21">
        <v>23</v>
      </c>
      <c r="B2048" t="str">
        <f>VLOOKUP(A2048,Products!$A$1:$F$322,2,FALSE)</f>
        <v>Electra Girl's Hawaii 1 (20-inch) - 2015/2016</v>
      </c>
      <c r="C2048" s="21" t="e">
        <f>VLOOKUP(A2048,Products!A$322:$D2048,4,FALSE)</f>
        <v>#N/A</v>
      </c>
    </row>
    <row r="2049" spans="1:3" x14ac:dyDescent="0.35">
      <c r="A2049" s="21">
        <v>75</v>
      </c>
      <c r="B2049" t="str">
        <f>VLOOKUP(A2049,Products!$A$1:$F$322,2,FALSE)</f>
        <v>Electra Cruiser Lux Fat Tire 1 Ladies - 2017</v>
      </c>
      <c r="C2049" s="21" t="e">
        <f>VLOOKUP(A2049,Products!A$322:$D2049,4,FALSE)</f>
        <v>#N/A</v>
      </c>
    </row>
    <row r="2050" spans="1:3" x14ac:dyDescent="0.35">
      <c r="A2050" s="21">
        <v>102</v>
      </c>
      <c r="B2050" t="str">
        <f>VLOOKUP(A2050,Products!$A$1:$F$322,2,FALSE)</f>
        <v>Electra Townie Original 7D - 2017</v>
      </c>
      <c r="C2050" s="21" t="e">
        <f>VLOOKUP(A2050,Products!A$322:$D2050,4,FALSE)</f>
        <v>#N/A</v>
      </c>
    </row>
    <row r="2051" spans="1:3" x14ac:dyDescent="0.35">
      <c r="A2051" s="21">
        <v>55</v>
      </c>
      <c r="B2051" t="str">
        <f>VLOOKUP(A2051,Products!$A$1:$F$322,2,FALSE)</f>
        <v>Trek Domane S 6 - 2017</v>
      </c>
      <c r="C2051" s="21" t="e">
        <f>VLOOKUP(A2051,Products!A$322:$D2051,4,FALSE)</f>
        <v>#N/A</v>
      </c>
    </row>
    <row r="2052" spans="1:3" x14ac:dyDescent="0.35">
      <c r="A2052" s="21">
        <v>90</v>
      </c>
      <c r="B2052" t="str">
        <f>VLOOKUP(A2052,Products!$A$1:$F$322,2,FALSE)</f>
        <v>Trek Precaliber 16 Girls - 2017</v>
      </c>
      <c r="C2052" s="21" t="e">
        <f>VLOOKUP(A2052,Products!A$322:$D2052,4,FALSE)</f>
        <v>#N/A</v>
      </c>
    </row>
    <row r="2053" spans="1:3" x14ac:dyDescent="0.35">
      <c r="A2053" s="21">
        <v>91</v>
      </c>
      <c r="B2053" t="str">
        <f>VLOOKUP(A2053,Products!$A$1:$F$322,2,FALSE)</f>
        <v>Trek Precaliber 24 (21-Speed) - Girls - 2017</v>
      </c>
      <c r="C2053" s="21" t="e">
        <f>VLOOKUP(A2053,Products!A$322:$D2053,4,FALSE)</f>
        <v>#N/A</v>
      </c>
    </row>
    <row r="2054" spans="1:3" x14ac:dyDescent="0.35">
      <c r="A2054" s="21">
        <v>77</v>
      </c>
      <c r="B2054" t="str">
        <f>VLOOKUP(A2054,Products!$A$1:$F$322,2,FALSE)</f>
        <v>Electra Glam Punk 3i Ladies' - 2017</v>
      </c>
      <c r="C2054" s="21" t="e">
        <f>VLOOKUP(A2054,Products!A$322:$D2054,4,FALSE)</f>
        <v>#N/A</v>
      </c>
    </row>
    <row r="2055" spans="1:3" x14ac:dyDescent="0.35">
      <c r="A2055" s="21">
        <v>62</v>
      </c>
      <c r="B2055" t="str">
        <f>VLOOKUP(A2055,Products!$A$1:$F$322,2,FALSE)</f>
        <v>Trek Boone 7 - 2017</v>
      </c>
      <c r="C2055" s="21" t="e">
        <f>VLOOKUP(A2055,Products!A$322:$D2055,4,FALSE)</f>
        <v>#N/A</v>
      </c>
    </row>
    <row r="2056" spans="1:3" x14ac:dyDescent="0.35">
      <c r="A2056" s="21">
        <v>64</v>
      </c>
      <c r="B2056" t="str">
        <f>VLOOKUP(A2056,Products!$A$1:$F$322,2,FALSE)</f>
        <v>Electra Townie Original 7D - 2017</v>
      </c>
      <c r="C2056" s="21" t="e">
        <f>VLOOKUP(A2056,Products!A$322:$D2056,4,FALSE)</f>
        <v>#N/A</v>
      </c>
    </row>
    <row r="2057" spans="1:3" x14ac:dyDescent="0.35">
      <c r="A2057" s="21">
        <v>78</v>
      </c>
      <c r="B2057" t="str">
        <f>VLOOKUP(A2057,Products!$A$1:$F$322,2,FALSE)</f>
        <v>Sun Bicycles Biscayne Tandem CB - 2017</v>
      </c>
      <c r="C2057" s="21" t="e">
        <f>VLOOKUP(A2057,Products!A$322:$D2057,4,FALSE)</f>
        <v>#N/A</v>
      </c>
    </row>
    <row r="2058" spans="1:3" x14ac:dyDescent="0.35">
      <c r="A2058" s="21">
        <v>82</v>
      </c>
      <c r="B2058" t="str">
        <f>VLOOKUP(A2058,Products!$A$1:$F$322,2,FALSE)</f>
        <v>Electra Amsterdam Original 3i Ladies' - 2017</v>
      </c>
      <c r="C2058" s="21" t="e">
        <f>VLOOKUP(A2058,Products!A$322:$D2058,4,FALSE)</f>
        <v>#N/A</v>
      </c>
    </row>
    <row r="2059" spans="1:3" x14ac:dyDescent="0.35">
      <c r="A2059" s="21">
        <v>70</v>
      </c>
      <c r="B2059" t="str">
        <f>VLOOKUP(A2059,Products!$A$1:$F$322,2,FALSE)</f>
        <v>Electra Amsterdam Original 3i - 2015/2017</v>
      </c>
      <c r="C2059" s="21" t="e">
        <f>VLOOKUP(A2059,Products!A$322:$D2059,4,FALSE)</f>
        <v>#N/A</v>
      </c>
    </row>
    <row r="2060" spans="1:3" x14ac:dyDescent="0.35">
      <c r="A2060" s="21">
        <v>56</v>
      </c>
      <c r="B2060" t="str">
        <f>VLOOKUP(A2060,Products!$A$1:$F$322,2,FALSE)</f>
        <v>Trek Domane SLR 6 Disc - 2017</v>
      </c>
      <c r="C2060" s="21" t="e">
        <f>VLOOKUP(A2060,Products!A$322:$D2060,4,FALSE)</f>
        <v>#N/A</v>
      </c>
    </row>
    <row r="2061" spans="1:3" x14ac:dyDescent="0.35">
      <c r="A2061" s="21">
        <v>91</v>
      </c>
      <c r="B2061" t="str">
        <f>VLOOKUP(A2061,Products!$A$1:$F$322,2,FALSE)</f>
        <v>Trek Precaliber 24 (21-Speed) - Girls - 2017</v>
      </c>
      <c r="C2061" s="21" t="e">
        <f>VLOOKUP(A2061,Products!A$322:$D2061,4,FALSE)</f>
        <v>#N/A</v>
      </c>
    </row>
    <row r="2062" spans="1:3" x14ac:dyDescent="0.35">
      <c r="A2062" s="21">
        <v>58</v>
      </c>
      <c r="B2062" t="str">
        <f>VLOOKUP(A2062,Products!$A$1:$F$322,2,FALSE)</f>
        <v>Trek Madone 9.2 - 2017</v>
      </c>
      <c r="C2062" s="21" t="e">
        <f>VLOOKUP(A2062,Products!A$322:$D2062,4,FALSE)</f>
        <v>#N/A</v>
      </c>
    </row>
    <row r="2063" spans="1:3" x14ac:dyDescent="0.35">
      <c r="A2063" s="21">
        <v>101</v>
      </c>
      <c r="B2063" t="str">
        <f>VLOOKUP(A2063,Products!$A$1:$F$322,2,FALSE)</f>
        <v>Electra Townie 7D (20-inch) - Boys' - 2017</v>
      </c>
      <c r="C2063" s="21" t="e">
        <f>VLOOKUP(A2063,Products!A$322:$D2063,4,FALSE)</f>
        <v>#N/A</v>
      </c>
    </row>
    <row r="2064" spans="1:3" x14ac:dyDescent="0.35">
      <c r="A2064" s="21">
        <v>59</v>
      </c>
      <c r="B2064" t="str">
        <f>VLOOKUP(A2064,Products!$A$1:$F$322,2,FALSE)</f>
        <v>Trek Domane S 5 Disc - 2017</v>
      </c>
      <c r="C2064" s="21" t="e">
        <f>VLOOKUP(A2064,Products!A$322:$D2064,4,FALSE)</f>
        <v>#N/A</v>
      </c>
    </row>
    <row r="2065" spans="1:3" x14ac:dyDescent="0.35">
      <c r="A2065" s="21">
        <v>79</v>
      </c>
      <c r="B2065" t="str">
        <f>VLOOKUP(A2065,Products!$A$1:$F$322,2,FALSE)</f>
        <v>Sun Bicycles Boardwalk (24-inch Wheels) - 2017</v>
      </c>
      <c r="C2065" s="21" t="e">
        <f>VLOOKUP(A2065,Products!A$322:$D2065,4,FALSE)</f>
        <v>#N/A</v>
      </c>
    </row>
    <row r="2066" spans="1:3" x14ac:dyDescent="0.35">
      <c r="A2066" s="21">
        <v>96</v>
      </c>
      <c r="B2066" t="str">
        <f>VLOOKUP(A2066,Products!$A$1:$F$322,2,FALSE)</f>
        <v>Electra Moto 3i (20-inch) - Boy's - 2017</v>
      </c>
      <c r="C2066" s="21" t="e">
        <f>VLOOKUP(A2066,Products!A$322:$D2066,4,FALSE)</f>
        <v>#N/A</v>
      </c>
    </row>
    <row r="2067" spans="1:3" x14ac:dyDescent="0.35">
      <c r="A2067" s="21">
        <v>13</v>
      </c>
      <c r="B2067" t="str">
        <f>VLOOKUP(A2067,Products!$A$1:$F$322,2,FALSE)</f>
        <v>Electra Cruiser 1 (24-Inch) - 2016</v>
      </c>
      <c r="C2067" s="21" t="e">
        <f>VLOOKUP(A2067,Products!A$322:$D2067,4,FALSE)</f>
        <v>#N/A</v>
      </c>
    </row>
    <row r="2068" spans="1:3" x14ac:dyDescent="0.35">
      <c r="A2068" s="21">
        <v>91</v>
      </c>
      <c r="B2068" t="str">
        <f>VLOOKUP(A2068,Products!$A$1:$F$322,2,FALSE)</f>
        <v>Trek Precaliber 24 (21-Speed) - Girls - 2017</v>
      </c>
      <c r="C2068" s="21" t="e">
        <f>VLOOKUP(A2068,Products!A$322:$D2068,4,FALSE)</f>
        <v>#N/A</v>
      </c>
    </row>
    <row r="2069" spans="1:3" x14ac:dyDescent="0.35">
      <c r="A2069" s="21">
        <v>49</v>
      </c>
      <c r="B2069" t="str">
        <f>VLOOKUP(A2069,Products!$A$1:$F$322,2,FALSE)</f>
        <v>Trek Domane SL 6 - 2017</v>
      </c>
      <c r="C2069" s="21" t="e">
        <f>VLOOKUP(A2069,Products!A$322:$D2069,4,FALSE)</f>
        <v>#N/A</v>
      </c>
    </row>
    <row r="2070" spans="1:3" x14ac:dyDescent="0.35">
      <c r="A2070" s="21">
        <v>67</v>
      </c>
      <c r="B2070" t="str">
        <f>VLOOKUP(A2070,Products!$A$1:$F$322,2,FALSE)</f>
        <v>Sun Bicycles Revolutions 24 - Girl's - 2017</v>
      </c>
      <c r="C2070" s="21" t="e">
        <f>VLOOKUP(A2070,Products!A$322:$D2070,4,FALSE)</f>
        <v>#N/A</v>
      </c>
    </row>
    <row r="2071" spans="1:3" x14ac:dyDescent="0.35">
      <c r="A2071" s="21">
        <v>29</v>
      </c>
      <c r="B2071" t="str">
        <f>VLOOKUP(A2071,Products!$A$1:$F$322,2,FALSE)</f>
        <v>Trek X-Caliber 8 - 2017</v>
      </c>
      <c r="C2071" s="21" t="e">
        <f>VLOOKUP(A2071,Products!A$322:$D2071,4,FALSE)</f>
        <v>#N/A</v>
      </c>
    </row>
    <row r="2072" spans="1:3" x14ac:dyDescent="0.35">
      <c r="A2072" s="21">
        <v>47</v>
      </c>
      <c r="B2072" t="str">
        <f>VLOOKUP(A2072,Products!$A$1:$F$322,2,FALSE)</f>
        <v>Trek Remedy 9.8 - 2017</v>
      </c>
      <c r="C2072" s="21" t="e">
        <f>VLOOKUP(A2072,Products!A$322:$D2072,4,FALSE)</f>
        <v>#N/A</v>
      </c>
    </row>
    <row r="2073" spans="1:3" x14ac:dyDescent="0.35">
      <c r="A2073" s="21">
        <v>4</v>
      </c>
      <c r="B2073" t="str">
        <f>VLOOKUP(A2073,Products!$A$1:$F$322,2,FALSE)</f>
        <v>Trek Fuel EX 8 29 - 2016</v>
      </c>
      <c r="C2073" s="21" t="e">
        <f>VLOOKUP(A2073,Products!A$322:$D2073,4,FALSE)</f>
        <v>#N/A</v>
      </c>
    </row>
    <row r="2074" spans="1:3" x14ac:dyDescent="0.35">
      <c r="A2074" s="21">
        <v>84</v>
      </c>
      <c r="B2074" t="str">
        <f>VLOOKUP(A2074,Products!$A$1:$F$322,2,FALSE)</f>
        <v>Sun Bicycles Lil Kitt'n - 2017</v>
      </c>
      <c r="C2074" s="21" t="e">
        <f>VLOOKUP(A2074,Products!A$322:$D2074,4,FALSE)</f>
        <v>#N/A</v>
      </c>
    </row>
    <row r="2075" spans="1:3" x14ac:dyDescent="0.35">
      <c r="A2075" s="21">
        <v>55</v>
      </c>
      <c r="B2075" t="str">
        <f>VLOOKUP(A2075,Products!$A$1:$F$322,2,FALSE)</f>
        <v>Trek Domane S 6 - 2017</v>
      </c>
      <c r="C2075" s="21" t="e">
        <f>VLOOKUP(A2075,Products!A$322:$D2075,4,FALSE)</f>
        <v>#N/A</v>
      </c>
    </row>
    <row r="2076" spans="1:3" x14ac:dyDescent="0.35">
      <c r="A2076" s="21">
        <v>102</v>
      </c>
      <c r="B2076" t="str">
        <f>VLOOKUP(A2076,Products!$A$1:$F$322,2,FALSE)</f>
        <v>Electra Townie Original 7D - 2017</v>
      </c>
      <c r="C2076" s="21" t="e">
        <f>VLOOKUP(A2076,Products!A$322:$D2076,4,FALSE)</f>
        <v>#N/A</v>
      </c>
    </row>
    <row r="2077" spans="1:3" x14ac:dyDescent="0.35">
      <c r="A2077" s="21">
        <v>26</v>
      </c>
      <c r="B2077" t="str">
        <f>VLOOKUP(A2077,Products!$A$1:$F$322,2,FALSE)</f>
        <v>Electra Townie Original 7D EQ - 2016</v>
      </c>
      <c r="C2077" s="21" t="e">
        <f>VLOOKUP(A2077,Products!A$322:$D2077,4,FALSE)</f>
        <v>#N/A</v>
      </c>
    </row>
    <row r="2078" spans="1:3" x14ac:dyDescent="0.35">
      <c r="A2078" s="21">
        <v>3</v>
      </c>
      <c r="B2078" t="str">
        <f>VLOOKUP(A2078,Products!$A$1:$F$322,2,FALSE)</f>
        <v>Surly Wednesday Frameset - 2016</v>
      </c>
      <c r="C2078" s="21" t="e">
        <f>VLOOKUP(A2078,Products!A$322:$D2078,4,FALSE)</f>
        <v>#N/A</v>
      </c>
    </row>
    <row r="2079" spans="1:3" x14ac:dyDescent="0.35">
      <c r="A2079" s="21">
        <v>84</v>
      </c>
      <c r="B2079" t="str">
        <f>VLOOKUP(A2079,Products!$A$1:$F$322,2,FALSE)</f>
        <v>Sun Bicycles Lil Kitt'n - 2017</v>
      </c>
      <c r="C2079" s="21" t="e">
        <f>VLOOKUP(A2079,Products!A$322:$D2079,4,FALSE)</f>
        <v>#N/A</v>
      </c>
    </row>
    <row r="2080" spans="1:3" x14ac:dyDescent="0.35">
      <c r="A2080" s="21">
        <v>65</v>
      </c>
      <c r="B2080" t="str">
        <f>VLOOKUP(A2080,Products!$A$1:$F$322,2,FALSE)</f>
        <v>Sun Bicycles Lil Bolt Type-R - 2017</v>
      </c>
      <c r="C2080" s="21" t="e">
        <f>VLOOKUP(A2080,Products!A$322:$D2080,4,FALSE)</f>
        <v>#N/A</v>
      </c>
    </row>
    <row r="2081" spans="1:3" x14ac:dyDescent="0.35">
      <c r="A2081" s="21">
        <v>71</v>
      </c>
      <c r="B2081" t="str">
        <f>VLOOKUP(A2081,Products!$A$1:$F$322,2,FALSE)</f>
        <v>Sun Bicycles Atlas X-Type - 2017</v>
      </c>
      <c r="C2081" s="21" t="e">
        <f>VLOOKUP(A2081,Products!A$322:$D2081,4,FALSE)</f>
        <v>#N/A</v>
      </c>
    </row>
    <row r="2082" spans="1:3" x14ac:dyDescent="0.35">
      <c r="A2082" s="21">
        <v>10</v>
      </c>
      <c r="B2082" t="str">
        <f>VLOOKUP(A2082,Products!$A$1:$F$322,2,FALSE)</f>
        <v>Surly Straggler - 2016</v>
      </c>
      <c r="C2082" s="21" t="e">
        <f>VLOOKUP(A2082,Products!A$322:$D2082,4,FALSE)</f>
        <v>#N/A</v>
      </c>
    </row>
    <row r="2083" spans="1:3" x14ac:dyDescent="0.35">
      <c r="A2083" s="21">
        <v>56</v>
      </c>
      <c r="B2083" t="str">
        <f>VLOOKUP(A2083,Products!$A$1:$F$322,2,FALSE)</f>
        <v>Trek Domane SLR 6 Disc - 2017</v>
      </c>
      <c r="C2083" s="21" t="e">
        <f>VLOOKUP(A2083,Products!A$322:$D2083,4,FALSE)</f>
        <v>#N/A</v>
      </c>
    </row>
    <row r="2084" spans="1:3" x14ac:dyDescent="0.35">
      <c r="A2084" s="21">
        <v>17</v>
      </c>
      <c r="B2084" t="str">
        <f>VLOOKUP(A2084,Products!$A$1:$F$322,2,FALSE)</f>
        <v>Pure Cycles Vine 8-Speed - 2016</v>
      </c>
      <c r="C2084" s="21" t="e">
        <f>VLOOKUP(A2084,Products!A$322:$D2084,4,FALSE)</f>
        <v>#N/A</v>
      </c>
    </row>
    <row r="2085" spans="1:3" x14ac:dyDescent="0.35">
      <c r="A2085" s="21">
        <v>62</v>
      </c>
      <c r="B2085" t="str">
        <f>VLOOKUP(A2085,Products!$A$1:$F$322,2,FALSE)</f>
        <v>Trek Boone 7 - 2017</v>
      </c>
      <c r="C2085" s="21" t="e">
        <f>VLOOKUP(A2085,Products!A$322:$D2085,4,FALSE)</f>
        <v>#N/A</v>
      </c>
    </row>
    <row r="2086" spans="1:3" x14ac:dyDescent="0.35">
      <c r="A2086" s="21">
        <v>52</v>
      </c>
      <c r="B2086" t="str">
        <f>VLOOKUP(A2086,Products!$A$1:$F$322,2,FALSE)</f>
        <v>Surly Steamroller - 2017</v>
      </c>
      <c r="C2086" s="21" t="e">
        <f>VLOOKUP(A2086,Products!A$322:$D2086,4,FALSE)</f>
        <v>#N/A</v>
      </c>
    </row>
    <row r="2087" spans="1:3" x14ac:dyDescent="0.35">
      <c r="A2087" s="21">
        <v>19</v>
      </c>
      <c r="B2087" t="str">
        <f>VLOOKUP(A2087,Products!$A$1:$F$322,2,FALSE)</f>
        <v>Pure Cycles William 3-Speed - 2016</v>
      </c>
      <c r="C2087" s="21" t="e">
        <f>VLOOKUP(A2087,Products!A$322:$D2087,4,FALSE)</f>
        <v>#N/A</v>
      </c>
    </row>
    <row r="2088" spans="1:3" x14ac:dyDescent="0.35">
      <c r="A2088" s="21">
        <v>77</v>
      </c>
      <c r="B2088" t="str">
        <f>VLOOKUP(A2088,Products!$A$1:$F$322,2,FALSE)</f>
        <v>Electra Glam Punk 3i Ladies' - 2017</v>
      </c>
      <c r="C2088" s="21" t="e">
        <f>VLOOKUP(A2088,Products!A$322:$D2088,4,FALSE)</f>
        <v>#N/A</v>
      </c>
    </row>
    <row r="2089" spans="1:3" x14ac:dyDescent="0.35">
      <c r="A2089" s="21">
        <v>34</v>
      </c>
      <c r="B2089" t="str">
        <f>VLOOKUP(A2089,Products!$A$1:$F$322,2,FALSE)</f>
        <v>Trek Session DH 27.5 Carbon Frameset - 2017</v>
      </c>
      <c r="C2089" s="21" t="e">
        <f>VLOOKUP(A2089,Products!A$322:$D2089,4,FALSE)</f>
        <v>#N/A</v>
      </c>
    </row>
    <row r="2090" spans="1:3" x14ac:dyDescent="0.35">
      <c r="A2090" s="21">
        <v>82</v>
      </c>
      <c r="B2090" t="str">
        <f>VLOOKUP(A2090,Products!$A$1:$F$322,2,FALSE)</f>
        <v>Electra Amsterdam Original 3i Ladies' - 2017</v>
      </c>
      <c r="C2090" s="21" t="e">
        <f>VLOOKUP(A2090,Products!A$322:$D2090,4,FALSE)</f>
        <v>#N/A</v>
      </c>
    </row>
    <row r="2091" spans="1:3" x14ac:dyDescent="0.35">
      <c r="A2091" s="21">
        <v>38</v>
      </c>
      <c r="B2091" t="str">
        <f>VLOOKUP(A2091,Products!$A$1:$F$322,2,FALSE)</f>
        <v>Haro Flightline Two 26 Plus - 2017</v>
      </c>
      <c r="C2091" s="21" t="e">
        <f>VLOOKUP(A2091,Products!A$322:$D2091,4,FALSE)</f>
        <v>#N/A</v>
      </c>
    </row>
    <row r="2092" spans="1:3" x14ac:dyDescent="0.35">
      <c r="A2092" s="21">
        <v>25</v>
      </c>
      <c r="B2092" t="str">
        <f>VLOOKUP(A2092,Products!$A$1:$F$322,2,FALSE)</f>
        <v>Electra Townie Original 7D - 2015/2016</v>
      </c>
      <c r="C2092" s="21" t="e">
        <f>VLOOKUP(A2092,Products!A$322:$D2092,4,FALSE)</f>
        <v>#N/A</v>
      </c>
    </row>
    <row r="2093" spans="1:3" x14ac:dyDescent="0.35">
      <c r="A2093" s="21">
        <v>63</v>
      </c>
      <c r="B2093" t="str">
        <f>VLOOKUP(A2093,Products!$A$1:$F$322,2,FALSE)</f>
        <v>Trek Boone Race Shop Limited - 2017</v>
      </c>
      <c r="C2093" s="21" t="e">
        <f>VLOOKUP(A2093,Products!A$322:$D2093,4,FALSE)</f>
        <v>#N/A</v>
      </c>
    </row>
    <row r="2094" spans="1:3" x14ac:dyDescent="0.35">
      <c r="A2094" s="21">
        <v>3</v>
      </c>
      <c r="B2094" t="str">
        <f>VLOOKUP(A2094,Products!$A$1:$F$322,2,FALSE)</f>
        <v>Surly Wednesday Frameset - 2016</v>
      </c>
      <c r="C2094" s="21" t="e">
        <f>VLOOKUP(A2094,Products!A$322:$D2094,4,FALSE)</f>
        <v>#N/A</v>
      </c>
    </row>
    <row r="2095" spans="1:3" x14ac:dyDescent="0.35">
      <c r="A2095" s="21">
        <v>81</v>
      </c>
      <c r="B2095" t="str">
        <f>VLOOKUP(A2095,Products!$A$1:$F$322,2,FALSE)</f>
        <v>Electra Amsterdam Fashion 7i Ladies' - 2017</v>
      </c>
      <c r="C2095" s="21" t="e">
        <f>VLOOKUP(A2095,Products!A$322:$D2095,4,FALSE)</f>
        <v>#N/A</v>
      </c>
    </row>
    <row r="2096" spans="1:3" x14ac:dyDescent="0.35">
      <c r="A2096" s="21">
        <v>94</v>
      </c>
      <c r="B2096" t="str">
        <f>VLOOKUP(A2096,Products!$A$1:$F$322,2,FALSE)</f>
        <v>Haro Shredder Pro 20 - 2017</v>
      </c>
      <c r="C2096" s="21" t="e">
        <f>VLOOKUP(A2096,Products!A$322:$D2096,4,FALSE)</f>
        <v>#N/A</v>
      </c>
    </row>
    <row r="2097" spans="1:3" x14ac:dyDescent="0.35">
      <c r="A2097" s="21">
        <v>11</v>
      </c>
      <c r="B2097" t="str">
        <f>VLOOKUP(A2097,Products!$A$1:$F$322,2,FALSE)</f>
        <v>Surly Straggler 650b - 2016</v>
      </c>
      <c r="C2097" s="21" t="e">
        <f>VLOOKUP(A2097,Products!A$322:$D2097,4,FALSE)</f>
        <v>#N/A</v>
      </c>
    </row>
    <row r="2098" spans="1:3" x14ac:dyDescent="0.35">
      <c r="A2098" s="21">
        <v>19</v>
      </c>
      <c r="B2098" t="str">
        <f>VLOOKUP(A2098,Products!$A$1:$F$322,2,FALSE)</f>
        <v>Pure Cycles William 3-Speed - 2016</v>
      </c>
      <c r="C2098" s="21" t="e">
        <f>VLOOKUP(A2098,Products!A$322:$D2098,4,FALSE)</f>
        <v>#N/A</v>
      </c>
    </row>
    <row r="2099" spans="1:3" x14ac:dyDescent="0.35">
      <c r="A2099" s="21">
        <v>12</v>
      </c>
      <c r="B2099" t="str">
        <f>VLOOKUP(A2099,Products!$A$1:$F$322,2,FALSE)</f>
        <v>Electra Townie Original 21D - 2016</v>
      </c>
      <c r="C2099" s="21" t="e">
        <f>VLOOKUP(A2099,Products!A$322:$D2099,4,FALSE)</f>
        <v>#N/A</v>
      </c>
    </row>
    <row r="2100" spans="1:3" x14ac:dyDescent="0.35">
      <c r="A2100" s="21">
        <v>58</v>
      </c>
      <c r="B2100" t="str">
        <f>VLOOKUP(A2100,Products!$A$1:$F$322,2,FALSE)</f>
        <v>Trek Madone 9.2 - 2017</v>
      </c>
      <c r="C2100" s="21" t="e">
        <f>VLOOKUP(A2100,Products!A$322:$D2100,4,FALSE)</f>
        <v>#N/A</v>
      </c>
    </row>
    <row r="2101" spans="1:3" x14ac:dyDescent="0.35">
      <c r="A2101" s="21">
        <v>76</v>
      </c>
      <c r="B2101" t="str">
        <f>VLOOKUP(A2101,Products!$A$1:$F$322,2,FALSE)</f>
        <v>Electra Girl's Hawaii 1 16" - 2017</v>
      </c>
      <c r="C2101" s="21" t="e">
        <f>VLOOKUP(A2101,Products!A$322:$D2101,4,FALSE)</f>
        <v>#N/A</v>
      </c>
    </row>
    <row r="2102" spans="1:3" x14ac:dyDescent="0.35">
      <c r="A2102" s="21">
        <v>21</v>
      </c>
      <c r="B2102" t="str">
        <f>VLOOKUP(A2102,Products!$A$1:$F$322,2,FALSE)</f>
        <v>Electra Cruiser 1 (24-Inch) - 2016</v>
      </c>
      <c r="C2102" s="21" t="e">
        <f>VLOOKUP(A2102,Products!A$322:$D2102,4,FALSE)</f>
        <v>#N/A</v>
      </c>
    </row>
    <row r="2103" spans="1:3" x14ac:dyDescent="0.35">
      <c r="A2103" s="21">
        <v>56</v>
      </c>
      <c r="B2103" t="str">
        <f>VLOOKUP(A2103,Products!$A$1:$F$322,2,FALSE)</f>
        <v>Trek Domane SLR 6 Disc - 2017</v>
      </c>
      <c r="C2103" s="21" t="e">
        <f>VLOOKUP(A2103,Products!A$322:$D2103,4,FALSE)</f>
        <v>#N/A</v>
      </c>
    </row>
    <row r="2104" spans="1:3" x14ac:dyDescent="0.35">
      <c r="A2104" s="21">
        <v>107</v>
      </c>
      <c r="B2104" t="str">
        <f>VLOOKUP(A2104,Products!$A$1:$F$322,2,FALSE)</f>
        <v>Sun Bicycles Cruz 7 - 2017</v>
      </c>
      <c r="C2104" s="21" t="e">
        <f>VLOOKUP(A2104,Products!A$322:$D2104,4,FALSE)</f>
        <v>#N/A</v>
      </c>
    </row>
    <row r="2105" spans="1:3" x14ac:dyDescent="0.35">
      <c r="A2105" s="21">
        <v>45</v>
      </c>
      <c r="B2105" t="str">
        <f>VLOOKUP(A2105,Products!$A$1:$F$322,2,FALSE)</f>
        <v>Haro SR 1.2 - 2017</v>
      </c>
      <c r="C2105" s="21" t="e">
        <f>VLOOKUP(A2105,Products!A$322:$D2105,4,FALSE)</f>
        <v>#N/A</v>
      </c>
    </row>
    <row r="2106" spans="1:3" x14ac:dyDescent="0.35">
      <c r="A2106" s="21">
        <v>80</v>
      </c>
      <c r="B2106" t="str">
        <f>VLOOKUP(A2106,Products!$A$1:$F$322,2,FALSE)</f>
        <v>Sun Bicycles Brickell Tandem CB - 2017</v>
      </c>
      <c r="C2106" s="21" t="e">
        <f>VLOOKUP(A2106,Products!A$322:$D2106,4,FALSE)</f>
        <v>#N/A</v>
      </c>
    </row>
    <row r="2107" spans="1:3" x14ac:dyDescent="0.35">
      <c r="A2107" s="21">
        <v>33</v>
      </c>
      <c r="B2107" t="str">
        <f>VLOOKUP(A2107,Products!$A$1:$F$322,2,FALSE)</f>
        <v>Surly Wednesday Frameset - 2017</v>
      </c>
      <c r="C2107" s="21" t="e">
        <f>VLOOKUP(A2107,Products!A$322:$D2107,4,FALSE)</f>
        <v>#N/A</v>
      </c>
    </row>
    <row r="2108" spans="1:3" x14ac:dyDescent="0.35">
      <c r="A2108" s="21">
        <v>95</v>
      </c>
      <c r="B2108" t="str">
        <f>VLOOKUP(A2108,Products!$A$1:$F$322,2,FALSE)</f>
        <v>Electra Girl's Hawaii 1 16" - 2017</v>
      </c>
      <c r="C2108" s="21" t="e">
        <f>VLOOKUP(A2108,Products!A$322:$D2108,4,FALSE)</f>
        <v>#N/A</v>
      </c>
    </row>
    <row r="2109" spans="1:3" x14ac:dyDescent="0.35">
      <c r="A2109" s="21">
        <v>22</v>
      </c>
      <c r="B2109" t="str">
        <f>VLOOKUP(A2109,Products!$A$1:$F$322,2,FALSE)</f>
        <v>Electra Girl's Hawaii 1 (16-inch) - 2015/2016</v>
      </c>
      <c r="C2109" s="21" t="e">
        <f>VLOOKUP(A2109,Products!A$322:$D2109,4,FALSE)</f>
        <v>#N/A</v>
      </c>
    </row>
    <row r="2110" spans="1:3" x14ac:dyDescent="0.35">
      <c r="A2110" s="21">
        <v>78</v>
      </c>
      <c r="B2110" t="str">
        <f>VLOOKUP(A2110,Products!$A$1:$F$322,2,FALSE)</f>
        <v>Sun Bicycles Biscayne Tandem CB - 2017</v>
      </c>
      <c r="C2110" s="21" t="e">
        <f>VLOOKUP(A2110,Products!A$322:$D2110,4,FALSE)</f>
        <v>#N/A</v>
      </c>
    </row>
    <row r="2111" spans="1:3" x14ac:dyDescent="0.35">
      <c r="A2111" s="21">
        <v>99</v>
      </c>
      <c r="B2111" t="str">
        <f>VLOOKUP(A2111,Products!$A$1:$F$322,2,FALSE)</f>
        <v>Electra Sugar Skulls 1 (20-inch) - Girl's - 2017</v>
      </c>
      <c r="C2111" s="21" t="e">
        <f>VLOOKUP(A2111,Products!A$322:$D2111,4,FALSE)</f>
        <v>#N/A</v>
      </c>
    </row>
    <row r="2112" spans="1:3" x14ac:dyDescent="0.35">
      <c r="A2112" s="21">
        <v>110</v>
      </c>
      <c r="B2112" t="str">
        <f>VLOOKUP(A2112,Products!$A$1:$F$322,2,FALSE)</f>
        <v>Sun Bicycles Drifter 7 - 2017</v>
      </c>
      <c r="C2112" s="21" t="e">
        <f>VLOOKUP(A2112,Products!A$322:$D2112,4,FALSE)</f>
        <v>#N/A</v>
      </c>
    </row>
    <row r="2113" spans="1:3" x14ac:dyDescent="0.35">
      <c r="A2113" s="21">
        <v>86</v>
      </c>
      <c r="B2113" t="str">
        <f>VLOOKUP(A2113,Products!$A$1:$F$322,2,FALSE)</f>
        <v>Trek Girl's Kickster - 2017</v>
      </c>
      <c r="C2113" s="21" t="e">
        <f>VLOOKUP(A2113,Products!A$322:$D2113,4,FALSE)</f>
        <v>#N/A</v>
      </c>
    </row>
    <row r="2114" spans="1:3" x14ac:dyDescent="0.35">
      <c r="A2114" s="21">
        <v>33</v>
      </c>
      <c r="B2114" t="str">
        <f>VLOOKUP(A2114,Products!$A$1:$F$322,2,FALSE)</f>
        <v>Surly Wednesday Frameset - 2017</v>
      </c>
      <c r="C2114" s="21" t="e">
        <f>VLOOKUP(A2114,Products!A$322:$D2114,4,FALSE)</f>
        <v>#N/A</v>
      </c>
    </row>
    <row r="2115" spans="1:3" x14ac:dyDescent="0.35">
      <c r="A2115" s="21">
        <v>81</v>
      </c>
      <c r="B2115" t="str">
        <f>VLOOKUP(A2115,Products!$A$1:$F$322,2,FALSE)</f>
        <v>Electra Amsterdam Fashion 7i Ladies' - 2017</v>
      </c>
      <c r="C2115" s="21" t="e">
        <f>VLOOKUP(A2115,Products!A$322:$D2115,4,FALSE)</f>
        <v>#N/A</v>
      </c>
    </row>
    <row r="2116" spans="1:3" x14ac:dyDescent="0.35">
      <c r="A2116" s="21">
        <v>16</v>
      </c>
      <c r="B2116" t="str">
        <f>VLOOKUP(A2116,Products!$A$1:$F$322,2,FALSE)</f>
        <v>Electra Townie Original 7D EQ - 2016</v>
      </c>
      <c r="C2116" s="21" t="e">
        <f>VLOOKUP(A2116,Products!A$322:$D2116,4,FALSE)</f>
        <v>#N/A</v>
      </c>
    </row>
    <row r="2117" spans="1:3" x14ac:dyDescent="0.35">
      <c r="A2117" s="21">
        <v>83</v>
      </c>
      <c r="B2117" t="str">
        <f>VLOOKUP(A2117,Products!$A$1:$F$322,2,FALSE)</f>
        <v>Trek Boy's Kickster - 2015/2017</v>
      </c>
      <c r="C2117" s="21" t="e">
        <f>VLOOKUP(A2117,Products!A$322:$D2117,4,FALSE)</f>
        <v>#N/A</v>
      </c>
    </row>
    <row r="2118" spans="1:3" x14ac:dyDescent="0.35">
      <c r="A2118" s="21">
        <v>41</v>
      </c>
      <c r="B2118" t="str">
        <f>VLOOKUP(A2118,Products!$A$1:$F$322,2,FALSE)</f>
        <v>Haro Shift R3 - 2017</v>
      </c>
      <c r="C2118" s="21" t="e">
        <f>VLOOKUP(A2118,Products!A$322:$D2118,4,FALSE)</f>
        <v>#N/A</v>
      </c>
    </row>
    <row r="2119" spans="1:3" x14ac:dyDescent="0.35">
      <c r="A2119" s="21">
        <v>35</v>
      </c>
      <c r="B2119" t="str">
        <f>VLOOKUP(A2119,Products!$A$1:$F$322,2,FALSE)</f>
        <v>Sun Bicycles Spider 3i - 2017</v>
      </c>
      <c r="C2119" s="21" t="e">
        <f>VLOOKUP(A2119,Products!A$322:$D2119,4,FALSE)</f>
        <v>#N/A</v>
      </c>
    </row>
    <row r="2120" spans="1:3" x14ac:dyDescent="0.35">
      <c r="A2120" s="21">
        <v>9</v>
      </c>
      <c r="B2120" t="str">
        <f>VLOOKUP(A2120,Products!$A$1:$F$322,2,FALSE)</f>
        <v>Trek Conduit+ - 2016</v>
      </c>
      <c r="C2120" s="21" t="e">
        <f>VLOOKUP(A2120,Products!A$322:$D2120,4,FALSE)</f>
        <v>#N/A</v>
      </c>
    </row>
    <row r="2121" spans="1:3" x14ac:dyDescent="0.35">
      <c r="A2121" s="21">
        <v>28</v>
      </c>
      <c r="B2121" t="str">
        <f>VLOOKUP(A2121,Products!$A$1:$F$322,2,FALSE)</f>
        <v>Surly Karate Monkey 27.5+ Frameset - 2017</v>
      </c>
      <c r="C2121" s="21" t="e">
        <f>VLOOKUP(A2121,Products!A$322:$D2121,4,FALSE)</f>
        <v>#N/A</v>
      </c>
    </row>
    <row r="2122" spans="1:3" x14ac:dyDescent="0.35">
      <c r="A2122" s="21">
        <v>79</v>
      </c>
      <c r="B2122" t="str">
        <f>VLOOKUP(A2122,Products!$A$1:$F$322,2,FALSE)</f>
        <v>Sun Bicycles Boardwalk (24-inch Wheels) - 2017</v>
      </c>
      <c r="C2122" s="21" t="e">
        <f>VLOOKUP(A2122,Products!A$322:$D2122,4,FALSE)</f>
        <v>#N/A</v>
      </c>
    </row>
    <row r="2123" spans="1:3" x14ac:dyDescent="0.35">
      <c r="A2123" s="21">
        <v>24</v>
      </c>
      <c r="B2123" t="str">
        <f>VLOOKUP(A2123,Products!$A$1:$F$322,2,FALSE)</f>
        <v>Electra Townie Original 21D - 2016</v>
      </c>
      <c r="C2123" s="21" t="e">
        <f>VLOOKUP(A2123,Products!A$322:$D2123,4,FALSE)</f>
        <v>#N/A</v>
      </c>
    </row>
    <row r="2124" spans="1:3" x14ac:dyDescent="0.35">
      <c r="A2124" s="21">
        <v>40</v>
      </c>
      <c r="B2124" t="str">
        <f>VLOOKUP(A2124,Products!$A$1:$F$322,2,FALSE)</f>
        <v>Trek Fuel EX 9.8 29 - 2017</v>
      </c>
      <c r="C2124" s="21" t="e">
        <f>VLOOKUP(A2124,Products!A$322:$D2124,4,FALSE)</f>
        <v>#N/A</v>
      </c>
    </row>
    <row r="2125" spans="1:3" x14ac:dyDescent="0.35">
      <c r="A2125" s="21">
        <v>72</v>
      </c>
      <c r="B2125" t="str">
        <f>VLOOKUP(A2125,Products!$A$1:$F$322,2,FALSE)</f>
        <v>Sun Bicycles Biscayne Tandem 7 - 2017</v>
      </c>
      <c r="C2125" s="21" t="e">
        <f>VLOOKUP(A2125,Products!A$322:$D2125,4,FALSE)</f>
        <v>#N/A</v>
      </c>
    </row>
    <row r="2126" spans="1:3" x14ac:dyDescent="0.35">
      <c r="A2126" s="21">
        <v>78</v>
      </c>
      <c r="B2126" t="str">
        <f>VLOOKUP(A2126,Products!$A$1:$F$322,2,FALSE)</f>
        <v>Sun Bicycles Biscayne Tandem CB - 2017</v>
      </c>
      <c r="C2126" s="21" t="e">
        <f>VLOOKUP(A2126,Products!A$322:$D2126,4,FALSE)</f>
        <v>#N/A</v>
      </c>
    </row>
    <row r="2127" spans="1:3" x14ac:dyDescent="0.35">
      <c r="A2127" s="21">
        <v>45</v>
      </c>
      <c r="B2127" t="str">
        <f>VLOOKUP(A2127,Products!$A$1:$F$322,2,FALSE)</f>
        <v>Haro SR 1.2 - 2017</v>
      </c>
      <c r="C2127" s="21" t="e">
        <f>VLOOKUP(A2127,Products!A$322:$D2127,4,FALSE)</f>
        <v>#N/A</v>
      </c>
    </row>
    <row r="2128" spans="1:3" x14ac:dyDescent="0.35">
      <c r="A2128" s="21">
        <v>12</v>
      </c>
      <c r="B2128" t="str">
        <f>VLOOKUP(A2128,Products!$A$1:$F$322,2,FALSE)</f>
        <v>Electra Townie Original 21D - 2016</v>
      </c>
      <c r="C2128" s="21" t="e">
        <f>VLOOKUP(A2128,Products!A$322:$D2128,4,FALSE)</f>
        <v>#N/A</v>
      </c>
    </row>
    <row r="2129" spans="1:3" x14ac:dyDescent="0.35">
      <c r="A2129" s="21">
        <v>31</v>
      </c>
      <c r="B2129" t="str">
        <f>VLOOKUP(A2129,Products!$A$1:$F$322,2,FALSE)</f>
        <v>Surly Wednesday - 2017</v>
      </c>
      <c r="C2129" s="21" t="e">
        <f>VLOOKUP(A2129,Products!A$322:$D2129,4,FALSE)</f>
        <v>#N/A</v>
      </c>
    </row>
    <row r="2130" spans="1:3" x14ac:dyDescent="0.35">
      <c r="A2130" s="21">
        <v>105</v>
      </c>
      <c r="B2130" t="str">
        <f>VLOOKUP(A2130,Products!$A$1:$F$322,2,FALSE)</f>
        <v>Sun Bicycles Streamway 7 - 2017</v>
      </c>
      <c r="C2130" s="21" t="e">
        <f>VLOOKUP(A2130,Products!A$322:$D2130,4,FALSE)</f>
        <v>#N/A</v>
      </c>
    </row>
    <row r="2131" spans="1:3" x14ac:dyDescent="0.35">
      <c r="A2131" s="21">
        <v>7</v>
      </c>
      <c r="B2131" t="str">
        <f>VLOOKUP(A2131,Products!$A$1:$F$322,2,FALSE)</f>
        <v>Trek Slash 8 27.5 - 2016</v>
      </c>
      <c r="C2131" s="21" t="e">
        <f>VLOOKUP(A2131,Products!A$322:$D2131,4,FALSE)</f>
        <v>#N/A</v>
      </c>
    </row>
    <row r="2132" spans="1:3" x14ac:dyDescent="0.35">
      <c r="A2132" s="21">
        <v>36</v>
      </c>
      <c r="B2132" t="str">
        <f>VLOOKUP(A2132,Products!$A$1:$F$322,2,FALSE)</f>
        <v>Surly Troll Frameset - 2017</v>
      </c>
      <c r="C2132" s="21" t="e">
        <f>VLOOKUP(A2132,Products!A$322:$D2132,4,FALSE)</f>
        <v>#N/A</v>
      </c>
    </row>
    <row r="2133" spans="1:3" x14ac:dyDescent="0.35">
      <c r="A2133" s="21">
        <v>95</v>
      </c>
      <c r="B2133" t="str">
        <f>VLOOKUP(A2133,Products!$A$1:$F$322,2,FALSE)</f>
        <v>Electra Girl's Hawaii 1 16" - 2017</v>
      </c>
      <c r="C2133" s="21" t="e">
        <f>VLOOKUP(A2133,Products!A$322:$D2133,4,FALSE)</f>
        <v>#N/A</v>
      </c>
    </row>
    <row r="2134" spans="1:3" x14ac:dyDescent="0.35">
      <c r="A2134" s="21">
        <v>66</v>
      </c>
      <c r="B2134" t="str">
        <f>VLOOKUP(A2134,Products!$A$1:$F$322,2,FALSE)</f>
        <v>Sun Bicycles Revolutions 24 - 2017</v>
      </c>
      <c r="C2134" s="21" t="e">
        <f>VLOOKUP(A2134,Products!A$322:$D2134,4,FALSE)</f>
        <v>#N/A</v>
      </c>
    </row>
    <row r="2135" spans="1:3" x14ac:dyDescent="0.35">
      <c r="A2135" s="21">
        <v>74</v>
      </c>
      <c r="B2135" t="str">
        <f>VLOOKUP(A2135,Products!$A$1:$F$322,2,FALSE)</f>
        <v>Electra Cruiser Lux 1 - 2017</v>
      </c>
      <c r="C2135" s="21" t="e">
        <f>VLOOKUP(A2135,Products!A$322:$D2135,4,FALSE)</f>
        <v>#N/A</v>
      </c>
    </row>
    <row r="2136" spans="1:3" x14ac:dyDescent="0.35">
      <c r="A2136" s="21">
        <v>12</v>
      </c>
      <c r="B2136" t="str">
        <f>VLOOKUP(A2136,Products!$A$1:$F$322,2,FALSE)</f>
        <v>Electra Townie Original 21D - 2016</v>
      </c>
      <c r="C2136" s="21" t="e">
        <f>VLOOKUP(A2136,Products!A$322:$D2136,4,FALSE)</f>
        <v>#N/A</v>
      </c>
    </row>
    <row r="2137" spans="1:3" x14ac:dyDescent="0.35">
      <c r="A2137" s="21">
        <v>3</v>
      </c>
      <c r="B2137" t="str">
        <f>VLOOKUP(A2137,Products!$A$1:$F$322,2,FALSE)</f>
        <v>Surly Wednesday Frameset - 2016</v>
      </c>
      <c r="C2137" s="21" t="e">
        <f>VLOOKUP(A2137,Products!A$322:$D2137,4,FALSE)</f>
        <v>#N/A</v>
      </c>
    </row>
    <row r="2138" spans="1:3" x14ac:dyDescent="0.35">
      <c r="A2138" s="21">
        <v>67</v>
      </c>
      <c r="B2138" t="str">
        <f>VLOOKUP(A2138,Products!$A$1:$F$322,2,FALSE)</f>
        <v>Sun Bicycles Revolutions 24 - Girl's - 2017</v>
      </c>
      <c r="C2138" s="21" t="e">
        <f>VLOOKUP(A2138,Products!A$322:$D2138,4,FALSE)</f>
        <v>#N/A</v>
      </c>
    </row>
    <row r="2139" spans="1:3" x14ac:dyDescent="0.35">
      <c r="A2139" s="21">
        <v>7</v>
      </c>
      <c r="B2139" t="str">
        <f>VLOOKUP(A2139,Products!$A$1:$F$322,2,FALSE)</f>
        <v>Trek Slash 8 27.5 - 2016</v>
      </c>
      <c r="C2139" s="21" t="e">
        <f>VLOOKUP(A2139,Products!A$322:$D2139,4,FALSE)</f>
        <v>#N/A</v>
      </c>
    </row>
    <row r="2140" spans="1:3" x14ac:dyDescent="0.35">
      <c r="A2140" s="21">
        <v>80</v>
      </c>
      <c r="B2140" t="str">
        <f>VLOOKUP(A2140,Products!$A$1:$F$322,2,FALSE)</f>
        <v>Sun Bicycles Brickell Tandem CB - 2017</v>
      </c>
      <c r="C2140" s="21" t="e">
        <f>VLOOKUP(A2140,Products!A$322:$D2140,4,FALSE)</f>
        <v>#N/A</v>
      </c>
    </row>
    <row r="2141" spans="1:3" x14ac:dyDescent="0.35">
      <c r="A2141" s="21">
        <v>43</v>
      </c>
      <c r="B2141" t="str">
        <f>VLOOKUP(A2141,Products!$A$1:$F$322,2,FALSE)</f>
        <v>Trek Fuel EX 9.8 27.5 Plus - 2017</v>
      </c>
      <c r="C2141" s="21" t="e">
        <f>VLOOKUP(A2141,Products!A$322:$D2141,4,FALSE)</f>
        <v>#N/A</v>
      </c>
    </row>
    <row r="2142" spans="1:3" x14ac:dyDescent="0.35">
      <c r="A2142" s="21">
        <v>57</v>
      </c>
      <c r="B2142" t="str">
        <f>VLOOKUP(A2142,Products!$A$1:$F$322,2,FALSE)</f>
        <v>Trek Emonda S 5 - 2017</v>
      </c>
      <c r="C2142" s="21" t="e">
        <f>VLOOKUP(A2142,Products!A$322:$D2142,4,FALSE)</f>
        <v>#N/A</v>
      </c>
    </row>
    <row r="2143" spans="1:3" x14ac:dyDescent="0.35">
      <c r="A2143" s="21">
        <v>64</v>
      </c>
      <c r="B2143" t="str">
        <f>VLOOKUP(A2143,Products!$A$1:$F$322,2,FALSE)</f>
        <v>Electra Townie Original 7D - 2017</v>
      </c>
      <c r="C2143" s="21" t="e">
        <f>VLOOKUP(A2143,Products!A$322:$D2143,4,FALSE)</f>
        <v>#N/A</v>
      </c>
    </row>
    <row r="2144" spans="1:3" x14ac:dyDescent="0.35">
      <c r="A2144" s="21">
        <v>17</v>
      </c>
      <c r="B2144" t="str">
        <f>VLOOKUP(A2144,Products!$A$1:$F$322,2,FALSE)</f>
        <v>Pure Cycles Vine 8-Speed - 2016</v>
      </c>
      <c r="C2144" s="21" t="e">
        <f>VLOOKUP(A2144,Products!A$322:$D2144,4,FALSE)</f>
        <v>#N/A</v>
      </c>
    </row>
    <row r="2145" spans="1:3" x14ac:dyDescent="0.35">
      <c r="A2145" s="21">
        <v>95</v>
      </c>
      <c r="B2145" t="str">
        <f>VLOOKUP(A2145,Products!$A$1:$F$322,2,FALSE)</f>
        <v>Electra Girl's Hawaii 1 16" - 2017</v>
      </c>
      <c r="C2145" s="21" t="e">
        <f>VLOOKUP(A2145,Products!A$322:$D2145,4,FALSE)</f>
        <v>#N/A</v>
      </c>
    </row>
    <row r="2146" spans="1:3" x14ac:dyDescent="0.35">
      <c r="A2146" s="21">
        <v>22</v>
      </c>
      <c r="B2146" t="str">
        <f>VLOOKUP(A2146,Products!$A$1:$F$322,2,FALSE)</f>
        <v>Electra Girl's Hawaii 1 (16-inch) - 2015/2016</v>
      </c>
      <c r="C2146" s="21" t="e">
        <f>VLOOKUP(A2146,Products!A$322:$D2146,4,FALSE)</f>
        <v>#N/A</v>
      </c>
    </row>
    <row r="2147" spans="1:3" x14ac:dyDescent="0.35">
      <c r="A2147" s="21">
        <v>99</v>
      </c>
      <c r="B2147" t="str">
        <f>VLOOKUP(A2147,Products!$A$1:$F$322,2,FALSE)</f>
        <v>Electra Sugar Skulls 1 (20-inch) - Girl's - 2017</v>
      </c>
      <c r="C2147" s="21" t="e">
        <f>VLOOKUP(A2147,Products!A$322:$D2147,4,FALSE)</f>
        <v>#N/A</v>
      </c>
    </row>
    <row r="2148" spans="1:3" x14ac:dyDescent="0.35">
      <c r="A2148" s="21">
        <v>27</v>
      </c>
      <c r="B2148" t="str">
        <f>VLOOKUP(A2148,Products!$A$1:$F$322,2,FALSE)</f>
        <v>Surly Big Dummy Frameset - 2017</v>
      </c>
      <c r="C2148" s="21" t="e">
        <f>VLOOKUP(A2148,Products!A$322:$D2148,4,FALSE)</f>
        <v>#N/A</v>
      </c>
    </row>
    <row r="2149" spans="1:3" x14ac:dyDescent="0.35">
      <c r="A2149" s="21">
        <v>65</v>
      </c>
      <c r="B2149" t="str">
        <f>VLOOKUP(A2149,Products!$A$1:$F$322,2,FALSE)</f>
        <v>Sun Bicycles Lil Bolt Type-R - 2017</v>
      </c>
      <c r="C2149" s="21" t="e">
        <f>VLOOKUP(A2149,Products!A$322:$D2149,4,FALSE)</f>
        <v>#N/A</v>
      </c>
    </row>
    <row r="2150" spans="1:3" x14ac:dyDescent="0.35">
      <c r="A2150" s="21">
        <v>109</v>
      </c>
      <c r="B2150" t="str">
        <f>VLOOKUP(A2150,Products!$A$1:$F$322,2,FALSE)</f>
        <v>Sun Bicycles Cruz 7 - Women's - 2017</v>
      </c>
      <c r="C2150" s="21" t="e">
        <f>VLOOKUP(A2150,Products!A$322:$D2150,4,FALSE)</f>
        <v>#N/A</v>
      </c>
    </row>
    <row r="2151" spans="1:3" x14ac:dyDescent="0.35">
      <c r="A2151" s="21">
        <v>93</v>
      </c>
      <c r="B2151" t="str">
        <f>VLOOKUP(A2151,Products!$A$1:$F$322,2,FALSE)</f>
        <v>Haro Shredder 20 Girls - 2017</v>
      </c>
      <c r="C2151" s="21" t="e">
        <f>VLOOKUP(A2151,Products!A$322:$D2151,4,FALSE)</f>
        <v>#N/A</v>
      </c>
    </row>
    <row r="2152" spans="1:3" x14ac:dyDescent="0.35">
      <c r="A2152" s="21">
        <v>78</v>
      </c>
      <c r="B2152" t="str">
        <f>VLOOKUP(A2152,Products!$A$1:$F$322,2,FALSE)</f>
        <v>Sun Bicycles Biscayne Tandem CB - 2017</v>
      </c>
      <c r="C2152" s="21" t="e">
        <f>VLOOKUP(A2152,Products!A$322:$D2152,4,FALSE)</f>
        <v>#N/A</v>
      </c>
    </row>
    <row r="2153" spans="1:3" x14ac:dyDescent="0.35">
      <c r="A2153" s="21">
        <v>21</v>
      </c>
      <c r="B2153" t="str">
        <f>VLOOKUP(A2153,Products!$A$1:$F$322,2,FALSE)</f>
        <v>Electra Cruiser 1 (24-Inch) - 2016</v>
      </c>
      <c r="C2153" s="21" t="e">
        <f>VLOOKUP(A2153,Products!A$322:$D2153,4,FALSE)</f>
        <v>#N/A</v>
      </c>
    </row>
    <row r="2154" spans="1:3" x14ac:dyDescent="0.35">
      <c r="A2154" s="21">
        <v>29</v>
      </c>
      <c r="B2154" t="str">
        <f>VLOOKUP(A2154,Products!$A$1:$F$322,2,FALSE)</f>
        <v>Trek X-Caliber 8 - 2017</v>
      </c>
      <c r="C2154" s="21" t="e">
        <f>VLOOKUP(A2154,Products!A$322:$D2154,4,FALSE)</f>
        <v>#N/A</v>
      </c>
    </row>
    <row r="2155" spans="1:3" x14ac:dyDescent="0.35">
      <c r="A2155" s="21">
        <v>43</v>
      </c>
      <c r="B2155" t="str">
        <f>VLOOKUP(A2155,Products!$A$1:$F$322,2,FALSE)</f>
        <v>Trek Fuel EX 9.8 27.5 Plus - 2017</v>
      </c>
      <c r="C2155" s="21" t="e">
        <f>VLOOKUP(A2155,Products!A$322:$D2155,4,FALSE)</f>
        <v>#N/A</v>
      </c>
    </row>
    <row r="2156" spans="1:3" x14ac:dyDescent="0.35">
      <c r="A2156" s="21">
        <v>52</v>
      </c>
      <c r="B2156" t="str">
        <f>VLOOKUP(A2156,Products!$A$1:$F$322,2,FALSE)</f>
        <v>Surly Steamroller - 2017</v>
      </c>
      <c r="C2156" s="21" t="e">
        <f>VLOOKUP(A2156,Products!A$322:$D2156,4,FALSE)</f>
        <v>#N/A</v>
      </c>
    </row>
    <row r="2157" spans="1:3" x14ac:dyDescent="0.35">
      <c r="A2157" s="21">
        <v>102</v>
      </c>
      <c r="B2157" t="str">
        <f>VLOOKUP(A2157,Products!$A$1:$F$322,2,FALSE)</f>
        <v>Electra Townie Original 7D - 2017</v>
      </c>
      <c r="C2157" s="21" t="e">
        <f>VLOOKUP(A2157,Products!A$322:$D2157,4,FALSE)</f>
        <v>#N/A</v>
      </c>
    </row>
    <row r="2158" spans="1:3" x14ac:dyDescent="0.35">
      <c r="A2158" s="21">
        <v>90</v>
      </c>
      <c r="B2158" t="str">
        <f>VLOOKUP(A2158,Products!$A$1:$F$322,2,FALSE)</f>
        <v>Trek Precaliber 16 Girls - 2017</v>
      </c>
      <c r="C2158" s="21" t="e">
        <f>VLOOKUP(A2158,Products!A$322:$D2158,4,FALSE)</f>
        <v>#N/A</v>
      </c>
    </row>
    <row r="2159" spans="1:3" x14ac:dyDescent="0.35">
      <c r="A2159" s="21">
        <v>103</v>
      </c>
      <c r="B2159" t="str">
        <f>VLOOKUP(A2159,Products!$A$1:$F$322,2,FALSE)</f>
        <v>Sun Bicycles Streamway 3 - 2017</v>
      </c>
      <c r="C2159" s="21" t="e">
        <f>VLOOKUP(A2159,Products!A$322:$D2159,4,FALSE)</f>
        <v>#N/A</v>
      </c>
    </row>
    <row r="2160" spans="1:3" x14ac:dyDescent="0.35">
      <c r="A2160" s="21">
        <v>55</v>
      </c>
      <c r="B2160" t="str">
        <f>VLOOKUP(A2160,Products!$A$1:$F$322,2,FALSE)</f>
        <v>Trek Domane S 6 - 2017</v>
      </c>
      <c r="C2160" s="21" t="e">
        <f>VLOOKUP(A2160,Products!A$322:$D2160,4,FALSE)</f>
        <v>#N/A</v>
      </c>
    </row>
    <row r="2161" spans="1:3" x14ac:dyDescent="0.35">
      <c r="A2161" s="21">
        <v>95</v>
      </c>
      <c r="B2161" t="str">
        <f>VLOOKUP(A2161,Products!$A$1:$F$322,2,FALSE)</f>
        <v>Electra Girl's Hawaii 1 16" - 2017</v>
      </c>
      <c r="C2161" s="21" t="e">
        <f>VLOOKUP(A2161,Products!A$322:$D2161,4,FALSE)</f>
        <v>#N/A</v>
      </c>
    </row>
    <row r="2162" spans="1:3" x14ac:dyDescent="0.35">
      <c r="A2162" s="21">
        <v>81</v>
      </c>
      <c r="B2162" t="str">
        <f>VLOOKUP(A2162,Products!$A$1:$F$322,2,FALSE)</f>
        <v>Electra Amsterdam Fashion 7i Ladies' - 2017</v>
      </c>
      <c r="C2162" s="21" t="e">
        <f>VLOOKUP(A2162,Products!A$322:$D2162,4,FALSE)</f>
        <v>#N/A</v>
      </c>
    </row>
    <row r="2163" spans="1:3" x14ac:dyDescent="0.35">
      <c r="A2163" s="21">
        <v>28</v>
      </c>
      <c r="B2163" t="str">
        <f>VLOOKUP(A2163,Products!$A$1:$F$322,2,FALSE)</f>
        <v>Surly Karate Monkey 27.5+ Frameset - 2017</v>
      </c>
      <c r="C2163" s="21" t="e">
        <f>VLOOKUP(A2163,Products!A$322:$D2163,4,FALSE)</f>
        <v>#N/A</v>
      </c>
    </row>
    <row r="2164" spans="1:3" x14ac:dyDescent="0.35">
      <c r="A2164" s="21">
        <v>12</v>
      </c>
      <c r="B2164" t="str">
        <f>VLOOKUP(A2164,Products!$A$1:$F$322,2,FALSE)</f>
        <v>Electra Townie Original 21D - 2016</v>
      </c>
      <c r="C2164" s="21" t="e">
        <f>VLOOKUP(A2164,Products!A$322:$D2164,4,FALSE)</f>
        <v>#N/A</v>
      </c>
    </row>
    <row r="2165" spans="1:3" x14ac:dyDescent="0.35">
      <c r="A2165" s="21">
        <v>25</v>
      </c>
      <c r="B2165" t="str">
        <f>VLOOKUP(A2165,Products!$A$1:$F$322,2,FALSE)</f>
        <v>Electra Townie Original 7D - 2015/2016</v>
      </c>
      <c r="C2165" s="21" t="e">
        <f>VLOOKUP(A2165,Products!A$322:$D2165,4,FALSE)</f>
        <v>#N/A</v>
      </c>
    </row>
    <row r="2166" spans="1:3" x14ac:dyDescent="0.35">
      <c r="A2166" s="21">
        <v>53</v>
      </c>
      <c r="B2166" t="str">
        <f>VLOOKUP(A2166,Products!$A$1:$F$322,2,FALSE)</f>
        <v>Surly Ogre Frameset - 2017</v>
      </c>
      <c r="C2166" s="21" t="e">
        <f>VLOOKUP(A2166,Products!A$322:$D2166,4,FALSE)</f>
        <v>#N/A</v>
      </c>
    </row>
    <row r="2167" spans="1:3" x14ac:dyDescent="0.35">
      <c r="A2167" s="21">
        <v>65</v>
      </c>
      <c r="B2167" t="str">
        <f>VLOOKUP(A2167,Products!$A$1:$F$322,2,FALSE)</f>
        <v>Sun Bicycles Lil Bolt Type-R - 2017</v>
      </c>
      <c r="C2167" s="21" t="e">
        <f>VLOOKUP(A2167,Products!A$322:$D2167,4,FALSE)</f>
        <v>#N/A</v>
      </c>
    </row>
    <row r="2168" spans="1:3" x14ac:dyDescent="0.35">
      <c r="A2168" s="21">
        <v>111</v>
      </c>
      <c r="B2168" t="str">
        <f>VLOOKUP(A2168,Products!$A$1:$F$322,2,FALSE)</f>
        <v>Sun Bicycles Drifter 7 - Women's - 2017</v>
      </c>
      <c r="C2168" s="21" t="e">
        <f>VLOOKUP(A2168,Products!A$322:$D2168,4,FALSE)</f>
        <v>#N/A</v>
      </c>
    </row>
    <row r="2169" spans="1:3" x14ac:dyDescent="0.35">
      <c r="A2169" s="21">
        <v>63</v>
      </c>
      <c r="B2169" t="str">
        <f>VLOOKUP(A2169,Products!$A$1:$F$322,2,FALSE)</f>
        <v>Trek Boone Race Shop Limited - 2017</v>
      </c>
      <c r="C2169" s="21" t="e">
        <f>VLOOKUP(A2169,Products!A$322:$D2169,4,FALSE)</f>
        <v>#N/A</v>
      </c>
    </row>
    <row r="2170" spans="1:3" x14ac:dyDescent="0.35">
      <c r="A2170" s="21">
        <v>29</v>
      </c>
      <c r="B2170" t="str">
        <f>VLOOKUP(A2170,Products!$A$1:$F$322,2,FALSE)</f>
        <v>Trek X-Caliber 8 - 2017</v>
      </c>
      <c r="C2170" s="21" t="e">
        <f>VLOOKUP(A2170,Products!A$322:$D2170,4,FALSE)</f>
        <v>#N/A</v>
      </c>
    </row>
    <row r="2171" spans="1:3" x14ac:dyDescent="0.35">
      <c r="A2171" s="21">
        <v>41</v>
      </c>
      <c r="B2171" t="str">
        <f>VLOOKUP(A2171,Products!$A$1:$F$322,2,FALSE)</f>
        <v>Haro Shift R3 - 2017</v>
      </c>
      <c r="C2171" s="21" t="e">
        <f>VLOOKUP(A2171,Products!A$322:$D2171,4,FALSE)</f>
        <v>#N/A</v>
      </c>
    </row>
    <row r="2172" spans="1:3" x14ac:dyDescent="0.35">
      <c r="A2172" s="21">
        <v>77</v>
      </c>
      <c r="B2172" t="str">
        <f>VLOOKUP(A2172,Products!$A$1:$F$322,2,FALSE)</f>
        <v>Electra Glam Punk 3i Ladies' - 2017</v>
      </c>
      <c r="C2172" s="21" t="e">
        <f>VLOOKUP(A2172,Products!A$322:$D2172,4,FALSE)</f>
        <v>#N/A</v>
      </c>
    </row>
    <row r="2173" spans="1:3" x14ac:dyDescent="0.35">
      <c r="A2173" s="21">
        <v>31</v>
      </c>
      <c r="B2173" t="str">
        <f>VLOOKUP(A2173,Products!$A$1:$F$322,2,FALSE)</f>
        <v>Surly Wednesday - 2017</v>
      </c>
      <c r="C2173" s="21" t="e">
        <f>VLOOKUP(A2173,Products!A$322:$D2173,4,FALSE)</f>
        <v>#N/A</v>
      </c>
    </row>
    <row r="2174" spans="1:3" x14ac:dyDescent="0.35">
      <c r="A2174" s="21">
        <v>76</v>
      </c>
      <c r="B2174" t="str">
        <f>VLOOKUP(A2174,Products!$A$1:$F$322,2,FALSE)</f>
        <v>Electra Girl's Hawaii 1 16" - 2017</v>
      </c>
      <c r="C2174" s="21" t="e">
        <f>VLOOKUP(A2174,Products!A$322:$D2174,4,FALSE)</f>
        <v>#N/A</v>
      </c>
    </row>
    <row r="2175" spans="1:3" x14ac:dyDescent="0.35">
      <c r="A2175" s="21">
        <v>8</v>
      </c>
      <c r="B2175" t="str">
        <f>VLOOKUP(A2175,Products!$A$1:$F$322,2,FALSE)</f>
        <v>Trek Remedy 29 Carbon Frameset - 2016</v>
      </c>
      <c r="C2175" s="21" t="e">
        <f>VLOOKUP(A2175,Products!A$322:$D2175,4,FALSE)</f>
        <v>#N/A</v>
      </c>
    </row>
    <row r="2176" spans="1:3" x14ac:dyDescent="0.35">
      <c r="A2176" s="21">
        <v>6</v>
      </c>
      <c r="B2176" t="str">
        <f>VLOOKUP(A2176,Products!$A$1:$F$322,2,FALSE)</f>
        <v>Surly Ice Cream Truck Frameset - 2016</v>
      </c>
      <c r="C2176" s="21" t="e">
        <f>VLOOKUP(A2176,Products!A$322:$D2176,4,FALSE)</f>
        <v>#N/A</v>
      </c>
    </row>
    <row r="2177" spans="1:3" x14ac:dyDescent="0.35">
      <c r="A2177" s="21">
        <v>36</v>
      </c>
      <c r="B2177" t="str">
        <f>VLOOKUP(A2177,Products!$A$1:$F$322,2,FALSE)</f>
        <v>Surly Troll Frameset - 2017</v>
      </c>
      <c r="C2177" s="21" t="e">
        <f>VLOOKUP(A2177,Products!A$322:$D2177,4,FALSE)</f>
        <v>#N/A</v>
      </c>
    </row>
    <row r="2178" spans="1:3" x14ac:dyDescent="0.35">
      <c r="A2178" s="21">
        <v>110</v>
      </c>
      <c r="B2178" t="str">
        <f>VLOOKUP(A2178,Products!$A$1:$F$322,2,FALSE)</f>
        <v>Sun Bicycles Drifter 7 - 2017</v>
      </c>
      <c r="C2178" s="21" t="e">
        <f>VLOOKUP(A2178,Products!A$322:$D2178,4,FALSE)</f>
        <v>#N/A</v>
      </c>
    </row>
    <row r="2179" spans="1:3" x14ac:dyDescent="0.35">
      <c r="A2179" s="21">
        <v>42</v>
      </c>
      <c r="B2179" t="str">
        <f>VLOOKUP(A2179,Products!$A$1:$F$322,2,FALSE)</f>
        <v>Trek Fuel EX 5 27.5 Plus - 2017</v>
      </c>
      <c r="C2179" s="21" t="e">
        <f>VLOOKUP(A2179,Products!A$322:$D2179,4,FALSE)</f>
        <v>#N/A</v>
      </c>
    </row>
    <row r="2180" spans="1:3" x14ac:dyDescent="0.35">
      <c r="A2180" s="21">
        <v>103</v>
      </c>
      <c r="B2180" t="str">
        <f>VLOOKUP(A2180,Products!$A$1:$F$322,2,FALSE)</f>
        <v>Sun Bicycles Streamway 3 - 2017</v>
      </c>
      <c r="C2180" s="21" t="e">
        <f>VLOOKUP(A2180,Products!A$322:$D2180,4,FALSE)</f>
        <v>#N/A</v>
      </c>
    </row>
    <row r="2181" spans="1:3" x14ac:dyDescent="0.35">
      <c r="A2181" s="21">
        <v>11</v>
      </c>
      <c r="B2181" t="str">
        <f>VLOOKUP(A2181,Products!$A$1:$F$322,2,FALSE)</f>
        <v>Surly Straggler 650b - 2016</v>
      </c>
      <c r="C2181" s="21" t="e">
        <f>VLOOKUP(A2181,Products!A$322:$D2181,4,FALSE)</f>
        <v>#N/A</v>
      </c>
    </row>
    <row r="2182" spans="1:3" x14ac:dyDescent="0.35">
      <c r="A2182" s="21">
        <v>13</v>
      </c>
      <c r="B2182" t="str">
        <f>VLOOKUP(A2182,Products!$A$1:$F$322,2,FALSE)</f>
        <v>Electra Cruiser 1 (24-Inch) - 2016</v>
      </c>
      <c r="C2182" s="21" t="e">
        <f>VLOOKUP(A2182,Products!A$322:$D2182,4,FALSE)</f>
        <v>#N/A</v>
      </c>
    </row>
    <row r="2183" spans="1:3" x14ac:dyDescent="0.35">
      <c r="A2183" s="21">
        <v>88</v>
      </c>
      <c r="B2183" t="str">
        <f>VLOOKUP(A2183,Products!$A$1:$F$322,2,FALSE)</f>
        <v>Trek Precaliber 12 Girls - 2017</v>
      </c>
      <c r="C2183" s="21" t="e">
        <f>VLOOKUP(A2183,Products!A$322:$D2183,4,FALSE)</f>
        <v>#N/A</v>
      </c>
    </row>
    <row r="2184" spans="1:3" x14ac:dyDescent="0.35">
      <c r="A2184" s="21">
        <v>103</v>
      </c>
      <c r="B2184" t="str">
        <f>VLOOKUP(A2184,Products!$A$1:$F$322,2,FALSE)</f>
        <v>Sun Bicycles Streamway 3 - 2017</v>
      </c>
      <c r="C2184" s="21" t="e">
        <f>VLOOKUP(A2184,Products!A$322:$D2184,4,FALSE)</f>
        <v>#N/A</v>
      </c>
    </row>
    <row r="2185" spans="1:3" x14ac:dyDescent="0.35">
      <c r="A2185" s="21">
        <v>92</v>
      </c>
      <c r="B2185" t="str">
        <f>VLOOKUP(A2185,Products!$A$1:$F$322,2,FALSE)</f>
        <v>Haro Shredder 20 - 2017</v>
      </c>
      <c r="C2185" s="21" t="e">
        <f>VLOOKUP(A2185,Products!A$322:$D2185,4,FALSE)</f>
        <v>#N/A</v>
      </c>
    </row>
    <row r="2186" spans="1:3" x14ac:dyDescent="0.35">
      <c r="A2186" s="21">
        <v>14</v>
      </c>
      <c r="B2186" t="str">
        <f>VLOOKUP(A2186,Products!$A$1:$F$322,2,FALSE)</f>
        <v>Electra Girl's Hawaii 1 (16-inch) - 2015/2016</v>
      </c>
      <c r="C2186" s="21" t="e">
        <f>VLOOKUP(A2186,Products!A$322:$D2186,4,FALSE)</f>
        <v>#N/A</v>
      </c>
    </row>
    <row r="2187" spans="1:3" x14ac:dyDescent="0.35">
      <c r="A2187" s="21">
        <v>17</v>
      </c>
      <c r="B2187" t="str">
        <f>VLOOKUP(A2187,Products!$A$1:$F$322,2,FALSE)</f>
        <v>Pure Cycles Vine 8-Speed - 2016</v>
      </c>
      <c r="C2187" s="21" t="e">
        <f>VLOOKUP(A2187,Products!A$322:$D2187,4,FALSE)</f>
        <v>#N/A</v>
      </c>
    </row>
    <row r="2188" spans="1:3" x14ac:dyDescent="0.35">
      <c r="A2188" s="21">
        <v>33</v>
      </c>
      <c r="B2188" t="str">
        <f>VLOOKUP(A2188,Products!$A$1:$F$322,2,FALSE)</f>
        <v>Surly Wednesday Frameset - 2017</v>
      </c>
      <c r="C2188" s="21" t="e">
        <f>VLOOKUP(A2188,Products!A$322:$D2188,4,FALSE)</f>
        <v>#N/A</v>
      </c>
    </row>
    <row r="2189" spans="1:3" x14ac:dyDescent="0.35">
      <c r="A2189" s="21">
        <v>65</v>
      </c>
      <c r="B2189" t="str">
        <f>VLOOKUP(A2189,Products!$A$1:$F$322,2,FALSE)</f>
        <v>Sun Bicycles Lil Bolt Type-R - 2017</v>
      </c>
      <c r="C2189" s="21" t="e">
        <f>VLOOKUP(A2189,Products!A$322:$D2189,4,FALSE)</f>
        <v>#N/A</v>
      </c>
    </row>
    <row r="2190" spans="1:3" x14ac:dyDescent="0.35">
      <c r="A2190" s="21">
        <v>36</v>
      </c>
      <c r="B2190" t="str">
        <f>VLOOKUP(A2190,Products!$A$1:$F$322,2,FALSE)</f>
        <v>Surly Troll Frameset - 2017</v>
      </c>
      <c r="C2190" s="21" t="e">
        <f>VLOOKUP(A2190,Products!A$322:$D2190,4,FALSE)</f>
        <v>#N/A</v>
      </c>
    </row>
    <row r="2191" spans="1:3" x14ac:dyDescent="0.35">
      <c r="A2191" s="21">
        <v>20</v>
      </c>
      <c r="B2191" t="str">
        <f>VLOOKUP(A2191,Products!$A$1:$F$322,2,FALSE)</f>
        <v>Electra Townie Original 7D EQ - Women's - 2016</v>
      </c>
      <c r="C2191" s="21" t="e">
        <f>VLOOKUP(A2191,Products!A$322:$D2191,4,FALSE)</f>
        <v>#N/A</v>
      </c>
    </row>
    <row r="2192" spans="1:3" x14ac:dyDescent="0.35">
      <c r="A2192" s="21">
        <v>73</v>
      </c>
      <c r="B2192" t="str">
        <f>VLOOKUP(A2192,Products!$A$1:$F$322,2,FALSE)</f>
        <v>Sun Bicycles Brickell Tandem 7 - 2017</v>
      </c>
      <c r="C2192" s="21" t="e">
        <f>VLOOKUP(A2192,Products!A$322:$D2192,4,FALSE)</f>
        <v>#N/A</v>
      </c>
    </row>
    <row r="2193" spans="1:3" x14ac:dyDescent="0.35">
      <c r="A2193" s="21">
        <v>58</v>
      </c>
      <c r="B2193" t="str">
        <f>VLOOKUP(A2193,Products!$A$1:$F$322,2,FALSE)</f>
        <v>Trek Madone 9.2 - 2017</v>
      </c>
      <c r="C2193" s="21" t="e">
        <f>VLOOKUP(A2193,Products!A$322:$D2193,4,FALSE)</f>
        <v>#N/A</v>
      </c>
    </row>
    <row r="2194" spans="1:3" x14ac:dyDescent="0.35">
      <c r="A2194" s="21">
        <v>39</v>
      </c>
      <c r="B2194" t="str">
        <f>VLOOKUP(A2194,Products!$A$1:$F$322,2,FALSE)</f>
        <v>Trek Stache 5 - 2017</v>
      </c>
      <c r="C2194" s="21" t="e">
        <f>VLOOKUP(A2194,Products!A$322:$D2194,4,FALSE)</f>
        <v>#N/A</v>
      </c>
    </row>
    <row r="2195" spans="1:3" x14ac:dyDescent="0.35">
      <c r="A2195" s="21">
        <v>28</v>
      </c>
      <c r="B2195" t="str">
        <f>VLOOKUP(A2195,Products!$A$1:$F$322,2,FALSE)</f>
        <v>Surly Karate Monkey 27.5+ Frameset - 2017</v>
      </c>
      <c r="C2195" s="21" t="e">
        <f>VLOOKUP(A2195,Products!A$322:$D2195,4,FALSE)</f>
        <v>#N/A</v>
      </c>
    </row>
    <row r="2196" spans="1:3" x14ac:dyDescent="0.35">
      <c r="A2196" s="21">
        <v>42</v>
      </c>
      <c r="B2196" t="str">
        <f>VLOOKUP(A2196,Products!$A$1:$F$322,2,FALSE)</f>
        <v>Trek Fuel EX 5 27.5 Plus - 2017</v>
      </c>
      <c r="C2196" s="21" t="e">
        <f>VLOOKUP(A2196,Products!A$322:$D2196,4,FALSE)</f>
        <v>#N/A</v>
      </c>
    </row>
    <row r="2197" spans="1:3" x14ac:dyDescent="0.35">
      <c r="A2197" s="21">
        <v>71</v>
      </c>
      <c r="B2197" t="str">
        <f>VLOOKUP(A2197,Products!$A$1:$F$322,2,FALSE)</f>
        <v>Sun Bicycles Atlas X-Type - 2017</v>
      </c>
      <c r="C2197" s="21" t="e">
        <f>VLOOKUP(A2197,Products!A$322:$D2197,4,FALSE)</f>
        <v>#N/A</v>
      </c>
    </row>
    <row r="2198" spans="1:3" x14ac:dyDescent="0.35">
      <c r="A2198" s="21">
        <v>35</v>
      </c>
      <c r="B2198" t="str">
        <f>VLOOKUP(A2198,Products!$A$1:$F$322,2,FALSE)</f>
        <v>Sun Bicycles Spider 3i - 2017</v>
      </c>
      <c r="C2198" s="21" t="e">
        <f>VLOOKUP(A2198,Products!A$322:$D2198,4,FALSE)</f>
        <v>#N/A</v>
      </c>
    </row>
    <row r="2199" spans="1:3" x14ac:dyDescent="0.35">
      <c r="A2199" s="21">
        <v>5</v>
      </c>
      <c r="B2199" t="str">
        <f>VLOOKUP(A2199,Products!$A$1:$F$322,2,FALSE)</f>
        <v>Heller Shagamaw Frame - 2016</v>
      </c>
      <c r="C2199" s="21" t="e">
        <f>VLOOKUP(A2199,Products!A$322:$D2199,4,FALSE)</f>
        <v>#N/A</v>
      </c>
    </row>
    <row r="2200" spans="1:3" x14ac:dyDescent="0.35">
      <c r="A2200" s="21">
        <v>7</v>
      </c>
      <c r="B2200" t="str">
        <f>VLOOKUP(A2200,Products!$A$1:$F$322,2,FALSE)</f>
        <v>Trek Slash 8 27.5 - 2016</v>
      </c>
      <c r="C2200" s="21" t="e">
        <f>VLOOKUP(A2200,Products!A$322:$D2200,4,FALSE)</f>
        <v>#N/A</v>
      </c>
    </row>
    <row r="2201" spans="1:3" x14ac:dyDescent="0.35">
      <c r="A2201" s="21">
        <v>2</v>
      </c>
      <c r="B2201" t="str">
        <f>VLOOKUP(A2201,Products!$A$1:$F$322,2,FALSE)</f>
        <v>Ritchey Timberwolf Frameset - 2016</v>
      </c>
      <c r="C2201" s="21" t="e">
        <f>VLOOKUP(A2201,Products!A$322:$D2201,4,FALSE)</f>
        <v>#N/A</v>
      </c>
    </row>
    <row r="2202" spans="1:3" x14ac:dyDescent="0.35">
      <c r="A2202" s="21">
        <v>64</v>
      </c>
      <c r="B2202" t="str">
        <f>VLOOKUP(A2202,Products!$A$1:$F$322,2,FALSE)</f>
        <v>Electra Townie Original 7D - 2017</v>
      </c>
      <c r="C2202" s="21" t="e">
        <f>VLOOKUP(A2202,Products!A$322:$D2202,4,FALSE)</f>
        <v>#N/A</v>
      </c>
    </row>
    <row r="2203" spans="1:3" x14ac:dyDescent="0.35">
      <c r="A2203" s="21">
        <v>85</v>
      </c>
      <c r="B2203" t="str">
        <f>VLOOKUP(A2203,Products!$A$1:$F$322,2,FALSE)</f>
        <v>Haro Downtown 16 - 2017</v>
      </c>
      <c r="C2203" s="21" t="e">
        <f>VLOOKUP(A2203,Products!A$322:$D2203,4,FALSE)</f>
        <v>#N/A</v>
      </c>
    </row>
    <row r="2204" spans="1:3" x14ac:dyDescent="0.35">
      <c r="A2204" s="21">
        <v>101</v>
      </c>
      <c r="B2204" t="str">
        <f>VLOOKUP(A2204,Products!$A$1:$F$322,2,FALSE)</f>
        <v>Electra Townie 7D (20-inch) - Boys' - 2017</v>
      </c>
      <c r="C2204" s="21" t="e">
        <f>VLOOKUP(A2204,Products!A$322:$D2204,4,FALSE)</f>
        <v>#N/A</v>
      </c>
    </row>
    <row r="2205" spans="1:3" x14ac:dyDescent="0.35">
      <c r="A2205" s="21">
        <v>90</v>
      </c>
      <c r="B2205" t="str">
        <f>VLOOKUP(A2205,Products!$A$1:$F$322,2,FALSE)</f>
        <v>Trek Precaliber 16 Girls - 2017</v>
      </c>
      <c r="C2205" s="21" t="e">
        <f>VLOOKUP(A2205,Products!A$322:$D2205,4,FALSE)</f>
        <v>#N/A</v>
      </c>
    </row>
    <row r="2206" spans="1:3" x14ac:dyDescent="0.35">
      <c r="A2206" s="21">
        <v>47</v>
      </c>
      <c r="B2206" t="str">
        <f>VLOOKUP(A2206,Products!$A$1:$F$322,2,FALSE)</f>
        <v>Trek Remedy 9.8 - 2017</v>
      </c>
      <c r="C2206" s="21" t="e">
        <f>VLOOKUP(A2206,Products!A$322:$D2206,4,FALSE)</f>
        <v>#N/A</v>
      </c>
    </row>
    <row r="2207" spans="1:3" x14ac:dyDescent="0.35">
      <c r="A2207" s="21">
        <v>8</v>
      </c>
      <c r="B2207" t="str">
        <f>VLOOKUP(A2207,Products!$A$1:$F$322,2,FALSE)</f>
        <v>Trek Remedy 29 Carbon Frameset - 2016</v>
      </c>
      <c r="C2207" s="21" t="e">
        <f>VLOOKUP(A2207,Products!A$322:$D2207,4,FALSE)</f>
        <v>#N/A</v>
      </c>
    </row>
    <row r="2208" spans="1:3" x14ac:dyDescent="0.35">
      <c r="A2208" s="21">
        <v>85</v>
      </c>
      <c r="B2208" t="str">
        <f>VLOOKUP(A2208,Products!$A$1:$F$322,2,FALSE)</f>
        <v>Haro Downtown 16 - 2017</v>
      </c>
      <c r="C2208" s="21" t="e">
        <f>VLOOKUP(A2208,Products!A$322:$D2208,4,FALSE)</f>
        <v>#N/A</v>
      </c>
    </row>
    <row r="2209" spans="1:3" x14ac:dyDescent="0.35">
      <c r="A2209" s="21">
        <v>32</v>
      </c>
      <c r="B2209" t="str">
        <f>VLOOKUP(A2209,Products!$A$1:$F$322,2,FALSE)</f>
        <v>Trek Farley Alloy Frameset - 2017</v>
      </c>
      <c r="C2209" s="21" t="e">
        <f>VLOOKUP(A2209,Products!A$322:$D2209,4,FALSE)</f>
        <v>#N/A</v>
      </c>
    </row>
    <row r="2210" spans="1:3" x14ac:dyDescent="0.35">
      <c r="A2210" s="21">
        <v>109</v>
      </c>
      <c r="B2210" t="str">
        <f>VLOOKUP(A2210,Products!$A$1:$F$322,2,FALSE)</f>
        <v>Sun Bicycles Cruz 7 - Women's - 2017</v>
      </c>
      <c r="C2210" s="21" t="e">
        <f>VLOOKUP(A2210,Products!A$322:$D2210,4,FALSE)</f>
        <v>#N/A</v>
      </c>
    </row>
    <row r="2211" spans="1:3" x14ac:dyDescent="0.35">
      <c r="A2211" s="21">
        <v>7</v>
      </c>
      <c r="B2211" t="str">
        <f>VLOOKUP(A2211,Products!$A$1:$F$322,2,FALSE)</f>
        <v>Trek Slash 8 27.5 - 2016</v>
      </c>
      <c r="C2211" s="21" t="e">
        <f>VLOOKUP(A2211,Products!A$322:$D2211,4,FALSE)</f>
        <v>#N/A</v>
      </c>
    </row>
    <row r="2212" spans="1:3" x14ac:dyDescent="0.35">
      <c r="A2212" s="21">
        <v>57</v>
      </c>
      <c r="B2212" t="str">
        <f>VLOOKUP(A2212,Products!$A$1:$F$322,2,FALSE)</f>
        <v>Trek Emonda S 5 - 2017</v>
      </c>
      <c r="C2212" s="21" t="e">
        <f>VLOOKUP(A2212,Products!A$322:$D2212,4,FALSE)</f>
        <v>#N/A</v>
      </c>
    </row>
    <row r="2213" spans="1:3" x14ac:dyDescent="0.35">
      <c r="A2213" s="21">
        <v>20</v>
      </c>
      <c r="B2213" t="str">
        <f>VLOOKUP(A2213,Products!$A$1:$F$322,2,FALSE)</f>
        <v>Electra Townie Original 7D EQ - Women's - 2016</v>
      </c>
      <c r="C2213" s="21" t="e">
        <f>VLOOKUP(A2213,Products!A$322:$D2213,4,FALSE)</f>
        <v>#N/A</v>
      </c>
    </row>
    <row r="2214" spans="1:3" x14ac:dyDescent="0.35">
      <c r="A2214" s="21">
        <v>57</v>
      </c>
      <c r="B2214" t="str">
        <f>VLOOKUP(A2214,Products!$A$1:$F$322,2,FALSE)</f>
        <v>Trek Emonda S 5 - 2017</v>
      </c>
      <c r="C2214" s="21" t="e">
        <f>VLOOKUP(A2214,Products!A$322:$D2214,4,FALSE)</f>
        <v>#N/A</v>
      </c>
    </row>
    <row r="2215" spans="1:3" x14ac:dyDescent="0.35">
      <c r="A2215" s="21">
        <v>99</v>
      </c>
      <c r="B2215" t="str">
        <f>VLOOKUP(A2215,Products!$A$1:$F$322,2,FALSE)</f>
        <v>Electra Sugar Skulls 1 (20-inch) - Girl's - 2017</v>
      </c>
      <c r="C2215" s="21" t="e">
        <f>VLOOKUP(A2215,Products!A$322:$D2215,4,FALSE)</f>
        <v>#N/A</v>
      </c>
    </row>
    <row r="2216" spans="1:3" x14ac:dyDescent="0.35">
      <c r="A2216" s="21">
        <v>16</v>
      </c>
      <c r="B2216" t="str">
        <f>VLOOKUP(A2216,Products!$A$1:$F$322,2,FALSE)</f>
        <v>Electra Townie Original 7D EQ - 2016</v>
      </c>
      <c r="C2216" s="21" t="e">
        <f>VLOOKUP(A2216,Products!A$322:$D2216,4,FALSE)</f>
        <v>#N/A</v>
      </c>
    </row>
    <row r="2217" spans="1:3" x14ac:dyDescent="0.35">
      <c r="A2217" s="21">
        <v>92</v>
      </c>
      <c r="B2217" t="str">
        <f>VLOOKUP(A2217,Products!$A$1:$F$322,2,FALSE)</f>
        <v>Haro Shredder 20 - 2017</v>
      </c>
      <c r="C2217" s="21" t="e">
        <f>VLOOKUP(A2217,Products!A$322:$D2217,4,FALSE)</f>
        <v>#N/A</v>
      </c>
    </row>
    <row r="2218" spans="1:3" x14ac:dyDescent="0.35">
      <c r="A2218" s="21">
        <v>22</v>
      </c>
      <c r="B2218" t="str">
        <f>VLOOKUP(A2218,Products!$A$1:$F$322,2,FALSE)</f>
        <v>Electra Girl's Hawaii 1 (16-inch) - 2015/2016</v>
      </c>
      <c r="C2218" s="21" t="e">
        <f>VLOOKUP(A2218,Products!A$322:$D2218,4,FALSE)</f>
        <v>#N/A</v>
      </c>
    </row>
    <row r="2219" spans="1:3" x14ac:dyDescent="0.35">
      <c r="A2219" s="21">
        <v>94</v>
      </c>
      <c r="B2219" t="str">
        <f>VLOOKUP(A2219,Products!$A$1:$F$322,2,FALSE)</f>
        <v>Haro Shredder Pro 20 - 2017</v>
      </c>
      <c r="C2219" s="21" t="e">
        <f>VLOOKUP(A2219,Products!A$322:$D2219,4,FALSE)</f>
        <v>#N/A</v>
      </c>
    </row>
    <row r="2220" spans="1:3" x14ac:dyDescent="0.35">
      <c r="A2220" s="21">
        <v>29</v>
      </c>
      <c r="B2220" t="str">
        <f>VLOOKUP(A2220,Products!$A$1:$F$322,2,FALSE)</f>
        <v>Trek X-Caliber 8 - 2017</v>
      </c>
      <c r="C2220" s="21" t="e">
        <f>VLOOKUP(A2220,Products!A$322:$D2220,4,FALSE)</f>
        <v>#N/A</v>
      </c>
    </row>
    <row r="2221" spans="1:3" x14ac:dyDescent="0.35">
      <c r="A2221" s="21">
        <v>22</v>
      </c>
      <c r="B2221" t="str">
        <f>VLOOKUP(A2221,Products!$A$1:$F$322,2,FALSE)</f>
        <v>Electra Girl's Hawaii 1 (16-inch) - 2015/2016</v>
      </c>
      <c r="C2221" s="21" t="e">
        <f>VLOOKUP(A2221,Products!A$322:$D2221,4,FALSE)</f>
        <v>#N/A</v>
      </c>
    </row>
    <row r="2222" spans="1:3" x14ac:dyDescent="0.35">
      <c r="A2222" s="21">
        <v>72</v>
      </c>
      <c r="B2222" t="str">
        <f>VLOOKUP(A2222,Products!$A$1:$F$322,2,FALSE)</f>
        <v>Sun Bicycles Biscayne Tandem 7 - 2017</v>
      </c>
      <c r="C2222" s="21" t="e">
        <f>VLOOKUP(A2222,Products!A$322:$D2222,4,FALSE)</f>
        <v>#N/A</v>
      </c>
    </row>
    <row r="2223" spans="1:3" x14ac:dyDescent="0.35">
      <c r="A2223" s="21">
        <v>16</v>
      </c>
      <c r="B2223" t="str">
        <f>VLOOKUP(A2223,Products!$A$1:$F$322,2,FALSE)</f>
        <v>Electra Townie Original 7D EQ - 2016</v>
      </c>
      <c r="C2223" s="21" t="e">
        <f>VLOOKUP(A2223,Products!A$322:$D2223,4,FALSE)</f>
        <v>#N/A</v>
      </c>
    </row>
    <row r="2224" spans="1:3" x14ac:dyDescent="0.35">
      <c r="A2224" s="21">
        <v>59</v>
      </c>
      <c r="B2224" t="str">
        <f>VLOOKUP(A2224,Products!$A$1:$F$322,2,FALSE)</f>
        <v>Trek Domane S 5 Disc - 2017</v>
      </c>
      <c r="C2224" s="21" t="e">
        <f>VLOOKUP(A2224,Products!A$322:$D2224,4,FALSE)</f>
        <v>#N/A</v>
      </c>
    </row>
    <row r="2225" spans="1:3" x14ac:dyDescent="0.35">
      <c r="A2225" s="21">
        <v>40</v>
      </c>
      <c r="B2225" t="str">
        <f>VLOOKUP(A2225,Products!$A$1:$F$322,2,FALSE)</f>
        <v>Trek Fuel EX 9.8 29 - 2017</v>
      </c>
      <c r="C2225" s="21" t="e">
        <f>VLOOKUP(A2225,Products!A$322:$D2225,4,FALSE)</f>
        <v>#N/A</v>
      </c>
    </row>
    <row r="2226" spans="1:3" x14ac:dyDescent="0.35">
      <c r="A2226" s="21">
        <v>25</v>
      </c>
      <c r="B2226" t="str">
        <f>VLOOKUP(A2226,Products!$A$1:$F$322,2,FALSE)</f>
        <v>Electra Townie Original 7D - 2015/2016</v>
      </c>
      <c r="C2226" s="21" t="e">
        <f>VLOOKUP(A2226,Products!A$322:$D2226,4,FALSE)</f>
        <v>#N/A</v>
      </c>
    </row>
    <row r="2227" spans="1:3" x14ac:dyDescent="0.35">
      <c r="A2227" s="21">
        <v>80</v>
      </c>
      <c r="B2227" t="str">
        <f>VLOOKUP(A2227,Products!$A$1:$F$322,2,FALSE)</f>
        <v>Sun Bicycles Brickell Tandem CB - 2017</v>
      </c>
      <c r="C2227" s="21" t="e">
        <f>VLOOKUP(A2227,Products!A$322:$D2227,4,FALSE)</f>
        <v>#N/A</v>
      </c>
    </row>
    <row r="2228" spans="1:3" x14ac:dyDescent="0.35">
      <c r="A2228" s="21">
        <v>51</v>
      </c>
      <c r="B2228" t="str">
        <f>VLOOKUP(A2228,Products!$A$1:$F$322,2,FALSE)</f>
        <v>Trek Silque SLR 8 Women's - 2017</v>
      </c>
      <c r="C2228" s="21" t="e">
        <f>VLOOKUP(A2228,Products!A$322:$D2228,4,FALSE)</f>
        <v>#N/A</v>
      </c>
    </row>
    <row r="2229" spans="1:3" x14ac:dyDescent="0.35">
      <c r="A2229" s="21">
        <v>66</v>
      </c>
      <c r="B2229" t="str">
        <f>VLOOKUP(A2229,Products!$A$1:$F$322,2,FALSE)</f>
        <v>Sun Bicycles Revolutions 24 - 2017</v>
      </c>
      <c r="C2229" s="21" t="e">
        <f>VLOOKUP(A2229,Products!A$322:$D2229,4,FALSE)</f>
        <v>#N/A</v>
      </c>
    </row>
    <row r="2230" spans="1:3" x14ac:dyDescent="0.35">
      <c r="A2230" s="21">
        <v>48</v>
      </c>
      <c r="B2230" t="str">
        <f>VLOOKUP(A2230,Products!$A$1:$F$322,2,FALSE)</f>
        <v>Trek Emonda S 4 - 2017</v>
      </c>
      <c r="C2230" s="21" t="e">
        <f>VLOOKUP(A2230,Products!A$322:$D2230,4,FALSE)</f>
        <v>#N/A</v>
      </c>
    </row>
    <row r="2231" spans="1:3" x14ac:dyDescent="0.35">
      <c r="A2231" s="21">
        <v>19</v>
      </c>
      <c r="B2231" t="str">
        <f>VLOOKUP(A2231,Products!$A$1:$F$322,2,FALSE)</f>
        <v>Pure Cycles William 3-Speed - 2016</v>
      </c>
      <c r="C2231" s="21" t="e">
        <f>VLOOKUP(A2231,Products!A$322:$D2231,4,FALSE)</f>
        <v>#N/A</v>
      </c>
    </row>
    <row r="2232" spans="1:3" x14ac:dyDescent="0.35">
      <c r="A2232" s="21">
        <v>13</v>
      </c>
      <c r="B2232" t="str">
        <f>VLOOKUP(A2232,Products!$A$1:$F$322,2,FALSE)</f>
        <v>Electra Cruiser 1 (24-Inch) - 2016</v>
      </c>
      <c r="C2232" s="21" t="e">
        <f>VLOOKUP(A2232,Products!A$322:$D2232,4,FALSE)</f>
        <v>#N/A</v>
      </c>
    </row>
    <row r="2233" spans="1:3" x14ac:dyDescent="0.35">
      <c r="A2233" s="21">
        <v>100</v>
      </c>
      <c r="B2233" t="str">
        <f>VLOOKUP(A2233,Products!$A$1:$F$322,2,FALSE)</f>
        <v>Electra Townie 3i EQ (20-inch) - Boys' - 2017</v>
      </c>
      <c r="C2233" s="21" t="e">
        <f>VLOOKUP(A2233,Products!A$322:$D2233,4,FALSE)</f>
        <v>#N/A</v>
      </c>
    </row>
    <row r="2234" spans="1:3" x14ac:dyDescent="0.35">
      <c r="A2234" s="21">
        <v>93</v>
      </c>
      <c r="B2234" t="str">
        <f>VLOOKUP(A2234,Products!$A$1:$F$322,2,FALSE)</f>
        <v>Haro Shredder 20 Girls - 2017</v>
      </c>
      <c r="C2234" s="21" t="e">
        <f>VLOOKUP(A2234,Products!A$322:$D2234,4,FALSE)</f>
        <v>#N/A</v>
      </c>
    </row>
    <row r="2235" spans="1:3" x14ac:dyDescent="0.35">
      <c r="A2235" s="21">
        <v>62</v>
      </c>
      <c r="B2235" t="str">
        <f>VLOOKUP(A2235,Products!$A$1:$F$322,2,FALSE)</f>
        <v>Trek Boone 7 - 2017</v>
      </c>
      <c r="C2235" s="21" t="e">
        <f>VLOOKUP(A2235,Products!A$322:$D2235,4,FALSE)</f>
        <v>#N/A</v>
      </c>
    </row>
    <row r="2236" spans="1:3" x14ac:dyDescent="0.35">
      <c r="A2236" s="21">
        <v>91</v>
      </c>
      <c r="B2236" t="str">
        <f>VLOOKUP(A2236,Products!$A$1:$F$322,2,FALSE)</f>
        <v>Trek Precaliber 24 (21-Speed) - Girls - 2017</v>
      </c>
      <c r="C2236" s="21" t="e">
        <f>VLOOKUP(A2236,Products!A$322:$D2236,4,FALSE)</f>
        <v>#N/A</v>
      </c>
    </row>
    <row r="2237" spans="1:3" x14ac:dyDescent="0.35">
      <c r="A2237" s="21">
        <v>54</v>
      </c>
      <c r="B2237" t="str">
        <f>VLOOKUP(A2237,Products!$A$1:$F$322,2,FALSE)</f>
        <v>Trek Domane SL Disc Frameset - 2017</v>
      </c>
      <c r="C2237" s="21" t="e">
        <f>VLOOKUP(A2237,Products!A$322:$D2237,4,FALSE)</f>
        <v>#N/A</v>
      </c>
    </row>
    <row r="2238" spans="1:3" x14ac:dyDescent="0.35">
      <c r="A2238" s="21">
        <v>25</v>
      </c>
      <c r="B2238" t="str">
        <f>VLOOKUP(A2238,Products!$A$1:$F$322,2,FALSE)</f>
        <v>Electra Townie Original 7D - 2015/2016</v>
      </c>
      <c r="C2238" s="21" t="e">
        <f>VLOOKUP(A2238,Products!A$322:$D2238,4,FALSE)</f>
        <v>#N/A</v>
      </c>
    </row>
    <row r="2239" spans="1:3" x14ac:dyDescent="0.35">
      <c r="A2239" s="21">
        <v>16</v>
      </c>
      <c r="B2239" t="str">
        <f>VLOOKUP(A2239,Products!$A$1:$F$322,2,FALSE)</f>
        <v>Electra Townie Original 7D EQ - 2016</v>
      </c>
      <c r="C2239" s="21" t="e">
        <f>VLOOKUP(A2239,Products!A$322:$D2239,4,FALSE)</f>
        <v>#N/A</v>
      </c>
    </row>
    <row r="2240" spans="1:3" x14ac:dyDescent="0.35">
      <c r="A2240" s="21">
        <v>39</v>
      </c>
      <c r="B2240" t="str">
        <f>VLOOKUP(A2240,Products!$A$1:$F$322,2,FALSE)</f>
        <v>Trek Stache 5 - 2017</v>
      </c>
      <c r="C2240" s="21" t="e">
        <f>VLOOKUP(A2240,Products!A$322:$D2240,4,FALSE)</f>
        <v>#N/A</v>
      </c>
    </row>
    <row r="2241" spans="1:3" x14ac:dyDescent="0.35">
      <c r="A2241" s="21">
        <v>56</v>
      </c>
      <c r="B2241" t="str">
        <f>VLOOKUP(A2241,Products!$A$1:$F$322,2,FALSE)</f>
        <v>Trek Domane SLR 6 Disc - 2017</v>
      </c>
      <c r="C2241" s="21" t="e">
        <f>VLOOKUP(A2241,Products!A$322:$D2241,4,FALSE)</f>
        <v>#N/A</v>
      </c>
    </row>
    <row r="2242" spans="1:3" x14ac:dyDescent="0.35">
      <c r="A2242" s="21">
        <v>30</v>
      </c>
      <c r="B2242" t="str">
        <f>VLOOKUP(A2242,Products!$A$1:$F$322,2,FALSE)</f>
        <v>Surly Ice Cream Truck Frameset - 2017</v>
      </c>
      <c r="C2242" s="21" t="e">
        <f>VLOOKUP(A2242,Products!A$322:$D2242,4,FALSE)</f>
        <v>#N/A</v>
      </c>
    </row>
    <row r="2243" spans="1:3" x14ac:dyDescent="0.35">
      <c r="A2243" s="21">
        <v>2</v>
      </c>
      <c r="B2243" t="str">
        <f>VLOOKUP(A2243,Products!$A$1:$F$322,2,FALSE)</f>
        <v>Ritchey Timberwolf Frameset - 2016</v>
      </c>
      <c r="C2243" s="21" t="e">
        <f>VLOOKUP(A2243,Products!A$322:$D2243,4,FALSE)</f>
        <v>#N/A</v>
      </c>
    </row>
    <row r="2244" spans="1:3" x14ac:dyDescent="0.35">
      <c r="A2244" s="21">
        <v>60</v>
      </c>
      <c r="B2244" t="str">
        <f>VLOOKUP(A2244,Products!$A$1:$F$322,2,FALSE)</f>
        <v>Sun Bicycles ElectroLite - 2017</v>
      </c>
      <c r="C2244" s="21" t="e">
        <f>VLOOKUP(A2244,Products!A$322:$D2244,4,FALSE)</f>
        <v>#N/A</v>
      </c>
    </row>
    <row r="2245" spans="1:3" x14ac:dyDescent="0.35">
      <c r="A2245" s="21">
        <v>95</v>
      </c>
      <c r="B2245" t="str">
        <f>VLOOKUP(A2245,Products!$A$1:$F$322,2,FALSE)</f>
        <v>Electra Girl's Hawaii 1 16" - 2017</v>
      </c>
      <c r="C2245" s="21" t="e">
        <f>VLOOKUP(A2245,Products!A$322:$D2245,4,FALSE)</f>
        <v>#N/A</v>
      </c>
    </row>
    <row r="2246" spans="1:3" x14ac:dyDescent="0.35">
      <c r="A2246" s="21">
        <v>75</v>
      </c>
      <c r="B2246" t="str">
        <f>VLOOKUP(A2246,Products!$A$1:$F$322,2,FALSE)</f>
        <v>Electra Cruiser Lux Fat Tire 1 Ladies - 2017</v>
      </c>
      <c r="C2246" s="21" t="e">
        <f>VLOOKUP(A2246,Products!A$322:$D2246,4,FALSE)</f>
        <v>#N/A</v>
      </c>
    </row>
    <row r="2247" spans="1:3" x14ac:dyDescent="0.35">
      <c r="A2247" s="21">
        <v>41</v>
      </c>
      <c r="B2247" t="str">
        <f>VLOOKUP(A2247,Products!$A$1:$F$322,2,FALSE)</f>
        <v>Haro Shift R3 - 2017</v>
      </c>
      <c r="C2247" s="21" t="e">
        <f>VLOOKUP(A2247,Products!A$322:$D2247,4,FALSE)</f>
        <v>#N/A</v>
      </c>
    </row>
    <row r="2248" spans="1:3" x14ac:dyDescent="0.35">
      <c r="A2248" s="21">
        <v>68</v>
      </c>
      <c r="B2248" t="str">
        <f>VLOOKUP(A2248,Products!$A$1:$F$322,2,FALSE)</f>
        <v>Sun Bicycles Cruz 3 - 2017</v>
      </c>
      <c r="C2248" s="21" t="e">
        <f>VLOOKUP(A2248,Products!A$322:$D2248,4,FALSE)</f>
        <v>#N/A</v>
      </c>
    </row>
    <row r="2249" spans="1:3" x14ac:dyDescent="0.35">
      <c r="A2249" s="21">
        <v>17</v>
      </c>
      <c r="B2249" t="str">
        <f>VLOOKUP(A2249,Products!$A$1:$F$322,2,FALSE)</f>
        <v>Pure Cycles Vine 8-Speed - 2016</v>
      </c>
      <c r="C2249" s="21" t="e">
        <f>VLOOKUP(A2249,Products!A$322:$D2249,4,FALSE)</f>
        <v>#N/A</v>
      </c>
    </row>
    <row r="2250" spans="1:3" x14ac:dyDescent="0.35">
      <c r="A2250" s="21">
        <v>28</v>
      </c>
      <c r="B2250" t="str">
        <f>VLOOKUP(A2250,Products!$A$1:$F$322,2,FALSE)</f>
        <v>Surly Karate Monkey 27.5+ Frameset - 2017</v>
      </c>
      <c r="C2250" s="21" t="e">
        <f>VLOOKUP(A2250,Products!A$322:$D2250,4,FALSE)</f>
        <v>#N/A</v>
      </c>
    </row>
    <row r="2251" spans="1:3" x14ac:dyDescent="0.35">
      <c r="A2251" s="21">
        <v>95</v>
      </c>
      <c r="B2251" t="str">
        <f>VLOOKUP(A2251,Products!$A$1:$F$322,2,FALSE)</f>
        <v>Electra Girl's Hawaii 1 16" - 2017</v>
      </c>
      <c r="C2251" s="21" t="e">
        <f>VLOOKUP(A2251,Products!A$322:$D2251,4,FALSE)</f>
        <v>#N/A</v>
      </c>
    </row>
    <row r="2252" spans="1:3" x14ac:dyDescent="0.35">
      <c r="A2252" s="21">
        <v>99</v>
      </c>
      <c r="B2252" t="str">
        <f>VLOOKUP(A2252,Products!$A$1:$F$322,2,FALSE)</f>
        <v>Electra Sugar Skulls 1 (20-inch) - Girl's - 2017</v>
      </c>
      <c r="C2252" s="21" t="e">
        <f>VLOOKUP(A2252,Products!A$322:$D2252,4,FALSE)</f>
        <v>#N/A</v>
      </c>
    </row>
    <row r="2253" spans="1:3" x14ac:dyDescent="0.35">
      <c r="A2253" s="21">
        <v>6</v>
      </c>
      <c r="B2253" t="str">
        <f>VLOOKUP(A2253,Products!$A$1:$F$322,2,FALSE)</f>
        <v>Surly Ice Cream Truck Frameset - 2016</v>
      </c>
      <c r="C2253" s="21" t="e">
        <f>VLOOKUP(A2253,Products!A$322:$D2253,4,FALSE)</f>
        <v>#N/A</v>
      </c>
    </row>
    <row r="2254" spans="1:3" x14ac:dyDescent="0.35">
      <c r="A2254" s="21">
        <v>11</v>
      </c>
      <c r="B2254" t="str">
        <f>VLOOKUP(A2254,Products!$A$1:$F$322,2,FALSE)</f>
        <v>Surly Straggler 650b - 2016</v>
      </c>
      <c r="C2254" s="21" t="e">
        <f>VLOOKUP(A2254,Products!A$322:$D2254,4,FALSE)</f>
        <v>#N/A</v>
      </c>
    </row>
    <row r="2255" spans="1:3" x14ac:dyDescent="0.35">
      <c r="A2255" s="21">
        <v>69</v>
      </c>
      <c r="B2255" t="str">
        <f>VLOOKUP(A2255,Products!$A$1:$F$322,2,FALSE)</f>
        <v>Sun Bicycles Cruz 7 - 2017</v>
      </c>
      <c r="C2255" s="21" t="e">
        <f>VLOOKUP(A2255,Products!A$322:$D2255,4,FALSE)</f>
        <v>#N/A</v>
      </c>
    </row>
    <row r="2256" spans="1:3" x14ac:dyDescent="0.35">
      <c r="A2256" s="21">
        <v>74</v>
      </c>
      <c r="B2256" t="str">
        <f>VLOOKUP(A2256,Products!$A$1:$F$322,2,FALSE)</f>
        <v>Electra Cruiser Lux 1 - 2017</v>
      </c>
      <c r="C2256" s="21" t="e">
        <f>VLOOKUP(A2256,Products!A$322:$D2256,4,FALSE)</f>
        <v>#N/A</v>
      </c>
    </row>
    <row r="2257" spans="1:3" x14ac:dyDescent="0.35">
      <c r="A2257" s="21">
        <v>54</v>
      </c>
      <c r="B2257" t="str">
        <f>VLOOKUP(A2257,Products!$A$1:$F$322,2,FALSE)</f>
        <v>Trek Domane SL Disc Frameset - 2017</v>
      </c>
      <c r="C2257" s="21" t="e">
        <f>VLOOKUP(A2257,Products!A$322:$D2257,4,FALSE)</f>
        <v>#N/A</v>
      </c>
    </row>
    <row r="2258" spans="1:3" x14ac:dyDescent="0.35">
      <c r="A2258" s="21">
        <v>62</v>
      </c>
      <c r="B2258" t="str">
        <f>VLOOKUP(A2258,Products!$A$1:$F$322,2,FALSE)</f>
        <v>Trek Boone 7 - 2017</v>
      </c>
      <c r="C2258" s="21" t="e">
        <f>VLOOKUP(A2258,Products!A$322:$D2258,4,FALSE)</f>
        <v>#N/A</v>
      </c>
    </row>
    <row r="2259" spans="1:3" x14ac:dyDescent="0.35">
      <c r="A2259" s="21">
        <v>23</v>
      </c>
      <c r="B2259" t="str">
        <f>VLOOKUP(A2259,Products!$A$1:$F$322,2,FALSE)</f>
        <v>Electra Girl's Hawaii 1 (20-inch) - 2015/2016</v>
      </c>
      <c r="C2259" s="21" t="e">
        <f>VLOOKUP(A2259,Products!A$322:$D2259,4,FALSE)</f>
        <v>#N/A</v>
      </c>
    </row>
    <row r="2260" spans="1:3" x14ac:dyDescent="0.35">
      <c r="A2260" s="21">
        <v>90</v>
      </c>
      <c r="B2260" t="str">
        <f>VLOOKUP(A2260,Products!$A$1:$F$322,2,FALSE)</f>
        <v>Trek Precaliber 16 Girls - 2017</v>
      </c>
      <c r="C2260" s="21" t="e">
        <f>VLOOKUP(A2260,Products!A$322:$D2260,4,FALSE)</f>
        <v>#N/A</v>
      </c>
    </row>
    <row r="2261" spans="1:3" x14ac:dyDescent="0.35">
      <c r="A2261" s="21">
        <v>91</v>
      </c>
      <c r="B2261" t="str">
        <f>VLOOKUP(A2261,Products!$A$1:$F$322,2,FALSE)</f>
        <v>Trek Precaliber 24 (21-Speed) - Girls - 2017</v>
      </c>
      <c r="C2261" s="21" t="e">
        <f>VLOOKUP(A2261,Products!A$322:$D2261,4,FALSE)</f>
        <v>#N/A</v>
      </c>
    </row>
    <row r="2262" spans="1:3" x14ac:dyDescent="0.35">
      <c r="A2262" s="21">
        <v>42</v>
      </c>
      <c r="B2262" t="str">
        <f>VLOOKUP(A2262,Products!$A$1:$F$322,2,FALSE)</f>
        <v>Trek Fuel EX 5 27.5 Plus - 2017</v>
      </c>
      <c r="C2262" s="21" t="e">
        <f>VLOOKUP(A2262,Products!A$322:$D2262,4,FALSE)</f>
        <v>#N/A</v>
      </c>
    </row>
    <row r="2263" spans="1:3" x14ac:dyDescent="0.35">
      <c r="A2263" s="21">
        <v>26</v>
      </c>
      <c r="B2263" t="str">
        <f>VLOOKUP(A2263,Products!$A$1:$F$322,2,FALSE)</f>
        <v>Electra Townie Original 7D EQ - 2016</v>
      </c>
      <c r="C2263" s="21" t="e">
        <f>VLOOKUP(A2263,Products!A$322:$D2263,4,FALSE)</f>
        <v>#N/A</v>
      </c>
    </row>
    <row r="2264" spans="1:3" x14ac:dyDescent="0.35">
      <c r="A2264" s="21">
        <v>5</v>
      </c>
      <c r="B2264" t="str">
        <f>VLOOKUP(A2264,Products!$A$1:$F$322,2,FALSE)</f>
        <v>Heller Shagamaw Frame - 2016</v>
      </c>
      <c r="C2264" s="21" t="e">
        <f>VLOOKUP(A2264,Products!A$322:$D2264,4,FALSE)</f>
        <v>#N/A</v>
      </c>
    </row>
    <row r="2265" spans="1:3" x14ac:dyDescent="0.35">
      <c r="A2265" s="21">
        <v>34</v>
      </c>
      <c r="B2265" t="str">
        <f>VLOOKUP(A2265,Products!$A$1:$F$322,2,FALSE)</f>
        <v>Trek Session DH 27.5 Carbon Frameset - 2017</v>
      </c>
      <c r="C2265" s="21" t="e">
        <f>VLOOKUP(A2265,Products!A$322:$D2265,4,FALSE)</f>
        <v>#N/A</v>
      </c>
    </row>
    <row r="2266" spans="1:3" x14ac:dyDescent="0.35">
      <c r="A2266" s="21">
        <v>29</v>
      </c>
      <c r="B2266" t="str">
        <f>VLOOKUP(A2266,Products!$A$1:$F$322,2,FALSE)</f>
        <v>Trek X-Caliber 8 - 2017</v>
      </c>
      <c r="C2266" s="21" t="e">
        <f>VLOOKUP(A2266,Products!A$322:$D2266,4,FALSE)</f>
        <v>#N/A</v>
      </c>
    </row>
    <row r="2267" spans="1:3" x14ac:dyDescent="0.35">
      <c r="A2267" s="21">
        <v>63</v>
      </c>
      <c r="B2267" t="str">
        <f>VLOOKUP(A2267,Products!$A$1:$F$322,2,FALSE)</f>
        <v>Trek Boone Race Shop Limited - 2017</v>
      </c>
      <c r="C2267" s="21" t="e">
        <f>VLOOKUP(A2267,Products!A$322:$D2267,4,FALSE)</f>
        <v>#N/A</v>
      </c>
    </row>
    <row r="2268" spans="1:3" x14ac:dyDescent="0.35">
      <c r="A2268" s="21">
        <v>58</v>
      </c>
      <c r="B2268" t="str">
        <f>VLOOKUP(A2268,Products!$A$1:$F$322,2,FALSE)</f>
        <v>Trek Madone 9.2 - 2017</v>
      </c>
      <c r="C2268" s="21" t="e">
        <f>VLOOKUP(A2268,Products!A$322:$D2268,4,FALSE)</f>
        <v>#N/A</v>
      </c>
    </row>
    <row r="2269" spans="1:3" x14ac:dyDescent="0.35">
      <c r="A2269" s="21">
        <v>65</v>
      </c>
      <c r="B2269" t="str">
        <f>VLOOKUP(A2269,Products!$A$1:$F$322,2,FALSE)</f>
        <v>Sun Bicycles Lil Bolt Type-R - 2017</v>
      </c>
      <c r="C2269" s="21" t="e">
        <f>VLOOKUP(A2269,Products!A$322:$D2269,4,FALSE)</f>
        <v>#N/A</v>
      </c>
    </row>
    <row r="2270" spans="1:3" x14ac:dyDescent="0.35">
      <c r="A2270" s="21">
        <v>54</v>
      </c>
      <c r="B2270" t="str">
        <f>VLOOKUP(A2270,Products!$A$1:$F$322,2,FALSE)</f>
        <v>Trek Domane SL Disc Frameset - 2017</v>
      </c>
      <c r="C2270" s="21" t="e">
        <f>VLOOKUP(A2270,Products!A$322:$D2270,4,FALSE)</f>
        <v>#N/A</v>
      </c>
    </row>
    <row r="2271" spans="1:3" x14ac:dyDescent="0.35">
      <c r="A2271" s="21">
        <v>6</v>
      </c>
      <c r="B2271" t="str">
        <f>VLOOKUP(A2271,Products!$A$1:$F$322,2,FALSE)</f>
        <v>Surly Ice Cream Truck Frameset - 2016</v>
      </c>
      <c r="C2271" s="21" t="e">
        <f>VLOOKUP(A2271,Products!A$322:$D2271,4,FALSE)</f>
        <v>#N/A</v>
      </c>
    </row>
    <row r="2272" spans="1:3" x14ac:dyDescent="0.35">
      <c r="A2272" s="21">
        <v>52</v>
      </c>
      <c r="B2272" t="str">
        <f>VLOOKUP(A2272,Products!$A$1:$F$322,2,FALSE)</f>
        <v>Surly Steamroller - 2017</v>
      </c>
      <c r="C2272" s="21" t="e">
        <f>VLOOKUP(A2272,Products!A$322:$D2272,4,FALSE)</f>
        <v>#N/A</v>
      </c>
    </row>
    <row r="2273" spans="1:3" x14ac:dyDescent="0.35">
      <c r="A2273" s="21">
        <v>95</v>
      </c>
      <c r="B2273" t="str">
        <f>VLOOKUP(A2273,Products!$A$1:$F$322,2,FALSE)</f>
        <v>Electra Girl's Hawaii 1 16" - 2017</v>
      </c>
      <c r="C2273" s="21" t="e">
        <f>VLOOKUP(A2273,Products!A$322:$D2273,4,FALSE)</f>
        <v>#N/A</v>
      </c>
    </row>
    <row r="2274" spans="1:3" x14ac:dyDescent="0.35">
      <c r="A2274" s="21">
        <v>101</v>
      </c>
      <c r="B2274" t="str">
        <f>VLOOKUP(A2274,Products!$A$1:$F$322,2,FALSE)</f>
        <v>Electra Townie 7D (20-inch) - Boys' - 2017</v>
      </c>
      <c r="C2274" s="21" t="e">
        <f>VLOOKUP(A2274,Products!A$322:$D2274,4,FALSE)</f>
        <v>#N/A</v>
      </c>
    </row>
    <row r="2275" spans="1:3" x14ac:dyDescent="0.35">
      <c r="A2275" s="21">
        <v>30</v>
      </c>
      <c r="B2275" t="str">
        <f>VLOOKUP(A2275,Products!$A$1:$F$322,2,FALSE)</f>
        <v>Surly Ice Cream Truck Frameset - 2017</v>
      </c>
      <c r="C2275" s="21" t="e">
        <f>VLOOKUP(A2275,Products!A$322:$D2275,4,FALSE)</f>
        <v>#N/A</v>
      </c>
    </row>
    <row r="2276" spans="1:3" x14ac:dyDescent="0.35">
      <c r="A2276" s="21">
        <v>36</v>
      </c>
      <c r="B2276" t="str">
        <f>VLOOKUP(A2276,Products!$A$1:$F$322,2,FALSE)</f>
        <v>Surly Troll Frameset - 2017</v>
      </c>
      <c r="C2276" s="21" t="e">
        <f>VLOOKUP(A2276,Products!A$322:$D2276,4,FALSE)</f>
        <v>#N/A</v>
      </c>
    </row>
    <row r="2277" spans="1:3" x14ac:dyDescent="0.35">
      <c r="A2277" s="21">
        <v>40</v>
      </c>
      <c r="B2277" t="str">
        <f>VLOOKUP(A2277,Products!$A$1:$F$322,2,FALSE)</f>
        <v>Trek Fuel EX 9.8 29 - 2017</v>
      </c>
      <c r="C2277" s="21" t="e">
        <f>VLOOKUP(A2277,Products!A$322:$D2277,4,FALSE)</f>
        <v>#N/A</v>
      </c>
    </row>
    <row r="2278" spans="1:3" x14ac:dyDescent="0.35">
      <c r="A2278" s="21">
        <v>28</v>
      </c>
      <c r="B2278" t="str">
        <f>VLOOKUP(A2278,Products!$A$1:$F$322,2,FALSE)</f>
        <v>Surly Karate Monkey 27.5+ Frameset - 2017</v>
      </c>
      <c r="C2278" s="21" t="e">
        <f>VLOOKUP(A2278,Products!A$322:$D2278,4,FALSE)</f>
        <v>#N/A</v>
      </c>
    </row>
    <row r="2279" spans="1:3" x14ac:dyDescent="0.35">
      <c r="A2279" s="21">
        <v>111</v>
      </c>
      <c r="B2279" t="str">
        <f>VLOOKUP(A2279,Products!$A$1:$F$322,2,FALSE)</f>
        <v>Sun Bicycles Drifter 7 - Women's - 2017</v>
      </c>
      <c r="C2279" s="21" t="e">
        <f>VLOOKUP(A2279,Products!A$322:$D2279,4,FALSE)</f>
        <v>#N/A</v>
      </c>
    </row>
    <row r="2280" spans="1:3" x14ac:dyDescent="0.35">
      <c r="A2280" s="21">
        <v>52</v>
      </c>
      <c r="B2280" t="str">
        <f>VLOOKUP(A2280,Products!$A$1:$F$322,2,FALSE)</f>
        <v>Surly Steamroller - 2017</v>
      </c>
      <c r="C2280" s="21" t="e">
        <f>VLOOKUP(A2280,Products!A$322:$D2280,4,FALSE)</f>
        <v>#N/A</v>
      </c>
    </row>
    <row r="2281" spans="1:3" x14ac:dyDescent="0.35">
      <c r="A2281" s="21">
        <v>102</v>
      </c>
      <c r="B2281" t="str">
        <f>VLOOKUP(A2281,Products!$A$1:$F$322,2,FALSE)</f>
        <v>Electra Townie Original 7D - 2017</v>
      </c>
      <c r="C2281" s="21" t="e">
        <f>VLOOKUP(A2281,Products!A$322:$D2281,4,FALSE)</f>
        <v>#N/A</v>
      </c>
    </row>
    <row r="2282" spans="1:3" x14ac:dyDescent="0.35">
      <c r="A2282" s="21">
        <v>83</v>
      </c>
      <c r="B2282" t="str">
        <f>VLOOKUP(A2282,Products!$A$1:$F$322,2,FALSE)</f>
        <v>Trek Boy's Kickster - 2015/2017</v>
      </c>
      <c r="C2282" s="21" t="e">
        <f>VLOOKUP(A2282,Products!A$322:$D2282,4,FALSE)</f>
        <v>#N/A</v>
      </c>
    </row>
    <row r="2283" spans="1:3" x14ac:dyDescent="0.35">
      <c r="A2283" s="21">
        <v>89</v>
      </c>
      <c r="B2283" t="str">
        <f>VLOOKUP(A2283,Products!$A$1:$F$322,2,FALSE)</f>
        <v>Trek Precaliber 16 Boys - 2017</v>
      </c>
      <c r="C2283" s="21" t="e">
        <f>VLOOKUP(A2283,Products!A$322:$D2283,4,FALSE)</f>
        <v>#N/A</v>
      </c>
    </row>
    <row r="2284" spans="1:3" x14ac:dyDescent="0.35">
      <c r="A2284" s="21">
        <v>53</v>
      </c>
      <c r="B2284" t="str">
        <f>VLOOKUP(A2284,Products!$A$1:$F$322,2,FALSE)</f>
        <v>Surly Ogre Frameset - 2017</v>
      </c>
      <c r="C2284" s="21" t="e">
        <f>VLOOKUP(A2284,Products!A$322:$D2284,4,FALSE)</f>
        <v>#N/A</v>
      </c>
    </row>
    <row r="2285" spans="1:3" x14ac:dyDescent="0.35">
      <c r="A2285" s="21">
        <v>50</v>
      </c>
      <c r="B2285" t="str">
        <f>VLOOKUP(A2285,Products!$A$1:$F$322,2,FALSE)</f>
        <v>Trek Silque SLR 7 Women's - 2017</v>
      </c>
      <c r="C2285" s="21" t="e">
        <f>VLOOKUP(A2285,Products!A$322:$D2285,4,FALSE)</f>
        <v>#N/A</v>
      </c>
    </row>
    <row r="2286" spans="1:3" x14ac:dyDescent="0.35">
      <c r="A2286" s="21">
        <v>24</v>
      </c>
      <c r="B2286" t="str">
        <f>VLOOKUP(A2286,Products!$A$1:$F$322,2,FALSE)</f>
        <v>Electra Townie Original 21D - 2016</v>
      </c>
      <c r="C2286" s="21" t="e">
        <f>VLOOKUP(A2286,Products!A$322:$D2286,4,FALSE)</f>
        <v>#N/A</v>
      </c>
    </row>
    <row r="2287" spans="1:3" x14ac:dyDescent="0.35">
      <c r="A2287" s="21">
        <v>33</v>
      </c>
      <c r="B2287" t="str">
        <f>VLOOKUP(A2287,Products!$A$1:$F$322,2,FALSE)</f>
        <v>Surly Wednesday Frameset - 2017</v>
      </c>
      <c r="C2287" s="21" t="e">
        <f>VLOOKUP(A2287,Products!A$322:$D2287,4,FALSE)</f>
        <v>#N/A</v>
      </c>
    </row>
    <row r="2288" spans="1:3" x14ac:dyDescent="0.35">
      <c r="A2288" s="21">
        <v>62</v>
      </c>
      <c r="B2288" t="str">
        <f>VLOOKUP(A2288,Products!$A$1:$F$322,2,FALSE)</f>
        <v>Trek Boone 7 - 2017</v>
      </c>
      <c r="C2288" s="21" t="e">
        <f>VLOOKUP(A2288,Products!A$322:$D2288,4,FALSE)</f>
        <v>#N/A</v>
      </c>
    </row>
    <row r="2289" spans="1:3" x14ac:dyDescent="0.35">
      <c r="A2289" s="21">
        <v>32</v>
      </c>
      <c r="B2289" t="str">
        <f>VLOOKUP(A2289,Products!$A$1:$F$322,2,FALSE)</f>
        <v>Trek Farley Alloy Frameset - 2017</v>
      </c>
      <c r="C2289" s="21" t="e">
        <f>VLOOKUP(A2289,Products!A$322:$D2289,4,FALSE)</f>
        <v>#N/A</v>
      </c>
    </row>
    <row r="2290" spans="1:3" x14ac:dyDescent="0.35">
      <c r="A2290" s="21">
        <v>6</v>
      </c>
      <c r="B2290" t="str">
        <f>VLOOKUP(A2290,Products!$A$1:$F$322,2,FALSE)</f>
        <v>Surly Ice Cream Truck Frameset - 2016</v>
      </c>
      <c r="C2290" s="21" t="e">
        <f>VLOOKUP(A2290,Products!A$322:$D2290,4,FALSE)</f>
        <v>#N/A</v>
      </c>
    </row>
    <row r="2291" spans="1:3" x14ac:dyDescent="0.35">
      <c r="A2291" s="21">
        <v>93</v>
      </c>
      <c r="B2291" t="str">
        <f>VLOOKUP(A2291,Products!$A$1:$F$322,2,FALSE)</f>
        <v>Haro Shredder 20 Girls - 2017</v>
      </c>
      <c r="C2291" s="21" t="e">
        <f>VLOOKUP(A2291,Products!A$322:$D2291,4,FALSE)</f>
        <v>#N/A</v>
      </c>
    </row>
    <row r="2292" spans="1:3" x14ac:dyDescent="0.35">
      <c r="A2292" s="21">
        <v>97</v>
      </c>
      <c r="B2292" t="str">
        <f>VLOOKUP(A2292,Products!$A$1:$F$322,2,FALSE)</f>
        <v>Electra Savannah 3i (20-inch) - Girl's - 2017</v>
      </c>
      <c r="C2292" s="21" t="e">
        <f>VLOOKUP(A2292,Products!A$322:$D2292,4,FALSE)</f>
        <v>#N/A</v>
      </c>
    </row>
    <row r="2293" spans="1:3" x14ac:dyDescent="0.35">
      <c r="A2293" s="21">
        <v>77</v>
      </c>
      <c r="B2293" t="str">
        <f>VLOOKUP(A2293,Products!$A$1:$F$322,2,FALSE)</f>
        <v>Electra Glam Punk 3i Ladies' - 2017</v>
      </c>
      <c r="C2293" s="21" t="e">
        <f>VLOOKUP(A2293,Products!A$322:$D2293,4,FALSE)</f>
        <v>#N/A</v>
      </c>
    </row>
    <row r="2294" spans="1:3" x14ac:dyDescent="0.35">
      <c r="A2294" s="21">
        <v>82</v>
      </c>
      <c r="B2294" t="str">
        <f>VLOOKUP(A2294,Products!$A$1:$F$322,2,FALSE)</f>
        <v>Electra Amsterdam Original 3i Ladies' - 2017</v>
      </c>
      <c r="C2294" s="21" t="e">
        <f>VLOOKUP(A2294,Products!A$322:$D2294,4,FALSE)</f>
        <v>#N/A</v>
      </c>
    </row>
    <row r="2295" spans="1:3" x14ac:dyDescent="0.35">
      <c r="A2295" s="21">
        <v>91</v>
      </c>
      <c r="B2295" t="str">
        <f>VLOOKUP(A2295,Products!$A$1:$F$322,2,FALSE)</f>
        <v>Trek Precaliber 24 (21-Speed) - Girls - 2017</v>
      </c>
      <c r="C2295" s="21" t="e">
        <f>VLOOKUP(A2295,Products!A$322:$D2295,4,FALSE)</f>
        <v>#N/A</v>
      </c>
    </row>
    <row r="2296" spans="1:3" x14ac:dyDescent="0.35">
      <c r="A2296" s="21">
        <v>21</v>
      </c>
      <c r="B2296" t="str">
        <f>VLOOKUP(A2296,Products!$A$1:$F$322,2,FALSE)</f>
        <v>Electra Cruiser 1 (24-Inch) - 2016</v>
      </c>
      <c r="C2296" s="21" t="e">
        <f>VLOOKUP(A2296,Products!A$322:$D2296,4,FALSE)</f>
        <v>#N/A</v>
      </c>
    </row>
    <row r="2297" spans="1:3" x14ac:dyDescent="0.35">
      <c r="A2297" s="21">
        <v>6</v>
      </c>
      <c r="B2297" t="str">
        <f>VLOOKUP(A2297,Products!$A$1:$F$322,2,FALSE)</f>
        <v>Surly Ice Cream Truck Frameset - 2016</v>
      </c>
      <c r="C2297" s="21" t="e">
        <f>VLOOKUP(A2297,Products!A$322:$D2297,4,FALSE)</f>
        <v>#N/A</v>
      </c>
    </row>
    <row r="2298" spans="1:3" x14ac:dyDescent="0.35">
      <c r="A2298" s="21">
        <v>3</v>
      </c>
      <c r="B2298" t="str">
        <f>VLOOKUP(A2298,Products!$A$1:$F$322,2,FALSE)</f>
        <v>Surly Wednesday Frameset - 2016</v>
      </c>
      <c r="C2298" s="21" t="e">
        <f>VLOOKUP(A2298,Products!A$322:$D2298,4,FALSE)</f>
        <v>#N/A</v>
      </c>
    </row>
    <row r="2299" spans="1:3" x14ac:dyDescent="0.35">
      <c r="A2299" s="21">
        <v>9</v>
      </c>
      <c r="B2299" t="str">
        <f>VLOOKUP(A2299,Products!$A$1:$F$322,2,FALSE)</f>
        <v>Trek Conduit+ - 2016</v>
      </c>
      <c r="C2299" s="21" t="e">
        <f>VLOOKUP(A2299,Products!A$322:$D2299,4,FALSE)</f>
        <v>#N/A</v>
      </c>
    </row>
    <row r="2300" spans="1:3" x14ac:dyDescent="0.35">
      <c r="A2300" s="21">
        <v>16</v>
      </c>
      <c r="B2300" t="str">
        <f>VLOOKUP(A2300,Products!$A$1:$F$322,2,FALSE)</f>
        <v>Electra Townie Original 7D EQ - 2016</v>
      </c>
      <c r="C2300" s="21" t="e">
        <f>VLOOKUP(A2300,Products!A$322:$D2300,4,FALSE)</f>
        <v>#N/A</v>
      </c>
    </row>
    <row r="2301" spans="1:3" x14ac:dyDescent="0.35">
      <c r="A2301" s="21">
        <v>96</v>
      </c>
      <c r="B2301" t="str">
        <f>VLOOKUP(A2301,Products!$A$1:$F$322,2,FALSE)</f>
        <v>Electra Moto 3i (20-inch) - Boy's - 2017</v>
      </c>
      <c r="C2301" s="21" t="e">
        <f>VLOOKUP(A2301,Products!A$322:$D2301,4,FALSE)</f>
        <v>#N/A</v>
      </c>
    </row>
    <row r="2302" spans="1:3" x14ac:dyDescent="0.35">
      <c r="A2302" s="21">
        <v>18</v>
      </c>
      <c r="B2302" t="str">
        <f>VLOOKUP(A2302,Products!$A$1:$F$322,2,FALSE)</f>
        <v>Pure Cycles Western 3-Speed - Women's - 2015/2016</v>
      </c>
      <c r="C2302" s="21" t="e">
        <f>VLOOKUP(A2302,Products!A$322:$D2302,4,FALSE)</f>
        <v>#N/A</v>
      </c>
    </row>
    <row r="2303" spans="1:3" x14ac:dyDescent="0.35">
      <c r="A2303" s="21">
        <v>85</v>
      </c>
      <c r="B2303" t="str">
        <f>VLOOKUP(A2303,Products!$A$1:$F$322,2,FALSE)</f>
        <v>Haro Downtown 16 - 2017</v>
      </c>
      <c r="C2303" s="21" t="e">
        <f>VLOOKUP(A2303,Products!A$322:$D2303,4,FALSE)</f>
        <v>#N/A</v>
      </c>
    </row>
    <row r="2304" spans="1:3" x14ac:dyDescent="0.35">
      <c r="A2304" s="21">
        <v>19</v>
      </c>
      <c r="B2304" t="str">
        <f>VLOOKUP(A2304,Products!$A$1:$F$322,2,FALSE)</f>
        <v>Pure Cycles William 3-Speed - 2016</v>
      </c>
      <c r="C2304" s="21" t="e">
        <f>VLOOKUP(A2304,Products!A$322:$D2304,4,FALSE)</f>
        <v>#N/A</v>
      </c>
    </row>
    <row r="2305" spans="1:3" x14ac:dyDescent="0.35">
      <c r="A2305" s="21">
        <v>78</v>
      </c>
      <c r="B2305" t="str">
        <f>VLOOKUP(A2305,Products!$A$1:$F$322,2,FALSE)</f>
        <v>Sun Bicycles Biscayne Tandem CB - 2017</v>
      </c>
      <c r="C2305" s="21" t="e">
        <f>VLOOKUP(A2305,Products!A$322:$D2305,4,FALSE)</f>
        <v>#N/A</v>
      </c>
    </row>
    <row r="2306" spans="1:3" x14ac:dyDescent="0.35">
      <c r="A2306" s="21">
        <v>26</v>
      </c>
      <c r="B2306" t="str">
        <f>VLOOKUP(A2306,Products!$A$1:$F$322,2,FALSE)</f>
        <v>Electra Townie Original 7D EQ - 2016</v>
      </c>
      <c r="C2306" s="21" t="e">
        <f>VLOOKUP(A2306,Products!A$322:$D2306,4,FALSE)</f>
        <v>#N/A</v>
      </c>
    </row>
    <row r="2307" spans="1:3" x14ac:dyDescent="0.35">
      <c r="A2307" s="21">
        <v>92</v>
      </c>
      <c r="B2307" t="str">
        <f>VLOOKUP(A2307,Products!$A$1:$F$322,2,FALSE)</f>
        <v>Haro Shredder 20 - 2017</v>
      </c>
      <c r="C2307" s="21" t="e">
        <f>VLOOKUP(A2307,Products!A$322:$D2307,4,FALSE)</f>
        <v>#N/A</v>
      </c>
    </row>
    <row r="2308" spans="1:3" x14ac:dyDescent="0.35">
      <c r="A2308" s="21">
        <v>103</v>
      </c>
      <c r="B2308" t="str">
        <f>VLOOKUP(A2308,Products!$A$1:$F$322,2,FALSE)</f>
        <v>Sun Bicycles Streamway 3 - 2017</v>
      </c>
      <c r="C2308" s="21" t="e">
        <f>VLOOKUP(A2308,Products!A$322:$D2308,4,FALSE)</f>
        <v>#N/A</v>
      </c>
    </row>
    <row r="2309" spans="1:3" x14ac:dyDescent="0.35">
      <c r="A2309" s="21">
        <v>100</v>
      </c>
      <c r="B2309" t="str">
        <f>VLOOKUP(A2309,Products!$A$1:$F$322,2,FALSE)</f>
        <v>Electra Townie 3i EQ (20-inch) - Boys' - 2017</v>
      </c>
      <c r="C2309" s="21" t="e">
        <f>VLOOKUP(A2309,Products!A$322:$D2309,4,FALSE)</f>
        <v>#N/A</v>
      </c>
    </row>
    <row r="2310" spans="1:3" x14ac:dyDescent="0.35">
      <c r="A2310" s="21">
        <v>56</v>
      </c>
      <c r="B2310" t="str">
        <f>VLOOKUP(A2310,Products!$A$1:$F$322,2,FALSE)</f>
        <v>Trek Domane SLR 6 Disc - 2017</v>
      </c>
      <c r="C2310" s="21" t="e">
        <f>VLOOKUP(A2310,Products!A$322:$D2310,4,FALSE)</f>
        <v>#N/A</v>
      </c>
    </row>
    <row r="2311" spans="1:3" x14ac:dyDescent="0.35">
      <c r="A2311" s="21">
        <v>22</v>
      </c>
      <c r="B2311" t="str">
        <f>VLOOKUP(A2311,Products!$A$1:$F$322,2,FALSE)</f>
        <v>Electra Girl's Hawaii 1 (16-inch) - 2015/2016</v>
      </c>
      <c r="C2311" s="21" t="e">
        <f>VLOOKUP(A2311,Products!A$322:$D2311,4,FALSE)</f>
        <v>#N/A</v>
      </c>
    </row>
    <row r="2312" spans="1:3" x14ac:dyDescent="0.35">
      <c r="A2312" s="21">
        <v>45</v>
      </c>
      <c r="B2312" t="str">
        <f>VLOOKUP(A2312,Products!$A$1:$F$322,2,FALSE)</f>
        <v>Haro SR 1.2 - 2017</v>
      </c>
      <c r="C2312" s="21" t="e">
        <f>VLOOKUP(A2312,Products!A$322:$D2312,4,FALSE)</f>
        <v>#N/A</v>
      </c>
    </row>
    <row r="2313" spans="1:3" x14ac:dyDescent="0.35">
      <c r="A2313" s="21">
        <v>54</v>
      </c>
      <c r="B2313" t="str">
        <f>VLOOKUP(A2313,Products!$A$1:$F$322,2,FALSE)</f>
        <v>Trek Domane SL Disc Frameset - 2017</v>
      </c>
      <c r="C2313" s="21" t="e">
        <f>VLOOKUP(A2313,Products!A$322:$D2313,4,FALSE)</f>
        <v>#N/A</v>
      </c>
    </row>
    <row r="2314" spans="1:3" x14ac:dyDescent="0.35">
      <c r="A2314" s="21">
        <v>70</v>
      </c>
      <c r="B2314" t="str">
        <f>VLOOKUP(A2314,Products!$A$1:$F$322,2,FALSE)</f>
        <v>Electra Amsterdam Original 3i - 2015/2017</v>
      </c>
      <c r="C2314" s="21" t="e">
        <f>VLOOKUP(A2314,Products!A$322:$D2314,4,FALSE)</f>
        <v>#N/A</v>
      </c>
    </row>
    <row r="2315" spans="1:3" x14ac:dyDescent="0.35">
      <c r="A2315" s="21">
        <v>66</v>
      </c>
      <c r="B2315" t="str">
        <f>VLOOKUP(A2315,Products!$A$1:$F$322,2,FALSE)</f>
        <v>Sun Bicycles Revolutions 24 - 2017</v>
      </c>
      <c r="C2315" s="21" t="e">
        <f>VLOOKUP(A2315,Products!A$322:$D2315,4,FALSE)</f>
        <v>#N/A</v>
      </c>
    </row>
    <row r="2316" spans="1:3" x14ac:dyDescent="0.35">
      <c r="A2316" s="21">
        <v>76</v>
      </c>
      <c r="B2316" t="str">
        <f>VLOOKUP(A2316,Products!$A$1:$F$322,2,FALSE)</f>
        <v>Electra Girl's Hawaii 1 16" - 2017</v>
      </c>
      <c r="C2316" s="21" t="e">
        <f>VLOOKUP(A2316,Products!A$322:$D2316,4,FALSE)</f>
        <v>#N/A</v>
      </c>
    </row>
    <row r="2317" spans="1:3" x14ac:dyDescent="0.35">
      <c r="A2317" s="21">
        <v>40</v>
      </c>
      <c r="B2317" t="str">
        <f>VLOOKUP(A2317,Products!$A$1:$F$322,2,FALSE)</f>
        <v>Trek Fuel EX 9.8 29 - 2017</v>
      </c>
      <c r="C2317" s="21" t="e">
        <f>VLOOKUP(A2317,Products!A$322:$D2317,4,FALSE)</f>
        <v>#N/A</v>
      </c>
    </row>
    <row r="2318" spans="1:3" x14ac:dyDescent="0.35">
      <c r="A2318" s="21">
        <v>96</v>
      </c>
      <c r="B2318" t="str">
        <f>VLOOKUP(A2318,Products!$A$1:$F$322,2,FALSE)</f>
        <v>Electra Moto 3i (20-inch) - Boy's - 2017</v>
      </c>
      <c r="C2318" s="21" t="e">
        <f>VLOOKUP(A2318,Products!A$322:$D2318,4,FALSE)</f>
        <v>#N/A</v>
      </c>
    </row>
    <row r="2319" spans="1:3" x14ac:dyDescent="0.35">
      <c r="A2319" s="21">
        <v>85</v>
      </c>
      <c r="B2319" t="str">
        <f>VLOOKUP(A2319,Products!$A$1:$F$322,2,FALSE)</f>
        <v>Haro Downtown 16 - 2017</v>
      </c>
      <c r="C2319" s="21" t="e">
        <f>VLOOKUP(A2319,Products!A$322:$D2319,4,FALSE)</f>
        <v>#N/A</v>
      </c>
    </row>
    <row r="2320" spans="1:3" x14ac:dyDescent="0.35">
      <c r="A2320" s="21">
        <v>33</v>
      </c>
      <c r="B2320" t="str">
        <f>VLOOKUP(A2320,Products!$A$1:$F$322,2,FALSE)</f>
        <v>Surly Wednesday Frameset - 2017</v>
      </c>
      <c r="C2320" s="21" t="e">
        <f>VLOOKUP(A2320,Products!A$322:$D2320,4,FALSE)</f>
        <v>#N/A</v>
      </c>
    </row>
    <row r="2321" spans="1:3" x14ac:dyDescent="0.35">
      <c r="A2321" s="21">
        <v>26</v>
      </c>
      <c r="B2321" t="str">
        <f>VLOOKUP(A2321,Products!$A$1:$F$322,2,FALSE)</f>
        <v>Electra Townie Original 7D EQ - 2016</v>
      </c>
      <c r="C2321" s="21" t="e">
        <f>VLOOKUP(A2321,Products!A$322:$D2321,4,FALSE)</f>
        <v>#N/A</v>
      </c>
    </row>
    <row r="2322" spans="1:3" x14ac:dyDescent="0.35">
      <c r="A2322" s="21">
        <v>71</v>
      </c>
      <c r="B2322" t="str">
        <f>VLOOKUP(A2322,Products!$A$1:$F$322,2,FALSE)</f>
        <v>Sun Bicycles Atlas X-Type - 2017</v>
      </c>
      <c r="C2322" s="21" t="e">
        <f>VLOOKUP(A2322,Products!A$322:$D2322,4,FALSE)</f>
        <v>#N/A</v>
      </c>
    </row>
    <row r="2323" spans="1:3" x14ac:dyDescent="0.35">
      <c r="A2323" s="21">
        <v>69</v>
      </c>
      <c r="B2323" t="str">
        <f>VLOOKUP(A2323,Products!$A$1:$F$322,2,FALSE)</f>
        <v>Sun Bicycles Cruz 7 - 2017</v>
      </c>
      <c r="C2323" s="21" t="e">
        <f>VLOOKUP(A2323,Products!A$322:$D2323,4,FALSE)</f>
        <v>#N/A</v>
      </c>
    </row>
    <row r="2324" spans="1:3" x14ac:dyDescent="0.35">
      <c r="A2324" s="21">
        <v>100</v>
      </c>
      <c r="B2324" t="str">
        <f>VLOOKUP(A2324,Products!$A$1:$F$322,2,FALSE)</f>
        <v>Electra Townie 3i EQ (20-inch) - Boys' - 2017</v>
      </c>
      <c r="C2324" s="21" t="e">
        <f>VLOOKUP(A2324,Products!A$322:$D2324,4,FALSE)</f>
        <v>#N/A</v>
      </c>
    </row>
    <row r="2325" spans="1:3" x14ac:dyDescent="0.35">
      <c r="A2325" s="21">
        <v>65</v>
      </c>
      <c r="B2325" t="str">
        <f>VLOOKUP(A2325,Products!$A$1:$F$322,2,FALSE)</f>
        <v>Sun Bicycles Lil Bolt Type-R - 2017</v>
      </c>
      <c r="C2325" s="21" t="e">
        <f>VLOOKUP(A2325,Products!A$322:$D2325,4,FALSE)</f>
        <v>#N/A</v>
      </c>
    </row>
    <row r="2326" spans="1:3" x14ac:dyDescent="0.35">
      <c r="A2326" s="21">
        <v>83</v>
      </c>
      <c r="B2326" t="str">
        <f>VLOOKUP(A2326,Products!$A$1:$F$322,2,FALSE)</f>
        <v>Trek Boy's Kickster - 2015/2017</v>
      </c>
      <c r="C2326" s="21" t="e">
        <f>VLOOKUP(A2326,Products!A$322:$D2326,4,FALSE)</f>
        <v>#N/A</v>
      </c>
    </row>
    <row r="2327" spans="1:3" x14ac:dyDescent="0.35">
      <c r="A2327" s="21">
        <v>105</v>
      </c>
      <c r="B2327" t="str">
        <f>VLOOKUP(A2327,Products!$A$1:$F$322,2,FALSE)</f>
        <v>Sun Bicycles Streamway 7 - 2017</v>
      </c>
      <c r="C2327" s="21" t="e">
        <f>VLOOKUP(A2327,Products!A$322:$D2327,4,FALSE)</f>
        <v>#N/A</v>
      </c>
    </row>
    <row r="2328" spans="1:3" x14ac:dyDescent="0.35">
      <c r="A2328" s="21">
        <v>102</v>
      </c>
      <c r="B2328" t="str">
        <f>VLOOKUP(A2328,Products!$A$1:$F$322,2,FALSE)</f>
        <v>Electra Townie Original 7D - 2017</v>
      </c>
      <c r="C2328" s="21" t="e">
        <f>VLOOKUP(A2328,Products!A$322:$D2328,4,FALSE)</f>
        <v>#N/A</v>
      </c>
    </row>
    <row r="2329" spans="1:3" x14ac:dyDescent="0.35">
      <c r="A2329" s="21">
        <v>87</v>
      </c>
      <c r="B2329" t="str">
        <f>VLOOKUP(A2329,Products!$A$1:$F$322,2,FALSE)</f>
        <v>Trek Precaliber 12 Boys - 2017</v>
      </c>
      <c r="C2329" s="21" t="e">
        <f>VLOOKUP(A2329,Products!A$322:$D2329,4,FALSE)</f>
        <v>#N/A</v>
      </c>
    </row>
    <row r="2330" spans="1:3" x14ac:dyDescent="0.35">
      <c r="A2330" s="21">
        <v>23</v>
      </c>
      <c r="B2330" t="str">
        <f>VLOOKUP(A2330,Products!$A$1:$F$322,2,FALSE)</f>
        <v>Electra Girl's Hawaii 1 (20-inch) - 2015/2016</v>
      </c>
      <c r="C2330" s="21" t="e">
        <f>VLOOKUP(A2330,Products!A$322:$D2330,4,FALSE)</f>
        <v>#N/A</v>
      </c>
    </row>
    <row r="2331" spans="1:3" x14ac:dyDescent="0.35">
      <c r="A2331" s="21">
        <v>75</v>
      </c>
      <c r="B2331" t="str">
        <f>VLOOKUP(A2331,Products!$A$1:$F$322,2,FALSE)</f>
        <v>Electra Cruiser Lux Fat Tire 1 Ladies - 2017</v>
      </c>
      <c r="C2331" s="21" t="e">
        <f>VLOOKUP(A2331,Products!A$322:$D2331,4,FALSE)</f>
        <v>#N/A</v>
      </c>
    </row>
    <row r="2332" spans="1:3" x14ac:dyDescent="0.35">
      <c r="A2332" s="21">
        <v>64</v>
      </c>
      <c r="B2332" t="str">
        <f>VLOOKUP(A2332,Products!$A$1:$F$322,2,FALSE)</f>
        <v>Electra Townie Original 7D - 2017</v>
      </c>
      <c r="C2332" s="21" t="e">
        <f>VLOOKUP(A2332,Products!A$322:$D2332,4,FALSE)</f>
        <v>#N/A</v>
      </c>
    </row>
    <row r="2333" spans="1:3" x14ac:dyDescent="0.35">
      <c r="A2333" s="21">
        <v>85</v>
      </c>
      <c r="B2333" t="str">
        <f>VLOOKUP(A2333,Products!$A$1:$F$322,2,FALSE)</f>
        <v>Haro Downtown 16 - 2017</v>
      </c>
      <c r="C2333" s="21" t="e">
        <f>VLOOKUP(A2333,Products!A$322:$D2333,4,FALSE)</f>
        <v>#N/A</v>
      </c>
    </row>
    <row r="2334" spans="1:3" x14ac:dyDescent="0.35">
      <c r="A2334" s="21">
        <v>105</v>
      </c>
      <c r="B2334" t="str">
        <f>VLOOKUP(A2334,Products!$A$1:$F$322,2,FALSE)</f>
        <v>Sun Bicycles Streamway 7 - 2017</v>
      </c>
      <c r="C2334" s="21" t="e">
        <f>VLOOKUP(A2334,Products!A$322:$D2334,4,FALSE)</f>
        <v>#N/A</v>
      </c>
    </row>
    <row r="2335" spans="1:3" x14ac:dyDescent="0.35">
      <c r="A2335" s="21">
        <v>48</v>
      </c>
      <c r="B2335" t="str">
        <f>VLOOKUP(A2335,Products!$A$1:$F$322,2,FALSE)</f>
        <v>Trek Emonda S 4 - 2017</v>
      </c>
      <c r="C2335" s="21" t="e">
        <f>VLOOKUP(A2335,Products!A$322:$D2335,4,FALSE)</f>
        <v>#N/A</v>
      </c>
    </row>
    <row r="2336" spans="1:3" x14ac:dyDescent="0.35">
      <c r="A2336" s="21">
        <v>103</v>
      </c>
      <c r="B2336" t="str">
        <f>VLOOKUP(A2336,Products!$A$1:$F$322,2,FALSE)</f>
        <v>Sun Bicycles Streamway 3 - 2017</v>
      </c>
      <c r="C2336" s="21" t="e">
        <f>VLOOKUP(A2336,Products!A$322:$D2336,4,FALSE)</f>
        <v>#N/A</v>
      </c>
    </row>
    <row r="2337" spans="1:3" x14ac:dyDescent="0.35">
      <c r="A2337" s="21">
        <v>44</v>
      </c>
      <c r="B2337" t="str">
        <f>VLOOKUP(A2337,Products!$A$1:$F$322,2,FALSE)</f>
        <v>Haro SR 1.1 - 2017</v>
      </c>
      <c r="C2337" s="21" t="e">
        <f>VLOOKUP(A2337,Products!A$322:$D2337,4,FALSE)</f>
        <v>#N/A</v>
      </c>
    </row>
    <row r="2338" spans="1:3" x14ac:dyDescent="0.35">
      <c r="A2338" s="21">
        <v>19</v>
      </c>
      <c r="B2338" t="str">
        <f>VLOOKUP(A2338,Products!$A$1:$F$322,2,FALSE)</f>
        <v>Pure Cycles William 3-Speed - 2016</v>
      </c>
      <c r="C2338" s="21" t="e">
        <f>VLOOKUP(A2338,Products!A$322:$D2338,4,FALSE)</f>
        <v>#N/A</v>
      </c>
    </row>
    <row r="2339" spans="1:3" x14ac:dyDescent="0.35">
      <c r="A2339" s="21">
        <v>48</v>
      </c>
      <c r="B2339" t="str">
        <f>VLOOKUP(A2339,Products!$A$1:$F$322,2,FALSE)</f>
        <v>Trek Emonda S 4 - 2017</v>
      </c>
      <c r="C2339" s="21" t="e">
        <f>VLOOKUP(A2339,Products!A$322:$D2339,4,FALSE)</f>
        <v>#N/A</v>
      </c>
    </row>
    <row r="2340" spans="1:3" x14ac:dyDescent="0.35">
      <c r="A2340" s="21">
        <v>94</v>
      </c>
      <c r="B2340" t="str">
        <f>VLOOKUP(A2340,Products!$A$1:$F$322,2,FALSE)</f>
        <v>Haro Shredder Pro 20 - 2017</v>
      </c>
      <c r="C2340" s="21" t="e">
        <f>VLOOKUP(A2340,Products!A$322:$D2340,4,FALSE)</f>
        <v>#N/A</v>
      </c>
    </row>
    <row r="2341" spans="1:3" x14ac:dyDescent="0.35">
      <c r="A2341" s="21">
        <v>107</v>
      </c>
      <c r="B2341" t="str">
        <f>VLOOKUP(A2341,Products!$A$1:$F$322,2,FALSE)</f>
        <v>Sun Bicycles Cruz 7 - 2017</v>
      </c>
      <c r="C2341" s="21" t="e">
        <f>VLOOKUP(A2341,Products!A$322:$D2341,4,FALSE)</f>
        <v>#N/A</v>
      </c>
    </row>
    <row r="2342" spans="1:3" x14ac:dyDescent="0.35">
      <c r="A2342" s="21">
        <v>102</v>
      </c>
      <c r="B2342" t="str">
        <f>VLOOKUP(A2342,Products!$A$1:$F$322,2,FALSE)</f>
        <v>Electra Townie Original 7D - 2017</v>
      </c>
      <c r="C2342" s="21" t="e">
        <f>VLOOKUP(A2342,Products!A$322:$D2342,4,FALSE)</f>
        <v>#N/A</v>
      </c>
    </row>
    <row r="2343" spans="1:3" x14ac:dyDescent="0.35">
      <c r="A2343" s="21">
        <v>70</v>
      </c>
      <c r="B2343" t="str">
        <f>VLOOKUP(A2343,Products!$A$1:$F$322,2,FALSE)</f>
        <v>Electra Amsterdam Original 3i - 2015/2017</v>
      </c>
      <c r="C2343" s="21" t="e">
        <f>VLOOKUP(A2343,Products!A$322:$D2343,4,FALSE)</f>
        <v>#N/A</v>
      </c>
    </row>
    <row r="2344" spans="1:3" x14ac:dyDescent="0.35">
      <c r="A2344" s="21">
        <v>6</v>
      </c>
      <c r="B2344" t="str">
        <f>VLOOKUP(A2344,Products!$A$1:$F$322,2,FALSE)</f>
        <v>Surly Ice Cream Truck Frameset - 2016</v>
      </c>
      <c r="C2344" s="21" t="e">
        <f>VLOOKUP(A2344,Products!A$322:$D2344,4,FALSE)</f>
        <v>#N/A</v>
      </c>
    </row>
    <row r="2345" spans="1:3" x14ac:dyDescent="0.35">
      <c r="A2345" s="21">
        <v>107</v>
      </c>
      <c r="B2345" t="str">
        <f>VLOOKUP(A2345,Products!$A$1:$F$322,2,FALSE)</f>
        <v>Sun Bicycles Cruz 7 - 2017</v>
      </c>
      <c r="C2345" s="21" t="e">
        <f>VLOOKUP(A2345,Products!A$322:$D2345,4,FALSE)</f>
        <v>#N/A</v>
      </c>
    </row>
    <row r="2346" spans="1:3" x14ac:dyDescent="0.35">
      <c r="A2346" s="21">
        <v>53</v>
      </c>
      <c r="B2346" t="str">
        <f>VLOOKUP(A2346,Products!$A$1:$F$322,2,FALSE)</f>
        <v>Surly Ogre Frameset - 2017</v>
      </c>
      <c r="C2346" s="21" t="e">
        <f>VLOOKUP(A2346,Products!A$322:$D2346,4,FALSE)</f>
        <v>#N/A</v>
      </c>
    </row>
    <row r="2347" spans="1:3" x14ac:dyDescent="0.35">
      <c r="A2347" s="21">
        <v>72</v>
      </c>
      <c r="B2347" t="str">
        <f>VLOOKUP(A2347,Products!$A$1:$F$322,2,FALSE)</f>
        <v>Sun Bicycles Biscayne Tandem 7 - 2017</v>
      </c>
      <c r="C2347" s="21" t="e">
        <f>VLOOKUP(A2347,Products!A$322:$D2347,4,FALSE)</f>
        <v>#N/A</v>
      </c>
    </row>
    <row r="2348" spans="1:3" x14ac:dyDescent="0.35">
      <c r="A2348" s="21">
        <v>56</v>
      </c>
      <c r="B2348" t="str">
        <f>VLOOKUP(A2348,Products!$A$1:$F$322,2,FALSE)</f>
        <v>Trek Domane SLR 6 Disc - 2017</v>
      </c>
      <c r="C2348" s="21" t="e">
        <f>VLOOKUP(A2348,Products!A$322:$D2348,4,FALSE)</f>
        <v>#N/A</v>
      </c>
    </row>
    <row r="2349" spans="1:3" x14ac:dyDescent="0.35">
      <c r="A2349" s="21">
        <v>86</v>
      </c>
      <c r="B2349" t="str">
        <f>VLOOKUP(A2349,Products!$A$1:$F$322,2,FALSE)</f>
        <v>Trek Girl's Kickster - 2017</v>
      </c>
      <c r="C2349" s="21" t="e">
        <f>VLOOKUP(A2349,Products!A$322:$D2349,4,FALSE)</f>
        <v>#N/A</v>
      </c>
    </row>
    <row r="2350" spans="1:3" x14ac:dyDescent="0.35">
      <c r="A2350" s="21">
        <v>81</v>
      </c>
      <c r="B2350" t="str">
        <f>VLOOKUP(A2350,Products!$A$1:$F$322,2,FALSE)</f>
        <v>Electra Amsterdam Fashion 7i Ladies' - 2017</v>
      </c>
      <c r="C2350" s="21" t="e">
        <f>VLOOKUP(A2350,Products!A$322:$D2350,4,FALSE)</f>
        <v>#N/A</v>
      </c>
    </row>
    <row r="2351" spans="1:3" x14ac:dyDescent="0.35">
      <c r="A2351" s="21">
        <v>92</v>
      </c>
      <c r="B2351" t="str">
        <f>VLOOKUP(A2351,Products!$A$1:$F$322,2,FALSE)</f>
        <v>Haro Shredder 20 - 2017</v>
      </c>
      <c r="C2351" s="21" t="e">
        <f>VLOOKUP(A2351,Products!A$322:$D2351,4,FALSE)</f>
        <v>#N/A</v>
      </c>
    </row>
    <row r="2352" spans="1:3" x14ac:dyDescent="0.35">
      <c r="A2352" s="21">
        <v>19</v>
      </c>
      <c r="B2352" t="str">
        <f>VLOOKUP(A2352,Products!$A$1:$F$322,2,FALSE)</f>
        <v>Pure Cycles William 3-Speed - 2016</v>
      </c>
      <c r="C2352" s="21" t="e">
        <f>VLOOKUP(A2352,Products!A$322:$D2352,4,FALSE)</f>
        <v>#N/A</v>
      </c>
    </row>
    <row r="2353" spans="1:3" x14ac:dyDescent="0.35">
      <c r="A2353" s="21">
        <v>30</v>
      </c>
      <c r="B2353" t="str">
        <f>VLOOKUP(A2353,Products!$A$1:$F$322,2,FALSE)</f>
        <v>Surly Ice Cream Truck Frameset - 2017</v>
      </c>
      <c r="C2353" s="21" t="e">
        <f>VLOOKUP(A2353,Products!A$322:$D2353,4,FALSE)</f>
        <v>#N/A</v>
      </c>
    </row>
    <row r="2354" spans="1:3" x14ac:dyDescent="0.35">
      <c r="A2354" s="21">
        <v>45</v>
      </c>
      <c r="B2354" t="str">
        <f>VLOOKUP(A2354,Products!$A$1:$F$322,2,FALSE)</f>
        <v>Haro SR 1.2 - 2017</v>
      </c>
      <c r="C2354" s="21" t="e">
        <f>VLOOKUP(A2354,Products!A$322:$D2354,4,FALSE)</f>
        <v>#N/A</v>
      </c>
    </row>
    <row r="2355" spans="1:3" x14ac:dyDescent="0.35">
      <c r="A2355" s="21">
        <v>36</v>
      </c>
      <c r="B2355" t="str">
        <f>VLOOKUP(A2355,Products!$A$1:$F$322,2,FALSE)</f>
        <v>Surly Troll Frameset - 2017</v>
      </c>
      <c r="C2355" s="21" t="e">
        <f>VLOOKUP(A2355,Products!A$322:$D2355,4,FALSE)</f>
        <v>#N/A</v>
      </c>
    </row>
    <row r="2356" spans="1:3" x14ac:dyDescent="0.35">
      <c r="A2356" s="21">
        <v>43</v>
      </c>
      <c r="B2356" t="str">
        <f>VLOOKUP(A2356,Products!$A$1:$F$322,2,FALSE)</f>
        <v>Trek Fuel EX 9.8 27.5 Plus - 2017</v>
      </c>
      <c r="C2356" s="21" t="e">
        <f>VLOOKUP(A2356,Products!A$322:$D2356,4,FALSE)</f>
        <v>#N/A</v>
      </c>
    </row>
    <row r="2357" spans="1:3" x14ac:dyDescent="0.35">
      <c r="A2357" s="21">
        <v>41</v>
      </c>
      <c r="B2357" t="str">
        <f>VLOOKUP(A2357,Products!$A$1:$F$322,2,FALSE)</f>
        <v>Haro Shift R3 - 2017</v>
      </c>
      <c r="C2357" s="21" t="e">
        <f>VLOOKUP(A2357,Products!A$322:$D2357,4,FALSE)</f>
        <v>#N/A</v>
      </c>
    </row>
    <row r="2358" spans="1:3" x14ac:dyDescent="0.35">
      <c r="A2358" s="21">
        <v>28</v>
      </c>
      <c r="B2358" t="str">
        <f>VLOOKUP(A2358,Products!$A$1:$F$322,2,FALSE)</f>
        <v>Surly Karate Monkey 27.5+ Frameset - 2017</v>
      </c>
      <c r="C2358" s="21" t="e">
        <f>VLOOKUP(A2358,Products!A$322:$D2358,4,FALSE)</f>
        <v>#N/A</v>
      </c>
    </row>
    <row r="2359" spans="1:3" x14ac:dyDescent="0.35">
      <c r="A2359" s="21">
        <v>108</v>
      </c>
      <c r="B2359" t="str">
        <f>VLOOKUP(A2359,Products!$A$1:$F$322,2,FALSE)</f>
        <v>Sun Bicycles Cruz 3 - Women's - 2017</v>
      </c>
      <c r="C2359" s="21" t="e">
        <f>VLOOKUP(A2359,Products!A$322:$D2359,4,FALSE)</f>
        <v>#N/A</v>
      </c>
    </row>
    <row r="2360" spans="1:3" x14ac:dyDescent="0.35">
      <c r="A2360" s="21">
        <v>25</v>
      </c>
      <c r="B2360" t="str">
        <f>VLOOKUP(A2360,Products!$A$1:$F$322,2,FALSE)</f>
        <v>Electra Townie Original 7D - 2015/2016</v>
      </c>
      <c r="C2360" s="21" t="e">
        <f>VLOOKUP(A2360,Products!A$322:$D2360,4,FALSE)</f>
        <v>#N/A</v>
      </c>
    </row>
    <row r="2361" spans="1:3" x14ac:dyDescent="0.35">
      <c r="A2361" s="21">
        <v>24</v>
      </c>
      <c r="B2361" t="str">
        <f>VLOOKUP(A2361,Products!$A$1:$F$322,2,FALSE)</f>
        <v>Electra Townie Original 21D - 2016</v>
      </c>
      <c r="C2361" s="21" t="e">
        <f>VLOOKUP(A2361,Products!A$322:$D2361,4,FALSE)</f>
        <v>#N/A</v>
      </c>
    </row>
    <row r="2362" spans="1:3" x14ac:dyDescent="0.35">
      <c r="A2362" s="21">
        <v>55</v>
      </c>
      <c r="B2362" t="str">
        <f>VLOOKUP(A2362,Products!$A$1:$F$322,2,FALSE)</f>
        <v>Trek Domane S 6 - 2017</v>
      </c>
      <c r="C2362" s="21" t="e">
        <f>VLOOKUP(A2362,Products!A$322:$D2362,4,FALSE)</f>
        <v>#N/A</v>
      </c>
    </row>
    <row r="2363" spans="1:3" x14ac:dyDescent="0.35">
      <c r="A2363" s="21">
        <v>103</v>
      </c>
      <c r="B2363" t="str">
        <f>VLOOKUP(A2363,Products!$A$1:$F$322,2,FALSE)</f>
        <v>Sun Bicycles Streamway 3 - 2017</v>
      </c>
      <c r="C2363" s="21" t="e">
        <f>VLOOKUP(A2363,Products!A$322:$D2363,4,FALSE)</f>
        <v>#N/A</v>
      </c>
    </row>
    <row r="2364" spans="1:3" x14ac:dyDescent="0.35">
      <c r="A2364" s="21">
        <v>105</v>
      </c>
      <c r="B2364" t="str">
        <f>VLOOKUP(A2364,Products!$A$1:$F$322,2,FALSE)</f>
        <v>Sun Bicycles Streamway 7 - 2017</v>
      </c>
      <c r="C2364" s="21" t="e">
        <f>VLOOKUP(A2364,Products!A$322:$D2364,4,FALSE)</f>
        <v>#N/A</v>
      </c>
    </row>
    <row r="2365" spans="1:3" x14ac:dyDescent="0.35">
      <c r="A2365" s="21">
        <v>85</v>
      </c>
      <c r="B2365" t="str">
        <f>VLOOKUP(A2365,Products!$A$1:$F$322,2,FALSE)</f>
        <v>Haro Downtown 16 - 2017</v>
      </c>
      <c r="C2365" s="21" t="e">
        <f>VLOOKUP(A2365,Products!A$322:$D2365,4,FALSE)</f>
        <v>#N/A</v>
      </c>
    </row>
    <row r="2366" spans="1:3" x14ac:dyDescent="0.35">
      <c r="A2366" s="21">
        <v>100</v>
      </c>
      <c r="B2366" t="str">
        <f>VLOOKUP(A2366,Products!$A$1:$F$322,2,FALSE)</f>
        <v>Electra Townie 3i EQ (20-inch) - Boys' - 2017</v>
      </c>
      <c r="C2366" s="21" t="e">
        <f>VLOOKUP(A2366,Products!A$322:$D2366,4,FALSE)</f>
        <v>#N/A</v>
      </c>
    </row>
    <row r="2367" spans="1:3" x14ac:dyDescent="0.35">
      <c r="A2367" s="21">
        <v>96</v>
      </c>
      <c r="B2367" t="str">
        <f>VLOOKUP(A2367,Products!$A$1:$F$322,2,FALSE)</f>
        <v>Electra Moto 3i (20-inch) - Boy's - 2017</v>
      </c>
      <c r="C2367" s="21" t="e">
        <f>VLOOKUP(A2367,Products!A$322:$D2367,4,FALSE)</f>
        <v>#N/A</v>
      </c>
    </row>
    <row r="2368" spans="1:3" x14ac:dyDescent="0.35">
      <c r="A2368" s="21">
        <v>67</v>
      </c>
      <c r="B2368" t="str">
        <f>VLOOKUP(A2368,Products!$A$1:$F$322,2,FALSE)</f>
        <v>Sun Bicycles Revolutions 24 - Girl's - 2017</v>
      </c>
      <c r="C2368" s="21" t="e">
        <f>VLOOKUP(A2368,Products!A$322:$D2368,4,FALSE)</f>
        <v>#N/A</v>
      </c>
    </row>
    <row r="2369" spans="1:3" x14ac:dyDescent="0.35">
      <c r="A2369" s="21">
        <v>11</v>
      </c>
      <c r="B2369" t="str">
        <f>VLOOKUP(A2369,Products!$A$1:$F$322,2,FALSE)</f>
        <v>Surly Straggler 650b - 2016</v>
      </c>
      <c r="C2369" s="21" t="e">
        <f>VLOOKUP(A2369,Products!A$322:$D2369,4,FALSE)</f>
        <v>#N/A</v>
      </c>
    </row>
    <row r="2370" spans="1:3" x14ac:dyDescent="0.35">
      <c r="A2370" s="21">
        <v>68</v>
      </c>
      <c r="B2370" t="str">
        <f>VLOOKUP(A2370,Products!$A$1:$F$322,2,FALSE)</f>
        <v>Sun Bicycles Cruz 3 - 2017</v>
      </c>
      <c r="C2370" s="21" t="e">
        <f>VLOOKUP(A2370,Products!A$322:$D2370,4,FALSE)</f>
        <v>#N/A</v>
      </c>
    </row>
    <row r="2371" spans="1:3" x14ac:dyDescent="0.35">
      <c r="A2371" s="21">
        <v>54</v>
      </c>
      <c r="B2371" t="str">
        <f>VLOOKUP(A2371,Products!$A$1:$F$322,2,FALSE)</f>
        <v>Trek Domane SL Disc Frameset - 2017</v>
      </c>
      <c r="C2371" s="21" t="e">
        <f>VLOOKUP(A2371,Products!A$322:$D2371,4,FALSE)</f>
        <v>#N/A</v>
      </c>
    </row>
    <row r="2372" spans="1:3" x14ac:dyDescent="0.35">
      <c r="A2372" s="21">
        <v>45</v>
      </c>
      <c r="B2372" t="str">
        <f>VLOOKUP(A2372,Products!$A$1:$F$322,2,FALSE)</f>
        <v>Haro SR 1.2 - 2017</v>
      </c>
      <c r="C2372" s="21" t="e">
        <f>VLOOKUP(A2372,Products!A$322:$D2372,4,FALSE)</f>
        <v>#N/A</v>
      </c>
    </row>
    <row r="2373" spans="1:3" x14ac:dyDescent="0.35">
      <c r="A2373" s="21">
        <v>27</v>
      </c>
      <c r="B2373" t="str">
        <f>VLOOKUP(A2373,Products!$A$1:$F$322,2,FALSE)</f>
        <v>Surly Big Dummy Frameset - 2017</v>
      </c>
      <c r="C2373" s="21" t="e">
        <f>VLOOKUP(A2373,Products!A$322:$D2373,4,FALSE)</f>
        <v>#N/A</v>
      </c>
    </row>
    <row r="2374" spans="1:3" x14ac:dyDescent="0.35">
      <c r="A2374" s="21">
        <v>16</v>
      </c>
      <c r="B2374" t="str">
        <f>VLOOKUP(A2374,Products!$A$1:$F$322,2,FALSE)</f>
        <v>Electra Townie Original 7D EQ - 2016</v>
      </c>
      <c r="C2374" s="21" t="e">
        <f>VLOOKUP(A2374,Products!A$322:$D2374,4,FALSE)</f>
        <v>#N/A</v>
      </c>
    </row>
    <row r="2375" spans="1:3" x14ac:dyDescent="0.35">
      <c r="A2375" s="21">
        <v>20</v>
      </c>
      <c r="B2375" t="str">
        <f>VLOOKUP(A2375,Products!$A$1:$F$322,2,FALSE)</f>
        <v>Electra Townie Original 7D EQ - Women's - 2016</v>
      </c>
      <c r="C2375" s="21" t="e">
        <f>VLOOKUP(A2375,Products!A$322:$D2375,4,FALSE)</f>
        <v>#N/A</v>
      </c>
    </row>
    <row r="2376" spans="1:3" x14ac:dyDescent="0.35">
      <c r="A2376" s="21">
        <v>54</v>
      </c>
      <c r="B2376" t="str">
        <f>VLOOKUP(A2376,Products!$A$1:$F$322,2,FALSE)</f>
        <v>Trek Domane SL Disc Frameset - 2017</v>
      </c>
      <c r="C2376" s="21" t="e">
        <f>VLOOKUP(A2376,Products!A$322:$D2376,4,FALSE)</f>
        <v>#N/A</v>
      </c>
    </row>
    <row r="2377" spans="1:3" x14ac:dyDescent="0.35">
      <c r="A2377" s="21">
        <v>21</v>
      </c>
      <c r="B2377" t="str">
        <f>VLOOKUP(A2377,Products!$A$1:$F$322,2,FALSE)</f>
        <v>Electra Cruiser 1 (24-Inch) - 2016</v>
      </c>
      <c r="C2377" s="21" t="e">
        <f>VLOOKUP(A2377,Products!A$322:$D2377,4,FALSE)</f>
        <v>#N/A</v>
      </c>
    </row>
    <row r="2378" spans="1:3" x14ac:dyDescent="0.35">
      <c r="A2378" s="21">
        <v>78</v>
      </c>
      <c r="B2378" t="str">
        <f>VLOOKUP(A2378,Products!$A$1:$F$322,2,FALSE)</f>
        <v>Sun Bicycles Biscayne Tandem CB - 2017</v>
      </c>
      <c r="C2378" s="21" t="e">
        <f>VLOOKUP(A2378,Products!A$322:$D2378,4,FALSE)</f>
        <v>#N/A</v>
      </c>
    </row>
    <row r="2379" spans="1:3" x14ac:dyDescent="0.35">
      <c r="A2379" s="21">
        <v>65</v>
      </c>
      <c r="B2379" t="str">
        <f>VLOOKUP(A2379,Products!$A$1:$F$322,2,FALSE)</f>
        <v>Sun Bicycles Lil Bolt Type-R - 2017</v>
      </c>
      <c r="C2379" s="21" t="e">
        <f>VLOOKUP(A2379,Products!A$322:$D2379,4,FALSE)</f>
        <v>#N/A</v>
      </c>
    </row>
    <row r="2380" spans="1:3" x14ac:dyDescent="0.35">
      <c r="A2380" s="21">
        <v>82</v>
      </c>
      <c r="B2380" t="str">
        <f>VLOOKUP(A2380,Products!$A$1:$F$322,2,FALSE)</f>
        <v>Electra Amsterdam Original 3i Ladies' - 2017</v>
      </c>
      <c r="C2380" s="21" t="e">
        <f>VLOOKUP(A2380,Products!A$322:$D2380,4,FALSE)</f>
        <v>#N/A</v>
      </c>
    </row>
    <row r="2381" spans="1:3" x14ac:dyDescent="0.35">
      <c r="A2381" s="21">
        <v>2</v>
      </c>
      <c r="B2381" t="str">
        <f>VLOOKUP(A2381,Products!$A$1:$F$322,2,FALSE)</f>
        <v>Ritchey Timberwolf Frameset - 2016</v>
      </c>
      <c r="C2381" s="21" t="e">
        <f>VLOOKUP(A2381,Products!A$322:$D2381,4,FALSE)</f>
        <v>#N/A</v>
      </c>
    </row>
    <row r="2382" spans="1:3" x14ac:dyDescent="0.35">
      <c r="A2382" s="21">
        <v>108</v>
      </c>
      <c r="B2382" t="str">
        <f>VLOOKUP(A2382,Products!$A$1:$F$322,2,FALSE)</f>
        <v>Sun Bicycles Cruz 3 - Women's - 2017</v>
      </c>
      <c r="C2382" s="21" t="e">
        <f>VLOOKUP(A2382,Products!A$322:$D2382,4,FALSE)</f>
        <v>#N/A</v>
      </c>
    </row>
    <row r="2383" spans="1:3" x14ac:dyDescent="0.35">
      <c r="A2383" s="21">
        <v>51</v>
      </c>
      <c r="B2383" t="str">
        <f>VLOOKUP(A2383,Products!$A$1:$F$322,2,FALSE)</f>
        <v>Trek Silque SLR 8 Women's - 2017</v>
      </c>
      <c r="C2383" s="21" t="e">
        <f>VLOOKUP(A2383,Products!A$322:$D2383,4,FALSE)</f>
        <v>#N/A</v>
      </c>
    </row>
    <row r="2384" spans="1:3" x14ac:dyDescent="0.35">
      <c r="A2384" s="21">
        <v>97</v>
      </c>
      <c r="B2384" t="str">
        <f>VLOOKUP(A2384,Products!$A$1:$F$322,2,FALSE)</f>
        <v>Electra Savannah 3i (20-inch) - Girl's - 2017</v>
      </c>
      <c r="C2384" s="21" t="e">
        <f>VLOOKUP(A2384,Products!A$322:$D2384,4,FALSE)</f>
        <v>#N/A</v>
      </c>
    </row>
    <row r="2385" spans="1:3" x14ac:dyDescent="0.35">
      <c r="A2385" s="21">
        <v>87</v>
      </c>
      <c r="B2385" t="str">
        <f>VLOOKUP(A2385,Products!$A$1:$F$322,2,FALSE)</f>
        <v>Trek Precaliber 12 Boys - 2017</v>
      </c>
      <c r="C2385" s="21" t="e">
        <f>VLOOKUP(A2385,Products!A$322:$D2385,4,FALSE)</f>
        <v>#N/A</v>
      </c>
    </row>
    <row r="2386" spans="1:3" x14ac:dyDescent="0.35">
      <c r="A2386" s="21">
        <v>28</v>
      </c>
      <c r="B2386" t="str">
        <f>VLOOKUP(A2386,Products!$A$1:$F$322,2,FALSE)</f>
        <v>Surly Karate Monkey 27.5+ Frameset - 2017</v>
      </c>
      <c r="C2386" s="21" t="e">
        <f>VLOOKUP(A2386,Products!A$322:$D2386,4,FALSE)</f>
        <v>#N/A</v>
      </c>
    </row>
    <row r="2387" spans="1:3" x14ac:dyDescent="0.35">
      <c r="A2387" s="21">
        <v>10</v>
      </c>
      <c r="B2387" t="str">
        <f>VLOOKUP(A2387,Products!$A$1:$F$322,2,FALSE)</f>
        <v>Surly Straggler - 2016</v>
      </c>
      <c r="C2387" s="21" t="e">
        <f>VLOOKUP(A2387,Products!A$322:$D2387,4,FALSE)</f>
        <v>#N/A</v>
      </c>
    </row>
    <row r="2388" spans="1:3" x14ac:dyDescent="0.35">
      <c r="A2388" s="21">
        <v>100</v>
      </c>
      <c r="B2388" t="str">
        <f>VLOOKUP(A2388,Products!$A$1:$F$322,2,FALSE)</f>
        <v>Electra Townie 3i EQ (20-inch) - Boys' - 2017</v>
      </c>
      <c r="C2388" s="21" t="e">
        <f>VLOOKUP(A2388,Products!A$322:$D2388,4,FALSE)</f>
        <v>#N/A</v>
      </c>
    </row>
    <row r="2389" spans="1:3" x14ac:dyDescent="0.35">
      <c r="A2389" s="21">
        <v>65</v>
      </c>
      <c r="B2389" t="str">
        <f>VLOOKUP(A2389,Products!$A$1:$F$322,2,FALSE)</f>
        <v>Sun Bicycles Lil Bolt Type-R - 2017</v>
      </c>
      <c r="C2389" s="21" t="e">
        <f>VLOOKUP(A2389,Products!A$322:$D2389,4,FALSE)</f>
        <v>#N/A</v>
      </c>
    </row>
    <row r="2390" spans="1:3" x14ac:dyDescent="0.35">
      <c r="A2390" s="21">
        <v>55</v>
      </c>
      <c r="B2390" t="str">
        <f>VLOOKUP(A2390,Products!$A$1:$F$322,2,FALSE)</f>
        <v>Trek Domane S 6 - 2017</v>
      </c>
      <c r="C2390" s="21" t="e">
        <f>VLOOKUP(A2390,Products!A$322:$D2390,4,FALSE)</f>
        <v>#N/A</v>
      </c>
    </row>
    <row r="2391" spans="1:3" x14ac:dyDescent="0.35">
      <c r="A2391" s="21">
        <v>85</v>
      </c>
      <c r="B2391" t="str">
        <f>VLOOKUP(A2391,Products!$A$1:$F$322,2,FALSE)</f>
        <v>Haro Downtown 16 - 2017</v>
      </c>
      <c r="C2391" s="21" t="e">
        <f>VLOOKUP(A2391,Products!A$322:$D2391,4,FALSE)</f>
        <v>#N/A</v>
      </c>
    </row>
    <row r="2392" spans="1:3" x14ac:dyDescent="0.35">
      <c r="A2392" s="21">
        <v>58</v>
      </c>
      <c r="B2392" t="str">
        <f>VLOOKUP(A2392,Products!$A$1:$F$322,2,FALSE)</f>
        <v>Trek Madone 9.2 - 2017</v>
      </c>
      <c r="C2392" s="21" t="e">
        <f>VLOOKUP(A2392,Products!A$322:$D2392,4,FALSE)</f>
        <v>#N/A</v>
      </c>
    </row>
    <row r="2393" spans="1:3" x14ac:dyDescent="0.35">
      <c r="A2393" s="21">
        <v>27</v>
      </c>
      <c r="B2393" t="str">
        <f>VLOOKUP(A2393,Products!$A$1:$F$322,2,FALSE)</f>
        <v>Surly Big Dummy Frameset - 2017</v>
      </c>
      <c r="C2393" s="21" t="e">
        <f>VLOOKUP(A2393,Products!A$322:$D2393,4,FALSE)</f>
        <v>#N/A</v>
      </c>
    </row>
    <row r="2394" spans="1:3" x14ac:dyDescent="0.35">
      <c r="A2394" s="21">
        <v>43</v>
      </c>
      <c r="B2394" t="str">
        <f>VLOOKUP(A2394,Products!$A$1:$F$322,2,FALSE)</f>
        <v>Trek Fuel EX 9.8 27.5 Plus - 2017</v>
      </c>
      <c r="C2394" s="21" t="e">
        <f>VLOOKUP(A2394,Products!A$322:$D2394,4,FALSE)</f>
        <v>#N/A</v>
      </c>
    </row>
    <row r="2395" spans="1:3" x14ac:dyDescent="0.35">
      <c r="A2395" s="21">
        <v>106</v>
      </c>
      <c r="B2395" t="str">
        <f>VLOOKUP(A2395,Products!$A$1:$F$322,2,FALSE)</f>
        <v>Sun Bicycles Cruz 3 - 2017</v>
      </c>
      <c r="C2395" s="21" t="e">
        <f>VLOOKUP(A2395,Products!A$322:$D2395,4,FALSE)</f>
        <v>#N/A</v>
      </c>
    </row>
    <row r="2396" spans="1:3" x14ac:dyDescent="0.35">
      <c r="A2396" s="21">
        <v>22</v>
      </c>
      <c r="B2396" t="str">
        <f>VLOOKUP(A2396,Products!$A$1:$F$322,2,FALSE)</f>
        <v>Electra Girl's Hawaii 1 (16-inch) - 2015/2016</v>
      </c>
      <c r="C2396" s="21" t="e">
        <f>VLOOKUP(A2396,Products!A$322:$D2396,4,FALSE)</f>
        <v>#N/A</v>
      </c>
    </row>
    <row r="2397" spans="1:3" x14ac:dyDescent="0.35">
      <c r="A2397" s="21">
        <v>9</v>
      </c>
      <c r="B2397" t="str">
        <f>VLOOKUP(A2397,Products!$A$1:$F$322,2,FALSE)</f>
        <v>Trek Conduit+ - 2016</v>
      </c>
      <c r="C2397" s="21" t="e">
        <f>VLOOKUP(A2397,Products!A$322:$D2397,4,FALSE)</f>
        <v>#N/A</v>
      </c>
    </row>
    <row r="2398" spans="1:3" x14ac:dyDescent="0.35">
      <c r="A2398" s="21">
        <v>11</v>
      </c>
      <c r="B2398" t="str">
        <f>VLOOKUP(A2398,Products!$A$1:$F$322,2,FALSE)</f>
        <v>Surly Straggler 650b - 2016</v>
      </c>
      <c r="C2398" s="21" t="e">
        <f>VLOOKUP(A2398,Products!A$322:$D2398,4,FALSE)</f>
        <v>#N/A</v>
      </c>
    </row>
    <row r="2399" spans="1:3" x14ac:dyDescent="0.35">
      <c r="A2399" s="21">
        <v>90</v>
      </c>
      <c r="B2399" t="str">
        <f>VLOOKUP(A2399,Products!$A$1:$F$322,2,FALSE)</f>
        <v>Trek Precaliber 16 Girls - 2017</v>
      </c>
      <c r="C2399" s="21" t="e">
        <f>VLOOKUP(A2399,Products!A$322:$D2399,4,FALSE)</f>
        <v>#N/A</v>
      </c>
    </row>
    <row r="2400" spans="1:3" x14ac:dyDescent="0.35">
      <c r="A2400" s="21">
        <v>100</v>
      </c>
      <c r="B2400" t="str">
        <f>VLOOKUP(A2400,Products!$A$1:$F$322,2,FALSE)</f>
        <v>Electra Townie 3i EQ (20-inch) - Boys' - 2017</v>
      </c>
      <c r="C2400" s="21" t="e">
        <f>VLOOKUP(A2400,Products!A$322:$D2400,4,FALSE)</f>
        <v>#N/A</v>
      </c>
    </row>
    <row r="2401" spans="1:3" x14ac:dyDescent="0.35">
      <c r="A2401" s="21">
        <v>81</v>
      </c>
      <c r="B2401" t="str">
        <f>VLOOKUP(A2401,Products!$A$1:$F$322,2,FALSE)</f>
        <v>Electra Amsterdam Fashion 7i Ladies' - 2017</v>
      </c>
      <c r="C2401" s="21" t="e">
        <f>VLOOKUP(A2401,Products!A$322:$D2401,4,FALSE)</f>
        <v>#N/A</v>
      </c>
    </row>
    <row r="2402" spans="1:3" x14ac:dyDescent="0.35">
      <c r="A2402" s="21">
        <v>42</v>
      </c>
      <c r="B2402" t="str">
        <f>VLOOKUP(A2402,Products!$A$1:$F$322,2,FALSE)</f>
        <v>Trek Fuel EX 5 27.5 Plus - 2017</v>
      </c>
      <c r="C2402" s="21" t="e">
        <f>VLOOKUP(A2402,Products!A$322:$D2402,4,FALSE)</f>
        <v>#N/A</v>
      </c>
    </row>
    <row r="2403" spans="1:3" x14ac:dyDescent="0.35">
      <c r="A2403" s="21">
        <v>72</v>
      </c>
      <c r="B2403" t="str">
        <f>VLOOKUP(A2403,Products!$A$1:$F$322,2,FALSE)</f>
        <v>Sun Bicycles Biscayne Tandem 7 - 2017</v>
      </c>
      <c r="C2403" s="21" t="e">
        <f>VLOOKUP(A2403,Products!A$322:$D2403,4,FALSE)</f>
        <v>#N/A</v>
      </c>
    </row>
    <row r="2404" spans="1:3" x14ac:dyDescent="0.35">
      <c r="A2404" s="21">
        <v>75</v>
      </c>
      <c r="B2404" t="str">
        <f>VLOOKUP(A2404,Products!$A$1:$F$322,2,FALSE)</f>
        <v>Electra Cruiser Lux Fat Tire 1 Ladies - 2017</v>
      </c>
      <c r="C2404" s="21" t="e">
        <f>VLOOKUP(A2404,Products!A$322:$D2404,4,FALSE)</f>
        <v>#N/A</v>
      </c>
    </row>
    <row r="2405" spans="1:3" x14ac:dyDescent="0.35">
      <c r="A2405" s="21">
        <v>81</v>
      </c>
      <c r="B2405" t="str">
        <f>VLOOKUP(A2405,Products!$A$1:$F$322,2,FALSE)</f>
        <v>Electra Amsterdam Fashion 7i Ladies' - 2017</v>
      </c>
      <c r="C2405" s="21" t="e">
        <f>VLOOKUP(A2405,Products!A$322:$D2405,4,FALSE)</f>
        <v>#N/A</v>
      </c>
    </row>
    <row r="2406" spans="1:3" x14ac:dyDescent="0.35">
      <c r="A2406" s="21">
        <v>23</v>
      </c>
      <c r="B2406" t="str">
        <f>VLOOKUP(A2406,Products!$A$1:$F$322,2,FALSE)</f>
        <v>Electra Girl's Hawaii 1 (20-inch) - 2015/2016</v>
      </c>
      <c r="C2406" s="21" t="e">
        <f>VLOOKUP(A2406,Products!A$322:$D2406,4,FALSE)</f>
        <v>#N/A</v>
      </c>
    </row>
    <row r="2407" spans="1:3" x14ac:dyDescent="0.35">
      <c r="A2407" s="21">
        <v>79</v>
      </c>
      <c r="B2407" t="str">
        <f>VLOOKUP(A2407,Products!$A$1:$F$322,2,FALSE)</f>
        <v>Sun Bicycles Boardwalk (24-inch Wheels) - 2017</v>
      </c>
      <c r="C2407" s="21" t="e">
        <f>VLOOKUP(A2407,Products!A$322:$D2407,4,FALSE)</f>
        <v>#N/A</v>
      </c>
    </row>
    <row r="2408" spans="1:3" x14ac:dyDescent="0.35">
      <c r="A2408" s="21">
        <v>12</v>
      </c>
      <c r="B2408" t="str">
        <f>VLOOKUP(A2408,Products!$A$1:$F$322,2,FALSE)</f>
        <v>Electra Townie Original 21D - 2016</v>
      </c>
      <c r="C2408" s="21" t="e">
        <f>VLOOKUP(A2408,Products!A$322:$D2408,4,FALSE)</f>
        <v>#N/A</v>
      </c>
    </row>
    <row r="2409" spans="1:3" x14ac:dyDescent="0.35">
      <c r="A2409" s="21">
        <v>83</v>
      </c>
      <c r="B2409" t="str">
        <f>VLOOKUP(A2409,Products!$A$1:$F$322,2,FALSE)</f>
        <v>Trek Boy's Kickster - 2015/2017</v>
      </c>
      <c r="C2409" s="21" t="e">
        <f>VLOOKUP(A2409,Products!A$322:$D2409,4,FALSE)</f>
        <v>#N/A</v>
      </c>
    </row>
    <row r="2410" spans="1:3" x14ac:dyDescent="0.35">
      <c r="A2410" s="21">
        <v>48</v>
      </c>
      <c r="B2410" t="str">
        <f>VLOOKUP(A2410,Products!$A$1:$F$322,2,FALSE)</f>
        <v>Trek Emonda S 4 - 2017</v>
      </c>
      <c r="C2410" s="21" t="e">
        <f>VLOOKUP(A2410,Products!A$322:$D2410,4,FALSE)</f>
        <v>#N/A</v>
      </c>
    </row>
    <row r="2411" spans="1:3" x14ac:dyDescent="0.35">
      <c r="A2411" s="21">
        <v>63</v>
      </c>
      <c r="B2411" t="str">
        <f>VLOOKUP(A2411,Products!$A$1:$F$322,2,FALSE)</f>
        <v>Trek Boone Race Shop Limited - 2017</v>
      </c>
      <c r="C2411" s="21" t="e">
        <f>VLOOKUP(A2411,Products!A$322:$D2411,4,FALSE)</f>
        <v>#N/A</v>
      </c>
    </row>
    <row r="2412" spans="1:3" x14ac:dyDescent="0.35">
      <c r="A2412" s="21">
        <v>16</v>
      </c>
      <c r="B2412" t="str">
        <f>VLOOKUP(A2412,Products!$A$1:$F$322,2,FALSE)</f>
        <v>Electra Townie Original 7D EQ - 2016</v>
      </c>
      <c r="C2412" s="21" t="e">
        <f>VLOOKUP(A2412,Products!A$322:$D2412,4,FALSE)</f>
        <v>#N/A</v>
      </c>
    </row>
    <row r="2413" spans="1:3" x14ac:dyDescent="0.35">
      <c r="A2413" s="21">
        <v>75</v>
      </c>
      <c r="B2413" t="str">
        <f>VLOOKUP(A2413,Products!$A$1:$F$322,2,FALSE)</f>
        <v>Electra Cruiser Lux Fat Tire 1 Ladies - 2017</v>
      </c>
      <c r="C2413" s="21" t="e">
        <f>VLOOKUP(A2413,Products!A$322:$D2413,4,FALSE)</f>
        <v>#N/A</v>
      </c>
    </row>
    <row r="2414" spans="1:3" x14ac:dyDescent="0.35">
      <c r="A2414" s="21">
        <v>26</v>
      </c>
      <c r="B2414" t="str">
        <f>VLOOKUP(A2414,Products!$A$1:$F$322,2,FALSE)</f>
        <v>Electra Townie Original 7D EQ - 2016</v>
      </c>
      <c r="C2414" s="21" t="e">
        <f>VLOOKUP(A2414,Products!A$322:$D2414,4,FALSE)</f>
        <v>#N/A</v>
      </c>
    </row>
    <row r="2415" spans="1:3" x14ac:dyDescent="0.35">
      <c r="A2415" s="21">
        <v>73</v>
      </c>
      <c r="B2415" t="str">
        <f>VLOOKUP(A2415,Products!$A$1:$F$322,2,FALSE)</f>
        <v>Sun Bicycles Brickell Tandem 7 - 2017</v>
      </c>
      <c r="C2415" s="21" t="e">
        <f>VLOOKUP(A2415,Products!A$322:$D2415,4,FALSE)</f>
        <v>#N/A</v>
      </c>
    </row>
    <row r="2416" spans="1:3" x14ac:dyDescent="0.35">
      <c r="A2416" s="21">
        <v>88</v>
      </c>
      <c r="B2416" t="str">
        <f>VLOOKUP(A2416,Products!$A$1:$F$322,2,FALSE)</f>
        <v>Trek Precaliber 12 Girls - 2017</v>
      </c>
      <c r="C2416" s="21" t="e">
        <f>VLOOKUP(A2416,Products!A$322:$D2416,4,FALSE)</f>
        <v>#N/A</v>
      </c>
    </row>
    <row r="2417" spans="1:3" x14ac:dyDescent="0.35">
      <c r="A2417" s="21">
        <v>46</v>
      </c>
      <c r="B2417" t="str">
        <f>VLOOKUP(A2417,Products!$A$1:$F$322,2,FALSE)</f>
        <v>Haro SR 1.3 - 2017</v>
      </c>
      <c r="C2417" s="21" t="e">
        <f>VLOOKUP(A2417,Products!A$322:$D2417,4,FALSE)</f>
        <v>#N/A</v>
      </c>
    </row>
    <row r="2418" spans="1:3" x14ac:dyDescent="0.35">
      <c r="A2418" s="21">
        <v>47</v>
      </c>
      <c r="B2418" t="str">
        <f>VLOOKUP(A2418,Products!$A$1:$F$322,2,FALSE)</f>
        <v>Trek Remedy 9.8 - 2017</v>
      </c>
      <c r="C2418" s="21" t="e">
        <f>VLOOKUP(A2418,Products!A$322:$D2418,4,FALSE)</f>
        <v>#N/A</v>
      </c>
    </row>
    <row r="2419" spans="1:3" x14ac:dyDescent="0.35">
      <c r="A2419" s="21">
        <v>71</v>
      </c>
      <c r="B2419" t="str">
        <f>VLOOKUP(A2419,Products!$A$1:$F$322,2,FALSE)</f>
        <v>Sun Bicycles Atlas X-Type - 2017</v>
      </c>
      <c r="C2419" s="21" t="e">
        <f>VLOOKUP(A2419,Products!A$322:$D2419,4,FALSE)</f>
        <v>#N/A</v>
      </c>
    </row>
    <row r="2420" spans="1:3" x14ac:dyDescent="0.35">
      <c r="A2420" s="21">
        <v>72</v>
      </c>
      <c r="B2420" t="str">
        <f>VLOOKUP(A2420,Products!$A$1:$F$322,2,FALSE)</f>
        <v>Sun Bicycles Biscayne Tandem 7 - 2017</v>
      </c>
      <c r="C2420" s="21" t="e">
        <f>VLOOKUP(A2420,Products!A$322:$D2420,4,FALSE)</f>
        <v>#N/A</v>
      </c>
    </row>
    <row r="2421" spans="1:3" x14ac:dyDescent="0.35">
      <c r="A2421" s="21">
        <v>103</v>
      </c>
      <c r="B2421" t="str">
        <f>VLOOKUP(A2421,Products!$A$1:$F$322,2,FALSE)</f>
        <v>Sun Bicycles Streamway 3 - 2017</v>
      </c>
      <c r="C2421" s="21" t="e">
        <f>VLOOKUP(A2421,Products!A$322:$D2421,4,FALSE)</f>
        <v>#N/A</v>
      </c>
    </row>
    <row r="2422" spans="1:3" x14ac:dyDescent="0.35">
      <c r="A2422" s="21">
        <v>61</v>
      </c>
      <c r="B2422" t="str">
        <f>VLOOKUP(A2422,Products!$A$1:$F$322,2,FALSE)</f>
        <v>Trek Powerfly 8 FS Plus - 2017</v>
      </c>
      <c r="C2422" s="21" t="e">
        <f>VLOOKUP(A2422,Products!A$322:$D2422,4,FALSE)</f>
        <v>#N/A</v>
      </c>
    </row>
    <row r="2423" spans="1:3" x14ac:dyDescent="0.35">
      <c r="A2423" s="21">
        <v>93</v>
      </c>
      <c r="B2423" t="str">
        <f>VLOOKUP(A2423,Products!$A$1:$F$322,2,FALSE)</f>
        <v>Haro Shredder 20 Girls - 2017</v>
      </c>
      <c r="C2423" s="21" t="e">
        <f>VLOOKUP(A2423,Products!A$322:$D2423,4,FALSE)</f>
        <v>#N/A</v>
      </c>
    </row>
    <row r="2424" spans="1:3" x14ac:dyDescent="0.35">
      <c r="A2424" s="21">
        <v>100</v>
      </c>
      <c r="B2424" t="str">
        <f>VLOOKUP(A2424,Products!$A$1:$F$322,2,FALSE)</f>
        <v>Electra Townie 3i EQ (20-inch) - Boys' - 2017</v>
      </c>
      <c r="C2424" s="21" t="e">
        <f>VLOOKUP(A2424,Products!A$322:$D2424,4,FALSE)</f>
        <v>#N/A</v>
      </c>
    </row>
    <row r="2425" spans="1:3" x14ac:dyDescent="0.35">
      <c r="A2425" s="21">
        <v>88</v>
      </c>
      <c r="B2425" t="str">
        <f>VLOOKUP(A2425,Products!$A$1:$F$322,2,FALSE)</f>
        <v>Trek Precaliber 12 Girls - 2017</v>
      </c>
      <c r="C2425" s="21" t="e">
        <f>VLOOKUP(A2425,Products!A$322:$D2425,4,FALSE)</f>
        <v>#N/A</v>
      </c>
    </row>
    <row r="2426" spans="1:3" x14ac:dyDescent="0.35">
      <c r="A2426" s="21">
        <v>41</v>
      </c>
      <c r="B2426" t="str">
        <f>VLOOKUP(A2426,Products!$A$1:$F$322,2,FALSE)</f>
        <v>Haro Shift R3 - 2017</v>
      </c>
      <c r="C2426" s="21" t="e">
        <f>VLOOKUP(A2426,Products!A$322:$D2426,4,FALSE)</f>
        <v>#N/A</v>
      </c>
    </row>
    <row r="2427" spans="1:3" x14ac:dyDescent="0.35">
      <c r="A2427" s="21">
        <v>109</v>
      </c>
      <c r="B2427" t="str">
        <f>VLOOKUP(A2427,Products!$A$1:$F$322,2,FALSE)</f>
        <v>Sun Bicycles Cruz 7 - Women's - 2017</v>
      </c>
      <c r="C2427" s="21" t="e">
        <f>VLOOKUP(A2427,Products!A$322:$D2427,4,FALSE)</f>
        <v>#N/A</v>
      </c>
    </row>
    <row r="2428" spans="1:3" x14ac:dyDescent="0.35">
      <c r="A2428" s="21">
        <v>101</v>
      </c>
      <c r="B2428" t="str">
        <f>VLOOKUP(A2428,Products!$A$1:$F$322,2,FALSE)</f>
        <v>Electra Townie 7D (20-inch) - Boys' - 2017</v>
      </c>
      <c r="C2428" s="21" t="e">
        <f>VLOOKUP(A2428,Products!A$322:$D2428,4,FALSE)</f>
        <v>#N/A</v>
      </c>
    </row>
    <row r="2429" spans="1:3" x14ac:dyDescent="0.35">
      <c r="A2429" s="21">
        <v>5</v>
      </c>
      <c r="B2429" t="str">
        <f>VLOOKUP(A2429,Products!$A$1:$F$322,2,FALSE)</f>
        <v>Heller Shagamaw Frame - 2016</v>
      </c>
      <c r="C2429" s="21" t="e">
        <f>VLOOKUP(A2429,Products!A$322:$D2429,4,FALSE)</f>
        <v>#N/A</v>
      </c>
    </row>
    <row r="2430" spans="1:3" x14ac:dyDescent="0.35">
      <c r="A2430" s="21">
        <v>37</v>
      </c>
      <c r="B2430" t="str">
        <f>VLOOKUP(A2430,Products!$A$1:$F$322,2,FALSE)</f>
        <v>Haro Flightline One ST - 2017</v>
      </c>
      <c r="C2430" s="21" t="e">
        <f>VLOOKUP(A2430,Products!A$322:$D2430,4,FALSE)</f>
        <v>#N/A</v>
      </c>
    </row>
    <row r="2431" spans="1:3" x14ac:dyDescent="0.35">
      <c r="A2431" s="21">
        <v>30</v>
      </c>
      <c r="B2431" t="str">
        <f>VLOOKUP(A2431,Products!$A$1:$F$322,2,FALSE)</f>
        <v>Surly Ice Cream Truck Frameset - 2017</v>
      </c>
      <c r="C2431" s="21" t="e">
        <f>VLOOKUP(A2431,Products!A$322:$D2431,4,FALSE)</f>
        <v>#N/A</v>
      </c>
    </row>
    <row r="2432" spans="1:3" x14ac:dyDescent="0.35">
      <c r="A2432" s="21">
        <v>93</v>
      </c>
      <c r="B2432" t="str">
        <f>VLOOKUP(A2432,Products!$A$1:$F$322,2,FALSE)</f>
        <v>Haro Shredder 20 Girls - 2017</v>
      </c>
      <c r="C2432" s="21" t="e">
        <f>VLOOKUP(A2432,Products!A$322:$D2432,4,FALSE)</f>
        <v>#N/A</v>
      </c>
    </row>
    <row r="2433" spans="1:3" x14ac:dyDescent="0.35">
      <c r="A2433" s="21">
        <v>46</v>
      </c>
      <c r="B2433" t="str">
        <f>VLOOKUP(A2433,Products!$A$1:$F$322,2,FALSE)</f>
        <v>Haro SR 1.3 - 2017</v>
      </c>
      <c r="C2433" s="21" t="e">
        <f>VLOOKUP(A2433,Products!A$322:$D2433,4,FALSE)</f>
        <v>#N/A</v>
      </c>
    </row>
    <row r="2434" spans="1:3" x14ac:dyDescent="0.35">
      <c r="A2434" s="21">
        <v>99</v>
      </c>
      <c r="B2434" t="str">
        <f>VLOOKUP(A2434,Products!$A$1:$F$322,2,FALSE)</f>
        <v>Electra Sugar Skulls 1 (20-inch) - Girl's - 2017</v>
      </c>
      <c r="C2434" s="21" t="e">
        <f>VLOOKUP(A2434,Products!A$322:$D2434,4,FALSE)</f>
        <v>#N/A</v>
      </c>
    </row>
    <row r="2435" spans="1:3" x14ac:dyDescent="0.35">
      <c r="A2435" s="21">
        <v>58</v>
      </c>
      <c r="B2435" t="str">
        <f>VLOOKUP(A2435,Products!$A$1:$F$322,2,FALSE)</f>
        <v>Trek Madone 9.2 - 2017</v>
      </c>
      <c r="C2435" s="21" t="e">
        <f>VLOOKUP(A2435,Products!A$322:$D2435,4,FALSE)</f>
        <v>#N/A</v>
      </c>
    </row>
    <row r="2436" spans="1:3" x14ac:dyDescent="0.35">
      <c r="A2436" s="21">
        <v>42</v>
      </c>
      <c r="B2436" t="str">
        <f>VLOOKUP(A2436,Products!$A$1:$F$322,2,FALSE)</f>
        <v>Trek Fuel EX 5 27.5 Plus - 2017</v>
      </c>
      <c r="C2436" s="21" t="e">
        <f>VLOOKUP(A2436,Products!A$322:$D2436,4,FALSE)</f>
        <v>#N/A</v>
      </c>
    </row>
    <row r="2437" spans="1:3" x14ac:dyDescent="0.35">
      <c r="A2437" s="21">
        <v>45</v>
      </c>
      <c r="B2437" t="str">
        <f>VLOOKUP(A2437,Products!$A$1:$F$322,2,FALSE)</f>
        <v>Haro SR 1.2 - 2017</v>
      </c>
      <c r="C2437" s="21" t="e">
        <f>VLOOKUP(A2437,Products!A$322:$D2437,4,FALSE)</f>
        <v>#N/A</v>
      </c>
    </row>
    <row r="2438" spans="1:3" x14ac:dyDescent="0.35">
      <c r="A2438" s="21">
        <v>6</v>
      </c>
      <c r="B2438" t="str">
        <f>VLOOKUP(A2438,Products!$A$1:$F$322,2,FALSE)</f>
        <v>Surly Ice Cream Truck Frameset - 2016</v>
      </c>
      <c r="C2438" s="21" t="e">
        <f>VLOOKUP(A2438,Products!A$322:$D2438,4,FALSE)</f>
        <v>#N/A</v>
      </c>
    </row>
    <row r="2439" spans="1:3" x14ac:dyDescent="0.35">
      <c r="A2439" s="21">
        <v>87</v>
      </c>
      <c r="B2439" t="str">
        <f>VLOOKUP(A2439,Products!$A$1:$F$322,2,FALSE)</f>
        <v>Trek Precaliber 12 Boys - 2017</v>
      </c>
      <c r="C2439" s="21" t="e">
        <f>VLOOKUP(A2439,Products!A$322:$D2439,4,FALSE)</f>
        <v>#N/A</v>
      </c>
    </row>
    <row r="2440" spans="1:3" x14ac:dyDescent="0.35">
      <c r="A2440" s="21">
        <v>18</v>
      </c>
      <c r="B2440" t="str">
        <f>VLOOKUP(A2440,Products!$A$1:$F$322,2,FALSE)</f>
        <v>Pure Cycles Western 3-Speed - Women's - 2015/2016</v>
      </c>
      <c r="C2440" s="21" t="e">
        <f>VLOOKUP(A2440,Products!A$322:$D2440,4,FALSE)</f>
        <v>#N/A</v>
      </c>
    </row>
    <row r="2441" spans="1:3" x14ac:dyDescent="0.35">
      <c r="A2441" s="21">
        <v>93</v>
      </c>
      <c r="B2441" t="str">
        <f>VLOOKUP(A2441,Products!$A$1:$F$322,2,FALSE)</f>
        <v>Haro Shredder 20 Girls - 2017</v>
      </c>
      <c r="C2441" s="21" t="e">
        <f>VLOOKUP(A2441,Products!A$322:$D2441,4,FALSE)</f>
        <v>#N/A</v>
      </c>
    </row>
    <row r="2442" spans="1:3" x14ac:dyDescent="0.35">
      <c r="A2442" s="21">
        <v>89</v>
      </c>
      <c r="B2442" t="str">
        <f>VLOOKUP(A2442,Products!$A$1:$F$322,2,FALSE)</f>
        <v>Trek Precaliber 16 Boys - 2017</v>
      </c>
      <c r="C2442" s="21" t="e">
        <f>VLOOKUP(A2442,Products!A$322:$D2442,4,FALSE)</f>
        <v>#N/A</v>
      </c>
    </row>
    <row r="2443" spans="1:3" x14ac:dyDescent="0.35">
      <c r="A2443" s="21">
        <v>38</v>
      </c>
      <c r="B2443" t="str">
        <f>VLOOKUP(A2443,Products!$A$1:$F$322,2,FALSE)</f>
        <v>Haro Flightline Two 26 Plus - 2017</v>
      </c>
      <c r="C2443" s="21" t="e">
        <f>VLOOKUP(A2443,Products!A$322:$D2443,4,FALSE)</f>
        <v>#N/A</v>
      </c>
    </row>
    <row r="2444" spans="1:3" x14ac:dyDescent="0.35">
      <c r="A2444" s="21">
        <v>29</v>
      </c>
      <c r="B2444" t="str">
        <f>VLOOKUP(A2444,Products!$A$1:$F$322,2,FALSE)</f>
        <v>Trek X-Caliber 8 - 2017</v>
      </c>
      <c r="C2444" s="21" t="e">
        <f>VLOOKUP(A2444,Products!A$322:$D2444,4,FALSE)</f>
        <v>#N/A</v>
      </c>
    </row>
    <row r="2445" spans="1:3" x14ac:dyDescent="0.35">
      <c r="A2445" s="21">
        <v>45</v>
      </c>
      <c r="B2445" t="str">
        <f>VLOOKUP(A2445,Products!$A$1:$F$322,2,FALSE)</f>
        <v>Haro SR 1.2 - 2017</v>
      </c>
      <c r="C2445" s="21" t="e">
        <f>VLOOKUP(A2445,Products!A$322:$D2445,4,FALSE)</f>
        <v>#N/A</v>
      </c>
    </row>
    <row r="2446" spans="1:3" x14ac:dyDescent="0.35">
      <c r="A2446" s="21">
        <v>5</v>
      </c>
      <c r="B2446" t="str">
        <f>VLOOKUP(A2446,Products!$A$1:$F$322,2,FALSE)</f>
        <v>Heller Shagamaw Frame - 2016</v>
      </c>
      <c r="C2446" s="21" t="e">
        <f>VLOOKUP(A2446,Products!A$322:$D2446,4,FALSE)</f>
        <v>#N/A</v>
      </c>
    </row>
    <row r="2447" spans="1:3" x14ac:dyDescent="0.35">
      <c r="A2447" s="21">
        <v>14</v>
      </c>
      <c r="B2447" t="str">
        <f>VLOOKUP(A2447,Products!$A$1:$F$322,2,FALSE)</f>
        <v>Electra Girl's Hawaii 1 (16-inch) - 2015/2016</v>
      </c>
      <c r="C2447" s="21" t="e">
        <f>VLOOKUP(A2447,Products!A$322:$D2447,4,FALSE)</f>
        <v>#N/A</v>
      </c>
    </row>
    <row r="2448" spans="1:3" x14ac:dyDescent="0.35">
      <c r="A2448" s="21">
        <v>73</v>
      </c>
      <c r="B2448" t="str">
        <f>VLOOKUP(A2448,Products!$A$1:$F$322,2,FALSE)</f>
        <v>Sun Bicycles Brickell Tandem 7 - 2017</v>
      </c>
      <c r="C2448" s="21" t="e">
        <f>VLOOKUP(A2448,Products!A$322:$D2448,4,FALSE)</f>
        <v>#N/A</v>
      </c>
    </row>
    <row r="2449" spans="1:3" x14ac:dyDescent="0.35">
      <c r="A2449" s="21">
        <v>38</v>
      </c>
      <c r="B2449" t="str">
        <f>VLOOKUP(A2449,Products!$A$1:$F$322,2,FALSE)</f>
        <v>Haro Flightline Two 26 Plus - 2017</v>
      </c>
      <c r="C2449" s="21" t="e">
        <f>VLOOKUP(A2449,Products!A$322:$D2449,4,FALSE)</f>
        <v>#N/A</v>
      </c>
    </row>
    <row r="2450" spans="1:3" x14ac:dyDescent="0.35">
      <c r="A2450" s="21">
        <v>13</v>
      </c>
      <c r="B2450" t="str">
        <f>VLOOKUP(A2450,Products!$A$1:$F$322,2,FALSE)</f>
        <v>Electra Cruiser 1 (24-Inch) - 2016</v>
      </c>
      <c r="C2450" s="21" t="e">
        <f>VLOOKUP(A2450,Products!A$322:$D2450,4,FALSE)</f>
        <v>#N/A</v>
      </c>
    </row>
    <row r="2451" spans="1:3" x14ac:dyDescent="0.35">
      <c r="A2451" s="21">
        <v>14</v>
      </c>
      <c r="B2451" t="str">
        <f>VLOOKUP(A2451,Products!$A$1:$F$322,2,FALSE)</f>
        <v>Electra Girl's Hawaii 1 (16-inch) - 2015/2016</v>
      </c>
      <c r="C2451" s="21" t="e">
        <f>VLOOKUP(A2451,Products!A$322:$D2451,4,FALSE)</f>
        <v>#N/A</v>
      </c>
    </row>
    <row r="2452" spans="1:3" x14ac:dyDescent="0.35">
      <c r="A2452" s="21">
        <v>71</v>
      </c>
      <c r="B2452" t="str">
        <f>VLOOKUP(A2452,Products!$A$1:$F$322,2,FALSE)</f>
        <v>Sun Bicycles Atlas X-Type - 2017</v>
      </c>
      <c r="C2452" s="21" t="e">
        <f>VLOOKUP(A2452,Products!A$322:$D2452,4,FALSE)</f>
        <v>#N/A</v>
      </c>
    </row>
    <row r="2453" spans="1:3" x14ac:dyDescent="0.35">
      <c r="A2453" s="21">
        <v>36</v>
      </c>
      <c r="B2453" t="str">
        <f>VLOOKUP(A2453,Products!$A$1:$F$322,2,FALSE)</f>
        <v>Surly Troll Frameset - 2017</v>
      </c>
      <c r="C2453" s="21" t="e">
        <f>VLOOKUP(A2453,Products!A$322:$D2453,4,FALSE)</f>
        <v>#N/A</v>
      </c>
    </row>
    <row r="2454" spans="1:3" x14ac:dyDescent="0.35">
      <c r="A2454" s="21">
        <v>6</v>
      </c>
      <c r="B2454" t="str">
        <f>VLOOKUP(A2454,Products!$A$1:$F$322,2,FALSE)</f>
        <v>Surly Ice Cream Truck Frameset - 2016</v>
      </c>
      <c r="C2454" s="21" t="e">
        <f>VLOOKUP(A2454,Products!A$322:$D2454,4,FALSE)</f>
        <v>#N/A</v>
      </c>
    </row>
    <row r="2455" spans="1:3" x14ac:dyDescent="0.35">
      <c r="A2455" s="21">
        <v>24</v>
      </c>
      <c r="B2455" t="str">
        <f>VLOOKUP(A2455,Products!$A$1:$F$322,2,FALSE)</f>
        <v>Electra Townie Original 21D - 2016</v>
      </c>
      <c r="C2455" s="21" t="e">
        <f>VLOOKUP(A2455,Products!A$322:$D2455,4,FALSE)</f>
        <v>#N/A</v>
      </c>
    </row>
    <row r="2456" spans="1:3" x14ac:dyDescent="0.35">
      <c r="A2456" s="21">
        <v>25</v>
      </c>
      <c r="B2456" t="str">
        <f>VLOOKUP(A2456,Products!$A$1:$F$322,2,FALSE)</f>
        <v>Electra Townie Original 7D - 2015/2016</v>
      </c>
      <c r="C2456" s="21" t="e">
        <f>VLOOKUP(A2456,Products!A$322:$D2456,4,FALSE)</f>
        <v>#N/A</v>
      </c>
    </row>
    <row r="2457" spans="1:3" x14ac:dyDescent="0.35">
      <c r="A2457" s="21">
        <v>58</v>
      </c>
      <c r="B2457" t="str">
        <f>VLOOKUP(A2457,Products!$A$1:$F$322,2,FALSE)</f>
        <v>Trek Madone 9.2 - 2017</v>
      </c>
      <c r="C2457" s="21" t="e">
        <f>VLOOKUP(A2457,Products!A$322:$D2457,4,FALSE)</f>
        <v>#N/A</v>
      </c>
    </row>
    <row r="2458" spans="1:3" x14ac:dyDescent="0.35">
      <c r="A2458" s="21">
        <v>95</v>
      </c>
      <c r="B2458" t="str">
        <f>VLOOKUP(A2458,Products!$A$1:$F$322,2,FALSE)</f>
        <v>Electra Girl's Hawaii 1 16" - 2017</v>
      </c>
      <c r="C2458" s="21" t="e">
        <f>VLOOKUP(A2458,Products!A$322:$D2458,4,FALSE)</f>
        <v>#N/A</v>
      </c>
    </row>
    <row r="2459" spans="1:3" x14ac:dyDescent="0.35">
      <c r="A2459" s="21">
        <v>14</v>
      </c>
      <c r="B2459" t="str">
        <f>VLOOKUP(A2459,Products!$A$1:$F$322,2,FALSE)</f>
        <v>Electra Girl's Hawaii 1 (16-inch) - 2015/2016</v>
      </c>
      <c r="C2459" s="21" t="e">
        <f>VLOOKUP(A2459,Products!A$322:$D2459,4,FALSE)</f>
        <v>#N/A</v>
      </c>
    </row>
    <row r="2460" spans="1:3" x14ac:dyDescent="0.35">
      <c r="A2460" s="21">
        <v>62</v>
      </c>
      <c r="B2460" t="str">
        <f>VLOOKUP(A2460,Products!$A$1:$F$322,2,FALSE)</f>
        <v>Trek Boone 7 - 2017</v>
      </c>
      <c r="C2460" s="21" t="e">
        <f>VLOOKUP(A2460,Products!A$322:$D2460,4,FALSE)</f>
        <v>#N/A</v>
      </c>
    </row>
    <row r="2461" spans="1:3" x14ac:dyDescent="0.35">
      <c r="A2461" s="21">
        <v>85</v>
      </c>
      <c r="B2461" t="str">
        <f>VLOOKUP(A2461,Products!$A$1:$F$322,2,FALSE)</f>
        <v>Haro Downtown 16 - 2017</v>
      </c>
      <c r="C2461" s="21" t="e">
        <f>VLOOKUP(A2461,Products!A$322:$D2461,4,FALSE)</f>
        <v>#N/A</v>
      </c>
    </row>
    <row r="2462" spans="1:3" x14ac:dyDescent="0.35">
      <c r="A2462" s="21">
        <v>99</v>
      </c>
      <c r="B2462" t="str">
        <f>VLOOKUP(A2462,Products!$A$1:$F$322,2,FALSE)</f>
        <v>Electra Sugar Skulls 1 (20-inch) - Girl's - 2017</v>
      </c>
      <c r="C2462" s="21" t="e">
        <f>VLOOKUP(A2462,Products!A$322:$D2462,4,FALSE)</f>
        <v>#N/A</v>
      </c>
    </row>
    <row r="2463" spans="1:3" x14ac:dyDescent="0.35">
      <c r="A2463" s="21">
        <v>49</v>
      </c>
      <c r="B2463" t="str">
        <f>VLOOKUP(A2463,Products!$A$1:$F$322,2,FALSE)</f>
        <v>Trek Domane SL 6 - 2017</v>
      </c>
      <c r="C2463" s="21" t="e">
        <f>VLOOKUP(A2463,Products!A$322:$D2463,4,FALSE)</f>
        <v>#N/A</v>
      </c>
    </row>
    <row r="2464" spans="1:3" x14ac:dyDescent="0.35">
      <c r="A2464" s="21">
        <v>93</v>
      </c>
      <c r="B2464" t="str">
        <f>VLOOKUP(A2464,Products!$A$1:$F$322,2,FALSE)</f>
        <v>Haro Shredder 20 Girls - 2017</v>
      </c>
      <c r="C2464" s="21" t="e">
        <f>VLOOKUP(A2464,Products!A$322:$D2464,4,FALSE)</f>
        <v>#N/A</v>
      </c>
    </row>
    <row r="2465" spans="1:3" x14ac:dyDescent="0.35">
      <c r="A2465" s="21">
        <v>37</v>
      </c>
      <c r="B2465" t="str">
        <f>VLOOKUP(A2465,Products!$A$1:$F$322,2,FALSE)</f>
        <v>Haro Flightline One ST - 2017</v>
      </c>
      <c r="C2465" s="21" t="e">
        <f>VLOOKUP(A2465,Products!A$322:$D2465,4,FALSE)</f>
        <v>#N/A</v>
      </c>
    </row>
    <row r="2466" spans="1:3" x14ac:dyDescent="0.35">
      <c r="A2466" s="21">
        <v>65</v>
      </c>
      <c r="B2466" t="str">
        <f>VLOOKUP(A2466,Products!$A$1:$F$322,2,FALSE)</f>
        <v>Sun Bicycles Lil Bolt Type-R - 2017</v>
      </c>
      <c r="C2466" s="21" t="e">
        <f>VLOOKUP(A2466,Products!A$322:$D2466,4,FALSE)</f>
        <v>#N/A</v>
      </c>
    </row>
    <row r="2467" spans="1:3" x14ac:dyDescent="0.35">
      <c r="A2467" s="21">
        <v>13</v>
      </c>
      <c r="B2467" t="str">
        <f>VLOOKUP(A2467,Products!$A$1:$F$322,2,FALSE)</f>
        <v>Electra Cruiser 1 (24-Inch) - 2016</v>
      </c>
      <c r="C2467" s="21" t="e">
        <f>VLOOKUP(A2467,Products!A$322:$D2467,4,FALSE)</f>
        <v>#N/A</v>
      </c>
    </row>
    <row r="2468" spans="1:3" x14ac:dyDescent="0.35">
      <c r="A2468" s="21">
        <v>109</v>
      </c>
      <c r="B2468" t="str">
        <f>VLOOKUP(A2468,Products!$A$1:$F$322,2,FALSE)</f>
        <v>Sun Bicycles Cruz 7 - Women's - 2017</v>
      </c>
      <c r="C2468" s="21" t="e">
        <f>VLOOKUP(A2468,Products!A$322:$D2468,4,FALSE)</f>
        <v>#N/A</v>
      </c>
    </row>
    <row r="2469" spans="1:3" x14ac:dyDescent="0.35">
      <c r="A2469" s="21">
        <v>34</v>
      </c>
      <c r="B2469" t="str">
        <f>VLOOKUP(A2469,Products!$A$1:$F$322,2,FALSE)</f>
        <v>Trek Session DH 27.5 Carbon Frameset - 2017</v>
      </c>
      <c r="C2469" s="21" t="e">
        <f>VLOOKUP(A2469,Products!A$322:$D2469,4,FALSE)</f>
        <v>#N/A</v>
      </c>
    </row>
    <row r="2470" spans="1:3" x14ac:dyDescent="0.35">
      <c r="A2470" s="21">
        <v>88</v>
      </c>
      <c r="B2470" t="str">
        <f>VLOOKUP(A2470,Products!$A$1:$F$322,2,FALSE)</f>
        <v>Trek Precaliber 12 Girls - 2017</v>
      </c>
      <c r="C2470" s="21" t="e">
        <f>VLOOKUP(A2470,Products!A$322:$D2470,4,FALSE)</f>
        <v>#N/A</v>
      </c>
    </row>
    <row r="2471" spans="1:3" x14ac:dyDescent="0.35">
      <c r="A2471" s="21">
        <v>67</v>
      </c>
      <c r="B2471" t="str">
        <f>VLOOKUP(A2471,Products!$A$1:$F$322,2,FALSE)</f>
        <v>Sun Bicycles Revolutions 24 - Girl's - 2017</v>
      </c>
      <c r="C2471" s="21" t="e">
        <f>VLOOKUP(A2471,Products!A$322:$D2471,4,FALSE)</f>
        <v>#N/A</v>
      </c>
    </row>
    <row r="2472" spans="1:3" x14ac:dyDescent="0.35">
      <c r="A2472" s="21">
        <v>80</v>
      </c>
      <c r="B2472" t="str">
        <f>VLOOKUP(A2472,Products!$A$1:$F$322,2,FALSE)</f>
        <v>Sun Bicycles Brickell Tandem CB - 2017</v>
      </c>
      <c r="C2472" s="21" t="e">
        <f>VLOOKUP(A2472,Products!A$322:$D2472,4,FALSE)</f>
        <v>#N/A</v>
      </c>
    </row>
    <row r="2473" spans="1:3" x14ac:dyDescent="0.35">
      <c r="A2473" s="21">
        <v>13</v>
      </c>
      <c r="B2473" t="str">
        <f>VLOOKUP(A2473,Products!$A$1:$F$322,2,FALSE)</f>
        <v>Electra Cruiser 1 (24-Inch) - 2016</v>
      </c>
      <c r="C2473" s="21" t="e">
        <f>VLOOKUP(A2473,Products!A$322:$D2473,4,FALSE)</f>
        <v>#N/A</v>
      </c>
    </row>
    <row r="2474" spans="1:3" x14ac:dyDescent="0.35">
      <c r="A2474" s="21">
        <v>101</v>
      </c>
      <c r="B2474" t="str">
        <f>VLOOKUP(A2474,Products!$A$1:$F$322,2,FALSE)</f>
        <v>Electra Townie 7D (20-inch) - Boys' - 2017</v>
      </c>
      <c r="C2474" s="21" t="e">
        <f>VLOOKUP(A2474,Products!A$322:$D2474,4,FALSE)</f>
        <v>#N/A</v>
      </c>
    </row>
    <row r="2475" spans="1:3" x14ac:dyDescent="0.35">
      <c r="A2475" s="21">
        <v>46</v>
      </c>
      <c r="B2475" t="str">
        <f>VLOOKUP(A2475,Products!$A$1:$F$322,2,FALSE)</f>
        <v>Haro SR 1.3 - 2017</v>
      </c>
      <c r="C2475" s="21" t="e">
        <f>VLOOKUP(A2475,Products!A$322:$D2475,4,FALSE)</f>
        <v>#N/A</v>
      </c>
    </row>
    <row r="2476" spans="1:3" x14ac:dyDescent="0.35">
      <c r="A2476" s="21">
        <v>7</v>
      </c>
      <c r="B2476" t="str">
        <f>VLOOKUP(A2476,Products!$A$1:$F$322,2,FALSE)</f>
        <v>Trek Slash 8 27.5 - 2016</v>
      </c>
      <c r="C2476" s="21" t="e">
        <f>VLOOKUP(A2476,Products!A$322:$D2476,4,FALSE)</f>
        <v>#N/A</v>
      </c>
    </row>
    <row r="2477" spans="1:3" x14ac:dyDescent="0.35">
      <c r="A2477" s="21">
        <v>106</v>
      </c>
      <c r="B2477" t="str">
        <f>VLOOKUP(A2477,Products!$A$1:$F$322,2,FALSE)</f>
        <v>Sun Bicycles Cruz 3 - 2017</v>
      </c>
      <c r="C2477" s="21" t="e">
        <f>VLOOKUP(A2477,Products!A$322:$D2477,4,FALSE)</f>
        <v>#N/A</v>
      </c>
    </row>
    <row r="2478" spans="1:3" x14ac:dyDescent="0.35">
      <c r="A2478" s="21">
        <v>33</v>
      </c>
      <c r="B2478" t="str">
        <f>VLOOKUP(A2478,Products!$A$1:$F$322,2,FALSE)</f>
        <v>Surly Wednesday Frameset - 2017</v>
      </c>
      <c r="C2478" s="21" t="e">
        <f>VLOOKUP(A2478,Products!A$322:$D2478,4,FALSE)</f>
        <v>#N/A</v>
      </c>
    </row>
    <row r="2479" spans="1:3" x14ac:dyDescent="0.35">
      <c r="A2479" s="21">
        <v>55</v>
      </c>
      <c r="B2479" t="str">
        <f>VLOOKUP(A2479,Products!$A$1:$F$322,2,FALSE)</f>
        <v>Trek Domane S 6 - 2017</v>
      </c>
      <c r="C2479" s="21" t="e">
        <f>VLOOKUP(A2479,Products!A$322:$D2479,4,FALSE)</f>
        <v>#N/A</v>
      </c>
    </row>
    <row r="2480" spans="1:3" x14ac:dyDescent="0.35">
      <c r="A2480" s="21">
        <v>65</v>
      </c>
      <c r="B2480" t="str">
        <f>VLOOKUP(A2480,Products!$A$1:$F$322,2,FALSE)</f>
        <v>Sun Bicycles Lil Bolt Type-R - 2017</v>
      </c>
      <c r="C2480" s="21" t="e">
        <f>VLOOKUP(A2480,Products!A$322:$D2480,4,FALSE)</f>
        <v>#N/A</v>
      </c>
    </row>
    <row r="2481" spans="1:3" x14ac:dyDescent="0.35">
      <c r="A2481" s="21">
        <v>63</v>
      </c>
      <c r="B2481" t="str">
        <f>VLOOKUP(A2481,Products!$A$1:$F$322,2,FALSE)</f>
        <v>Trek Boone Race Shop Limited - 2017</v>
      </c>
      <c r="C2481" s="21" t="e">
        <f>VLOOKUP(A2481,Products!A$322:$D2481,4,FALSE)</f>
        <v>#N/A</v>
      </c>
    </row>
    <row r="2482" spans="1:3" x14ac:dyDescent="0.35">
      <c r="A2482" s="21">
        <v>106</v>
      </c>
      <c r="B2482" t="str">
        <f>VLOOKUP(A2482,Products!$A$1:$F$322,2,FALSE)</f>
        <v>Sun Bicycles Cruz 3 - 2017</v>
      </c>
      <c r="C2482" s="21" t="e">
        <f>VLOOKUP(A2482,Products!A$322:$D2482,4,FALSE)</f>
        <v>#N/A</v>
      </c>
    </row>
    <row r="2483" spans="1:3" x14ac:dyDescent="0.35">
      <c r="A2483" s="21">
        <v>38</v>
      </c>
      <c r="B2483" t="str">
        <f>VLOOKUP(A2483,Products!$A$1:$F$322,2,FALSE)</f>
        <v>Haro Flightline Two 26 Plus - 2017</v>
      </c>
      <c r="C2483" s="21" t="e">
        <f>VLOOKUP(A2483,Products!A$322:$D2483,4,FALSE)</f>
        <v>#N/A</v>
      </c>
    </row>
    <row r="2484" spans="1:3" x14ac:dyDescent="0.35">
      <c r="A2484" s="21">
        <v>30</v>
      </c>
      <c r="B2484" t="str">
        <f>VLOOKUP(A2484,Products!$A$1:$F$322,2,FALSE)</f>
        <v>Surly Ice Cream Truck Frameset - 2017</v>
      </c>
      <c r="C2484" s="21" t="e">
        <f>VLOOKUP(A2484,Products!A$322:$D2484,4,FALSE)</f>
        <v>#N/A</v>
      </c>
    </row>
    <row r="2485" spans="1:3" x14ac:dyDescent="0.35">
      <c r="A2485" s="21">
        <v>107</v>
      </c>
      <c r="B2485" t="str">
        <f>VLOOKUP(A2485,Products!$A$1:$F$322,2,FALSE)</f>
        <v>Sun Bicycles Cruz 7 - 2017</v>
      </c>
      <c r="C2485" s="21" t="e">
        <f>VLOOKUP(A2485,Products!A$322:$D2485,4,FALSE)</f>
        <v>#N/A</v>
      </c>
    </row>
    <row r="2486" spans="1:3" x14ac:dyDescent="0.35">
      <c r="A2486" s="21">
        <v>62</v>
      </c>
      <c r="B2486" t="str">
        <f>VLOOKUP(A2486,Products!$A$1:$F$322,2,FALSE)</f>
        <v>Trek Boone 7 - 2017</v>
      </c>
      <c r="C2486" s="21" t="e">
        <f>VLOOKUP(A2486,Products!A$322:$D2486,4,FALSE)</f>
        <v>#N/A</v>
      </c>
    </row>
    <row r="2487" spans="1:3" x14ac:dyDescent="0.35">
      <c r="A2487" s="21">
        <v>53</v>
      </c>
      <c r="B2487" t="str">
        <f>VLOOKUP(A2487,Products!$A$1:$F$322,2,FALSE)</f>
        <v>Surly Ogre Frameset - 2017</v>
      </c>
      <c r="C2487" s="21" t="e">
        <f>VLOOKUP(A2487,Products!A$322:$D2487,4,FALSE)</f>
        <v>#N/A</v>
      </c>
    </row>
    <row r="2488" spans="1:3" x14ac:dyDescent="0.35">
      <c r="A2488" s="21">
        <v>32</v>
      </c>
      <c r="B2488" t="str">
        <f>VLOOKUP(A2488,Products!$A$1:$F$322,2,FALSE)</f>
        <v>Trek Farley Alloy Frameset - 2017</v>
      </c>
      <c r="C2488" s="21" t="e">
        <f>VLOOKUP(A2488,Products!A$322:$D2488,4,FALSE)</f>
        <v>#N/A</v>
      </c>
    </row>
    <row r="2489" spans="1:3" x14ac:dyDescent="0.35">
      <c r="A2489" s="21">
        <v>56</v>
      </c>
      <c r="B2489" t="str">
        <f>VLOOKUP(A2489,Products!$A$1:$F$322,2,FALSE)</f>
        <v>Trek Domane SLR 6 Disc - 2017</v>
      </c>
      <c r="C2489" s="21" t="e">
        <f>VLOOKUP(A2489,Products!A$322:$D2489,4,FALSE)</f>
        <v>#N/A</v>
      </c>
    </row>
    <row r="2490" spans="1:3" x14ac:dyDescent="0.35">
      <c r="A2490" s="21">
        <v>27</v>
      </c>
      <c r="B2490" t="str">
        <f>VLOOKUP(A2490,Products!$A$1:$F$322,2,FALSE)</f>
        <v>Surly Big Dummy Frameset - 2017</v>
      </c>
      <c r="C2490" s="21" t="e">
        <f>VLOOKUP(A2490,Products!A$322:$D2490,4,FALSE)</f>
        <v>#N/A</v>
      </c>
    </row>
    <row r="2491" spans="1:3" x14ac:dyDescent="0.35">
      <c r="A2491" s="21">
        <v>73</v>
      </c>
      <c r="B2491" t="str">
        <f>VLOOKUP(A2491,Products!$A$1:$F$322,2,FALSE)</f>
        <v>Sun Bicycles Brickell Tandem 7 - 2017</v>
      </c>
      <c r="C2491" s="21" t="e">
        <f>VLOOKUP(A2491,Products!A$322:$D2491,4,FALSE)</f>
        <v>#N/A</v>
      </c>
    </row>
    <row r="2492" spans="1:3" x14ac:dyDescent="0.35">
      <c r="A2492" s="21">
        <v>77</v>
      </c>
      <c r="B2492" t="str">
        <f>VLOOKUP(A2492,Products!$A$1:$F$322,2,FALSE)</f>
        <v>Electra Glam Punk 3i Ladies' - 2017</v>
      </c>
      <c r="C2492" s="21" t="e">
        <f>VLOOKUP(A2492,Products!A$322:$D2492,4,FALSE)</f>
        <v>#N/A</v>
      </c>
    </row>
    <row r="2493" spans="1:3" x14ac:dyDescent="0.35">
      <c r="A2493" s="21">
        <v>5</v>
      </c>
      <c r="B2493" t="str">
        <f>VLOOKUP(A2493,Products!$A$1:$F$322,2,FALSE)</f>
        <v>Heller Shagamaw Frame - 2016</v>
      </c>
      <c r="C2493" s="21" t="e">
        <f>VLOOKUP(A2493,Products!A$322:$D2493,4,FALSE)</f>
        <v>#N/A</v>
      </c>
    </row>
    <row r="2494" spans="1:3" x14ac:dyDescent="0.35">
      <c r="A2494" s="21">
        <v>15</v>
      </c>
      <c r="B2494" t="str">
        <f>VLOOKUP(A2494,Products!$A$1:$F$322,2,FALSE)</f>
        <v>Electra Moto 1 - 2016</v>
      </c>
      <c r="C2494" s="21" t="e">
        <f>VLOOKUP(A2494,Products!A$322:$D2494,4,FALSE)</f>
        <v>#N/A</v>
      </c>
    </row>
    <row r="2495" spans="1:3" x14ac:dyDescent="0.35">
      <c r="A2495" s="21">
        <v>14</v>
      </c>
      <c r="B2495" t="str">
        <f>VLOOKUP(A2495,Products!$A$1:$F$322,2,FALSE)</f>
        <v>Electra Girl's Hawaii 1 (16-inch) - 2015/2016</v>
      </c>
      <c r="C2495" s="21" t="e">
        <f>VLOOKUP(A2495,Products!A$322:$D2495,4,FALSE)</f>
        <v>#N/A</v>
      </c>
    </row>
    <row r="2496" spans="1:3" x14ac:dyDescent="0.35">
      <c r="A2496" s="21">
        <v>111</v>
      </c>
      <c r="B2496" t="str">
        <f>VLOOKUP(A2496,Products!$A$1:$F$322,2,FALSE)</f>
        <v>Sun Bicycles Drifter 7 - Women's - 2017</v>
      </c>
      <c r="C2496" s="21" t="e">
        <f>VLOOKUP(A2496,Products!A$322:$D2496,4,FALSE)</f>
        <v>#N/A</v>
      </c>
    </row>
    <row r="2497" spans="1:3" x14ac:dyDescent="0.35">
      <c r="A2497" s="21">
        <v>17</v>
      </c>
      <c r="B2497" t="str">
        <f>VLOOKUP(A2497,Products!$A$1:$F$322,2,FALSE)</f>
        <v>Pure Cycles Vine 8-Speed - 2016</v>
      </c>
      <c r="C2497" s="21" t="e">
        <f>VLOOKUP(A2497,Products!A$322:$D2497,4,FALSE)</f>
        <v>#N/A</v>
      </c>
    </row>
    <row r="2498" spans="1:3" x14ac:dyDescent="0.35">
      <c r="A2498" s="21">
        <v>66</v>
      </c>
      <c r="B2498" t="str">
        <f>VLOOKUP(A2498,Products!$A$1:$F$322,2,FALSE)</f>
        <v>Sun Bicycles Revolutions 24 - 2017</v>
      </c>
      <c r="C2498" s="21" t="e">
        <f>VLOOKUP(A2498,Products!A$322:$D2498,4,FALSE)</f>
        <v>#N/A</v>
      </c>
    </row>
    <row r="2499" spans="1:3" x14ac:dyDescent="0.35">
      <c r="A2499" s="21">
        <v>96</v>
      </c>
      <c r="B2499" t="str">
        <f>VLOOKUP(A2499,Products!$A$1:$F$322,2,FALSE)</f>
        <v>Electra Moto 3i (20-inch) - Boy's - 2017</v>
      </c>
      <c r="C2499" s="21" t="e">
        <f>VLOOKUP(A2499,Products!A$322:$D2499,4,FALSE)</f>
        <v>#N/A</v>
      </c>
    </row>
    <row r="2500" spans="1:3" x14ac:dyDescent="0.35">
      <c r="A2500" s="21">
        <v>107</v>
      </c>
      <c r="B2500" t="str">
        <f>VLOOKUP(A2500,Products!$A$1:$F$322,2,FALSE)</f>
        <v>Sun Bicycles Cruz 7 - 2017</v>
      </c>
      <c r="C2500" s="21" t="e">
        <f>VLOOKUP(A2500,Products!A$322:$D2500,4,FALSE)</f>
        <v>#N/A</v>
      </c>
    </row>
    <row r="2501" spans="1:3" x14ac:dyDescent="0.35">
      <c r="A2501" s="21">
        <v>73</v>
      </c>
      <c r="B2501" t="str">
        <f>VLOOKUP(A2501,Products!$A$1:$F$322,2,FALSE)</f>
        <v>Sun Bicycles Brickell Tandem 7 - 2017</v>
      </c>
      <c r="C2501" s="21" t="e">
        <f>VLOOKUP(A2501,Products!A$322:$D2501,4,FALSE)</f>
        <v>#N/A</v>
      </c>
    </row>
    <row r="2502" spans="1:3" x14ac:dyDescent="0.35">
      <c r="A2502" s="21">
        <v>103</v>
      </c>
      <c r="B2502" t="str">
        <f>VLOOKUP(A2502,Products!$A$1:$F$322,2,FALSE)</f>
        <v>Sun Bicycles Streamway 3 - 2017</v>
      </c>
      <c r="C2502" s="21" t="e">
        <f>VLOOKUP(A2502,Products!A$322:$D2502,4,FALSE)</f>
        <v>#N/A</v>
      </c>
    </row>
    <row r="2503" spans="1:3" x14ac:dyDescent="0.35">
      <c r="A2503" s="21">
        <v>103</v>
      </c>
      <c r="B2503" t="str">
        <f>VLOOKUP(A2503,Products!$A$1:$F$322,2,FALSE)</f>
        <v>Sun Bicycles Streamway 3 - 2017</v>
      </c>
      <c r="C2503" s="21" t="e">
        <f>VLOOKUP(A2503,Products!A$322:$D2503,4,FALSE)</f>
        <v>#N/A</v>
      </c>
    </row>
    <row r="2504" spans="1:3" x14ac:dyDescent="0.35">
      <c r="A2504" s="21">
        <v>13</v>
      </c>
      <c r="B2504" t="str">
        <f>VLOOKUP(A2504,Products!$A$1:$F$322,2,FALSE)</f>
        <v>Electra Cruiser 1 (24-Inch) - 2016</v>
      </c>
      <c r="C2504" s="21" t="e">
        <f>VLOOKUP(A2504,Products!A$322:$D2504,4,FALSE)</f>
        <v>#N/A</v>
      </c>
    </row>
    <row r="2505" spans="1:3" x14ac:dyDescent="0.35">
      <c r="A2505" s="21">
        <v>6</v>
      </c>
      <c r="B2505" t="str">
        <f>VLOOKUP(A2505,Products!$A$1:$F$322,2,FALSE)</f>
        <v>Surly Ice Cream Truck Frameset - 2016</v>
      </c>
      <c r="C2505" s="21" t="e">
        <f>VLOOKUP(A2505,Products!A$322:$D2505,4,FALSE)</f>
        <v>#N/A</v>
      </c>
    </row>
    <row r="2506" spans="1:3" x14ac:dyDescent="0.35">
      <c r="A2506" s="21">
        <v>18</v>
      </c>
      <c r="B2506" t="str">
        <f>VLOOKUP(A2506,Products!$A$1:$F$322,2,FALSE)</f>
        <v>Pure Cycles Western 3-Speed - Women's - 2015/2016</v>
      </c>
      <c r="C2506" s="21" t="e">
        <f>VLOOKUP(A2506,Products!A$322:$D2506,4,FALSE)</f>
        <v>#N/A</v>
      </c>
    </row>
    <row r="2507" spans="1:3" x14ac:dyDescent="0.35">
      <c r="A2507" s="21">
        <v>100</v>
      </c>
      <c r="B2507" t="str">
        <f>VLOOKUP(A2507,Products!$A$1:$F$322,2,FALSE)</f>
        <v>Electra Townie 3i EQ (20-inch) - Boys' - 2017</v>
      </c>
      <c r="C2507" s="21" t="e">
        <f>VLOOKUP(A2507,Products!A$322:$D2507,4,FALSE)</f>
        <v>#N/A</v>
      </c>
    </row>
    <row r="2508" spans="1:3" x14ac:dyDescent="0.35">
      <c r="A2508" s="21">
        <v>2</v>
      </c>
      <c r="B2508" t="str">
        <f>VLOOKUP(A2508,Products!$A$1:$F$322,2,FALSE)</f>
        <v>Ritchey Timberwolf Frameset - 2016</v>
      </c>
      <c r="C2508" s="21" t="e">
        <f>VLOOKUP(A2508,Products!A$322:$D2508,4,FALSE)</f>
        <v>#N/A</v>
      </c>
    </row>
    <row r="2509" spans="1:3" x14ac:dyDescent="0.35">
      <c r="A2509" s="21">
        <v>83</v>
      </c>
      <c r="B2509" t="str">
        <f>VLOOKUP(A2509,Products!$A$1:$F$322,2,FALSE)</f>
        <v>Trek Boy's Kickster - 2015/2017</v>
      </c>
      <c r="C2509" s="21" t="e">
        <f>VLOOKUP(A2509,Products!A$322:$D2509,4,FALSE)</f>
        <v>#N/A</v>
      </c>
    </row>
    <row r="2510" spans="1:3" x14ac:dyDescent="0.35">
      <c r="A2510" s="21">
        <v>82</v>
      </c>
      <c r="B2510" t="str">
        <f>VLOOKUP(A2510,Products!$A$1:$F$322,2,FALSE)</f>
        <v>Electra Amsterdam Original 3i Ladies' - 2017</v>
      </c>
      <c r="C2510" s="21" t="e">
        <f>VLOOKUP(A2510,Products!A$322:$D2510,4,FALSE)</f>
        <v>#N/A</v>
      </c>
    </row>
    <row r="2511" spans="1:3" x14ac:dyDescent="0.35">
      <c r="A2511" s="21">
        <v>28</v>
      </c>
      <c r="B2511" t="str">
        <f>VLOOKUP(A2511,Products!$A$1:$F$322,2,FALSE)</f>
        <v>Surly Karate Monkey 27.5+ Frameset - 2017</v>
      </c>
      <c r="C2511" s="21" t="e">
        <f>VLOOKUP(A2511,Products!A$322:$D2511,4,FALSE)</f>
        <v>#N/A</v>
      </c>
    </row>
    <row r="2512" spans="1:3" x14ac:dyDescent="0.35">
      <c r="A2512" s="21">
        <v>95</v>
      </c>
      <c r="B2512" t="str">
        <f>VLOOKUP(A2512,Products!$A$1:$F$322,2,FALSE)</f>
        <v>Electra Girl's Hawaii 1 16" - 2017</v>
      </c>
      <c r="C2512" s="21" t="e">
        <f>VLOOKUP(A2512,Products!A$322:$D2512,4,FALSE)</f>
        <v>#N/A</v>
      </c>
    </row>
    <row r="2513" spans="1:3" x14ac:dyDescent="0.35">
      <c r="A2513" s="21">
        <v>5</v>
      </c>
      <c r="B2513" t="str">
        <f>VLOOKUP(A2513,Products!$A$1:$F$322,2,FALSE)</f>
        <v>Heller Shagamaw Frame - 2016</v>
      </c>
      <c r="C2513" s="21" t="e">
        <f>VLOOKUP(A2513,Products!A$322:$D2513,4,FALSE)</f>
        <v>#N/A</v>
      </c>
    </row>
    <row r="2514" spans="1:3" x14ac:dyDescent="0.35">
      <c r="A2514" s="21">
        <v>26</v>
      </c>
      <c r="B2514" t="str">
        <f>VLOOKUP(A2514,Products!$A$1:$F$322,2,FALSE)</f>
        <v>Electra Townie Original 7D EQ - 2016</v>
      </c>
      <c r="C2514" s="21" t="e">
        <f>VLOOKUP(A2514,Products!A$322:$D2514,4,FALSE)</f>
        <v>#N/A</v>
      </c>
    </row>
    <row r="2515" spans="1:3" x14ac:dyDescent="0.35">
      <c r="A2515" s="21">
        <v>66</v>
      </c>
      <c r="B2515" t="str">
        <f>VLOOKUP(A2515,Products!$A$1:$F$322,2,FALSE)</f>
        <v>Sun Bicycles Revolutions 24 - 2017</v>
      </c>
      <c r="C2515" s="21" t="e">
        <f>VLOOKUP(A2515,Products!A$322:$D2515,4,FALSE)</f>
        <v>#N/A</v>
      </c>
    </row>
    <row r="2516" spans="1:3" x14ac:dyDescent="0.35">
      <c r="A2516" s="21">
        <v>98</v>
      </c>
      <c r="B2516" t="str">
        <f>VLOOKUP(A2516,Products!$A$1:$F$322,2,FALSE)</f>
        <v>Electra Straight 8 3i (20-inch) - Boy's - 2017</v>
      </c>
      <c r="C2516" s="21" t="e">
        <f>VLOOKUP(A2516,Products!A$322:$D2516,4,FALSE)</f>
        <v>#N/A</v>
      </c>
    </row>
    <row r="2517" spans="1:3" x14ac:dyDescent="0.35">
      <c r="A2517" s="21">
        <v>50</v>
      </c>
      <c r="B2517" t="str">
        <f>VLOOKUP(A2517,Products!$A$1:$F$322,2,FALSE)</f>
        <v>Trek Silque SLR 7 Women's - 2017</v>
      </c>
      <c r="C2517" s="21" t="e">
        <f>VLOOKUP(A2517,Products!A$322:$D2517,4,FALSE)</f>
        <v>#N/A</v>
      </c>
    </row>
    <row r="2518" spans="1:3" x14ac:dyDescent="0.35">
      <c r="A2518" s="21">
        <v>64</v>
      </c>
      <c r="B2518" t="str">
        <f>VLOOKUP(A2518,Products!$A$1:$F$322,2,FALSE)</f>
        <v>Electra Townie Original 7D - 2017</v>
      </c>
      <c r="C2518" s="21" t="e">
        <f>VLOOKUP(A2518,Products!A$322:$D2518,4,FALSE)</f>
        <v>#N/A</v>
      </c>
    </row>
    <row r="2519" spans="1:3" x14ac:dyDescent="0.35">
      <c r="A2519" s="21">
        <v>67</v>
      </c>
      <c r="B2519" t="str">
        <f>VLOOKUP(A2519,Products!$A$1:$F$322,2,FALSE)</f>
        <v>Sun Bicycles Revolutions 24 - Girl's - 2017</v>
      </c>
      <c r="C2519" s="21" t="e">
        <f>VLOOKUP(A2519,Products!A$322:$D2519,4,FALSE)</f>
        <v>#N/A</v>
      </c>
    </row>
    <row r="2520" spans="1:3" x14ac:dyDescent="0.35">
      <c r="A2520" s="21">
        <v>63</v>
      </c>
      <c r="B2520" t="str">
        <f>VLOOKUP(A2520,Products!$A$1:$F$322,2,FALSE)</f>
        <v>Trek Boone Race Shop Limited - 2017</v>
      </c>
      <c r="C2520" s="21" t="e">
        <f>VLOOKUP(A2520,Products!A$322:$D2520,4,FALSE)</f>
        <v>#N/A</v>
      </c>
    </row>
    <row r="2521" spans="1:3" x14ac:dyDescent="0.35">
      <c r="A2521" s="21">
        <v>108</v>
      </c>
      <c r="B2521" t="str">
        <f>VLOOKUP(A2521,Products!$A$1:$F$322,2,FALSE)</f>
        <v>Sun Bicycles Cruz 3 - Women's - 2017</v>
      </c>
      <c r="C2521" s="21" t="e">
        <f>VLOOKUP(A2521,Products!A$322:$D2521,4,FALSE)</f>
        <v>#N/A</v>
      </c>
    </row>
    <row r="2522" spans="1:3" x14ac:dyDescent="0.35">
      <c r="A2522" s="21">
        <v>57</v>
      </c>
      <c r="B2522" t="str">
        <f>VLOOKUP(A2522,Products!$A$1:$F$322,2,FALSE)</f>
        <v>Trek Emonda S 5 - 2017</v>
      </c>
      <c r="C2522" s="21" t="e">
        <f>VLOOKUP(A2522,Products!A$322:$D2522,4,FALSE)</f>
        <v>#N/A</v>
      </c>
    </row>
    <row r="2523" spans="1:3" x14ac:dyDescent="0.35">
      <c r="A2523" s="21">
        <v>44</v>
      </c>
      <c r="B2523" t="str">
        <f>VLOOKUP(A2523,Products!$A$1:$F$322,2,FALSE)</f>
        <v>Haro SR 1.1 - 2017</v>
      </c>
      <c r="C2523" s="21" t="e">
        <f>VLOOKUP(A2523,Products!A$322:$D2523,4,FALSE)</f>
        <v>#N/A</v>
      </c>
    </row>
    <row r="2524" spans="1:3" x14ac:dyDescent="0.35">
      <c r="A2524" s="21">
        <v>5</v>
      </c>
      <c r="B2524" t="str">
        <f>VLOOKUP(A2524,Products!$A$1:$F$322,2,FALSE)</f>
        <v>Heller Shagamaw Frame - 2016</v>
      </c>
      <c r="C2524" s="21" t="e">
        <f>VLOOKUP(A2524,Products!A$322:$D2524,4,FALSE)</f>
        <v>#N/A</v>
      </c>
    </row>
    <row r="2525" spans="1:3" x14ac:dyDescent="0.35">
      <c r="A2525" s="21">
        <v>49</v>
      </c>
      <c r="B2525" t="str">
        <f>VLOOKUP(A2525,Products!$A$1:$F$322,2,FALSE)</f>
        <v>Trek Domane SL 6 - 2017</v>
      </c>
      <c r="C2525" s="21" t="e">
        <f>VLOOKUP(A2525,Products!A$322:$D2525,4,FALSE)</f>
        <v>#N/A</v>
      </c>
    </row>
    <row r="2526" spans="1:3" x14ac:dyDescent="0.35">
      <c r="A2526" s="21">
        <v>69</v>
      </c>
      <c r="B2526" t="str">
        <f>VLOOKUP(A2526,Products!$A$1:$F$322,2,FALSE)</f>
        <v>Sun Bicycles Cruz 7 - 2017</v>
      </c>
      <c r="C2526" s="21" t="e">
        <f>VLOOKUP(A2526,Products!A$322:$D2526,4,FALSE)</f>
        <v>#N/A</v>
      </c>
    </row>
    <row r="2527" spans="1:3" x14ac:dyDescent="0.35">
      <c r="A2527" s="21">
        <v>46</v>
      </c>
      <c r="B2527" t="str">
        <f>VLOOKUP(A2527,Products!$A$1:$F$322,2,FALSE)</f>
        <v>Haro SR 1.3 - 2017</v>
      </c>
      <c r="C2527" s="21" t="e">
        <f>VLOOKUP(A2527,Products!A$322:$D2527,4,FALSE)</f>
        <v>#N/A</v>
      </c>
    </row>
    <row r="2528" spans="1:3" x14ac:dyDescent="0.35">
      <c r="A2528" s="21">
        <v>10</v>
      </c>
      <c r="B2528" t="str">
        <f>VLOOKUP(A2528,Products!$A$1:$F$322,2,FALSE)</f>
        <v>Surly Straggler - 2016</v>
      </c>
      <c r="C2528" s="21" t="e">
        <f>VLOOKUP(A2528,Products!A$322:$D2528,4,FALSE)</f>
        <v>#N/A</v>
      </c>
    </row>
    <row r="2529" spans="1:3" x14ac:dyDescent="0.35">
      <c r="A2529" s="21">
        <v>21</v>
      </c>
      <c r="B2529" t="str">
        <f>VLOOKUP(A2529,Products!$A$1:$F$322,2,FALSE)</f>
        <v>Electra Cruiser 1 (24-Inch) - 2016</v>
      </c>
      <c r="C2529" s="21" t="e">
        <f>VLOOKUP(A2529,Products!A$322:$D2529,4,FALSE)</f>
        <v>#N/A</v>
      </c>
    </row>
    <row r="2530" spans="1:3" x14ac:dyDescent="0.35">
      <c r="A2530" s="21">
        <v>106</v>
      </c>
      <c r="B2530" t="str">
        <f>VLOOKUP(A2530,Products!$A$1:$F$322,2,FALSE)</f>
        <v>Sun Bicycles Cruz 3 - 2017</v>
      </c>
      <c r="C2530" s="21" t="e">
        <f>VLOOKUP(A2530,Products!A$322:$D2530,4,FALSE)</f>
        <v>#N/A</v>
      </c>
    </row>
    <row r="2531" spans="1:3" x14ac:dyDescent="0.35">
      <c r="A2531" s="21">
        <v>43</v>
      </c>
      <c r="B2531" t="str">
        <f>VLOOKUP(A2531,Products!$A$1:$F$322,2,FALSE)</f>
        <v>Trek Fuel EX 9.8 27.5 Plus - 2017</v>
      </c>
      <c r="C2531" s="21" t="e">
        <f>VLOOKUP(A2531,Products!A$322:$D2531,4,FALSE)</f>
        <v>#N/A</v>
      </c>
    </row>
    <row r="2532" spans="1:3" x14ac:dyDescent="0.35">
      <c r="A2532" s="21">
        <v>47</v>
      </c>
      <c r="B2532" t="str">
        <f>VLOOKUP(A2532,Products!$A$1:$F$322,2,FALSE)</f>
        <v>Trek Remedy 9.8 - 2017</v>
      </c>
      <c r="C2532" s="21" t="e">
        <f>VLOOKUP(A2532,Products!A$322:$D2532,4,FALSE)</f>
        <v>#N/A</v>
      </c>
    </row>
    <row r="2533" spans="1:3" x14ac:dyDescent="0.35">
      <c r="A2533" s="21">
        <v>30</v>
      </c>
      <c r="B2533" t="str">
        <f>VLOOKUP(A2533,Products!$A$1:$F$322,2,FALSE)</f>
        <v>Surly Ice Cream Truck Frameset - 2017</v>
      </c>
      <c r="C2533" s="21" t="e">
        <f>VLOOKUP(A2533,Products!A$322:$D2533,4,FALSE)</f>
        <v>#N/A</v>
      </c>
    </row>
    <row r="2534" spans="1:3" x14ac:dyDescent="0.35">
      <c r="A2534" s="21">
        <v>50</v>
      </c>
      <c r="B2534" t="str">
        <f>VLOOKUP(A2534,Products!$A$1:$F$322,2,FALSE)</f>
        <v>Trek Silque SLR 7 Women's - 2017</v>
      </c>
      <c r="C2534" s="21" t="e">
        <f>VLOOKUP(A2534,Products!A$322:$D2534,4,FALSE)</f>
        <v>#N/A</v>
      </c>
    </row>
    <row r="2535" spans="1:3" x14ac:dyDescent="0.35">
      <c r="A2535" s="21">
        <v>70</v>
      </c>
      <c r="B2535" t="str">
        <f>VLOOKUP(A2535,Products!$A$1:$F$322,2,FALSE)</f>
        <v>Electra Amsterdam Original 3i - 2015/2017</v>
      </c>
      <c r="C2535" s="21" t="e">
        <f>VLOOKUP(A2535,Products!A$322:$D2535,4,FALSE)</f>
        <v>#N/A</v>
      </c>
    </row>
    <row r="2536" spans="1:3" x14ac:dyDescent="0.35">
      <c r="A2536" s="21">
        <v>33</v>
      </c>
      <c r="B2536" t="str">
        <f>VLOOKUP(A2536,Products!$A$1:$F$322,2,FALSE)</f>
        <v>Surly Wednesday Frameset - 2017</v>
      </c>
      <c r="C2536" s="21" t="e">
        <f>VLOOKUP(A2536,Products!A$322:$D2536,4,FALSE)</f>
        <v>#N/A</v>
      </c>
    </row>
    <row r="2537" spans="1:3" x14ac:dyDescent="0.35">
      <c r="A2537" s="21">
        <v>26</v>
      </c>
      <c r="B2537" t="str">
        <f>VLOOKUP(A2537,Products!$A$1:$F$322,2,FALSE)</f>
        <v>Electra Townie Original 7D EQ - 2016</v>
      </c>
      <c r="C2537" s="21" t="e">
        <f>VLOOKUP(A2537,Products!A$322:$D2537,4,FALSE)</f>
        <v>#N/A</v>
      </c>
    </row>
    <row r="2538" spans="1:3" x14ac:dyDescent="0.35">
      <c r="A2538" s="21">
        <v>12</v>
      </c>
      <c r="B2538" t="str">
        <f>VLOOKUP(A2538,Products!$A$1:$F$322,2,FALSE)</f>
        <v>Electra Townie Original 21D - 2016</v>
      </c>
      <c r="C2538" s="21" t="e">
        <f>VLOOKUP(A2538,Products!A$322:$D2538,4,FALSE)</f>
        <v>#N/A</v>
      </c>
    </row>
    <row r="2539" spans="1:3" x14ac:dyDescent="0.35">
      <c r="A2539" s="21">
        <v>16</v>
      </c>
      <c r="B2539" t="str">
        <f>VLOOKUP(A2539,Products!$A$1:$F$322,2,FALSE)</f>
        <v>Electra Townie Original 7D EQ - 2016</v>
      </c>
      <c r="C2539" s="21" t="e">
        <f>VLOOKUP(A2539,Products!A$322:$D2539,4,FALSE)</f>
        <v>#N/A</v>
      </c>
    </row>
    <row r="2540" spans="1:3" x14ac:dyDescent="0.35">
      <c r="A2540" s="21">
        <v>105</v>
      </c>
      <c r="B2540" t="str">
        <f>VLOOKUP(A2540,Products!$A$1:$F$322,2,FALSE)</f>
        <v>Sun Bicycles Streamway 7 - 2017</v>
      </c>
      <c r="C2540" s="21" t="e">
        <f>VLOOKUP(A2540,Products!A$322:$D2540,4,FALSE)</f>
        <v>#N/A</v>
      </c>
    </row>
    <row r="2541" spans="1:3" x14ac:dyDescent="0.35">
      <c r="A2541" s="21">
        <v>52</v>
      </c>
      <c r="B2541" t="str">
        <f>VLOOKUP(A2541,Products!$A$1:$F$322,2,FALSE)</f>
        <v>Surly Steamroller - 2017</v>
      </c>
      <c r="C2541" s="21" t="e">
        <f>VLOOKUP(A2541,Products!A$322:$D2541,4,FALSE)</f>
        <v>#N/A</v>
      </c>
    </row>
    <row r="2542" spans="1:3" x14ac:dyDescent="0.35">
      <c r="A2542" s="21">
        <v>67</v>
      </c>
      <c r="B2542" t="str">
        <f>VLOOKUP(A2542,Products!$A$1:$F$322,2,FALSE)</f>
        <v>Sun Bicycles Revolutions 24 - Girl's - 2017</v>
      </c>
      <c r="C2542" s="21" t="e">
        <f>VLOOKUP(A2542,Products!A$322:$D2542,4,FALSE)</f>
        <v>#N/A</v>
      </c>
    </row>
    <row r="2543" spans="1:3" x14ac:dyDescent="0.35">
      <c r="A2543" s="21">
        <v>65</v>
      </c>
      <c r="B2543" t="str">
        <f>VLOOKUP(A2543,Products!$A$1:$F$322,2,FALSE)</f>
        <v>Sun Bicycles Lil Bolt Type-R - 2017</v>
      </c>
      <c r="C2543" s="21" t="e">
        <f>VLOOKUP(A2543,Products!A$322:$D2543,4,FALSE)</f>
        <v>#N/A</v>
      </c>
    </row>
    <row r="2544" spans="1:3" x14ac:dyDescent="0.35">
      <c r="A2544" s="21">
        <v>107</v>
      </c>
      <c r="B2544" t="str">
        <f>VLOOKUP(A2544,Products!$A$1:$F$322,2,FALSE)</f>
        <v>Sun Bicycles Cruz 7 - 2017</v>
      </c>
      <c r="C2544" s="21" t="e">
        <f>VLOOKUP(A2544,Products!A$322:$D2544,4,FALSE)</f>
        <v>#N/A</v>
      </c>
    </row>
    <row r="2545" spans="1:3" x14ac:dyDescent="0.35">
      <c r="A2545" s="21">
        <v>32</v>
      </c>
      <c r="B2545" t="str">
        <f>VLOOKUP(A2545,Products!$A$1:$F$322,2,FALSE)</f>
        <v>Trek Farley Alloy Frameset - 2017</v>
      </c>
      <c r="C2545" s="21" t="e">
        <f>VLOOKUP(A2545,Products!A$322:$D2545,4,FALSE)</f>
        <v>#N/A</v>
      </c>
    </row>
    <row r="2546" spans="1:3" x14ac:dyDescent="0.35">
      <c r="A2546" s="21">
        <v>35</v>
      </c>
      <c r="B2546" t="str">
        <f>VLOOKUP(A2546,Products!$A$1:$F$322,2,FALSE)</f>
        <v>Sun Bicycles Spider 3i - 2017</v>
      </c>
      <c r="C2546" s="21" t="e">
        <f>VLOOKUP(A2546,Products!A$322:$D2546,4,FALSE)</f>
        <v>#N/A</v>
      </c>
    </row>
    <row r="2547" spans="1:3" x14ac:dyDescent="0.35">
      <c r="A2547" s="21">
        <v>50</v>
      </c>
      <c r="B2547" t="str">
        <f>VLOOKUP(A2547,Products!$A$1:$F$322,2,FALSE)</f>
        <v>Trek Silque SLR 7 Women's - 2017</v>
      </c>
      <c r="C2547" s="21" t="e">
        <f>VLOOKUP(A2547,Products!A$322:$D2547,4,FALSE)</f>
        <v>#N/A</v>
      </c>
    </row>
    <row r="2548" spans="1:3" x14ac:dyDescent="0.35">
      <c r="A2548" s="21">
        <v>36</v>
      </c>
      <c r="B2548" t="str">
        <f>VLOOKUP(A2548,Products!$A$1:$F$322,2,FALSE)</f>
        <v>Surly Troll Frameset - 2017</v>
      </c>
      <c r="C2548" s="21" t="e">
        <f>VLOOKUP(A2548,Products!A$322:$D2548,4,FALSE)</f>
        <v>#N/A</v>
      </c>
    </row>
    <row r="2549" spans="1:3" x14ac:dyDescent="0.35">
      <c r="A2549" s="21">
        <v>9</v>
      </c>
      <c r="B2549" t="str">
        <f>VLOOKUP(A2549,Products!$A$1:$F$322,2,FALSE)</f>
        <v>Trek Conduit+ - 2016</v>
      </c>
      <c r="C2549" s="21" t="e">
        <f>VLOOKUP(A2549,Products!A$322:$D2549,4,FALSE)</f>
        <v>#N/A</v>
      </c>
    </row>
    <row r="2550" spans="1:3" x14ac:dyDescent="0.35">
      <c r="A2550" s="21">
        <v>50</v>
      </c>
      <c r="B2550" t="str">
        <f>VLOOKUP(A2550,Products!$A$1:$F$322,2,FALSE)</f>
        <v>Trek Silque SLR 7 Women's - 2017</v>
      </c>
      <c r="C2550" s="21" t="e">
        <f>VLOOKUP(A2550,Products!A$322:$D2550,4,FALSE)</f>
        <v>#N/A</v>
      </c>
    </row>
    <row r="2551" spans="1:3" x14ac:dyDescent="0.35">
      <c r="A2551" s="21">
        <v>88</v>
      </c>
      <c r="B2551" t="str">
        <f>VLOOKUP(A2551,Products!$A$1:$F$322,2,FALSE)</f>
        <v>Trek Precaliber 12 Girls - 2017</v>
      </c>
      <c r="C2551" s="21" t="e">
        <f>VLOOKUP(A2551,Products!A$322:$D2551,4,FALSE)</f>
        <v>#N/A</v>
      </c>
    </row>
    <row r="2552" spans="1:3" x14ac:dyDescent="0.35">
      <c r="A2552" s="21">
        <v>67</v>
      </c>
      <c r="B2552" t="str">
        <f>VLOOKUP(A2552,Products!$A$1:$F$322,2,FALSE)</f>
        <v>Sun Bicycles Revolutions 24 - Girl's - 2017</v>
      </c>
      <c r="C2552" s="21" t="e">
        <f>VLOOKUP(A2552,Products!A$322:$D2552,4,FALSE)</f>
        <v>#N/A</v>
      </c>
    </row>
    <row r="2553" spans="1:3" x14ac:dyDescent="0.35">
      <c r="A2553" s="21">
        <v>45</v>
      </c>
      <c r="B2553" t="str">
        <f>VLOOKUP(A2553,Products!$A$1:$F$322,2,FALSE)</f>
        <v>Haro SR 1.2 - 2017</v>
      </c>
      <c r="C2553" s="21" t="e">
        <f>VLOOKUP(A2553,Products!A$322:$D2553,4,FALSE)</f>
        <v>#N/A</v>
      </c>
    </row>
    <row r="2554" spans="1:3" x14ac:dyDescent="0.35">
      <c r="A2554" s="21">
        <v>101</v>
      </c>
      <c r="B2554" t="str">
        <f>VLOOKUP(A2554,Products!$A$1:$F$322,2,FALSE)</f>
        <v>Electra Townie 7D (20-inch) - Boys' - 2017</v>
      </c>
      <c r="C2554" s="21" t="e">
        <f>VLOOKUP(A2554,Products!A$322:$D2554,4,FALSE)</f>
        <v>#N/A</v>
      </c>
    </row>
    <row r="2555" spans="1:3" x14ac:dyDescent="0.35">
      <c r="A2555" s="21">
        <v>106</v>
      </c>
      <c r="B2555" t="str">
        <f>VLOOKUP(A2555,Products!$A$1:$F$322,2,FALSE)</f>
        <v>Sun Bicycles Cruz 3 - 2017</v>
      </c>
      <c r="C2555" s="21" t="e">
        <f>VLOOKUP(A2555,Products!A$322:$D2555,4,FALSE)</f>
        <v>#N/A</v>
      </c>
    </row>
    <row r="2556" spans="1:3" x14ac:dyDescent="0.35">
      <c r="A2556" s="21">
        <v>91</v>
      </c>
      <c r="B2556" t="str">
        <f>VLOOKUP(A2556,Products!$A$1:$F$322,2,FALSE)</f>
        <v>Trek Precaliber 24 (21-Speed) - Girls - 2017</v>
      </c>
      <c r="C2556" s="21" t="e">
        <f>VLOOKUP(A2556,Products!A$322:$D2556,4,FALSE)</f>
        <v>#N/A</v>
      </c>
    </row>
    <row r="2557" spans="1:3" x14ac:dyDescent="0.35">
      <c r="A2557" s="21">
        <v>10</v>
      </c>
      <c r="B2557" t="str">
        <f>VLOOKUP(A2557,Products!$A$1:$F$322,2,FALSE)</f>
        <v>Surly Straggler - 2016</v>
      </c>
      <c r="C2557" s="21" t="e">
        <f>VLOOKUP(A2557,Products!A$322:$D2557,4,FALSE)</f>
        <v>#N/A</v>
      </c>
    </row>
    <row r="2558" spans="1:3" x14ac:dyDescent="0.35">
      <c r="A2558" s="21">
        <v>105</v>
      </c>
      <c r="B2558" t="str">
        <f>VLOOKUP(A2558,Products!$A$1:$F$322,2,FALSE)</f>
        <v>Sun Bicycles Streamway 7 - 2017</v>
      </c>
      <c r="C2558" s="21" t="e">
        <f>VLOOKUP(A2558,Products!A$322:$D2558,4,FALSE)</f>
        <v>#N/A</v>
      </c>
    </row>
    <row r="2559" spans="1:3" x14ac:dyDescent="0.35">
      <c r="A2559" s="21">
        <v>96</v>
      </c>
      <c r="B2559" t="str">
        <f>VLOOKUP(A2559,Products!$A$1:$F$322,2,FALSE)</f>
        <v>Electra Moto 3i (20-inch) - Boy's - 2017</v>
      </c>
      <c r="C2559" s="21" t="e">
        <f>VLOOKUP(A2559,Products!A$322:$D2559,4,FALSE)</f>
        <v>#N/A</v>
      </c>
    </row>
    <row r="2560" spans="1:3" x14ac:dyDescent="0.35">
      <c r="A2560" s="21">
        <v>45</v>
      </c>
      <c r="B2560" t="str">
        <f>VLOOKUP(A2560,Products!$A$1:$F$322,2,FALSE)</f>
        <v>Haro SR 1.2 - 2017</v>
      </c>
      <c r="C2560" s="21" t="e">
        <f>VLOOKUP(A2560,Products!A$322:$D2560,4,FALSE)</f>
        <v>#N/A</v>
      </c>
    </row>
    <row r="2561" spans="1:3" x14ac:dyDescent="0.35">
      <c r="A2561" s="21">
        <v>16</v>
      </c>
      <c r="B2561" t="str">
        <f>VLOOKUP(A2561,Products!$A$1:$F$322,2,FALSE)</f>
        <v>Electra Townie Original 7D EQ - 2016</v>
      </c>
      <c r="C2561" s="21" t="e">
        <f>VLOOKUP(A2561,Products!A$322:$D2561,4,FALSE)</f>
        <v>#N/A</v>
      </c>
    </row>
    <row r="2562" spans="1:3" x14ac:dyDescent="0.35">
      <c r="A2562" s="21">
        <v>57</v>
      </c>
      <c r="B2562" t="str">
        <f>VLOOKUP(A2562,Products!$A$1:$F$322,2,FALSE)</f>
        <v>Trek Emonda S 5 - 2017</v>
      </c>
      <c r="C2562" s="21" t="e">
        <f>VLOOKUP(A2562,Products!A$322:$D2562,4,FALSE)</f>
        <v>#N/A</v>
      </c>
    </row>
    <row r="2563" spans="1:3" x14ac:dyDescent="0.35">
      <c r="A2563" s="21">
        <v>69</v>
      </c>
      <c r="B2563" t="str">
        <f>VLOOKUP(A2563,Products!$A$1:$F$322,2,FALSE)</f>
        <v>Sun Bicycles Cruz 7 - 2017</v>
      </c>
      <c r="C2563" s="21" t="e">
        <f>VLOOKUP(A2563,Products!A$322:$D2563,4,FALSE)</f>
        <v>#N/A</v>
      </c>
    </row>
    <row r="2564" spans="1:3" x14ac:dyDescent="0.35">
      <c r="A2564" s="21">
        <v>59</v>
      </c>
      <c r="B2564" t="str">
        <f>VLOOKUP(A2564,Products!$A$1:$F$322,2,FALSE)</f>
        <v>Trek Domane S 5 Disc - 2017</v>
      </c>
      <c r="C2564" s="21" t="e">
        <f>VLOOKUP(A2564,Products!A$322:$D2564,4,FALSE)</f>
        <v>#N/A</v>
      </c>
    </row>
    <row r="2565" spans="1:3" x14ac:dyDescent="0.35">
      <c r="A2565" s="21">
        <v>17</v>
      </c>
      <c r="B2565" t="str">
        <f>VLOOKUP(A2565,Products!$A$1:$F$322,2,FALSE)</f>
        <v>Pure Cycles Vine 8-Speed - 2016</v>
      </c>
      <c r="C2565" s="21" t="e">
        <f>VLOOKUP(A2565,Products!A$322:$D2565,4,FALSE)</f>
        <v>#N/A</v>
      </c>
    </row>
    <row r="2566" spans="1:3" x14ac:dyDescent="0.35">
      <c r="A2566" s="21">
        <v>6</v>
      </c>
      <c r="B2566" t="str">
        <f>VLOOKUP(A2566,Products!$A$1:$F$322,2,FALSE)</f>
        <v>Surly Ice Cream Truck Frameset - 2016</v>
      </c>
      <c r="C2566" s="21" t="e">
        <f>VLOOKUP(A2566,Products!A$322:$D2566,4,FALSE)</f>
        <v>#N/A</v>
      </c>
    </row>
    <row r="2567" spans="1:3" x14ac:dyDescent="0.35">
      <c r="A2567" s="21">
        <v>26</v>
      </c>
      <c r="B2567" t="str">
        <f>VLOOKUP(A2567,Products!$A$1:$F$322,2,FALSE)</f>
        <v>Electra Townie Original 7D EQ - 2016</v>
      </c>
      <c r="C2567" s="21" t="e">
        <f>VLOOKUP(A2567,Products!A$322:$D2567,4,FALSE)</f>
        <v>#N/A</v>
      </c>
    </row>
    <row r="2568" spans="1:3" x14ac:dyDescent="0.35">
      <c r="A2568" s="21">
        <v>108</v>
      </c>
      <c r="B2568" t="str">
        <f>VLOOKUP(A2568,Products!$A$1:$F$322,2,FALSE)</f>
        <v>Sun Bicycles Cruz 3 - Women's - 2017</v>
      </c>
      <c r="C2568" s="21" t="e">
        <f>VLOOKUP(A2568,Products!A$322:$D2568,4,FALSE)</f>
        <v>#N/A</v>
      </c>
    </row>
    <row r="2569" spans="1:3" x14ac:dyDescent="0.35">
      <c r="A2569" s="21">
        <v>89</v>
      </c>
      <c r="B2569" t="str">
        <f>VLOOKUP(A2569,Products!$A$1:$F$322,2,FALSE)</f>
        <v>Trek Precaliber 16 Boys - 2017</v>
      </c>
      <c r="C2569" s="21" t="e">
        <f>VLOOKUP(A2569,Products!A$322:$D2569,4,FALSE)</f>
        <v>#N/A</v>
      </c>
    </row>
    <row r="2570" spans="1:3" x14ac:dyDescent="0.35">
      <c r="A2570" s="21">
        <v>61</v>
      </c>
      <c r="B2570" t="str">
        <f>VLOOKUP(A2570,Products!$A$1:$F$322,2,FALSE)</f>
        <v>Trek Powerfly 8 FS Plus - 2017</v>
      </c>
      <c r="C2570" s="21" t="e">
        <f>VLOOKUP(A2570,Products!A$322:$D2570,4,FALSE)</f>
        <v>#N/A</v>
      </c>
    </row>
    <row r="2571" spans="1:3" x14ac:dyDescent="0.35">
      <c r="A2571" s="21">
        <v>28</v>
      </c>
      <c r="B2571" t="str">
        <f>VLOOKUP(A2571,Products!$A$1:$F$322,2,FALSE)</f>
        <v>Surly Karate Monkey 27.5+ Frameset - 2017</v>
      </c>
      <c r="C2571" s="21" t="e">
        <f>VLOOKUP(A2571,Products!A$322:$D2571,4,FALSE)</f>
        <v>#N/A</v>
      </c>
    </row>
    <row r="2572" spans="1:3" x14ac:dyDescent="0.35">
      <c r="A2572" s="21">
        <v>50</v>
      </c>
      <c r="B2572" t="str">
        <f>VLOOKUP(A2572,Products!$A$1:$F$322,2,FALSE)</f>
        <v>Trek Silque SLR 7 Women's - 2017</v>
      </c>
      <c r="C2572" s="21" t="e">
        <f>VLOOKUP(A2572,Products!A$322:$D2572,4,FALSE)</f>
        <v>#N/A</v>
      </c>
    </row>
    <row r="2573" spans="1:3" x14ac:dyDescent="0.35">
      <c r="A2573" s="21">
        <v>43</v>
      </c>
      <c r="B2573" t="str">
        <f>VLOOKUP(A2573,Products!$A$1:$F$322,2,FALSE)</f>
        <v>Trek Fuel EX 9.8 27.5 Plus - 2017</v>
      </c>
      <c r="C2573" s="21" t="e">
        <f>VLOOKUP(A2573,Products!A$322:$D2573,4,FALSE)</f>
        <v>#N/A</v>
      </c>
    </row>
    <row r="2574" spans="1:3" x14ac:dyDescent="0.35">
      <c r="A2574" s="21">
        <v>38</v>
      </c>
      <c r="B2574" t="str">
        <f>VLOOKUP(A2574,Products!$A$1:$F$322,2,FALSE)</f>
        <v>Haro Flightline Two 26 Plus - 2017</v>
      </c>
      <c r="C2574" s="21" t="e">
        <f>VLOOKUP(A2574,Products!A$322:$D2574,4,FALSE)</f>
        <v>#N/A</v>
      </c>
    </row>
    <row r="2575" spans="1:3" x14ac:dyDescent="0.35">
      <c r="A2575" s="21">
        <v>92</v>
      </c>
      <c r="B2575" t="str">
        <f>VLOOKUP(A2575,Products!$A$1:$F$322,2,FALSE)</f>
        <v>Haro Shredder 20 - 2017</v>
      </c>
      <c r="C2575" s="21" t="e">
        <f>VLOOKUP(A2575,Products!A$322:$D2575,4,FALSE)</f>
        <v>#N/A</v>
      </c>
    </row>
    <row r="2576" spans="1:3" x14ac:dyDescent="0.35">
      <c r="A2576" s="21">
        <v>12</v>
      </c>
      <c r="B2576" t="str">
        <f>VLOOKUP(A2576,Products!$A$1:$F$322,2,FALSE)</f>
        <v>Electra Townie Original 21D - 2016</v>
      </c>
      <c r="C2576" s="21" t="e">
        <f>VLOOKUP(A2576,Products!A$322:$D2576,4,FALSE)</f>
        <v>#N/A</v>
      </c>
    </row>
    <row r="2577" spans="1:3" x14ac:dyDescent="0.35">
      <c r="A2577" s="21">
        <v>76</v>
      </c>
      <c r="B2577" t="str">
        <f>VLOOKUP(A2577,Products!$A$1:$F$322,2,FALSE)</f>
        <v>Electra Girl's Hawaii 1 16" - 2017</v>
      </c>
      <c r="C2577" s="21" t="e">
        <f>VLOOKUP(A2577,Products!A$322:$D2577,4,FALSE)</f>
        <v>#N/A</v>
      </c>
    </row>
    <row r="2578" spans="1:3" x14ac:dyDescent="0.35">
      <c r="A2578" s="21">
        <v>31</v>
      </c>
      <c r="B2578" t="str">
        <f>VLOOKUP(A2578,Products!$A$1:$F$322,2,FALSE)</f>
        <v>Surly Wednesday - 2017</v>
      </c>
      <c r="C2578" s="21" t="e">
        <f>VLOOKUP(A2578,Products!A$322:$D2578,4,FALSE)</f>
        <v>#N/A</v>
      </c>
    </row>
    <row r="2579" spans="1:3" x14ac:dyDescent="0.35">
      <c r="A2579" s="21">
        <v>48</v>
      </c>
      <c r="B2579" t="str">
        <f>VLOOKUP(A2579,Products!$A$1:$F$322,2,FALSE)</f>
        <v>Trek Emonda S 4 - 2017</v>
      </c>
      <c r="C2579" s="21" t="e">
        <f>VLOOKUP(A2579,Products!A$322:$D2579,4,FALSE)</f>
        <v>#N/A</v>
      </c>
    </row>
    <row r="2580" spans="1:3" x14ac:dyDescent="0.35">
      <c r="A2580" s="21">
        <v>36</v>
      </c>
      <c r="B2580" t="str">
        <f>VLOOKUP(A2580,Products!$A$1:$F$322,2,FALSE)</f>
        <v>Surly Troll Frameset - 2017</v>
      </c>
      <c r="C2580" s="21" t="e">
        <f>VLOOKUP(A2580,Products!A$322:$D2580,4,FALSE)</f>
        <v>#N/A</v>
      </c>
    </row>
    <row r="2581" spans="1:3" x14ac:dyDescent="0.35">
      <c r="A2581" s="21">
        <v>51</v>
      </c>
      <c r="B2581" t="str">
        <f>VLOOKUP(A2581,Products!$A$1:$F$322,2,FALSE)</f>
        <v>Trek Silque SLR 8 Women's - 2017</v>
      </c>
      <c r="C2581" s="21" t="e">
        <f>VLOOKUP(A2581,Products!A$322:$D2581,4,FALSE)</f>
        <v>#N/A</v>
      </c>
    </row>
    <row r="2582" spans="1:3" x14ac:dyDescent="0.35">
      <c r="A2582" s="21">
        <v>92</v>
      </c>
      <c r="B2582" t="str">
        <f>VLOOKUP(A2582,Products!$A$1:$F$322,2,FALSE)</f>
        <v>Haro Shredder 20 - 2017</v>
      </c>
      <c r="C2582" s="21" t="e">
        <f>VLOOKUP(A2582,Products!A$322:$D2582,4,FALSE)</f>
        <v>#N/A</v>
      </c>
    </row>
    <row r="2583" spans="1:3" x14ac:dyDescent="0.35">
      <c r="A2583" s="21">
        <v>13</v>
      </c>
      <c r="B2583" t="str">
        <f>VLOOKUP(A2583,Products!$A$1:$F$322,2,FALSE)</f>
        <v>Electra Cruiser 1 (24-Inch) - 2016</v>
      </c>
      <c r="C2583" s="21" t="e">
        <f>VLOOKUP(A2583,Products!A$322:$D2583,4,FALSE)</f>
        <v>#N/A</v>
      </c>
    </row>
    <row r="2584" spans="1:3" x14ac:dyDescent="0.35">
      <c r="A2584" s="21">
        <v>67</v>
      </c>
      <c r="B2584" t="str">
        <f>VLOOKUP(A2584,Products!$A$1:$F$322,2,FALSE)</f>
        <v>Sun Bicycles Revolutions 24 - Girl's - 2017</v>
      </c>
      <c r="C2584" s="21" t="e">
        <f>VLOOKUP(A2584,Products!A$322:$D2584,4,FALSE)</f>
        <v>#N/A</v>
      </c>
    </row>
    <row r="2585" spans="1:3" x14ac:dyDescent="0.35">
      <c r="A2585" s="21">
        <v>62</v>
      </c>
      <c r="B2585" t="str">
        <f>VLOOKUP(A2585,Products!$A$1:$F$322,2,FALSE)</f>
        <v>Trek Boone 7 - 2017</v>
      </c>
      <c r="C2585" s="21" t="e">
        <f>VLOOKUP(A2585,Products!A$322:$D2585,4,FALSE)</f>
        <v>#N/A</v>
      </c>
    </row>
    <row r="2586" spans="1:3" x14ac:dyDescent="0.35">
      <c r="A2586" s="21">
        <v>42</v>
      </c>
      <c r="B2586" t="str">
        <f>VLOOKUP(A2586,Products!$A$1:$F$322,2,FALSE)</f>
        <v>Trek Fuel EX 5 27.5 Plus - 2017</v>
      </c>
      <c r="C2586" s="21" t="e">
        <f>VLOOKUP(A2586,Products!A$322:$D2586,4,FALSE)</f>
        <v>#N/A</v>
      </c>
    </row>
    <row r="2587" spans="1:3" x14ac:dyDescent="0.35">
      <c r="A2587" s="21">
        <v>20</v>
      </c>
      <c r="B2587" t="str">
        <f>VLOOKUP(A2587,Products!$A$1:$F$322,2,FALSE)</f>
        <v>Electra Townie Original 7D EQ - Women's - 2016</v>
      </c>
      <c r="C2587" s="21" t="e">
        <f>VLOOKUP(A2587,Products!A$322:$D2587,4,FALSE)</f>
        <v>#N/A</v>
      </c>
    </row>
    <row r="2588" spans="1:3" x14ac:dyDescent="0.35">
      <c r="A2588" s="21">
        <v>23</v>
      </c>
      <c r="B2588" t="str">
        <f>VLOOKUP(A2588,Products!$A$1:$F$322,2,FALSE)</f>
        <v>Electra Girl's Hawaii 1 (20-inch) - 2015/2016</v>
      </c>
      <c r="C2588" s="21" t="e">
        <f>VLOOKUP(A2588,Products!A$322:$D2588,4,FALSE)</f>
        <v>#N/A</v>
      </c>
    </row>
    <row r="2589" spans="1:3" x14ac:dyDescent="0.35">
      <c r="A2589" s="21">
        <v>28</v>
      </c>
      <c r="B2589" t="str">
        <f>VLOOKUP(A2589,Products!$A$1:$F$322,2,FALSE)</f>
        <v>Surly Karate Monkey 27.5+ Frameset - 2017</v>
      </c>
      <c r="C2589" s="21" t="e">
        <f>VLOOKUP(A2589,Products!A$322:$D2589,4,FALSE)</f>
        <v>#N/A</v>
      </c>
    </row>
    <row r="2590" spans="1:3" x14ac:dyDescent="0.35">
      <c r="A2590" s="21">
        <v>46</v>
      </c>
      <c r="B2590" t="str">
        <f>VLOOKUP(A2590,Products!$A$1:$F$322,2,FALSE)</f>
        <v>Haro SR 1.3 - 2017</v>
      </c>
      <c r="C2590" s="21" t="e">
        <f>VLOOKUP(A2590,Products!A$322:$D2590,4,FALSE)</f>
        <v>#N/A</v>
      </c>
    </row>
    <row r="2591" spans="1:3" x14ac:dyDescent="0.35">
      <c r="A2591" s="21">
        <v>102</v>
      </c>
      <c r="B2591" t="str">
        <f>VLOOKUP(A2591,Products!$A$1:$F$322,2,FALSE)</f>
        <v>Electra Townie Original 7D - 2017</v>
      </c>
      <c r="C2591" s="21" t="e">
        <f>VLOOKUP(A2591,Products!A$322:$D2591,4,FALSE)</f>
        <v>#N/A</v>
      </c>
    </row>
    <row r="2592" spans="1:3" x14ac:dyDescent="0.35">
      <c r="A2592" s="21">
        <v>22</v>
      </c>
      <c r="B2592" t="str">
        <f>VLOOKUP(A2592,Products!$A$1:$F$322,2,FALSE)</f>
        <v>Electra Girl's Hawaii 1 (16-inch) - 2015/2016</v>
      </c>
      <c r="C2592" s="21" t="e">
        <f>VLOOKUP(A2592,Products!A$322:$D2592,4,FALSE)</f>
        <v>#N/A</v>
      </c>
    </row>
    <row r="2593" spans="1:3" x14ac:dyDescent="0.35">
      <c r="A2593" s="21">
        <v>84</v>
      </c>
      <c r="B2593" t="str">
        <f>VLOOKUP(A2593,Products!$A$1:$F$322,2,FALSE)</f>
        <v>Sun Bicycles Lil Kitt'n - 2017</v>
      </c>
      <c r="C2593" s="21" t="e">
        <f>VLOOKUP(A2593,Products!A$322:$D2593,4,FALSE)</f>
        <v>#N/A</v>
      </c>
    </row>
    <row r="2594" spans="1:3" x14ac:dyDescent="0.35">
      <c r="A2594" s="21">
        <v>65</v>
      </c>
      <c r="B2594" t="str">
        <f>VLOOKUP(A2594,Products!$A$1:$F$322,2,FALSE)</f>
        <v>Sun Bicycles Lil Bolt Type-R - 2017</v>
      </c>
      <c r="C2594" s="21" t="e">
        <f>VLOOKUP(A2594,Products!A$322:$D2594,4,FALSE)</f>
        <v>#N/A</v>
      </c>
    </row>
    <row r="2595" spans="1:3" x14ac:dyDescent="0.35">
      <c r="A2595" s="21">
        <v>41</v>
      </c>
      <c r="B2595" t="str">
        <f>VLOOKUP(A2595,Products!$A$1:$F$322,2,FALSE)</f>
        <v>Haro Shift R3 - 2017</v>
      </c>
      <c r="C2595" s="21" t="e">
        <f>VLOOKUP(A2595,Products!A$322:$D2595,4,FALSE)</f>
        <v>#N/A</v>
      </c>
    </row>
    <row r="2596" spans="1:3" x14ac:dyDescent="0.35">
      <c r="A2596" s="21">
        <v>94</v>
      </c>
      <c r="B2596" t="str">
        <f>VLOOKUP(A2596,Products!$A$1:$F$322,2,FALSE)</f>
        <v>Haro Shredder Pro 20 - 2017</v>
      </c>
      <c r="C2596" s="21" t="e">
        <f>VLOOKUP(A2596,Products!A$322:$D2596,4,FALSE)</f>
        <v>#N/A</v>
      </c>
    </row>
    <row r="2597" spans="1:3" x14ac:dyDescent="0.35">
      <c r="A2597" s="21">
        <v>102</v>
      </c>
      <c r="B2597" t="str">
        <f>VLOOKUP(A2597,Products!$A$1:$F$322,2,FALSE)</f>
        <v>Electra Townie Original 7D - 2017</v>
      </c>
      <c r="C2597" s="21" t="e">
        <f>VLOOKUP(A2597,Products!A$322:$D2597,4,FALSE)</f>
        <v>#N/A</v>
      </c>
    </row>
    <row r="2598" spans="1:3" x14ac:dyDescent="0.35">
      <c r="A2598" s="21">
        <v>5</v>
      </c>
      <c r="B2598" t="str">
        <f>VLOOKUP(A2598,Products!$A$1:$F$322,2,FALSE)</f>
        <v>Heller Shagamaw Frame - 2016</v>
      </c>
      <c r="C2598" s="21" t="e">
        <f>VLOOKUP(A2598,Products!A$322:$D2598,4,FALSE)</f>
        <v>#N/A</v>
      </c>
    </row>
    <row r="2599" spans="1:3" x14ac:dyDescent="0.35">
      <c r="A2599" s="21">
        <v>23</v>
      </c>
      <c r="B2599" t="str">
        <f>VLOOKUP(A2599,Products!$A$1:$F$322,2,FALSE)</f>
        <v>Electra Girl's Hawaii 1 (20-inch) - 2015/2016</v>
      </c>
      <c r="C2599" s="21" t="e">
        <f>VLOOKUP(A2599,Products!A$322:$D2599,4,FALSE)</f>
        <v>#N/A</v>
      </c>
    </row>
    <row r="2600" spans="1:3" x14ac:dyDescent="0.35">
      <c r="A2600" s="21">
        <v>66</v>
      </c>
      <c r="B2600" t="str">
        <f>VLOOKUP(A2600,Products!$A$1:$F$322,2,FALSE)</f>
        <v>Sun Bicycles Revolutions 24 - 2017</v>
      </c>
      <c r="C2600" s="21" t="e">
        <f>VLOOKUP(A2600,Products!A$322:$D2600,4,FALSE)</f>
        <v>#N/A</v>
      </c>
    </row>
    <row r="2601" spans="1:3" x14ac:dyDescent="0.35">
      <c r="A2601" s="21">
        <v>106</v>
      </c>
      <c r="B2601" t="str">
        <f>VLOOKUP(A2601,Products!$A$1:$F$322,2,FALSE)</f>
        <v>Sun Bicycles Cruz 3 - 2017</v>
      </c>
      <c r="C2601" s="21" t="e">
        <f>VLOOKUP(A2601,Products!A$322:$D2601,4,FALSE)</f>
        <v>#N/A</v>
      </c>
    </row>
    <row r="2602" spans="1:3" x14ac:dyDescent="0.35">
      <c r="A2602" s="21">
        <v>91</v>
      </c>
      <c r="B2602" t="str">
        <f>VLOOKUP(A2602,Products!$A$1:$F$322,2,FALSE)</f>
        <v>Trek Precaliber 24 (21-Speed) - Girls - 2017</v>
      </c>
      <c r="C2602" s="21" t="e">
        <f>VLOOKUP(A2602,Products!A$322:$D2602,4,FALSE)</f>
        <v>#N/A</v>
      </c>
    </row>
    <row r="2603" spans="1:3" x14ac:dyDescent="0.35">
      <c r="A2603" s="21">
        <v>49</v>
      </c>
      <c r="B2603" t="str">
        <f>VLOOKUP(A2603,Products!$A$1:$F$322,2,FALSE)</f>
        <v>Trek Domane SL 6 - 2017</v>
      </c>
      <c r="C2603" s="21" t="e">
        <f>VLOOKUP(A2603,Products!A$322:$D2603,4,FALSE)</f>
        <v>#N/A</v>
      </c>
    </row>
    <row r="2604" spans="1:3" x14ac:dyDescent="0.35">
      <c r="A2604" s="21">
        <v>22</v>
      </c>
      <c r="B2604" t="str">
        <f>VLOOKUP(A2604,Products!$A$1:$F$322,2,FALSE)</f>
        <v>Electra Girl's Hawaii 1 (16-inch) - 2015/2016</v>
      </c>
      <c r="C2604" s="21" t="e">
        <f>VLOOKUP(A2604,Products!A$322:$D2604,4,FALSE)</f>
        <v>#N/A</v>
      </c>
    </row>
    <row r="2605" spans="1:3" x14ac:dyDescent="0.35">
      <c r="A2605" s="21">
        <v>71</v>
      </c>
      <c r="B2605" t="str">
        <f>VLOOKUP(A2605,Products!$A$1:$F$322,2,FALSE)</f>
        <v>Sun Bicycles Atlas X-Type - 2017</v>
      </c>
      <c r="C2605" s="21" t="e">
        <f>VLOOKUP(A2605,Products!A$322:$D2605,4,FALSE)</f>
        <v>#N/A</v>
      </c>
    </row>
    <row r="2606" spans="1:3" x14ac:dyDescent="0.35">
      <c r="A2606" s="21">
        <v>101</v>
      </c>
      <c r="B2606" t="str">
        <f>VLOOKUP(A2606,Products!$A$1:$F$322,2,FALSE)</f>
        <v>Electra Townie 7D (20-inch) - Boys' - 2017</v>
      </c>
      <c r="C2606" s="21" t="e">
        <f>VLOOKUP(A2606,Products!A$322:$D2606,4,FALSE)</f>
        <v>#N/A</v>
      </c>
    </row>
    <row r="2607" spans="1:3" x14ac:dyDescent="0.35">
      <c r="A2607" s="21">
        <v>2</v>
      </c>
      <c r="B2607" t="str">
        <f>VLOOKUP(A2607,Products!$A$1:$F$322,2,FALSE)</f>
        <v>Ritchey Timberwolf Frameset - 2016</v>
      </c>
      <c r="C2607" s="21" t="e">
        <f>VLOOKUP(A2607,Products!A$322:$D2607,4,FALSE)</f>
        <v>#N/A</v>
      </c>
    </row>
    <row r="2608" spans="1:3" x14ac:dyDescent="0.35">
      <c r="A2608" s="21">
        <v>90</v>
      </c>
      <c r="B2608" t="str">
        <f>VLOOKUP(A2608,Products!$A$1:$F$322,2,FALSE)</f>
        <v>Trek Precaliber 16 Girls - 2017</v>
      </c>
      <c r="C2608" s="21" t="e">
        <f>VLOOKUP(A2608,Products!A$322:$D2608,4,FALSE)</f>
        <v>#N/A</v>
      </c>
    </row>
    <row r="2609" spans="1:3" x14ac:dyDescent="0.35">
      <c r="A2609" s="21">
        <v>24</v>
      </c>
      <c r="B2609" t="str">
        <f>VLOOKUP(A2609,Products!$A$1:$F$322,2,FALSE)</f>
        <v>Electra Townie Original 21D - 2016</v>
      </c>
      <c r="C2609" s="21" t="e">
        <f>VLOOKUP(A2609,Products!A$322:$D2609,4,FALSE)</f>
        <v>#N/A</v>
      </c>
    </row>
    <row r="2610" spans="1:3" x14ac:dyDescent="0.35">
      <c r="A2610" s="21">
        <v>38</v>
      </c>
      <c r="B2610" t="str">
        <f>VLOOKUP(A2610,Products!$A$1:$F$322,2,FALSE)</f>
        <v>Haro Flightline Two 26 Plus - 2017</v>
      </c>
      <c r="C2610" s="21" t="e">
        <f>VLOOKUP(A2610,Products!A$322:$D2610,4,FALSE)</f>
        <v>#N/A</v>
      </c>
    </row>
    <row r="2611" spans="1:3" x14ac:dyDescent="0.35">
      <c r="A2611" s="21">
        <v>20</v>
      </c>
      <c r="B2611" t="str">
        <f>VLOOKUP(A2611,Products!$A$1:$F$322,2,FALSE)</f>
        <v>Electra Townie Original 7D EQ - Women's - 2016</v>
      </c>
      <c r="C2611" s="21" t="e">
        <f>VLOOKUP(A2611,Products!A$322:$D2611,4,FALSE)</f>
        <v>#N/A</v>
      </c>
    </row>
    <row r="2612" spans="1:3" x14ac:dyDescent="0.35">
      <c r="A2612" s="21">
        <v>106</v>
      </c>
      <c r="B2612" t="str">
        <f>VLOOKUP(A2612,Products!$A$1:$F$322,2,FALSE)</f>
        <v>Sun Bicycles Cruz 3 - 2017</v>
      </c>
      <c r="C2612" s="21" t="e">
        <f>VLOOKUP(A2612,Products!A$322:$D2612,4,FALSE)</f>
        <v>#N/A</v>
      </c>
    </row>
    <row r="2613" spans="1:3" x14ac:dyDescent="0.35">
      <c r="A2613" s="21">
        <v>46</v>
      </c>
      <c r="B2613" t="str">
        <f>VLOOKUP(A2613,Products!$A$1:$F$322,2,FALSE)</f>
        <v>Haro SR 1.3 - 2017</v>
      </c>
      <c r="C2613" s="21" t="e">
        <f>VLOOKUP(A2613,Products!A$322:$D2613,4,FALSE)</f>
        <v>#N/A</v>
      </c>
    </row>
    <row r="2614" spans="1:3" x14ac:dyDescent="0.35">
      <c r="A2614" s="21">
        <v>64</v>
      </c>
      <c r="B2614" t="str">
        <f>VLOOKUP(A2614,Products!$A$1:$F$322,2,FALSE)</f>
        <v>Electra Townie Original 7D - 2017</v>
      </c>
      <c r="C2614" s="21" t="e">
        <f>VLOOKUP(A2614,Products!A$322:$D2614,4,FALSE)</f>
        <v>#N/A</v>
      </c>
    </row>
    <row r="2615" spans="1:3" x14ac:dyDescent="0.35">
      <c r="A2615" s="21">
        <v>48</v>
      </c>
      <c r="B2615" t="str">
        <f>VLOOKUP(A2615,Products!$A$1:$F$322,2,FALSE)</f>
        <v>Trek Emonda S 4 - 2017</v>
      </c>
      <c r="C2615" s="21" t="e">
        <f>VLOOKUP(A2615,Products!A$322:$D2615,4,FALSE)</f>
        <v>#N/A</v>
      </c>
    </row>
    <row r="2616" spans="1:3" x14ac:dyDescent="0.35">
      <c r="A2616" s="21">
        <v>42</v>
      </c>
      <c r="B2616" t="str">
        <f>VLOOKUP(A2616,Products!$A$1:$F$322,2,FALSE)</f>
        <v>Trek Fuel EX 5 27.5 Plus - 2017</v>
      </c>
      <c r="C2616" s="21" t="e">
        <f>VLOOKUP(A2616,Products!A$322:$D2616,4,FALSE)</f>
        <v>#N/A</v>
      </c>
    </row>
    <row r="2617" spans="1:3" x14ac:dyDescent="0.35">
      <c r="A2617" s="21">
        <v>2</v>
      </c>
      <c r="B2617" t="str">
        <f>VLOOKUP(A2617,Products!$A$1:$F$322,2,FALSE)</f>
        <v>Ritchey Timberwolf Frameset - 2016</v>
      </c>
      <c r="C2617" s="21" t="e">
        <f>VLOOKUP(A2617,Products!A$322:$D2617,4,FALSE)</f>
        <v>#N/A</v>
      </c>
    </row>
    <row r="2618" spans="1:3" x14ac:dyDescent="0.35">
      <c r="A2618" s="21">
        <v>92</v>
      </c>
      <c r="B2618" t="str">
        <f>VLOOKUP(A2618,Products!$A$1:$F$322,2,FALSE)</f>
        <v>Haro Shredder 20 - 2017</v>
      </c>
      <c r="C2618" s="21" t="e">
        <f>VLOOKUP(A2618,Products!A$322:$D2618,4,FALSE)</f>
        <v>#N/A</v>
      </c>
    </row>
    <row r="2619" spans="1:3" x14ac:dyDescent="0.35">
      <c r="A2619" s="21">
        <v>41</v>
      </c>
      <c r="B2619" t="str">
        <f>VLOOKUP(A2619,Products!$A$1:$F$322,2,FALSE)</f>
        <v>Haro Shift R3 - 2017</v>
      </c>
      <c r="C2619" s="21" t="e">
        <f>VLOOKUP(A2619,Products!A$322:$D2619,4,FALSE)</f>
        <v>#N/A</v>
      </c>
    </row>
    <row r="2620" spans="1:3" x14ac:dyDescent="0.35">
      <c r="A2620" s="21">
        <v>91</v>
      </c>
      <c r="B2620" t="str">
        <f>VLOOKUP(A2620,Products!$A$1:$F$322,2,FALSE)</f>
        <v>Trek Precaliber 24 (21-Speed) - Girls - 2017</v>
      </c>
      <c r="C2620" s="21" t="e">
        <f>VLOOKUP(A2620,Products!A$322:$D2620,4,FALSE)</f>
        <v>#N/A</v>
      </c>
    </row>
    <row r="2621" spans="1:3" x14ac:dyDescent="0.35">
      <c r="A2621" s="21">
        <v>31</v>
      </c>
      <c r="B2621" t="str">
        <f>VLOOKUP(A2621,Products!$A$1:$F$322,2,FALSE)</f>
        <v>Surly Wednesday - 2017</v>
      </c>
      <c r="C2621" s="21" t="e">
        <f>VLOOKUP(A2621,Products!A$322:$D2621,4,FALSE)</f>
        <v>#N/A</v>
      </c>
    </row>
    <row r="2622" spans="1:3" x14ac:dyDescent="0.35">
      <c r="A2622" s="21">
        <v>4</v>
      </c>
      <c r="B2622" t="str">
        <f>VLOOKUP(A2622,Products!$A$1:$F$322,2,FALSE)</f>
        <v>Trek Fuel EX 8 29 - 2016</v>
      </c>
      <c r="C2622" s="21" t="e">
        <f>VLOOKUP(A2622,Products!A$322:$D2622,4,FALSE)</f>
        <v>#N/A</v>
      </c>
    </row>
    <row r="2623" spans="1:3" x14ac:dyDescent="0.35">
      <c r="A2623" s="21">
        <v>7</v>
      </c>
      <c r="B2623" t="str">
        <f>VLOOKUP(A2623,Products!$A$1:$F$322,2,FALSE)</f>
        <v>Trek Slash 8 27.5 - 2016</v>
      </c>
      <c r="C2623" s="21" t="e">
        <f>VLOOKUP(A2623,Products!A$322:$D2623,4,FALSE)</f>
        <v>#N/A</v>
      </c>
    </row>
    <row r="2624" spans="1:3" x14ac:dyDescent="0.35">
      <c r="A2624" s="21">
        <v>44</v>
      </c>
      <c r="B2624" t="str">
        <f>VLOOKUP(A2624,Products!$A$1:$F$322,2,FALSE)</f>
        <v>Haro SR 1.1 - 2017</v>
      </c>
      <c r="C2624" s="21" t="e">
        <f>VLOOKUP(A2624,Products!A$322:$D2624,4,FALSE)</f>
        <v>#N/A</v>
      </c>
    </row>
    <row r="2625" spans="1:3" x14ac:dyDescent="0.35">
      <c r="A2625" s="21">
        <v>76</v>
      </c>
      <c r="B2625" t="str">
        <f>VLOOKUP(A2625,Products!$A$1:$F$322,2,FALSE)</f>
        <v>Electra Girl's Hawaii 1 16" - 2017</v>
      </c>
      <c r="C2625" s="21" t="e">
        <f>VLOOKUP(A2625,Products!A$322:$D2625,4,FALSE)</f>
        <v>#N/A</v>
      </c>
    </row>
    <row r="2626" spans="1:3" x14ac:dyDescent="0.35">
      <c r="A2626" s="21">
        <v>39</v>
      </c>
      <c r="B2626" t="str">
        <f>VLOOKUP(A2626,Products!$A$1:$F$322,2,FALSE)</f>
        <v>Trek Stache 5 - 2017</v>
      </c>
      <c r="C2626" s="21" t="e">
        <f>VLOOKUP(A2626,Products!A$322:$D2626,4,FALSE)</f>
        <v>#N/A</v>
      </c>
    </row>
    <row r="2627" spans="1:3" x14ac:dyDescent="0.35">
      <c r="A2627" s="21">
        <v>78</v>
      </c>
      <c r="B2627" t="str">
        <f>VLOOKUP(A2627,Products!$A$1:$F$322,2,FALSE)</f>
        <v>Sun Bicycles Biscayne Tandem CB - 2017</v>
      </c>
      <c r="C2627" s="21" t="e">
        <f>VLOOKUP(A2627,Products!A$322:$D2627,4,FALSE)</f>
        <v>#N/A</v>
      </c>
    </row>
    <row r="2628" spans="1:3" x14ac:dyDescent="0.35">
      <c r="A2628" s="21">
        <v>80</v>
      </c>
      <c r="B2628" t="str">
        <f>VLOOKUP(A2628,Products!$A$1:$F$322,2,FALSE)</f>
        <v>Sun Bicycles Brickell Tandem CB - 2017</v>
      </c>
      <c r="C2628" s="21" t="e">
        <f>VLOOKUP(A2628,Products!A$322:$D2628,4,FALSE)</f>
        <v>#N/A</v>
      </c>
    </row>
    <row r="2629" spans="1:3" x14ac:dyDescent="0.35">
      <c r="A2629" s="21">
        <v>77</v>
      </c>
      <c r="B2629" t="str">
        <f>VLOOKUP(A2629,Products!$A$1:$F$322,2,FALSE)</f>
        <v>Electra Glam Punk 3i Ladies' - 2017</v>
      </c>
      <c r="C2629" s="21" t="e">
        <f>VLOOKUP(A2629,Products!A$322:$D2629,4,FALSE)</f>
        <v>#N/A</v>
      </c>
    </row>
    <row r="2630" spans="1:3" x14ac:dyDescent="0.35">
      <c r="A2630" s="21">
        <v>75</v>
      </c>
      <c r="B2630" t="str">
        <f>VLOOKUP(A2630,Products!$A$1:$F$322,2,FALSE)</f>
        <v>Electra Cruiser Lux Fat Tire 1 Ladies - 2017</v>
      </c>
      <c r="C2630" s="21" t="e">
        <f>VLOOKUP(A2630,Products!A$322:$D2630,4,FALSE)</f>
        <v>#N/A</v>
      </c>
    </row>
    <row r="2631" spans="1:3" x14ac:dyDescent="0.35">
      <c r="A2631" s="21">
        <v>48</v>
      </c>
      <c r="B2631" t="str">
        <f>VLOOKUP(A2631,Products!$A$1:$F$322,2,FALSE)</f>
        <v>Trek Emonda S 4 - 2017</v>
      </c>
      <c r="C2631" s="21" t="e">
        <f>VLOOKUP(A2631,Products!A$322:$D2631,4,FALSE)</f>
        <v>#N/A</v>
      </c>
    </row>
    <row r="2632" spans="1:3" x14ac:dyDescent="0.35">
      <c r="A2632" s="21">
        <v>68</v>
      </c>
      <c r="B2632" t="str">
        <f>VLOOKUP(A2632,Products!$A$1:$F$322,2,FALSE)</f>
        <v>Sun Bicycles Cruz 3 - 2017</v>
      </c>
      <c r="C2632" s="21" t="e">
        <f>VLOOKUP(A2632,Products!A$322:$D2632,4,FALSE)</f>
        <v>#N/A</v>
      </c>
    </row>
    <row r="2633" spans="1:3" x14ac:dyDescent="0.35">
      <c r="A2633" s="21">
        <v>73</v>
      </c>
      <c r="B2633" t="str">
        <f>VLOOKUP(A2633,Products!$A$1:$F$322,2,FALSE)</f>
        <v>Sun Bicycles Brickell Tandem 7 - 2017</v>
      </c>
      <c r="C2633" s="21" t="e">
        <f>VLOOKUP(A2633,Products!A$322:$D2633,4,FALSE)</f>
        <v>#N/A</v>
      </c>
    </row>
    <row r="2634" spans="1:3" x14ac:dyDescent="0.35">
      <c r="A2634" s="21">
        <v>86</v>
      </c>
      <c r="B2634" t="str">
        <f>VLOOKUP(A2634,Products!$A$1:$F$322,2,FALSE)</f>
        <v>Trek Girl's Kickster - 2017</v>
      </c>
      <c r="C2634" s="21" t="e">
        <f>VLOOKUP(A2634,Products!A$322:$D2634,4,FALSE)</f>
        <v>#N/A</v>
      </c>
    </row>
    <row r="2635" spans="1:3" x14ac:dyDescent="0.35">
      <c r="A2635" s="21">
        <v>74</v>
      </c>
      <c r="B2635" t="str">
        <f>VLOOKUP(A2635,Products!$A$1:$F$322,2,FALSE)</f>
        <v>Electra Cruiser Lux 1 - 2017</v>
      </c>
      <c r="C2635" s="21" t="e">
        <f>VLOOKUP(A2635,Products!A$322:$D2635,4,FALSE)</f>
        <v>#N/A</v>
      </c>
    </row>
    <row r="2636" spans="1:3" x14ac:dyDescent="0.35">
      <c r="A2636" s="21">
        <v>6</v>
      </c>
      <c r="B2636" t="str">
        <f>VLOOKUP(A2636,Products!$A$1:$F$322,2,FALSE)</f>
        <v>Surly Ice Cream Truck Frameset - 2016</v>
      </c>
      <c r="C2636" s="21" t="e">
        <f>VLOOKUP(A2636,Products!A$322:$D2636,4,FALSE)</f>
        <v>#N/A</v>
      </c>
    </row>
    <row r="2637" spans="1:3" x14ac:dyDescent="0.35">
      <c r="A2637" s="21">
        <v>97</v>
      </c>
      <c r="B2637" t="str">
        <f>VLOOKUP(A2637,Products!$A$1:$F$322,2,FALSE)</f>
        <v>Electra Savannah 3i (20-inch) - Girl's - 2017</v>
      </c>
      <c r="C2637" s="21" t="e">
        <f>VLOOKUP(A2637,Products!A$322:$D2637,4,FALSE)</f>
        <v>#N/A</v>
      </c>
    </row>
    <row r="2638" spans="1:3" x14ac:dyDescent="0.35">
      <c r="A2638" s="21">
        <v>36</v>
      </c>
      <c r="B2638" t="str">
        <f>VLOOKUP(A2638,Products!$A$1:$F$322,2,FALSE)</f>
        <v>Surly Troll Frameset - 2017</v>
      </c>
      <c r="C2638" s="21" t="e">
        <f>VLOOKUP(A2638,Products!A$322:$D2638,4,FALSE)</f>
        <v>#N/A</v>
      </c>
    </row>
    <row r="2639" spans="1:3" x14ac:dyDescent="0.35">
      <c r="A2639" s="21">
        <v>97</v>
      </c>
      <c r="B2639" t="str">
        <f>VLOOKUP(A2639,Products!$A$1:$F$322,2,FALSE)</f>
        <v>Electra Savannah 3i (20-inch) - Girl's - 2017</v>
      </c>
      <c r="C2639" s="21" t="e">
        <f>VLOOKUP(A2639,Products!A$322:$D2639,4,FALSE)</f>
        <v>#N/A</v>
      </c>
    </row>
    <row r="2640" spans="1:3" x14ac:dyDescent="0.35">
      <c r="A2640" s="21">
        <v>62</v>
      </c>
      <c r="B2640" t="str">
        <f>VLOOKUP(A2640,Products!$A$1:$F$322,2,FALSE)</f>
        <v>Trek Boone 7 - 2017</v>
      </c>
      <c r="C2640" s="21" t="e">
        <f>VLOOKUP(A2640,Products!A$322:$D2640,4,FALSE)</f>
        <v>#N/A</v>
      </c>
    </row>
    <row r="2641" spans="1:3" x14ac:dyDescent="0.35">
      <c r="A2641" s="21">
        <v>37</v>
      </c>
      <c r="B2641" t="str">
        <f>VLOOKUP(A2641,Products!$A$1:$F$322,2,FALSE)</f>
        <v>Haro Flightline One ST - 2017</v>
      </c>
      <c r="C2641" s="21" t="e">
        <f>VLOOKUP(A2641,Products!A$322:$D2641,4,FALSE)</f>
        <v>#N/A</v>
      </c>
    </row>
    <row r="2642" spans="1:3" x14ac:dyDescent="0.35">
      <c r="A2642" s="21">
        <v>74</v>
      </c>
      <c r="B2642" t="str">
        <f>VLOOKUP(A2642,Products!$A$1:$F$322,2,FALSE)</f>
        <v>Electra Cruiser Lux 1 - 2017</v>
      </c>
      <c r="C2642" s="21" t="e">
        <f>VLOOKUP(A2642,Products!A$322:$D2642,4,FALSE)</f>
        <v>#N/A</v>
      </c>
    </row>
    <row r="2643" spans="1:3" x14ac:dyDescent="0.35">
      <c r="A2643" s="21">
        <v>16</v>
      </c>
      <c r="B2643" t="str">
        <f>VLOOKUP(A2643,Products!$A$1:$F$322,2,FALSE)</f>
        <v>Electra Townie Original 7D EQ - 2016</v>
      </c>
      <c r="C2643" s="21" t="e">
        <f>VLOOKUP(A2643,Products!A$322:$D2643,4,FALSE)</f>
        <v>#N/A</v>
      </c>
    </row>
    <row r="2644" spans="1:3" x14ac:dyDescent="0.35">
      <c r="A2644" s="21">
        <v>50</v>
      </c>
      <c r="B2644" t="str">
        <f>VLOOKUP(A2644,Products!$A$1:$F$322,2,FALSE)</f>
        <v>Trek Silque SLR 7 Women's - 2017</v>
      </c>
      <c r="C2644" s="21" t="e">
        <f>VLOOKUP(A2644,Products!A$322:$D2644,4,FALSE)</f>
        <v>#N/A</v>
      </c>
    </row>
    <row r="2645" spans="1:3" x14ac:dyDescent="0.35">
      <c r="A2645" s="21">
        <v>3</v>
      </c>
      <c r="B2645" t="str">
        <f>VLOOKUP(A2645,Products!$A$1:$F$322,2,FALSE)</f>
        <v>Surly Wednesday Frameset - 2016</v>
      </c>
      <c r="C2645" s="21" t="e">
        <f>VLOOKUP(A2645,Products!A$322:$D2645,4,FALSE)</f>
        <v>#N/A</v>
      </c>
    </row>
    <row r="2646" spans="1:3" x14ac:dyDescent="0.35">
      <c r="A2646" s="21">
        <v>43</v>
      </c>
      <c r="B2646" t="str">
        <f>VLOOKUP(A2646,Products!$A$1:$F$322,2,FALSE)</f>
        <v>Trek Fuel EX 9.8 27.5 Plus - 2017</v>
      </c>
      <c r="C2646" s="21" t="e">
        <f>VLOOKUP(A2646,Products!A$322:$D2646,4,FALSE)</f>
        <v>#N/A</v>
      </c>
    </row>
    <row r="2647" spans="1:3" x14ac:dyDescent="0.35">
      <c r="A2647" s="21">
        <v>71</v>
      </c>
      <c r="B2647" t="str">
        <f>VLOOKUP(A2647,Products!$A$1:$F$322,2,FALSE)</f>
        <v>Sun Bicycles Atlas X-Type - 2017</v>
      </c>
      <c r="C2647" s="21" t="e">
        <f>VLOOKUP(A2647,Products!A$322:$D2647,4,FALSE)</f>
        <v>#N/A</v>
      </c>
    </row>
    <row r="2648" spans="1:3" x14ac:dyDescent="0.35">
      <c r="A2648" s="21">
        <v>83</v>
      </c>
      <c r="B2648" t="str">
        <f>VLOOKUP(A2648,Products!$A$1:$F$322,2,FALSE)</f>
        <v>Trek Boy's Kickster - 2015/2017</v>
      </c>
      <c r="C2648" s="21" t="e">
        <f>VLOOKUP(A2648,Products!A$322:$D2648,4,FALSE)</f>
        <v>#N/A</v>
      </c>
    </row>
    <row r="2649" spans="1:3" x14ac:dyDescent="0.35">
      <c r="A2649" s="21">
        <v>82</v>
      </c>
      <c r="B2649" t="str">
        <f>VLOOKUP(A2649,Products!$A$1:$F$322,2,FALSE)</f>
        <v>Electra Amsterdam Original 3i Ladies' - 2017</v>
      </c>
      <c r="C2649" s="21" t="e">
        <f>VLOOKUP(A2649,Products!A$322:$D2649,4,FALSE)</f>
        <v>#N/A</v>
      </c>
    </row>
    <row r="2650" spans="1:3" x14ac:dyDescent="0.35">
      <c r="A2650" s="21">
        <v>63</v>
      </c>
      <c r="B2650" t="str">
        <f>VLOOKUP(A2650,Products!$A$1:$F$322,2,FALSE)</f>
        <v>Trek Boone Race Shop Limited - 2017</v>
      </c>
      <c r="C2650" s="21" t="e">
        <f>VLOOKUP(A2650,Products!A$322:$D2650,4,FALSE)</f>
        <v>#N/A</v>
      </c>
    </row>
    <row r="2651" spans="1:3" x14ac:dyDescent="0.35">
      <c r="A2651" s="21">
        <v>24</v>
      </c>
      <c r="B2651" t="str">
        <f>VLOOKUP(A2651,Products!$A$1:$F$322,2,FALSE)</f>
        <v>Electra Townie Original 21D - 2016</v>
      </c>
      <c r="C2651" s="21" t="e">
        <f>VLOOKUP(A2651,Products!A$322:$D2651,4,FALSE)</f>
        <v>#N/A</v>
      </c>
    </row>
    <row r="2652" spans="1:3" x14ac:dyDescent="0.35">
      <c r="A2652" s="21">
        <v>56</v>
      </c>
      <c r="B2652" t="str">
        <f>VLOOKUP(A2652,Products!$A$1:$F$322,2,FALSE)</f>
        <v>Trek Domane SLR 6 Disc - 2017</v>
      </c>
      <c r="C2652" s="21" t="e">
        <f>VLOOKUP(A2652,Products!A$322:$D2652,4,FALSE)</f>
        <v>#N/A</v>
      </c>
    </row>
    <row r="2653" spans="1:3" x14ac:dyDescent="0.35">
      <c r="A2653" s="21">
        <v>82</v>
      </c>
      <c r="B2653" t="str">
        <f>VLOOKUP(A2653,Products!$A$1:$F$322,2,FALSE)</f>
        <v>Electra Amsterdam Original 3i Ladies' - 2017</v>
      </c>
      <c r="C2653" s="21" t="e">
        <f>VLOOKUP(A2653,Products!A$322:$D2653,4,FALSE)</f>
        <v>#N/A</v>
      </c>
    </row>
    <row r="2654" spans="1:3" x14ac:dyDescent="0.35">
      <c r="A2654" s="21">
        <v>60</v>
      </c>
      <c r="B2654" t="str">
        <f>VLOOKUP(A2654,Products!$A$1:$F$322,2,FALSE)</f>
        <v>Sun Bicycles ElectroLite - 2017</v>
      </c>
      <c r="C2654" s="21" t="e">
        <f>VLOOKUP(A2654,Products!A$322:$D2654,4,FALSE)</f>
        <v>#N/A</v>
      </c>
    </row>
    <row r="2655" spans="1:3" x14ac:dyDescent="0.35">
      <c r="A2655" s="21">
        <v>65</v>
      </c>
      <c r="B2655" t="str">
        <f>VLOOKUP(A2655,Products!$A$1:$F$322,2,FALSE)</f>
        <v>Sun Bicycles Lil Bolt Type-R - 2017</v>
      </c>
      <c r="C2655" s="21" t="e">
        <f>VLOOKUP(A2655,Products!A$322:$D2655,4,FALSE)</f>
        <v>#N/A</v>
      </c>
    </row>
    <row r="2656" spans="1:3" x14ac:dyDescent="0.35">
      <c r="A2656" s="21">
        <v>51</v>
      </c>
      <c r="B2656" t="str">
        <f>VLOOKUP(A2656,Products!$A$1:$F$322,2,FALSE)</f>
        <v>Trek Silque SLR 8 Women's - 2017</v>
      </c>
      <c r="C2656" s="21" t="e">
        <f>VLOOKUP(A2656,Products!A$322:$D2656,4,FALSE)</f>
        <v>#N/A</v>
      </c>
    </row>
    <row r="2657" spans="1:3" x14ac:dyDescent="0.35">
      <c r="A2657" s="21">
        <v>49</v>
      </c>
      <c r="B2657" t="str">
        <f>VLOOKUP(A2657,Products!$A$1:$F$322,2,FALSE)</f>
        <v>Trek Domane SL 6 - 2017</v>
      </c>
      <c r="C2657" s="21" t="e">
        <f>VLOOKUP(A2657,Products!A$322:$D2657,4,FALSE)</f>
        <v>#N/A</v>
      </c>
    </row>
    <row r="2658" spans="1:3" x14ac:dyDescent="0.35">
      <c r="A2658" s="21">
        <v>76</v>
      </c>
      <c r="B2658" t="str">
        <f>VLOOKUP(A2658,Products!$A$1:$F$322,2,FALSE)</f>
        <v>Electra Girl's Hawaii 1 16" - 2017</v>
      </c>
      <c r="C2658" s="21" t="e">
        <f>VLOOKUP(A2658,Products!A$322:$D2658,4,FALSE)</f>
        <v>#N/A</v>
      </c>
    </row>
    <row r="2659" spans="1:3" x14ac:dyDescent="0.35">
      <c r="A2659" s="21">
        <v>74</v>
      </c>
      <c r="B2659" t="str">
        <f>VLOOKUP(A2659,Products!$A$1:$F$322,2,FALSE)</f>
        <v>Electra Cruiser Lux 1 - 2017</v>
      </c>
      <c r="C2659" s="21" t="e">
        <f>VLOOKUP(A2659,Products!A$322:$D2659,4,FALSE)</f>
        <v>#N/A</v>
      </c>
    </row>
    <row r="2660" spans="1:3" x14ac:dyDescent="0.35">
      <c r="A2660" s="21">
        <v>77</v>
      </c>
      <c r="B2660" t="str">
        <f>VLOOKUP(A2660,Products!$A$1:$F$322,2,FALSE)</f>
        <v>Electra Glam Punk 3i Ladies' - 2017</v>
      </c>
      <c r="C2660" s="21" t="e">
        <f>VLOOKUP(A2660,Products!A$322:$D2660,4,FALSE)</f>
        <v>#N/A</v>
      </c>
    </row>
    <row r="2661" spans="1:3" x14ac:dyDescent="0.35">
      <c r="A2661" s="21">
        <v>21</v>
      </c>
      <c r="B2661" t="str">
        <f>VLOOKUP(A2661,Products!$A$1:$F$322,2,FALSE)</f>
        <v>Electra Cruiser 1 (24-Inch) - 2016</v>
      </c>
      <c r="C2661" s="21" t="e">
        <f>VLOOKUP(A2661,Products!A$322:$D2661,4,FALSE)</f>
        <v>#N/A</v>
      </c>
    </row>
    <row r="2662" spans="1:3" x14ac:dyDescent="0.35">
      <c r="A2662" s="21">
        <v>75</v>
      </c>
      <c r="B2662" t="str">
        <f>VLOOKUP(A2662,Products!$A$1:$F$322,2,FALSE)</f>
        <v>Electra Cruiser Lux Fat Tire 1 Ladies - 2017</v>
      </c>
      <c r="C2662" s="21" t="e">
        <f>VLOOKUP(A2662,Products!A$322:$D2662,4,FALSE)</f>
        <v>#N/A</v>
      </c>
    </row>
    <row r="2663" spans="1:3" x14ac:dyDescent="0.35">
      <c r="A2663" s="21">
        <v>35</v>
      </c>
      <c r="B2663" t="str">
        <f>VLOOKUP(A2663,Products!$A$1:$F$322,2,FALSE)</f>
        <v>Sun Bicycles Spider 3i - 2017</v>
      </c>
      <c r="C2663" s="21" t="e">
        <f>VLOOKUP(A2663,Products!A$322:$D2663,4,FALSE)</f>
        <v>#N/A</v>
      </c>
    </row>
    <row r="2664" spans="1:3" x14ac:dyDescent="0.35">
      <c r="A2664" s="21">
        <v>48</v>
      </c>
      <c r="B2664" t="str">
        <f>VLOOKUP(A2664,Products!$A$1:$F$322,2,FALSE)</f>
        <v>Trek Emonda S 4 - 2017</v>
      </c>
      <c r="C2664" s="21" t="e">
        <f>VLOOKUP(A2664,Products!A$322:$D2664,4,FALSE)</f>
        <v>#N/A</v>
      </c>
    </row>
    <row r="2665" spans="1:3" x14ac:dyDescent="0.35">
      <c r="A2665" s="21">
        <v>18</v>
      </c>
      <c r="B2665" t="str">
        <f>VLOOKUP(A2665,Products!$A$1:$F$322,2,FALSE)</f>
        <v>Pure Cycles Western 3-Speed - Women's - 2015/2016</v>
      </c>
      <c r="C2665" s="21" t="e">
        <f>VLOOKUP(A2665,Products!A$322:$D2665,4,FALSE)</f>
        <v>#N/A</v>
      </c>
    </row>
    <row r="2666" spans="1:3" x14ac:dyDescent="0.35">
      <c r="A2666" s="21">
        <v>61</v>
      </c>
      <c r="B2666" t="str">
        <f>VLOOKUP(A2666,Products!$A$1:$F$322,2,FALSE)</f>
        <v>Trek Powerfly 8 FS Plus - 2017</v>
      </c>
      <c r="C2666" s="21" t="e">
        <f>VLOOKUP(A2666,Products!A$322:$D2666,4,FALSE)</f>
        <v>#N/A</v>
      </c>
    </row>
    <row r="2667" spans="1:3" x14ac:dyDescent="0.35">
      <c r="A2667" s="21">
        <v>56</v>
      </c>
      <c r="B2667" t="str">
        <f>VLOOKUP(A2667,Products!$A$1:$F$322,2,FALSE)</f>
        <v>Trek Domane SLR 6 Disc - 2017</v>
      </c>
      <c r="C2667" s="21" t="e">
        <f>VLOOKUP(A2667,Products!A$322:$D2667,4,FALSE)</f>
        <v>#N/A</v>
      </c>
    </row>
    <row r="2668" spans="1:3" x14ac:dyDescent="0.35">
      <c r="A2668" s="21">
        <v>65</v>
      </c>
      <c r="B2668" t="str">
        <f>VLOOKUP(A2668,Products!$A$1:$F$322,2,FALSE)</f>
        <v>Sun Bicycles Lil Bolt Type-R - 2017</v>
      </c>
      <c r="C2668" s="21" t="e">
        <f>VLOOKUP(A2668,Products!A$322:$D2668,4,FALSE)</f>
        <v>#N/A</v>
      </c>
    </row>
    <row r="2669" spans="1:3" x14ac:dyDescent="0.35">
      <c r="A2669" s="21">
        <v>76</v>
      </c>
      <c r="B2669" t="str">
        <f>VLOOKUP(A2669,Products!$A$1:$F$322,2,FALSE)</f>
        <v>Electra Girl's Hawaii 1 16" - 2017</v>
      </c>
      <c r="C2669" s="21" t="e">
        <f>VLOOKUP(A2669,Products!A$322:$D2669,4,FALSE)</f>
        <v>#N/A</v>
      </c>
    </row>
    <row r="2670" spans="1:3" x14ac:dyDescent="0.35">
      <c r="A2670" s="21">
        <v>6</v>
      </c>
      <c r="B2670" t="str">
        <f>VLOOKUP(A2670,Products!$A$1:$F$322,2,FALSE)</f>
        <v>Surly Ice Cream Truck Frameset - 2016</v>
      </c>
      <c r="C2670" s="21" t="e">
        <f>VLOOKUP(A2670,Products!A$322:$D2670,4,FALSE)</f>
        <v>#N/A</v>
      </c>
    </row>
    <row r="2671" spans="1:3" x14ac:dyDescent="0.35">
      <c r="A2671" s="21">
        <v>38</v>
      </c>
      <c r="B2671" t="str">
        <f>VLOOKUP(A2671,Products!$A$1:$F$322,2,FALSE)</f>
        <v>Haro Flightline Two 26 Plus - 2017</v>
      </c>
      <c r="C2671" s="21" t="e">
        <f>VLOOKUP(A2671,Products!A$322:$D2671,4,FALSE)</f>
        <v>#N/A</v>
      </c>
    </row>
    <row r="2672" spans="1:3" x14ac:dyDescent="0.35">
      <c r="A2672" s="21">
        <v>70</v>
      </c>
      <c r="B2672" t="str">
        <f>VLOOKUP(A2672,Products!$A$1:$F$322,2,FALSE)</f>
        <v>Electra Amsterdam Original 3i - 2015/2017</v>
      </c>
      <c r="C2672" s="21" t="e">
        <f>VLOOKUP(A2672,Products!A$322:$D2672,4,FALSE)</f>
        <v>#N/A</v>
      </c>
    </row>
    <row r="2673" spans="1:3" x14ac:dyDescent="0.35">
      <c r="A2673" s="21">
        <v>44</v>
      </c>
      <c r="B2673" t="str">
        <f>VLOOKUP(A2673,Products!$A$1:$F$322,2,FALSE)</f>
        <v>Haro SR 1.1 - 2017</v>
      </c>
      <c r="C2673" s="21" t="e">
        <f>VLOOKUP(A2673,Products!A$322:$D2673,4,FALSE)</f>
        <v>#N/A</v>
      </c>
    </row>
    <row r="2674" spans="1:3" x14ac:dyDescent="0.35">
      <c r="A2674" s="21">
        <v>108</v>
      </c>
      <c r="B2674" t="str">
        <f>VLOOKUP(A2674,Products!$A$1:$F$322,2,FALSE)</f>
        <v>Sun Bicycles Cruz 3 - Women's - 2017</v>
      </c>
      <c r="C2674" s="21" t="e">
        <f>VLOOKUP(A2674,Products!A$322:$D2674,4,FALSE)</f>
        <v>#N/A</v>
      </c>
    </row>
    <row r="2675" spans="1:3" x14ac:dyDescent="0.35">
      <c r="A2675" s="21">
        <v>51</v>
      </c>
      <c r="B2675" t="str">
        <f>VLOOKUP(A2675,Products!$A$1:$F$322,2,FALSE)</f>
        <v>Trek Silque SLR 8 Women's - 2017</v>
      </c>
      <c r="C2675" s="21" t="e">
        <f>VLOOKUP(A2675,Products!A$322:$D2675,4,FALSE)</f>
        <v>#N/A</v>
      </c>
    </row>
    <row r="2676" spans="1:3" x14ac:dyDescent="0.35">
      <c r="A2676" s="21">
        <v>58</v>
      </c>
      <c r="B2676" t="str">
        <f>VLOOKUP(A2676,Products!$A$1:$F$322,2,FALSE)</f>
        <v>Trek Madone 9.2 - 2017</v>
      </c>
      <c r="C2676" s="21" t="e">
        <f>VLOOKUP(A2676,Products!A$322:$D2676,4,FALSE)</f>
        <v>#N/A</v>
      </c>
    </row>
    <row r="2677" spans="1:3" x14ac:dyDescent="0.35">
      <c r="A2677" s="21">
        <v>28</v>
      </c>
      <c r="B2677" t="str">
        <f>VLOOKUP(A2677,Products!$A$1:$F$322,2,FALSE)</f>
        <v>Surly Karate Monkey 27.5+ Frameset - 2017</v>
      </c>
      <c r="C2677" s="21" t="e">
        <f>VLOOKUP(A2677,Products!A$322:$D2677,4,FALSE)</f>
        <v>#N/A</v>
      </c>
    </row>
    <row r="2678" spans="1:3" x14ac:dyDescent="0.35">
      <c r="A2678" s="21">
        <v>66</v>
      </c>
      <c r="B2678" t="str">
        <f>VLOOKUP(A2678,Products!$A$1:$F$322,2,FALSE)</f>
        <v>Sun Bicycles Revolutions 24 - 2017</v>
      </c>
      <c r="C2678" s="21" t="e">
        <f>VLOOKUP(A2678,Products!A$322:$D2678,4,FALSE)</f>
        <v>#N/A</v>
      </c>
    </row>
    <row r="2679" spans="1:3" x14ac:dyDescent="0.35">
      <c r="A2679" s="21">
        <v>4</v>
      </c>
      <c r="B2679" t="str">
        <f>VLOOKUP(A2679,Products!$A$1:$F$322,2,FALSE)</f>
        <v>Trek Fuel EX 8 29 - 2016</v>
      </c>
      <c r="C2679" s="21" t="e">
        <f>VLOOKUP(A2679,Products!A$322:$D2679,4,FALSE)</f>
        <v>#N/A</v>
      </c>
    </row>
    <row r="2680" spans="1:3" x14ac:dyDescent="0.35">
      <c r="A2680" s="21">
        <v>13</v>
      </c>
      <c r="B2680" t="str">
        <f>VLOOKUP(A2680,Products!$A$1:$F$322,2,FALSE)</f>
        <v>Electra Cruiser 1 (24-Inch) - 2016</v>
      </c>
      <c r="C2680" s="21" t="e">
        <f>VLOOKUP(A2680,Products!A$322:$D2680,4,FALSE)</f>
        <v>#N/A</v>
      </c>
    </row>
    <row r="2681" spans="1:3" x14ac:dyDescent="0.35">
      <c r="A2681" s="21">
        <v>5</v>
      </c>
      <c r="B2681" t="str">
        <f>VLOOKUP(A2681,Products!$A$1:$F$322,2,FALSE)</f>
        <v>Heller Shagamaw Frame - 2016</v>
      </c>
      <c r="C2681" s="21" t="e">
        <f>VLOOKUP(A2681,Products!A$322:$D2681,4,FALSE)</f>
        <v>#N/A</v>
      </c>
    </row>
    <row r="2682" spans="1:3" x14ac:dyDescent="0.35">
      <c r="A2682" s="21">
        <v>107</v>
      </c>
      <c r="B2682" t="str">
        <f>VLOOKUP(A2682,Products!$A$1:$F$322,2,FALSE)</f>
        <v>Sun Bicycles Cruz 7 - 2017</v>
      </c>
      <c r="C2682" s="21" t="e">
        <f>VLOOKUP(A2682,Products!A$322:$D2682,4,FALSE)</f>
        <v>#N/A</v>
      </c>
    </row>
    <row r="2683" spans="1:3" x14ac:dyDescent="0.35">
      <c r="A2683" s="21">
        <v>75</v>
      </c>
      <c r="B2683" t="str">
        <f>VLOOKUP(A2683,Products!$A$1:$F$322,2,FALSE)</f>
        <v>Electra Cruiser Lux Fat Tire 1 Ladies - 2017</v>
      </c>
      <c r="C2683" s="21" t="e">
        <f>VLOOKUP(A2683,Products!A$322:$D2683,4,FALSE)</f>
        <v>#N/A</v>
      </c>
    </row>
    <row r="2684" spans="1:3" x14ac:dyDescent="0.35">
      <c r="A2684" s="21">
        <v>25</v>
      </c>
      <c r="B2684" t="str">
        <f>VLOOKUP(A2684,Products!$A$1:$F$322,2,FALSE)</f>
        <v>Electra Townie Original 7D - 2015/2016</v>
      </c>
      <c r="C2684" s="21" t="e">
        <f>VLOOKUP(A2684,Products!A$322:$D2684,4,FALSE)</f>
        <v>#N/A</v>
      </c>
    </row>
    <row r="2685" spans="1:3" x14ac:dyDescent="0.35">
      <c r="A2685" s="21">
        <v>102</v>
      </c>
      <c r="B2685" t="str">
        <f>VLOOKUP(A2685,Products!$A$1:$F$322,2,FALSE)</f>
        <v>Electra Townie Original 7D - 2017</v>
      </c>
      <c r="C2685" s="21" t="e">
        <f>VLOOKUP(A2685,Products!A$322:$D2685,4,FALSE)</f>
        <v>#N/A</v>
      </c>
    </row>
    <row r="2686" spans="1:3" x14ac:dyDescent="0.35">
      <c r="A2686" s="21">
        <v>11</v>
      </c>
      <c r="B2686" t="str">
        <f>VLOOKUP(A2686,Products!$A$1:$F$322,2,FALSE)</f>
        <v>Surly Straggler 650b - 2016</v>
      </c>
      <c r="C2686" s="21" t="e">
        <f>VLOOKUP(A2686,Products!A$322:$D2686,4,FALSE)</f>
        <v>#N/A</v>
      </c>
    </row>
    <row r="2687" spans="1:3" x14ac:dyDescent="0.35">
      <c r="A2687" s="21">
        <v>98</v>
      </c>
      <c r="B2687" t="str">
        <f>VLOOKUP(A2687,Products!$A$1:$F$322,2,FALSE)</f>
        <v>Electra Straight 8 3i (20-inch) - Boy's - 2017</v>
      </c>
      <c r="C2687" s="21" t="e">
        <f>VLOOKUP(A2687,Products!A$322:$D2687,4,FALSE)</f>
        <v>#N/A</v>
      </c>
    </row>
    <row r="2688" spans="1:3" x14ac:dyDescent="0.35">
      <c r="A2688" s="21">
        <v>110</v>
      </c>
      <c r="B2688" t="str">
        <f>VLOOKUP(A2688,Products!$A$1:$F$322,2,FALSE)</f>
        <v>Sun Bicycles Drifter 7 - 2017</v>
      </c>
      <c r="C2688" s="21" t="e">
        <f>VLOOKUP(A2688,Products!A$322:$D2688,4,FALSE)</f>
        <v>#N/A</v>
      </c>
    </row>
    <row r="2689" spans="1:3" x14ac:dyDescent="0.35">
      <c r="A2689" s="21">
        <v>35</v>
      </c>
      <c r="B2689" t="str">
        <f>VLOOKUP(A2689,Products!$A$1:$F$322,2,FALSE)</f>
        <v>Sun Bicycles Spider 3i - 2017</v>
      </c>
      <c r="C2689" s="21" t="e">
        <f>VLOOKUP(A2689,Products!A$322:$D2689,4,FALSE)</f>
        <v>#N/A</v>
      </c>
    </row>
    <row r="2690" spans="1:3" x14ac:dyDescent="0.35">
      <c r="A2690" s="21">
        <v>103</v>
      </c>
      <c r="B2690" t="str">
        <f>VLOOKUP(A2690,Products!$A$1:$F$322,2,FALSE)</f>
        <v>Sun Bicycles Streamway 3 - 2017</v>
      </c>
      <c r="C2690" s="21" t="e">
        <f>VLOOKUP(A2690,Products!A$322:$D2690,4,FALSE)</f>
        <v>#N/A</v>
      </c>
    </row>
    <row r="2691" spans="1:3" x14ac:dyDescent="0.35">
      <c r="A2691" s="21">
        <v>100</v>
      </c>
      <c r="B2691" t="str">
        <f>VLOOKUP(A2691,Products!$A$1:$F$322,2,FALSE)</f>
        <v>Electra Townie 3i EQ (20-inch) - Boys' - 2017</v>
      </c>
      <c r="C2691" s="21" t="e">
        <f>VLOOKUP(A2691,Products!A$322:$D2691,4,FALSE)</f>
        <v>#N/A</v>
      </c>
    </row>
    <row r="2692" spans="1:3" x14ac:dyDescent="0.35">
      <c r="A2692" s="21">
        <v>25</v>
      </c>
      <c r="B2692" t="str">
        <f>VLOOKUP(A2692,Products!$A$1:$F$322,2,FALSE)</f>
        <v>Electra Townie Original 7D - 2015/2016</v>
      </c>
      <c r="C2692" s="21" t="e">
        <f>VLOOKUP(A2692,Products!A$322:$D2692,4,FALSE)</f>
        <v>#N/A</v>
      </c>
    </row>
    <row r="2693" spans="1:3" x14ac:dyDescent="0.35">
      <c r="A2693" s="21">
        <v>82</v>
      </c>
      <c r="B2693" t="str">
        <f>VLOOKUP(A2693,Products!$A$1:$F$322,2,FALSE)</f>
        <v>Electra Amsterdam Original 3i Ladies' - 2017</v>
      </c>
      <c r="C2693" s="21" t="e">
        <f>VLOOKUP(A2693,Products!A$322:$D2693,4,FALSE)</f>
        <v>#N/A</v>
      </c>
    </row>
    <row r="2694" spans="1:3" x14ac:dyDescent="0.35">
      <c r="A2694" s="21">
        <v>29</v>
      </c>
      <c r="B2694" t="str">
        <f>VLOOKUP(A2694,Products!$A$1:$F$322,2,FALSE)</f>
        <v>Trek X-Caliber 8 - 2017</v>
      </c>
      <c r="C2694" s="21" t="e">
        <f>VLOOKUP(A2694,Products!A$322:$D2694,4,FALSE)</f>
        <v>#N/A</v>
      </c>
    </row>
    <row r="2695" spans="1:3" x14ac:dyDescent="0.35">
      <c r="A2695" s="21">
        <v>16</v>
      </c>
      <c r="B2695" t="str">
        <f>VLOOKUP(A2695,Products!$A$1:$F$322,2,FALSE)</f>
        <v>Electra Townie Original 7D EQ - 2016</v>
      </c>
      <c r="C2695" s="21" t="e">
        <f>VLOOKUP(A2695,Products!A$322:$D2695,4,FALSE)</f>
        <v>#N/A</v>
      </c>
    </row>
    <row r="2696" spans="1:3" x14ac:dyDescent="0.35">
      <c r="A2696" s="21">
        <v>70</v>
      </c>
      <c r="B2696" t="str">
        <f>VLOOKUP(A2696,Products!$A$1:$F$322,2,FALSE)</f>
        <v>Electra Amsterdam Original 3i - 2015/2017</v>
      </c>
      <c r="C2696" s="21" t="e">
        <f>VLOOKUP(A2696,Products!A$322:$D2696,4,FALSE)</f>
        <v>#N/A</v>
      </c>
    </row>
    <row r="2697" spans="1:3" x14ac:dyDescent="0.35">
      <c r="A2697" s="21">
        <v>85</v>
      </c>
      <c r="B2697" t="str">
        <f>VLOOKUP(A2697,Products!$A$1:$F$322,2,FALSE)</f>
        <v>Haro Downtown 16 - 2017</v>
      </c>
      <c r="C2697" s="21" t="e">
        <f>VLOOKUP(A2697,Products!A$322:$D2697,4,FALSE)</f>
        <v>#N/A</v>
      </c>
    </row>
    <row r="2698" spans="1:3" x14ac:dyDescent="0.35">
      <c r="A2698" s="21">
        <v>69</v>
      </c>
      <c r="B2698" t="str">
        <f>VLOOKUP(A2698,Products!$A$1:$F$322,2,FALSE)</f>
        <v>Sun Bicycles Cruz 7 - 2017</v>
      </c>
      <c r="C2698" s="21" t="e">
        <f>VLOOKUP(A2698,Products!A$322:$D2698,4,FALSE)</f>
        <v>#N/A</v>
      </c>
    </row>
    <row r="2699" spans="1:3" x14ac:dyDescent="0.35">
      <c r="A2699" s="21">
        <v>105</v>
      </c>
      <c r="B2699" t="str">
        <f>VLOOKUP(A2699,Products!$A$1:$F$322,2,FALSE)</f>
        <v>Sun Bicycles Streamway 7 - 2017</v>
      </c>
      <c r="C2699" s="21" t="e">
        <f>VLOOKUP(A2699,Products!A$322:$D2699,4,FALSE)</f>
        <v>#N/A</v>
      </c>
    </row>
    <row r="2700" spans="1:3" x14ac:dyDescent="0.35">
      <c r="A2700" s="21">
        <v>94</v>
      </c>
      <c r="B2700" t="str">
        <f>VLOOKUP(A2700,Products!$A$1:$F$322,2,FALSE)</f>
        <v>Haro Shredder Pro 20 - 2017</v>
      </c>
      <c r="C2700" s="21" t="e">
        <f>VLOOKUP(A2700,Products!A$322:$D2700,4,FALSE)</f>
        <v>#N/A</v>
      </c>
    </row>
    <row r="2701" spans="1:3" x14ac:dyDescent="0.35">
      <c r="A2701" s="21">
        <v>34</v>
      </c>
      <c r="B2701" t="str">
        <f>VLOOKUP(A2701,Products!$A$1:$F$322,2,FALSE)</f>
        <v>Trek Session DH 27.5 Carbon Frameset - 2017</v>
      </c>
      <c r="C2701" s="21" t="e">
        <f>VLOOKUP(A2701,Products!A$322:$D2701,4,FALSE)</f>
        <v>#N/A</v>
      </c>
    </row>
    <row r="2702" spans="1:3" x14ac:dyDescent="0.35">
      <c r="A2702" s="21">
        <v>44</v>
      </c>
      <c r="B2702" t="str">
        <f>VLOOKUP(A2702,Products!$A$1:$F$322,2,FALSE)</f>
        <v>Haro SR 1.1 - 2017</v>
      </c>
      <c r="C2702" s="21" t="e">
        <f>VLOOKUP(A2702,Products!A$322:$D2702,4,FALSE)</f>
        <v>#N/A</v>
      </c>
    </row>
    <row r="2703" spans="1:3" x14ac:dyDescent="0.35">
      <c r="A2703" s="21">
        <v>50</v>
      </c>
      <c r="B2703" t="str">
        <f>VLOOKUP(A2703,Products!$A$1:$F$322,2,FALSE)</f>
        <v>Trek Silque SLR 7 Women's - 2017</v>
      </c>
      <c r="C2703" s="21" t="e">
        <f>VLOOKUP(A2703,Products!A$322:$D2703,4,FALSE)</f>
        <v>#N/A</v>
      </c>
    </row>
    <row r="2704" spans="1:3" x14ac:dyDescent="0.35">
      <c r="A2704" s="21">
        <v>7</v>
      </c>
      <c r="B2704" t="str">
        <f>VLOOKUP(A2704,Products!$A$1:$F$322,2,FALSE)</f>
        <v>Trek Slash 8 27.5 - 2016</v>
      </c>
      <c r="C2704" s="21" t="e">
        <f>VLOOKUP(A2704,Products!A$322:$D2704,4,FALSE)</f>
        <v>#N/A</v>
      </c>
    </row>
    <row r="2705" spans="1:3" x14ac:dyDescent="0.35">
      <c r="A2705" s="21">
        <v>85</v>
      </c>
      <c r="B2705" t="str">
        <f>VLOOKUP(A2705,Products!$A$1:$F$322,2,FALSE)</f>
        <v>Haro Downtown 16 - 2017</v>
      </c>
      <c r="C2705" s="21" t="e">
        <f>VLOOKUP(A2705,Products!A$322:$D2705,4,FALSE)</f>
        <v>#N/A</v>
      </c>
    </row>
    <row r="2706" spans="1:3" x14ac:dyDescent="0.35">
      <c r="A2706" s="21">
        <v>62</v>
      </c>
      <c r="B2706" t="str">
        <f>VLOOKUP(A2706,Products!$A$1:$F$322,2,FALSE)</f>
        <v>Trek Boone 7 - 2017</v>
      </c>
      <c r="C2706" s="21" t="e">
        <f>VLOOKUP(A2706,Products!A$322:$D2706,4,FALSE)</f>
        <v>#N/A</v>
      </c>
    </row>
    <row r="2707" spans="1:3" x14ac:dyDescent="0.35">
      <c r="A2707" s="21">
        <v>22</v>
      </c>
      <c r="B2707" t="str">
        <f>VLOOKUP(A2707,Products!$A$1:$F$322,2,FALSE)</f>
        <v>Electra Girl's Hawaii 1 (16-inch) - 2015/2016</v>
      </c>
      <c r="C2707" s="21" t="e">
        <f>VLOOKUP(A2707,Products!A$322:$D2707,4,FALSE)</f>
        <v>#N/A</v>
      </c>
    </row>
    <row r="2708" spans="1:3" x14ac:dyDescent="0.35">
      <c r="A2708" s="21">
        <v>56</v>
      </c>
      <c r="B2708" t="str">
        <f>VLOOKUP(A2708,Products!$A$1:$F$322,2,FALSE)</f>
        <v>Trek Domane SLR 6 Disc - 2017</v>
      </c>
      <c r="C2708" s="21" t="e">
        <f>VLOOKUP(A2708,Products!A$322:$D2708,4,FALSE)</f>
        <v>#N/A</v>
      </c>
    </row>
    <row r="2709" spans="1:3" x14ac:dyDescent="0.35">
      <c r="A2709" s="21">
        <v>32</v>
      </c>
      <c r="B2709" t="str">
        <f>VLOOKUP(A2709,Products!$A$1:$F$322,2,FALSE)</f>
        <v>Trek Farley Alloy Frameset - 2017</v>
      </c>
      <c r="C2709" s="21" t="e">
        <f>VLOOKUP(A2709,Products!A$322:$D2709,4,FALSE)</f>
        <v>#N/A</v>
      </c>
    </row>
    <row r="2710" spans="1:3" x14ac:dyDescent="0.35">
      <c r="A2710" s="21">
        <v>42</v>
      </c>
      <c r="B2710" t="str">
        <f>VLOOKUP(A2710,Products!$A$1:$F$322,2,FALSE)</f>
        <v>Trek Fuel EX 5 27.5 Plus - 2017</v>
      </c>
      <c r="C2710" s="21" t="e">
        <f>VLOOKUP(A2710,Products!A$322:$D2710,4,FALSE)</f>
        <v>#N/A</v>
      </c>
    </row>
    <row r="2711" spans="1:3" x14ac:dyDescent="0.35">
      <c r="A2711" s="21">
        <v>44</v>
      </c>
      <c r="B2711" t="str">
        <f>VLOOKUP(A2711,Products!$A$1:$F$322,2,FALSE)</f>
        <v>Haro SR 1.1 - 2017</v>
      </c>
      <c r="C2711" s="21" t="e">
        <f>VLOOKUP(A2711,Products!A$322:$D2711,4,FALSE)</f>
        <v>#N/A</v>
      </c>
    </row>
    <row r="2712" spans="1:3" x14ac:dyDescent="0.35">
      <c r="A2712" s="21">
        <v>23</v>
      </c>
      <c r="B2712" t="str">
        <f>VLOOKUP(A2712,Products!$A$1:$F$322,2,FALSE)</f>
        <v>Electra Girl's Hawaii 1 (20-inch) - 2015/2016</v>
      </c>
      <c r="C2712" s="21" t="e">
        <f>VLOOKUP(A2712,Products!A$322:$D2712,4,FALSE)</f>
        <v>#N/A</v>
      </c>
    </row>
    <row r="2713" spans="1:3" x14ac:dyDescent="0.35">
      <c r="A2713" s="21">
        <v>20</v>
      </c>
      <c r="B2713" t="str">
        <f>VLOOKUP(A2713,Products!$A$1:$F$322,2,FALSE)</f>
        <v>Electra Townie Original 7D EQ - Women's - 2016</v>
      </c>
      <c r="C2713" s="21" t="e">
        <f>VLOOKUP(A2713,Products!A$322:$D2713,4,FALSE)</f>
        <v>#N/A</v>
      </c>
    </row>
    <row r="2714" spans="1:3" x14ac:dyDescent="0.35">
      <c r="A2714" s="21">
        <v>101</v>
      </c>
      <c r="B2714" t="str">
        <f>VLOOKUP(A2714,Products!$A$1:$F$322,2,FALSE)</f>
        <v>Electra Townie 7D (20-inch) - Boys' - 2017</v>
      </c>
      <c r="C2714" s="21" t="e">
        <f>VLOOKUP(A2714,Products!A$322:$D2714,4,FALSE)</f>
        <v>#N/A</v>
      </c>
    </row>
    <row r="2715" spans="1:3" x14ac:dyDescent="0.35">
      <c r="A2715" s="21">
        <v>92</v>
      </c>
      <c r="B2715" t="str">
        <f>VLOOKUP(A2715,Products!$A$1:$F$322,2,FALSE)</f>
        <v>Haro Shredder 20 - 2017</v>
      </c>
      <c r="C2715" s="21" t="e">
        <f>VLOOKUP(A2715,Products!A$322:$D2715,4,FALSE)</f>
        <v>#N/A</v>
      </c>
    </row>
    <row r="2716" spans="1:3" x14ac:dyDescent="0.35">
      <c r="A2716" s="21">
        <v>72</v>
      </c>
      <c r="B2716" t="str">
        <f>VLOOKUP(A2716,Products!$A$1:$F$322,2,FALSE)</f>
        <v>Sun Bicycles Biscayne Tandem 7 - 2017</v>
      </c>
      <c r="C2716" s="21" t="e">
        <f>VLOOKUP(A2716,Products!A$322:$D2716,4,FALSE)</f>
        <v>#N/A</v>
      </c>
    </row>
    <row r="2717" spans="1:3" x14ac:dyDescent="0.35">
      <c r="A2717" s="21">
        <v>9</v>
      </c>
      <c r="B2717" t="str">
        <f>VLOOKUP(A2717,Products!$A$1:$F$322,2,FALSE)</f>
        <v>Trek Conduit+ - 2016</v>
      </c>
      <c r="C2717" s="21" t="e">
        <f>VLOOKUP(A2717,Products!A$322:$D2717,4,FALSE)</f>
        <v>#N/A</v>
      </c>
    </row>
    <row r="2718" spans="1:3" x14ac:dyDescent="0.35">
      <c r="A2718" s="21">
        <v>55</v>
      </c>
      <c r="B2718" t="str">
        <f>VLOOKUP(A2718,Products!$A$1:$F$322,2,FALSE)</f>
        <v>Trek Domane S 6 - 2017</v>
      </c>
      <c r="C2718" s="21" t="e">
        <f>VLOOKUP(A2718,Products!A$322:$D2718,4,FALSE)</f>
        <v>#N/A</v>
      </c>
    </row>
    <row r="2719" spans="1:3" x14ac:dyDescent="0.35">
      <c r="A2719" s="21">
        <v>56</v>
      </c>
      <c r="B2719" t="str">
        <f>VLOOKUP(A2719,Products!$A$1:$F$322,2,FALSE)</f>
        <v>Trek Domane SLR 6 Disc - 2017</v>
      </c>
      <c r="C2719" s="21" t="e">
        <f>VLOOKUP(A2719,Products!A$322:$D2719,4,FALSE)</f>
        <v>#N/A</v>
      </c>
    </row>
    <row r="2720" spans="1:3" x14ac:dyDescent="0.35">
      <c r="A2720" s="21">
        <v>59</v>
      </c>
      <c r="B2720" t="str">
        <f>VLOOKUP(A2720,Products!$A$1:$F$322,2,FALSE)</f>
        <v>Trek Domane S 5 Disc - 2017</v>
      </c>
      <c r="C2720" s="21" t="e">
        <f>VLOOKUP(A2720,Products!A$322:$D2720,4,FALSE)</f>
        <v>#N/A</v>
      </c>
    </row>
    <row r="2721" spans="1:3" x14ac:dyDescent="0.35">
      <c r="A2721" s="21">
        <v>43</v>
      </c>
      <c r="B2721" t="str">
        <f>VLOOKUP(A2721,Products!$A$1:$F$322,2,FALSE)</f>
        <v>Trek Fuel EX 9.8 27.5 Plus - 2017</v>
      </c>
      <c r="C2721" s="21" t="e">
        <f>VLOOKUP(A2721,Products!A$322:$D2721,4,FALSE)</f>
        <v>#N/A</v>
      </c>
    </row>
    <row r="2722" spans="1:3" x14ac:dyDescent="0.35">
      <c r="A2722" s="21">
        <v>62</v>
      </c>
      <c r="B2722" t="str">
        <f>VLOOKUP(A2722,Products!$A$1:$F$322,2,FALSE)</f>
        <v>Trek Boone 7 - 2017</v>
      </c>
      <c r="C2722" s="21" t="e">
        <f>VLOOKUP(A2722,Products!A$322:$D2722,4,FALSE)</f>
        <v>#N/A</v>
      </c>
    </row>
    <row r="2723" spans="1:3" x14ac:dyDescent="0.35">
      <c r="A2723" s="21">
        <v>20</v>
      </c>
      <c r="B2723" t="str">
        <f>VLOOKUP(A2723,Products!$A$1:$F$322,2,FALSE)</f>
        <v>Electra Townie Original 7D EQ - Women's - 2016</v>
      </c>
      <c r="C2723" s="21" t="e">
        <f>VLOOKUP(A2723,Products!A$322:$D2723,4,FALSE)</f>
        <v>#N/A</v>
      </c>
    </row>
    <row r="2724" spans="1:3" x14ac:dyDescent="0.35">
      <c r="A2724" s="21">
        <v>57</v>
      </c>
      <c r="B2724" t="str">
        <f>VLOOKUP(A2724,Products!$A$1:$F$322,2,FALSE)</f>
        <v>Trek Emonda S 5 - 2017</v>
      </c>
      <c r="C2724" s="21" t="e">
        <f>VLOOKUP(A2724,Products!A$322:$D2724,4,FALSE)</f>
        <v>#N/A</v>
      </c>
    </row>
    <row r="2725" spans="1:3" x14ac:dyDescent="0.35">
      <c r="A2725" s="21">
        <v>23</v>
      </c>
      <c r="B2725" t="str">
        <f>VLOOKUP(A2725,Products!$A$1:$F$322,2,FALSE)</f>
        <v>Electra Girl's Hawaii 1 (20-inch) - 2015/2016</v>
      </c>
      <c r="C2725" s="21" t="e">
        <f>VLOOKUP(A2725,Products!A$322:$D2725,4,FALSE)</f>
        <v>#N/A</v>
      </c>
    </row>
    <row r="2726" spans="1:3" x14ac:dyDescent="0.35">
      <c r="A2726" s="21">
        <v>4</v>
      </c>
      <c r="B2726" t="str">
        <f>VLOOKUP(A2726,Products!$A$1:$F$322,2,FALSE)</f>
        <v>Trek Fuel EX 8 29 - 2016</v>
      </c>
      <c r="C2726" s="21" t="e">
        <f>VLOOKUP(A2726,Products!A$322:$D2726,4,FALSE)</f>
        <v>#N/A</v>
      </c>
    </row>
    <row r="2727" spans="1:3" x14ac:dyDescent="0.35">
      <c r="A2727" s="21">
        <v>43</v>
      </c>
      <c r="B2727" t="str">
        <f>VLOOKUP(A2727,Products!$A$1:$F$322,2,FALSE)</f>
        <v>Trek Fuel EX 9.8 27.5 Plus - 2017</v>
      </c>
      <c r="C2727" s="21" t="e">
        <f>VLOOKUP(A2727,Products!A$322:$D2727,4,FALSE)</f>
        <v>#N/A</v>
      </c>
    </row>
    <row r="2728" spans="1:3" x14ac:dyDescent="0.35">
      <c r="A2728" s="21">
        <v>31</v>
      </c>
      <c r="B2728" t="str">
        <f>VLOOKUP(A2728,Products!$A$1:$F$322,2,FALSE)</f>
        <v>Surly Wednesday - 2017</v>
      </c>
      <c r="C2728" s="21" t="e">
        <f>VLOOKUP(A2728,Products!A$322:$D2728,4,FALSE)</f>
        <v>#N/A</v>
      </c>
    </row>
    <row r="2729" spans="1:3" x14ac:dyDescent="0.35">
      <c r="A2729" s="21">
        <v>96</v>
      </c>
      <c r="B2729" t="str">
        <f>VLOOKUP(A2729,Products!$A$1:$F$322,2,FALSE)</f>
        <v>Electra Moto 3i (20-inch) - Boy's - 2017</v>
      </c>
      <c r="C2729" s="21" t="e">
        <f>VLOOKUP(A2729,Products!A$322:$D2729,4,FALSE)</f>
        <v>#N/A</v>
      </c>
    </row>
    <row r="2730" spans="1:3" x14ac:dyDescent="0.35">
      <c r="A2730" s="21">
        <v>63</v>
      </c>
      <c r="B2730" t="str">
        <f>VLOOKUP(A2730,Products!$A$1:$F$322,2,FALSE)</f>
        <v>Trek Boone Race Shop Limited - 2017</v>
      </c>
      <c r="C2730" s="21" t="e">
        <f>VLOOKUP(A2730,Products!A$322:$D2730,4,FALSE)</f>
        <v>#N/A</v>
      </c>
    </row>
    <row r="2731" spans="1:3" x14ac:dyDescent="0.35">
      <c r="A2731" s="21">
        <v>88</v>
      </c>
      <c r="B2731" t="str">
        <f>VLOOKUP(A2731,Products!$A$1:$F$322,2,FALSE)</f>
        <v>Trek Precaliber 12 Girls - 2017</v>
      </c>
      <c r="C2731" s="21" t="e">
        <f>VLOOKUP(A2731,Products!A$322:$D2731,4,FALSE)</f>
        <v>#N/A</v>
      </c>
    </row>
    <row r="2732" spans="1:3" x14ac:dyDescent="0.35">
      <c r="A2732" s="21">
        <v>76</v>
      </c>
      <c r="B2732" t="str">
        <f>VLOOKUP(A2732,Products!$A$1:$F$322,2,FALSE)</f>
        <v>Electra Girl's Hawaii 1 16" - 2017</v>
      </c>
      <c r="C2732" s="21" t="e">
        <f>VLOOKUP(A2732,Products!A$322:$D2732,4,FALSE)</f>
        <v>#N/A</v>
      </c>
    </row>
    <row r="2733" spans="1:3" x14ac:dyDescent="0.35">
      <c r="A2733" s="21">
        <v>23</v>
      </c>
      <c r="B2733" t="str">
        <f>VLOOKUP(A2733,Products!$A$1:$F$322,2,FALSE)</f>
        <v>Electra Girl's Hawaii 1 (20-inch) - 2015/2016</v>
      </c>
      <c r="C2733" s="21" t="e">
        <f>VLOOKUP(A2733,Products!A$322:$D2733,4,FALSE)</f>
        <v>#N/A</v>
      </c>
    </row>
    <row r="2734" spans="1:3" x14ac:dyDescent="0.35">
      <c r="A2734" s="21">
        <v>73</v>
      </c>
      <c r="B2734" t="str">
        <f>VLOOKUP(A2734,Products!$A$1:$F$322,2,FALSE)</f>
        <v>Sun Bicycles Brickell Tandem 7 - 2017</v>
      </c>
      <c r="C2734" s="21" t="e">
        <f>VLOOKUP(A2734,Products!A$322:$D2734,4,FALSE)</f>
        <v>#N/A</v>
      </c>
    </row>
    <row r="2735" spans="1:3" x14ac:dyDescent="0.35">
      <c r="A2735" s="21">
        <v>13</v>
      </c>
      <c r="B2735" t="str">
        <f>VLOOKUP(A2735,Products!$A$1:$F$322,2,FALSE)</f>
        <v>Electra Cruiser 1 (24-Inch) - 2016</v>
      </c>
      <c r="C2735" s="21" t="e">
        <f>VLOOKUP(A2735,Products!A$322:$D2735,4,FALSE)</f>
        <v>#N/A</v>
      </c>
    </row>
    <row r="2736" spans="1:3" x14ac:dyDescent="0.35">
      <c r="A2736" s="21">
        <v>79</v>
      </c>
      <c r="B2736" t="str">
        <f>VLOOKUP(A2736,Products!$A$1:$F$322,2,FALSE)</f>
        <v>Sun Bicycles Boardwalk (24-inch Wheels) - 2017</v>
      </c>
      <c r="C2736" s="21" t="e">
        <f>VLOOKUP(A2736,Products!A$322:$D2736,4,FALSE)</f>
        <v>#N/A</v>
      </c>
    </row>
    <row r="2737" spans="1:3" x14ac:dyDescent="0.35">
      <c r="A2737" s="21">
        <v>108</v>
      </c>
      <c r="B2737" t="str">
        <f>VLOOKUP(A2737,Products!$A$1:$F$322,2,FALSE)</f>
        <v>Sun Bicycles Cruz 3 - Women's - 2017</v>
      </c>
      <c r="C2737" s="21" t="e">
        <f>VLOOKUP(A2737,Products!A$322:$D2737,4,FALSE)</f>
        <v>#N/A</v>
      </c>
    </row>
    <row r="2738" spans="1:3" x14ac:dyDescent="0.35">
      <c r="A2738" s="21">
        <v>14</v>
      </c>
      <c r="B2738" t="str">
        <f>VLOOKUP(A2738,Products!$A$1:$F$322,2,FALSE)</f>
        <v>Electra Girl's Hawaii 1 (16-inch) - 2015/2016</v>
      </c>
      <c r="C2738" s="21" t="e">
        <f>VLOOKUP(A2738,Products!A$322:$D2738,4,FALSE)</f>
        <v>#N/A</v>
      </c>
    </row>
    <row r="2739" spans="1:3" x14ac:dyDescent="0.35">
      <c r="A2739" s="21">
        <v>70</v>
      </c>
      <c r="B2739" t="str">
        <f>VLOOKUP(A2739,Products!$A$1:$F$322,2,FALSE)</f>
        <v>Electra Amsterdam Original 3i - 2015/2017</v>
      </c>
      <c r="C2739" s="21" t="e">
        <f>VLOOKUP(A2739,Products!A$322:$D2739,4,FALSE)</f>
        <v>#N/A</v>
      </c>
    </row>
    <row r="2740" spans="1:3" x14ac:dyDescent="0.35">
      <c r="A2740" s="21">
        <v>66</v>
      </c>
      <c r="B2740" t="str">
        <f>VLOOKUP(A2740,Products!$A$1:$F$322,2,FALSE)</f>
        <v>Sun Bicycles Revolutions 24 - 2017</v>
      </c>
      <c r="C2740" s="21" t="e">
        <f>VLOOKUP(A2740,Products!A$322:$D2740,4,FALSE)</f>
        <v>#N/A</v>
      </c>
    </row>
    <row r="2741" spans="1:3" x14ac:dyDescent="0.35">
      <c r="A2741" s="21">
        <v>111</v>
      </c>
      <c r="B2741" t="str">
        <f>VLOOKUP(A2741,Products!$A$1:$F$322,2,FALSE)</f>
        <v>Sun Bicycles Drifter 7 - Women's - 2017</v>
      </c>
      <c r="C2741" s="21" t="e">
        <f>VLOOKUP(A2741,Products!A$322:$D2741,4,FALSE)</f>
        <v>#N/A</v>
      </c>
    </row>
    <row r="2742" spans="1:3" x14ac:dyDescent="0.35">
      <c r="A2742" s="21">
        <v>51</v>
      </c>
      <c r="B2742" t="str">
        <f>VLOOKUP(A2742,Products!$A$1:$F$322,2,FALSE)</f>
        <v>Trek Silque SLR 8 Women's - 2017</v>
      </c>
      <c r="C2742" s="21" t="e">
        <f>VLOOKUP(A2742,Products!A$322:$D2742,4,FALSE)</f>
        <v>#N/A</v>
      </c>
    </row>
    <row r="2743" spans="1:3" x14ac:dyDescent="0.35">
      <c r="A2743" s="21">
        <v>76</v>
      </c>
      <c r="B2743" t="str">
        <f>VLOOKUP(A2743,Products!$A$1:$F$322,2,FALSE)</f>
        <v>Electra Girl's Hawaii 1 16" - 2017</v>
      </c>
      <c r="C2743" s="21" t="e">
        <f>VLOOKUP(A2743,Products!A$322:$D2743,4,FALSE)</f>
        <v>#N/A</v>
      </c>
    </row>
    <row r="2744" spans="1:3" x14ac:dyDescent="0.35">
      <c r="A2744" s="21">
        <v>15</v>
      </c>
      <c r="B2744" t="str">
        <f>VLOOKUP(A2744,Products!$A$1:$F$322,2,FALSE)</f>
        <v>Electra Moto 1 - 2016</v>
      </c>
      <c r="C2744" s="21" t="e">
        <f>VLOOKUP(A2744,Products!A$322:$D2744,4,FALSE)</f>
        <v>#N/A</v>
      </c>
    </row>
    <row r="2745" spans="1:3" x14ac:dyDescent="0.35">
      <c r="A2745" s="21">
        <v>72</v>
      </c>
      <c r="B2745" t="str">
        <f>VLOOKUP(A2745,Products!$A$1:$F$322,2,FALSE)</f>
        <v>Sun Bicycles Biscayne Tandem 7 - 2017</v>
      </c>
      <c r="C2745" s="21" t="e">
        <f>VLOOKUP(A2745,Products!A$322:$D2745,4,FALSE)</f>
        <v>#N/A</v>
      </c>
    </row>
    <row r="2746" spans="1:3" x14ac:dyDescent="0.35">
      <c r="A2746" s="21">
        <v>41</v>
      </c>
      <c r="B2746" t="str">
        <f>VLOOKUP(A2746,Products!$A$1:$F$322,2,FALSE)</f>
        <v>Haro Shift R3 - 2017</v>
      </c>
      <c r="C2746" s="21" t="e">
        <f>VLOOKUP(A2746,Products!A$322:$D2746,4,FALSE)</f>
        <v>#N/A</v>
      </c>
    </row>
    <row r="2747" spans="1:3" x14ac:dyDescent="0.35">
      <c r="A2747" s="21">
        <v>65</v>
      </c>
      <c r="B2747" t="str">
        <f>VLOOKUP(A2747,Products!$A$1:$F$322,2,FALSE)</f>
        <v>Sun Bicycles Lil Bolt Type-R - 2017</v>
      </c>
      <c r="C2747" s="21" t="e">
        <f>VLOOKUP(A2747,Products!A$322:$D2747,4,FALSE)</f>
        <v>#N/A</v>
      </c>
    </row>
    <row r="2748" spans="1:3" x14ac:dyDescent="0.35">
      <c r="A2748" s="21">
        <v>73</v>
      </c>
      <c r="B2748" t="str">
        <f>VLOOKUP(A2748,Products!$A$1:$F$322,2,FALSE)</f>
        <v>Sun Bicycles Brickell Tandem 7 - 2017</v>
      </c>
      <c r="C2748" s="21" t="e">
        <f>VLOOKUP(A2748,Products!A$322:$D2748,4,FALSE)</f>
        <v>#N/A</v>
      </c>
    </row>
    <row r="2749" spans="1:3" x14ac:dyDescent="0.35">
      <c r="A2749" s="21">
        <v>52</v>
      </c>
      <c r="B2749" t="str">
        <f>VLOOKUP(A2749,Products!$A$1:$F$322,2,FALSE)</f>
        <v>Surly Steamroller - 2017</v>
      </c>
      <c r="C2749" s="21" t="e">
        <f>VLOOKUP(A2749,Products!A$322:$D2749,4,FALSE)</f>
        <v>#N/A</v>
      </c>
    </row>
    <row r="2750" spans="1:3" x14ac:dyDescent="0.35">
      <c r="A2750" s="21">
        <v>48</v>
      </c>
      <c r="B2750" t="str">
        <f>VLOOKUP(A2750,Products!$A$1:$F$322,2,FALSE)</f>
        <v>Trek Emonda S 4 - 2017</v>
      </c>
      <c r="C2750" s="21" t="e">
        <f>VLOOKUP(A2750,Products!A$322:$D2750,4,FALSE)</f>
        <v>#N/A</v>
      </c>
    </row>
    <row r="2751" spans="1:3" x14ac:dyDescent="0.35">
      <c r="A2751" s="21">
        <v>83</v>
      </c>
      <c r="B2751" t="str">
        <f>VLOOKUP(A2751,Products!$A$1:$F$322,2,FALSE)</f>
        <v>Trek Boy's Kickster - 2015/2017</v>
      </c>
      <c r="C2751" s="21" t="e">
        <f>VLOOKUP(A2751,Products!A$322:$D2751,4,FALSE)</f>
        <v>#N/A</v>
      </c>
    </row>
    <row r="2752" spans="1:3" x14ac:dyDescent="0.35">
      <c r="A2752" s="21">
        <v>105</v>
      </c>
      <c r="B2752" t="str">
        <f>VLOOKUP(A2752,Products!$A$1:$F$322,2,FALSE)</f>
        <v>Sun Bicycles Streamway 7 - 2017</v>
      </c>
      <c r="C2752" s="21" t="e">
        <f>VLOOKUP(A2752,Products!A$322:$D2752,4,FALSE)</f>
        <v>#N/A</v>
      </c>
    </row>
    <row r="2753" spans="1:3" x14ac:dyDescent="0.35">
      <c r="A2753" s="21">
        <v>47</v>
      </c>
      <c r="B2753" t="str">
        <f>VLOOKUP(A2753,Products!$A$1:$F$322,2,FALSE)</f>
        <v>Trek Remedy 9.8 - 2017</v>
      </c>
      <c r="C2753" s="21" t="e">
        <f>VLOOKUP(A2753,Products!A$322:$D2753,4,FALSE)</f>
        <v>#N/A</v>
      </c>
    </row>
    <row r="2754" spans="1:3" x14ac:dyDescent="0.35">
      <c r="A2754" s="21">
        <v>65</v>
      </c>
      <c r="B2754" t="str">
        <f>VLOOKUP(A2754,Products!$A$1:$F$322,2,FALSE)</f>
        <v>Sun Bicycles Lil Bolt Type-R - 2017</v>
      </c>
      <c r="C2754" s="21" t="e">
        <f>VLOOKUP(A2754,Products!A$322:$D2754,4,FALSE)</f>
        <v>#N/A</v>
      </c>
    </row>
    <row r="2755" spans="1:3" x14ac:dyDescent="0.35">
      <c r="A2755" s="21">
        <v>65</v>
      </c>
      <c r="B2755" t="str">
        <f>VLOOKUP(A2755,Products!$A$1:$F$322,2,FALSE)</f>
        <v>Sun Bicycles Lil Bolt Type-R - 2017</v>
      </c>
      <c r="C2755" s="21" t="e">
        <f>VLOOKUP(A2755,Products!A$322:$D2755,4,FALSE)</f>
        <v>#N/A</v>
      </c>
    </row>
    <row r="2756" spans="1:3" x14ac:dyDescent="0.35">
      <c r="A2756" s="21">
        <v>64</v>
      </c>
      <c r="B2756" t="str">
        <f>VLOOKUP(A2756,Products!$A$1:$F$322,2,FALSE)</f>
        <v>Electra Townie Original 7D - 2017</v>
      </c>
      <c r="C2756" s="21" t="e">
        <f>VLOOKUP(A2756,Products!A$322:$D2756,4,FALSE)</f>
        <v>#N/A</v>
      </c>
    </row>
    <row r="2757" spans="1:3" x14ac:dyDescent="0.35">
      <c r="A2757" s="21">
        <v>4</v>
      </c>
      <c r="B2757" t="str">
        <f>VLOOKUP(A2757,Products!$A$1:$F$322,2,FALSE)</f>
        <v>Trek Fuel EX 8 29 - 2016</v>
      </c>
      <c r="C2757" s="21" t="e">
        <f>VLOOKUP(A2757,Products!A$322:$D2757,4,FALSE)</f>
        <v>#N/A</v>
      </c>
    </row>
    <row r="2758" spans="1:3" x14ac:dyDescent="0.35">
      <c r="A2758" s="21">
        <v>90</v>
      </c>
      <c r="B2758" t="str">
        <f>VLOOKUP(A2758,Products!$A$1:$F$322,2,FALSE)</f>
        <v>Trek Precaliber 16 Girls - 2017</v>
      </c>
      <c r="C2758" s="21" t="e">
        <f>VLOOKUP(A2758,Products!A$322:$D2758,4,FALSE)</f>
        <v>#N/A</v>
      </c>
    </row>
    <row r="2759" spans="1:3" x14ac:dyDescent="0.35">
      <c r="A2759" s="21">
        <v>74</v>
      </c>
      <c r="B2759" t="str">
        <f>VLOOKUP(A2759,Products!$A$1:$F$322,2,FALSE)</f>
        <v>Electra Cruiser Lux 1 - 2017</v>
      </c>
      <c r="C2759" s="21" t="e">
        <f>VLOOKUP(A2759,Products!A$322:$D2759,4,FALSE)</f>
        <v>#N/A</v>
      </c>
    </row>
    <row r="2760" spans="1:3" x14ac:dyDescent="0.35">
      <c r="A2760" s="21">
        <v>90</v>
      </c>
      <c r="B2760" t="str">
        <f>VLOOKUP(A2760,Products!$A$1:$F$322,2,FALSE)</f>
        <v>Trek Precaliber 16 Girls - 2017</v>
      </c>
      <c r="C2760" s="21" t="e">
        <f>VLOOKUP(A2760,Products!A$322:$D2760,4,FALSE)</f>
        <v>#N/A</v>
      </c>
    </row>
    <row r="2761" spans="1:3" x14ac:dyDescent="0.35">
      <c r="A2761" s="21">
        <v>88</v>
      </c>
      <c r="B2761" t="str">
        <f>VLOOKUP(A2761,Products!$A$1:$F$322,2,FALSE)</f>
        <v>Trek Precaliber 12 Girls - 2017</v>
      </c>
      <c r="C2761" s="21" t="e">
        <f>VLOOKUP(A2761,Products!A$322:$D2761,4,FALSE)</f>
        <v>#N/A</v>
      </c>
    </row>
    <row r="2762" spans="1:3" x14ac:dyDescent="0.35">
      <c r="A2762" s="21">
        <v>73</v>
      </c>
      <c r="B2762" t="str">
        <f>VLOOKUP(A2762,Products!$A$1:$F$322,2,FALSE)</f>
        <v>Sun Bicycles Brickell Tandem 7 - 2017</v>
      </c>
      <c r="C2762" s="21" t="e">
        <f>VLOOKUP(A2762,Products!A$322:$D2762,4,FALSE)</f>
        <v>#N/A</v>
      </c>
    </row>
    <row r="2763" spans="1:3" x14ac:dyDescent="0.35">
      <c r="A2763" s="21">
        <v>66</v>
      </c>
      <c r="B2763" t="str">
        <f>VLOOKUP(A2763,Products!$A$1:$F$322,2,FALSE)</f>
        <v>Sun Bicycles Revolutions 24 - 2017</v>
      </c>
      <c r="C2763" s="21" t="e">
        <f>VLOOKUP(A2763,Products!A$322:$D2763,4,FALSE)</f>
        <v>#N/A</v>
      </c>
    </row>
    <row r="2764" spans="1:3" x14ac:dyDescent="0.35">
      <c r="A2764" s="21">
        <v>77</v>
      </c>
      <c r="B2764" t="str">
        <f>VLOOKUP(A2764,Products!$A$1:$F$322,2,FALSE)</f>
        <v>Electra Glam Punk 3i Ladies' - 2017</v>
      </c>
      <c r="C2764" s="21" t="e">
        <f>VLOOKUP(A2764,Products!A$322:$D2764,4,FALSE)</f>
        <v>#N/A</v>
      </c>
    </row>
    <row r="2765" spans="1:3" x14ac:dyDescent="0.35">
      <c r="A2765" s="21">
        <v>87</v>
      </c>
      <c r="B2765" t="str">
        <f>VLOOKUP(A2765,Products!$A$1:$F$322,2,FALSE)</f>
        <v>Trek Precaliber 12 Boys - 2017</v>
      </c>
      <c r="C2765" s="21" t="e">
        <f>VLOOKUP(A2765,Products!A$322:$D2765,4,FALSE)</f>
        <v>#N/A</v>
      </c>
    </row>
    <row r="2766" spans="1:3" x14ac:dyDescent="0.35">
      <c r="A2766" s="21">
        <v>103</v>
      </c>
      <c r="B2766" t="str">
        <f>VLOOKUP(A2766,Products!$A$1:$F$322,2,FALSE)</f>
        <v>Sun Bicycles Streamway 3 - 2017</v>
      </c>
      <c r="C2766" s="21" t="e">
        <f>VLOOKUP(A2766,Products!A$322:$D2766,4,FALSE)</f>
        <v>#N/A</v>
      </c>
    </row>
    <row r="2767" spans="1:3" x14ac:dyDescent="0.35">
      <c r="A2767" s="21">
        <v>87</v>
      </c>
      <c r="B2767" t="str">
        <f>VLOOKUP(A2767,Products!$A$1:$F$322,2,FALSE)</f>
        <v>Trek Precaliber 12 Boys - 2017</v>
      </c>
      <c r="C2767" s="21" t="e">
        <f>VLOOKUP(A2767,Products!A$322:$D2767,4,FALSE)</f>
        <v>#N/A</v>
      </c>
    </row>
    <row r="2768" spans="1:3" x14ac:dyDescent="0.35">
      <c r="A2768" s="21">
        <v>61</v>
      </c>
      <c r="B2768" t="str">
        <f>VLOOKUP(A2768,Products!$A$1:$F$322,2,FALSE)</f>
        <v>Trek Powerfly 8 FS Plus - 2017</v>
      </c>
      <c r="C2768" s="21" t="e">
        <f>VLOOKUP(A2768,Products!A$322:$D2768,4,FALSE)</f>
        <v>#N/A</v>
      </c>
    </row>
    <row r="2769" spans="1:3" x14ac:dyDescent="0.35">
      <c r="A2769" s="21">
        <v>10</v>
      </c>
      <c r="B2769" t="str">
        <f>VLOOKUP(A2769,Products!$A$1:$F$322,2,FALSE)</f>
        <v>Surly Straggler - 2016</v>
      </c>
      <c r="C2769" s="21" t="e">
        <f>VLOOKUP(A2769,Products!A$322:$D2769,4,FALSE)</f>
        <v>#N/A</v>
      </c>
    </row>
    <row r="2770" spans="1:3" x14ac:dyDescent="0.35">
      <c r="A2770" s="21">
        <v>74</v>
      </c>
      <c r="B2770" t="str">
        <f>VLOOKUP(A2770,Products!$A$1:$F$322,2,FALSE)</f>
        <v>Electra Cruiser Lux 1 - 2017</v>
      </c>
      <c r="C2770" s="21" t="e">
        <f>VLOOKUP(A2770,Products!A$322:$D2770,4,FALSE)</f>
        <v>#N/A</v>
      </c>
    </row>
    <row r="2771" spans="1:3" x14ac:dyDescent="0.35">
      <c r="A2771" s="21">
        <v>36</v>
      </c>
      <c r="B2771" t="str">
        <f>VLOOKUP(A2771,Products!$A$1:$F$322,2,FALSE)</f>
        <v>Surly Troll Frameset - 2017</v>
      </c>
      <c r="C2771" s="21" t="e">
        <f>VLOOKUP(A2771,Products!A$322:$D2771,4,FALSE)</f>
        <v>#N/A</v>
      </c>
    </row>
    <row r="2772" spans="1:3" x14ac:dyDescent="0.35">
      <c r="A2772" s="21">
        <v>85</v>
      </c>
      <c r="B2772" t="str">
        <f>VLOOKUP(A2772,Products!$A$1:$F$322,2,FALSE)</f>
        <v>Haro Downtown 16 - 2017</v>
      </c>
      <c r="C2772" s="21" t="e">
        <f>VLOOKUP(A2772,Products!A$322:$D2772,4,FALSE)</f>
        <v>#N/A</v>
      </c>
    </row>
    <row r="2773" spans="1:3" x14ac:dyDescent="0.35">
      <c r="A2773" s="21">
        <v>48</v>
      </c>
      <c r="B2773" t="str">
        <f>VLOOKUP(A2773,Products!$A$1:$F$322,2,FALSE)</f>
        <v>Trek Emonda S 4 - 2017</v>
      </c>
      <c r="C2773" s="21" t="e">
        <f>VLOOKUP(A2773,Products!A$322:$D2773,4,FALSE)</f>
        <v>#N/A</v>
      </c>
    </row>
    <row r="2774" spans="1:3" x14ac:dyDescent="0.35">
      <c r="A2774" s="21">
        <v>54</v>
      </c>
      <c r="B2774" t="str">
        <f>VLOOKUP(A2774,Products!$A$1:$F$322,2,FALSE)</f>
        <v>Trek Domane SL Disc Frameset - 2017</v>
      </c>
      <c r="C2774" s="21" t="e">
        <f>VLOOKUP(A2774,Products!A$322:$D2774,4,FALSE)</f>
        <v>#N/A</v>
      </c>
    </row>
    <row r="2775" spans="1:3" x14ac:dyDescent="0.35">
      <c r="A2775" s="21">
        <v>68</v>
      </c>
      <c r="B2775" t="str">
        <f>VLOOKUP(A2775,Products!$A$1:$F$322,2,FALSE)</f>
        <v>Sun Bicycles Cruz 3 - 2017</v>
      </c>
      <c r="C2775" s="21" t="e">
        <f>VLOOKUP(A2775,Products!A$322:$D2775,4,FALSE)</f>
        <v>#N/A</v>
      </c>
    </row>
    <row r="2776" spans="1:3" x14ac:dyDescent="0.35">
      <c r="A2776" s="21">
        <v>70</v>
      </c>
      <c r="B2776" t="str">
        <f>VLOOKUP(A2776,Products!$A$1:$F$322,2,FALSE)</f>
        <v>Electra Amsterdam Original 3i - 2015/2017</v>
      </c>
      <c r="C2776" s="21" t="e">
        <f>VLOOKUP(A2776,Products!A$322:$D2776,4,FALSE)</f>
        <v>#N/A</v>
      </c>
    </row>
    <row r="2777" spans="1:3" x14ac:dyDescent="0.35">
      <c r="A2777" s="21">
        <v>65</v>
      </c>
      <c r="B2777" t="str">
        <f>VLOOKUP(A2777,Products!$A$1:$F$322,2,FALSE)</f>
        <v>Sun Bicycles Lil Bolt Type-R - 2017</v>
      </c>
      <c r="C2777" s="21" t="e">
        <f>VLOOKUP(A2777,Products!A$322:$D2777,4,FALSE)</f>
        <v>#N/A</v>
      </c>
    </row>
    <row r="2778" spans="1:3" x14ac:dyDescent="0.35">
      <c r="A2778" s="21">
        <v>8</v>
      </c>
      <c r="B2778" t="str">
        <f>VLOOKUP(A2778,Products!$A$1:$F$322,2,FALSE)</f>
        <v>Trek Remedy 29 Carbon Frameset - 2016</v>
      </c>
      <c r="C2778" s="21" t="e">
        <f>VLOOKUP(A2778,Products!A$322:$D2778,4,FALSE)</f>
        <v>#N/A</v>
      </c>
    </row>
    <row r="2779" spans="1:3" x14ac:dyDescent="0.35">
      <c r="A2779" s="21">
        <v>12</v>
      </c>
      <c r="B2779" t="str">
        <f>VLOOKUP(A2779,Products!$A$1:$F$322,2,FALSE)</f>
        <v>Electra Townie Original 21D - 2016</v>
      </c>
      <c r="C2779" s="21" t="e">
        <f>VLOOKUP(A2779,Products!A$322:$D2779,4,FALSE)</f>
        <v>#N/A</v>
      </c>
    </row>
    <row r="2780" spans="1:3" x14ac:dyDescent="0.35">
      <c r="A2780" s="21">
        <v>38</v>
      </c>
      <c r="B2780" t="str">
        <f>VLOOKUP(A2780,Products!$A$1:$F$322,2,FALSE)</f>
        <v>Haro Flightline Two 26 Plus - 2017</v>
      </c>
      <c r="C2780" s="21" t="e">
        <f>VLOOKUP(A2780,Products!A$322:$D2780,4,FALSE)</f>
        <v>#N/A</v>
      </c>
    </row>
    <row r="2781" spans="1:3" x14ac:dyDescent="0.35">
      <c r="A2781" s="21">
        <v>100</v>
      </c>
      <c r="B2781" t="str">
        <f>VLOOKUP(A2781,Products!$A$1:$F$322,2,FALSE)</f>
        <v>Electra Townie 3i EQ (20-inch) - Boys' - 2017</v>
      </c>
      <c r="C2781" s="21" t="e">
        <f>VLOOKUP(A2781,Products!A$322:$D2781,4,FALSE)</f>
        <v>#N/A</v>
      </c>
    </row>
    <row r="2782" spans="1:3" x14ac:dyDescent="0.35">
      <c r="A2782" s="21">
        <v>63</v>
      </c>
      <c r="B2782" t="str">
        <f>VLOOKUP(A2782,Products!$A$1:$F$322,2,FALSE)</f>
        <v>Trek Boone Race Shop Limited - 2017</v>
      </c>
      <c r="C2782" s="21" t="e">
        <f>VLOOKUP(A2782,Products!A$322:$D2782,4,FALSE)</f>
        <v>#N/A</v>
      </c>
    </row>
    <row r="2783" spans="1:3" x14ac:dyDescent="0.35">
      <c r="A2783" s="21">
        <v>4</v>
      </c>
      <c r="B2783" t="str">
        <f>VLOOKUP(A2783,Products!$A$1:$F$322,2,FALSE)</f>
        <v>Trek Fuel EX 8 29 - 2016</v>
      </c>
      <c r="C2783" s="21" t="e">
        <f>VLOOKUP(A2783,Products!A$322:$D2783,4,FALSE)</f>
        <v>#N/A</v>
      </c>
    </row>
    <row r="2784" spans="1:3" x14ac:dyDescent="0.35">
      <c r="A2784" s="21">
        <v>28</v>
      </c>
      <c r="B2784" t="str">
        <f>VLOOKUP(A2784,Products!$A$1:$F$322,2,FALSE)</f>
        <v>Surly Karate Monkey 27.5+ Frameset - 2017</v>
      </c>
      <c r="C2784" s="21" t="e">
        <f>VLOOKUP(A2784,Products!A$322:$D2784,4,FALSE)</f>
        <v>#N/A</v>
      </c>
    </row>
    <row r="2785" spans="1:3" x14ac:dyDescent="0.35">
      <c r="A2785" s="21">
        <v>47</v>
      </c>
      <c r="B2785" t="str">
        <f>VLOOKUP(A2785,Products!$A$1:$F$322,2,FALSE)</f>
        <v>Trek Remedy 9.8 - 2017</v>
      </c>
      <c r="C2785" s="21" t="e">
        <f>VLOOKUP(A2785,Products!A$322:$D2785,4,FALSE)</f>
        <v>#N/A</v>
      </c>
    </row>
    <row r="2786" spans="1:3" x14ac:dyDescent="0.35">
      <c r="A2786" s="21">
        <v>71</v>
      </c>
      <c r="B2786" t="str">
        <f>VLOOKUP(A2786,Products!$A$1:$F$322,2,FALSE)</f>
        <v>Sun Bicycles Atlas X-Type - 2017</v>
      </c>
      <c r="C2786" s="21" t="e">
        <f>VLOOKUP(A2786,Products!A$322:$D2786,4,FALSE)</f>
        <v>#N/A</v>
      </c>
    </row>
    <row r="2787" spans="1:3" x14ac:dyDescent="0.35">
      <c r="A2787" s="21">
        <v>33</v>
      </c>
      <c r="B2787" t="str">
        <f>VLOOKUP(A2787,Products!$A$1:$F$322,2,FALSE)</f>
        <v>Surly Wednesday Frameset - 2017</v>
      </c>
      <c r="C2787" s="21" t="e">
        <f>VLOOKUP(A2787,Products!A$322:$D2787,4,FALSE)</f>
        <v>#N/A</v>
      </c>
    </row>
    <row r="2788" spans="1:3" x14ac:dyDescent="0.35">
      <c r="A2788" s="21">
        <v>22</v>
      </c>
      <c r="B2788" t="str">
        <f>VLOOKUP(A2788,Products!$A$1:$F$322,2,FALSE)</f>
        <v>Electra Girl's Hawaii 1 (16-inch) - 2015/2016</v>
      </c>
      <c r="C2788" s="21" t="e">
        <f>VLOOKUP(A2788,Products!A$322:$D2788,4,FALSE)</f>
        <v>#N/A</v>
      </c>
    </row>
    <row r="2789" spans="1:3" x14ac:dyDescent="0.35">
      <c r="A2789" s="21">
        <v>110</v>
      </c>
      <c r="B2789" t="str">
        <f>VLOOKUP(A2789,Products!$A$1:$F$322,2,FALSE)</f>
        <v>Sun Bicycles Drifter 7 - 2017</v>
      </c>
      <c r="C2789" s="21" t="e">
        <f>VLOOKUP(A2789,Products!A$322:$D2789,4,FALSE)</f>
        <v>#N/A</v>
      </c>
    </row>
    <row r="2790" spans="1:3" x14ac:dyDescent="0.35">
      <c r="A2790" s="21">
        <v>26</v>
      </c>
      <c r="B2790" t="str">
        <f>VLOOKUP(A2790,Products!$A$1:$F$322,2,FALSE)</f>
        <v>Electra Townie Original 7D EQ - 2016</v>
      </c>
      <c r="C2790" s="21" t="e">
        <f>VLOOKUP(A2790,Products!A$322:$D2790,4,FALSE)</f>
        <v>#N/A</v>
      </c>
    </row>
    <row r="2791" spans="1:3" x14ac:dyDescent="0.35">
      <c r="A2791" s="21">
        <v>39</v>
      </c>
      <c r="B2791" t="str">
        <f>VLOOKUP(A2791,Products!$A$1:$F$322,2,FALSE)</f>
        <v>Trek Stache 5 - 2017</v>
      </c>
      <c r="C2791" s="21" t="e">
        <f>VLOOKUP(A2791,Products!A$322:$D2791,4,FALSE)</f>
        <v>#N/A</v>
      </c>
    </row>
    <row r="2792" spans="1:3" x14ac:dyDescent="0.35">
      <c r="A2792" s="21">
        <v>52</v>
      </c>
      <c r="B2792" t="str">
        <f>VLOOKUP(A2792,Products!$A$1:$F$322,2,FALSE)</f>
        <v>Surly Steamroller - 2017</v>
      </c>
      <c r="C2792" s="21" t="e">
        <f>VLOOKUP(A2792,Products!A$322:$D2792,4,FALSE)</f>
        <v>#N/A</v>
      </c>
    </row>
    <row r="2793" spans="1:3" x14ac:dyDescent="0.35">
      <c r="A2793" s="21">
        <v>69</v>
      </c>
      <c r="B2793" t="str">
        <f>VLOOKUP(A2793,Products!$A$1:$F$322,2,FALSE)</f>
        <v>Sun Bicycles Cruz 7 - 2017</v>
      </c>
      <c r="C2793" s="21" t="e">
        <f>VLOOKUP(A2793,Products!A$322:$D2793,4,FALSE)</f>
        <v>#N/A</v>
      </c>
    </row>
    <row r="2794" spans="1:3" x14ac:dyDescent="0.35">
      <c r="A2794" s="21">
        <v>27</v>
      </c>
      <c r="B2794" t="str">
        <f>VLOOKUP(A2794,Products!$A$1:$F$322,2,FALSE)</f>
        <v>Surly Big Dummy Frameset - 2017</v>
      </c>
      <c r="C2794" s="21" t="e">
        <f>VLOOKUP(A2794,Products!A$322:$D2794,4,FALSE)</f>
        <v>#N/A</v>
      </c>
    </row>
    <row r="2795" spans="1:3" x14ac:dyDescent="0.35">
      <c r="A2795" s="21">
        <v>80</v>
      </c>
      <c r="B2795" t="str">
        <f>VLOOKUP(A2795,Products!$A$1:$F$322,2,FALSE)</f>
        <v>Sun Bicycles Brickell Tandem CB - 2017</v>
      </c>
      <c r="C2795" s="21" t="e">
        <f>VLOOKUP(A2795,Products!A$322:$D2795,4,FALSE)</f>
        <v>#N/A</v>
      </c>
    </row>
    <row r="2796" spans="1:3" x14ac:dyDescent="0.35">
      <c r="A2796" s="21">
        <v>106</v>
      </c>
      <c r="B2796" t="str">
        <f>VLOOKUP(A2796,Products!$A$1:$F$322,2,FALSE)</f>
        <v>Sun Bicycles Cruz 3 - 2017</v>
      </c>
      <c r="C2796" s="21" t="e">
        <f>VLOOKUP(A2796,Products!A$322:$D2796,4,FALSE)</f>
        <v>#N/A</v>
      </c>
    </row>
    <row r="2797" spans="1:3" x14ac:dyDescent="0.35">
      <c r="A2797" s="21">
        <v>25</v>
      </c>
      <c r="B2797" t="str">
        <f>VLOOKUP(A2797,Products!$A$1:$F$322,2,FALSE)</f>
        <v>Electra Townie Original 7D - 2015/2016</v>
      </c>
      <c r="C2797" s="21" t="e">
        <f>VLOOKUP(A2797,Products!A$322:$D2797,4,FALSE)</f>
        <v>#N/A</v>
      </c>
    </row>
    <row r="2798" spans="1:3" x14ac:dyDescent="0.35">
      <c r="A2798" s="21">
        <v>108</v>
      </c>
      <c r="B2798" t="str">
        <f>VLOOKUP(A2798,Products!$A$1:$F$322,2,FALSE)</f>
        <v>Sun Bicycles Cruz 3 - Women's - 2017</v>
      </c>
      <c r="C2798" s="21" t="e">
        <f>VLOOKUP(A2798,Products!A$322:$D2798,4,FALSE)</f>
        <v>#N/A</v>
      </c>
    </row>
    <row r="2799" spans="1:3" x14ac:dyDescent="0.35">
      <c r="A2799" s="21">
        <v>55</v>
      </c>
      <c r="B2799" t="str">
        <f>VLOOKUP(A2799,Products!$A$1:$F$322,2,FALSE)</f>
        <v>Trek Domane S 6 - 2017</v>
      </c>
      <c r="C2799" s="21" t="e">
        <f>VLOOKUP(A2799,Products!A$322:$D2799,4,FALSE)</f>
        <v>#N/A</v>
      </c>
    </row>
    <row r="2800" spans="1:3" x14ac:dyDescent="0.35">
      <c r="A2800" s="21">
        <v>71</v>
      </c>
      <c r="B2800" t="str">
        <f>VLOOKUP(A2800,Products!$A$1:$F$322,2,FALSE)</f>
        <v>Sun Bicycles Atlas X-Type - 2017</v>
      </c>
      <c r="C2800" s="21" t="e">
        <f>VLOOKUP(A2800,Products!A$322:$D2800,4,FALSE)</f>
        <v>#N/A</v>
      </c>
    </row>
    <row r="2801" spans="1:3" x14ac:dyDescent="0.35">
      <c r="A2801" s="21">
        <v>12</v>
      </c>
      <c r="B2801" t="str">
        <f>VLOOKUP(A2801,Products!$A$1:$F$322,2,FALSE)</f>
        <v>Electra Townie Original 21D - 2016</v>
      </c>
      <c r="C2801" s="21" t="e">
        <f>VLOOKUP(A2801,Products!A$322:$D2801,4,FALSE)</f>
        <v>#N/A</v>
      </c>
    </row>
    <row r="2802" spans="1:3" x14ac:dyDescent="0.35">
      <c r="A2802" s="21">
        <v>52</v>
      </c>
      <c r="B2802" t="str">
        <f>VLOOKUP(A2802,Products!$A$1:$F$322,2,FALSE)</f>
        <v>Surly Steamroller - 2017</v>
      </c>
      <c r="C2802" s="21" t="e">
        <f>VLOOKUP(A2802,Products!A$322:$D2802,4,FALSE)</f>
        <v>#N/A</v>
      </c>
    </row>
    <row r="2803" spans="1:3" x14ac:dyDescent="0.35">
      <c r="A2803" s="21">
        <v>49</v>
      </c>
      <c r="B2803" t="str">
        <f>VLOOKUP(A2803,Products!$A$1:$F$322,2,FALSE)</f>
        <v>Trek Domane SL 6 - 2017</v>
      </c>
      <c r="C2803" s="21" t="e">
        <f>VLOOKUP(A2803,Products!A$322:$D2803,4,FALSE)</f>
        <v>#N/A</v>
      </c>
    </row>
    <row r="2804" spans="1:3" x14ac:dyDescent="0.35">
      <c r="A2804" s="21">
        <v>9</v>
      </c>
      <c r="B2804" t="str">
        <f>VLOOKUP(A2804,Products!$A$1:$F$322,2,FALSE)</f>
        <v>Trek Conduit+ - 2016</v>
      </c>
      <c r="C2804" s="21" t="e">
        <f>VLOOKUP(A2804,Products!A$322:$D2804,4,FALSE)</f>
        <v>#N/A</v>
      </c>
    </row>
    <row r="2805" spans="1:3" x14ac:dyDescent="0.35">
      <c r="A2805" s="21">
        <v>64</v>
      </c>
      <c r="B2805" t="str">
        <f>VLOOKUP(A2805,Products!$A$1:$F$322,2,FALSE)</f>
        <v>Electra Townie Original 7D - 2017</v>
      </c>
      <c r="C2805" s="21" t="e">
        <f>VLOOKUP(A2805,Products!A$322:$D2805,4,FALSE)</f>
        <v>#N/A</v>
      </c>
    </row>
    <row r="2806" spans="1:3" x14ac:dyDescent="0.35">
      <c r="A2806" s="21">
        <v>35</v>
      </c>
      <c r="B2806" t="str">
        <f>VLOOKUP(A2806,Products!$A$1:$F$322,2,FALSE)</f>
        <v>Sun Bicycles Spider 3i - 2017</v>
      </c>
      <c r="C2806" s="21" t="e">
        <f>VLOOKUP(A2806,Products!A$322:$D2806,4,FALSE)</f>
        <v>#N/A</v>
      </c>
    </row>
    <row r="2807" spans="1:3" x14ac:dyDescent="0.35">
      <c r="A2807" s="21">
        <v>95</v>
      </c>
      <c r="B2807" t="str">
        <f>VLOOKUP(A2807,Products!$A$1:$F$322,2,FALSE)</f>
        <v>Electra Girl's Hawaii 1 16" - 2017</v>
      </c>
      <c r="C2807" s="21" t="e">
        <f>VLOOKUP(A2807,Products!A$322:$D2807,4,FALSE)</f>
        <v>#N/A</v>
      </c>
    </row>
    <row r="2808" spans="1:3" x14ac:dyDescent="0.35">
      <c r="A2808" s="21">
        <v>21</v>
      </c>
      <c r="B2808" t="str">
        <f>VLOOKUP(A2808,Products!$A$1:$F$322,2,FALSE)</f>
        <v>Electra Cruiser 1 (24-Inch) - 2016</v>
      </c>
      <c r="C2808" s="21" t="e">
        <f>VLOOKUP(A2808,Products!A$322:$D2808,4,FALSE)</f>
        <v>#N/A</v>
      </c>
    </row>
    <row r="2809" spans="1:3" x14ac:dyDescent="0.35">
      <c r="A2809" s="21">
        <v>36</v>
      </c>
      <c r="B2809" t="str">
        <f>VLOOKUP(A2809,Products!$A$1:$F$322,2,FALSE)</f>
        <v>Surly Troll Frameset - 2017</v>
      </c>
      <c r="C2809" s="21" t="e">
        <f>VLOOKUP(A2809,Products!A$322:$D2809,4,FALSE)</f>
        <v>#N/A</v>
      </c>
    </row>
    <row r="2810" spans="1:3" x14ac:dyDescent="0.35">
      <c r="A2810" s="21">
        <v>61</v>
      </c>
      <c r="B2810" t="str">
        <f>VLOOKUP(A2810,Products!$A$1:$F$322,2,FALSE)</f>
        <v>Trek Powerfly 8 FS Plus - 2017</v>
      </c>
      <c r="C2810" s="21" t="e">
        <f>VLOOKUP(A2810,Products!A$322:$D2810,4,FALSE)</f>
        <v>#N/A</v>
      </c>
    </row>
    <row r="2811" spans="1:3" x14ac:dyDescent="0.35">
      <c r="A2811" s="21">
        <v>22</v>
      </c>
      <c r="B2811" t="str">
        <f>VLOOKUP(A2811,Products!$A$1:$F$322,2,FALSE)</f>
        <v>Electra Girl's Hawaii 1 (16-inch) - 2015/2016</v>
      </c>
      <c r="C2811" s="21" t="e">
        <f>VLOOKUP(A2811,Products!A$322:$D2811,4,FALSE)</f>
        <v>#N/A</v>
      </c>
    </row>
    <row r="2812" spans="1:3" x14ac:dyDescent="0.35">
      <c r="A2812" s="21">
        <v>110</v>
      </c>
      <c r="B2812" t="str">
        <f>VLOOKUP(A2812,Products!$A$1:$F$322,2,FALSE)</f>
        <v>Sun Bicycles Drifter 7 - 2017</v>
      </c>
      <c r="C2812" s="21" t="e">
        <f>VLOOKUP(A2812,Products!A$322:$D2812,4,FALSE)</f>
        <v>#N/A</v>
      </c>
    </row>
    <row r="2813" spans="1:3" x14ac:dyDescent="0.35">
      <c r="A2813" s="21">
        <v>52</v>
      </c>
      <c r="B2813" t="str">
        <f>VLOOKUP(A2813,Products!$A$1:$F$322,2,FALSE)</f>
        <v>Surly Steamroller - 2017</v>
      </c>
      <c r="C2813" s="21" t="e">
        <f>VLOOKUP(A2813,Products!A$322:$D2813,4,FALSE)</f>
        <v>#N/A</v>
      </c>
    </row>
    <row r="2814" spans="1:3" x14ac:dyDescent="0.35">
      <c r="A2814" s="21">
        <v>40</v>
      </c>
      <c r="B2814" t="str">
        <f>VLOOKUP(A2814,Products!$A$1:$F$322,2,FALSE)</f>
        <v>Trek Fuel EX 9.8 29 - 2017</v>
      </c>
      <c r="C2814" s="21" t="e">
        <f>VLOOKUP(A2814,Products!A$322:$D2814,4,FALSE)</f>
        <v>#N/A</v>
      </c>
    </row>
    <row r="2815" spans="1:3" x14ac:dyDescent="0.35">
      <c r="A2815" s="21">
        <v>63</v>
      </c>
      <c r="B2815" t="str">
        <f>VLOOKUP(A2815,Products!$A$1:$F$322,2,FALSE)</f>
        <v>Trek Boone Race Shop Limited - 2017</v>
      </c>
      <c r="C2815" s="21" t="e">
        <f>VLOOKUP(A2815,Products!A$322:$D2815,4,FALSE)</f>
        <v>#N/A</v>
      </c>
    </row>
    <row r="2816" spans="1:3" x14ac:dyDescent="0.35">
      <c r="A2816" s="21">
        <v>20</v>
      </c>
      <c r="B2816" t="str">
        <f>VLOOKUP(A2816,Products!$A$1:$F$322,2,FALSE)</f>
        <v>Electra Townie Original 7D EQ - Women's - 2016</v>
      </c>
      <c r="C2816" s="21" t="e">
        <f>VLOOKUP(A2816,Products!A$322:$D2816,4,FALSE)</f>
        <v>#N/A</v>
      </c>
    </row>
    <row r="2817" spans="1:3" x14ac:dyDescent="0.35">
      <c r="A2817" s="21">
        <v>68</v>
      </c>
      <c r="B2817" t="str">
        <f>VLOOKUP(A2817,Products!$A$1:$F$322,2,FALSE)</f>
        <v>Sun Bicycles Cruz 3 - 2017</v>
      </c>
      <c r="C2817" s="21" t="e">
        <f>VLOOKUP(A2817,Products!A$322:$D2817,4,FALSE)</f>
        <v>#N/A</v>
      </c>
    </row>
    <row r="2818" spans="1:3" x14ac:dyDescent="0.35">
      <c r="A2818" s="21">
        <v>81</v>
      </c>
      <c r="B2818" t="str">
        <f>VLOOKUP(A2818,Products!$A$1:$F$322,2,FALSE)</f>
        <v>Electra Amsterdam Fashion 7i Ladies' - 2017</v>
      </c>
      <c r="C2818" s="21" t="e">
        <f>VLOOKUP(A2818,Products!A$322:$D2818,4,FALSE)</f>
        <v>#N/A</v>
      </c>
    </row>
    <row r="2819" spans="1:3" x14ac:dyDescent="0.35">
      <c r="A2819" s="21">
        <v>88</v>
      </c>
      <c r="B2819" t="str">
        <f>VLOOKUP(A2819,Products!$A$1:$F$322,2,FALSE)</f>
        <v>Trek Precaliber 12 Girls - 2017</v>
      </c>
      <c r="C2819" s="21" t="e">
        <f>VLOOKUP(A2819,Products!A$322:$D2819,4,FALSE)</f>
        <v>#N/A</v>
      </c>
    </row>
    <row r="2820" spans="1:3" x14ac:dyDescent="0.35">
      <c r="A2820" s="21">
        <v>68</v>
      </c>
      <c r="B2820" t="str">
        <f>VLOOKUP(A2820,Products!$A$1:$F$322,2,FALSE)</f>
        <v>Sun Bicycles Cruz 3 - 2017</v>
      </c>
      <c r="C2820" s="21" t="e">
        <f>VLOOKUP(A2820,Products!A$322:$D2820,4,FALSE)</f>
        <v>#N/A</v>
      </c>
    </row>
    <row r="2821" spans="1:3" x14ac:dyDescent="0.35">
      <c r="A2821" s="21">
        <v>81</v>
      </c>
      <c r="B2821" t="str">
        <f>VLOOKUP(A2821,Products!$A$1:$F$322,2,FALSE)</f>
        <v>Electra Amsterdam Fashion 7i Ladies' - 2017</v>
      </c>
      <c r="C2821" s="21" t="e">
        <f>VLOOKUP(A2821,Products!A$322:$D2821,4,FALSE)</f>
        <v>#N/A</v>
      </c>
    </row>
    <row r="2822" spans="1:3" x14ac:dyDescent="0.35">
      <c r="A2822" s="21">
        <v>12</v>
      </c>
      <c r="B2822" t="str">
        <f>VLOOKUP(A2822,Products!$A$1:$F$322,2,FALSE)</f>
        <v>Electra Townie Original 21D - 2016</v>
      </c>
      <c r="C2822" s="21" t="e">
        <f>VLOOKUP(A2822,Products!A$322:$D2822,4,FALSE)</f>
        <v>#N/A</v>
      </c>
    </row>
    <row r="2823" spans="1:3" x14ac:dyDescent="0.35">
      <c r="A2823" s="21">
        <v>111</v>
      </c>
      <c r="B2823" t="str">
        <f>VLOOKUP(A2823,Products!$A$1:$F$322,2,FALSE)</f>
        <v>Sun Bicycles Drifter 7 - Women's - 2017</v>
      </c>
      <c r="C2823" s="21" t="e">
        <f>VLOOKUP(A2823,Products!A$322:$D2823,4,FALSE)</f>
        <v>#N/A</v>
      </c>
    </row>
    <row r="2824" spans="1:3" x14ac:dyDescent="0.35">
      <c r="A2824" s="21">
        <v>5</v>
      </c>
      <c r="B2824" t="str">
        <f>VLOOKUP(A2824,Products!$A$1:$F$322,2,FALSE)</f>
        <v>Heller Shagamaw Frame - 2016</v>
      </c>
      <c r="C2824" s="21" t="e">
        <f>VLOOKUP(A2824,Products!A$322:$D2824,4,FALSE)</f>
        <v>#N/A</v>
      </c>
    </row>
    <row r="2825" spans="1:3" x14ac:dyDescent="0.35">
      <c r="A2825" s="21">
        <v>59</v>
      </c>
      <c r="B2825" t="str">
        <f>VLOOKUP(A2825,Products!$A$1:$F$322,2,FALSE)</f>
        <v>Trek Domane S 5 Disc - 2017</v>
      </c>
      <c r="C2825" s="21" t="e">
        <f>VLOOKUP(A2825,Products!A$322:$D2825,4,FALSE)</f>
        <v>#N/A</v>
      </c>
    </row>
    <row r="2826" spans="1:3" x14ac:dyDescent="0.35">
      <c r="A2826" s="21">
        <v>78</v>
      </c>
      <c r="B2826" t="str">
        <f>VLOOKUP(A2826,Products!$A$1:$F$322,2,FALSE)</f>
        <v>Sun Bicycles Biscayne Tandem CB - 2017</v>
      </c>
      <c r="C2826" s="21" t="e">
        <f>VLOOKUP(A2826,Products!A$322:$D2826,4,FALSE)</f>
        <v>#N/A</v>
      </c>
    </row>
    <row r="2827" spans="1:3" x14ac:dyDescent="0.35">
      <c r="A2827" s="21">
        <v>87</v>
      </c>
      <c r="B2827" t="str">
        <f>VLOOKUP(A2827,Products!$A$1:$F$322,2,FALSE)</f>
        <v>Trek Precaliber 12 Boys - 2017</v>
      </c>
      <c r="C2827" s="21" t="e">
        <f>VLOOKUP(A2827,Products!A$322:$D2827,4,FALSE)</f>
        <v>#N/A</v>
      </c>
    </row>
    <row r="2828" spans="1:3" x14ac:dyDescent="0.35">
      <c r="A2828" s="21">
        <v>78</v>
      </c>
      <c r="B2828" t="str">
        <f>VLOOKUP(A2828,Products!$A$1:$F$322,2,FALSE)</f>
        <v>Sun Bicycles Biscayne Tandem CB - 2017</v>
      </c>
      <c r="C2828" s="21" t="e">
        <f>VLOOKUP(A2828,Products!A$322:$D2828,4,FALSE)</f>
        <v>#N/A</v>
      </c>
    </row>
    <row r="2829" spans="1:3" x14ac:dyDescent="0.35">
      <c r="A2829" s="21">
        <v>26</v>
      </c>
      <c r="B2829" t="str">
        <f>VLOOKUP(A2829,Products!$A$1:$F$322,2,FALSE)</f>
        <v>Electra Townie Original 7D EQ - 2016</v>
      </c>
      <c r="C2829" s="21" t="e">
        <f>VLOOKUP(A2829,Products!A$322:$D2829,4,FALSE)</f>
        <v>#N/A</v>
      </c>
    </row>
    <row r="2830" spans="1:3" x14ac:dyDescent="0.35">
      <c r="A2830" s="21">
        <v>51</v>
      </c>
      <c r="B2830" t="str">
        <f>VLOOKUP(A2830,Products!$A$1:$F$322,2,FALSE)</f>
        <v>Trek Silque SLR 8 Women's - 2017</v>
      </c>
      <c r="C2830" s="21" t="e">
        <f>VLOOKUP(A2830,Products!A$322:$D2830,4,FALSE)</f>
        <v>#N/A</v>
      </c>
    </row>
    <row r="2831" spans="1:3" x14ac:dyDescent="0.35">
      <c r="A2831" s="21">
        <v>60</v>
      </c>
      <c r="B2831" t="str">
        <f>VLOOKUP(A2831,Products!$A$1:$F$322,2,FALSE)</f>
        <v>Sun Bicycles ElectroLite - 2017</v>
      </c>
      <c r="C2831" s="21" t="e">
        <f>VLOOKUP(A2831,Products!A$322:$D2831,4,FALSE)</f>
        <v>#N/A</v>
      </c>
    </row>
    <row r="2832" spans="1:3" x14ac:dyDescent="0.35">
      <c r="A2832" s="21">
        <v>80</v>
      </c>
      <c r="B2832" t="str">
        <f>VLOOKUP(A2832,Products!$A$1:$F$322,2,FALSE)</f>
        <v>Sun Bicycles Brickell Tandem CB - 2017</v>
      </c>
      <c r="C2832" s="21" t="e">
        <f>VLOOKUP(A2832,Products!A$322:$D2832,4,FALSE)</f>
        <v>#N/A</v>
      </c>
    </row>
    <row r="2833" spans="1:3" x14ac:dyDescent="0.35">
      <c r="A2833" s="21">
        <v>35</v>
      </c>
      <c r="B2833" t="str">
        <f>VLOOKUP(A2833,Products!$A$1:$F$322,2,FALSE)</f>
        <v>Sun Bicycles Spider 3i - 2017</v>
      </c>
      <c r="C2833" s="21" t="e">
        <f>VLOOKUP(A2833,Products!A$322:$D2833,4,FALSE)</f>
        <v>#N/A</v>
      </c>
    </row>
    <row r="2834" spans="1:3" x14ac:dyDescent="0.35">
      <c r="A2834" s="21">
        <v>38</v>
      </c>
      <c r="B2834" t="str">
        <f>VLOOKUP(A2834,Products!$A$1:$F$322,2,FALSE)</f>
        <v>Haro Flightline Two 26 Plus - 2017</v>
      </c>
      <c r="C2834" s="21" t="e">
        <f>VLOOKUP(A2834,Products!A$322:$D2834,4,FALSE)</f>
        <v>#N/A</v>
      </c>
    </row>
    <row r="2835" spans="1:3" x14ac:dyDescent="0.35">
      <c r="A2835" s="21">
        <v>12</v>
      </c>
      <c r="B2835" t="str">
        <f>VLOOKUP(A2835,Products!$A$1:$F$322,2,FALSE)</f>
        <v>Electra Townie Original 21D - 2016</v>
      </c>
      <c r="C2835" s="21" t="e">
        <f>VLOOKUP(A2835,Products!A$322:$D2835,4,FALSE)</f>
        <v>#N/A</v>
      </c>
    </row>
    <row r="2836" spans="1:3" x14ac:dyDescent="0.35">
      <c r="A2836" s="21">
        <v>99</v>
      </c>
      <c r="B2836" t="str">
        <f>VLOOKUP(A2836,Products!$A$1:$F$322,2,FALSE)</f>
        <v>Electra Sugar Skulls 1 (20-inch) - Girl's - 2017</v>
      </c>
      <c r="C2836" s="21" t="e">
        <f>VLOOKUP(A2836,Products!A$322:$D2836,4,FALSE)</f>
        <v>#N/A</v>
      </c>
    </row>
    <row r="2837" spans="1:3" x14ac:dyDescent="0.35">
      <c r="A2837" s="21">
        <v>27</v>
      </c>
      <c r="B2837" t="str">
        <f>VLOOKUP(A2837,Products!$A$1:$F$322,2,FALSE)</f>
        <v>Surly Big Dummy Frameset - 2017</v>
      </c>
      <c r="C2837" s="21" t="e">
        <f>VLOOKUP(A2837,Products!A$322:$D2837,4,FALSE)</f>
        <v>#N/A</v>
      </c>
    </row>
    <row r="2838" spans="1:3" x14ac:dyDescent="0.35">
      <c r="A2838" s="21">
        <v>70</v>
      </c>
      <c r="B2838" t="str">
        <f>VLOOKUP(A2838,Products!$A$1:$F$322,2,FALSE)</f>
        <v>Electra Amsterdam Original 3i - 2015/2017</v>
      </c>
      <c r="C2838" s="21" t="e">
        <f>VLOOKUP(A2838,Products!A$322:$D2838,4,FALSE)</f>
        <v>#N/A</v>
      </c>
    </row>
    <row r="2839" spans="1:3" x14ac:dyDescent="0.35">
      <c r="A2839" s="21">
        <v>84</v>
      </c>
      <c r="B2839" t="str">
        <f>VLOOKUP(A2839,Products!$A$1:$F$322,2,FALSE)</f>
        <v>Sun Bicycles Lil Kitt'n - 2017</v>
      </c>
      <c r="C2839" s="21" t="e">
        <f>VLOOKUP(A2839,Products!A$322:$D2839,4,FALSE)</f>
        <v>#N/A</v>
      </c>
    </row>
    <row r="2840" spans="1:3" x14ac:dyDescent="0.35">
      <c r="A2840" s="21">
        <v>5</v>
      </c>
      <c r="B2840" t="str">
        <f>VLOOKUP(A2840,Products!$A$1:$F$322,2,FALSE)</f>
        <v>Heller Shagamaw Frame - 2016</v>
      </c>
      <c r="C2840" s="21" t="e">
        <f>VLOOKUP(A2840,Products!A$322:$D2840,4,FALSE)</f>
        <v>#N/A</v>
      </c>
    </row>
    <row r="2841" spans="1:3" x14ac:dyDescent="0.35">
      <c r="A2841" s="21">
        <v>6</v>
      </c>
      <c r="B2841" t="str">
        <f>VLOOKUP(A2841,Products!$A$1:$F$322,2,FALSE)</f>
        <v>Surly Ice Cream Truck Frameset - 2016</v>
      </c>
      <c r="C2841" s="21" t="e">
        <f>VLOOKUP(A2841,Products!A$322:$D2841,4,FALSE)</f>
        <v>#N/A</v>
      </c>
    </row>
    <row r="2842" spans="1:3" x14ac:dyDescent="0.35">
      <c r="A2842" s="21">
        <v>29</v>
      </c>
      <c r="B2842" t="str">
        <f>VLOOKUP(A2842,Products!$A$1:$F$322,2,FALSE)</f>
        <v>Trek X-Caliber 8 - 2017</v>
      </c>
      <c r="C2842" s="21" t="e">
        <f>VLOOKUP(A2842,Products!A$322:$D2842,4,FALSE)</f>
        <v>#N/A</v>
      </c>
    </row>
    <row r="2843" spans="1:3" x14ac:dyDescent="0.35">
      <c r="A2843" s="21">
        <v>91</v>
      </c>
      <c r="B2843" t="str">
        <f>VLOOKUP(A2843,Products!$A$1:$F$322,2,FALSE)</f>
        <v>Trek Precaliber 24 (21-Speed) - Girls - 2017</v>
      </c>
      <c r="C2843" s="21" t="e">
        <f>VLOOKUP(A2843,Products!A$322:$D2843,4,FALSE)</f>
        <v>#N/A</v>
      </c>
    </row>
    <row r="2844" spans="1:3" x14ac:dyDescent="0.35">
      <c r="A2844" s="21">
        <v>14</v>
      </c>
      <c r="B2844" t="str">
        <f>VLOOKUP(A2844,Products!$A$1:$F$322,2,FALSE)</f>
        <v>Electra Girl's Hawaii 1 (16-inch) - 2015/2016</v>
      </c>
      <c r="C2844" s="21" t="e">
        <f>VLOOKUP(A2844,Products!A$322:$D2844,4,FALSE)</f>
        <v>#N/A</v>
      </c>
    </row>
    <row r="2845" spans="1:3" x14ac:dyDescent="0.35">
      <c r="A2845" s="21">
        <v>9</v>
      </c>
      <c r="B2845" t="str">
        <f>VLOOKUP(A2845,Products!$A$1:$F$322,2,FALSE)</f>
        <v>Trek Conduit+ - 2016</v>
      </c>
      <c r="C2845" s="21" t="e">
        <f>VLOOKUP(A2845,Products!A$322:$D2845,4,FALSE)</f>
        <v>#N/A</v>
      </c>
    </row>
    <row r="2846" spans="1:3" x14ac:dyDescent="0.35">
      <c r="A2846" s="21">
        <v>79</v>
      </c>
      <c r="B2846" t="str">
        <f>VLOOKUP(A2846,Products!$A$1:$F$322,2,FALSE)</f>
        <v>Sun Bicycles Boardwalk (24-inch Wheels) - 2017</v>
      </c>
      <c r="C2846" s="21" t="e">
        <f>VLOOKUP(A2846,Products!A$322:$D2846,4,FALSE)</f>
        <v>#N/A</v>
      </c>
    </row>
    <row r="2847" spans="1:3" x14ac:dyDescent="0.35">
      <c r="A2847" s="21">
        <v>34</v>
      </c>
      <c r="B2847" t="str">
        <f>VLOOKUP(A2847,Products!$A$1:$F$322,2,FALSE)</f>
        <v>Trek Session DH 27.5 Carbon Frameset - 2017</v>
      </c>
      <c r="C2847" s="21" t="e">
        <f>VLOOKUP(A2847,Products!A$322:$D2847,4,FALSE)</f>
        <v>#N/A</v>
      </c>
    </row>
    <row r="2848" spans="1:3" x14ac:dyDescent="0.35">
      <c r="A2848" s="21">
        <v>45</v>
      </c>
      <c r="B2848" t="str">
        <f>VLOOKUP(A2848,Products!$A$1:$F$322,2,FALSE)</f>
        <v>Haro SR 1.2 - 2017</v>
      </c>
      <c r="C2848" s="21" t="e">
        <f>VLOOKUP(A2848,Products!A$322:$D2848,4,FALSE)</f>
        <v>#N/A</v>
      </c>
    </row>
    <row r="2849" spans="1:3" x14ac:dyDescent="0.35">
      <c r="A2849" s="21">
        <v>102</v>
      </c>
      <c r="B2849" t="str">
        <f>VLOOKUP(A2849,Products!$A$1:$F$322,2,FALSE)</f>
        <v>Electra Townie Original 7D - 2017</v>
      </c>
      <c r="C2849" s="21" t="e">
        <f>VLOOKUP(A2849,Products!A$322:$D2849,4,FALSE)</f>
        <v>#N/A</v>
      </c>
    </row>
    <row r="2850" spans="1:3" x14ac:dyDescent="0.35">
      <c r="A2850" s="21">
        <v>20</v>
      </c>
      <c r="B2850" t="str">
        <f>VLOOKUP(A2850,Products!$A$1:$F$322,2,FALSE)</f>
        <v>Electra Townie Original 7D EQ - Women's - 2016</v>
      </c>
      <c r="C2850" s="21" t="e">
        <f>VLOOKUP(A2850,Products!A$322:$D2850,4,FALSE)</f>
        <v>#N/A</v>
      </c>
    </row>
    <row r="2851" spans="1:3" x14ac:dyDescent="0.35">
      <c r="A2851" s="21">
        <v>101</v>
      </c>
      <c r="B2851" t="str">
        <f>VLOOKUP(A2851,Products!$A$1:$F$322,2,FALSE)</f>
        <v>Electra Townie 7D (20-inch) - Boys' - 2017</v>
      </c>
      <c r="C2851" s="21" t="e">
        <f>VLOOKUP(A2851,Products!A$322:$D2851,4,FALSE)</f>
        <v>#N/A</v>
      </c>
    </row>
    <row r="2852" spans="1:3" x14ac:dyDescent="0.35">
      <c r="A2852" s="21">
        <v>7</v>
      </c>
      <c r="B2852" t="str">
        <f>VLOOKUP(A2852,Products!$A$1:$F$322,2,FALSE)</f>
        <v>Trek Slash 8 27.5 - 2016</v>
      </c>
      <c r="C2852" s="21" t="e">
        <f>VLOOKUP(A2852,Products!A$322:$D2852,4,FALSE)</f>
        <v>#N/A</v>
      </c>
    </row>
    <row r="2853" spans="1:3" x14ac:dyDescent="0.35">
      <c r="A2853" s="21">
        <v>58</v>
      </c>
      <c r="B2853" t="str">
        <f>VLOOKUP(A2853,Products!$A$1:$F$322,2,FALSE)</f>
        <v>Trek Madone 9.2 - 2017</v>
      </c>
      <c r="C2853" s="21" t="e">
        <f>VLOOKUP(A2853,Products!A$322:$D2853,4,FALSE)</f>
        <v>#N/A</v>
      </c>
    </row>
    <row r="2854" spans="1:3" x14ac:dyDescent="0.35">
      <c r="A2854" s="21">
        <v>36</v>
      </c>
      <c r="B2854" t="str">
        <f>VLOOKUP(A2854,Products!$A$1:$F$322,2,FALSE)</f>
        <v>Surly Troll Frameset - 2017</v>
      </c>
      <c r="C2854" s="21" t="e">
        <f>VLOOKUP(A2854,Products!A$322:$D2854,4,FALSE)</f>
        <v>#N/A</v>
      </c>
    </row>
    <row r="2855" spans="1:3" x14ac:dyDescent="0.35">
      <c r="A2855" s="21">
        <v>10</v>
      </c>
      <c r="B2855" t="str">
        <f>VLOOKUP(A2855,Products!$A$1:$F$322,2,FALSE)</f>
        <v>Surly Straggler - 2016</v>
      </c>
      <c r="C2855" s="21" t="e">
        <f>VLOOKUP(A2855,Products!A$322:$D2855,4,FALSE)</f>
        <v>#N/A</v>
      </c>
    </row>
    <row r="2856" spans="1:3" x14ac:dyDescent="0.35">
      <c r="A2856" s="21">
        <v>99</v>
      </c>
      <c r="B2856" t="str">
        <f>VLOOKUP(A2856,Products!$A$1:$F$322,2,FALSE)</f>
        <v>Electra Sugar Skulls 1 (20-inch) - Girl's - 2017</v>
      </c>
      <c r="C2856" s="21" t="e">
        <f>VLOOKUP(A2856,Products!A$322:$D2856,4,FALSE)</f>
        <v>#N/A</v>
      </c>
    </row>
    <row r="2857" spans="1:3" x14ac:dyDescent="0.35">
      <c r="A2857" s="21">
        <v>79</v>
      </c>
      <c r="B2857" t="str">
        <f>VLOOKUP(A2857,Products!$A$1:$F$322,2,FALSE)</f>
        <v>Sun Bicycles Boardwalk (24-inch Wheels) - 2017</v>
      </c>
      <c r="C2857" s="21" t="e">
        <f>VLOOKUP(A2857,Products!A$322:$D2857,4,FALSE)</f>
        <v>#N/A</v>
      </c>
    </row>
    <row r="2858" spans="1:3" x14ac:dyDescent="0.35">
      <c r="A2858" s="21">
        <v>37</v>
      </c>
      <c r="B2858" t="str">
        <f>VLOOKUP(A2858,Products!$A$1:$F$322,2,FALSE)</f>
        <v>Haro Flightline One ST - 2017</v>
      </c>
      <c r="C2858" s="21" t="e">
        <f>VLOOKUP(A2858,Products!A$322:$D2858,4,FALSE)</f>
        <v>#N/A</v>
      </c>
    </row>
    <row r="2859" spans="1:3" x14ac:dyDescent="0.35">
      <c r="A2859" s="21">
        <v>45</v>
      </c>
      <c r="B2859" t="str">
        <f>VLOOKUP(A2859,Products!$A$1:$F$322,2,FALSE)</f>
        <v>Haro SR 1.2 - 2017</v>
      </c>
      <c r="C2859" s="21" t="e">
        <f>VLOOKUP(A2859,Products!A$322:$D2859,4,FALSE)</f>
        <v>#N/A</v>
      </c>
    </row>
    <row r="2860" spans="1:3" x14ac:dyDescent="0.35">
      <c r="A2860" s="21">
        <v>66</v>
      </c>
      <c r="B2860" t="str">
        <f>VLOOKUP(A2860,Products!$A$1:$F$322,2,FALSE)</f>
        <v>Sun Bicycles Revolutions 24 - 2017</v>
      </c>
      <c r="C2860" s="21" t="e">
        <f>VLOOKUP(A2860,Products!A$322:$D2860,4,FALSE)</f>
        <v>#N/A</v>
      </c>
    </row>
    <row r="2861" spans="1:3" x14ac:dyDescent="0.35">
      <c r="A2861" s="21">
        <v>16</v>
      </c>
      <c r="B2861" t="str">
        <f>VLOOKUP(A2861,Products!$A$1:$F$322,2,FALSE)</f>
        <v>Electra Townie Original 7D EQ - 2016</v>
      </c>
      <c r="C2861" s="21" t="e">
        <f>VLOOKUP(A2861,Products!A$322:$D2861,4,FALSE)</f>
        <v>#N/A</v>
      </c>
    </row>
    <row r="2862" spans="1:3" x14ac:dyDescent="0.35">
      <c r="A2862" s="21">
        <v>90</v>
      </c>
      <c r="B2862" t="str">
        <f>VLOOKUP(A2862,Products!$A$1:$F$322,2,FALSE)</f>
        <v>Trek Precaliber 16 Girls - 2017</v>
      </c>
      <c r="C2862" s="21" t="e">
        <f>VLOOKUP(A2862,Products!A$322:$D2862,4,FALSE)</f>
        <v>#N/A</v>
      </c>
    </row>
    <row r="2863" spans="1:3" x14ac:dyDescent="0.35">
      <c r="A2863" s="21">
        <v>101</v>
      </c>
      <c r="B2863" t="str">
        <f>VLOOKUP(A2863,Products!$A$1:$F$322,2,FALSE)</f>
        <v>Electra Townie 7D (20-inch) - Boys' - 2017</v>
      </c>
      <c r="C2863" s="21" t="e">
        <f>VLOOKUP(A2863,Products!A$322:$D2863,4,FALSE)</f>
        <v>#N/A</v>
      </c>
    </row>
    <row r="2864" spans="1:3" x14ac:dyDescent="0.35">
      <c r="A2864" s="21">
        <v>68</v>
      </c>
      <c r="B2864" t="str">
        <f>VLOOKUP(A2864,Products!$A$1:$F$322,2,FALSE)</f>
        <v>Sun Bicycles Cruz 3 - 2017</v>
      </c>
      <c r="C2864" s="21" t="e">
        <f>VLOOKUP(A2864,Products!A$322:$D2864,4,FALSE)</f>
        <v>#N/A</v>
      </c>
    </row>
    <row r="2865" spans="1:3" x14ac:dyDescent="0.35">
      <c r="A2865" s="21">
        <v>32</v>
      </c>
      <c r="B2865" t="str">
        <f>VLOOKUP(A2865,Products!$A$1:$F$322,2,FALSE)</f>
        <v>Trek Farley Alloy Frameset - 2017</v>
      </c>
      <c r="C2865" s="21" t="e">
        <f>VLOOKUP(A2865,Products!A$322:$D2865,4,FALSE)</f>
        <v>#N/A</v>
      </c>
    </row>
    <row r="2866" spans="1:3" x14ac:dyDescent="0.35">
      <c r="A2866" s="21">
        <v>86</v>
      </c>
      <c r="B2866" t="str">
        <f>VLOOKUP(A2866,Products!$A$1:$F$322,2,FALSE)</f>
        <v>Trek Girl's Kickster - 2017</v>
      </c>
      <c r="C2866" s="21" t="e">
        <f>VLOOKUP(A2866,Products!A$322:$D2866,4,FALSE)</f>
        <v>#N/A</v>
      </c>
    </row>
    <row r="2867" spans="1:3" x14ac:dyDescent="0.35">
      <c r="A2867" s="21">
        <v>105</v>
      </c>
      <c r="B2867" t="str">
        <f>VLOOKUP(A2867,Products!$A$1:$F$322,2,FALSE)</f>
        <v>Sun Bicycles Streamway 7 - 2017</v>
      </c>
      <c r="C2867" s="21" t="e">
        <f>VLOOKUP(A2867,Products!A$322:$D2867,4,FALSE)</f>
        <v>#N/A</v>
      </c>
    </row>
    <row r="2868" spans="1:3" x14ac:dyDescent="0.35">
      <c r="A2868" s="21">
        <v>14</v>
      </c>
      <c r="B2868" t="str">
        <f>VLOOKUP(A2868,Products!$A$1:$F$322,2,FALSE)</f>
        <v>Electra Girl's Hawaii 1 (16-inch) - 2015/2016</v>
      </c>
      <c r="C2868" s="21" t="e">
        <f>VLOOKUP(A2868,Products!A$322:$D2868,4,FALSE)</f>
        <v>#N/A</v>
      </c>
    </row>
    <row r="2869" spans="1:3" x14ac:dyDescent="0.35">
      <c r="A2869" s="21">
        <v>26</v>
      </c>
      <c r="B2869" t="str">
        <f>VLOOKUP(A2869,Products!$A$1:$F$322,2,FALSE)</f>
        <v>Electra Townie Original 7D EQ - 2016</v>
      </c>
      <c r="C2869" s="21" t="e">
        <f>VLOOKUP(A2869,Products!A$322:$D2869,4,FALSE)</f>
        <v>#N/A</v>
      </c>
    </row>
    <row r="2870" spans="1:3" x14ac:dyDescent="0.35">
      <c r="A2870" s="21">
        <v>105</v>
      </c>
      <c r="B2870" t="str">
        <f>VLOOKUP(A2870,Products!$A$1:$F$322,2,FALSE)</f>
        <v>Sun Bicycles Streamway 7 - 2017</v>
      </c>
      <c r="C2870" s="21" t="e">
        <f>VLOOKUP(A2870,Products!A$322:$D2870,4,FALSE)</f>
        <v>#N/A</v>
      </c>
    </row>
    <row r="2871" spans="1:3" x14ac:dyDescent="0.35">
      <c r="A2871" s="21">
        <v>70</v>
      </c>
      <c r="B2871" t="str">
        <f>VLOOKUP(A2871,Products!$A$1:$F$322,2,FALSE)</f>
        <v>Electra Amsterdam Original 3i - 2015/2017</v>
      </c>
      <c r="C2871" s="21" t="e">
        <f>VLOOKUP(A2871,Products!A$322:$D2871,4,FALSE)</f>
        <v>#N/A</v>
      </c>
    </row>
    <row r="2872" spans="1:3" x14ac:dyDescent="0.35">
      <c r="A2872" s="21">
        <v>106</v>
      </c>
      <c r="B2872" t="str">
        <f>VLOOKUP(A2872,Products!$A$1:$F$322,2,FALSE)</f>
        <v>Sun Bicycles Cruz 3 - 2017</v>
      </c>
      <c r="C2872" s="21" t="e">
        <f>VLOOKUP(A2872,Products!A$322:$D2872,4,FALSE)</f>
        <v>#N/A</v>
      </c>
    </row>
    <row r="2873" spans="1:3" x14ac:dyDescent="0.35">
      <c r="A2873" s="21">
        <v>65</v>
      </c>
      <c r="B2873" t="str">
        <f>VLOOKUP(A2873,Products!$A$1:$F$322,2,FALSE)</f>
        <v>Sun Bicycles Lil Bolt Type-R - 2017</v>
      </c>
      <c r="C2873" s="21" t="e">
        <f>VLOOKUP(A2873,Products!A$322:$D2873,4,FALSE)</f>
        <v>#N/A</v>
      </c>
    </row>
    <row r="2874" spans="1:3" x14ac:dyDescent="0.35">
      <c r="A2874" s="21">
        <v>111</v>
      </c>
      <c r="B2874" t="str">
        <f>VLOOKUP(A2874,Products!$A$1:$F$322,2,FALSE)</f>
        <v>Sun Bicycles Drifter 7 - Women's - 2017</v>
      </c>
      <c r="C2874" s="21" t="e">
        <f>VLOOKUP(A2874,Products!A$322:$D2874,4,FALSE)</f>
        <v>#N/A</v>
      </c>
    </row>
    <row r="2875" spans="1:3" x14ac:dyDescent="0.35">
      <c r="A2875" s="21">
        <v>19</v>
      </c>
      <c r="B2875" t="str">
        <f>VLOOKUP(A2875,Products!$A$1:$F$322,2,FALSE)</f>
        <v>Pure Cycles William 3-Speed - 2016</v>
      </c>
      <c r="C2875" s="21" t="e">
        <f>VLOOKUP(A2875,Products!A$322:$D2875,4,FALSE)</f>
        <v>#N/A</v>
      </c>
    </row>
    <row r="2876" spans="1:3" x14ac:dyDescent="0.35">
      <c r="A2876" s="21">
        <v>29</v>
      </c>
      <c r="B2876" t="str">
        <f>VLOOKUP(A2876,Products!$A$1:$F$322,2,FALSE)</f>
        <v>Trek X-Caliber 8 - 2017</v>
      </c>
      <c r="C2876" s="21" t="e">
        <f>VLOOKUP(A2876,Products!A$322:$D2876,4,FALSE)</f>
        <v>#N/A</v>
      </c>
    </row>
    <row r="2877" spans="1:3" x14ac:dyDescent="0.35">
      <c r="A2877" s="21">
        <v>72</v>
      </c>
      <c r="B2877" t="str">
        <f>VLOOKUP(A2877,Products!$A$1:$F$322,2,FALSE)</f>
        <v>Sun Bicycles Biscayne Tandem 7 - 2017</v>
      </c>
      <c r="C2877" s="21" t="e">
        <f>VLOOKUP(A2877,Products!A$322:$D2877,4,FALSE)</f>
        <v>#N/A</v>
      </c>
    </row>
    <row r="2878" spans="1:3" x14ac:dyDescent="0.35">
      <c r="A2878" s="21">
        <v>45</v>
      </c>
      <c r="B2878" t="str">
        <f>VLOOKUP(A2878,Products!$A$1:$F$322,2,FALSE)</f>
        <v>Haro SR 1.2 - 2017</v>
      </c>
      <c r="C2878" s="21" t="e">
        <f>VLOOKUP(A2878,Products!A$322:$D2878,4,FALSE)</f>
        <v>#N/A</v>
      </c>
    </row>
    <row r="2879" spans="1:3" x14ac:dyDescent="0.35">
      <c r="A2879" s="21">
        <v>58</v>
      </c>
      <c r="B2879" t="str">
        <f>VLOOKUP(A2879,Products!$A$1:$F$322,2,FALSE)</f>
        <v>Trek Madone 9.2 - 2017</v>
      </c>
      <c r="C2879" s="21" t="e">
        <f>VLOOKUP(A2879,Products!A$322:$D2879,4,FALSE)</f>
        <v>#N/A</v>
      </c>
    </row>
    <row r="2880" spans="1:3" x14ac:dyDescent="0.35">
      <c r="A2880" s="21">
        <v>111</v>
      </c>
      <c r="B2880" t="str">
        <f>VLOOKUP(A2880,Products!$A$1:$F$322,2,FALSE)</f>
        <v>Sun Bicycles Drifter 7 - Women's - 2017</v>
      </c>
      <c r="C2880" s="21" t="e">
        <f>VLOOKUP(A2880,Products!A$322:$D2880,4,FALSE)</f>
        <v>#N/A</v>
      </c>
    </row>
    <row r="2881" spans="1:3" x14ac:dyDescent="0.35">
      <c r="A2881" s="21">
        <v>100</v>
      </c>
      <c r="B2881" t="str">
        <f>VLOOKUP(A2881,Products!$A$1:$F$322,2,FALSE)</f>
        <v>Electra Townie 3i EQ (20-inch) - Boys' - 2017</v>
      </c>
      <c r="C2881" s="21" t="e">
        <f>VLOOKUP(A2881,Products!A$322:$D2881,4,FALSE)</f>
        <v>#N/A</v>
      </c>
    </row>
    <row r="2882" spans="1:3" x14ac:dyDescent="0.35">
      <c r="A2882" s="21">
        <v>83</v>
      </c>
      <c r="B2882" t="str">
        <f>VLOOKUP(A2882,Products!$A$1:$F$322,2,FALSE)</f>
        <v>Trek Boy's Kickster - 2015/2017</v>
      </c>
      <c r="C2882" s="21" t="e">
        <f>VLOOKUP(A2882,Products!A$322:$D2882,4,FALSE)</f>
        <v>#N/A</v>
      </c>
    </row>
    <row r="2883" spans="1:3" x14ac:dyDescent="0.35">
      <c r="A2883" s="21">
        <v>8</v>
      </c>
      <c r="B2883" t="str">
        <f>VLOOKUP(A2883,Products!$A$1:$F$322,2,FALSE)</f>
        <v>Trek Remedy 29 Carbon Frameset - 2016</v>
      </c>
      <c r="C2883" s="21" t="e">
        <f>VLOOKUP(A2883,Products!A$322:$D2883,4,FALSE)</f>
        <v>#N/A</v>
      </c>
    </row>
    <row r="2884" spans="1:3" x14ac:dyDescent="0.35">
      <c r="A2884" s="21">
        <v>79</v>
      </c>
      <c r="B2884" t="str">
        <f>VLOOKUP(A2884,Products!$A$1:$F$322,2,FALSE)</f>
        <v>Sun Bicycles Boardwalk (24-inch Wheels) - 2017</v>
      </c>
      <c r="C2884" s="21" t="e">
        <f>VLOOKUP(A2884,Products!A$322:$D2884,4,FALSE)</f>
        <v>#N/A</v>
      </c>
    </row>
    <row r="2885" spans="1:3" x14ac:dyDescent="0.35">
      <c r="A2885" s="21">
        <v>34</v>
      </c>
      <c r="B2885" t="str">
        <f>VLOOKUP(A2885,Products!$A$1:$F$322,2,FALSE)</f>
        <v>Trek Session DH 27.5 Carbon Frameset - 2017</v>
      </c>
      <c r="C2885" s="21" t="e">
        <f>VLOOKUP(A2885,Products!A$322:$D2885,4,FALSE)</f>
        <v>#N/A</v>
      </c>
    </row>
    <row r="2886" spans="1:3" x14ac:dyDescent="0.35">
      <c r="A2886" s="21">
        <v>51</v>
      </c>
      <c r="B2886" t="str">
        <f>VLOOKUP(A2886,Products!$A$1:$F$322,2,FALSE)</f>
        <v>Trek Silque SLR 8 Women's - 2017</v>
      </c>
      <c r="C2886" s="21" t="e">
        <f>VLOOKUP(A2886,Products!A$322:$D2886,4,FALSE)</f>
        <v>#N/A</v>
      </c>
    </row>
    <row r="2887" spans="1:3" x14ac:dyDescent="0.35">
      <c r="A2887" s="21">
        <v>36</v>
      </c>
      <c r="B2887" t="str">
        <f>VLOOKUP(A2887,Products!$A$1:$F$322,2,FALSE)</f>
        <v>Surly Troll Frameset - 2017</v>
      </c>
      <c r="C2887" s="21" t="e">
        <f>VLOOKUP(A2887,Products!A$322:$D2887,4,FALSE)</f>
        <v>#N/A</v>
      </c>
    </row>
    <row r="2888" spans="1:3" x14ac:dyDescent="0.35">
      <c r="A2888" s="21">
        <v>14</v>
      </c>
      <c r="B2888" t="str">
        <f>VLOOKUP(A2888,Products!$A$1:$F$322,2,FALSE)</f>
        <v>Electra Girl's Hawaii 1 (16-inch) - 2015/2016</v>
      </c>
      <c r="C2888" s="21" t="e">
        <f>VLOOKUP(A2888,Products!A$322:$D2888,4,FALSE)</f>
        <v>#N/A</v>
      </c>
    </row>
    <row r="2889" spans="1:3" x14ac:dyDescent="0.35">
      <c r="A2889" s="21">
        <v>81</v>
      </c>
      <c r="B2889" t="str">
        <f>VLOOKUP(A2889,Products!$A$1:$F$322,2,FALSE)</f>
        <v>Electra Amsterdam Fashion 7i Ladies' - 2017</v>
      </c>
      <c r="C2889" s="21" t="e">
        <f>VLOOKUP(A2889,Products!A$322:$D2889,4,FALSE)</f>
        <v>#N/A</v>
      </c>
    </row>
    <row r="2890" spans="1:3" x14ac:dyDescent="0.35">
      <c r="A2890" s="21">
        <v>99</v>
      </c>
      <c r="B2890" t="str">
        <f>VLOOKUP(A2890,Products!$A$1:$F$322,2,FALSE)</f>
        <v>Electra Sugar Skulls 1 (20-inch) - Girl's - 2017</v>
      </c>
      <c r="C2890" s="21" t="e">
        <f>VLOOKUP(A2890,Products!A$322:$D2890,4,FALSE)</f>
        <v>#N/A</v>
      </c>
    </row>
    <row r="2891" spans="1:3" x14ac:dyDescent="0.35">
      <c r="A2891" s="21">
        <v>20</v>
      </c>
      <c r="B2891" t="str">
        <f>VLOOKUP(A2891,Products!$A$1:$F$322,2,FALSE)</f>
        <v>Electra Townie Original 7D EQ - Women's - 2016</v>
      </c>
      <c r="C2891" s="21" t="e">
        <f>VLOOKUP(A2891,Products!A$322:$D2891,4,FALSE)</f>
        <v>#N/A</v>
      </c>
    </row>
    <row r="2892" spans="1:3" x14ac:dyDescent="0.35">
      <c r="A2892" s="21">
        <v>68</v>
      </c>
      <c r="B2892" t="str">
        <f>VLOOKUP(A2892,Products!$A$1:$F$322,2,FALSE)</f>
        <v>Sun Bicycles Cruz 3 - 2017</v>
      </c>
      <c r="C2892" s="21" t="e">
        <f>VLOOKUP(A2892,Products!A$322:$D2892,4,FALSE)</f>
        <v>#N/A</v>
      </c>
    </row>
    <row r="2893" spans="1:3" x14ac:dyDescent="0.35">
      <c r="A2893" s="21">
        <v>56</v>
      </c>
      <c r="B2893" t="str">
        <f>VLOOKUP(A2893,Products!$A$1:$F$322,2,FALSE)</f>
        <v>Trek Domane SLR 6 Disc - 2017</v>
      </c>
      <c r="C2893" s="21" t="e">
        <f>VLOOKUP(A2893,Products!A$322:$D2893,4,FALSE)</f>
        <v>#N/A</v>
      </c>
    </row>
    <row r="2894" spans="1:3" x14ac:dyDescent="0.35">
      <c r="A2894" s="21">
        <v>65</v>
      </c>
      <c r="B2894" t="str">
        <f>VLOOKUP(A2894,Products!$A$1:$F$322,2,FALSE)</f>
        <v>Sun Bicycles Lil Bolt Type-R - 2017</v>
      </c>
      <c r="C2894" s="21" t="e">
        <f>VLOOKUP(A2894,Products!A$322:$D2894,4,FALSE)</f>
        <v>#N/A</v>
      </c>
    </row>
    <row r="2895" spans="1:3" x14ac:dyDescent="0.35">
      <c r="A2895" s="21">
        <v>46</v>
      </c>
      <c r="B2895" t="str">
        <f>VLOOKUP(A2895,Products!$A$1:$F$322,2,FALSE)</f>
        <v>Haro SR 1.3 - 2017</v>
      </c>
      <c r="C2895" s="21" t="e">
        <f>VLOOKUP(A2895,Products!A$322:$D2895,4,FALSE)</f>
        <v>#N/A</v>
      </c>
    </row>
    <row r="2896" spans="1:3" x14ac:dyDescent="0.35">
      <c r="A2896" s="21">
        <v>26</v>
      </c>
      <c r="B2896" t="str">
        <f>VLOOKUP(A2896,Products!$A$1:$F$322,2,FALSE)</f>
        <v>Electra Townie Original 7D EQ - 2016</v>
      </c>
      <c r="C2896" s="21" t="e">
        <f>VLOOKUP(A2896,Products!A$322:$D2896,4,FALSE)</f>
        <v>#N/A</v>
      </c>
    </row>
    <row r="2897" spans="1:3" x14ac:dyDescent="0.35">
      <c r="A2897" s="21">
        <v>11</v>
      </c>
      <c r="B2897" t="str">
        <f>VLOOKUP(A2897,Products!$A$1:$F$322,2,FALSE)</f>
        <v>Surly Straggler 650b - 2016</v>
      </c>
      <c r="C2897" s="21" t="e">
        <f>VLOOKUP(A2897,Products!A$322:$D2897,4,FALSE)</f>
        <v>#N/A</v>
      </c>
    </row>
    <row r="2898" spans="1:3" x14ac:dyDescent="0.35">
      <c r="A2898" s="21">
        <v>85</v>
      </c>
      <c r="B2898" t="str">
        <f>VLOOKUP(A2898,Products!$A$1:$F$322,2,FALSE)</f>
        <v>Haro Downtown 16 - 2017</v>
      </c>
      <c r="C2898" s="21" t="e">
        <f>VLOOKUP(A2898,Products!A$322:$D2898,4,FALSE)</f>
        <v>#N/A</v>
      </c>
    </row>
    <row r="2899" spans="1:3" x14ac:dyDescent="0.35">
      <c r="A2899" s="21">
        <v>76</v>
      </c>
      <c r="B2899" t="str">
        <f>VLOOKUP(A2899,Products!$A$1:$F$322,2,FALSE)</f>
        <v>Electra Girl's Hawaii 1 16" - 2017</v>
      </c>
      <c r="C2899" s="21" t="e">
        <f>VLOOKUP(A2899,Products!A$322:$D2899,4,FALSE)</f>
        <v>#N/A</v>
      </c>
    </row>
    <row r="2900" spans="1:3" x14ac:dyDescent="0.35">
      <c r="A2900" s="21">
        <v>106</v>
      </c>
      <c r="B2900" t="str">
        <f>VLOOKUP(A2900,Products!$A$1:$F$322,2,FALSE)</f>
        <v>Sun Bicycles Cruz 3 - 2017</v>
      </c>
      <c r="C2900" s="21" t="e">
        <f>VLOOKUP(A2900,Products!A$322:$D2900,4,FALSE)</f>
        <v>#N/A</v>
      </c>
    </row>
    <row r="2901" spans="1:3" x14ac:dyDescent="0.35">
      <c r="A2901" s="21">
        <v>71</v>
      </c>
      <c r="B2901" t="str">
        <f>VLOOKUP(A2901,Products!$A$1:$F$322,2,FALSE)</f>
        <v>Sun Bicycles Atlas X-Type - 2017</v>
      </c>
      <c r="C2901" s="21" t="e">
        <f>VLOOKUP(A2901,Products!A$322:$D2901,4,FALSE)</f>
        <v>#N/A</v>
      </c>
    </row>
    <row r="2902" spans="1:3" x14ac:dyDescent="0.35">
      <c r="A2902" s="21">
        <v>2</v>
      </c>
      <c r="B2902" t="str">
        <f>VLOOKUP(A2902,Products!$A$1:$F$322,2,FALSE)</f>
        <v>Ritchey Timberwolf Frameset - 2016</v>
      </c>
      <c r="C2902" s="21" t="e">
        <f>VLOOKUP(A2902,Products!A$322:$D2902,4,FALSE)</f>
        <v>#N/A</v>
      </c>
    </row>
    <row r="2903" spans="1:3" x14ac:dyDescent="0.35">
      <c r="A2903" s="21">
        <v>95</v>
      </c>
      <c r="B2903" t="str">
        <f>VLOOKUP(A2903,Products!$A$1:$F$322,2,FALSE)</f>
        <v>Electra Girl's Hawaii 1 16" - 2017</v>
      </c>
      <c r="C2903" s="21" t="e">
        <f>VLOOKUP(A2903,Products!A$322:$D2903,4,FALSE)</f>
        <v>#N/A</v>
      </c>
    </row>
    <row r="2904" spans="1:3" x14ac:dyDescent="0.35">
      <c r="A2904" s="21">
        <v>95</v>
      </c>
      <c r="B2904" t="str">
        <f>VLOOKUP(A2904,Products!$A$1:$F$322,2,FALSE)</f>
        <v>Electra Girl's Hawaii 1 16" - 2017</v>
      </c>
      <c r="C2904" s="21" t="e">
        <f>VLOOKUP(A2904,Products!A$322:$D2904,4,FALSE)</f>
        <v>#N/A</v>
      </c>
    </row>
    <row r="2905" spans="1:3" x14ac:dyDescent="0.35">
      <c r="A2905" s="21">
        <v>44</v>
      </c>
      <c r="B2905" t="str">
        <f>VLOOKUP(A2905,Products!$A$1:$F$322,2,FALSE)</f>
        <v>Haro SR 1.1 - 2017</v>
      </c>
      <c r="C2905" s="21" t="e">
        <f>VLOOKUP(A2905,Products!A$322:$D2905,4,FALSE)</f>
        <v>#N/A</v>
      </c>
    </row>
    <row r="2906" spans="1:3" x14ac:dyDescent="0.35">
      <c r="A2906" s="21">
        <v>109</v>
      </c>
      <c r="B2906" t="str">
        <f>VLOOKUP(A2906,Products!$A$1:$F$322,2,FALSE)</f>
        <v>Sun Bicycles Cruz 7 - Women's - 2017</v>
      </c>
      <c r="C2906" s="21" t="e">
        <f>VLOOKUP(A2906,Products!A$322:$D2906,4,FALSE)</f>
        <v>#N/A</v>
      </c>
    </row>
    <row r="2907" spans="1:3" x14ac:dyDescent="0.35">
      <c r="A2907" s="21">
        <v>88</v>
      </c>
      <c r="B2907" t="str">
        <f>VLOOKUP(A2907,Products!$A$1:$F$322,2,FALSE)</f>
        <v>Trek Precaliber 12 Girls - 2017</v>
      </c>
      <c r="C2907" s="21" t="e">
        <f>VLOOKUP(A2907,Products!A$322:$D2907,4,FALSE)</f>
        <v>#N/A</v>
      </c>
    </row>
    <row r="2908" spans="1:3" x14ac:dyDescent="0.35">
      <c r="A2908" s="21">
        <v>99</v>
      </c>
      <c r="B2908" t="str">
        <f>VLOOKUP(A2908,Products!$A$1:$F$322,2,FALSE)</f>
        <v>Electra Sugar Skulls 1 (20-inch) - Girl's - 2017</v>
      </c>
      <c r="C2908" s="21" t="e">
        <f>VLOOKUP(A2908,Products!A$322:$D2908,4,FALSE)</f>
        <v>#N/A</v>
      </c>
    </row>
    <row r="2909" spans="1:3" x14ac:dyDescent="0.35">
      <c r="A2909" s="21">
        <v>16</v>
      </c>
      <c r="B2909" t="str">
        <f>VLOOKUP(A2909,Products!$A$1:$F$322,2,FALSE)</f>
        <v>Electra Townie Original 7D EQ - 2016</v>
      </c>
      <c r="C2909" s="21" t="e">
        <f>VLOOKUP(A2909,Products!A$322:$D2909,4,FALSE)</f>
        <v>#N/A</v>
      </c>
    </row>
    <row r="2910" spans="1:3" x14ac:dyDescent="0.35">
      <c r="A2910" s="21">
        <v>68</v>
      </c>
      <c r="B2910" t="str">
        <f>VLOOKUP(A2910,Products!$A$1:$F$322,2,FALSE)</f>
        <v>Sun Bicycles Cruz 3 - 2017</v>
      </c>
      <c r="C2910" s="21" t="e">
        <f>VLOOKUP(A2910,Products!A$322:$D2910,4,FALSE)</f>
        <v>#N/A</v>
      </c>
    </row>
    <row r="2911" spans="1:3" x14ac:dyDescent="0.35">
      <c r="A2911" s="21">
        <v>8</v>
      </c>
      <c r="B2911" t="str">
        <f>VLOOKUP(A2911,Products!$A$1:$F$322,2,FALSE)</f>
        <v>Trek Remedy 29 Carbon Frameset - 2016</v>
      </c>
      <c r="C2911" s="21" t="e">
        <f>VLOOKUP(A2911,Products!A$322:$D2911,4,FALSE)</f>
        <v>#N/A</v>
      </c>
    </row>
    <row r="2912" spans="1:3" x14ac:dyDescent="0.35">
      <c r="A2912" s="21">
        <v>64</v>
      </c>
      <c r="B2912" t="str">
        <f>VLOOKUP(A2912,Products!$A$1:$F$322,2,FALSE)</f>
        <v>Electra Townie Original 7D - 2017</v>
      </c>
      <c r="C2912" s="21" t="e">
        <f>VLOOKUP(A2912,Products!A$322:$D2912,4,FALSE)</f>
        <v>#N/A</v>
      </c>
    </row>
    <row r="2913" spans="1:3" x14ac:dyDescent="0.35">
      <c r="A2913" s="21">
        <v>60</v>
      </c>
      <c r="B2913" t="str">
        <f>VLOOKUP(A2913,Products!$A$1:$F$322,2,FALSE)</f>
        <v>Sun Bicycles ElectroLite - 2017</v>
      </c>
      <c r="C2913" s="21" t="e">
        <f>VLOOKUP(A2913,Products!A$322:$D2913,4,FALSE)</f>
        <v>#N/A</v>
      </c>
    </row>
    <row r="2914" spans="1:3" x14ac:dyDescent="0.35">
      <c r="A2914" s="21">
        <v>97</v>
      </c>
      <c r="B2914" t="str">
        <f>VLOOKUP(A2914,Products!$A$1:$F$322,2,FALSE)</f>
        <v>Electra Savannah 3i (20-inch) - Girl's - 2017</v>
      </c>
      <c r="C2914" s="21" t="e">
        <f>VLOOKUP(A2914,Products!A$322:$D2914,4,FALSE)</f>
        <v>#N/A</v>
      </c>
    </row>
    <row r="2915" spans="1:3" x14ac:dyDescent="0.35">
      <c r="A2915" s="21">
        <v>45</v>
      </c>
      <c r="B2915" t="str">
        <f>VLOOKUP(A2915,Products!$A$1:$F$322,2,FALSE)</f>
        <v>Haro SR 1.2 - 2017</v>
      </c>
      <c r="C2915" s="21" t="e">
        <f>VLOOKUP(A2915,Products!A$322:$D2915,4,FALSE)</f>
        <v>#N/A</v>
      </c>
    </row>
    <row r="2916" spans="1:3" x14ac:dyDescent="0.35">
      <c r="A2916" s="21">
        <v>81</v>
      </c>
      <c r="B2916" t="str">
        <f>VLOOKUP(A2916,Products!$A$1:$F$322,2,FALSE)</f>
        <v>Electra Amsterdam Fashion 7i Ladies' - 2017</v>
      </c>
      <c r="C2916" s="21" t="e">
        <f>VLOOKUP(A2916,Products!A$322:$D2916,4,FALSE)</f>
        <v>#N/A</v>
      </c>
    </row>
    <row r="2917" spans="1:3" x14ac:dyDescent="0.35">
      <c r="A2917" s="21">
        <v>59</v>
      </c>
      <c r="B2917" t="str">
        <f>VLOOKUP(A2917,Products!$A$1:$F$322,2,FALSE)</f>
        <v>Trek Domane S 5 Disc - 2017</v>
      </c>
      <c r="C2917" s="21" t="e">
        <f>VLOOKUP(A2917,Products!A$322:$D2917,4,FALSE)</f>
        <v>#N/A</v>
      </c>
    </row>
    <row r="2918" spans="1:3" x14ac:dyDescent="0.35">
      <c r="A2918" s="21">
        <v>6</v>
      </c>
      <c r="B2918" t="str">
        <f>VLOOKUP(A2918,Products!$A$1:$F$322,2,FALSE)</f>
        <v>Surly Ice Cream Truck Frameset - 2016</v>
      </c>
      <c r="C2918" s="21" t="e">
        <f>VLOOKUP(A2918,Products!A$322:$D2918,4,FALSE)</f>
        <v>#N/A</v>
      </c>
    </row>
    <row r="2919" spans="1:3" x14ac:dyDescent="0.35">
      <c r="A2919" s="21">
        <v>73</v>
      </c>
      <c r="B2919" t="str">
        <f>VLOOKUP(A2919,Products!$A$1:$F$322,2,FALSE)</f>
        <v>Sun Bicycles Brickell Tandem 7 - 2017</v>
      </c>
      <c r="C2919" s="21" t="e">
        <f>VLOOKUP(A2919,Products!A$322:$D2919,4,FALSE)</f>
        <v>#N/A</v>
      </c>
    </row>
    <row r="2920" spans="1:3" x14ac:dyDescent="0.35">
      <c r="A2920" s="21">
        <v>101</v>
      </c>
      <c r="B2920" t="str">
        <f>VLOOKUP(A2920,Products!$A$1:$F$322,2,FALSE)</f>
        <v>Electra Townie 7D (20-inch) - Boys' - 2017</v>
      </c>
      <c r="C2920" s="21" t="e">
        <f>VLOOKUP(A2920,Products!A$322:$D2920,4,FALSE)</f>
        <v>#N/A</v>
      </c>
    </row>
    <row r="2921" spans="1:3" x14ac:dyDescent="0.35">
      <c r="A2921" s="21">
        <v>13</v>
      </c>
      <c r="B2921" t="str">
        <f>VLOOKUP(A2921,Products!$A$1:$F$322,2,FALSE)</f>
        <v>Electra Cruiser 1 (24-Inch) - 2016</v>
      </c>
      <c r="C2921" s="21" t="e">
        <f>VLOOKUP(A2921,Products!A$322:$D2921,4,FALSE)</f>
        <v>#N/A</v>
      </c>
    </row>
    <row r="2922" spans="1:3" x14ac:dyDescent="0.35">
      <c r="A2922" s="21">
        <v>76</v>
      </c>
      <c r="B2922" t="str">
        <f>VLOOKUP(A2922,Products!$A$1:$F$322,2,FALSE)</f>
        <v>Electra Girl's Hawaii 1 16" - 2017</v>
      </c>
      <c r="C2922" s="21" t="e">
        <f>VLOOKUP(A2922,Products!A$322:$D2922,4,FALSE)</f>
        <v>#N/A</v>
      </c>
    </row>
    <row r="2923" spans="1:3" x14ac:dyDescent="0.35">
      <c r="A2923" s="21">
        <v>89</v>
      </c>
      <c r="B2923" t="str">
        <f>VLOOKUP(A2923,Products!$A$1:$F$322,2,FALSE)</f>
        <v>Trek Precaliber 16 Boys - 2017</v>
      </c>
      <c r="C2923" s="21" t="e">
        <f>VLOOKUP(A2923,Products!A$322:$D2923,4,FALSE)</f>
        <v>#N/A</v>
      </c>
    </row>
    <row r="2924" spans="1:3" x14ac:dyDescent="0.35">
      <c r="A2924" s="21">
        <v>82</v>
      </c>
      <c r="B2924" t="str">
        <f>VLOOKUP(A2924,Products!$A$1:$F$322,2,FALSE)</f>
        <v>Electra Amsterdam Original 3i Ladies' - 2017</v>
      </c>
      <c r="C2924" s="21" t="e">
        <f>VLOOKUP(A2924,Products!A$322:$D2924,4,FALSE)</f>
        <v>#N/A</v>
      </c>
    </row>
    <row r="2925" spans="1:3" x14ac:dyDescent="0.35">
      <c r="A2925" s="21">
        <v>100</v>
      </c>
      <c r="B2925" t="str">
        <f>VLOOKUP(A2925,Products!$A$1:$F$322,2,FALSE)</f>
        <v>Electra Townie 3i EQ (20-inch) - Boys' - 2017</v>
      </c>
      <c r="C2925" s="21" t="e">
        <f>VLOOKUP(A2925,Products!A$322:$D2925,4,FALSE)</f>
        <v>#N/A</v>
      </c>
    </row>
    <row r="2926" spans="1:3" x14ac:dyDescent="0.35">
      <c r="A2926" s="21">
        <v>18</v>
      </c>
      <c r="B2926" t="str">
        <f>VLOOKUP(A2926,Products!$A$1:$F$322,2,FALSE)</f>
        <v>Pure Cycles Western 3-Speed - Women's - 2015/2016</v>
      </c>
      <c r="C2926" s="21" t="e">
        <f>VLOOKUP(A2926,Products!A$322:$D2926,4,FALSE)</f>
        <v>#N/A</v>
      </c>
    </row>
    <row r="2927" spans="1:3" x14ac:dyDescent="0.35">
      <c r="A2927" s="21">
        <v>77</v>
      </c>
      <c r="B2927" t="str">
        <f>VLOOKUP(A2927,Products!$A$1:$F$322,2,FALSE)</f>
        <v>Electra Glam Punk 3i Ladies' - 2017</v>
      </c>
      <c r="C2927" s="21" t="e">
        <f>VLOOKUP(A2927,Products!A$322:$D2927,4,FALSE)</f>
        <v>#N/A</v>
      </c>
    </row>
    <row r="2928" spans="1:3" x14ac:dyDescent="0.35">
      <c r="A2928" s="21">
        <v>76</v>
      </c>
      <c r="B2928" t="str">
        <f>VLOOKUP(A2928,Products!$A$1:$F$322,2,FALSE)</f>
        <v>Electra Girl's Hawaii 1 16" - 2017</v>
      </c>
      <c r="C2928" s="21" t="e">
        <f>VLOOKUP(A2928,Products!A$322:$D2928,4,FALSE)</f>
        <v>#N/A</v>
      </c>
    </row>
    <row r="2929" spans="1:3" x14ac:dyDescent="0.35">
      <c r="A2929" s="21">
        <v>97</v>
      </c>
      <c r="B2929" t="str">
        <f>VLOOKUP(A2929,Products!$A$1:$F$322,2,FALSE)</f>
        <v>Electra Savannah 3i (20-inch) - Girl's - 2017</v>
      </c>
      <c r="C2929" s="21" t="e">
        <f>VLOOKUP(A2929,Products!A$322:$D2929,4,FALSE)</f>
        <v>#N/A</v>
      </c>
    </row>
    <row r="2930" spans="1:3" x14ac:dyDescent="0.35">
      <c r="A2930" s="21">
        <v>91</v>
      </c>
      <c r="B2930" t="str">
        <f>VLOOKUP(A2930,Products!$A$1:$F$322,2,FALSE)</f>
        <v>Trek Precaliber 24 (21-Speed) - Girls - 2017</v>
      </c>
      <c r="C2930" s="21" t="e">
        <f>VLOOKUP(A2930,Products!A$322:$D2930,4,FALSE)</f>
        <v>#N/A</v>
      </c>
    </row>
    <row r="2931" spans="1:3" x14ac:dyDescent="0.35">
      <c r="A2931" s="21">
        <v>30</v>
      </c>
      <c r="B2931" t="str">
        <f>VLOOKUP(A2931,Products!$A$1:$F$322,2,FALSE)</f>
        <v>Surly Ice Cream Truck Frameset - 2017</v>
      </c>
      <c r="C2931" s="21" t="e">
        <f>VLOOKUP(A2931,Products!A$322:$D2931,4,FALSE)</f>
        <v>#N/A</v>
      </c>
    </row>
    <row r="2932" spans="1:3" x14ac:dyDescent="0.35">
      <c r="A2932" s="21">
        <v>52</v>
      </c>
      <c r="B2932" t="str">
        <f>VLOOKUP(A2932,Products!$A$1:$F$322,2,FALSE)</f>
        <v>Surly Steamroller - 2017</v>
      </c>
      <c r="C2932" s="21" t="e">
        <f>VLOOKUP(A2932,Products!A$322:$D2932,4,FALSE)</f>
        <v>#N/A</v>
      </c>
    </row>
    <row r="2933" spans="1:3" x14ac:dyDescent="0.35">
      <c r="A2933" s="21">
        <v>37</v>
      </c>
      <c r="B2933" t="str">
        <f>VLOOKUP(A2933,Products!$A$1:$F$322,2,FALSE)</f>
        <v>Haro Flightline One ST - 2017</v>
      </c>
      <c r="C2933" s="21" t="e">
        <f>VLOOKUP(A2933,Products!A$322:$D2933,4,FALSE)</f>
        <v>#N/A</v>
      </c>
    </row>
    <row r="2934" spans="1:3" x14ac:dyDescent="0.35">
      <c r="A2934" s="21">
        <v>93</v>
      </c>
      <c r="B2934" t="str">
        <f>VLOOKUP(A2934,Products!$A$1:$F$322,2,FALSE)</f>
        <v>Haro Shredder 20 Girls - 2017</v>
      </c>
      <c r="C2934" s="21" t="e">
        <f>VLOOKUP(A2934,Products!A$322:$D2934,4,FALSE)</f>
        <v>#N/A</v>
      </c>
    </row>
    <row r="2935" spans="1:3" x14ac:dyDescent="0.35">
      <c r="A2935" s="21">
        <v>20</v>
      </c>
      <c r="B2935" t="str">
        <f>VLOOKUP(A2935,Products!$A$1:$F$322,2,FALSE)</f>
        <v>Electra Townie Original 7D EQ - Women's - 2016</v>
      </c>
      <c r="C2935" s="21" t="e">
        <f>VLOOKUP(A2935,Products!A$322:$D2935,4,FALSE)</f>
        <v>#N/A</v>
      </c>
    </row>
    <row r="2936" spans="1:3" x14ac:dyDescent="0.35">
      <c r="A2936" s="21">
        <v>69</v>
      </c>
      <c r="B2936" t="str">
        <f>VLOOKUP(A2936,Products!$A$1:$F$322,2,FALSE)</f>
        <v>Sun Bicycles Cruz 7 - 2017</v>
      </c>
      <c r="C2936" s="21" t="e">
        <f>VLOOKUP(A2936,Products!A$322:$D2936,4,FALSE)</f>
        <v>#N/A</v>
      </c>
    </row>
    <row r="2937" spans="1:3" x14ac:dyDescent="0.35">
      <c r="A2937" s="21">
        <v>15</v>
      </c>
      <c r="B2937" t="str">
        <f>VLOOKUP(A2937,Products!$A$1:$F$322,2,FALSE)</f>
        <v>Electra Moto 1 - 2016</v>
      </c>
      <c r="C2937" s="21" t="e">
        <f>VLOOKUP(A2937,Products!A$322:$D2937,4,FALSE)</f>
        <v>#N/A</v>
      </c>
    </row>
    <row r="2938" spans="1:3" x14ac:dyDescent="0.35">
      <c r="A2938" s="21">
        <v>57</v>
      </c>
      <c r="B2938" t="str">
        <f>VLOOKUP(A2938,Products!$A$1:$F$322,2,FALSE)</f>
        <v>Trek Emonda S 5 - 2017</v>
      </c>
      <c r="C2938" s="21" t="e">
        <f>VLOOKUP(A2938,Products!A$322:$D2938,4,FALSE)</f>
        <v>#N/A</v>
      </c>
    </row>
    <row r="2939" spans="1:3" x14ac:dyDescent="0.35">
      <c r="A2939" s="21">
        <v>40</v>
      </c>
      <c r="B2939" t="str">
        <f>VLOOKUP(A2939,Products!$A$1:$F$322,2,FALSE)</f>
        <v>Trek Fuel EX 9.8 29 - 2017</v>
      </c>
      <c r="C2939" s="21" t="e">
        <f>VLOOKUP(A2939,Products!A$322:$D2939,4,FALSE)</f>
        <v>#N/A</v>
      </c>
    </row>
    <row r="2940" spans="1:3" x14ac:dyDescent="0.35">
      <c r="A2940" s="21">
        <v>49</v>
      </c>
      <c r="B2940" t="str">
        <f>VLOOKUP(A2940,Products!$A$1:$F$322,2,FALSE)</f>
        <v>Trek Domane SL 6 - 2017</v>
      </c>
      <c r="C2940" s="21" t="e">
        <f>VLOOKUP(A2940,Products!A$322:$D2940,4,FALSE)</f>
        <v>#N/A</v>
      </c>
    </row>
    <row r="2941" spans="1:3" x14ac:dyDescent="0.35">
      <c r="A2941" s="21">
        <v>23</v>
      </c>
      <c r="B2941" t="str">
        <f>VLOOKUP(A2941,Products!$A$1:$F$322,2,FALSE)</f>
        <v>Electra Girl's Hawaii 1 (20-inch) - 2015/2016</v>
      </c>
      <c r="C2941" s="21" t="e">
        <f>VLOOKUP(A2941,Products!A$322:$D2941,4,FALSE)</f>
        <v>#N/A</v>
      </c>
    </row>
    <row r="2942" spans="1:3" x14ac:dyDescent="0.35">
      <c r="A2942" s="21">
        <v>33</v>
      </c>
      <c r="B2942" t="str">
        <f>VLOOKUP(A2942,Products!$A$1:$F$322,2,FALSE)</f>
        <v>Surly Wednesday Frameset - 2017</v>
      </c>
      <c r="C2942" s="21" t="e">
        <f>VLOOKUP(A2942,Products!A$322:$D2942,4,FALSE)</f>
        <v>#N/A</v>
      </c>
    </row>
    <row r="2943" spans="1:3" x14ac:dyDescent="0.35">
      <c r="A2943" s="21">
        <v>46</v>
      </c>
      <c r="B2943" t="str">
        <f>VLOOKUP(A2943,Products!$A$1:$F$322,2,FALSE)</f>
        <v>Haro SR 1.3 - 2017</v>
      </c>
      <c r="C2943" s="21" t="e">
        <f>VLOOKUP(A2943,Products!A$322:$D2943,4,FALSE)</f>
        <v>#N/A</v>
      </c>
    </row>
    <row r="2944" spans="1:3" x14ac:dyDescent="0.35">
      <c r="A2944" s="21">
        <v>65</v>
      </c>
      <c r="B2944" t="str">
        <f>VLOOKUP(A2944,Products!$A$1:$F$322,2,FALSE)</f>
        <v>Sun Bicycles Lil Bolt Type-R - 2017</v>
      </c>
      <c r="C2944" s="21" t="e">
        <f>VLOOKUP(A2944,Products!A$322:$D2944,4,FALSE)</f>
        <v>#N/A</v>
      </c>
    </row>
    <row r="2945" spans="1:3" x14ac:dyDescent="0.35">
      <c r="A2945" s="21">
        <v>5</v>
      </c>
      <c r="B2945" t="str">
        <f>VLOOKUP(A2945,Products!$A$1:$F$322,2,FALSE)</f>
        <v>Heller Shagamaw Frame - 2016</v>
      </c>
      <c r="C2945" s="21" t="e">
        <f>VLOOKUP(A2945,Products!A$322:$D2945,4,FALSE)</f>
        <v>#N/A</v>
      </c>
    </row>
    <row r="2946" spans="1:3" x14ac:dyDescent="0.35">
      <c r="A2946" s="21">
        <v>91</v>
      </c>
      <c r="B2946" t="str">
        <f>VLOOKUP(A2946,Products!$A$1:$F$322,2,FALSE)</f>
        <v>Trek Precaliber 24 (21-Speed) - Girls - 2017</v>
      </c>
      <c r="C2946" s="21" t="e">
        <f>VLOOKUP(A2946,Products!A$322:$D2946,4,FALSE)</f>
        <v>#N/A</v>
      </c>
    </row>
    <row r="2947" spans="1:3" x14ac:dyDescent="0.35">
      <c r="A2947" s="21">
        <v>43</v>
      </c>
      <c r="B2947" t="str">
        <f>VLOOKUP(A2947,Products!$A$1:$F$322,2,FALSE)</f>
        <v>Trek Fuel EX 9.8 27.5 Plus - 2017</v>
      </c>
      <c r="C2947" s="21" t="e">
        <f>VLOOKUP(A2947,Products!A$322:$D2947,4,FALSE)</f>
        <v>#N/A</v>
      </c>
    </row>
    <row r="2948" spans="1:3" x14ac:dyDescent="0.35">
      <c r="A2948" s="21">
        <v>104</v>
      </c>
      <c r="B2948" t="str">
        <f>VLOOKUP(A2948,Products!$A$1:$F$322,2,FALSE)</f>
        <v>Sun Bicycles Streamway - 2017</v>
      </c>
      <c r="C2948" s="21" t="e">
        <f>VLOOKUP(A2948,Products!A$322:$D2948,4,FALSE)</f>
        <v>#N/A</v>
      </c>
    </row>
    <row r="2949" spans="1:3" x14ac:dyDescent="0.35">
      <c r="A2949" s="21">
        <v>28</v>
      </c>
      <c r="B2949" t="str">
        <f>VLOOKUP(A2949,Products!$A$1:$F$322,2,FALSE)</f>
        <v>Surly Karate Monkey 27.5+ Frameset - 2017</v>
      </c>
      <c r="C2949" s="21" t="e">
        <f>VLOOKUP(A2949,Products!A$322:$D2949,4,FALSE)</f>
        <v>#N/A</v>
      </c>
    </row>
    <row r="2950" spans="1:3" x14ac:dyDescent="0.35">
      <c r="A2950" s="21">
        <v>98</v>
      </c>
      <c r="B2950" t="str">
        <f>VLOOKUP(A2950,Products!$A$1:$F$322,2,FALSE)</f>
        <v>Electra Straight 8 3i (20-inch) - Boy's - 2017</v>
      </c>
      <c r="C2950" s="21" t="e">
        <f>VLOOKUP(A2950,Products!A$322:$D2950,4,FALSE)</f>
        <v>#N/A</v>
      </c>
    </row>
    <row r="2951" spans="1:3" x14ac:dyDescent="0.35">
      <c r="A2951" s="21">
        <v>96</v>
      </c>
      <c r="B2951" t="str">
        <f>VLOOKUP(A2951,Products!$A$1:$F$322,2,FALSE)</f>
        <v>Electra Moto 3i (20-inch) - Boy's - 2017</v>
      </c>
      <c r="C2951" s="21" t="e">
        <f>VLOOKUP(A2951,Products!A$322:$D2951,4,FALSE)</f>
        <v>#N/A</v>
      </c>
    </row>
    <row r="2952" spans="1:3" x14ac:dyDescent="0.35">
      <c r="A2952" s="21">
        <v>91</v>
      </c>
      <c r="B2952" t="str">
        <f>VLOOKUP(A2952,Products!$A$1:$F$322,2,FALSE)</f>
        <v>Trek Precaliber 24 (21-Speed) - Girls - 2017</v>
      </c>
      <c r="C2952" s="21" t="e">
        <f>VLOOKUP(A2952,Products!A$322:$D2952,4,FALSE)</f>
        <v>#N/A</v>
      </c>
    </row>
    <row r="2953" spans="1:3" x14ac:dyDescent="0.35">
      <c r="A2953" s="21">
        <v>89</v>
      </c>
      <c r="B2953" t="str">
        <f>VLOOKUP(A2953,Products!$A$1:$F$322,2,FALSE)</f>
        <v>Trek Precaliber 16 Boys - 2017</v>
      </c>
      <c r="C2953" s="21" t="e">
        <f>VLOOKUP(A2953,Products!A$322:$D2953,4,FALSE)</f>
        <v>#N/A</v>
      </c>
    </row>
    <row r="2954" spans="1:3" x14ac:dyDescent="0.35">
      <c r="A2954" s="21">
        <v>102</v>
      </c>
      <c r="B2954" t="str">
        <f>VLOOKUP(A2954,Products!$A$1:$F$322,2,FALSE)</f>
        <v>Electra Townie Original 7D - 2017</v>
      </c>
      <c r="C2954" s="21" t="e">
        <f>VLOOKUP(A2954,Products!A$322:$D2954,4,FALSE)</f>
        <v>#N/A</v>
      </c>
    </row>
    <row r="2955" spans="1:3" x14ac:dyDescent="0.35">
      <c r="A2955" s="21">
        <v>39</v>
      </c>
      <c r="B2955" t="str">
        <f>VLOOKUP(A2955,Products!$A$1:$F$322,2,FALSE)</f>
        <v>Trek Stache 5 - 2017</v>
      </c>
      <c r="C2955" s="21" t="e">
        <f>VLOOKUP(A2955,Products!A$322:$D2955,4,FALSE)</f>
        <v>#N/A</v>
      </c>
    </row>
    <row r="2956" spans="1:3" x14ac:dyDescent="0.35">
      <c r="A2956" s="21">
        <v>15</v>
      </c>
      <c r="B2956" t="str">
        <f>VLOOKUP(A2956,Products!$A$1:$F$322,2,FALSE)</f>
        <v>Electra Moto 1 - 2016</v>
      </c>
      <c r="C2956" s="21" t="e">
        <f>VLOOKUP(A2956,Products!A$322:$D2956,4,FALSE)</f>
        <v>#N/A</v>
      </c>
    </row>
    <row r="2957" spans="1:3" x14ac:dyDescent="0.35">
      <c r="A2957" s="21">
        <v>66</v>
      </c>
      <c r="B2957" t="str">
        <f>VLOOKUP(A2957,Products!$A$1:$F$322,2,FALSE)</f>
        <v>Sun Bicycles Revolutions 24 - 2017</v>
      </c>
      <c r="C2957" s="21" t="e">
        <f>VLOOKUP(A2957,Products!A$322:$D2957,4,FALSE)</f>
        <v>#N/A</v>
      </c>
    </row>
    <row r="2958" spans="1:3" x14ac:dyDescent="0.35">
      <c r="A2958" s="21">
        <v>7</v>
      </c>
      <c r="B2958" t="str">
        <f>VLOOKUP(A2958,Products!$A$1:$F$322,2,FALSE)</f>
        <v>Trek Slash 8 27.5 - 2016</v>
      </c>
      <c r="C2958" s="21" t="e">
        <f>VLOOKUP(A2958,Products!A$322:$D2958,4,FALSE)</f>
        <v>#N/A</v>
      </c>
    </row>
    <row r="2959" spans="1:3" x14ac:dyDescent="0.35">
      <c r="A2959" s="21">
        <v>95</v>
      </c>
      <c r="B2959" t="str">
        <f>VLOOKUP(A2959,Products!$A$1:$F$322,2,FALSE)</f>
        <v>Electra Girl's Hawaii 1 16" - 2017</v>
      </c>
      <c r="C2959" s="21" t="e">
        <f>VLOOKUP(A2959,Products!A$322:$D2959,4,FALSE)</f>
        <v>#N/A</v>
      </c>
    </row>
    <row r="2960" spans="1:3" x14ac:dyDescent="0.35">
      <c r="A2960" s="21">
        <v>14</v>
      </c>
      <c r="B2960" t="str">
        <f>VLOOKUP(A2960,Products!$A$1:$F$322,2,FALSE)</f>
        <v>Electra Girl's Hawaii 1 (16-inch) - 2015/2016</v>
      </c>
      <c r="C2960" s="21" t="e">
        <f>VLOOKUP(A2960,Products!A$322:$D2960,4,FALSE)</f>
        <v>#N/A</v>
      </c>
    </row>
    <row r="2961" spans="1:3" x14ac:dyDescent="0.35">
      <c r="A2961" s="21">
        <v>111</v>
      </c>
      <c r="B2961" t="str">
        <f>VLOOKUP(A2961,Products!$A$1:$F$322,2,FALSE)</f>
        <v>Sun Bicycles Drifter 7 - Women's - 2017</v>
      </c>
      <c r="C2961" s="21" t="e">
        <f>VLOOKUP(A2961,Products!A$322:$D2961,4,FALSE)</f>
        <v>#N/A</v>
      </c>
    </row>
    <row r="2962" spans="1:3" x14ac:dyDescent="0.35">
      <c r="A2962" s="21">
        <v>10</v>
      </c>
      <c r="B2962" t="str">
        <f>VLOOKUP(A2962,Products!$A$1:$F$322,2,FALSE)</f>
        <v>Surly Straggler - 2016</v>
      </c>
      <c r="C2962" s="21" t="e">
        <f>VLOOKUP(A2962,Products!A$322:$D2962,4,FALSE)</f>
        <v>#N/A</v>
      </c>
    </row>
    <row r="2963" spans="1:3" x14ac:dyDescent="0.35">
      <c r="A2963" s="21">
        <v>41</v>
      </c>
      <c r="B2963" t="str">
        <f>VLOOKUP(A2963,Products!$A$1:$F$322,2,FALSE)</f>
        <v>Haro Shift R3 - 2017</v>
      </c>
      <c r="C2963" s="21" t="e">
        <f>VLOOKUP(A2963,Products!A$322:$D2963,4,FALSE)</f>
        <v>#N/A</v>
      </c>
    </row>
    <row r="2964" spans="1:3" x14ac:dyDescent="0.35">
      <c r="A2964" s="21">
        <v>35</v>
      </c>
      <c r="B2964" t="str">
        <f>VLOOKUP(A2964,Products!$A$1:$F$322,2,FALSE)</f>
        <v>Sun Bicycles Spider 3i - 2017</v>
      </c>
      <c r="C2964" s="21" t="e">
        <f>VLOOKUP(A2964,Products!A$322:$D2964,4,FALSE)</f>
        <v>#N/A</v>
      </c>
    </row>
    <row r="2965" spans="1:3" x14ac:dyDescent="0.35">
      <c r="A2965" s="21">
        <v>108</v>
      </c>
      <c r="B2965" t="str">
        <f>VLOOKUP(A2965,Products!$A$1:$F$322,2,FALSE)</f>
        <v>Sun Bicycles Cruz 3 - Women's - 2017</v>
      </c>
      <c r="C2965" s="21" t="e">
        <f>VLOOKUP(A2965,Products!A$322:$D2965,4,FALSE)</f>
        <v>#N/A</v>
      </c>
    </row>
    <row r="2966" spans="1:3" x14ac:dyDescent="0.35">
      <c r="A2966" s="21">
        <v>20</v>
      </c>
      <c r="B2966" t="str">
        <f>VLOOKUP(A2966,Products!$A$1:$F$322,2,FALSE)</f>
        <v>Electra Townie Original 7D EQ - Women's - 2016</v>
      </c>
      <c r="C2966" s="21" t="e">
        <f>VLOOKUP(A2966,Products!A$322:$D2966,4,FALSE)</f>
        <v>#N/A</v>
      </c>
    </row>
    <row r="2967" spans="1:3" x14ac:dyDescent="0.35">
      <c r="A2967" s="21">
        <v>55</v>
      </c>
      <c r="B2967" t="str">
        <f>VLOOKUP(A2967,Products!$A$1:$F$322,2,FALSE)</f>
        <v>Trek Domane S 6 - 2017</v>
      </c>
      <c r="C2967" s="21" t="e">
        <f>VLOOKUP(A2967,Products!A$322:$D2967,4,FALSE)</f>
        <v>#N/A</v>
      </c>
    </row>
    <row r="2968" spans="1:3" x14ac:dyDescent="0.35">
      <c r="A2968" s="21">
        <v>40</v>
      </c>
      <c r="B2968" t="str">
        <f>VLOOKUP(A2968,Products!$A$1:$F$322,2,FALSE)</f>
        <v>Trek Fuel EX 9.8 29 - 2017</v>
      </c>
      <c r="C2968" s="21" t="e">
        <f>VLOOKUP(A2968,Products!A$322:$D2968,4,FALSE)</f>
        <v>#N/A</v>
      </c>
    </row>
    <row r="2969" spans="1:3" x14ac:dyDescent="0.35">
      <c r="A2969" s="21">
        <v>68</v>
      </c>
      <c r="B2969" t="str">
        <f>VLOOKUP(A2969,Products!$A$1:$F$322,2,FALSE)</f>
        <v>Sun Bicycles Cruz 3 - 2017</v>
      </c>
      <c r="C2969" s="21" t="e">
        <f>VLOOKUP(A2969,Products!A$322:$D2969,4,FALSE)</f>
        <v>#N/A</v>
      </c>
    </row>
    <row r="2970" spans="1:3" x14ac:dyDescent="0.35">
      <c r="A2970" s="21">
        <v>27</v>
      </c>
      <c r="B2970" t="str">
        <f>VLOOKUP(A2970,Products!$A$1:$F$322,2,FALSE)</f>
        <v>Surly Big Dummy Frameset - 2017</v>
      </c>
      <c r="C2970" s="21" t="e">
        <f>VLOOKUP(A2970,Products!A$322:$D2970,4,FALSE)</f>
        <v>#N/A</v>
      </c>
    </row>
    <row r="2971" spans="1:3" x14ac:dyDescent="0.35">
      <c r="A2971" s="21">
        <v>10</v>
      </c>
      <c r="B2971" t="str">
        <f>VLOOKUP(A2971,Products!$A$1:$F$322,2,FALSE)</f>
        <v>Surly Straggler - 2016</v>
      </c>
      <c r="C2971" s="21" t="e">
        <f>VLOOKUP(A2971,Products!A$322:$D2971,4,FALSE)</f>
        <v>#N/A</v>
      </c>
    </row>
    <row r="2972" spans="1:3" x14ac:dyDescent="0.35">
      <c r="A2972" s="21">
        <v>72</v>
      </c>
      <c r="B2972" t="str">
        <f>VLOOKUP(A2972,Products!$A$1:$F$322,2,FALSE)</f>
        <v>Sun Bicycles Biscayne Tandem 7 - 2017</v>
      </c>
      <c r="C2972" s="21" t="e">
        <f>VLOOKUP(A2972,Products!A$322:$D2972,4,FALSE)</f>
        <v>#N/A</v>
      </c>
    </row>
    <row r="2973" spans="1:3" x14ac:dyDescent="0.35">
      <c r="A2973" s="21">
        <v>27</v>
      </c>
      <c r="B2973" t="str">
        <f>VLOOKUP(A2973,Products!$A$1:$F$322,2,FALSE)</f>
        <v>Surly Big Dummy Frameset - 2017</v>
      </c>
      <c r="C2973" s="21" t="e">
        <f>VLOOKUP(A2973,Products!A$322:$D2973,4,FALSE)</f>
        <v>#N/A</v>
      </c>
    </row>
    <row r="2974" spans="1:3" x14ac:dyDescent="0.35">
      <c r="A2974" s="21">
        <v>108</v>
      </c>
      <c r="B2974" t="str">
        <f>VLOOKUP(A2974,Products!$A$1:$F$322,2,FALSE)</f>
        <v>Sun Bicycles Cruz 3 - Women's - 2017</v>
      </c>
      <c r="C2974" s="21" t="e">
        <f>VLOOKUP(A2974,Products!A$322:$D2974,4,FALSE)</f>
        <v>#N/A</v>
      </c>
    </row>
    <row r="2975" spans="1:3" x14ac:dyDescent="0.35">
      <c r="A2975" s="21">
        <v>60</v>
      </c>
      <c r="B2975" t="str">
        <f>VLOOKUP(A2975,Products!$A$1:$F$322,2,FALSE)</f>
        <v>Sun Bicycles ElectroLite - 2017</v>
      </c>
      <c r="C2975" s="21" t="e">
        <f>VLOOKUP(A2975,Products!A$322:$D2975,4,FALSE)</f>
        <v>#N/A</v>
      </c>
    </row>
    <row r="2976" spans="1:3" x14ac:dyDescent="0.35">
      <c r="A2976" s="21">
        <v>17</v>
      </c>
      <c r="B2976" t="str">
        <f>VLOOKUP(A2976,Products!$A$1:$F$322,2,FALSE)</f>
        <v>Pure Cycles Vine 8-Speed - 2016</v>
      </c>
      <c r="C2976" s="21" t="e">
        <f>VLOOKUP(A2976,Products!A$322:$D2976,4,FALSE)</f>
        <v>#N/A</v>
      </c>
    </row>
    <row r="2977" spans="1:3" x14ac:dyDescent="0.35">
      <c r="A2977" s="21">
        <v>26</v>
      </c>
      <c r="B2977" t="str">
        <f>VLOOKUP(A2977,Products!$A$1:$F$322,2,FALSE)</f>
        <v>Electra Townie Original 7D EQ - 2016</v>
      </c>
      <c r="C2977" s="21" t="e">
        <f>VLOOKUP(A2977,Products!A$322:$D2977,4,FALSE)</f>
        <v>#N/A</v>
      </c>
    </row>
    <row r="2978" spans="1:3" x14ac:dyDescent="0.35">
      <c r="A2978" s="21">
        <v>109</v>
      </c>
      <c r="B2978" t="str">
        <f>VLOOKUP(A2978,Products!$A$1:$F$322,2,FALSE)</f>
        <v>Sun Bicycles Cruz 7 - Women's - 2017</v>
      </c>
      <c r="C2978" s="21" t="e">
        <f>VLOOKUP(A2978,Products!A$322:$D2978,4,FALSE)</f>
        <v>#N/A</v>
      </c>
    </row>
    <row r="2979" spans="1:3" x14ac:dyDescent="0.35">
      <c r="A2979" s="21">
        <v>27</v>
      </c>
      <c r="B2979" t="str">
        <f>VLOOKUP(A2979,Products!$A$1:$F$322,2,FALSE)</f>
        <v>Surly Big Dummy Frameset - 2017</v>
      </c>
      <c r="C2979" s="21" t="e">
        <f>VLOOKUP(A2979,Products!A$322:$D2979,4,FALSE)</f>
        <v>#N/A</v>
      </c>
    </row>
    <row r="2980" spans="1:3" x14ac:dyDescent="0.35">
      <c r="A2980" s="21">
        <v>101</v>
      </c>
      <c r="B2980" t="str">
        <f>VLOOKUP(A2980,Products!$A$1:$F$322,2,FALSE)</f>
        <v>Electra Townie 7D (20-inch) - Boys' - 2017</v>
      </c>
      <c r="C2980" s="21" t="e">
        <f>VLOOKUP(A2980,Products!A$322:$D2980,4,FALSE)</f>
        <v>#N/A</v>
      </c>
    </row>
    <row r="2981" spans="1:3" x14ac:dyDescent="0.35">
      <c r="A2981" s="21">
        <v>8</v>
      </c>
      <c r="B2981" t="str">
        <f>VLOOKUP(A2981,Products!$A$1:$F$322,2,FALSE)</f>
        <v>Trek Remedy 29 Carbon Frameset - 2016</v>
      </c>
      <c r="C2981" s="21" t="e">
        <f>VLOOKUP(A2981,Products!A$322:$D2981,4,FALSE)</f>
        <v>#N/A</v>
      </c>
    </row>
    <row r="2982" spans="1:3" x14ac:dyDescent="0.35">
      <c r="A2982" s="21">
        <v>11</v>
      </c>
      <c r="B2982" t="str">
        <f>VLOOKUP(A2982,Products!$A$1:$F$322,2,FALSE)</f>
        <v>Surly Straggler 650b - 2016</v>
      </c>
      <c r="C2982" s="21" t="e">
        <f>VLOOKUP(A2982,Products!A$322:$D2982,4,FALSE)</f>
        <v>#N/A</v>
      </c>
    </row>
    <row r="2983" spans="1:3" x14ac:dyDescent="0.35">
      <c r="A2983" s="21">
        <v>21</v>
      </c>
      <c r="B2983" t="str">
        <f>VLOOKUP(A2983,Products!$A$1:$F$322,2,FALSE)</f>
        <v>Electra Cruiser 1 (24-Inch) - 2016</v>
      </c>
      <c r="C2983" s="21" t="e">
        <f>VLOOKUP(A2983,Products!A$322:$D2983,4,FALSE)</f>
        <v>#N/A</v>
      </c>
    </row>
    <row r="2984" spans="1:3" x14ac:dyDescent="0.35">
      <c r="A2984" s="21">
        <v>96</v>
      </c>
      <c r="B2984" t="str">
        <f>VLOOKUP(A2984,Products!$A$1:$F$322,2,FALSE)</f>
        <v>Electra Moto 3i (20-inch) - Boy's - 2017</v>
      </c>
      <c r="C2984" s="21" t="e">
        <f>VLOOKUP(A2984,Products!A$322:$D2984,4,FALSE)</f>
        <v>#N/A</v>
      </c>
    </row>
    <row r="2985" spans="1:3" x14ac:dyDescent="0.35">
      <c r="A2985" s="21">
        <v>55</v>
      </c>
      <c r="B2985" t="str">
        <f>VLOOKUP(A2985,Products!$A$1:$F$322,2,FALSE)</f>
        <v>Trek Domane S 6 - 2017</v>
      </c>
      <c r="C2985" s="21" t="e">
        <f>VLOOKUP(A2985,Products!A$322:$D2985,4,FALSE)</f>
        <v>#N/A</v>
      </c>
    </row>
    <row r="2986" spans="1:3" x14ac:dyDescent="0.35">
      <c r="A2986" s="21">
        <v>76</v>
      </c>
      <c r="B2986" t="str">
        <f>VLOOKUP(A2986,Products!$A$1:$F$322,2,FALSE)</f>
        <v>Electra Girl's Hawaii 1 16" - 2017</v>
      </c>
      <c r="C2986" s="21" t="e">
        <f>VLOOKUP(A2986,Products!A$322:$D2986,4,FALSE)</f>
        <v>#N/A</v>
      </c>
    </row>
    <row r="2987" spans="1:3" x14ac:dyDescent="0.35">
      <c r="A2987" s="21">
        <v>18</v>
      </c>
      <c r="B2987" t="str">
        <f>VLOOKUP(A2987,Products!$A$1:$F$322,2,FALSE)</f>
        <v>Pure Cycles Western 3-Speed - Women's - 2015/2016</v>
      </c>
      <c r="C2987" s="21" t="e">
        <f>VLOOKUP(A2987,Products!A$322:$D2987,4,FALSE)</f>
        <v>#N/A</v>
      </c>
    </row>
    <row r="2988" spans="1:3" x14ac:dyDescent="0.35">
      <c r="A2988" s="21">
        <v>65</v>
      </c>
      <c r="B2988" t="str">
        <f>VLOOKUP(A2988,Products!$A$1:$F$322,2,FALSE)</f>
        <v>Sun Bicycles Lil Bolt Type-R - 2017</v>
      </c>
      <c r="C2988" s="21" t="e">
        <f>VLOOKUP(A2988,Products!A$322:$D2988,4,FALSE)</f>
        <v>#N/A</v>
      </c>
    </row>
    <row r="2989" spans="1:3" x14ac:dyDescent="0.35">
      <c r="A2989" s="21">
        <v>12</v>
      </c>
      <c r="B2989" t="str">
        <f>VLOOKUP(A2989,Products!$A$1:$F$322,2,FALSE)</f>
        <v>Electra Townie Original 21D - 2016</v>
      </c>
      <c r="C2989" s="21" t="e">
        <f>VLOOKUP(A2989,Products!A$322:$D2989,4,FALSE)</f>
        <v>#N/A</v>
      </c>
    </row>
    <row r="2990" spans="1:3" x14ac:dyDescent="0.35">
      <c r="A2990" s="21">
        <v>74</v>
      </c>
      <c r="B2990" t="str">
        <f>VLOOKUP(A2990,Products!$A$1:$F$322,2,FALSE)</f>
        <v>Electra Cruiser Lux 1 - 2017</v>
      </c>
      <c r="C2990" s="21" t="e">
        <f>VLOOKUP(A2990,Products!A$322:$D2990,4,FALSE)</f>
        <v>#N/A</v>
      </c>
    </row>
    <row r="2991" spans="1:3" x14ac:dyDescent="0.35">
      <c r="A2991" s="21">
        <v>3</v>
      </c>
      <c r="B2991" t="str">
        <f>VLOOKUP(A2991,Products!$A$1:$F$322,2,FALSE)</f>
        <v>Surly Wednesday Frameset - 2016</v>
      </c>
      <c r="C2991" s="21" t="e">
        <f>VLOOKUP(A2991,Products!A$322:$D2991,4,FALSE)</f>
        <v>#N/A</v>
      </c>
    </row>
    <row r="2992" spans="1:3" x14ac:dyDescent="0.35">
      <c r="A2992" s="21">
        <v>65</v>
      </c>
      <c r="B2992" t="str">
        <f>VLOOKUP(A2992,Products!$A$1:$F$322,2,FALSE)</f>
        <v>Sun Bicycles Lil Bolt Type-R - 2017</v>
      </c>
      <c r="C2992" s="21" t="e">
        <f>VLOOKUP(A2992,Products!A$322:$D2992,4,FALSE)</f>
        <v>#N/A</v>
      </c>
    </row>
    <row r="2993" spans="1:3" x14ac:dyDescent="0.35">
      <c r="A2993" s="21">
        <v>92</v>
      </c>
      <c r="B2993" t="str">
        <f>VLOOKUP(A2993,Products!$A$1:$F$322,2,FALSE)</f>
        <v>Haro Shredder 20 - 2017</v>
      </c>
      <c r="C2993" s="21" t="e">
        <f>VLOOKUP(A2993,Products!A$322:$D2993,4,FALSE)</f>
        <v>#N/A</v>
      </c>
    </row>
    <row r="2994" spans="1:3" x14ac:dyDescent="0.35">
      <c r="A2994" s="21">
        <v>84</v>
      </c>
      <c r="B2994" t="str">
        <f>VLOOKUP(A2994,Products!$A$1:$F$322,2,FALSE)</f>
        <v>Sun Bicycles Lil Kitt'n - 2017</v>
      </c>
      <c r="C2994" s="21" t="e">
        <f>VLOOKUP(A2994,Products!A$322:$D2994,4,FALSE)</f>
        <v>#N/A</v>
      </c>
    </row>
    <row r="2995" spans="1:3" x14ac:dyDescent="0.35">
      <c r="A2995" s="21">
        <v>83</v>
      </c>
      <c r="B2995" t="str">
        <f>VLOOKUP(A2995,Products!$A$1:$F$322,2,FALSE)</f>
        <v>Trek Boy's Kickster - 2015/2017</v>
      </c>
      <c r="C2995" s="21" t="e">
        <f>VLOOKUP(A2995,Products!A$322:$D2995,4,FALSE)</f>
        <v>#N/A</v>
      </c>
    </row>
    <row r="2996" spans="1:3" x14ac:dyDescent="0.35">
      <c r="A2996" s="21">
        <v>9</v>
      </c>
      <c r="B2996" t="str">
        <f>VLOOKUP(A2996,Products!$A$1:$F$322,2,FALSE)</f>
        <v>Trek Conduit+ - 2016</v>
      </c>
      <c r="C2996" s="21" t="e">
        <f>VLOOKUP(A2996,Products!A$322:$D2996,4,FALSE)</f>
        <v>#N/A</v>
      </c>
    </row>
    <row r="2997" spans="1:3" x14ac:dyDescent="0.35">
      <c r="A2997" s="21">
        <v>18</v>
      </c>
      <c r="B2997" t="str">
        <f>VLOOKUP(A2997,Products!$A$1:$F$322,2,FALSE)</f>
        <v>Pure Cycles Western 3-Speed - Women's - 2015/2016</v>
      </c>
      <c r="C2997" s="21" t="e">
        <f>VLOOKUP(A2997,Products!A$322:$D2997,4,FALSE)</f>
        <v>#N/A</v>
      </c>
    </row>
    <row r="2998" spans="1:3" x14ac:dyDescent="0.35">
      <c r="A2998" s="21">
        <v>97</v>
      </c>
      <c r="B2998" t="str">
        <f>VLOOKUP(A2998,Products!$A$1:$F$322,2,FALSE)</f>
        <v>Electra Savannah 3i (20-inch) - Girl's - 2017</v>
      </c>
      <c r="C2998" s="21" t="e">
        <f>VLOOKUP(A2998,Products!A$322:$D2998,4,FALSE)</f>
        <v>#N/A</v>
      </c>
    </row>
    <row r="2999" spans="1:3" x14ac:dyDescent="0.35">
      <c r="A2999" s="21">
        <v>28</v>
      </c>
      <c r="B2999" t="str">
        <f>VLOOKUP(A2999,Products!$A$1:$F$322,2,FALSE)</f>
        <v>Surly Karate Monkey 27.5+ Frameset - 2017</v>
      </c>
      <c r="C2999" s="21" t="e">
        <f>VLOOKUP(A2999,Products!A$322:$D2999,4,FALSE)</f>
        <v>#N/A</v>
      </c>
    </row>
    <row r="3000" spans="1:3" x14ac:dyDescent="0.35">
      <c r="A3000" s="21">
        <v>64</v>
      </c>
      <c r="B3000" t="str">
        <f>VLOOKUP(A3000,Products!$A$1:$F$322,2,FALSE)</f>
        <v>Electra Townie Original 7D - 2017</v>
      </c>
      <c r="C3000" s="21" t="e">
        <f>VLOOKUP(A3000,Products!A$322:$D3000,4,FALSE)</f>
        <v>#N/A</v>
      </c>
    </row>
    <row r="3001" spans="1:3" x14ac:dyDescent="0.35">
      <c r="A3001" s="21">
        <v>27</v>
      </c>
      <c r="B3001" t="str">
        <f>VLOOKUP(A3001,Products!$A$1:$F$322,2,FALSE)</f>
        <v>Surly Big Dummy Frameset - 2017</v>
      </c>
      <c r="C3001" s="21" t="e">
        <f>VLOOKUP(A3001,Products!A$322:$D3001,4,FALSE)</f>
        <v>#N/A</v>
      </c>
    </row>
    <row r="3002" spans="1:3" x14ac:dyDescent="0.35">
      <c r="A3002" s="21">
        <v>8</v>
      </c>
      <c r="B3002" t="str">
        <f>VLOOKUP(A3002,Products!$A$1:$F$322,2,FALSE)</f>
        <v>Trek Remedy 29 Carbon Frameset - 2016</v>
      </c>
      <c r="C3002" s="21" t="e">
        <f>VLOOKUP(A3002,Products!A$322:$D3002,4,FALSE)</f>
        <v>#N/A</v>
      </c>
    </row>
    <row r="3003" spans="1:3" x14ac:dyDescent="0.35">
      <c r="A3003" s="21">
        <v>89</v>
      </c>
      <c r="B3003" t="str">
        <f>VLOOKUP(A3003,Products!$A$1:$F$322,2,FALSE)</f>
        <v>Trek Precaliber 16 Boys - 2017</v>
      </c>
      <c r="C3003" s="21" t="e">
        <f>VLOOKUP(A3003,Products!A$322:$D3003,4,FALSE)</f>
        <v>#N/A</v>
      </c>
    </row>
    <row r="3004" spans="1:3" x14ac:dyDescent="0.35">
      <c r="A3004" s="21">
        <v>61</v>
      </c>
      <c r="B3004" t="str">
        <f>VLOOKUP(A3004,Products!$A$1:$F$322,2,FALSE)</f>
        <v>Trek Powerfly 8 FS Plus - 2017</v>
      </c>
      <c r="C3004" s="21" t="e">
        <f>VLOOKUP(A3004,Products!A$322:$D3004,4,FALSE)</f>
        <v>#N/A</v>
      </c>
    </row>
    <row r="3005" spans="1:3" x14ac:dyDescent="0.35">
      <c r="A3005" s="21">
        <v>94</v>
      </c>
      <c r="B3005" t="str">
        <f>VLOOKUP(A3005,Products!$A$1:$F$322,2,FALSE)</f>
        <v>Haro Shredder Pro 20 - 2017</v>
      </c>
      <c r="C3005" s="21" t="e">
        <f>VLOOKUP(A3005,Products!A$322:$D3005,4,FALSE)</f>
        <v>#N/A</v>
      </c>
    </row>
    <row r="3006" spans="1:3" x14ac:dyDescent="0.35">
      <c r="A3006" s="21">
        <v>23</v>
      </c>
      <c r="B3006" t="str">
        <f>VLOOKUP(A3006,Products!$A$1:$F$322,2,FALSE)</f>
        <v>Electra Girl's Hawaii 1 (20-inch) - 2015/2016</v>
      </c>
      <c r="C3006" s="21" t="e">
        <f>VLOOKUP(A3006,Products!A$322:$D3006,4,FALSE)</f>
        <v>#N/A</v>
      </c>
    </row>
    <row r="3007" spans="1:3" x14ac:dyDescent="0.35">
      <c r="A3007" s="21">
        <v>55</v>
      </c>
      <c r="B3007" t="str">
        <f>VLOOKUP(A3007,Products!$A$1:$F$322,2,FALSE)</f>
        <v>Trek Domane S 6 - 2017</v>
      </c>
      <c r="C3007" s="21" t="e">
        <f>VLOOKUP(A3007,Products!A$322:$D3007,4,FALSE)</f>
        <v>#N/A</v>
      </c>
    </row>
    <row r="3008" spans="1:3" x14ac:dyDescent="0.35">
      <c r="A3008" s="21">
        <v>20</v>
      </c>
      <c r="B3008" t="str">
        <f>VLOOKUP(A3008,Products!$A$1:$F$322,2,FALSE)</f>
        <v>Electra Townie Original 7D EQ - Women's - 2016</v>
      </c>
      <c r="C3008" s="21" t="e">
        <f>VLOOKUP(A3008,Products!A$322:$D3008,4,FALSE)</f>
        <v>#N/A</v>
      </c>
    </row>
    <row r="3009" spans="1:3" x14ac:dyDescent="0.35">
      <c r="A3009" s="21">
        <v>97</v>
      </c>
      <c r="B3009" t="str">
        <f>VLOOKUP(A3009,Products!$A$1:$F$322,2,FALSE)</f>
        <v>Electra Savannah 3i (20-inch) - Girl's - 2017</v>
      </c>
      <c r="C3009" s="21" t="e">
        <f>VLOOKUP(A3009,Products!A$322:$D3009,4,FALSE)</f>
        <v>#N/A</v>
      </c>
    </row>
    <row r="3010" spans="1:3" x14ac:dyDescent="0.35">
      <c r="A3010" s="21">
        <v>28</v>
      </c>
      <c r="B3010" t="str">
        <f>VLOOKUP(A3010,Products!$A$1:$F$322,2,FALSE)</f>
        <v>Surly Karate Monkey 27.5+ Frameset - 2017</v>
      </c>
      <c r="C3010" s="21" t="e">
        <f>VLOOKUP(A3010,Products!A$322:$D3010,4,FALSE)</f>
        <v>#N/A</v>
      </c>
    </row>
    <row r="3011" spans="1:3" x14ac:dyDescent="0.35">
      <c r="A3011" s="21">
        <v>104</v>
      </c>
      <c r="B3011" t="str">
        <f>VLOOKUP(A3011,Products!$A$1:$F$322,2,FALSE)</f>
        <v>Sun Bicycles Streamway - 2017</v>
      </c>
      <c r="C3011" s="21" t="e">
        <f>VLOOKUP(A3011,Products!A$322:$D3011,4,FALSE)</f>
        <v>#N/A</v>
      </c>
    </row>
    <row r="3012" spans="1:3" x14ac:dyDescent="0.35">
      <c r="A3012" s="21">
        <v>60</v>
      </c>
      <c r="B3012" t="str">
        <f>VLOOKUP(A3012,Products!$A$1:$F$322,2,FALSE)</f>
        <v>Sun Bicycles ElectroLite - 2017</v>
      </c>
      <c r="C3012" s="21" t="e">
        <f>VLOOKUP(A3012,Products!A$322:$D3012,4,FALSE)</f>
        <v>#N/A</v>
      </c>
    </row>
    <row r="3013" spans="1:3" x14ac:dyDescent="0.35">
      <c r="A3013" s="21">
        <v>79</v>
      </c>
      <c r="B3013" t="str">
        <f>VLOOKUP(A3013,Products!$A$1:$F$322,2,FALSE)</f>
        <v>Sun Bicycles Boardwalk (24-inch Wheels) - 2017</v>
      </c>
      <c r="C3013" s="21" t="e">
        <f>VLOOKUP(A3013,Products!A$322:$D3013,4,FALSE)</f>
        <v>#N/A</v>
      </c>
    </row>
    <row r="3014" spans="1:3" x14ac:dyDescent="0.35">
      <c r="A3014" s="21">
        <v>32</v>
      </c>
      <c r="B3014" t="str">
        <f>VLOOKUP(A3014,Products!$A$1:$F$322,2,FALSE)</f>
        <v>Trek Farley Alloy Frameset - 2017</v>
      </c>
      <c r="C3014" s="21" t="e">
        <f>VLOOKUP(A3014,Products!A$322:$D3014,4,FALSE)</f>
        <v>#N/A</v>
      </c>
    </row>
    <row r="3015" spans="1:3" x14ac:dyDescent="0.35">
      <c r="A3015" s="21">
        <v>41</v>
      </c>
      <c r="B3015" t="str">
        <f>VLOOKUP(A3015,Products!$A$1:$F$322,2,FALSE)</f>
        <v>Haro Shift R3 - 2017</v>
      </c>
      <c r="C3015" s="21" t="e">
        <f>VLOOKUP(A3015,Products!A$322:$D3015,4,FALSE)</f>
        <v>#N/A</v>
      </c>
    </row>
    <row r="3016" spans="1:3" x14ac:dyDescent="0.35">
      <c r="A3016" s="21">
        <v>17</v>
      </c>
      <c r="B3016" t="str">
        <f>VLOOKUP(A3016,Products!$A$1:$F$322,2,FALSE)</f>
        <v>Pure Cycles Vine 8-Speed - 2016</v>
      </c>
      <c r="C3016" s="21" t="e">
        <f>VLOOKUP(A3016,Products!A$322:$D3016,4,FALSE)</f>
        <v>#N/A</v>
      </c>
    </row>
    <row r="3017" spans="1:3" x14ac:dyDescent="0.35">
      <c r="A3017" s="21">
        <v>28</v>
      </c>
      <c r="B3017" t="str">
        <f>VLOOKUP(A3017,Products!$A$1:$F$322,2,FALSE)</f>
        <v>Surly Karate Monkey 27.5+ Frameset - 2017</v>
      </c>
      <c r="C3017" s="21" t="e">
        <f>VLOOKUP(A3017,Products!A$322:$D3017,4,FALSE)</f>
        <v>#N/A</v>
      </c>
    </row>
    <row r="3018" spans="1:3" x14ac:dyDescent="0.35">
      <c r="A3018" s="21">
        <v>78</v>
      </c>
      <c r="B3018" t="str">
        <f>VLOOKUP(A3018,Products!$A$1:$F$322,2,FALSE)</f>
        <v>Sun Bicycles Biscayne Tandem CB - 2017</v>
      </c>
      <c r="C3018" s="21" t="e">
        <f>VLOOKUP(A3018,Products!A$322:$D3018,4,FALSE)</f>
        <v>#N/A</v>
      </c>
    </row>
    <row r="3019" spans="1:3" x14ac:dyDescent="0.35">
      <c r="A3019" s="21">
        <v>35</v>
      </c>
      <c r="B3019" t="str">
        <f>VLOOKUP(A3019,Products!$A$1:$F$322,2,FALSE)</f>
        <v>Sun Bicycles Spider 3i - 2017</v>
      </c>
      <c r="C3019" s="21" t="e">
        <f>VLOOKUP(A3019,Products!A$322:$D3019,4,FALSE)</f>
        <v>#N/A</v>
      </c>
    </row>
    <row r="3020" spans="1:3" x14ac:dyDescent="0.35">
      <c r="A3020" s="21">
        <v>49</v>
      </c>
      <c r="B3020" t="str">
        <f>VLOOKUP(A3020,Products!$A$1:$F$322,2,FALSE)</f>
        <v>Trek Domane SL 6 - 2017</v>
      </c>
      <c r="C3020" s="21" t="e">
        <f>VLOOKUP(A3020,Products!A$322:$D3020,4,FALSE)</f>
        <v>#N/A</v>
      </c>
    </row>
    <row r="3021" spans="1:3" x14ac:dyDescent="0.35">
      <c r="A3021" s="21">
        <v>3</v>
      </c>
      <c r="B3021" t="str">
        <f>VLOOKUP(A3021,Products!$A$1:$F$322,2,FALSE)</f>
        <v>Surly Wednesday Frameset - 2016</v>
      </c>
      <c r="C3021" s="21" t="e">
        <f>VLOOKUP(A3021,Products!A$322:$D3021,4,FALSE)</f>
        <v>#N/A</v>
      </c>
    </row>
    <row r="3022" spans="1:3" x14ac:dyDescent="0.35">
      <c r="A3022" s="21">
        <v>37</v>
      </c>
      <c r="B3022" t="str">
        <f>VLOOKUP(A3022,Products!$A$1:$F$322,2,FALSE)</f>
        <v>Haro Flightline One ST - 2017</v>
      </c>
      <c r="C3022" s="21" t="e">
        <f>VLOOKUP(A3022,Products!A$322:$D3022,4,FALSE)</f>
        <v>#N/A</v>
      </c>
    </row>
    <row r="3023" spans="1:3" x14ac:dyDescent="0.35">
      <c r="A3023" s="21">
        <v>94</v>
      </c>
      <c r="B3023" t="str">
        <f>VLOOKUP(A3023,Products!$A$1:$F$322,2,FALSE)</f>
        <v>Haro Shredder Pro 20 - 2017</v>
      </c>
      <c r="C3023" s="21" t="e">
        <f>VLOOKUP(A3023,Products!A$322:$D3023,4,FALSE)</f>
        <v>#N/A</v>
      </c>
    </row>
    <row r="3024" spans="1:3" x14ac:dyDescent="0.35">
      <c r="A3024" s="21">
        <v>9</v>
      </c>
      <c r="B3024" t="str">
        <f>VLOOKUP(A3024,Products!$A$1:$F$322,2,FALSE)</f>
        <v>Trek Conduit+ - 2016</v>
      </c>
      <c r="C3024" s="21" t="e">
        <f>VLOOKUP(A3024,Products!A$322:$D3024,4,FALSE)</f>
        <v>#N/A</v>
      </c>
    </row>
    <row r="3025" spans="1:3" x14ac:dyDescent="0.35">
      <c r="A3025" s="21">
        <v>36</v>
      </c>
      <c r="B3025" t="str">
        <f>VLOOKUP(A3025,Products!$A$1:$F$322,2,FALSE)</f>
        <v>Surly Troll Frameset - 2017</v>
      </c>
      <c r="C3025" s="21" t="e">
        <f>VLOOKUP(A3025,Products!A$322:$D3025,4,FALSE)</f>
        <v>#N/A</v>
      </c>
    </row>
    <row r="3026" spans="1:3" x14ac:dyDescent="0.35">
      <c r="A3026" s="21">
        <v>3</v>
      </c>
      <c r="B3026" t="str">
        <f>VLOOKUP(A3026,Products!$A$1:$F$322,2,FALSE)</f>
        <v>Surly Wednesday Frameset - 2016</v>
      </c>
      <c r="C3026" s="21" t="e">
        <f>VLOOKUP(A3026,Products!A$322:$D3026,4,FALSE)</f>
        <v>#N/A</v>
      </c>
    </row>
    <row r="3027" spans="1:3" x14ac:dyDescent="0.35">
      <c r="A3027" s="21">
        <v>26</v>
      </c>
      <c r="B3027" t="str">
        <f>VLOOKUP(A3027,Products!$A$1:$F$322,2,FALSE)</f>
        <v>Electra Townie Original 7D EQ - 2016</v>
      </c>
      <c r="C3027" s="21" t="e">
        <f>VLOOKUP(A3027,Products!A$322:$D3027,4,FALSE)</f>
        <v>#N/A</v>
      </c>
    </row>
    <row r="3028" spans="1:3" x14ac:dyDescent="0.35">
      <c r="A3028" s="21">
        <v>10</v>
      </c>
      <c r="B3028" t="str">
        <f>VLOOKUP(A3028,Products!$A$1:$F$322,2,FALSE)</f>
        <v>Surly Straggler - 2016</v>
      </c>
      <c r="C3028" s="21" t="e">
        <f>VLOOKUP(A3028,Products!A$322:$D3028,4,FALSE)</f>
        <v>#N/A</v>
      </c>
    </row>
    <row r="3029" spans="1:3" x14ac:dyDescent="0.35">
      <c r="A3029" s="21">
        <v>96</v>
      </c>
      <c r="B3029" t="str">
        <f>VLOOKUP(A3029,Products!$A$1:$F$322,2,FALSE)</f>
        <v>Electra Moto 3i (20-inch) - Boy's - 2017</v>
      </c>
      <c r="C3029" s="21" t="e">
        <f>VLOOKUP(A3029,Products!A$322:$D3029,4,FALSE)</f>
        <v>#N/A</v>
      </c>
    </row>
    <row r="3030" spans="1:3" x14ac:dyDescent="0.35">
      <c r="A3030" s="21">
        <v>99</v>
      </c>
      <c r="B3030" t="str">
        <f>VLOOKUP(A3030,Products!$A$1:$F$322,2,FALSE)</f>
        <v>Electra Sugar Skulls 1 (20-inch) - Girl's - 2017</v>
      </c>
      <c r="C3030" s="21" t="e">
        <f>VLOOKUP(A3030,Products!A$322:$D3030,4,FALSE)</f>
        <v>#N/A</v>
      </c>
    </row>
    <row r="3031" spans="1:3" x14ac:dyDescent="0.35">
      <c r="A3031" s="21">
        <v>45</v>
      </c>
      <c r="B3031" t="str">
        <f>VLOOKUP(A3031,Products!$A$1:$F$322,2,FALSE)</f>
        <v>Haro SR 1.2 - 2017</v>
      </c>
      <c r="C3031" s="21" t="e">
        <f>VLOOKUP(A3031,Products!A$322:$D3031,4,FALSE)</f>
        <v>#N/A</v>
      </c>
    </row>
    <row r="3032" spans="1:3" x14ac:dyDescent="0.35">
      <c r="A3032" s="21">
        <v>14</v>
      </c>
      <c r="B3032" t="str">
        <f>VLOOKUP(A3032,Products!$A$1:$F$322,2,FALSE)</f>
        <v>Electra Girl's Hawaii 1 (16-inch) - 2015/2016</v>
      </c>
      <c r="C3032" s="21" t="e">
        <f>VLOOKUP(A3032,Products!A$322:$D3032,4,FALSE)</f>
        <v>#N/A</v>
      </c>
    </row>
    <row r="3033" spans="1:3" x14ac:dyDescent="0.35">
      <c r="A3033" s="21">
        <v>46</v>
      </c>
      <c r="B3033" t="str">
        <f>VLOOKUP(A3033,Products!$A$1:$F$322,2,FALSE)</f>
        <v>Haro SR 1.3 - 2017</v>
      </c>
      <c r="C3033" s="21" t="e">
        <f>VLOOKUP(A3033,Products!A$322:$D3033,4,FALSE)</f>
        <v>#N/A</v>
      </c>
    </row>
    <row r="3034" spans="1:3" x14ac:dyDescent="0.35">
      <c r="A3034" s="21">
        <v>7</v>
      </c>
      <c r="B3034" t="str">
        <f>VLOOKUP(A3034,Products!$A$1:$F$322,2,FALSE)</f>
        <v>Trek Slash 8 27.5 - 2016</v>
      </c>
      <c r="C3034" s="21" t="e">
        <f>VLOOKUP(A3034,Products!A$322:$D3034,4,FALSE)</f>
        <v>#N/A</v>
      </c>
    </row>
    <row r="3035" spans="1:3" x14ac:dyDescent="0.35">
      <c r="A3035" s="21">
        <v>103</v>
      </c>
      <c r="B3035" t="str">
        <f>VLOOKUP(A3035,Products!$A$1:$F$322,2,FALSE)</f>
        <v>Sun Bicycles Streamway 3 - 2017</v>
      </c>
      <c r="C3035" s="21" t="e">
        <f>VLOOKUP(A3035,Products!A$322:$D3035,4,FALSE)</f>
        <v>#N/A</v>
      </c>
    </row>
    <row r="3036" spans="1:3" x14ac:dyDescent="0.35">
      <c r="A3036" s="21">
        <v>26</v>
      </c>
      <c r="B3036" t="str">
        <f>VLOOKUP(A3036,Products!$A$1:$F$322,2,FALSE)</f>
        <v>Electra Townie Original 7D EQ - 2016</v>
      </c>
      <c r="C3036" s="21" t="e">
        <f>VLOOKUP(A3036,Products!A$322:$D3036,4,FALSE)</f>
        <v>#N/A</v>
      </c>
    </row>
    <row r="3037" spans="1:3" x14ac:dyDescent="0.35">
      <c r="A3037" s="21">
        <v>49</v>
      </c>
      <c r="B3037" t="str">
        <f>VLOOKUP(A3037,Products!$A$1:$F$322,2,FALSE)</f>
        <v>Trek Domane SL 6 - 2017</v>
      </c>
      <c r="C3037" s="21" t="e">
        <f>VLOOKUP(A3037,Products!A$322:$D3037,4,FALSE)</f>
        <v>#N/A</v>
      </c>
    </row>
    <row r="3038" spans="1:3" x14ac:dyDescent="0.35">
      <c r="A3038" s="21">
        <v>26</v>
      </c>
      <c r="B3038" t="str">
        <f>VLOOKUP(A3038,Products!$A$1:$F$322,2,FALSE)</f>
        <v>Electra Townie Original 7D EQ - 2016</v>
      </c>
      <c r="C3038" s="21" t="e">
        <f>VLOOKUP(A3038,Products!A$322:$D3038,4,FALSE)</f>
        <v>#N/A</v>
      </c>
    </row>
    <row r="3039" spans="1:3" x14ac:dyDescent="0.35">
      <c r="A3039" s="21">
        <v>23</v>
      </c>
      <c r="B3039" t="str">
        <f>VLOOKUP(A3039,Products!$A$1:$F$322,2,FALSE)</f>
        <v>Electra Girl's Hawaii 1 (20-inch) - 2015/2016</v>
      </c>
      <c r="C3039" s="21" t="e">
        <f>VLOOKUP(A3039,Products!A$322:$D3039,4,FALSE)</f>
        <v>#N/A</v>
      </c>
    </row>
    <row r="3040" spans="1:3" x14ac:dyDescent="0.35">
      <c r="A3040" s="21">
        <v>68</v>
      </c>
      <c r="B3040" t="str">
        <f>VLOOKUP(A3040,Products!$A$1:$F$322,2,FALSE)</f>
        <v>Sun Bicycles Cruz 3 - 2017</v>
      </c>
      <c r="C3040" s="21" t="e">
        <f>VLOOKUP(A3040,Products!A$322:$D3040,4,FALSE)</f>
        <v>#N/A</v>
      </c>
    </row>
    <row r="3041" spans="1:3" x14ac:dyDescent="0.35">
      <c r="A3041" s="21">
        <v>73</v>
      </c>
      <c r="B3041" t="str">
        <f>VLOOKUP(A3041,Products!$A$1:$F$322,2,FALSE)</f>
        <v>Sun Bicycles Brickell Tandem 7 - 2017</v>
      </c>
      <c r="C3041" s="21" t="e">
        <f>VLOOKUP(A3041,Products!A$322:$D3041,4,FALSE)</f>
        <v>#N/A</v>
      </c>
    </row>
    <row r="3042" spans="1:3" x14ac:dyDescent="0.35">
      <c r="A3042" s="21">
        <v>36</v>
      </c>
      <c r="B3042" t="str">
        <f>VLOOKUP(A3042,Products!$A$1:$F$322,2,FALSE)</f>
        <v>Surly Troll Frameset - 2017</v>
      </c>
      <c r="C3042" s="21" t="e">
        <f>VLOOKUP(A3042,Products!A$322:$D3042,4,FALSE)</f>
        <v>#N/A</v>
      </c>
    </row>
    <row r="3043" spans="1:3" x14ac:dyDescent="0.35">
      <c r="A3043" s="21">
        <v>16</v>
      </c>
      <c r="B3043" t="str">
        <f>VLOOKUP(A3043,Products!$A$1:$F$322,2,FALSE)</f>
        <v>Electra Townie Original 7D EQ - 2016</v>
      </c>
      <c r="C3043" s="21" t="e">
        <f>VLOOKUP(A3043,Products!A$322:$D3043,4,FALSE)</f>
        <v>#N/A</v>
      </c>
    </row>
    <row r="3044" spans="1:3" x14ac:dyDescent="0.35">
      <c r="A3044" s="21">
        <v>43</v>
      </c>
      <c r="B3044" t="str">
        <f>VLOOKUP(A3044,Products!$A$1:$F$322,2,FALSE)</f>
        <v>Trek Fuel EX 9.8 27.5 Plus - 2017</v>
      </c>
      <c r="C3044" s="21" t="e">
        <f>VLOOKUP(A3044,Products!A$322:$D3044,4,FALSE)</f>
        <v>#N/A</v>
      </c>
    </row>
    <row r="3045" spans="1:3" x14ac:dyDescent="0.35">
      <c r="A3045" s="21">
        <v>101</v>
      </c>
      <c r="B3045" t="str">
        <f>VLOOKUP(A3045,Products!$A$1:$F$322,2,FALSE)</f>
        <v>Electra Townie 7D (20-inch) - Boys' - 2017</v>
      </c>
      <c r="C3045" s="21" t="e">
        <f>VLOOKUP(A3045,Products!A$322:$D3045,4,FALSE)</f>
        <v>#N/A</v>
      </c>
    </row>
    <row r="3046" spans="1:3" x14ac:dyDescent="0.35">
      <c r="A3046" s="21">
        <v>12</v>
      </c>
      <c r="B3046" t="str">
        <f>VLOOKUP(A3046,Products!$A$1:$F$322,2,FALSE)</f>
        <v>Electra Townie Original 21D - 2016</v>
      </c>
      <c r="C3046" s="21" t="e">
        <f>VLOOKUP(A3046,Products!A$322:$D3046,4,FALSE)</f>
        <v>#N/A</v>
      </c>
    </row>
    <row r="3047" spans="1:3" x14ac:dyDescent="0.35">
      <c r="A3047" s="21">
        <v>83</v>
      </c>
      <c r="B3047" t="str">
        <f>VLOOKUP(A3047,Products!$A$1:$F$322,2,FALSE)</f>
        <v>Trek Boy's Kickster - 2015/2017</v>
      </c>
      <c r="C3047" s="21" t="e">
        <f>VLOOKUP(A3047,Products!A$322:$D3047,4,FALSE)</f>
        <v>#N/A</v>
      </c>
    </row>
    <row r="3048" spans="1:3" x14ac:dyDescent="0.35">
      <c r="A3048" s="21">
        <v>60</v>
      </c>
      <c r="B3048" t="str">
        <f>VLOOKUP(A3048,Products!$A$1:$F$322,2,FALSE)</f>
        <v>Sun Bicycles ElectroLite - 2017</v>
      </c>
      <c r="C3048" s="21" t="e">
        <f>VLOOKUP(A3048,Products!A$322:$D3048,4,FALSE)</f>
        <v>#N/A</v>
      </c>
    </row>
    <row r="3049" spans="1:3" x14ac:dyDescent="0.35">
      <c r="A3049" s="21">
        <v>3</v>
      </c>
      <c r="B3049" t="str">
        <f>VLOOKUP(A3049,Products!$A$1:$F$322,2,FALSE)</f>
        <v>Surly Wednesday Frameset - 2016</v>
      </c>
      <c r="C3049" s="21" t="e">
        <f>VLOOKUP(A3049,Products!A$322:$D3049,4,FALSE)</f>
        <v>#N/A</v>
      </c>
    </row>
    <row r="3050" spans="1:3" x14ac:dyDescent="0.35">
      <c r="A3050" s="21">
        <v>105</v>
      </c>
      <c r="B3050" t="str">
        <f>VLOOKUP(A3050,Products!$A$1:$F$322,2,FALSE)</f>
        <v>Sun Bicycles Streamway 7 - 2017</v>
      </c>
      <c r="C3050" s="21" t="e">
        <f>VLOOKUP(A3050,Products!A$322:$D3050,4,FALSE)</f>
        <v>#N/A</v>
      </c>
    </row>
    <row r="3051" spans="1:3" x14ac:dyDescent="0.35">
      <c r="A3051" s="21">
        <v>97</v>
      </c>
      <c r="B3051" t="str">
        <f>VLOOKUP(A3051,Products!$A$1:$F$322,2,FALSE)</f>
        <v>Electra Savannah 3i (20-inch) - Girl's - 2017</v>
      </c>
      <c r="C3051" s="21" t="e">
        <f>VLOOKUP(A3051,Products!A$322:$D3051,4,FALSE)</f>
        <v>#N/A</v>
      </c>
    </row>
    <row r="3052" spans="1:3" x14ac:dyDescent="0.35">
      <c r="A3052" s="21">
        <v>98</v>
      </c>
      <c r="B3052" t="str">
        <f>VLOOKUP(A3052,Products!$A$1:$F$322,2,FALSE)</f>
        <v>Electra Straight 8 3i (20-inch) - Boy's - 2017</v>
      </c>
      <c r="C3052" s="21" t="e">
        <f>VLOOKUP(A3052,Products!A$322:$D3052,4,FALSE)</f>
        <v>#N/A</v>
      </c>
    </row>
    <row r="3053" spans="1:3" x14ac:dyDescent="0.35">
      <c r="A3053" s="21">
        <v>43</v>
      </c>
      <c r="B3053" t="str">
        <f>VLOOKUP(A3053,Products!$A$1:$F$322,2,FALSE)</f>
        <v>Trek Fuel EX 9.8 27.5 Plus - 2017</v>
      </c>
      <c r="C3053" s="21" t="e">
        <f>VLOOKUP(A3053,Products!A$322:$D3053,4,FALSE)</f>
        <v>#N/A</v>
      </c>
    </row>
    <row r="3054" spans="1:3" x14ac:dyDescent="0.35">
      <c r="A3054" s="21">
        <v>29</v>
      </c>
      <c r="B3054" t="str">
        <f>VLOOKUP(A3054,Products!$A$1:$F$322,2,FALSE)</f>
        <v>Trek X-Caliber 8 - 2017</v>
      </c>
      <c r="C3054" s="21" t="e">
        <f>VLOOKUP(A3054,Products!A$322:$D3054,4,FALSE)</f>
        <v>#N/A</v>
      </c>
    </row>
    <row r="3055" spans="1:3" x14ac:dyDescent="0.35">
      <c r="A3055" s="21">
        <v>103</v>
      </c>
      <c r="B3055" t="str">
        <f>VLOOKUP(A3055,Products!$A$1:$F$322,2,FALSE)</f>
        <v>Sun Bicycles Streamway 3 - 2017</v>
      </c>
      <c r="C3055" s="21" t="e">
        <f>VLOOKUP(A3055,Products!A$322:$D3055,4,FALSE)</f>
        <v>#N/A</v>
      </c>
    </row>
    <row r="3056" spans="1:3" x14ac:dyDescent="0.35">
      <c r="A3056" s="21">
        <v>46</v>
      </c>
      <c r="B3056" t="str">
        <f>VLOOKUP(A3056,Products!$A$1:$F$322,2,FALSE)</f>
        <v>Haro SR 1.3 - 2017</v>
      </c>
      <c r="C3056" s="21" t="e">
        <f>VLOOKUP(A3056,Products!A$322:$D3056,4,FALSE)</f>
        <v>#N/A</v>
      </c>
    </row>
    <row r="3057" spans="1:3" x14ac:dyDescent="0.35">
      <c r="A3057" s="21">
        <v>7</v>
      </c>
      <c r="B3057" t="str">
        <f>VLOOKUP(A3057,Products!$A$1:$F$322,2,FALSE)</f>
        <v>Trek Slash 8 27.5 - 2016</v>
      </c>
      <c r="C3057" s="21" t="e">
        <f>VLOOKUP(A3057,Products!A$322:$D3057,4,FALSE)</f>
        <v>#N/A</v>
      </c>
    </row>
    <row r="3058" spans="1:3" x14ac:dyDescent="0.35">
      <c r="A3058" s="21">
        <v>13</v>
      </c>
      <c r="B3058" t="str">
        <f>VLOOKUP(A3058,Products!$A$1:$F$322,2,FALSE)</f>
        <v>Electra Cruiser 1 (24-Inch) - 2016</v>
      </c>
      <c r="C3058" s="21" t="e">
        <f>VLOOKUP(A3058,Products!A$322:$D3058,4,FALSE)</f>
        <v>#N/A</v>
      </c>
    </row>
    <row r="3059" spans="1:3" x14ac:dyDescent="0.35">
      <c r="A3059" s="21">
        <v>7</v>
      </c>
      <c r="B3059" t="str">
        <f>VLOOKUP(A3059,Products!$A$1:$F$322,2,FALSE)</f>
        <v>Trek Slash 8 27.5 - 2016</v>
      </c>
      <c r="C3059" s="21" t="e">
        <f>VLOOKUP(A3059,Products!A$322:$D3059,4,FALSE)</f>
        <v>#N/A</v>
      </c>
    </row>
    <row r="3060" spans="1:3" x14ac:dyDescent="0.35">
      <c r="A3060" s="21">
        <v>11</v>
      </c>
      <c r="B3060" t="str">
        <f>VLOOKUP(A3060,Products!$A$1:$F$322,2,FALSE)</f>
        <v>Surly Straggler 650b - 2016</v>
      </c>
      <c r="C3060" s="21" t="e">
        <f>VLOOKUP(A3060,Products!A$322:$D3060,4,FALSE)</f>
        <v>#N/A</v>
      </c>
    </row>
    <row r="3061" spans="1:3" x14ac:dyDescent="0.35">
      <c r="A3061" s="21">
        <v>61</v>
      </c>
      <c r="B3061" t="str">
        <f>VLOOKUP(A3061,Products!$A$1:$F$322,2,FALSE)</f>
        <v>Trek Powerfly 8 FS Plus - 2017</v>
      </c>
      <c r="C3061" s="21" t="e">
        <f>VLOOKUP(A3061,Products!A$322:$D3061,4,FALSE)</f>
        <v>#N/A</v>
      </c>
    </row>
    <row r="3062" spans="1:3" x14ac:dyDescent="0.35">
      <c r="A3062" s="21">
        <v>30</v>
      </c>
      <c r="B3062" t="str">
        <f>VLOOKUP(A3062,Products!$A$1:$F$322,2,FALSE)</f>
        <v>Surly Ice Cream Truck Frameset - 2017</v>
      </c>
      <c r="C3062" s="21" t="e">
        <f>VLOOKUP(A3062,Products!A$322:$D3062,4,FALSE)</f>
        <v>#N/A</v>
      </c>
    </row>
    <row r="3063" spans="1:3" x14ac:dyDescent="0.35">
      <c r="A3063" s="21">
        <v>14</v>
      </c>
      <c r="B3063" t="str">
        <f>VLOOKUP(A3063,Products!$A$1:$F$322,2,FALSE)</f>
        <v>Electra Girl's Hawaii 1 (16-inch) - 2015/2016</v>
      </c>
      <c r="C3063" s="21" t="e">
        <f>VLOOKUP(A3063,Products!A$322:$D3063,4,FALSE)</f>
        <v>#N/A</v>
      </c>
    </row>
    <row r="3064" spans="1:3" x14ac:dyDescent="0.35">
      <c r="A3064" s="21">
        <v>19</v>
      </c>
      <c r="B3064" t="str">
        <f>VLOOKUP(A3064,Products!$A$1:$F$322,2,FALSE)</f>
        <v>Pure Cycles William 3-Speed - 2016</v>
      </c>
      <c r="C3064" s="21" t="e">
        <f>VLOOKUP(A3064,Products!A$322:$D3064,4,FALSE)</f>
        <v>#N/A</v>
      </c>
    </row>
    <row r="3065" spans="1:3" x14ac:dyDescent="0.35">
      <c r="A3065" s="21">
        <v>13</v>
      </c>
      <c r="B3065" t="str">
        <f>VLOOKUP(A3065,Products!$A$1:$F$322,2,FALSE)</f>
        <v>Electra Cruiser 1 (24-Inch) - 2016</v>
      </c>
      <c r="C3065" s="21" t="e">
        <f>VLOOKUP(A3065,Products!A$322:$D3065,4,FALSE)</f>
        <v>#N/A</v>
      </c>
    </row>
    <row r="3066" spans="1:3" x14ac:dyDescent="0.35">
      <c r="A3066" s="21">
        <v>111</v>
      </c>
      <c r="B3066" t="str">
        <f>VLOOKUP(A3066,Products!$A$1:$F$322,2,FALSE)</f>
        <v>Sun Bicycles Drifter 7 - Women's - 2017</v>
      </c>
      <c r="C3066" s="21" t="e">
        <f>VLOOKUP(A3066,Products!A$322:$D3066,4,FALSE)</f>
        <v>#N/A</v>
      </c>
    </row>
    <row r="3067" spans="1:3" x14ac:dyDescent="0.35">
      <c r="A3067" s="21">
        <v>5</v>
      </c>
      <c r="B3067" t="str">
        <f>VLOOKUP(A3067,Products!$A$1:$F$322,2,FALSE)</f>
        <v>Heller Shagamaw Frame - 2016</v>
      </c>
      <c r="C3067" s="21" t="e">
        <f>VLOOKUP(A3067,Products!A$322:$D3067,4,FALSE)</f>
        <v>#N/A</v>
      </c>
    </row>
    <row r="3068" spans="1:3" x14ac:dyDescent="0.35">
      <c r="A3068" s="21">
        <v>12</v>
      </c>
      <c r="B3068" t="str">
        <f>VLOOKUP(A3068,Products!$A$1:$F$322,2,FALSE)</f>
        <v>Electra Townie Original 21D - 2016</v>
      </c>
      <c r="C3068" s="21" t="e">
        <f>VLOOKUP(A3068,Products!A$322:$D3068,4,FALSE)</f>
        <v>#N/A</v>
      </c>
    </row>
    <row r="3069" spans="1:3" x14ac:dyDescent="0.35">
      <c r="A3069" s="21">
        <v>33</v>
      </c>
      <c r="B3069" t="str">
        <f>VLOOKUP(A3069,Products!$A$1:$F$322,2,FALSE)</f>
        <v>Surly Wednesday Frameset - 2017</v>
      </c>
      <c r="C3069" s="21" t="e">
        <f>VLOOKUP(A3069,Products!A$322:$D3069,4,FALSE)</f>
        <v>#N/A</v>
      </c>
    </row>
    <row r="3070" spans="1:3" x14ac:dyDescent="0.35">
      <c r="A3070" s="21">
        <v>100</v>
      </c>
      <c r="B3070" t="str">
        <f>VLOOKUP(A3070,Products!$A$1:$F$322,2,FALSE)</f>
        <v>Electra Townie 3i EQ (20-inch) - Boys' - 2017</v>
      </c>
      <c r="C3070" s="21" t="e">
        <f>VLOOKUP(A3070,Products!A$322:$D3070,4,FALSE)</f>
        <v>#N/A</v>
      </c>
    </row>
    <row r="3071" spans="1:3" x14ac:dyDescent="0.35">
      <c r="A3071" s="21">
        <v>72</v>
      </c>
      <c r="B3071" t="str">
        <f>VLOOKUP(A3071,Products!$A$1:$F$322,2,FALSE)</f>
        <v>Sun Bicycles Biscayne Tandem 7 - 2017</v>
      </c>
      <c r="C3071" s="21" t="e">
        <f>VLOOKUP(A3071,Products!A$322:$D3071,4,FALSE)</f>
        <v>#N/A</v>
      </c>
    </row>
    <row r="3072" spans="1:3" x14ac:dyDescent="0.35">
      <c r="A3072" s="21">
        <v>18</v>
      </c>
      <c r="B3072" t="str">
        <f>VLOOKUP(A3072,Products!$A$1:$F$322,2,FALSE)</f>
        <v>Pure Cycles Western 3-Speed - Women's - 2015/2016</v>
      </c>
      <c r="C3072" s="21" t="e">
        <f>VLOOKUP(A3072,Products!A$322:$D3072,4,FALSE)</f>
        <v>#N/A</v>
      </c>
    </row>
    <row r="3073" spans="1:3" x14ac:dyDescent="0.35">
      <c r="A3073" s="21">
        <v>49</v>
      </c>
      <c r="B3073" t="str">
        <f>VLOOKUP(A3073,Products!$A$1:$F$322,2,FALSE)</f>
        <v>Trek Domane SL 6 - 2017</v>
      </c>
      <c r="C3073" s="21" t="e">
        <f>VLOOKUP(A3073,Products!A$322:$D3073,4,FALSE)</f>
        <v>#N/A</v>
      </c>
    </row>
    <row r="3074" spans="1:3" x14ac:dyDescent="0.35">
      <c r="A3074" s="21">
        <v>48</v>
      </c>
      <c r="B3074" t="str">
        <f>VLOOKUP(A3074,Products!$A$1:$F$322,2,FALSE)</f>
        <v>Trek Emonda S 4 - 2017</v>
      </c>
      <c r="C3074" s="21" t="e">
        <f>VLOOKUP(A3074,Products!A$322:$D3074,4,FALSE)</f>
        <v>#N/A</v>
      </c>
    </row>
    <row r="3075" spans="1:3" x14ac:dyDescent="0.35">
      <c r="A3075" s="21">
        <v>103</v>
      </c>
      <c r="B3075" t="str">
        <f>VLOOKUP(A3075,Products!$A$1:$F$322,2,FALSE)</f>
        <v>Sun Bicycles Streamway 3 - 2017</v>
      </c>
      <c r="C3075" s="21" t="e">
        <f>VLOOKUP(A3075,Products!A$322:$D3075,4,FALSE)</f>
        <v>#N/A</v>
      </c>
    </row>
    <row r="3076" spans="1:3" x14ac:dyDescent="0.35">
      <c r="A3076" s="21">
        <v>63</v>
      </c>
      <c r="B3076" t="str">
        <f>VLOOKUP(A3076,Products!$A$1:$F$322,2,FALSE)</f>
        <v>Trek Boone Race Shop Limited - 2017</v>
      </c>
      <c r="C3076" s="21" t="e">
        <f>VLOOKUP(A3076,Products!A$322:$D3076,4,FALSE)</f>
        <v>#N/A</v>
      </c>
    </row>
    <row r="3077" spans="1:3" x14ac:dyDescent="0.35">
      <c r="A3077" s="21">
        <v>15</v>
      </c>
      <c r="B3077" t="str">
        <f>VLOOKUP(A3077,Products!$A$1:$F$322,2,FALSE)</f>
        <v>Electra Moto 1 - 2016</v>
      </c>
      <c r="C3077" s="21" t="e">
        <f>VLOOKUP(A3077,Products!A$322:$D3077,4,FALSE)</f>
        <v>#N/A</v>
      </c>
    </row>
    <row r="3078" spans="1:3" x14ac:dyDescent="0.35">
      <c r="A3078" s="21">
        <v>46</v>
      </c>
      <c r="B3078" t="str">
        <f>VLOOKUP(A3078,Products!$A$1:$F$322,2,FALSE)</f>
        <v>Haro SR 1.3 - 2017</v>
      </c>
      <c r="C3078" s="21" t="e">
        <f>VLOOKUP(A3078,Products!A$322:$D3078,4,FALSE)</f>
        <v>#N/A</v>
      </c>
    </row>
    <row r="3079" spans="1:3" x14ac:dyDescent="0.35">
      <c r="A3079" s="21">
        <v>12</v>
      </c>
      <c r="B3079" t="str">
        <f>VLOOKUP(A3079,Products!$A$1:$F$322,2,FALSE)</f>
        <v>Electra Townie Original 21D - 2016</v>
      </c>
      <c r="C3079" s="21" t="e">
        <f>VLOOKUP(A3079,Products!A$322:$D3079,4,FALSE)</f>
        <v>#N/A</v>
      </c>
    </row>
    <row r="3080" spans="1:3" x14ac:dyDescent="0.35">
      <c r="A3080" s="21">
        <v>74</v>
      </c>
      <c r="B3080" t="str">
        <f>VLOOKUP(A3080,Products!$A$1:$F$322,2,FALSE)</f>
        <v>Electra Cruiser Lux 1 - 2017</v>
      </c>
      <c r="C3080" s="21" t="e">
        <f>VLOOKUP(A3080,Products!A$322:$D3080,4,FALSE)</f>
        <v>#N/A</v>
      </c>
    </row>
    <row r="3081" spans="1:3" x14ac:dyDescent="0.35">
      <c r="A3081" s="21">
        <v>9</v>
      </c>
      <c r="B3081" t="str">
        <f>VLOOKUP(A3081,Products!$A$1:$F$322,2,FALSE)</f>
        <v>Trek Conduit+ - 2016</v>
      </c>
      <c r="C3081" s="21" t="e">
        <f>VLOOKUP(A3081,Products!A$322:$D3081,4,FALSE)</f>
        <v>#N/A</v>
      </c>
    </row>
    <row r="3082" spans="1:3" x14ac:dyDescent="0.35">
      <c r="A3082" s="21">
        <v>72</v>
      </c>
      <c r="B3082" t="str">
        <f>VLOOKUP(A3082,Products!$A$1:$F$322,2,FALSE)</f>
        <v>Sun Bicycles Biscayne Tandem 7 - 2017</v>
      </c>
      <c r="C3082" s="21" t="e">
        <f>VLOOKUP(A3082,Products!A$322:$D3082,4,FALSE)</f>
        <v>#N/A</v>
      </c>
    </row>
    <row r="3083" spans="1:3" x14ac:dyDescent="0.35">
      <c r="A3083" s="21">
        <v>6</v>
      </c>
      <c r="B3083" t="str">
        <f>VLOOKUP(A3083,Products!$A$1:$F$322,2,FALSE)</f>
        <v>Surly Ice Cream Truck Frameset - 2016</v>
      </c>
      <c r="C3083" s="21" t="e">
        <f>VLOOKUP(A3083,Products!A$322:$D3083,4,FALSE)</f>
        <v>#N/A</v>
      </c>
    </row>
    <row r="3084" spans="1:3" x14ac:dyDescent="0.35">
      <c r="A3084" s="21">
        <v>87</v>
      </c>
      <c r="B3084" t="str">
        <f>VLOOKUP(A3084,Products!$A$1:$F$322,2,FALSE)</f>
        <v>Trek Precaliber 12 Boys - 2017</v>
      </c>
      <c r="C3084" s="21" t="e">
        <f>VLOOKUP(A3084,Products!A$322:$D3084,4,FALSE)</f>
        <v>#N/A</v>
      </c>
    </row>
    <row r="3085" spans="1:3" x14ac:dyDescent="0.35">
      <c r="A3085" s="21">
        <v>82</v>
      </c>
      <c r="B3085" t="str">
        <f>VLOOKUP(A3085,Products!$A$1:$F$322,2,FALSE)</f>
        <v>Electra Amsterdam Original 3i Ladies' - 2017</v>
      </c>
      <c r="C3085" s="21" t="e">
        <f>VLOOKUP(A3085,Products!A$322:$D3085,4,FALSE)</f>
        <v>#N/A</v>
      </c>
    </row>
    <row r="3086" spans="1:3" x14ac:dyDescent="0.35">
      <c r="A3086" s="21">
        <v>49</v>
      </c>
      <c r="B3086" t="str">
        <f>VLOOKUP(A3086,Products!$A$1:$F$322,2,FALSE)</f>
        <v>Trek Domane SL 6 - 2017</v>
      </c>
      <c r="C3086" s="21" t="e">
        <f>VLOOKUP(A3086,Products!A$322:$D3086,4,FALSE)</f>
        <v>#N/A</v>
      </c>
    </row>
    <row r="3087" spans="1:3" x14ac:dyDescent="0.35">
      <c r="A3087" s="21">
        <v>45</v>
      </c>
      <c r="B3087" t="str">
        <f>VLOOKUP(A3087,Products!$A$1:$F$322,2,FALSE)</f>
        <v>Haro SR 1.2 - 2017</v>
      </c>
      <c r="C3087" s="21" t="e">
        <f>VLOOKUP(A3087,Products!A$322:$D3087,4,FALSE)</f>
        <v>#N/A</v>
      </c>
    </row>
    <row r="3088" spans="1:3" x14ac:dyDescent="0.35">
      <c r="A3088" s="21">
        <v>109</v>
      </c>
      <c r="B3088" t="str">
        <f>VLOOKUP(A3088,Products!$A$1:$F$322,2,FALSE)</f>
        <v>Sun Bicycles Cruz 7 - Women's - 2017</v>
      </c>
      <c r="C3088" s="21" t="e">
        <f>VLOOKUP(A3088,Products!A$322:$D3088,4,FALSE)</f>
        <v>#N/A</v>
      </c>
    </row>
    <row r="3089" spans="1:3" x14ac:dyDescent="0.35">
      <c r="A3089" s="21">
        <v>93</v>
      </c>
      <c r="B3089" t="str">
        <f>VLOOKUP(A3089,Products!$A$1:$F$322,2,FALSE)</f>
        <v>Haro Shredder 20 Girls - 2017</v>
      </c>
      <c r="C3089" s="21" t="e">
        <f>VLOOKUP(A3089,Products!A$322:$D3089,4,FALSE)</f>
        <v>#N/A</v>
      </c>
    </row>
    <row r="3090" spans="1:3" x14ac:dyDescent="0.35">
      <c r="A3090" s="21">
        <v>110</v>
      </c>
      <c r="B3090" t="str">
        <f>VLOOKUP(A3090,Products!$A$1:$F$322,2,FALSE)</f>
        <v>Sun Bicycles Drifter 7 - 2017</v>
      </c>
      <c r="C3090" s="21" t="e">
        <f>VLOOKUP(A3090,Products!A$322:$D3090,4,FALSE)</f>
        <v>#N/A</v>
      </c>
    </row>
    <row r="3091" spans="1:3" x14ac:dyDescent="0.35">
      <c r="A3091" s="21">
        <v>18</v>
      </c>
      <c r="B3091" t="str">
        <f>VLOOKUP(A3091,Products!$A$1:$F$322,2,FALSE)</f>
        <v>Pure Cycles Western 3-Speed - Women's - 2015/2016</v>
      </c>
      <c r="C3091" s="21" t="e">
        <f>VLOOKUP(A3091,Products!A$322:$D3091,4,FALSE)</f>
        <v>#N/A</v>
      </c>
    </row>
    <row r="3092" spans="1:3" x14ac:dyDescent="0.35">
      <c r="A3092" s="21">
        <v>94</v>
      </c>
      <c r="B3092" t="str">
        <f>VLOOKUP(A3092,Products!$A$1:$F$322,2,FALSE)</f>
        <v>Haro Shredder Pro 20 - 2017</v>
      </c>
      <c r="C3092" s="21" t="e">
        <f>VLOOKUP(A3092,Products!A$322:$D3092,4,FALSE)</f>
        <v>#N/A</v>
      </c>
    </row>
    <row r="3093" spans="1:3" x14ac:dyDescent="0.35">
      <c r="A3093" s="21">
        <v>25</v>
      </c>
      <c r="B3093" t="str">
        <f>VLOOKUP(A3093,Products!$A$1:$F$322,2,FALSE)</f>
        <v>Electra Townie Original 7D - 2015/2016</v>
      </c>
      <c r="C3093" s="21" t="e">
        <f>VLOOKUP(A3093,Products!A$322:$D3093,4,FALSE)</f>
        <v>#N/A</v>
      </c>
    </row>
    <row r="3094" spans="1:3" x14ac:dyDescent="0.35">
      <c r="A3094" s="21">
        <v>83</v>
      </c>
      <c r="B3094" t="str">
        <f>VLOOKUP(A3094,Products!$A$1:$F$322,2,FALSE)</f>
        <v>Trek Boy's Kickster - 2015/2017</v>
      </c>
      <c r="C3094" s="21" t="e">
        <f>VLOOKUP(A3094,Products!A$322:$D3094,4,FALSE)</f>
        <v>#N/A</v>
      </c>
    </row>
    <row r="3095" spans="1:3" x14ac:dyDescent="0.35">
      <c r="A3095" s="21">
        <v>89</v>
      </c>
      <c r="B3095" t="str">
        <f>VLOOKUP(A3095,Products!$A$1:$F$322,2,FALSE)</f>
        <v>Trek Precaliber 16 Boys - 2017</v>
      </c>
      <c r="C3095" s="21" t="e">
        <f>VLOOKUP(A3095,Products!A$322:$D3095,4,FALSE)</f>
        <v>#N/A</v>
      </c>
    </row>
    <row r="3096" spans="1:3" x14ac:dyDescent="0.35">
      <c r="A3096" s="21">
        <v>36</v>
      </c>
      <c r="B3096" t="str">
        <f>VLOOKUP(A3096,Products!$A$1:$F$322,2,FALSE)</f>
        <v>Surly Troll Frameset - 2017</v>
      </c>
      <c r="C3096" s="21" t="e">
        <f>VLOOKUP(A3096,Products!A$322:$D3096,4,FALSE)</f>
        <v>#N/A</v>
      </c>
    </row>
    <row r="3097" spans="1:3" x14ac:dyDescent="0.35">
      <c r="A3097" s="21">
        <v>81</v>
      </c>
      <c r="B3097" t="str">
        <f>VLOOKUP(A3097,Products!$A$1:$F$322,2,FALSE)</f>
        <v>Electra Amsterdam Fashion 7i Ladies' - 2017</v>
      </c>
      <c r="C3097" s="21" t="e">
        <f>VLOOKUP(A3097,Products!A$322:$D3097,4,FALSE)</f>
        <v>#N/A</v>
      </c>
    </row>
    <row r="3098" spans="1:3" x14ac:dyDescent="0.35">
      <c r="A3098" s="21">
        <v>13</v>
      </c>
      <c r="B3098" t="str">
        <f>VLOOKUP(A3098,Products!$A$1:$F$322,2,FALSE)</f>
        <v>Electra Cruiser 1 (24-Inch) - 2016</v>
      </c>
      <c r="C3098" s="21" t="e">
        <f>VLOOKUP(A3098,Products!A$322:$D3098,4,FALSE)</f>
        <v>#N/A</v>
      </c>
    </row>
    <row r="3099" spans="1:3" x14ac:dyDescent="0.35">
      <c r="A3099" s="21">
        <v>20</v>
      </c>
      <c r="B3099" t="str">
        <f>VLOOKUP(A3099,Products!$A$1:$F$322,2,FALSE)</f>
        <v>Electra Townie Original 7D EQ - Women's - 2016</v>
      </c>
      <c r="C3099" s="21" t="e">
        <f>VLOOKUP(A3099,Products!A$322:$D3099,4,FALSE)</f>
        <v>#N/A</v>
      </c>
    </row>
    <row r="3100" spans="1:3" x14ac:dyDescent="0.35">
      <c r="A3100" s="21">
        <v>59</v>
      </c>
      <c r="B3100" t="str">
        <f>VLOOKUP(A3100,Products!$A$1:$F$322,2,FALSE)</f>
        <v>Trek Domane S 5 Disc - 2017</v>
      </c>
      <c r="C3100" s="21" t="e">
        <f>VLOOKUP(A3100,Products!A$322:$D3100,4,FALSE)</f>
        <v>#N/A</v>
      </c>
    </row>
    <row r="3101" spans="1:3" x14ac:dyDescent="0.35">
      <c r="A3101" s="21">
        <v>87</v>
      </c>
      <c r="B3101" t="str">
        <f>VLOOKUP(A3101,Products!$A$1:$F$322,2,FALSE)</f>
        <v>Trek Precaliber 12 Boys - 2017</v>
      </c>
      <c r="C3101" s="21" t="e">
        <f>VLOOKUP(A3101,Products!A$322:$D3101,4,FALSE)</f>
        <v>#N/A</v>
      </c>
    </row>
    <row r="3102" spans="1:3" x14ac:dyDescent="0.35">
      <c r="A3102" s="21">
        <v>89</v>
      </c>
      <c r="B3102" t="str">
        <f>VLOOKUP(A3102,Products!$A$1:$F$322,2,FALSE)</f>
        <v>Trek Precaliber 16 Boys - 2017</v>
      </c>
      <c r="C3102" s="21" t="e">
        <f>VLOOKUP(A3102,Products!A$322:$D3102,4,FALSE)</f>
        <v>#N/A</v>
      </c>
    </row>
    <row r="3103" spans="1:3" x14ac:dyDescent="0.35">
      <c r="A3103" s="21">
        <v>48</v>
      </c>
      <c r="B3103" t="str">
        <f>VLOOKUP(A3103,Products!$A$1:$F$322,2,FALSE)</f>
        <v>Trek Emonda S 4 - 2017</v>
      </c>
      <c r="C3103" s="21" t="e">
        <f>VLOOKUP(A3103,Products!A$322:$D3103,4,FALSE)</f>
        <v>#N/A</v>
      </c>
    </row>
    <row r="3104" spans="1:3" x14ac:dyDescent="0.35">
      <c r="A3104" s="21">
        <v>111</v>
      </c>
      <c r="B3104" t="str">
        <f>VLOOKUP(A3104,Products!$A$1:$F$322,2,FALSE)</f>
        <v>Sun Bicycles Drifter 7 - Women's - 2017</v>
      </c>
      <c r="C3104" s="21" t="e">
        <f>VLOOKUP(A3104,Products!A$322:$D3104,4,FALSE)</f>
        <v>#N/A</v>
      </c>
    </row>
    <row r="3105" spans="1:3" x14ac:dyDescent="0.35">
      <c r="A3105" s="21">
        <v>95</v>
      </c>
      <c r="B3105" t="str">
        <f>VLOOKUP(A3105,Products!$A$1:$F$322,2,FALSE)</f>
        <v>Electra Girl's Hawaii 1 16" - 2017</v>
      </c>
      <c r="C3105" s="21" t="e">
        <f>VLOOKUP(A3105,Products!A$322:$D3105,4,FALSE)</f>
        <v>#N/A</v>
      </c>
    </row>
    <row r="3106" spans="1:3" x14ac:dyDescent="0.35">
      <c r="A3106" s="21">
        <v>102</v>
      </c>
      <c r="B3106" t="str">
        <f>VLOOKUP(A3106,Products!$A$1:$F$322,2,FALSE)</f>
        <v>Electra Townie Original 7D - 2017</v>
      </c>
      <c r="C3106" s="21" t="e">
        <f>VLOOKUP(A3106,Products!A$322:$D3106,4,FALSE)</f>
        <v>#N/A</v>
      </c>
    </row>
    <row r="3107" spans="1:3" x14ac:dyDescent="0.35">
      <c r="A3107" s="21">
        <v>73</v>
      </c>
      <c r="B3107" t="str">
        <f>VLOOKUP(A3107,Products!$A$1:$F$322,2,FALSE)</f>
        <v>Sun Bicycles Brickell Tandem 7 - 2017</v>
      </c>
      <c r="C3107" s="21" t="e">
        <f>VLOOKUP(A3107,Products!A$322:$D3107,4,FALSE)</f>
        <v>#N/A</v>
      </c>
    </row>
    <row r="3108" spans="1:3" x14ac:dyDescent="0.35">
      <c r="A3108" s="21">
        <v>60</v>
      </c>
      <c r="B3108" t="str">
        <f>VLOOKUP(A3108,Products!$A$1:$F$322,2,FALSE)</f>
        <v>Sun Bicycles ElectroLite - 2017</v>
      </c>
      <c r="C3108" s="21" t="e">
        <f>VLOOKUP(A3108,Products!A$322:$D3108,4,FALSE)</f>
        <v>#N/A</v>
      </c>
    </row>
    <row r="3109" spans="1:3" x14ac:dyDescent="0.35">
      <c r="A3109" s="21">
        <v>76</v>
      </c>
      <c r="B3109" t="str">
        <f>VLOOKUP(A3109,Products!$A$1:$F$322,2,FALSE)</f>
        <v>Electra Girl's Hawaii 1 16" - 2017</v>
      </c>
      <c r="C3109" s="21" t="e">
        <f>VLOOKUP(A3109,Products!A$322:$D3109,4,FALSE)</f>
        <v>#N/A</v>
      </c>
    </row>
    <row r="3110" spans="1:3" x14ac:dyDescent="0.35">
      <c r="A3110" s="21">
        <v>60</v>
      </c>
      <c r="B3110" t="str">
        <f>VLOOKUP(A3110,Products!$A$1:$F$322,2,FALSE)</f>
        <v>Sun Bicycles ElectroLite - 2017</v>
      </c>
      <c r="C3110" s="21" t="e">
        <f>VLOOKUP(A3110,Products!A$322:$D3110,4,FALSE)</f>
        <v>#N/A</v>
      </c>
    </row>
    <row r="3111" spans="1:3" x14ac:dyDescent="0.35">
      <c r="A3111" s="21">
        <v>15</v>
      </c>
      <c r="B3111" t="str">
        <f>VLOOKUP(A3111,Products!$A$1:$F$322,2,FALSE)</f>
        <v>Electra Moto 1 - 2016</v>
      </c>
      <c r="C3111" s="21" t="e">
        <f>VLOOKUP(A3111,Products!A$322:$D3111,4,FALSE)</f>
        <v>#N/A</v>
      </c>
    </row>
    <row r="3112" spans="1:3" x14ac:dyDescent="0.35">
      <c r="A3112" s="21">
        <v>10</v>
      </c>
      <c r="B3112" t="str">
        <f>VLOOKUP(A3112,Products!$A$1:$F$322,2,FALSE)</f>
        <v>Surly Straggler - 2016</v>
      </c>
      <c r="C3112" s="21" t="e">
        <f>VLOOKUP(A3112,Products!A$322:$D3112,4,FALSE)</f>
        <v>#N/A</v>
      </c>
    </row>
    <row r="3113" spans="1:3" x14ac:dyDescent="0.35">
      <c r="A3113" s="21">
        <v>72</v>
      </c>
      <c r="B3113" t="str">
        <f>VLOOKUP(A3113,Products!$A$1:$F$322,2,FALSE)</f>
        <v>Sun Bicycles Biscayne Tandem 7 - 2017</v>
      </c>
      <c r="C3113" s="21" t="e">
        <f>VLOOKUP(A3113,Products!A$322:$D3113,4,FALSE)</f>
        <v>#N/A</v>
      </c>
    </row>
    <row r="3114" spans="1:3" x14ac:dyDescent="0.35">
      <c r="A3114" s="21">
        <v>70</v>
      </c>
      <c r="B3114" t="str">
        <f>VLOOKUP(A3114,Products!$A$1:$F$322,2,FALSE)</f>
        <v>Electra Amsterdam Original 3i - 2015/2017</v>
      </c>
      <c r="C3114" s="21" t="e">
        <f>VLOOKUP(A3114,Products!A$322:$D3114,4,FALSE)</f>
        <v>#N/A</v>
      </c>
    </row>
    <row r="3115" spans="1:3" x14ac:dyDescent="0.35">
      <c r="A3115" s="21">
        <v>31</v>
      </c>
      <c r="B3115" t="str">
        <f>VLOOKUP(A3115,Products!$A$1:$F$322,2,FALSE)</f>
        <v>Surly Wednesday - 2017</v>
      </c>
      <c r="C3115" s="21" t="e">
        <f>VLOOKUP(A3115,Products!A$322:$D3115,4,FALSE)</f>
        <v>#N/A</v>
      </c>
    </row>
    <row r="3116" spans="1:3" x14ac:dyDescent="0.35">
      <c r="A3116" s="21">
        <v>40</v>
      </c>
      <c r="B3116" t="str">
        <f>VLOOKUP(A3116,Products!$A$1:$F$322,2,FALSE)</f>
        <v>Trek Fuel EX 9.8 29 - 2017</v>
      </c>
      <c r="C3116" s="21" t="e">
        <f>VLOOKUP(A3116,Products!A$322:$D3116,4,FALSE)</f>
        <v>#N/A</v>
      </c>
    </row>
    <row r="3117" spans="1:3" x14ac:dyDescent="0.35">
      <c r="A3117" s="21">
        <v>50</v>
      </c>
      <c r="B3117" t="str">
        <f>VLOOKUP(A3117,Products!$A$1:$F$322,2,FALSE)</f>
        <v>Trek Silque SLR 7 Women's - 2017</v>
      </c>
      <c r="C3117" s="21" t="e">
        <f>VLOOKUP(A3117,Products!A$322:$D3117,4,FALSE)</f>
        <v>#N/A</v>
      </c>
    </row>
    <row r="3118" spans="1:3" x14ac:dyDescent="0.35">
      <c r="A3118" s="21">
        <v>32</v>
      </c>
      <c r="B3118" t="str">
        <f>VLOOKUP(A3118,Products!$A$1:$F$322,2,FALSE)</f>
        <v>Trek Farley Alloy Frameset - 2017</v>
      </c>
      <c r="C3118" s="21" t="e">
        <f>VLOOKUP(A3118,Products!A$322:$D3118,4,FALSE)</f>
        <v>#N/A</v>
      </c>
    </row>
    <row r="3119" spans="1:3" x14ac:dyDescent="0.35">
      <c r="A3119" s="21">
        <v>86</v>
      </c>
      <c r="B3119" t="str">
        <f>VLOOKUP(A3119,Products!$A$1:$F$322,2,FALSE)</f>
        <v>Trek Girl's Kickster - 2017</v>
      </c>
      <c r="C3119" s="21" t="e">
        <f>VLOOKUP(A3119,Products!A$322:$D3119,4,FALSE)</f>
        <v>#N/A</v>
      </c>
    </row>
    <row r="3120" spans="1:3" x14ac:dyDescent="0.35">
      <c r="A3120" s="21">
        <v>52</v>
      </c>
      <c r="B3120" t="str">
        <f>VLOOKUP(A3120,Products!$A$1:$F$322,2,FALSE)</f>
        <v>Surly Steamroller - 2017</v>
      </c>
      <c r="C3120" s="21" t="e">
        <f>VLOOKUP(A3120,Products!A$322:$D3120,4,FALSE)</f>
        <v>#N/A</v>
      </c>
    </row>
    <row r="3121" spans="1:3" x14ac:dyDescent="0.35">
      <c r="A3121" s="21">
        <v>29</v>
      </c>
      <c r="B3121" t="str">
        <f>VLOOKUP(A3121,Products!$A$1:$F$322,2,FALSE)</f>
        <v>Trek X-Caliber 8 - 2017</v>
      </c>
      <c r="C3121" s="21" t="e">
        <f>VLOOKUP(A3121,Products!A$322:$D3121,4,FALSE)</f>
        <v>#N/A</v>
      </c>
    </row>
    <row r="3122" spans="1:3" x14ac:dyDescent="0.35">
      <c r="A3122" s="21">
        <v>65</v>
      </c>
      <c r="B3122" t="str">
        <f>VLOOKUP(A3122,Products!$A$1:$F$322,2,FALSE)</f>
        <v>Sun Bicycles Lil Bolt Type-R - 2017</v>
      </c>
      <c r="C3122" s="21" t="e">
        <f>VLOOKUP(A3122,Products!A$322:$D3122,4,FALSE)</f>
        <v>#N/A</v>
      </c>
    </row>
    <row r="3123" spans="1:3" x14ac:dyDescent="0.35">
      <c r="A3123" s="21">
        <v>77</v>
      </c>
      <c r="B3123" t="str">
        <f>VLOOKUP(A3123,Products!$A$1:$F$322,2,FALSE)</f>
        <v>Electra Glam Punk 3i Ladies' - 2017</v>
      </c>
      <c r="C3123" s="21" t="e">
        <f>VLOOKUP(A3123,Products!A$322:$D3123,4,FALSE)</f>
        <v>#N/A</v>
      </c>
    </row>
    <row r="3124" spans="1:3" x14ac:dyDescent="0.35">
      <c r="A3124" s="21">
        <v>61</v>
      </c>
      <c r="B3124" t="str">
        <f>VLOOKUP(A3124,Products!$A$1:$F$322,2,FALSE)</f>
        <v>Trek Powerfly 8 FS Plus - 2017</v>
      </c>
      <c r="C3124" s="21" t="e">
        <f>VLOOKUP(A3124,Products!A$322:$D3124,4,FALSE)</f>
        <v>#N/A</v>
      </c>
    </row>
    <row r="3125" spans="1:3" x14ac:dyDescent="0.35">
      <c r="A3125" s="21">
        <v>33</v>
      </c>
      <c r="B3125" t="str">
        <f>VLOOKUP(A3125,Products!$A$1:$F$322,2,FALSE)</f>
        <v>Surly Wednesday Frameset - 2017</v>
      </c>
      <c r="C3125" s="21" t="e">
        <f>VLOOKUP(A3125,Products!A$322:$D3125,4,FALSE)</f>
        <v>#N/A</v>
      </c>
    </row>
    <row r="3126" spans="1:3" x14ac:dyDescent="0.35">
      <c r="A3126" s="21">
        <v>30</v>
      </c>
      <c r="B3126" t="str">
        <f>VLOOKUP(A3126,Products!$A$1:$F$322,2,FALSE)</f>
        <v>Surly Ice Cream Truck Frameset - 2017</v>
      </c>
      <c r="C3126" s="21" t="e">
        <f>VLOOKUP(A3126,Products!A$322:$D3126,4,FALSE)</f>
        <v>#N/A</v>
      </c>
    </row>
    <row r="3127" spans="1:3" x14ac:dyDescent="0.35">
      <c r="A3127" s="21">
        <v>70</v>
      </c>
      <c r="B3127" t="str">
        <f>VLOOKUP(A3127,Products!$A$1:$F$322,2,FALSE)</f>
        <v>Electra Amsterdam Original 3i - 2015/2017</v>
      </c>
      <c r="C3127" s="21" t="e">
        <f>VLOOKUP(A3127,Products!A$322:$D3127,4,FALSE)</f>
        <v>#N/A</v>
      </c>
    </row>
    <row r="3128" spans="1:3" x14ac:dyDescent="0.35">
      <c r="A3128" s="21">
        <v>98</v>
      </c>
      <c r="B3128" t="str">
        <f>VLOOKUP(A3128,Products!$A$1:$F$322,2,FALSE)</f>
        <v>Electra Straight 8 3i (20-inch) - Boy's - 2017</v>
      </c>
      <c r="C3128" s="21" t="e">
        <f>VLOOKUP(A3128,Products!A$322:$D3128,4,FALSE)</f>
        <v>#N/A</v>
      </c>
    </row>
    <row r="3129" spans="1:3" x14ac:dyDescent="0.35">
      <c r="A3129" s="21">
        <v>65</v>
      </c>
      <c r="B3129" t="str">
        <f>VLOOKUP(A3129,Products!$A$1:$F$322,2,FALSE)</f>
        <v>Sun Bicycles Lil Bolt Type-R - 2017</v>
      </c>
      <c r="C3129" s="21" t="e">
        <f>VLOOKUP(A3129,Products!A$322:$D3129,4,FALSE)</f>
        <v>#N/A</v>
      </c>
    </row>
    <row r="3130" spans="1:3" x14ac:dyDescent="0.35">
      <c r="A3130" s="21">
        <v>60</v>
      </c>
      <c r="B3130" t="str">
        <f>VLOOKUP(A3130,Products!$A$1:$F$322,2,FALSE)</f>
        <v>Sun Bicycles ElectroLite - 2017</v>
      </c>
      <c r="C3130" s="21" t="e">
        <f>VLOOKUP(A3130,Products!A$322:$D3130,4,FALSE)</f>
        <v>#N/A</v>
      </c>
    </row>
    <row r="3131" spans="1:3" x14ac:dyDescent="0.35">
      <c r="A3131" s="21">
        <v>66</v>
      </c>
      <c r="B3131" t="str">
        <f>VLOOKUP(A3131,Products!$A$1:$F$322,2,FALSE)</f>
        <v>Sun Bicycles Revolutions 24 - 2017</v>
      </c>
      <c r="C3131" s="21" t="e">
        <f>VLOOKUP(A3131,Products!A$322:$D3131,4,FALSE)</f>
        <v>#N/A</v>
      </c>
    </row>
    <row r="3132" spans="1:3" x14ac:dyDescent="0.35">
      <c r="A3132" s="21">
        <v>64</v>
      </c>
      <c r="B3132" t="str">
        <f>VLOOKUP(A3132,Products!$A$1:$F$322,2,FALSE)</f>
        <v>Electra Townie Original 7D - 2017</v>
      </c>
      <c r="C3132" s="21" t="e">
        <f>VLOOKUP(A3132,Products!A$322:$D3132,4,FALSE)</f>
        <v>#N/A</v>
      </c>
    </row>
    <row r="3133" spans="1:3" x14ac:dyDescent="0.35">
      <c r="A3133" s="21">
        <v>74</v>
      </c>
      <c r="B3133" t="str">
        <f>VLOOKUP(A3133,Products!$A$1:$F$322,2,FALSE)</f>
        <v>Electra Cruiser Lux 1 - 2017</v>
      </c>
      <c r="C3133" s="21" t="e">
        <f>VLOOKUP(A3133,Products!A$322:$D3133,4,FALSE)</f>
        <v>#N/A</v>
      </c>
    </row>
    <row r="3134" spans="1:3" x14ac:dyDescent="0.35">
      <c r="A3134" s="21">
        <v>108</v>
      </c>
      <c r="B3134" t="str">
        <f>VLOOKUP(A3134,Products!$A$1:$F$322,2,FALSE)</f>
        <v>Sun Bicycles Cruz 3 - Women's - 2017</v>
      </c>
      <c r="C3134" s="21" t="e">
        <f>VLOOKUP(A3134,Products!A$322:$D3134,4,FALSE)</f>
        <v>#N/A</v>
      </c>
    </row>
    <row r="3135" spans="1:3" x14ac:dyDescent="0.35">
      <c r="A3135" s="21">
        <v>67</v>
      </c>
      <c r="B3135" t="str">
        <f>VLOOKUP(A3135,Products!$A$1:$F$322,2,FALSE)</f>
        <v>Sun Bicycles Revolutions 24 - Girl's - 2017</v>
      </c>
      <c r="C3135" s="21" t="e">
        <f>VLOOKUP(A3135,Products!A$322:$D3135,4,FALSE)</f>
        <v>#N/A</v>
      </c>
    </row>
    <row r="3136" spans="1:3" x14ac:dyDescent="0.35">
      <c r="A3136" s="21">
        <v>81</v>
      </c>
      <c r="B3136" t="str">
        <f>VLOOKUP(A3136,Products!$A$1:$F$322,2,FALSE)</f>
        <v>Electra Amsterdam Fashion 7i Ladies' - 2017</v>
      </c>
      <c r="C3136" s="21" t="e">
        <f>VLOOKUP(A3136,Products!A$322:$D3136,4,FALSE)</f>
        <v>#N/A</v>
      </c>
    </row>
    <row r="3137" spans="1:3" x14ac:dyDescent="0.35">
      <c r="A3137" s="21">
        <v>10</v>
      </c>
      <c r="B3137" t="str">
        <f>VLOOKUP(A3137,Products!$A$1:$F$322,2,FALSE)</f>
        <v>Surly Straggler - 2016</v>
      </c>
      <c r="C3137" s="21" t="e">
        <f>VLOOKUP(A3137,Products!A$322:$D3137,4,FALSE)</f>
        <v>#N/A</v>
      </c>
    </row>
    <row r="3138" spans="1:3" x14ac:dyDescent="0.35">
      <c r="A3138" s="21">
        <v>5</v>
      </c>
      <c r="B3138" t="str">
        <f>VLOOKUP(A3138,Products!$A$1:$F$322,2,FALSE)</f>
        <v>Heller Shagamaw Frame - 2016</v>
      </c>
      <c r="C3138" s="21" t="e">
        <f>VLOOKUP(A3138,Products!A$322:$D3138,4,FALSE)</f>
        <v>#N/A</v>
      </c>
    </row>
    <row r="3139" spans="1:3" x14ac:dyDescent="0.35">
      <c r="A3139" s="21">
        <v>15</v>
      </c>
      <c r="B3139" t="str">
        <f>VLOOKUP(A3139,Products!$A$1:$F$322,2,FALSE)</f>
        <v>Electra Moto 1 - 2016</v>
      </c>
      <c r="C3139" s="21" t="e">
        <f>VLOOKUP(A3139,Products!A$322:$D3139,4,FALSE)</f>
        <v>#N/A</v>
      </c>
    </row>
    <row r="3140" spans="1:3" x14ac:dyDescent="0.35">
      <c r="A3140" s="21">
        <v>102</v>
      </c>
      <c r="B3140" t="str">
        <f>VLOOKUP(A3140,Products!$A$1:$F$322,2,FALSE)</f>
        <v>Electra Townie Original 7D - 2017</v>
      </c>
      <c r="C3140" s="21" t="e">
        <f>VLOOKUP(A3140,Products!A$322:$D3140,4,FALSE)</f>
        <v>#N/A</v>
      </c>
    </row>
    <row r="3141" spans="1:3" x14ac:dyDescent="0.35">
      <c r="A3141" s="21">
        <v>59</v>
      </c>
      <c r="B3141" t="str">
        <f>VLOOKUP(A3141,Products!$A$1:$F$322,2,FALSE)</f>
        <v>Trek Domane S 5 Disc - 2017</v>
      </c>
      <c r="C3141" s="21" t="e">
        <f>VLOOKUP(A3141,Products!A$322:$D3141,4,FALSE)</f>
        <v>#N/A</v>
      </c>
    </row>
    <row r="3142" spans="1:3" x14ac:dyDescent="0.35">
      <c r="A3142" s="21">
        <v>13</v>
      </c>
      <c r="B3142" t="str">
        <f>VLOOKUP(A3142,Products!$A$1:$F$322,2,FALSE)</f>
        <v>Electra Cruiser 1 (24-Inch) - 2016</v>
      </c>
      <c r="C3142" s="21" t="e">
        <f>VLOOKUP(A3142,Products!A$322:$D3142,4,FALSE)</f>
        <v>#N/A</v>
      </c>
    </row>
    <row r="3143" spans="1:3" x14ac:dyDescent="0.35">
      <c r="A3143" s="21">
        <v>109</v>
      </c>
      <c r="B3143" t="str">
        <f>VLOOKUP(A3143,Products!$A$1:$F$322,2,FALSE)</f>
        <v>Sun Bicycles Cruz 7 - Women's - 2017</v>
      </c>
      <c r="C3143" s="21" t="e">
        <f>VLOOKUP(A3143,Products!A$322:$D3143,4,FALSE)</f>
        <v>#N/A</v>
      </c>
    </row>
    <row r="3144" spans="1:3" x14ac:dyDescent="0.35">
      <c r="A3144" s="21">
        <v>64</v>
      </c>
      <c r="B3144" t="str">
        <f>VLOOKUP(A3144,Products!$A$1:$F$322,2,FALSE)</f>
        <v>Electra Townie Original 7D - 2017</v>
      </c>
      <c r="C3144" s="21" t="e">
        <f>VLOOKUP(A3144,Products!A$322:$D3144,4,FALSE)</f>
        <v>#N/A</v>
      </c>
    </row>
    <row r="3145" spans="1:3" x14ac:dyDescent="0.35">
      <c r="A3145" s="21">
        <v>30</v>
      </c>
      <c r="B3145" t="str">
        <f>VLOOKUP(A3145,Products!$A$1:$F$322,2,FALSE)</f>
        <v>Surly Ice Cream Truck Frameset - 2017</v>
      </c>
      <c r="C3145" s="21" t="e">
        <f>VLOOKUP(A3145,Products!A$322:$D3145,4,FALSE)</f>
        <v>#N/A</v>
      </c>
    </row>
    <row r="3146" spans="1:3" x14ac:dyDescent="0.35">
      <c r="A3146" s="21">
        <v>33</v>
      </c>
      <c r="B3146" t="str">
        <f>VLOOKUP(A3146,Products!$A$1:$F$322,2,FALSE)</f>
        <v>Surly Wednesday Frameset - 2017</v>
      </c>
      <c r="C3146" s="21" t="e">
        <f>VLOOKUP(A3146,Products!A$322:$D3146,4,FALSE)</f>
        <v>#N/A</v>
      </c>
    </row>
    <row r="3147" spans="1:3" x14ac:dyDescent="0.35">
      <c r="A3147" s="21">
        <v>36</v>
      </c>
      <c r="B3147" t="str">
        <f>VLOOKUP(A3147,Products!$A$1:$F$322,2,FALSE)</f>
        <v>Surly Troll Frameset - 2017</v>
      </c>
      <c r="C3147" s="21" t="e">
        <f>VLOOKUP(A3147,Products!A$322:$D3147,4,FALSE)</f>
        <v>#N/A</v>
      </c>
    </row>
    <row r="3148" spans="1:3" x14ac:dyDescent="0.35">
      <c r="A3148" s="21">
        <v>70</v>
      </c>
      <c r="B3148" t="str">
        <f>VLOOKUP(A3148,Products!$A$1:$F$322,2,FALSE)</f>
        <v>Electra Amsterdam Original 3i - 2015/2017</v>
      </c>
      <c r="C3148" s="21" t="e">
        <f>VLOOKUP(A3148,Products!A$322:$D3148,4,FALSE)</f>
        <v>#N/A</v>
      </c>
    </row>
    <row r="3149" spans="1:3" x14ac:dyDescent="0.35">
      <c r="A3149" s="21">
        <v>30</v>
      </c>
      <c r="B3149" t="str">
        <f>VLOOKUP(A3149,Products!$A$1:$F$322,2,FALSE)</f>
        <v>Surly Ice Cream Truck Frameset - 2017</v>
      </c>
      <c r="C3149" s="21" t="e">
        <f>VLOOKUP(A3149,Products!A$322:$D3149,4,FALSE)</f>
        <v>#N/A</v>
      </c>
    </row>
    <row r="3150" spans="1:3" x14ac:dyDescent="0.35">
      <c r="A3150" s="21">
        <v>74</v>
      </c>
      <c r="B3150" t="str">
        <f>VLOOKUP(A3150,Products!$A$1:$F$322,2,FALSE)</f>
        <v>Electra Cruiser Lux 1 - 2017</v>
      </c>
      <c r="C3150" s="21" t="e">
        <f>VLOOKUP(A3150,Products!A$322:$D3150,4,FALSE)</f>
        <v>#N/A</v>
      </c>
    </row>
    <row r="3151" spans="1:3" x14ac:dyDescent="0.35">
      <c r="A3151" s="21">
        <v>97</v>
      </c>
      <c r="B3151" t="str">
        <f>VLOOKUP(A3151,Products!$A$1:$F$322,2,FALSE)</f>
        <v>Electra Savannah 3i (20-inch) - Girl's - 2017</v>
      </c>
      <c r="C3151" s="21" t="e">
        <f>VLOOKUP(A3151,Products!A$322:$D3151,4,FALSE)</f>
        <v>#N/A</v>
      </c>
    </row>
    <row r="3152" spans="1:3" x14ac:dyDescent="0.35">
      <c r="A3152" s="21">
        <v>56</v>
      </c>
      <c r="B3152" t="str">
        <f>VLOOKUP(A3152,Products!$A$1:$F$322,2,FALSE)</f>
        <v>Trek Domane SLR 6 Disc - 2017</v>
      </c>
      <c r="C3152" s="21" t="e">
        <f>VLOOKUP(A3152,Products!A$322:$D3152,4,FALSE)</f>
        <v>#N/A</v>
      </c>
    </row>
    <row r="3153" spans="1:3" x14ac:dyDescent="0.35">
      <c r="A3153" s="21">
        <v>19</v>
      </c>
      <c r="B3153" t="str">
        <f>VLOOKUP(A3153,Products!$A$1:$F$322,2,FALSE)</f>
        <v>Pure Cycles William 3-Speed - 2016</v>
      </c>
      <c r="C3153" s="21" t="e">
        <f>VLOOKUP(A3153,Products!A$322:$D3153,4,FALSE)</f>
        <v>#N/A</v>
      </c>
    </row>
    <row r="3154" spans="1:3" x14ac:dyDescent="0.35">
      <c r="A3154" s="21">
        <v>34</v>
      </c>
      <c r="B3154" t="str">
        <f>VLOOKUP(A3154,Products!$A$1:$F$322,2,FALSE)</f>
        <v>Trek Session DH 27.5 Carbon Frameset - 2017</v>
      </c>
      <c r="C3154" s="21" t="e">
        <f>VLOOKUP(A3154,Products!A$322:$D3154,4,FALSE)</f>
        <v>#N/A</v>
      </c>
    </row>
    <row r="3155" spans="1:3" x14ac:dyDescent="0.35">
      <c r="A3155" s="21">
        <v>30</v>
      </c>
      <c r="B3155" t="str">
        <f>VLOOKUP(A3155,Products!$A$1:$F$322,2,FALSE)</f>
        <v>Surly Ice Cream Truck Frameset - 2017</v>
      </c>
      <c r="C3155" s="21" t="e">
        <f>VLOOKUP(A3155,Products!A$322:$D3155,4,FALSE)</f>
        <v>#N/A</v>
      </c>
    </row>
    <row r="3156" spans="1:3" x14ac:dyDescent="0.35">
      <c r="A3156" s="21">
        <v>2</v>
      </c>
      <c r="B3156" t="str">
        <f>VLOOKUP(A3156,Products!$A$1:$F$322,2,FALSE)</f>
        <v>Ritchey Timberwolf Frameset - 2016</v>
      </c>
      <c r="C3156" s="21" t="e">
        <f>VLOOKUP(A3156,Products!A$322:$D3156,4,FALSE)</f>
        <v>#N/A</v>
      </c>
    </row>
    <row r="3157" spans="1:3" x14ac:dyDescent="0.35">
      <c r="A3157" s="21">
        <v>18</v>
      </c>
      <c r="B3157" t="str">
        <f>VLOOKUP(A3157,Products!$A$1:$F$322,2,FALSE)</f>
        <v>Pure Cycles Western 3-Speed - Women's - 2015/2016</v>
      </c>
      <c r="C3157" s="21" t="e">
        <f>VLOOKUP(A3157,Products!A$322:$D3157,4,FALSE)</f>
        <v>#N/A</v>
      </c>
    </row>
    <row r="3158" spans="1:3" x14ac:dyDescent="0.35">
      <c r="A3158" s="21">
        <v>45</v>
      </c>
      <c r="B3158" t="str">
        <f>VLOOKUP(A3158,Products!$A$1:$F$322,2,FALSE)</f>
        <v>Haro SR 1.2 - 2017</v>
      </c>
      <c r="C3158" s="21" t="e">
        <f>VLOOKUP(A3158,Products!A$322:$D3158,4,FALSE)</f>
        <v>#N/A</v>
      </c>
    </row>
    <row r="3159" spans="1:3" x14ac:dyDescent="0.35">
      <c r="A3159" s="21">
        <v>17</v>
      </c>
      <c r="B3159" t="str">
        <f>VLOOKUP(A3159,Products!$A$1:$F$322,2,FALSE)</f>
        <v>Pure Cycles Vine 8-Speed - 2016</v>
      </c>
      <c r="C3159" s="21" t="e">
        <f>VLOOKUP(A3159,Products!A$322:$D3159,4,FALSE)</f>
        <v>#N/A</v>
      </c>
    </row>
    <row r="3160" spans="1:3" x14ac:dyDescent="0.35">
      <c r="A3160" s="21">
        <v>90</v>
      </c>
      <c r="B3160" t="str">
        <f>VLOOKUP(A3160,Products!$A$1:$F$322,2,FALSE)</f>
        <v>Trek Precaliber 16 Girls - 2017</v>
      </c>
      <c r="C3160" s="21" t="e">
        <f>VLOOKUP(A3160,Products!A$322:$D3160,4,FALSE)</f>
        <v>#N/A</v>
      </c>
    </row>
    <row r="3161" spans="1:3" x14ac:dyDescent="0.35">
      <c r="A3161" s="21">
        <v>71</v>
      </c>
      <c r="B3161" t="str">
        <f>VLOOKUP(A3161,Products!$A$1:$F$322,2,FALSE)</f>
        <v>Sun Bicycles Atlas X-Type - 2017</v>
      </c>
      <c r="C3161" s="21" t="e">
        <f>VLOOKUP(A3161,Products!A$322:$D3161,4,FALSE)</f>
        <v>#N/A</v>
      </c>
    </row>
    <row r="3162" spans="1:3" x14ac:dyDescent="0.35">
      <c r="A3162" s="21">
        <v>11</v>
      </c>
      <c r="B3162" t="str">
        <f>VLOOKUP(A3162,Products!$A$1:$F$322,2,FALSE)</f>
        <v>Surly Straggler 650b - 2016</v>
      </c>
      <c r="C3162" s="21" t="e">
        <f>VLOOKUP(A3162,Products!A$322:$D3162,4,FALSE)</f>
        <v>#N/A</v>
      </c>
    </row>
    <row r="3163" spans="1:3" x14ac:dyDescent="0.35">
      <c r="A3163" s="21">
        <v>24</v>
      </c>
      <c r="B3163" t="str">
        <f>VLOOKUP(A3163,Products!$A$1:$F$322,2,FALSE)</f>
        <v>Electra Townie Original 21D - 2016</v>
      </c>
      <c r="C3163" s="21" t="e">
        <f>VLOOKUP(A3163,Products!A$322:$D3163,4,FALSE)</f>
        <v>#N/A</v>
      </c>
    </row>
    <row r="3164" spans="1:3" x14ac:dyDescent="0.35">
      <c r="A3164" s="21">
        <v>107</v>
      </c>
      <c r="B3164" t="str">
        <f>VLOOKUP(A3164,Products!$A$1:$F$322,2,FALSE)</f>
        <v>Sun Bicycles Cruz 7 - 2017</v>
      </c>
      <c r="C3164" s="21" t="e">
        <f>VLOOKUP(A3164,Products!A$322:$D3164,4,FALSE)</f>
        <v>#N/A</v>
      </c>
    </row>
    <row r="3165" spans="1:3" x14ac:dyDescent="0.35">
      <c r="A3165" s="21">
        <v>78</v>
      </c>
      <c r="B3165" t="str">
        <f>VLOOKUP(A3165,Products!$A$1:$F$322,2,FALSE)</f>
        <v>Sun Bicycles Biscayne Tandem CB - 2017</v>
      </c>
      <c r="C3165" s="21" t="e">
        <f>VLOOKUP(A3165,Products!A$322:$D3165,4,FALSE)</f>
        <v>#N/A</v>
      </c>
    </row>
    <row r="3166" spans="1:3" x14ac:dyDescent="0.35">
      <c r="A3166" s="21">
        <v>3</v>
      </c>
      <c r="B3166" t="str">
        <f>VLOOKUP(A3166,Products!$A$1:$F$322,2,FALSE)</f>
        <v>Surly Wednesday Frameset - 2016</v>
      </c>
      <c r="C3166" s="21" t="e">
        <f>VLOOKUP(A3166,Products!A$322:$D3166,4,FALSE)</f>
        <v>#N/A</v>
      </c>
    </row>
    <row r="3167" spans="1:3" x14ac:dyDescent="0.35">
      <c r="A3167" s="21">
        <v>15</v>
      </c>
      <c r="B3167" t="str">
        <f>VLOOKUP(A3167,Products!$A$1:$F$322,2,FALSE)</f>
        <v>Electra Moto 1 - 2016</v>
      </c>
      <c r="C3167" s="21" t="e">
        <f>VLOOKUP(A3167,Products!A$322:$D3167,4,FALSE)</f>
        <v>#N/A</v>
      </c>
    </row>
    <row r="3168" spans="1:3" x14ac:dyDescent="0.35">
      <c r="A3168" s="21">
        <v>31</v>
      </c>
      <c r="B3168" t="str">
        <f>VLOOKUP(A3168,Products!$A$1:$F$322,2,FALSE)</f>
        <v>Surly Wednesday - 2017</v>
      </c>
      <c r="C3168" s="21" t="e">
        <f>VLOOKUP(A3168,Products!A$322:$D3168,4,FALSE)</f>
        <v>#N/A</v>
      </c>
    </row>
    <row r="3169" spans="1:3" x14ac:dyDescent="0.35">
      <c r="A3169" s="21">
        <v>50</v>
      </c>
      <c r="B3169" t="str">
        <f>VLOOKUP(A3169,Products!$A$1:$F$322,2,FALSE)</f>
        <v>Trek Silque SLR 7 Women's - 2017</v>
      </c>
      <c r="C3169" s="21" t="e">
        <f>VLOOKUP(A3169,Products!A$322:$D3169,4,FALSE)</f>
        <v>#N/A</v>
      </c>
    </row>
    <row r="3170" spans="1:3" x14ac:dyDescent="0.35">
      <c r="A3170" s="21">
        <v>11</v>
      </c>
      <c r="B3170" t="str">
        <f>VLOOKUP(A3170,Products!$A$1:$F$322,2,FALSE)</f>
        <v>Surly Straggler 650b - 2016</v>
      </c>
      <c r="C3170" s="21" t="e">
        <f>VLOOKUP(A3170,Products!A$322:$D3170,4,FALSE)</f>
        <v>#N/A</v>
      </c>
    </row>
    <row r="3171" spans="1:3" x14ac:dyDescent="0.35">
      <c r="A3171" s="21">
        <v>99</v>
      </c>
      <c r="B3171" t="str">
        <f>VLOOKUP(A3171,Products!$A$1:$F$322,2,FALSE)</f>
        <v>Electra Sugar Skulls 1 (20-inch) - Girl's - 2017</v>
      </c>
      <c r="C3171" s="21" t="e">
        <f>VLOOKUP(A3171,Products!A$322:$D3171,4,FALSE)</f>
        <v>#N/A</v>
      </c>
    </row>
    <row r="3172" spans="1:3" x14ac:dyDescent="0.35">
      <c r="A3172" s="21">
        <v>106</v>
      </c>
      <c r="B3172" t="str">
        <f>VLOOKUP(A3172,Products!$A$1:$F$322,2,FALSE)</f>
        <v>Sun Bicycles Cruz 3 - 2017</v>
      </c>
      <c r="C3172" s="21" t="e">
        <f>VLOOKUP(A3172,Products!A$322:$D3172,4,FALSE)</f>
        <v>#N/A</v>
      </c>
    </row>
    <row r="3173" spans="1:3" x14ac:dyDescent="0.35">
      <c r="A3173" s="21">
        <v>98</v>
      </c>
      <c r="B3173" t="str">
        <f>VLOOKUP(A3173,Products!$A$1:$F$322,2,FALSE)</f>
        <v>Electra Straight 8 3i (20-inch) - Boy's - 2017</v>
      </c>
      <c r="C3173" s="21" t="e">
        <f>VLOOKUP(A3173,Products!A$322:$D3173,4,FALSE)</f>
        <v>#N/A</v>
      </c>
    </row>
    <row r="3174" spans="1:3" x14ac:dyDescent="0.35">
      <c r="A3174" s="21">
        <v>19</v>
      </c>
      <c r="B3174" t="str">
        <f>VLOOKUP(A3174,Products!$A$1:$F$322,2,FALSE)</f>
        <v>Pure Cycles William 3-Speed - 2016</v>
      </c>
      <c r="C3174" s="21" t="e">
        <f>VLOOKUP(A3174,Products!A$322:$D3174,4,FALSE)</f>
        <v>#N/A</v>
      </c>
    </row>
    <row r="3175" spans="1:3" x14ac:dyDescent="0.35">
      <c r="A3175" s="21">
        <v>35</v>
      </c>
      <c r="B3175" t="str">
        <f>VLOOKUP(A3175,Products!$A$1:$F$322,2,FALSE)</f>
        <v>Sun Bicycles Spider 3i - 2017</v>
      </c>
      <c r="C3175" s="21" t="e">
        <f>VLOOKUP(A3175,Products!A$322:$D3175,4,FALSE)</f>
        <v>#N/A</v>
      </c>
    </row>
    <row r="3176" spans="1:3" x14ac:dyDescent="0.35">
      <c r="A3176" s="21">
        <v>88</v>
      </c>
      <c r="B3176" t="str">
        <f>VLOOKUP(A3176,Products!$A$1:$F$322,2,FALSE)</f>
        <v>Trek Precaliber 12 Girls - 2017</v>
      </c>
      <c r="C3176" s="21" t="e">
        <f>VLOOKUP(A3176,Products!A$322:$D3176,4,FALSE)</f>
        <v>#N/A</v>
      </c>
    </row>
    <row r="3177" spans="1:3" x14ac:dyDescent="0.35">
      <c r="A3177" s="21">
        <v>64</v>
      </c>
      <c r="B3177" t="str">
        <f>VLOOKUP(A3177,Products!$A$1:$F$322,2,FALSE)</f>
        <v>Electra Townie Original 7D - 2017</v>
      </c>
      <c r="C3177" s="21" t="e">
        <f>VLOOKUP(A3177,Products!A$322:$D3177,4,FALSE)</f>
        <v>#N/A</v>
      </c>
    </row>
    <row r="3178" spans="1:3" x14ac:dyDescent="0.35">
      <c r="A3178" s="21">
        <v>13</v>
      </c>
      <c r="B3178" t="str">
        <f>VLOOKUP(A3178,Products!$A$1:$F$322,2,FALSE)</f>
        <v>Electra Cruiser 1 (24-Inch) - 2016</v>
      </c>
      <c r="C3178" s="21" t="e">
        <f>VLOOKUP(A3178,Products!A$322:$D3178,4,FALSE)</f>
        <v>#N/A</v>
      </c>
    </row>
    <row r="3179" spans="1:3" x14ac:dyDescent="0.35">
      <c r="A3179" s="21">
        <v>46</v>
      </c>
      <c r="B3179" t="str">
        <f>VLOOKUP(A3179,Products!$A$1:$F$322,2,FALSE)</f>
        <v>Haro SR 1.3 - 2017</v>
      </c>
      <c r="C3179" s="21" t="e">
        <f>VLOOKUP(A3179,Products!A$322:$D3179,4,FALSE)</f>
        <v>#N/A</v>
      </c>
    </row>
    <row r="3180" spans="1:3" x14ac:dyDescent="0.35">
      <c r="A3180" s="21">
        <v>89</v>
      </c>
      <c r="B3180" t="str">
        <f>VLOOKUP(A3180,Products!$A$1:$F$322,2,FALSE)</f>
        <v>Trek Precaliber 16 Boys - 2017</v>
      </c>
      <c r="C3180" s="21" t="e">
        <f>VLOOKUP(A3180,Products!A$322:$D3180,4,FALSE)</f>
        <v>#N/A</v>
      </c>
    </row>
    <row r="3181" spans="1:3" x14ac:dyDescent="0.35">
      <c r="A3181" s="21">
        <v>12</v>
      </c>
      <c r="B3181" t="str">
        <f>VLOOKUP(A3181,Products!$A$1:$F$322,2,FALSE)</f>
        <v>Electra Townie Original 21D - 2016</v>
      </c>
      <c r="C3181" s="21" t="e">
        <f>VLOOKUP(A3181,Products!A$322:$D3181,4,FALSE)</f>
        <v>#N/A</v>
      </c>
    </row>
    <row r="3182" spans="1:3" x14ac:dyDescent="0.35">
      <c r="A3182" s="21">
        <v>9</v>
      </c>
      <c r="B3182" t="str">
        <f>VLOOKUP(A3182,Products!$A$1:$F$322,2,FALSE)</f>
        <v>Trek Conduit+ - 2016</v>
      </c>
      <c r="C3182" s="21" t="e">
        <f>VLOOKUP(A3182,Products!A$322:$D3182,4,FALSE)</f>
        <v>#N/A</v>
      </c>
    </row>
    <row r="3183" spans="1:3" x14ac:dyDescent="0.35">
      <c r="A3183" s="21">
        <v>105</v>
      </c>
      <c r="B3183" t="str">
        <f>VLOOKUP(A3183,Products!$A$1:$F$322,2,FALSE)</f>
        <v>Sun Bicycles Streamway 7 - 2017</v>
      </c>
      <c r="C3183" s="21" t="e">
        <f>VLOOKUP(A3183,Products!A$322:$D3183,4,FALSE)</f>
        <v>#N/A</v>
      </c>
    </row>
    <row r="3184" spans="1:3" x14ac:dyDescent="0.35">
      <c r="A3184" s="21">
        <v>51</v>
      </c>
      <c r="B3184" t="str">
        <f>VLOOKUP(A3184,Products!$A$1:$F$322,2,FALSE)</f>
        <v>Trek Silque SLR 8 Women's - 2017</v>
      </c>
      <c r="C3184" s="21" t="e">
        <f>VLOOKUP(A3184,Products!A$322:$D3184,4,FALSE)</f>
        <v>#N/A</v>
      </c>
    </row>
    <row r="3185" spans="1:3" x14ac:dyDescent="0.35">
      <c r="A3185" s="21">
        <v>91</v>
      </c>
      <c r="B3185" t="str">
        <f>VLOOKUP(A3185,Products!$A$1:$F$322,2,FALSE)</f>
        <v>Trek Precaliber 24 (21-Speed) - Girls - 2017</v>
      </c>
      <c r="C3185" s="21" t="e">
        <f>VLOOKUP(A3185,Products!A$322:$D3185,4,FALSE)</f>
        <v>#N/A</v>
      </c>
    </row>
    <row r="3186" spans="1:3" x14ac:dyDescent="0.35">
      <c r="A3186" s="21">
        <v>106</v>
      </c>
      <c r="B3186" t="str">
        <f>VLOOKUP(A3186,Products!$A$1:$F$322,2,FALSE)</f>
        <v>Sun Bicycles Cruz 3 - 2017</v>
      </c>
      <c r="C3186" s="21" t="e">
        <f>VLOOKUP(A3186,Products!A$322:$D3186,4,FALSE)</f>
        <v>#N/A</v>
      </c>
    </row>
    <row r="3187" spans="1:3" x14ac:dyDescent="0.35">
      <c r="A3187" s="21">
        <v>46</v>
      </c>
      <c r="B3187" t="str">
        <f>VLOOKUP(A3187,Products!$A$1:$F$322,2,FALSE)</f>
        <v>Haro SR 1.3 - 2017</v>
      </c>
      <c r="C3187" s="21" t="e">
        <f>VLOOKUP(A3187,Products!A$322:$D3187,4,FALSE)</f>
        <v>#N/A</v>
      </c>
    </row>
    <row r="3188" spans="1:3" x14ac:dyDescent="0.35">
      <c r="A3188" s="21">
        <v>17</v>
      </c>
      <c r="B3188" t="str">
        <f>VLOOKUP(A3188,Products!$A$1:$F$322,2,FALSE)</f>
        <v>Pure Cycles Vine 8-Speed - 2016</v>
      </c>
      <c r="C3188" s="21" t="e">
        <f>VLOOKUP(A3188,Products!A$322:$D3188,4,FALSE)</f>
        <v>#N/A</v>
      </c>
    </row>
    <row r="3189" spans="1:3" x14ac:dyDescent="0.35">
      <c r="A3189" s="21">
        <v>70</v>
      </c>
      <c r="B3189" t="str">
        <f>VLOOKUP(A3189,Products!$A$1:$F$322,2,FALSE)</f>
        <v>Electra Amsterdam Original 3i - 2015/2017</v>
      </c>
      <c r="C3189" s="21" t="e">
        <f>VLOOKUP(A3189,Products!A$322:$D3189,4,FALSE)</f>
        <v>#N/A</v>
      </c>
    </row>
    <row r="3190" spans="1:3" x14ac:dyDescent="0.35">
      <c r="A3190" s="21">
        <v>43</v>
      </c>
      <c r="B3190" t="str">
        <f>VLOOKUP(A3190,Products!$A$1:$F$322,2,FALSE)</f>
        <v>Trek Fuel EX 9.8 27.5 Plus - 2017</v>
      </c>
      <c r="C3190" s="21" t="e">
        <f>VLOOKUP(A3190,Products!A$322:$D3190,4,FALSE)</f>
        <v>#N/A</v>
      </c>
    </row>
    <row r="3191" spans="1:3" x14ac:dyDescent="0.35">
      <c r="A3191" s="21">
        <v>80</v>
      </c>
      <c r="B3191" t="str">
        <f>VLOOKUP(A3191,Products!$A$1:$F$322,2,FALSE)</f>
        <v>Sun Bicycles Brickell Tandem CB - 2017</v>
      </c>
      <c r="C3191" s="21" t="e">
        <f>VLOOKUP(A3191,Products!A$322:$D3191,4,FALSE)</f>
        <v>#N/A</v>
      </c>
    </row>
    <row r="3192" spans="1:3" x14ac:dyDescent="0.35">
      <c r="A3192" s="21">
        <v>60</v>
      </c>
      <c r="B3192" t="str">
        <f>VLOOKUP(A3192,Products!$A$1:$F$322,2,FALSE)</f>
        <v>Sun Bicycles ElectroLite - 2017</v>
      </c>
      <c r="C3192" s="21" t="e">
        <f>VLOOKUP(A3192,Products!A$322:$D3192,4,FALSE)</f>
        <v>#N/A</v>
      </c>
    </row>
    <row r="3193" spans="1:3" x14ac:dyDescent="0.35">
      <c r="A3193" s="21">
        <v>56</v>
      </c>
      <c r="B3193" t="str">
        <f>VLOOKUP(A3193,Products!$A$1:$F$322,2,FALSE)</f>
        <v>Trek Domane SLR 6 Disc - 2017</v>
      </c>
      <c r="C3193" s="21" t="e">
        <f>VLOOKUP(A3193,Products!A$322:$D3193,4,FALSE)</f>
        <v>#N/A</v>
      </c>
    </row>
    <row r="3194" spans="1:3" x14ac:dyDescent="0.35">
      <c r="A3194" s="21">
        <v>35</v>
      </c>
      <c r="B3194" t="str">
        <f>VLOOKUP(A3194,Products!$A$1:$F$322,2,FALSE)</f>
        <v>Sun Bicycles Spider 3i - 2017</v>
      </c>
      <c r="C3194" s="21" t="e">
        <f>VLOOKUP(A3194,Products!A$322:$D3194,4,FALSE)</f>
        <v>#N/A</v>
      </c>
    </row>
    <row r="3195" spans="1:3" x14ac:dyDescent="0.35">
      <c r="A3195" s="21">
        <v>96</v>
      </c>
      <c r="B3195" t="str">
        <f>VLOOKUP(A3195,Products!$A$1:$F$322,2,FALSE)</f>
        <v>Electra Moto 3i (20-inch) - Boy's - 2017</v>
      </c>
      <c r="C3195" s="21" t="e">
        <f>VLOOKUP(A3195,Products!A$322:$D3195,4,FALSE)</f>
        <v>#N/A</v>
      </c>
    </row>
    <row r="3196" spans="1:3" x14ac:dyDescent="0.35">
      <c r="A3196" s="21">
        <v>43</v>
      </c>
      <c r="B3196" t="str">
        <f>VLOOKUP(A3196,Products!$A$1:$F$322,2,FALSE)</f>
        <v>Trek Fuel EX 9.8 27.5 Plus - 2017</v>
      </c>
      <c r="C3196" s="21" t="e">
        <f>VLOOKUP(A3196,Products!A$322:$D3196,4,FALSE)</f>
        <v>#N/A</v>
      </c>
    </row>
    <row r="3197" spans="1:3" x14ac:dyDescent="0.35">
      <c r="A3197" s="21">
        <v>41</v>
      </c>
      <c r="B3197" t="str">
        <f>VLOOKUP(A3197,Products!$A$1:$F$322,2,FALSE)</f>
        <v>Haro Shift R3 - 2017</v>
      </c>
      <c r="C3197" s="21" t="e">
        <f>VLOOKUP(A3197,Products!A$322:$D3197,4,FALSE)</f>
        <v>#N/A</v>
      </c>
    </row>
    <row r="3198" spans="1:3" x14ac:dyDescent="0.35">
      <c r="A3198" s="21">
        <v>45</v>
      </c>
      <c r="B3198" t="str">
        <f>VLOOKUP(A3198,Products!$A$1:$F$322,2,FALSE)</f>
        <v>Haro SR 1.2 - 2017</v>
      </c>
      <c r="C3198" s="21" t="e">
        <f>VLOOKUP(A3198,Products!A$322:$D3198,4,FALSE)</f>
        <v>#N/A</v>
      </c>
    </row>
    <row r="3199" spans="1:3" x14ac:dyDescent="0.35">
      <c r="A3199" s="21">
        <v>100</v>
      </c>
      <c r="B3199" t="str">
        <f>VLOOKUP(A3199,Products!$A$1:$F$322,2,FALSE)</f>
        <v>Electra Townie 3i EQ (20-inch) - Boys' - 2017</v>
      </c>
      <c r="C3199" s="21" t="e">
        <f>VLOOKUP(A3199,Products!A$322:$D3199,4,FALSE)</f>
        <v>#N/A</v>
      </c>
    </row>
    <row r="3200" spans="1:3" x14ac:dyDescent="0.35">
      <c r="A3200" s="21">
        <v>105</v>
      </c>
      <c r="B3200" t="str">
        <f>VLOOKUP(A3200,Products!$A$1:$F$322,2,FALSE)</f>
        <v>Sun Bicycles Streamway 7 - 2017</v>
      </c>
      <c r="C3200" s="21" t="e">
        <f>VLOOKUP(A3200,Products!A$322:$D3200,4,FALSE)</f>
        <v>#N/A</v>
      </c>
    </row>
    <row r="3201" spans="1:3" x14ac:dyDescent="0.35">
      <c r="A3201" s="21">
        <v>72</v>
      </c>
      <c r="B3201" t="str">
        <f>VLOOKUP(A3201,Products!$A$1:$F$322,2,FALSE)</f>
        <v>Sun Bicycles Biscayne Tandem 7 - 2017</v>
      </c>
      <c r="C3201" s="21" t="e">
        <f>VLOOKUP(A3201,Products!A$322:$D3201,4,FALSE)</f>
        <v>#N/A</v>
      </c>
    </row>
    <row r="3202" spans="1:3" x14ac:dyDescent="0.35">
      <c r="A3202" s="21">
        <v>56</v>
      </c>
      <c r="B3202" t="str">
        <f>VLOOKUP(A3202,Products!$A$1:$F$322,2,FALSE)</f>
        <v>Trek Domane SLR 6 Disc - 2017</v>
      </c>
      <c r="C3202" s="21" t="e">
        <f>VLOOKUP(A3202,Products!A$322:$D3202,4,FALSE)</f>
        <v>#N/A</v>
      </c>
    </row>
    <row r="3203" spans="1:3" x14ac:dyDescent="0.35">
      <c r="A3203" s="21">
        <v>95</v>
      </c>
      <c r="B3203" t="str">
        <f>VLOOKUP(A3203,Products!$A$1:$F$322,2,FALSE)</f>
        <v>Electra Girl's Hawaii 1 16" - 2017</v>
      </c>
      <c r="C3203" s="21" t="e">
        <f>VLOOKUP(A3203,Products!A$322:$D3203,4,FALSE)</f>
        <v>#N/A</v>
      </c>
    </row>
    <row r="3204" spans="1:3" x14ac:dyDescent="0.35">
      <c r="A3204" s="21">
        <v>66</v>
      </c>
      <c r="B3204" t="str">
        <f>VLOOKUP(A3204,Products!$A$1:$F$322,2,FALSE)</f>
        <v>Sun Bicycles Revolutions 24 - 2017</v>
      </c>
      <c r="C3204" s="21" t="e">
        <f>VLOOKUP(A3204,Products!A$322:$D3204,4,FALSE)</f>
        <v>#N/A</v>
      </c>
    </row>
    <row r="3205" spans="1:3" x14ac:dyDescent="0.35">
      <c r="A3205" s="21">
        <v>14</v>
      </c>
      <c r="B3205" t="str">
        <f>VLOOKUP(A3205,Products!$A$1:$F$322,2,FALSE)</f>
        <v>Electra Girl's Hawaii 1 (16-inch) - 2015/2016</v>
      </c>
      <c r="C3205" s="21" t="e">
        <f>VLOOKUP(A3205,Products!A$322:$D3205,4,FALSE)</f>
        <v>#N/A</v>
      </c>
    </row>
    <row r="3206" spans="1:3" x14ac:dyDescent="0.35">
      <c r="A3206" s="21">
        <v>24</v>
      </c>
      <c r="B3206" t="str">
        <f>VLOOKUP(A3206,Products!$A$1:$F$322,2,FALSE)</f>
        <v>Electra Townie Original 21D - 2016</v>
      </c>
      <c r="C3206" s="21" t="e">
        <f>VLOOKUP(A3206,Products!A$322:$D3206,4,FALSE)</f>
        <v>#N/A</v>
      </c>
    </row>
    <row r="3207" spans="1:3" x14ac:dyDescent="0.35">
      <c r="A3207" s="21">
        <v>71</v>
      </c>
      <c r="B3207" t="str">
        <f>VLOOKUP(A3207,Products!$A$1:$F$322,2,FALSE)</f>
        <v>Sun Bicycles Atlas X-Type - 2017</v>
      </c>
      <c r="C3207" s="21" t="e">
        <f>VLOOKUP(A3207,Products!A$322:$D3207,4,FALSE)</f>
        <v>#N/A</v>
      </c>
    </row>
    <row r="3208" spans="1:3" x14ac:dyDescent="0.35">
      <c r="A3208" s="21">
        <v>42</v>
      </c>
      <c r="B3208" t="str">
        <f>VLOOKUP(A3208,Products!$A$1:$F$322,2,FALSE)</f>
        <v>Trek Fuel EX 5 27.5 Plus - 2017</v>
      </c>
      <c r="C3208" s="21" t="e">
        <f>VLOOKUP(A3208,Products!A$322:$D3208,4,FALSE)</f>
        <v>#N/A</v>
      </c>
    </row>
    <row r="3209" spans="1:3" x14ac:dyDescent="0.35">
      <c r="A3209" s="21">
        <v>5</v>
      </c>
      <c r="B3209" t="str">
        <f>VLOOKUP(A3209,Products!$A$1:$F$322,2,FALSE)</f>
        <v>Heller Shagamaw Frame - 2016</v>
      </c>
      <c r="C3209" s="21" t="e">
        <f>VLOOKUP(A3209,Products!A$322:$D3209,4,FALSE)</f>
        <v>#N/A</v>
      </c>
    </row>
    <row r="3210" spans="1:3" x14ac:dyDescent="0.35">
      <c r="A3210" s="21">
        <v>87</v>
      </c>
      <c r="B3210" t="str">
        <f>VLOOKUP(A3210,Products!$A$1:$F$322,2,FALSE)</f>
        <v>Trek Precaliber 12 Boys - 2017</v>
      </c>
      <c r="C3210" s="21" t="e">
        <f>VLOOKUP(A3210,Products!A$322:$D3210,4,FALSE)</f>
        <v>#N/A</v>
      </c>
    </row>
    <row r="3211" spans="1:3" x14ac:dyDescent="0.35">
      <c r="A3211" s="21">
        <v>9</v>
      </c>
      <c r="B3211" t="str">
        <f>VLOOKUP(A3211,Products!$A$1:$F$322,2,FALSE)</f>
        <v>Trek Conduit+ - 2016</v>
      </c>
      <c r="C3211" s="21" t="e">
        <f>VLOOKUP(A3211,Products!A$322:$D3211,4,FALSE)</f>
        <v>#N/A</v>
      </c>
    </row>
    <row r="3212" spans="1:3" x14ac:dyDescent="0.35">
      <c r="A3212" s="21">
        <v>106</v>
      </c>
      <c r="B3212" t="str">
        <f>VLOOKUP(A3212,Products!$A$1:$F$322,2,FALSE)</f>
        <v>Sun Bicycles Cruz 3 - 2017</v>
      </c>
      <c r="C3212" s="21" t="e">
        <f>VLOOKUP(A3212,Products!A$322:$D3212,4,FALSE)</f>
        <v>#N/A</v>
      </c>
    </row>
    <row r="3213" spans="1:3" x14ac:dyDescent="0.35">
      <c r="A3213" s="21">
        <v>52</v>
      </c>
      <c r="B3213" t="str">
        <f>VLOOKUP(A3213,Products!$A$1:$F$322,2,FALSE)</f>
        <v>Surly Steamroller - 2017</v>
      </c>
      <c r="C3213" s="21" t="e">
        <f>VLOOKUP(A3213,Products!A$322:$D3213,4,FALSE)</f>
        <v>#N/A</v>
      </c>
    </row>
    <row r="3214" spans="1:3" x14ac:dyDescent="0.35">
      <c r="A3214" s="21">
        <v>97</v>
      </c>
      <c r="B3214" t="str">
        <f>VLOOKUP(A3214,Products!$A$1:$F$322,2,FALSE)</f>
        <v>Electra Savannah 3i (20-inch) - Girl's - 2017</v>
      </c>
      <c r="C3214" s="21" t="e">
        <f>VLOOKUP(A3214,Products!A$322:$D3214,4,FALSE)</f>
        <v>#N/A</v>
      </c>
    </row>
    <row r="3215" spans="1:3" x14ac:dyDescent="0.35">
      <c r="A3215" s="21">
        <v>50</v>
      </c>
      <c r="B3215" t="str">
        <f>VLOOKUP(A3215,Products!$A$1:$F$322,2,FALSE)</f>
        <v>Trek Silque SLR 7 Women's - 2017</v>
      </c>
      <c r="C3215" s="21" t="e">
        <f>VLOOKUP(A3215,Products!A$322:$D3215,4,FALSE)</f>
        <v>#N/A</v>
      </c>
    </row>
    <row r="3216" spans="1:3" x14ac:dyDescent="0.35">
      <c r="A3216" s="21">
        <v>91</v>
      </c>
      <c r="B3216" t="str">
        <f>VLOOKUP(A3216,Products!$A$1:$F$322,2,FALSE)</f>
        <v>Trek Precaliber 24 (21-Speed) - Girls - 2017</v>
      </c>
      <c r="C3216" s="21" t="e">
        <f>VLOOKUP(A3216,Products!A$322:$D3216,4,FALSE)</f>
        <v>#N/A</v>
      </c>
    </row>
    <row r="3217" spans="1:3" x14ac:dyDescent="0.35">
      <c r="A3217" s="21">
        <v>49</v>
      </c>
      <c r="B3217" t="str">
        <f>VLOOKUP(A3217,Products!$A$1:$F$322,2,FALSE)</f>
        <v>Trek Domane SL 6 - 2017</v>
      </c>
      <c r="C3217" s="21" t="e">
        <f>VLOOKUP(A3217,Products!A$322:$D3217,4,FALSE)</f>
        <v>#N/A</v>
      </c>
    </row>
    <row r="3218" spans="1:3" x14ac:dyDescent="0.35">
      <c r="A3218" s="21">
        <v>11</v>
      </c>
      <c r="B3218" t="str">
        <f>VLOOKUP(A3218,Products!$A$1:$F$322,2,FALSE)</f>
        <v>Surly Straggler 650b - 2016</v>
      </c>
      <c r="C3218" s="21" t="e">
        <f>VLOOKUP(A3218,Products!A$322:$D3218,4,FALSE)</f>
        <v>#N/A</v>
      </c>
    </row>
    <row r="3219" spans="1:3" x14ac:dyDescent="0.35">
      <c r="A3219" s="21">
        <v>37</v>
      </c>
      <c r="B3219" t="str">
        <f>VLOOKUP(A3219,Products!$A$1:$F$322,2,FALSE)</f>
        <v>Haro Flightline One ST - 2017</v>
      </c>
      <c r="C3219" s="21" t="e">
        <f>VLOOKUP(A3219,Products!A$322:$D3219,4,FALSE)</f>
        <v>#N/A</v>
      </c>
    </row>
    <row r="3220" spans="1:3" x14ac:dyDescent="0.35">
      <c r="A3220" s="21">
        <v>91</v>
      </c>
      <c r="B3220" t="str">
        <f>VLOOKUP(A3220,Products!$A$1:$F$322,2,FALSE)</f>
        <v>Trek Precaliber 24 (21-Speed) - Girls - 2017</v>
      </c>
      <c r="C3220" s="21" t="e">
        <f>VLOOKUP(A3220,Products!A$322:$D3220,4,FALSE)</f>
        <v>#N/A</v>
      </c>
    </row>
    <row r="3221" spans="1:3" x14ac:dyDescent="0.35">
      <c r="A3221" s="21">
        <v>51</v>
      </c>
      <c r="B3221" t="str">
        <f>VLOOKUP(A3221,Products!$A$1:$F$322,2,FALSE)</f>
        <v>Trek Silque SLR 8 Women's - 2017</v>
      </c>
      <c r="C3221" s="21" t="e">
        <f>VLOOKUP(A3221,Products!A$322:$D3221,4,FALSE)</f>
        <v>#N/A</v>
      </c>
    </row>
    <row r="3222" spans="1:3" x14ac:dyDescent="0.35">
      <c r="A3222" s="21">
        <v>55</v>
      </c>
      <c r="B3222" t="str">
        <f>VLOOKUP(A3222,Products!$A$1:$F$322,2,FALSE)</f>
        <v>Trek Domane S 6 - 2017</v>
      </c>
      <c r="C3222" s="21" t="e">
        <f>VLOOKUP(A3222,Products!A$322:$D3222,4,FALSE)</f>
        <v>#N/A</v>
      </c>
    </row>
    <row r="3223" spans="1:3" x14ac:dyDescent="0.35">
      <c r="A3223" s="21">
        <v>50</v>
      </c>
      <c r="B3223" t="str">
        <f>VLOOKUP(A3223,Products!$A$1:$F$322,2,FALSE)</f>
        <v>Trek Silque SLR 7 Women's - 2017</v>
      </c>
      <c r="C3223" s="21" t="e">
        <f>VLOOKUP(A3223,Products!A$322:$D3223,4,FALSE)</f>
        <v>#N/A</v>
      </c>
    </row>
    <row r="3224" spans="1:3" x14ac:dyDescent="0.35">
      <c r="A3224" s="21">
        <v>29</v>
      </c>
      <c r="B3224" t="str">
        <f>VLOOKUP(A3224,Products!$A$1:$F$322,2,FALSE)</f>
        <v>Trek X-Caliber 8 - 2017</v>
      </c>
      <c r="C3224" s="21" t="e">
        <f>VLOOKUP(A3224,Products!A$322:$D3224,4,FALSE)</f>
        <v>#N/A</v>
      </c>
    </row>
    <row r="3225" spans="1:3" x14ac:dyDescent="0.35">
      <c r="A3225" s="21">
        <v>47</v>
      </c>
      <c r="B3225" t="str">
        <f>VLOOKUP(A3225,Products!$A$1:$F$322,2,FALSE)</f>
        <v>Trek Remedy 9.8 - 2017</v>
      </c>
      <c r="C3225" s="21" t="e">
        <f>VLOOKUP(A3225,Products!A$322:$D3225,4,FALSE)</f>
        <v>#N/A</v>
      </c>
    </row>
    <row r="3226" spans="1:3" x14ac:dyDescent="0.35">
      <c r="A3226" s="21">
        <v>93</v>
      </c>
      <c r="B3226" t="str">
        <f>VLOOKUP(A3226,Products!$A$1:$F$322,2,FALSE)</f>
        <v>Haro Shredder 20 Girls - 2017</v>
      </c>
      <c r="C3226" s="21" t="e">
        <f>VLOOKUP(A3226,Products!A$322:$D3226,4,FALSE)</f>
        <v>#N/A</v>
      </c>
    </row>
    <row r="3227" spans="1:3" x14ac:dyDescent="0.35">
      <c r="A3227" s="21">
        <v>55</v>
      </c>
      <c r="B3227" t="str">
        <f>VLOOKUP(A3227,Products!$A$1:$F$322,2,FALSE)</f>
        <v>Trek Domane S 6 - 2017</v>
      </c>
      <c r="C3227" s="21" t="e">
        <f>VLOOKUP(A3227,Products!A$322:$D3227,4,FALSE)</f>
        <v>#N/A</v>
      </c>
    </row>
    <row r="3228" spans="1:3" x14ac:dyDescent="0.35">
      <c r="A3228" s="21">
        <v>104</v>
      </c>
      <c r="B3228" t="str">
        <f>VLOOKUP(A3228,Products!$A$1:$F$322,2,FALSE)</f>
        <v>Sun Bicycles Streamway - 2017</v>
      </c>
      <c r="C3228" s="21" t="e">
        <f>VLOOKUP(A3228,Products!A$322:$D3228,4,FALSE)</f>
        <v>#N/A</v>
      </c>
    </row>
    <row r="3229" spans="1:3" x14ac:dyDescent="0.35">
      <c r="A3229" s="21">
        <v>92</v>
      </c>
      <c r="B3229" t="str">
        <f>VLOOKUP(A3229,Products!$A$1:$F$322,2,FALSE)</f>
        <v>Haro Shredder 20 - 2017</v>
      </c>
      <c r="C3229" s="21" t="e">
        <f>VLOOKUP(A3229,Products!A$322:$D3229,4,FALSE)</f>
        <v>#N/A</v>
      </c>
    </row>
    <row r="3230" spans="1:3" x14ac:dyDescent="0.35">
      <c r="A3230" s="21">
        <v>31</v>
      </c>
      <c r="B3230" t="str">
        <f>VLOOKUP(A3230,Products!$A$1:$F$322,2,FALSE)</f>
        <v>Surly Wednesday - 2017</v>
      </c>
      <c r="C3230" s="21" t="e">
        <f>VLOOKUP(A3230,Products!A$322:$D3230,4,FALSE)</f>
        <v>#N/A</v>
      </c>
    </row>
    <row r="3231" spans="1:3" x14ac:dyDescent="0.35">
      <c r="A3231" s="21">
        <v>30</v>
      </c>
      <c r="B3231" t="str">
        <f>VLOOKUP(A3231,Products!$A$1:$F$322,2,FALSE)</f>
        <v>Surly Ice Cream Truck Frameset - 2017</v>
      </c>
      <c r="C3231" s="21" t="e">
        <f>VLOOKUP(A3231,Products!A$322:$D3231,4,FALSE)</f>
        <v>#N/A</v>
      </c>
    </row>
    <row r="3232" spans="1:3" x14ac:dyDescent="0.35">
      <c r="A3232" s="21">
        <v>93</v>
      </c>
      <c r="B3232" t="str">
        <f>VLOOKUP(A3232,Products!$A$1:$F$322,2,FALSE)</f>
        <v>Haro Shredder 20 Girls - 2017</v>
      </c>
      <c r="C3232" s="21" t="e">
        <f>VLOOKUP(A3232,Products!A$322:$D3232,4,FALSE)</f>
        <v>#N/A</v>
      </c>
    </row>
    <row r="3233" spans="1:3" x14ac:dyDescent="0.35">
      <c r="A3233" s="21">
        <v>94</v>
      </c>
      <c r="B3233" t="str">
        <f>VLOOKUP(A3233,Products!$A$1:$F$322,2,FALSE)</f>
        <v>Haro Shredder Pro 20 - 2017</v>
      </c>
      <c r="C3233" s="21" t="e">
        <f>VLOOKUP(A3233,Products!A$322:$D3233,4,FALSE)</f>
        <v>#N/A</v>
      </c>
    </row>
    <row r="3234" spans="1:3" x14ac:dyDescent="0.35">
      <c r="A3234" s="21">
        <v>11</v>
      </c>
      <c r="B3234" t="str">
        <f>VLOOKUP(A3234,Products!$A$1:$F$322,2,FALSE)</f>
        <v>Surly Straggler 650b - 2016</v>
      </c>
      <c r="C3234" s="21" t="e">
        <f>VLOOKUP(A3234,Products!A$322:$D3234,4,FALSE)</f>
        <v>#N/A</v>
      </c>
    </row>
    <row r="3235" spans="1:3" x14ac:dyDescent="0.35">
      <c r="A3235" s="21">
        <v>110</v>
      </c>
      <c r="B3235" t="str">
        <f>VLOOKUP(A3235,Products!$A$1:$F$322,2,FALSE)</f>
        <v>Sun Bicycles Drifter 7 - 2017</v>
      </c>
      <c r="C3235" s="21" t="e">
        <f>VLOOKUP(A3235,Products!A$322:$D3235,4,FALSE)</f>
        <v>#N/A</v>
      </c>
    </row>
    <row r="3236" spans="1:3" x14ac:dyDescent="0.35">
      <c r="A3236" s="21">
        <v>9</v>
      </c>
      <c r="B3236" t="str">
        <f>VLOOKUP(A3236,Products!$A$1:$F$322,2,FALSE)</f>
        <v>Trek Conduit+ - 2016</v>
      </c>
      <c r="C3236" s="21" t="e">
        <f>VLOOKUP(A3236,Products!A$322:$D3236,4,FALSE)</f>
        <v>#N/A</v>
      </c>
    </row>
    <row r="3237" spans="1:3" x14ac:dyDescent="0.35">
      <c r="A3237" s="21">
        <v>53</v>
      </c>
      <c r="B3237" t="str">
        <f>VLOOKUP(A3237,Products!$A$1:$F$322,2,FALSE)</f>
        <v>Surly Ogre Frameset - 2017</v>
      </c>
      <c r="C3237" s="21" t="e">
        <f>VLOOKUP(A3237,Products!A$322:$D3237,4,FALSE)</f>
        <v>#N/A</v>
      </c>
    </row>
    <row r="3238" spans="1:3" x14ac:dyDescent="0.35">
      <c r="A3238" s="21">
        <v>49</v>
      </c>
      <c r="B3238" t="str">
        <f>VLOOKUP(A3238,Products!$A$1:$F$322,2,FALSE)</f>
        <v>Trek Domane SL 6 - 2017</v>
      </c>
      <c r="C3238" s="21" t="e">
        <f>VLOOKUP(A3238,Products!A$322:$D3238,4,FALSE)</f>
        <v>#N/A</v>
      </c>
    </row>
    <row r="3239" spans="1:3" x14ac:dyDescent="0.35">
      <c r="A3239" s="21">
        <v>41</v>
      </c>
      <c r="B3239" t="str">
        <f>VLOOKUP(A3239,Products!$A$1:$F$322,2,FALSE)</f>
        <v>Haro Shift R3 - 2017</v>
      </c>
      <c r="C3239" s="21" t="e">
        <f>VLOOKUP(A3239,Products!A$322:$D3239,4,FALSE)</f>
        <v>#N/A</v>
      </c>
    </row>
    <row r="3240" spans="1:3" x14ac:dyDescent="0.35">
      <c r="A3240" s="21">
        <v>72</v>
      </c>
      <c r="B3240" t="str">
        <f>VLOOKUP(A3240,Products!$A$1:$F$322,2,FALSE)</f>
        <v>Sun Bicycles Biscayne Tandem 7 - 2017</v>
      </c>
      <c r="C3240" s="21" t="e">
        <f>VLOOKUP(A3240,Products!A$322:$D3240,4,FALSE)</f>
        <v>#N/A</v>
      </c>
    </row>
    <row r="3241" spans="1:3" x14ac:dyDescent="0.35">
      <c r="A3241" s="21">
        <v>65</v>
      </c>
      <c r="B3241" t="str">
        <f>VLOOKUP(A3241,Products!$A$1:$F$322,2,FALSE)</f>
        <v>Sun Bicycles Lil Bolt Type-R - 2017</v>
      </c>
      <c r="C3241" s="21" t="e">
        <f>VLOOKUP(A3241,Products!A$322:$D3241,4,FALSE)</f>
        <v>#N/A</v>
      </c>
    </row>
    <row r="3242" spans="1:3" x14ac:dyDescent="0.35">
      <c r="A3242" s="21">
        <v>61</v>
      </c>
      <c r="B3242" t="str">
        <f>VLOOKUP(A3242,Products!$A$1:$F$322,2,FALSE)</f>
        <v>Trek Powerfly 8 FS Plus - 2017</v>
      </c>
      <c r="C3242" s="21" t="e">
        <f>VLOOKUP(A3242,Products!A$322:$D3242,4,FALSE)</f>
        <v>#N/A</v>
      </c>
    </row>
    <row r="3243" spans="1:3" x14ac:dyDescent="0.35">
      <c r="A3243" s="21">
        <v>7</v>
      </c>
      <c r="B3243" t="str">
        <f>VLOOKUP(A3243,Products!$A$1:$F$322,2,FALSE)</f>
        <v>Trek Slash 8 27.5 - 2016</v>
      </c>
      <c r="C3243" s="21" t="e">
        <f>VLOOKUP(A3243,Products!A$322:$D3243,4,FALSE)</f>
        <v>#N/A</v>
      </c>
    </row>
    <row r="3244" spans="1:3" x14ac:dyDescent="0.35">
      <c r="A3244" s="21">
        <v>6</v>
      </c>
      <c r="B3244" t="str">
        <f>VLOOKUP(A3244,Products!$A$1:$F$322,2,FALSE)</f>
        <v>Surly Ice Cream Truck Frameset - 2016</v>
      </c>
      <c r="C3244" s="21" t="e">
        <f>VLOOKUP(A3244,Products!A$322:$D3244,4,FALSE)</f>
        <v>#N/A</v>
      </c>
    </row>
    <row r="3245" spans="1:3" x14ac:dyDescent="0.35">
      <c r="A3245" s="21">
        <v>109</v>
      </c>
      <c r="B3245" t="str">
        <f>VLOOKUP(A3245,Products!$A$1:$F$322,2,FALSE)</f>
        <v>Sun Bicycles Cruz 7 - Women's - 2017</v>
      </c>
      <c r="C3245" s="21" t="e">
        <f>VLOOKUP(A3245,Products!A$322:$D3245,4,FALSE)</f>
        <v>#N/A</v>
      </c>
    </row>
    <row r="3246" spans="1:3" x14ac:dyDescent="0.35">
      <c r="A3246" s="21">
        <v>45</v>
      </c>
      <c r="B3246" t="str">
        <f>VLOOKUP(A3246,Products!$A$1:$F$322,2,FALSE)</f>
        <v>Haro SR 1.2 - 2017</v>
      </c>
      <c r="C3246" s="21" t="e">
        <f>VLOOKUP(A3246,Products!A$322:$D3246,4,FALSE)</f>
        <v>#N/A</v>
      </c>
    </row>
    <row r="3247" spans="1:3" x14ac:dyDescent="0.35">
      <c r="A3247" s="21">
        <v>2</v>
      </c>
      <c r="B3247" t="str">
        <f>VLOOKUP(A3247,Products!$A$1:$F$322,2,FALSE)</f>
        <v>Ritchey Timberwolf Frameset - 2016</v>
      </c>
      <c r="C3247" s="21" t="e">
        <f>VLOOKUP(A3247,Products!A$322:$D3247,4,FALSE)</f>
        <v>#N/A</v>
      </c>
    </row>
    <row r="3248" spans="1:3" x14ac:dyDescent="0.35">
      <c r="A3248" s="21">
        <v>16</v>
      </c>
      <c r="B3248" t="str">
        <f>VLOOKUP(A3248,Products!$A$1:$F$322,2,FALSE)</f>
        <v>Electra Townie Original 7D EQ - 2016</v>
      </c>
      <c r="C3248" s="21" t="e">
        <f>VLOOKUP(A3248,Products!A$322:$D3248,4,FALSE)</f>
        <v>#N/A</v>
      </c>
    </row>
    <row r="3249" spans="1:3" x14ac:dyDescent="0.35">
      <c r="A3249" s="21">
        <v>21</v>
      </c>
      <c r="B3249" t="str">
        <f>VLOOKUP(A3249,Products!$A$1:$F$322,2,FALSE)</f>
        <v>Electra Cruiser 1 (24-Inch) - 2016</v>
      </c>
      <c r="C3249" s="21" t="e">
        <f>VLOOKUP(A3249,Products!A$322:$D3249,4,FALSE)</f>
        <v>#N/A</v>
      </c>
    </row>
    <row r="3250" spans="1:3" x14ac:dyDescent="0.35">
      <c r="A3250" s="21">
        <v>81</v>
      </c>
      <c r="B3250" t="str">
        <f>VLOOKUP(A3250,Products!$A$1:$F$322,2,FALSE)</f>
        <v>Electra Amsterdam Fashion 7i Ladies' - 2017</v>
      </c>
      <c r="C3250" s="21" t="e">
        <f>VLOOKUP(A3250,Products!A$322:$D3250,4,FALSE)</f>
        <v>#N/A</v>
      </c>
    </row>
    <row r="3251" spans="1:3" x14ac:dyDescent="0.35">
      <c r="A3251" s="21">
        <v>24</v>
      </c>
      <c r="B3251" t="str">
        <f>VLOOKUP(A3251,Products!$A$1:$F$322,2,FALSE)</f>
        <v>Electra Townie Original 21D - 2016</v>
      </c>
      <c r="C3251" s="21" t="e">
        <f>VLOOKUP(A3251,Products!A$322:$D3251,4,FALSE)</f>
        <v>#N/A</v>
      </c>
    </row>
    <row r="3252" spans="1:3" x14ac:dyDescent="0.35">
      <c r="A3252" s="21">
        <v>32</v>
      </c>
      <c r="B3252" t="str">
        <f>VLOOKUP(A3252,Products!$A$1:$F$322,2,FALSE)</f>
        <v>Trek Farley Alloy Frameset - 2017</v>
      </c>
      <c r="C3252" s="21" t="e">
        <f>VLOOKUP(A3252,Products!A$322:$D3252,4,FALSE)</f>
        <v>#N/A</v>
      </c>
    </row>
    <row r="3253" spans="1:3" x14ac:dyDescent="0.35">
      <c r="A3253" s="21">
        <v>33</v>
      </c>
      <c r="B3253" t="str">
        <f>VLOOKUP(A3253,Products!$A$1:$F$322,2,FALSE)</f>
        <v>Surly Wednesday Frameset - 2017</v>
      </c>
      <c r="C3253" s="21" t="e">
        <f>VLOOKUP(A3253,Products!A$322:$D3253,4,FALSE)</f>
        <v>#N/A</v>
      </c>
    </row>
    <row r="3254" spans="1:3" x14ac:dyDescent="0.35">
      <c r="A3254" s="21">
        <v>58</v>
      </c>
      <c r="B3254" t="str">
        <f>VLOOKUP(A3254,Products!$A$1:$F$322,2,FALSE)</f>
        <v>Trek Madone 9.2 - 2017</v>
      </c>
      <c r="C3254" s="21" t="e">
        <f>VLOOKUP(A3254,Products!A$322:$D3254,4,FALSE)</f>
        <v>#N/A</v>
      </c>
    </row>
    <row r="3255" spans="1:3" x14ac:dyDescent="0.35">
      <c r="A3255" s="21">
        <v>89</v>
      </c>
      <c r="B3255" t="str">
        <f>VLOOKUP(A3255,Products!$A$1:$F$322,2,FALSE)</f>
        <v>Trek Precaliber 16 Boys - 2017</v>
      </c>
      <c r="C3255" s="21" t="e">
        <f>VLOOKUP(A3255,Products!A$322:$D3255,4,FALSE)</f>
        <v>#N/A</v>
      </c>
    </row>
    <row r="3256" spans="1:3" x14ac:dyDescent="0.35">
      <c r="A3256" s="21">
        <v>23</v>
      </c>
      <c r="B3256" t="str">
        <f>VLOOKUP(A3256,Products!$A$1:$F$322,2,FALSE)</f>
        <v>Electra Girl's Hawaii 1 (20-inch) - 2015/2016</v>
      </c>
      <c r="C3256" s="21" t="e">
        <f>VLOOKUP(A3256,Products!A$322:$D3256,4,FALSE)</f>
        <v>#N/A</v>
      </c>
    </row>
    <row r="3257" spans="1:3" x14ac:dyDescent="0.35">
      <c r="A3257" s="21">
        <v>96</v>
      </c>
      <c r="B3257" t="str">
        <f>VLOOKUP(A3257,Products!$A$1:$F$322,2,FALSE)</f>
        <v>Electra Moto 3i (20-inch) - Boy's - 2017</v>
      </c>
      <c r="C3257" s="21" t="e">
        <f>VLOOKUP(A3257,Products!A$322:$D3257,4,FALSE)</f>
        <v>#N/A</v>
      </c>
    </row>
    <row r="3258" spans="1:3" x14ac:dyDescent="0.35">
      <c r="A3258" s="21">
        <v>37</v>
      </c>
      <c r="B3258" t="str">
        <f>VLOOKUP(A3258,Products!$A$1:$F$322,2,FALSE)</f>
        <v>Haro Flightline One ST - 2017</v>
      </c>
      <c r="C3258" s="21" t="e">
        <f>VLOOKUP(A3258,Products!A$322:$D3258,4,FALSE)</f>
        <v>#N/A</v>
      </c>
    </row>
    <row r="3259" spans="1:3" x14ac:dyDescent="0.35">
      <c r="A3259" s="21">
        <v>44</v>
      </c>
      <c r="B3259" t="str">
        <f>VLOOKUP(A3259,Products!$A$1:$F$322,2,FALSE)</f>
        <v>Haro SR 1.1 - 2017</v>
      </c>
      <c r="C3259" s="21" t="e">
        <f>VLOOKUP(A3259,Products!A$322:$D3259,4,FALSE)</f>
        <v>#N/A</v>
      </c>
    </row>
    <row r="3260" spans="1:3" x14ac:dyDescent="0.35">
      <c r="A3260" s="21">
        <v>10</v>
      </c>
      <c r="B3260" t="str">
        <f>VLOOKUP(A3260,Products!$A$1:$F$322,2,FALSE)</f>
        <v>Surly Straggler - 2016</v>
      </c>
      <c r="C3260" s="21" t="e">
        <f>VLOOKUP(A3260,Products!A$322:$D3260,4,FALSE)</f>
        <v>#N/A</v>
      </c>
    </row>
    <row r="3261" spans="1:3" x14ac:dyDescent="0.35">
      <c r="A3261" s="21">
        <v>65</v>
      </c>
      <c r="B3261" t="str">
        <f>VLOOKUP(A3261,Products!$A$1:$F$322,2,FALSE)</f>
        <v>Sun Bicycles Lil Bolt Type-R - 2017</v>
      </c>
      <c r="C3261" s="21" t="e">
        <f>VLOOKUP(A3261,Products!A$322:$D3261,4,FALSE)</f>
        <v>#N/A</v>
      </c>
    </row>
    <row r="3262" spans="1:3" x14ac:dyDescent="0.35">
      <c r="A3262" s="21">
        <v>71</v>
      </c>
      <c r="B3262" t="str">
        <f>VLOOKUP(A3262,Products!$A$1:$F$322,2,FALSE)</f>
        <v>Sun Bicycles Atlas X-Type - 2017</v>
      </c>
      <c r="C3262" s="21" t="e">
        <f>VLOOKUP(A3262,Products!A$322:$D3262,4,FALSE)</f>
        <v>#N/A</v>
      </c>
    </row>
    <row r="3263" spans="1:3" x14ac:dyDescent="0.35">
      <c r="A3263" s="21">
        <v>56</v>
      </c>
      <c r="B3263" t="str">
        <f>VLOOKUP(A3263,Products!$A$1:$F$322,2,FALSE)</f>
        <v>Trek Domane SLR 6 Disc - 2017</v>
      </c>
      <c r="C3263" s="21" t="e">
        <f>VLOOKUP(A3263,Products!A$322:$D3263,4,FALSE)</f>
        <v>#N/A</v>
      </c>
    </row>
    <row r="3264" spans="1:3" x14ac:dyDescent="0.35">
      <c r="A3264" s="21">
        <v>61</v>
      </c>
      <c r="B3264" t="str">
        <f>VLOOKUP(A3264,Products!$A$1:$F$322,2,FALSE)</f>
        <v>Trek Powerfly 8 FS Plus - 2017</v>
      </c>
      <c r="C3264" s="21" t="e">
        <f>VLOOKUP(A3264,Products!A$322:$D3264,4,FALSE)</f>
        <v>#N/A</v>
      </c>
    </row>
    <row r="3265" spans="1:3" x14ac:dyDescent="0.35">
      <c r="A3265" s="21">
        <v>54</v>
      </c>
      <c r="B3265" t="str">
        <f>VLOOKUP(A3265,Products!$A$1:$F$322,2,FALSE)</f>
        <v>Trek Domane SL Disc Frameset - 2017</v>
      </c>
      <c r="C3265" s="21" t="e">
        <f>VLOOKUP(A3265,Products!A$322:$D3265,4,FALSE)</f>
        <v>#N/A</v>
      </c>
    </row>
    <row r="3266" spans="1:3" x14ac:dyDescent="0.35">
      <c r="A3266" s="21">
        <v>60</v>
      </c>
      <c r="B3266" t="str">
        <f>VLOOKUP(A3266,Products!$A$1:$F$322,2,FALSE)</f>
        <v>Sun Bicycles ElectroLite - 2017</v>
      </c>
      <c r="C3266" s="21" t="e">
        <f>VLOOKUP(A3266,Products!A$322:$D3266,4,FALSE)</f>
        <v>#N/A</v>
      </c>
    </row>
    <row r="3267" spans="1:3" x14ac:dyDescent="0.35">
      <c r="A3267" s="21">
        <v>103</v>
      </c>
      <c r="B3267" t="str">
        <f>VLOOKUP(A3267,Products!$A$1:$F$322,2,FALSE)</f>
        <v>Sun Bicycles Streamway 3 - 2017</v>
      </c>
      <c r="C3267" s="21" t="e">
        <f>VLOOKUP(A3267,Products!A$322:$D3267,4,FALSE)</f>
        <v>#N/A</v>
      </c>
    </row>
    <row r="3268" spans="1:3" x14ac:dyDescent="0.35">
      <c r="A3268" s="21">
        <v>43</v>
      </c>
      <c r="B3268" t="str">
        <f>VLOOKUP(A3268,Products!$A$1:$F$322,2,FALSE)</f>
        <v>Trek Fuel EX 9.8 27.5 Plus - 2017</v>
      </c>
      <c r="C3268" s="21" t="e">
        <f>VLOOKUP(A3268,Products!A$322:$D3268,4,FALSE)</f>
        <v>#N/A</v>
      </c>
    </row>
    <row r="3269" spans="1:3" x14ac:dyDescent="0.35">
      <c r="A3269" s="21">
        <v>10</v>
      </c>
      <c r="B3269" t="str">
        <f>VLOOKUP(A3269,Products!$A$1:$F$322,2,FALSE)</f>
        <v>Surly Straggler - 2016</v>
      </c>
      <c r="C3269" s="21" t="e">
        <f>VLOOKUP(A3269,Products!A$322:$D3269,4,FALSE)</f>
        <v>#N/A</v>
      </c>
    </row>
    <row r="3270" spans="1:3" x14ac:dyDescent="0.35">
      <c r="A3270" s="21">
        <v>36</v>
      </c>
      <c r="B3270" t="str">
        <f>VLOOKUP(A3270,Products!$A$1:$F$322,2,FALSE)</f>
        <v>Surly Troll Frameset - 2017</v>
      </c>
      <c r="C3270" s="21" t="e">
        <f>VLOOKUP(A3270,Products!A$322:$D3270,4,FALSE)</f>
        <v>#N/A</v>
      </c>
    </row>
    <row r="3271" spans="1:3" x14ac:dyDescent="0.35">
      <c r="A3271" s="21">
        <v>16</v>
      </c>
      <c r="B3271" t="str">
        <f>VLOOKUP(A3271,Products!$A$1:$F$322,2,FALSE)</f>
        <v>Electra Townie Original 7D EQ - 2016</v>
      </c>
      <c r="C3271" s="21" t="e">
        <f>VLOOKUP(A3271,Products!A$322:$D3271,4,FALSE)</f>
        <v>#N/A</v>
      </c>
    </row>
    <row r="3272" spans="1:3" x14ac:dyDescent="0.35">
      <c r="A3272" s="21">
        <v>4</v>
      </c>
      <c r="B3272" t="str">
        <f>VLOOKUP(A3272,Products!$A$1:$F$322,2,FALSE)</f>
        <v>Trek Fuel EX 8 29 - 2016</v>
      </c>
      <c r="C3272" s="21" t="e">
        <f>VLOOKUP(A3272,Products!A$322:$D3272,4,FALSE)</f>
        <v>#N/A</v>
      </c>
    </row>
    <row r="3273" spans="1:3" x14ac:dyDescent="0.35">
      <c r="A3273" s="21">
        <v>17</v>
      </c>
      <c r="B3273" t="str">
        <f>VLOOKUP(A3273,Products!$A$1:$F$322,2,FALSE)</f>
        <v>Pure Cycles Vine 8-Speed - 2016</v>
      </c>
      <c r="C3273" s="21" t="e">
        <f>VLOOKUP(A3273,Products!A$322:$D3273,4,FALSE)</f>
        <v>#N/A</v>
      </c>
    </row>
    <row r="3274" spans="1:3" x14ac:dyDescent="0.35">
      <c r="A3274" s="21">
        <v>90</v>
      </c>
      <c r="B3274" t="str">
        <f>VLOOKUP(A3274,Products!$A$1:$F$322,2,FALSE)</f>
        <v>Trek Precaliber 16 Girls - 2017</v>
      </c>
      <c r="C3274" s="21" t="e">
        <f>VLOOKUP(A3274,Products!A$322:$D3274,4,FALSE)</f>
        <v>#N/A</v>
      </c>
    </row>
    <row r="3275" spans="1:3" x14ac:dyDescent="0.35">
      <c r="A3275" s="21">
        <v>62</v>
      </c>
      <c r="B3275" t="str">
        <f>VLOOKUP(A3275,Products!$A$1:$F$322,2,FALSE)</f>
        <v>Trek Boone 7 - 2017</v>
      </c>
      <c r="C3275" s="21" t="e">
        <f>VLOOKUP(A3275,Products!A$322:$D3275,4,FALSE)</f>
        <v>#N/A</v>
      </c>
    </row>
    <row r="3276" spans="1:3" x14ac:dyDescent="0.35">
      <c r="A3276" s="21">
        <v>97</v>
      </c>
      <c r="B3276" t="str">
        <f>VLOOKUP(A3276,Products!$A$1:$F$322,2,FALSE)</f>
        <v>Electra Savannah 3i (20-inch) - Girl's - 2017</v>
      </c>
      <c r="C3276" s="21" t="e">
        <f>VLOOKUP(A3276,Products!A$322:$D3276,4,FALSE)</f>
        <v>#N/A</v>
      </c>
    </row>
    <row r="3277" spans="1:3" x14ac:dyDescent="0.35">
      <c r="A3277" s="21">
        <v>36</v>
      </c>
      <c r="B3277" t="str">
        <f>VLOOKUP(A3277,Products!$A$1:$F$322,2,FALSE)</f>
        <v>Surly Troll Frameset - 2017</v>
      </c>
      <c r="C3277" s="21" t="e">
        <f>VLOOKUP(A3277,Products!A$322:$D3277,4,FALSE)</f>
        <v>#N/A</v>
      </c>
    </row>
    <row r="3278" spans="1:3" x14ac:dyDescent="0.35">
      <c r="A3278" s="21">
        <v>101</v>
      </c>
      <c r="B3278" t="str">
        <f>VLOOKUP(A3278,Products!$A$1:$F$322,2,FALSE)</f>
        <v>Electra Townie 7D (20-inch) - Boys' - 2017</v>
      </c>
      <c r="C3278" s="21" t="e">
        <f>VLOOKUP(A3278,Products!A$322:$D3278,4,FALSE)</f>
        <v>#N/A</v>
      </c>
    </row>
    <row r="3279" spans="1:3" x14ac:dyDescent="0.35">
      <c r="A3279" s="21">
        <v>51</v>
      </c>
      <c r="B3279" t="str">
        <f>VLOOKUP(A3279,Products!$A$1:$F$322,2,FALSE)</f>
        <v>Trek Silque SLR 8 Women's - 2017</v>
      </c>
      <c r="C3279" s="21" t="e">
        <f>VLOOKUP(A3279,Products!A$322:$D3279,4,FALSE)</f>
        <v>#N/A</v>
      </c>
    </row>
    <row r="3280" spans="1:3" x14ac:dyDescent="0.35">
      <c r="A3280" s="21">
        <v>105</v>
      </c>
      <c r="B3280" t="str">
        <f>VLOOKUP(A3280,Products!$A$1:$F$322,2,FALSE)</f>
        <v>Sun Bicycles Streamway 7 - 2017</v>
      </c>
      <c r="C3280" s="21" t="e">
        <f>VLOOKUP(A3280,Products!A$322:$D3280,4,FALSE)</f>
        <v>#N/A</v>
      </c>
    </row>
    <row r="3281" spans="1:3" x14ac:dyDescent="0.35">
      <c r="A3281" s="21">
        <v>28</v>
      </c>
      <c r="B3281" t="str">
        <f>VLOOKUP(A3281,Products!$A$1:$F$322,2,FALSE)</f>
        <v>Surly Karate Monkey 27.5+ Frameset - 2017</v>
      </c>
      <c r="C3281" s="21" t="e">
        <f>VLOOKUP(A3281,Products!A$322:$D3281,4,FALSE)</f>
        <v>#N/A</v>
      </c>
    </row>
    <row r="3282" spans="1:3" x14ac:dyDescent="0.35">
      <c r="A3282" s="21">
        <v>58</v>
      </c>
      <c r="B3282" t="str">
        <f>VLOOKUP(A3282,Products!$A$1:$F$322,2,FALSE)</f>
        <v>Trek Madone 9.2 - 2017</v>
      </c>
      <c r="C3282" s="21" t="e">
        <f>VLOOKUP(A3282,Products!A$322:$D3282,4,FALSE)</f>
        <v>#N/A</v>
      </c>
    </row>
    <row r="3283" spans="1:3" x14ac:dyDescent="0.35">
      <c r="A3283" s="21">
        <v>84</v>
      </c>
      <c r="B3283" t="str">
        <f>VLOOKUP(A3283,Products!$A$1:$F$322,2,FALSE)</f>
        <v>Sun Bicycles Lil Kitt'n - 2017</v>
      </c>
      <c r="C3283" s="21" t="e">
        <f>VLOOKUP(A3283,Products!A$322:$D3283,4,FALSE)</f>
        <v>#N/A</v>
      </c>
    </row>
    <row r="3284" spans="1:3" x14ac:dyDescent="0.35">
      <c r="A3284" s="21">
        <v>69</v>
      </c>
      <c r="B3284" t="str">
        <f>VLOOKUP(A3284,Products!$A$1:$F$322,2,FALSE)</f>
        <v>Sun Bicycles Cruz 7 - 2017</v>
      </c>
      <c r="C3284" s="21" t="e">
        <f>VLOOKUP(A3284,Products!A$322:$D3284,4,FALSE)</f>
        <v>#N/A</v>
      </c>
    </row>
    <row r="3285" spans="1:3" x14ac:dyDescent="0.35">
      <c r="A3285" s="21">
        <v>13</v>
      </c>
      <c r="B3285" t="str">
        <f>VLOOKUP(A3285,Products!$A$1:$F$322,2,FALSE)</f>
        <v>Electra Cruiser 1 (24-Inch) - 2016</v>
      </c>
      <c r="C3285" s="21" t="e">
        <f>VLOOKUP(A3285,Products!A$322:$D3285,4,FALSE)</f>
        <v>#N/A</v>
      </c>
    </row>
    <row r="3286" spans="1:3" x14ac:dyDescent="0.35">
      <c r="A3286" s="21">
        <v>105</v>
      </c>
      <c r="B3286" t="str">
        <f>VLOOKUP(A3286,Products!$A$1:$F$322,2,FALSE)</f>
        <v>Sun Bicycles Streamway 7 - 2017</v>
      </c>
      <c r="C3286" s="21" t="e">
        <f>VLOOKUP(A3286,Products!A$322:$D3286,4,FALSE)</f>
        <v>#N/A</v>
      </c>
    </row>
    <row r="3287" spans="1:3" x14ac:dyDescent="0.35">
      <c r="A3287" s="21">
        <v>93</v>
      </c>
      <c r="B3287" t="str">
        <f>VLOOKUP(A3287,Products!$A$1:$F$322,2,FALSE)</f>
        <v>Haro Shredder 20 Girls - 2017</v>
      </c>
      <c r="C3287" s="21" t="e">
        <f>VLOOKUP(A3287,Products!A$322:$D3287,4,FALSE)</f>
        <v>#N/A</v>
      </c>
    </row>
    <row r="3288" spans="1:3" x14ac:dyDescent="0.35">
      <c r="A3288" s="21">
        <v>106</v>
      </c>
      <c r="B3288" t="str">
        <f>VLOOKUP(A3288,Products!$A$1:$F$322,2,FALSE)</f>
        <v>Sun Bicycles Cruz 3 - 2017</v>
      </c>
      <c r="C3288" s="21" t="e">
        <f>VLOOKUP(A3288,Products!A$322:$D3288,4,FALSE)</f>
        <v>#N/A</v>
      </c>
    </row>
    <row r="3289" spans="1:3" x14ac:dyDescent="0.35">
      <c r="A3289" s="21">
        <v>44</v>
      </c>
      <c r="B3289" t="str">
        <f>VLOOKUP(A3289,Products!$A$1:$F$322,2,FALSE)</f>
        <v>Haro SR 1.1 - 2017</v>
      </c>
      <c r="C3289" s="21" t="e">
        <f>VLOOKUP(A3289,Products!A$322:$D3289,4,FALSE)</f>
        <v>#N/A</v>
      </c>
    </row>
    <row r="3290" spans="1:3" x14ac:dyDescent="0.35">
      <c r="A3290" s="21">
        <v>69</v>
      </c>
      <c r="B3290" t="str">
        <f>VLOOKUP(A3290,Products!$A$1:$F$322,2,FALSE)</f>
        <v>Sun Bicycles Cruz 7 - 2017</v>
      </c>
      <c r="C3290" s="21" t="e">
        <f>VLOOKUP(A3290,Products!A$322:$D3290,4,FALSE)</f>
        <v>#N/A</v>
      </c>
    </row>
    <row r="3291" spans="1:3" x14ac:dyDescent="0.35">
      <c r="A3291" s="21">
        <v>25</v>
      </c>
      <c r="B3291" t="str">
        <f>VLOOKUP(A3291,Products!$A$1:$F$322,2,FALSE)</f>
        <v>Electra Townie Original 7D - 2015/2016</v>
      </c>
      <c r="C3291" s="21" t="e">
        <f>VLOOKUP(A3291,Products!A$322:$D3291,4,FALSE)</f>
        <v>#N/A</v>
      </c>
    </row>
    <row r="3292" spans="1:3" x14ac:dyDescent="0.35">
      <c r="A3292" s="21">
        <v>7</v>
      </c>
      <c r="B3292" t="str">
        <f>VLOOKUP(A3292,Products!$A$1:$F$322,2,FALSE)</f>
        <v>Trek Slash 8 27.5 - 2016</v>
      </c>
      <c r="C3292" s="21" t="e">
        <f>VLOOKUP(A3292,Products!A$322:$D3292,4,FALSE)</f>
        <v>#N/A</v>
      </c>
    </row>
    <row r="3293" spans="1:3" x14ac:dyDescent="0.35">
      <c r="A3293" s="21">
        <v>39</v>
      </c>
      <c r="B3293" t="str">
        <f>VLOOKUP(A3293,Products!$A$1:$F$322,2,FALSE)</f>
        <v>Trek Stache 5 - 2017</v>
      </c>
      <c r="C3293" s="21" t="e">
        <f>VLOOKUP(A3293,Products!A$322:$D3293,4,FALSE)</f>
        <v>#N/A</v>
      </c>
    </row>
    <row r="3294" spans="1:3" x14ac:dyDescent="0.35">
      <c r="A3294" s="21">
        <v>71</v>
      </c>
      <c r="B3294" t="str">
        <f>VLOOKUP(A3294,Products!$A$1:$F$322,2,FALSE)</f>
        <v>Sun Bicycles Atlas X-Type - 2017</v>
      </c>
      <c r="C3294" s="21" t="e">
        <f>VLOOKUP(A3294,Products!A$322:$D3294,4,FALSE)</f>
        <v>#N/A</v>
      </c>
    </row>
    <row r="3295" spans="1:3" x14ac:dyDescent="0.35">
      <c r="A3295" s="21">
        <v>38</v>
      </c>
      <c r="B3295" t="str">
        <f>VLOOKUP(A3295,Products!$A$1:$F$322,2,FALSE)</f>
        <v>Haro Flightline Two 26 Plus - 2017</v>
      </c>
      <c r="C3295" s="21" t="e">
        <f>VLOOKUP(A3295,Products!A$322:$D3295,4,FALSE)</f>
        <v>#N/A</v>
      </c>
    </row>
    <row r="3296" spans="1:3" x14ac:dyDescent="0.35">
      <c r="A3296" s="21">
        <v>40</v>
      </c>
      <c r="B3296" t="str">
        <f>VLOOKUP(A3296,Products!$A$1:$F$322,2,FALSE)</f>
        <v>Trek Fuel EX 9.8 29 - 2017</v>
      </c>
      <c r="C3296" s="21" t="e">
        <f>VLOOKUP(A3296,Products!A$322:$D3296,4,FALSE)</f>
        <v>#N/A</v>
      </c>
    </row>
    <row r="3297" spans="1:3" x14ac:dyDescent="0.35">
      <c r="A3297" s="21">
        <v>8</v>
      </c>
      <c r="B3297" t="str">
        <f>VLOOKUP(A3297,Products!$A$1:$F$322,2,FALSE)</f>
        <v>Trek Remedy 29 Carbon Frameset - 2016</v>
      </c>
      <c r="C3297" s="21" t="e">
        <f>VLOOKUP(A3297,Products!A$322:$D3297,4,FALSE)</f>
        <v>#N/A</v>
      </c>
    </row>
    <row r="3298" spans="1:3" x14ac:dyDescent="0.35">
      <c r="A3298" s="21">
        <v>20</v>
      </c>
      <c r="B3298" t="str">
        <f>VLOOKUP(A3298,Products!$A$1:$F$322,2,FALSE)</f>
        <v>Electra Townie Original 7D EQ - Women's - 2016</v>
      </c>
      <c r="C3298" s="21" t="e">
        <f>VLOOKUP(A3298,Products!A$322:$D3298,4,FALSE)</f>
        <v>#N/A</v>
      </c>
    </row>
    <row r="3299" spans="1:3" x14ac:dyDescent="0.35">
      <c r="A3299" s="21">
        <v>30</v>
      </c>
      <c r="B3299" t="str">
        <f>VLOOKUP(A3299,Products!$A$1:$F$322,2,FALSE)</f>
        <v>Surly Ice Cream Truck Frameset - 2017</v>
      </c>
      <c r="C3299" s="21" t="e">
        <f>VLOOKUP(A3299,Products!A$322:$D3299,4,FALSE)</f>
        <v>#N/A</v>
      </c>
    </row>
    <row r="3300" spans="1:3" x14ac:dyDescent="0.35">
      <c r="A3300" s="21">
        <v>109</v>
      </c>
      <c r="B3300" t="str">
        <f>VLOOKUP(A3300,Products!$A$1:$F$322,2,FALSE)</f>
        <v>Sun Bicycles Cruz 7 - Women's - 2017</v>
      </c>
      <c r="C3300" s="21" t="e">
        <f>VLOOKUP(A3300,Products!A$322:$D3300,4,FALSE)</f>
        <v>#N/A</v>
      </c>
    </row>
    <row r="3301" spans="1:3" x14ac:dyDescent="0.35">
      <c r="A3301" s="21">
        <v>108</v>
      </c>
      <c r="B3301" t="str">
        <f>VLOOKUP(A3301,Products!$A$1:$F$322,2,FALSE)</f>
        <v>Sun Bicycles Cruz 3 - Women's - 2017</v>
      </c>
      <c r="C3301" s="21" t="e">
        <f>VLOOKUP(A3301,Products!A$322:$D3301,4,FALSE)</f>
        <v>#N/A</v>
      </c>
    </row>
    <row r="3302" spans="1:3" x14ac:dyDescent="0.35">
      <c r="A3302" s="21">
        <v>100</v>
      </c>
      <c r="B3302" t="str">
        <f>VLOOKUP(A3302,Products!$A$1:$F$322,2,FALSE)</f>
        <v>Electra Townie 3i EQ (20-inch) - Boys' - 2017</v>
      </c>
      <c r="C3302" s="21" t="e">
        <f>VLOOKUP(A3302,Products!A$322:$D3302,4,FALSE)</f>
        <v>#N/A</v>
      </c>
    </row>
    <row r="3303" spans="1:3" x14ac:dyDescent="0.35">
      <c r="A3303" s="21">
        <v>99</v>
      </c>
      <c r="B3303" t="str">
        <f>VLOOKUP(A3303,Products!$A$1:$F$322,2,FALSE)</f>
        <v>Electra Sugar Skulls 1 (20-inch) - Girl's - 2017</v>
      </c>
      <c r="C3303" s="21" t="e">
        <f>VLOOKUP(A3303,Products!A$322:$D3303,4,FALSE)</f>
        <v>#N/A</v>
      </c>
    </row>
    <row r="3304" spans="1:3" x14ac:dyDescent="0.35">
      <c r="A3304" s="21">
        <v>48</v>
      </c>
      <c r="B3304" t="str">
        <f>VLOOKUP(A3304,Products!$A$1:$F$322,2,FALSE)</f>
        <v>Trek Emonda S 4 - 2017</v>
      </c>
      <c r="C3304" s="21" t="e">
        <f>VLOOKUP(A3304,Products!A$322:$D3304,4,FALSE)</f>
        <v>#N/A</v>
      </c>
    </row>
    <row r="3305" spans="1:3" x14ac:dyDescent="0.35">
      <c r="A3305" s="21">
        <v>69</v>
      </c>
      <c r="B3305" t="str">
        <f>VLOOKUP(A3305,Products!$A$1:$F$322,2,FALSE)</f>
        <v>Sun Bicycles Cruz 7 - 2017</v>
      </c>
      <c r="C3305" s="21" t="e">
        <f>VLOOKUP(A3305,Products!A$322:$D3305,4,FALSE)</f>
        <v>#N/A</v>
      </c>
    </row>
    <row r="3306" spans="1:3" x14ac:dyDescent="0.35">
      <c r="A3306" s="21">
        <v>88</v>
      </c>
      <c r="B3306" t="str">
        <f>VLOOKUP(A3306,Products!$A$1:$F$322,2,FALSE)</f>
        <v>Trek Precaliber 12 Girls - 2017</v>
      </c>
      <c r="C3306" s="21" t="e">
        <f>VLOOKUP(A3306,Products!A$322:$D3306,4,FALSE)</f>
        <v>#N/A</v>
      </c>
    </row>
    <row r="3307" spans="1:3" x14ac:dyDescent="0.35">
      <c r="A3307" s="21">
        <v>105</v>
      </c>
      <c r="B3307" t="str">
        <f>VLOOKUP(A3307,Products!$A$1:$F$322,2,FALSE)</f>
        <v>Sun Bicycles Streamway 7 - 2017</v>
      </c>
      <c r="C3307" s="21" t="e">
        <f>VLOOKUP(A3307,Products!A$322:$D3307,4,FALSE)</f>
        <v>#N/A</v>
      </c>
    </row>
    <row r="3308" spans="1:3" x14ac:dyDescent="0.35">
      <c r="A3308" s="21">
        <v>36</v>
      </c>
      <c r="B3308" t="str">
        <f>VLOOKUP(A3308,Products!$A$1:$F$322,2,FALSE)</f>
        <v>Surly Troll Frameset - 2017</v>
      </c>
      <c r="C3308" s="21" t="e">
        <f>VLOOKUP(A3308,Products!A$322:$D3308,4,FALSE)</f>
        <v>#N/A</v>
      </c>
    </row>
    <row r="3309" spans="1:3" x14ac:dyDescent="0.35">
      <c r="A3309" s="21">
        <v>64</v>
      </c>
      <c r="B3309" t="str">
        <f>VLOOKUP(A3309,Products!$A$1:$F$322,2,FALSE)</f>
        <v>Electra Townie Original 7D - 2017</v>
      </c>
      <c r="C3309" s="21" t="e">
        <f>VLOOKUP(A3309,Products!A$322:$D3309,4,FALSE)</f>
        <v>#N/A</v>
      </c>
    </row>
    <row r="3310" spans="1:3" x14ac:dyDescent="0.35">
      <c r="A3310" s="21">
        <v>11</v>
      </c>
      <c r="B3310" t="str">
        <f>VLOOKUP(A3310,Products!$A$1:$F$322,2,FALSE)</f>
        <v>Surly Straggler 650b - 2016</v>
      </c>
      <c r="C3310" s="21" t="e">
        <f>VLOOKUP(A3310,Products!A$322:$D3310,4,FALSE)</f>
        <v>#N/A</v>
      </c>
    </row>
    <row r="3311" spans="1:3" x14ac:dyDescent="0.35">
      <c r="A3311" s="21">
        <v>82</v>
      </c>
      <c r="B3311" t="str">
        <f>VLOOKUP(A3311,Products!$A$1:$F$322,2,FALSE)</f>
        <v>Electra Amsterdam Original 3i Ladies' - 2017</v>
      </c>
      <c r="C3311" s="21" t="e">
        <f>VLOOKUP(A3311,Products!A$322:$D3311,4,FALSE)</f>
        <v>#N/A</v>
      </c>
    </row>
    <row r="3312" spans="1:3" x14ac:dyDescent="0.35">
      <c r="A3312" s="21">
        <v>39</v>
      </c>
      <c r="B3312" t="str">
        <f>VLOOKUP(A3312,Products!$A$1:$F$322,2,FALSE)</f>
        <v>Trek Stache 5 - 2017</v>
      </c>
      <c r="C3312" s="21" t="e">
        <f>VLOOKUP(A3312,Products!A$322:$D3312,4,FALSE)</f>
        <v>#N/A</v>
      </c>
    </row>
    <row r="3313" spans="1:3" x14ac:dyDescent="0.35">
      <c r="A3313" s="21">
        <v>82</v>
      </c>
      <c r="B3313" t="str">
        <f>VLOOKUP(A3313,Products!$A$1:$F$322,2,FALSE)</f>
        <v>Electra Amsterdam Original 3i Ladies' - 2017</v>
      </c>
      <c r="C3313" s="21" t="e">
        <f>VLOOKUP(A3313,Products!A$322:$D3313,4,FALSE)</f>
        <v>#N/A</v>
      </c>
    </row>
    <row r="3314" spans="1:3" x14ac:dyDescent="0.35">
      <c r="A3314" s="21">
        <v>22</v>
      </c>
      <c r="B3314" t="str">
        <f>VLOOKUP(A3314,Products!$A$1:$F$322,2,FALSE)</f>
        <v>Electra Girl's Hawaii 1 (16-inch) - 2015/2016</v>
      </c>
      <c r="C3314" s="21" t="e">
        <f>VLOOKUP(A3314,Products!A$322:$D3314,4,FALSE)</f>
        <v>#N/A</v>
      </c>
    </row>
    <row r="3315" spans="1:3" x14ac:dyDescent="0.35">
      <c r="A3315" s="21">
        <v>77</v>
      </c>
      <c r="B3315" t="str">
        <f>VLOOKUP(A3315,Products!$A$1:$F$322,2,FALSE)</f>
        <v>Electra Glam Punk 3i Ladies' - 2017</v>
      </c>
      <c r="C3315" s="21" t="e">
        <f>VLOOKUP(A3315,Products!A$322:$D3315,4,FALSE)</f>
        <v>#N/A</v>
      </c>
    </row>
    <row r="3316" spans="1:3" x14ac:dyDescent="0.35">
      <c r="A3316" s="21">
        <v>94</v>
      </c>
      <c r="B3316" t="str">
        <f>VLOOKUP(A3316,Products!$A$1:$F$322,2,FALSE)</f>
        <v>Haro Shredder Pro 20 - 2017</v>
      </c>
      <c r="C3316" s="21" t="e">
        <f>VLOOKUP(A3316,Products!A$322:$D3316,4,FALSE)</f>
        <v>#N/A</v>
      </c>
    </row>
    <row r="3317" spans="1:3" x14ac:dyDescent="0.35">
      <c r="A3317" s="21">
        <v>98</v>
      </c>
      <c r="B3317" t="str">
        <f>VLOOKUP(A3317,Products!$A$1:$F$322,2,FALSE)</f>
        <v>Electra Straight 8 3i (20-inch) - Boy's - 2017</v>
      </c>
      <c r="C3317" s="21" t="e">
        <f>VLOOKUP(A3317,Products!A$322:$D3317,4,FALSE)</f>
        <v>#N/A</v>
      </c>
    </row>
    <row r="3318" spans="1:3" x14ac:dyDescent="0.35">
      <c r="A3318" s="21">
        <v>48</v>
      </c>
      <c r="B3318" t="str">
        <f>VLOOKUP(A3318,Products!$A$1:$F$322,2,FALSE)</f>
        <v>Trek Emonda S 4 - 2017</v>
      </c>
      <c r="C3318" s="21" t="e">
        <f>VLOOKUP(A3318,Products!A$322:$D3318,4,FALSE)</f>
        <v>#N/A</v>
      </c>
    </row>
    <row r="3319" spans="1:3" x14ac:dyDescent="0.35">
      <c r="A3319" s="21">
        <v>58</v>
      </c>
      <c r="B3319" t="str">
        <f>VLOOKUP(A3319,Products!$A$1:$F$322,2,FALSE)</f>
        <v>Trek Madone 9.2 - 2017</v>
      </c>
      <c r="C3319" s="21" t="e">
        <f>VLOOKUP(A3319,Products!A$322:$D3319,4,FALSE)</f>
        <v>#N/A</v>
      </c>
    </row>
    <row r="3320" spans="1:3" x14ac:dyDescent="0.35">
      <c r="A3320" s="21">
        <v>85</v>
      </c>
      <c r="B3320" t="str">
        <f>VLOOKUP(A3320,Products!$A$1:$F$322,2,FALSE)</f>
        <v>Haro Downtown 16 - 2017</v>
      </c>
      <c r="C3320" s="21" t="e">
        <f>VLOOKUP(A3320,Products!A$322:$D3320,4,FALSE)</f>
        <v>#N/A</v>
      </c>
    </row>
    <row r="3321" spans="1:3" x14ac:dyDescent="0.35">
      <c r="A3321" s="21">
        <v>94</v>
      </c>
      <c r="B3321" t="str">
        <f>VLOOKUP(A3321,Products!$A$1:$F$322,2,FALSE)</f>
        <v>Haro Shredder Pro 20 - 2017</v>
      </c>
      <c r="C3321" s="21" t="e">
        <f>VLOOKUP(A3321,Products!A$322:$D3321,4,FALSE)</f>
        <v>#N/A</v>
      </c>
    </row>
    <row r="3322" spans="1:3" x14ac:dyDescent="0.35">
      <c r="A3322" s="21">
        <v>29</v>
      </c>
      <c r="B3322" t="str">
        <f>VLOOKUP(A3322,Products!$A$1:$F$322,2,FALSE)</f>
        <v>Trek X-Caliber 8 - 2017</v>
      </c>
      <c r="C3322" s="21" t="e">
        <f>VLOOKUP(A3322,Products!A$322:$D3322,4,FALSE)</f>
        <v>#N/A</v>
      </c>
    </row>
    <row r="3323" spans="1:3" x14ac:dyDescent="0.35">
      <c r="A3323" s="21">
        <v>91</v>
      </c>
      <c r="B3323" t="str">
        <f>VLOOKUP(A3323,Products!$A$1:$F$322,2,FALSE)</f>
        <v>Trek Precaliber 24 (21-Speed) - Girls - 2017</v>
      </c>
      <c r="C3323" s="21" t="e">
        <f>VLOOKUP(A3323,Products!A$322:$D3323,4,FALSE)</f>
        <v>#N/A</v>
      </c>
    </row>
    <row r="3324" spans="1:3" x14ac:dyDescent="0.35">
      <c r="A3324" s="21">
        <v>104</v>
      </c>
      <c r="B3324" t="str">
        <f>VLOOKUP(A3324,Products!$A$1:$F$322,2,FALSE)</f>
        <v>Sun Bicycles Streamway - 2017</v>
      </c>
      <c r="C3324" s="21" t="e">
        <f>VLOOKUP(A3324,Products!A$322:$D3324,4,FALSE)</f>
        <v>#N/A</v>
      </c>
    </row>
    <row r="3325" spans="1:3" x14ac:dyDescent="0.35">
      <c r="A3325" s="21">
        <v>21</v>
      </c>
      <c r="B3325" t="str">
        <f>VLOOKUP(A3325,Products!$A$1:$F$322,2,FALSE)</f>
        <v>Electra Cruiser 1 (24-Inch) - 2016</v>
      </c>
      <c r="C3325" s="21" t="e">
        <f>VLOOKUP(A3325,Products!A$322:$D3325,4,FALSE)</f>
        <v>#N/A</v>
      </c>
    </row>
    <row r="3326" spans="1:3" x14ac:dyDescent="0.35">
      <c r="A3326" s="21">
        <v>30</v>
      </c>
      <c r="B3326" t="str">
        <f>VLOOKUP(A3326,Products!$A$1:$F$322,2,FALSE)</f>
        <v>Surly Ice Cream Truck Frameset - 2017</v>
      </c>
      <c r="C3326" s="21" t="e">
        <f>VLOOKUP(A3326,Products!A$322:$D3326,4,FALSE)</f>
        <v>#N/A</v>
      </c>
    </row>
    <row r="3327" spans="1:3" x14ac:dyDescent="0.35">
      <c r="A3327" s="21">
        <v>58</v>
      </c>
      <c r="B3327" t="str">
        <f>VLOOKUP(A3327,Products!$A$1:$F$322,2,FALSE)</f>
        <v>Trek Madone 9.2 - 2017</v>
      </c>
      <c r="C3327" s="21" t="e">
        <f>VLOOKUP(A3327,Products!A$322:$D3327,4,FALSE)</f>
        <v>#N/A</v>
      </c>
    </row>
    <row r="3328" spans="1:3" x14ac:dyDescent="0.35">
      <c r="A3328" s="21">
        <v>91</v>
      </c>
      <c r="B3328" t="str">
        <f>VLOOKUP(A3328,Products!$A$1:$F$322,2,FALSE)</f>
        <v>Trek Precaliber 24 (21-Speed) - Girls - 2017</v>
      </c>
      <c r="C3328" s="21" t="e">
        <f>VLOOKUP(A3328,Products!A$322:$D3328,4,FALSE)</f>
        <v>#N/A</v>
      </c>
    </row>
    <row r="3329" spans="1:3" x14ac:dyDescent="0.35">
      <c r="A3329" s="21">
        <v>24</v>
      </c>
      <c r="B3329" t="str">
        <f>VLOOKUP(A3329,Products!$A$1:$F$322,2,FALSE)</f>
        <v>Electra Townie Original 21D - 2016</v>
      </c>
      <c r="C3329" s="21" t="e">
        <f>VLOOKUP(A3329,Products!A$322:$D3329,4,FALSE)</f>
        <v>#N/A</v>
      </c>
    </row>
    <row r="3330" spans="1:3" x14ac:dyDescent="0.35">
      <c r="A3330" s="21">
        <v>103</v>
      </c>
      <c r="B3330" t="str">
        <f>VLOOKUP(A3330,Products!$A$1:$F$322,2,FALSE)</f>
        <v>Sun Bicycles Streamway 3 - 2017</v>
      </c>
      <c r="C3330" s="21" t="e">
        <f>VLOOKUP(A3330,Products!A$322:$D3330,4,FALSE)</f>
        <v>#N/A</v>
      </c>
    </row>
    <row r="3331" spans="1:3" x14ac:dyDescent="0.35">
      <c r="A3331" s="21">
        <v>6</v>
      </c>
      <c r="B3331" t="str">
        <f>VLOOKUP(A3331,Products!$A$1:$F$322,2,FALSE)</f>
        <v>Surly Ice Cream Truck Frameset - 2016</v>
      </c>
      <c r="C3331" s="21" t="e">
        <f>VLOOKUP(A3331,Products!A$322:$D3331,4,FALSE)</f>
        <v>#N/A</v>
      </c>
    </row>
    <row r="3332" spans="1:3" x14ac:dyDescent="0.35">
      <c r="A3332" s="21">
        <v>17</v>
      </c>
      <c r="B3332" t="str">
        <f>VLOOKUP(A3332,Products!$A$1:$F$322,2,FALSE)</f>
        <v>Pure Cycles Vine 8-Speed - 2016</v>
      </c>
      <c r="C3332" s="21" t="e">
        <f>VLOOKUP(A3332,Products!A$322:$D3332,4,FALSE)</f>
        <v>#N/A</v>
      </c>
    </row>
    <row r="3333" spans="1:3" x14ac:dyDescent="0.35">
      <c r="A3333" s="21">
        <v>60</v>
      </c>
      <c r="B3333" t="str">
        <f>VLOOKUP(A3333,Products!$A$1:$F$322,2,FALSE)</f>
        <v>Sun Bicycles ElectroLite - 2017</v>
      </c>
      <c r="C3333" s="21" t="e">
        <f>VLOOKUP(A3333,Products!A$322:$D3333,4,FALSE)</f>
        <v>#N/A</v>
      </c>
    </row>
    <row r="3334" spans="1:3" x14ac:dyDescent="0.35">
      <c r="A3334" s="21">
        <v>67</v>
      </c>
      <c r="B3334" t="str">
        <f>VLOOKUP(A3334,Products!$A$1:$F$322,2,FALSE)</f>
        <v>Sun Bicycles Revolutions 24 - Girl's - 2017</v>
      </c>
      <c r="C3334" s="21" t="e">
        <f>VLOOKUP(A3334,Products!A$322:$D3334,4,FALSE)</f>
        <v>#N/A</v>
      </c>
    </row>
    <row r="3335" spans="1:3" x14ac:dyDescent="0.35">
      <c r="A3335" s="21">
        <v>68</v>
      </c>
      <c r="B3335" t="str">
        <f>VLOOKUP(A3335,Products!$A$1:$F$322,2,FALSE)</f>
        <v>Sun Bicycles Cruz 3 - 2017</v>
      </c>
      <c r="C3335" s="21" t="e">
        <f>VLOOKUP(A3335,Products!A$322:$D3335,4,FALSE)</f>
        <v>#N/A</v>
      </c>
    </row>
    <row r="3336" spans="1:3" x14ac:dyDescent="0.35">
      <c r="A3336" s="21">
        <v>6</v>
      </c>
      <c r="B3336" t="str">
        <f>VLOOKUP(A3336,Products!$A$1:$F$322,2,FALSE)</f>
        <v>Surly Ice Cream Truck Frameset - 2016</v>
      </c>
      <c r="C3336" s="21" t="e">
        <f>VLOOKUP(A3336,Products!A$322:$D3336,4,FALSE)</f>
        <v>#N/A</v>
      </c>
    </row>
    <row r="3337" spans="1:3" x14ac:dyDescent="0.35">
      <c r="A3337" s="21">
        <v>35</v>
      </c>
      <c r="B3337" t="str">
        <f>VLOOKUP(A3337,Products!$A$1:$F$322,2,FALSE)</f>
        <v>Sun Bicycles Spider 3i - 2017</v>
      </c>
      <c r="C3337" s="21" t="e">
        <f>VLOOKUP(A3337,Products!A$322:$D3337,4,FALSE)</f>
        <v>#N/A</v>
      </c>
    </row>
    <row r="3338" spans="1:3" x14ac:dyDescent="0.35">
      <c r="A3338" s="21">
        <v>77</v>
      </c>
      <c r="B3338" t="str">
        <f>VLOOKUP(A3338,Products!$A$1:$F$322,2,FALSE)</f>
        <v>Electra Glam Punk 3i Ladies' - 2017</v>
      </c>
      <c r="C3338" s="21" t="e">
        <f>VLOOKUP(A3338,Products!A$322:$D3338,4,FALSE)</f>
        <v>#N/A</v>
      </c>
    </row>
    <row r="3339" spans="1:3" x14ac:dyDescent="0.35">
      <c r="A3339" s="21">
        <v>111</v>
      </c>
      <c r="B3339" t="str">
        <f>VLOOKUP(A3339,Products!$A$1:$F$322,2,FALSE)</f>
        <v>Sun Bicycles Drifter 7 - Women's - 2017</v>
      </c>
      <c r="C3339" s="21" t="e">
        <f>VLOOKUP(A3339,Products!A$322:$D3339,4,FALSE)</f>
        <v>#N/A</v>
      </c>
    </row>
    <row r="3340" spans="1:3" x14ac:dyDescent="0.35">
      <c r="A3340" s="21">
        <v>86</v>
      </c>
      <c r="B3340" t="str">
        <f>VLOOKUP(A3340,Products!$A$1:$F$322,2,FALSE)</f>
        <v>Trek Girl's Kickster - 2017</v>
      </c>
      <c r="C3340" s="21" t="e">
        <f>VLOOKUP(A3340,Products!A$322:$D3340,4,FALSE)</f>
        <v>#N/A</v>
      </c>
    </row>
    <row r="3341" spans="1:3" x14ac:dyDescent="0.35">
      <c r="A3341" s="21">
        <v>20</v>
      </c>
      <c r="B3341" t="str">
        <f>VLOOKUP(A3341,Products!$A$1:$F$322,2,FALSE)</f>
        <v>Electra Townie Original 7D EQ - Women's - 2016</v>
      </c>
      <c r="C3341" s="21" t="e">
        <f>VLOOKUP(A3341,Products!A$322:$D3341,4,FALSE)</f>
        <v>#N/A</v>
      </c>
    </row>
    <row r="3342" spans="1:3" x14ac:dyDescent="0.35">
      <c r="A3342" s="21">
        <v>31</v>
      </c>
      <c r="B3342" t="str">
        <f>VLOOKUP(A3342,Products!$A$1:$F$322,2,FALSE)</f>
        <v>Surly Wednesday - 2017</v>
      </c>
      <c r="C3342" s="21" t="e">
        <f>VLOOKUP(A3342,Products!A$322:$D3342,4,FALSE)</f>
        <v>#N/A</v>
      </c>
    </row>
    <row r="3343" spans="1:3" x14ac:dyDescent="0.35">
      <c r="A3343" s="21">
        <v>37</v>
      </c>
      <c r="B3343" t="str">
        <f>VLOOKUP(A3343,Products!$A$1:$F$322,2,FALSE)</f>
        <v>Haro Flightline One ST - 2017</v>
      </c>
      <c r="C3343" s="21" t="e">
        <f>VLOOKUP(A3343,Products!A$322:$D3343,4,FALSE)</f>
        <v>#N/A</v>
      </c>
    </row>
    <row r="3344" spans="1:3" x14ac:dyDescent="0.35">
      <c r="A3344" s="21">
        <v>41</v>
      </c>
      <c r="B3344" t="str">
        <f>VLOOKUP(A3344,Products!$A$1:$F$322,2,FALSE)</f>
        <v>Haro Shift R3 - 2017</v>
      </c>
      <c r="C3344" s="21" t="e">
        <f>VLOOKUP(A3344,Products!A$322:$D3344,4,FALSE)</f>
        <v>#N/A</v>
      </c>
    </row>
    <row r="3345" spans="1:3" x14ac:dyDescent="0.35">
      <c r="A3345" s="21">
        <v>95</v>
      </c>
      <c r="B3345" t="str">
        <f>VLOOKUP(A3345,Products!$A$1:$F$322,2,FALSE)</f>
        <v>Electra Girl's Hawaii 1 16" - 2017</v>
      </c>
      <c r="C3345" s="21" t="e">
        <f>VLOOKUP(A3345,Products!A$322:$D3345,4,FALSE)</f>
        <v>#N/A</v>
      </c>
    </row>
    <row r="3346" spans="1:3" x14ac:dyDescent="0.35">
      <c r="A3346" s="21">
        <v>74</v>
      </c>
      <c r="B3346" t="str">
        <f>VLOOKUP(A3346,Products!$A$1:$F$322,2,FALSE)</f>
        <v>Electra Cruiser Lux 1 - 2017</v>
      </c>
      <c r="C3346" s="21" t="e">
        <f>VLOOKUP(A3346,Products!A$322:$D3346,4,FALSE)</f>
        <v>#N/A</v>
      </c>
    </row>
    <row r="3347" spans="1:3" x14ac:dyDescent="0.35">
      <c r="A3347" s="21">
        <v>12</v>
      </c>
      <c r="B3347" t="str">
        <f>VLOOKUP(A3347,Products!$A$1:$F$322,2,FALSE)</f>
        <v>Electra Townie Original 21D - 2016</v>
      </c>
      <c r="C3347" s="21" t="e">
        <f>VLOOKUP(A3347,Products!A$322:$D3347,4,FALSE)</f>
        <v>#N/A</v>
      </c>
    </row>
    <row r="3348" spans="1:3" x14ac:dyDescent="0.35">
      <c r="A3348" s="21">
        <v>41</v>
      </c>
      <c r="B3348" t="str">
        <f>VLOOKUP(A3348,Products!$A$1:$F$322,2,FALSE)</f>
        <v>Haro Shift R3 - 2017</v>
      </c>
      <c r="C3348" s="21" t="e">
        <f>VLOOKUP(A3348,Products!A$322:$D3348,4,FALSE)</f>
        <v>#N/A</v>
      </c>
    </row>
    <row r="3349" spans="1:3" x14ac:dyDescent="0.35">
      <c r="A3349" s="21">
        <v>9</v>
      </c>
      <c r="B3349" t="str">
        <f>VLOOKUP(A3349,Products!$A$1:$F$322,2,FALSE)</f>
        <v>Trek Conduit+ - 2016</v>
      </c>
      <c r="C3349" s="21" t="e">
        <f>VLOOKUP(A3349,Products!A$322:$D3349,4,FALSE)</f>
        <v>#N/A</v>
      </c>
    </row>
    <row r="3350" spans="1:3" x14ac:dyDescent="0.35">
      <c r="A3350" s="21">
        <v>71</v>
      </c>
      <c r="B3350" t="str">
        <f>VLOOKUP(A3350,Products!$A$1:$F$322,2,FALSE)</f>
        <v>Sun Bicycles Atlas X-Type - 2017</v>
      </c>
      <c r="C3350" s="21" t="e">
        <f>VLOOKUP(A3350,Products!A$322:$D3350,4,FALSE)</f>
        <v>#N/A</v>
      </c>
    </row>
    <row r="3351" spans="1:3" x14ac:dyDescent="0.35">
      <c r="A3351" s="21">
        <v>38</v>
      </c>
      <c r="B3351" t="str">
        <f>VLOOKUP(A3351,Products!$A$1:$F$322,2,FALSE)</f>
        <v>Haro Flightline Two 26 Plus - 2017</v>
      </c>
      <c r="C3351" s="21" t="e">
        <f>VLOOKUP(A3351,Products!A$322:$D3351,4,FALSE)</f>
        <v>#N/A</v>
      </c>
    </row>
    <row r="3352" spans="1:3" x14ac:dyDescent="0.35">
      <c r="A3352" s="21">
        <v>22</v>
      </c>
      <c r="B3352" t="str">
        <f>VLOOKUP(A3352,Products!$A$1:$F$322,2,FALSE)</f>
        <v>Electra Girl's Hawaii 1 (16-inch) - 2015/2016</v>
      </c>
      <c r="C3352" s="21" t="e">
        <f>VLOOKUP(A3352,Products!A$322:$D3352,4,FALSE)</f>
        <v>#N/A</v>
      </c>
    </row>
    <row r="3353" spans="1:3" x14ac:dyDescent="0.35">
      <c r="A3353" s="21">
        <v>29</v>
      </c>
      <c r="B3353" t="str">
        <f>VLOOKUP(A3353,Products!$A$1:$F$322,2,FALSE)</f>
        <v>Trek X-Caliber 8 - 2017</v>
      </c>
      <c r="C3353" s="21" t="e">
        <f>VLOOKUP(A3353,Products!A$322:$D3353,4,FALSE)</f>
        <v>#N/A</v>
      </c>
    </row>
    <row r="3354" spans="1:3" x14ac:dyDescent="0.35">
      <c r="A3354" s="21">
        <v>88</v>
      </c>
      <c r="B3354" t="str">
        <f>VLOOKUP(A3354,Products!$A$1:$F$322,2,FALSE)</f>
        <v>Trek Precaliber 12 Girls - 2017</v>
      </c>
      <c r="C3354" s="21" t="e">
        <f>VLOOKUP(A3354,Products!A$322:$D3354,4,FALSE)</f>
        <v>#N/A</v>
      </c>
    </row>
    <row r="3355" spans="1:3" x14ac:dyDescent="0.35">
      <c r="A3355" s="21">
        <v>40</v>
      </c>
      <c r="B3355" t="str">
        <f>VLOOKUP(A3355,Products!$A$1:$F$322,2,FALSE)</f>
        <v>Trek Fuel EX 9.8 29 - 2017</v>
      </c>
      <c r="C3355" s="21" t="e">
        <f>VLOOKUP(A3355,Products!A$322:$D3355,4,FALSE)</f>
        <v>#N/A</v>
      </c>
    </row>
    <row r="3356" spans="1:3" x14ac:dyDescent="0.35">
      <c r="A3356" s="21">
        <v>86</v>
      </c>
      <c r="B3356" t="str">
        <f>VLOOKUP(A3356,Products!$A$1:$F$322,2,FALSE)</f>
        <v>Trek Girl's Kickster - 2017</v>
      </c>
      <c r="C3356" s="21" t="e">
        <f>VLOOKUP(A3356,Products!A$322:$D3356,4,FALSE)</f>
        <v>#N/A</v>
      </c>
    </row>
    <row r="3357" spans="1:3" x14ac:dyDescent="0.35">
      <c r="A3357" s="21">
        <v>41</v>
      </c>
      <c r="B3357" t="str">
        <f>VLOOKUP(A3357,Products!$A$1:$F$322,2,FALSE)</f>
        <v>Haro Shift R3 - 2017</v>
      </c>
      <c r="C3357" s="21" t="e">
        <f>VLOOKUP(A3357,Products!A$322:$D3357,4,FALSE)</f>
        <v>#N/A</v>
      </c>
    </row>
    <row r="3358" spans="1:3" x14ac:dyDescent="0.35">
      <c r="A3358" s="21">
        <v>12</v>
      </c>
      <c r="B3358" t="str">
        <f>VLOOKUP(A3358,Products!$A$1:$F$322,2,FALSE)</f>
        <v>Electra Townie Original 21D - 2016</v>
      </c>
      <c r="C3358" s="21" t="e">
        <f>VLOOKUP(A3358,Products!A$322:$D3358,4,FALSE)</f>
        <v>#N/A</v>
      </c>
    </row>
    <row r="3359" spans="1:3" x14ac:dyDescent="0.35">
      <c r="A3359" s="21">
        <v>63</v>
      </c>
      <c r="B3359" t="str">
        <f>VLOOKUP(A3359,Products!$A$1:$F$322,2,FALSE)</f>
        <v>Trek Boone Race Shop Limited - 2017</v>
      </c>
      <c r="C3359" s="21" t="e">
        <f>VLOOKUP(A3359,Products!A$322:$D3359,4,FALSE)</f>
        <v>#N/A</v>
      </c>
    </row>
    <row r="3360" spans="1:3" x14ac:dyDescent="0.35">
      <c r="A3360" s="21">
        <v>53</v>
      </c>
      <c r="B3360" t="str">
        <f>VLOOKUP(A3360,Products!$A$1:$F$322,2,FALSE)</f>
        <v>Surly Ogre Frameset - 2017</v>
      </c>
      <c r="C3360" s="21" t="e">
        <f>VLOOKUP(A3360,Products!A$322:$D3360,4,FALSE)</f>
        <v>#N/A</v>
      </c>
    </row>
    <row r="3361" spans="1:3" x14ac:dyDescent="0.35">
      <c r="A3361" s="21">
        <v>8</v>
      </c>
      <c r="B3361" t="str">
        <f>VLOOKUP(A3361,Products!$A$1:$F$322,2,FALSE)</f>
        <v>Trek Remedy 29 Carbon Frameset - 2016</v>
      </c>
      <c r="C3361" s="21" t="e">
        <f>VLOOKUP(A3361,Products!A$322:$D3361,4,FALSE)</f>
        <v>#N/A</v>
      </c>
    </row>
    <row r="3362" spans="1:3" x14ac:dyDescent="0.35">
      <c r="A3362" s="21">
        <v>78</v>
      </c>
      <c r="B3362" t="str">
        <f>VLOOKUP(A3362,Products!$A$1:$F$322,2,FALSE)</f>
        <v>Sun Bicycles Biscayne Tandem CB - 2017</v>
      </c>
      <c r="C3362" s="21" t="e">
        <f>VLOOKUP(A3362,Products!A$322:$D3362,4,FALSE)</f>
        <v>#N/A</v>
      </c>
    </row>
    <row r="3363" spans="1:3" x14ac:dyDescent="0.35">
      <c r="A3363" s="21">
        <v>103</v>
      </c>
      <c r="B3363" t="str">
        <f>VLOOKUP(A3363,Products!$A$1:$F$322,2,FALSE)</f>
        <v>Sun Bicycles Streamway 3 - 2017</v>
      </c>
      <c r="C3363" s="21" t="e">
        <f>VLOOKUP(A3363,Products!A$322:$D3363,4,FALSE)</f>
        <v>#N/A</v>
      </c>
    </row>
    <row r="3364" spans="1:3" x14ac:dyDescent="0.35">
      <c r="A3364" s="21">
        <v>44</v>
      </c>
      <c r="B3364" t="str">
        <f>VLOOKUP(A3364,Products!$A$1:$F$322,2,FALSE)</f>
        <v>Haro SR 1.1 - 2017</v>
      </c>
      <c r="C3364" s="21" t="e">
        <f>VLOOKUP(A3364,Products!A$322:$D3364,4,FALSE)</f>
        <v>#N/A</v>
      </c>
    </row>
    <row r="3365" spans="1:3" x14ac:dyDescent="0.35">
      <c r="A3365" s="21">
        <v>65</v>
      </c>
      <c r="B3365" t="str">
        <f>VLOOKUP(A3365,Products!$A$1:$F$322,2,FALSE)</f>
        <v>Sun Bicycles Lil Bolt Type-R - 2017</v>
      </c>
      <c r="C3365" s="21" t="e">
        <f>VLOOKUP(A3365,Products!A$322:$D3365,4,FALSE)</f>
        <v>#N/A</v>
      </c>
    </row>
    <row r="3366" spans="1:3" x14ac:dyDescent="0.35">
      <c r="A3366" s="21">
        <v>68</v>
      </c>
      <c r="B3366" t="str">
        <f>VLOOKUP(A3366,Products!$A$1:$F$322,2,FALSE)</f>
        <v>Sun Bicycles Cruz 3 - 2017</v>
      </c>
      <c r="C3366" s="21" t="e">
        <f>VLOOKUP(A3366,Products!A$322:$D3366,4,FALSE)</f>
        <v>#N/A</v>
      </c>
    </row>
    <row r="3367" spans="1:3" x14ac:dyDescent="0.35">
      <c r="A3367" s="21">
        <v>103</v>
      </c>
      <c r="B3367" t="str">
        <f>VLOOKUP(A3367,Products!$A$1:$F$322,2,FALSE)</f>
        <v>Sun Bicycles Streamway 3 - 2017</v>
      </c>
      <c r="C3367" s="21" t="e">
        <f>VLOOKUP(A3367,Products!A$322:$D3367,4,FALSE)</f>
        <v>#N/A</v>
      </c>
    </row>
    <row r="3368" spans="1:3" x14ac:dyDescent="0.35">
      <c r="A3368" s="21">
        <v>29</v>
      </c>
      <c r="B3368" t="str">
        <f>VLOOKUP(A3368,Products!$A$1:$F$322,2,FALSE)</f>
        <v>Trek X-Caliber 8 - 2017</v>
      </c>
      <c r="C3368" s="21" t="e">
        <f>VLOOKUP(A3368,Products!A$322:$D3368,4,FALSE)</f>
        <v>#N/A</v>
      </c>
    </row>
    <row r="3369" spans="1:3" x14ac:dyDescent="0.35">
      <c r="A3369" s="21">
        <v>81</v>
      </c>
      <c r="B3369" t="str">
        <f>VLOOKUP(A3369,Products!$A$1:$F$322,2,FALSE)</f>
        <v>Electra Amsterdam Fashion 7i Ladies' - 2017</v>
      </c>
      <c r="C3369" s="21" t="e">
        <f>VLOOKUP(A3369,Products!A$322:$D3369,4,FALSE)</f>
        <v>#N/A</v>
      </c>
    </row>
    <row r="3370" spans="1:3" x14ac:dyDescent="0.35">
      <c r="A3370" s="21">
        <v>68</v>
      </c>
      <c r="B3370" t="str">
        <f>VLOOKUP(A3370,Products!$A$1:$F$322,2,FALSE)</f>
        <v>Sun Bicycles Cruz 3 - 2017</v>
      </c>
      <c r="C3370" s="21" t="e">
        <f>VLOOKUP(A3370,Products!A$322:$D3370,4,FALSE)</f>
        <v>#N/A</v>
      </c>
    </row>
    <row r="3371" spans="1:3" x14ac:dyDescent="0.35">
      <c r="A3371" s="21">
        <v>23</v>
      </c>
      <c r="B3371" t="str">
        <f>VLOOKUP(A3371,Products!$A$1:$F$322,2,FALSE)</f>
        <v>Electra Girl's Hawaii 1 (20-inch) - 2015/2016</v>
      </c>
      <c r="C3371" s="21" t="e">
        <f>VLOOKUP(A3371,Products!A$322:$D3371,4,FALSE)</f>
        <v>#N/A</v>
      </c>
    </row>
    <row r="3372" spans="1:3" x14ac:dyDescent="0.35">
      <c r="A3372" s="21">
        <v>82</v>
      </c>
      <c r="B3372" t="str">
        <f>VLOOKUP(A3372,Products!$A$1:$F$322,2,FALSE)</f>
        <v>Electra Amsterdam Original 3i Ladies' - 2017</v>
      </c>
      <c r="C3372" s="21" t="e">
        <f>VLOOKUP(A3372,Products!A$322:$D3372,4,FALSE)</f>
        <v>#N/A</v>
      </c>
    </row>
    <row r="3373" spans="1:3" x14ac:dyDescent="0.35">
      <c r="A3373" s="21">
        <v>51</v>
      </c>
      <c r="B3373" t="str">
        <f>VLOOKUP(A3373,Products!$A$1:$F$322,2,FALSE)</f>
        <v>Trek Silque SLR 8 Women's - 2017</v>
      </c>
      <c r="C3373" s="21" t="e">
        <f>VLOOKUP(A3373,Products!A$322:$D3373,4,FALSE)</f>
        <v>#N/A</v>
      </c>
    </row>
    <row r="3374" spans="1:3" x14ac:dyDescent="0.35">
      <c r="A3374" s="21">
        <v>107</v>
      </c>
      <c r="B3374" t="str">
        <f>VLOOKUP(A3374,Products!$A$1:$F$322,2,FALSE)</f>
        <v>Sun Bicycles Cruz 7 - 2017</v>
      </c>
      <c r="C3374" s="21" t="e">
        <f>VLOOKUP(A3374,Products!A$322:$D3374,4,FALSE)</f>
        <v>#N/A</v>
      </c>
    </row>
    <row r="3375" spans="1:3" x14ac:dyDescent="0.35">
      <c r="A3375" s="21">
        <v>15</v>
      </c>
      <c r="B3375" t="str">
        <f>VLOOKUP(A3375,Products!$A$1:$F$322,2,FALSE)</f>
        <v>Electra Moto 1 - 2016</v>
      </c>
      <c r="C3375" s="21" t="e">
        <f>VLOOKUP(A3375,Products!A$322:$D3375,4,FALSE)</f>
        <v>#N/A</v>
      </c>
    </row>
    <row r="3376" spans="1:3" x14ac:dyDescent="0.35">
      <c r="A3376" s="21">
        <v>91</v>
      </c>
      <c r="B3376" t="str">
        <f>VLOOKUP(A3376,Products!$A$1:$F$322,2,FALSE)</f>
        <v>Trek Precaliber 24 (21-Speed) - Girls - 2017</v>
      </c>
      <c r="C3376" s="21" t="e">
        <f>VLOOKUP(A3376,Products!A$322:$D3376,4,FALSE)</f>
        <v>#N/A</v>
      </c>
    </row>
    <row r="3377" spans="1:3" x14ac:dyDescent="0.35">
      <c r="A3377" s="21">
        <v>51</v>
      </c>
      <c r="B3377" t="str">
        <f>VLOOKUP(A3377,Products!$A$1:$F$322,2,FALSE)</f>
        <v>Trek Silque SLR 8 Women's - 2017</v>
      </c>
      <c r="C3377" s="21" t="e">
        <f>VLOOKUP(A3377,Products!A$322:$D3377,4,FALSE)</f>
        <v>#N/A</v>
      </c>
    </row>
    <row r="3378" spans="1:3" x14ac:dyDescent="0.35">
      <c r="A3378" s="21">
        <v>58</v>
      </c>
      <c r="B3378" t="str">
        <f>VLOOKUP(A3378,Products!$A$1:$F$322,2,FALSE)</f>
        <v>Trek Madone 9.2 - 2017</v>
      </c>
      <c r="C3378" s="21" t="e">
        <f>VLOOKUP(A3378,Products!A$322:$D3378,4,FALSE)</f>
        <v>#N/A</v>
      </c>
    </row>
    <row r="3379" spans="1:3" x14ac:dyDescent="0.35">
      <c r="A3379" s="21">
        <v>81</v>
      </c>
      <c r="B3379" t="str">
        <f>VLOOKUP(A3379,Products!$A$1:$F$322,2,FALSE)</f>
        <v>Electra Amsterdam Fashion 7i Ladies' - 2017</v>
      </c>
      <c r="C3379" s="21" t="e">
        <f>VLOOKUP(A3379,Products!A$322:$D3379,4,FALSE)</f>
        <v>#N/A</v>
      </c>
    </row>
    <row r="3380" spans="1:3" x14ac:dyDescent="0.35">
      <c r="A3380" s="21">
        <v>15</v>
      </c>
      <c r="B3380" t="str">
        <f>VLOOKUP(A3380,Products!$A$1:$F$322,2,FALSE)</f>
        <v>Electra Moto 1 - 2016</v>
      </c>
      <c r="C3380" s="21" t="e">
        <f>VLOOKUP(A3380,Products!A$322:$D3380,4,FALSE)</f>
        <v>#N/A</v>
      </c>
    </row>
    <row r="3381" spans="1:3" x14ac:dyDescent="0.35">
      <c r="A3381" s="21">
        <v>47</v>
      </c>
      <c r="B3381" t="str">
        <f>VLOOKUP(A3381,Products!$A$1:$F$322,2,FALSE)</f>
        <v>Trek Remedy 9.8 - 2017</v>
      </c>
      <c r="C3381" s="21" t="e">
        <f>VLOOKUP(A3381,Products!A$322:$D3381,4,FALSE)</f>
        <v>#N/A</v>
      </c>
    </row>
    <row r="3382" spans="1:3" x14ac:dyDescent="0.35">
      <c r="A3382" s="21">
        <v>62</v>
      </c>
      <c r="B3382" t="str">
        <f>VLOOKUP(A3382,Products!$A$1:$F$322,2,FALSE)</f>
        <v>Trek Boone 7 - 2017</v>
      </c>
      <c r="C3382" s="21" t="e">
        <f>VLOOKUP(A3382,Products!A$322:$D3382,4,FALSE)</f>
        <v>#N/A</v>
      </c>
    </row>
    <row r="3383" spans="1:3" x14ac:dyDescent="0.35">
      <c r="A3383" s="21">
        <v>94</v>
      </c>
      <c r="B3383" t="str">
        <f>VLOOKUP(A3383,Products!$A$1:$F$322,2,FALSE)</f>
        <v>Haro Shredder Pro 20 - 2017</v>
      </c>
      <c r="C3383" s="21" t="e">
        <f>VLOOKUP(A3383,Products!A$322:$D3383,4,FALSE)</f>
        <v>#N/A</v>
      </c>
    </row>
    <row r="3384" spans="1:3" x14ac:dyDescent="0.35">
      <c r="A3384" s="21">
        <v>92</v>
      </c>
      <c r="B3384" t="str">
        <f>VLOOKUP(A3384,Products!$A$1:$F$322,2,FALSE)</f>
        <v>Haro Shredder 20 - 2017</v>
      </c>
      <c r="C3384" s="21" t="e">
        <f>VLOOKUP(A3384,Products!A$322:$D3384,4,FALSE)</f>
        <v>#N/A</v>
      </c>
    </row>
    <row r="3385" spans="1:3" x14ac:dyDescent="0.35">
      <c r="A3385" s="21">
        <v>10</v>
      </c>
      <c r="B3385" t="str">
        <f>VLOOKUP(A3385,Products!$A$1:$F$322,2,FALSE)</f>
        <v>Surly Straggler - 2016</v>
      </c>
      <c r="C3385" s="21" t="e">
        <f>VLOOKUP(A3385,Products!A$322:$D3385,4,FALSE)</f>
        <v>#N/A</v>
      </c>
    </row>
    <row r="3386" spans="1:3" x14ac:dyDescent="0.35">
      <c r="A3386" s="21">
        <v>78</v>
      </c>
      <c r="B3386" t="str">
        <f>VLOOKUP(A3386,Products!$A$1:$F$322,2,FALSE)</f>
        <v>Sun Bicycles Biscayne Tandem CB - 2017</v>
      </c>
      <c r="C3386" s="21" t="e">
        <f>VLOOKUP(A3386,Products!A$322:$D3386,4,FALSE)</f>
        <v>#N/A</v>
      </c>
    </row>
    <row r="3387" spans="1:3" x14ac:dyDescent="0.35">
      <c r="A3387" s="21">
        <v>104</v>
      </c>
      <c r="B3387" t="str">
        <f>VLOOKUP(A3387,Products!$A$1:$F$322,2,FALSE)</f>
        <v>Sun Bicycles Streamway - 2017</v>
      </c>
      <c r="C3387" s="21" t="e">
        <f>VLOOKUP(A3387,Products!A$322:$D3387,4,FALSE)</f>
        <v>#N/A</v>
      </c>
    </row>
    <row r="3388" spans="1:3" x14ac:dyDescent="0.35">
      <c r="A3388" s="21">
        <v>95</v>
      </c>
      <c r="B3388" t="str">
        <f>VLOOKUP(A3388,Products!$A$1:$F$322,2,FALSE)</f>
        <v>Electra Girl's Hawaii 1 16" - 2017</v>
      </c>
      <c r="C3388" s="21" t="e">
        <f>VLOOKUP(A3388,Products!A$322:$D3388,4,FALSE)</f>
        <v>#N/A</v>
      </c>
    </row>
    <row r="3389" spans="1:3" x14ac:dyDescent="0.35">
      <c r="A3389" s="21">
        <v>17</v>
      </c>
      <c r="B3389" t="str">
        <f>VLOOKUP(A3389,Products!$A$1:$F$322,2,FALSE)</f>
        <v>Pure Cycles Vine 8-Speed - 2016</v>
      </c>
      <c r="C3389" s="21" t="e">
        <f>VLOOKUP(A3389,Products!A$322:$D3389,4,FALSE)</f>
        <v>#N/A</v>
      </c>
    </row>
    <row r="3390" spans="1:3" x14ac:dyDescent="0.35">
      <c r="A3390" s="21">
        <v>68</v>
      </c>
      <c r="B3390" t="str">
        <f>VLOOKUP(A3390,Products!$A$1:$F$322,2,FALSE)</f>
        <v>Sun Bicycles Cruz 3 - 2017</v>
      </c>
      <c r="C3390" s="21" t="e">
        <f>VLOOKUP(A3390,Products!A$322:$D3390,4,FALSE)</f>
        <v>#N/A</v>
      </c>
    </row>
    <row r="3391" spans="1:3" x14ac:dyDescent="0.35">
      <c r="A3391" s="21">
        <v>103</v>
      </c>
      <c r="B3391" t="str">
        <f>VLOOKUP(A3391,Products!$A$1:$F$322,2,FALSE)</f>
        <v>Sun Bicycles Streamway 3 - 2017</v>
      </c>
      <c r="C3391" s="21" t="e">
        <f>VLOOKUP(A3391,Products!A$322:$D3391,4,FALSE)</f>
        <v>#N/A</v>
      </c>
    </row>
    <row r="3392" spans="1:3" x14ac:dyDescent="0.35">
      <c r="A3392" s="21">
        <v>110</v>
      </c>
      <c r="B3392" t="str">
        <f>VLOOKUP(A3392,Products!$A$1:$F$322,2,FALSE)</f>
        <v>Sun Bicycles Drifter 7 - 2017</v>
      </c>
      <c r="C3392" s="21" t="e">
        <f>VLOOKUP(A3392,Products!A$322:$D3392,4,FALSE)</f>
        <v>#N/A</v>
      </c>
    </row>
    <row r="3393" spans="1:3" x14ac:dyDescent="0.35">
      <c r="A3393" s="21">
        <v>6</v>
      </c>
      <c r="B3393" t="str">
        <f>VLOOKUP(A3393,Products!$A$1:$F$322,2,FALSE)</f>
        <v>Surly Ice Cream Truck Frameset - 2016</v>
      </c>
      <c r="C3393" s="21" t="e">
        <f>VLOOKUP(A3393,Products!A$322:$D3393,4,FALSE)</f>
        <v>#N/A</v>
      </c>
    </row>
    <row r="3394" spans="1:3" x14ac:dyDescent="0.35">
      <c r="A3394" s="21">
        <v>106</v>
      </c>
      <c r="B3394" t="str">
        <f>VLOOKUP(A3394,Products!$A$1:$F$322,2,FALSE)</f>
        <v>Sun Bicycles Cruz 3 - 2017</v>
      </c>
      <c r="C3394" s="21" t="e">
        <f>VLOOKUP(A3394,Products!A$322:$D3394,4,FALSE)</f>
        <v>#N/A</v>
      </c>
    </row>
    <row r="3395" spans="1:3" x14ac:dyDescent="0.35">
      <c r="A3395" s="21">
        <v>58</v>
      </c>
      <c r="B3395" t="str">
        <f>VLOOKUP(A3395,Products!$A$1:$F$322,2,FALSE)</f>
        <v>Trek Madone 9.2 - 2017</v>
      </c>
      <c r="C3395" s="21" t="e">
        <f>VLOOKUP(A3395,Products!A$322:$D3395,4,FALSE)</f>
        <v>#N/A</v>
      </c>
    </row>
    <row r="3396" spans="1:3" x14ac:dyDescent="0.35">
      <c r="A3396" s="21">
        <v>65</v>
      </c>
      <c r="B3396" t="str">
        <f>VLOOKUP(A3396,Products!$A$1:$F$322,2,FALSE)</f>
        <v>Sun Bicycles Lil Bolt Type-R - 2017</v>
      </c>
      <c r="C3396" s="21" t="e">
        <f>VLOOKUP(A3396,Products!A$322:$D3396,4,FALSE)</f>
        <v>#N/A</v>
      </c>
    </row>
    <row r="3397" spans="1:3" x14ac:dyDescent="0.35">
      <c r="A3397" s="21">
        <v>20</v>
      </c>
      <c r="B3397" t="str">
        <f>VLOOKUP(A3397,Products!$A$1:$F$322,2,FALSE)</f>
        <v>Electra Townie Original 7D EQ - Women's - 2016</v>
      </c>
      <c r="C3397" s="21" t="e">
        <f>VLOOKUP(A3397,Products!A$322:$D3397,4,FALSE)</f>
        <v>#N/A</v>
      </c>
    </row>
    <row r="3398" spans="1:3" x14ac:dyDescent="0.35">
      <c r="A3398" s="21">
        <v>3</v>
      </c>
      <c r="B3398" t="str">
        <f>VLOOKUP(A3398,Products!$A$1:$F$322,2,FALSE)</f>
        <v>Surly Wednesday Frameset - 2016</v>
      </c>
      <c r="C3398" s="21" t="e">
        <f>VLOOKUP(A3398,Products!A$322:$D3398,4,FALSE)</f>
        <v>#N/A</v>
      </c>
    </row>
    <row r="3399" spans="1:3" x14ac:dyDescent="0.35">
      <c r="A3399" s="21">
        <v>9</v>
      </c>
      <c r="B3399" t="str">
        <f>VLOOKUP(A3399,Products!$A$1:$F$322,2,FALSE)</f>
        <v>Trek Conduit+ - 2016</v>
      </c>
      <c r="C3399" s="21" t="e">
        <f>VLOOKUP(A3399,Products!A$322:$D3399,4,FALSE)</f>
        <v>#N/A</v>
      </c>
    </row>
    <row r="3400" spans="1:3" x14ac:dyDescent="0.35">
      <c r="A3400" s="21">
        <v>87</v>
      </c>
      <c r="B3400" t="str">
        <f>VLOOKUP(A3400,Products!$A$1:$F$322,2,FALSE)</f>
        <v>Trek Precaliber 12 Boys - 2017</v>
      </c>
      <c r="C3400" s="21" t="e">
        <f>VLOOKUP(A3400,Products!A$322:$D3400,4,FALSE)</f>
        <v>#N/A</v>
      </c>
    </row>
    <row r="3401" spans="1:3" x14ac:dyDescent="0.35">
      <c r="A3401" s="21">
        <v>62</v>
      </c>
      <c r="B3401" t="str">
        <f>VLOOKUP(A3401,Products!$A$1:$F$322,2,FALSE)</f>
        <v>Trek Boone 7 - 2017</v>
      </c>
      <c r="C3401" s="21" t="e">
        <f>VLOOKUP(A3401,Products!A$322:$D3401,4,FALSE)</f>
        <v>#N/A</v>
      </c>
    </row>
    <row r="3402" spans="1:3" x14ac:dyDescent="0.35">
      <c r="A3402" s="21">
        <v>74</v>
      </c>
      <c r="B3402" t="str">
        <f>VLOOKUP(A3402,Products!$A$1:$F$322,2,FALSE)</f>
        <v>Electra Cruiser Lux 1 - 2017</v>
      </c>
      <c r="C3402" s="21" t="e">
        <f>VLOOKUP(A3402,Products!A$322:$D3402,4,FALSE)</f>
        <v>#N/A</v>
      </c>
    </row>
    <row r="3403" spans="1:3" x14ac:dyDescent="0.35">
      <c r="A3403" s="21">
        <v>46</v>
      </c>
      <c r="B3403" t="str">
        <f>VLOOKUP(A3403,Products!$A$1:$F$322,2,FALSE)</f>
        <v>Haro SR 1.3 - 2017</v>
      </c>
      <c r="C3403" s="21" t="e">
        <f>VLOOKUP(A3403,Products!A$322:$D3403,4,FALSE)</f>
        <v>#N/A</v>
      </c>
    </row>
    <row r="3404" spans="1:3" x14ac:dyDescent="0.35">
      <c r="A3404" s="21">
        <v>77</v>
      </c>
      <c r="B3404" t="str">
        <f>VLOOKUP(A3404,Products!$A$1:$F$322,2,FALSE)</f>
        <v>Electra Glam Punk 3i Ladies' - 2017</v>
      </c>
      <c r="C3404" s="21" t="e">
        <f>VLOOKUP(A3404,Products!A$322:$D3404,4,FALSE)</f>
        <v>#N/A</v>
      </c>
    </row>
    <row r="3405" spans="1:3" x14ac:dyDescent="0.35">
      <c r="A3405" s="21">
        <v>108</v>
      </c>
      <c r="B3405" t="str">
        <f>VLOOKUP(A3405,Products!$A$1:$F$322,2,FALSE)</f>
        <v>Sun Bicycles Cruz 3 - Women's - 2017</v>
      </c>
      <c r="C3405" s="21" t="e">
        <f>VLOOKUP(A3405,Products!A$322:$D3405,4,FALSE)</f>
        <v>#N/A</v>
      </c>
    </row>
    <row r="3406" spans="1:3" x14ac:dyDescent="0.35">
      <c r="A3406" s="21">
        <v>13</v>
      </c>
      <c r="B3406" t="str">
        <f>VLOOKUP(A3406,Products!$A$1:$F$322,2,FALSE)</f>
        <v>Electra Cruiser 1 (24-Inch) - 2016</v>
      </c>
      <c r="C3406" s="21" t="e">
        <f>VLOOKUP(A3406,Products!A$322:$D3406,4,FALSE)</f>
        <v>#N/A</v>
      </c>
    </row>
    <row r="3407" spans="1:3" x14ac:dyDescent="0.35">
      <c r="A3407" s="21">
        <v>93</v>
      </c>
      <c r="B3407" t="str">
        <f>VLOOKUP(A3407,Products!$A$1:$F$322,2,FALSE)</f>
        <v>Haro Shredder 20 Girls - 2017</v>
      </c>
      <c r="C3407" s="21" t="e">
        <f>VLOOKUP(A3407,Products!A$322:$D3407,4,FALSE)</f>
        <v>#N/A</v>
      </c>
    </row>
    <row r="3408" spans="1:3" x14ac:dyDescent="0.35">
      <c r="A3408" s="21">
        <v>88</v>
      </c>
      <c r="B3408" t="str">
        <f>VLOOKUP(A3408,Products!$A$1:$F$322,2,FALSE)</f>
        <v>Trek Precaliber 12 Girls - 2017</v>
      </c>
      <c r="C3408" s="21" t="e">
        <f>VLOOKUP(A3408,Products!A$322:$D3408,4,FALSE)</f>
        <v>#N/A</v>
      </c>
    </row>
    <row r="3409" spans="1:3" x14ac:dyDescent="0.35">
      <c r="A3409" s="21">
        <v>33</v>
      </c>
      <c r="B3409" t="str">
        <f>VLOOKUP(A3409,Products!$A$1:$F$322,2,FALSE)</f>
        <v>Surly Wednesday Frameset - 2017</v>
      </c>
      <c r="C3409" s="21" t="e">
        <f>VLOOKUP(A3409,Products!A$322:$D3409,4,FALSE)</f>
        <v>#N/A</v>
      </c>
    </row>
    <row r="3410" spans="1:3" x14ac:dyDescent="0.35">
      <c r="A3410" s="21">
        <v>50</v>
      </c>
      <c r="B3410" t="str">
        <f>VLOOKUP(A3410,Products!$A$1:$F$322,2,FALSE)</f>
        <v>Trek Silque SLR 7 Women's - 2017</v>
      </c>
      <c r="C3410" s="21" t="e">
        <f>VLOOKUP(A3410,Products!A$322:$D3410,4,FALSE)</f>
        <v>#N/A</v>
      </c>
    </row>
    <row r="3411" spans="1:3" x14ac:dyDescent="0.35">
      <c r="A3411" s="21">
        <v>66</v>
      </c>
      <c r="B3411" t="str">
        <f>VLOOKUP(A3411,Products!$A$1:$F$322,2,FALSE)</f>
        <v>Sun Bicycles Revolutions 24 - 2017</v>
      </c>
      <c r="C3411" s="21" t="e">
        <f>VLOOKUP(A3411,Products!A$322:$D3411,4,FALSE)</f>
        <v>#N/A</v>
      </c>
    </row>
    <row r="3412" spans="1:3" x14ac:dyDescent="0.35">
      <c r="A3412" s="21">
        <v>98</v>
      </c>
      <c r="B3412" t="str">
        <f>VLOOKUP(A3412,Products!$A$1:$F$322,2,FALSE)</f>
        <v>Electra Straight 8 3i (20-inch) - Boy's - 2017</v>
      </c>
      <c r="C3412" s="21" t="e">
        <f>VLOOKUP(A3412,Products!A$322:$D3412,4,FALSE)</f>
        <v>#N/A</v>
      </c>
    </row>
    <row r="3413" spans="1:3" x14ac:dyDescent="0.35">
      <c r="A3413" s="21">
        <v>35</v>
      </c>
      <c r="B3413" t="str">
        <f>VLOOKUP(A3413,Products!$A$1:$F$322,2,FALSE)</f>
        <v>Sun Bicycles Spider 3i - 2017</v>
      </c>
      <c r="C3413" s="21" t="e">
        <f>VLOOKUP(A3413,Products!A$322:$D3413,4,FALSE)</f>
        <v>#N/A</v>
      </c>
    </row>
    <row r="3414" spans="1:3" x14ac:dyDescent="0.35">
      <c r="A3414" s="21">
        <v>49</v>
      </c>
      <c r="B3414" t="str">
        <f>VLOOKUP(A3414,Products!$A$1:$F$322,2,FALSE)</f>
        <v>Trek Domane SL 6 - 2017</v>
      </c>
      <c r="C3414" s="21" t="e">
        <f>VLOOKUP(A3414,Products!A$322:$D3414,4,FALSE)</f>
        <v>#N/A</v>
      </c>
    </row>
    <row r="3415" spans="1:3" x14ac:dyDescent="0.35">
      <c r="A3415" s="21">
        <v>63</v>
      </c>
      <c r="B3415" t="str">
        <f>VLOOKUP(A3415,Products!$A$1:$F$322,2,FALSE)</f>
        <v>Trek Boone Race Shop Limited - 2017</v>
      </c>
      <c r="C3415" s="21" t="e">
        <f>VLOOKUP(A3415,Products!A$322:$D3415,4,FALSE)</f>
        <v>#N/A</v>
      </c>
    </row>
    <row r="3416" spans="1:3" x14ac:dyDescent="0.35">
      <c r="A3416" s="21">
        <v>80</v>
      </c>
      <c r="B3416" t="str">
        <f>VLOOKUP(A3416,Products!$A$1:$F$322,2,FALSE)</f>
        <v>Sun Bicycles Brickell Tandem CB - 2017</v>
      </c>
      <c r="C3416" s="21" t="e">
        <f>VLOOKUP(A3416,Products!A$322:$D3416,4,FALSE)</f>
        <v>#N/A</v>
      </c>
    </row>
    <row r="3417" spans="1:3" x14ac:dyDescent="0.35">
      <c r="A3417" s="21">
        <v>6</v>
      </c>
      <c r="B3417" t="str">
        <f>VLOOKUP(A3417,Products!$A$1:$F$322,2,FALSE)</f>
        <v>Surly Ice Cream Truck Frameset - 2016</v>
      </c>
      <c r="C3417" s="21" t="e">
        <f>VLOOKUP(A3417,Products!A$322:$D3417,4,FALSE)</f>
        <v>#N/A</v>
      </c>
    </row>
    <row r="3418" spans="1:3" x14ac:dyDescent="0.35">
      <c r="A3418" s="21">
        <v>16</v>
      </c>
      <c r="B3418" t="str">
        <f>VLOOKUP(A3418,Products!$A$1:$F$322,2,FALSE)</f>
        <v>Electra Townie Original 7D EQ - 2016</v>
      </c>
      <c r="C3418" s="21" t="e">
        <f>VLOOKUP(A3418,Products!A$322:$D3418,4,FALSE)</f>
        <v>#N/A</v>
      </c>
    </row>
    <row r="3419" spans="1:3" x14ac:dyDescent="0.35">
      <c r="A3419" s="21">
        <v>71</v>
      </c>
      <c r="B3419" t="str">
        <f>VLOOKUP(A3419,Products!$A$1:$F$322,2,FALSE)</f>
        <v>Sun Bicycles Atlas X-Type - 2017</v>
      </c>
      <c r="C3419" s="21" t="e">
        <f>VLOOKUP(A3419,Products!A$322:$D3419,4,FALSE)</f>
        <v>#N/A</v>
      </c>
    </row>
    <row r="3420" spans="1:3" x14ac:dyDescent="0.35">
      <c r="A3420" s="21">
        <v>19</v>
      </c>
      <c r="B3420" t="str">
        <f>VLOOKUP(A3420,Products!$A$1:$F$322,2,FALSE)</f>
        <v>Pure Cycles William 3-Speed - 2016</v>
      </c>
      <c r="C3420" s="21" t="e">
        <f>VLOOKUP(A3420,Products!A$322:$D3420,4,FALSE)</f>
        <v>#N/A</v>
      </c>
    </row>
    <row r="3421" spans="1:3" x14ac:dyDescent="0.35">
      <c r="A3421" s="21">
        <v>21</v>
      </c>
      <c r="B3421" t="str">
        <f>VLOOKUP(A3421,Products!$A$1:$F$322,2,FALSE)</f>
        <v>Electra Cruiser 1 (24-Inch) - 2016</v>
      </c>
      <c r="C3421" s="21" t="e">
        <f>VLOOKUP(A3421,Products!A$322:$D3421,4,FALSE)</f>
        <v>#N/A</v>
      </c>
    </row>
    <row r="3422" spans="1:3" x14ac:dyDescent="0.35">
      <c r="A3422" s="21">
        <v>63</v>
      </c>
      <c r="B3422" t="str">
        <f>VLOOKUP(A3422,Products!$A$1:$F$322,2,FALSE)</f>
        <v>Trek Boone Race Shop Limited - 2017</v>
      </c>
      <c r="C3422" s="21" t="e">
        <f>VLOOKUP(A3422,Products!A$322:$D3422,4,FALSE)</f>
        <v>#N/A</v>
      </c>
    </row>
    <row r="3423" spans="1:3" x14ac:dyDescent="0.35">
      <c r="A3423" s="21">
        <v>80</v>
      </c>
      <c r="B3423" t="str">
        <f>VLOOKUP(A3423,Products!$A$1:$F$322,2,FALSE)</f>
        <v>Sun Bicycles Brickell Tandem CB - 2017</v>
      </c>
      <c r="C3423" s="21" t="e">
        <f>VLOOKUP(A3423,Products!A$322:$D3423,4,FALSE)</f>
        <v>#N/A</v>
      </c>
    </row>
    <row r="3424" spans="1:3" x14ac:dyDescent="0.35">
      <c r="A3424" s="21">
        <v>48</v>
      </c>
      <c r="B3424" t="str">
        <f>VLOOKUP(A3424,Products!$A$1:$F$322,2,FALSE)</f>
        <v>Trek Emonda S 4 - 2017</v>
      </c>
      <c r="C3424" s="21" t="e">
        <f>VLOOKUP(A3424,Products!A$322:$D3424,4,FALSE)</f>
        <v>#N/A</v>
      </c>
    </row>
    <row r="3425" spans="1:3" x14ac:dyDescent="0.35">
      <c r="A3425" s="21">
        <v>49</v>
      </c>
      <c r="B3425" t="str">
        <f>VLOOKUP(A3425,Products!$A$1:$F$322,2,FALSE)</f>
        <v>Trek Domane SL 6 - 2017</v>
      </c>
      <c r="C3425" s="21" t="e">
        <f>VLOOKUP(A3425,Products!A$322:$D3425,4,FALSE)</f>
        <v>#N/A</v>
      </c>
    </row>
    <row r="3426" spans="1:3" x14ac:dyDescent="0.35">
      <c r="A3426" s="21">
        <v>106</v>
      </c>
      <c r="B3426" t="str">
        <f>VLOOKUP(A3426,Products!$A$1:$F$322,2,FALSE)</f>
        <v>Sun Bicycles Cruz 3 - 2017</v>
      </c>
      <c r="C3426" s="21" t="e">
        <f>VLOOKUP(A3426,Products!A$322:$D3426,4,FALSE)</f>
        <v>#N/A</v>
      </c>
    </row>
    <row r="3427" spans="1:3" x14ac:dyDescent="0.35">
      <c r="A3427" s="21">
        <v>27</v>
      </c>
      <c r="B3427" t="str">
        <f>VLOOKUP(A3427,Products!$A$1:$F$322,2,FALSE)</f>
        <v>Surly Big Dummy Frameset - 2017</v>
      </c>
      <c r="C3427" s="21" t="e">
        <f>VLOOKUP(A3427,Products!A$322:$D3427,4,FALSE)</f>
        <v>#N/A</v>
      </c>
    </row>
    <row r="3428" spans="1:3" x14ac:dyDescent="0.35">
      <c r="A3428" s="21">
        <v>36</v>
      </c>
      <c r="B3428" t="str">
        <f>VLOOKUP(A3428,Products!$A$1:$F$322,2,FALSE)</f>
        <v>Surly Troll Frameset - 2017</v>
      </c>
      <c r="C3428" s="21" t="e">
        <f>VLOOKUP(A3428,Products!A$322:$D3428,4,FALSE)</f>
        <v>#N/A</v>
      </c>
    </row>
    <row r="3429" spans="1:3" x14ac:dyDescent="0.35">
      <c r="A3429" s="21">
        <v>79</v>
      </c>
      <c r="B3429" t="str">
        <f>VLOOKUP(A3429,Products!$A$1:$F$322,2,FALSE)</f>
        <v>Sun Bicycles Boardwalk (24-inch Wheels) - 2017</v>
      </c>
      <c r="C3429" s="21" t="e">
        <f>VLOOKUP(A3429,Products!A$322:$D3429,4,FALSE)</f>
        <v>#N/A</v>
      </c>
    </row>
    <row r="3430" spans="1:3" x14ac:dyDescent="0.35">
      <c r="A3430" s="21">
        <v>4</v>
      </c>
      <c r="B3430" t="str">
        <f>VLOOKUP(A3430,Products!$A$1:$F$322,2,FALSE)</f>
        <v>Trek Fuel EX 8 29 - 2016</v>
      </c>
      <c r="C3430" s="21" t="e">
        <f>VLOOKUP(A3430,Products!A$322:$D3430,4,FALSE)</f>
        <v>#N/A</v>
      </c>
    </row>
    <row r="3431" spans="1:3" x14ac:dyDescent="0.35">
      <c r="A3431" s="21">
        <v>53</v>
      </c>
      <c r="B3431" t="str">
        <f>VLOOKUP(A3431,Products!$A$1:$F$322,2,FALSE)</f>
        <v>Surly Ogre Frameset - 2017</v>
      </c>
      <c r="C3431" s="21" t="e">
        <f>VLOOKUP(A3431,Products!A$322:$D3431,4,FALSE)</f>
        <v>#N/A</v>
      </c>
    </row>
    <row r="3432" spans="1:3" x14ac:dyDescent="0.35">
      <c r="A3432" s="21">
        <v>66</v>
      </c>
      <c r="B3432" t="str">
        <f>VLOOKUP(A3432,Products!$A$1:$F$322,2,FALSE)</f>
        <v>Sun Bicycles Revolutions 24 - 2017</v>
      </c>
      <c r="C3432" s="21" t="e">
        <f>VLOOKUP(A3432,Products!A$322:$D3432,4,FALSE)</f>
        <v>#N/A</v>
      </c>
    </row>
    <row r="3433" spans="1:3" x14ac:dyDescent="0.35">
      <c r="A3433" s="21">
        <v>91</v>
      </c>
      <c r="B3433" t="str">
        <f>VLOOKUP(A3433,Products!$A$1:$F$322,2,FALSE)</f>
        <v>Trek Precaliber 24 (21-Speed) - Girls - 2017</v>
      </c>
      <c r="C3433" s="21" t="e">
        <f>VLOOKUP(A3433,Products!A$322:$D3433,4,FALSE)</f>
        <v>#N/A</v>
      </c>
    </row>
    <row r="3434" spans="1:3" x14ac:dyDescent="0.35">
      <c r="A3434" s="21">
        <v>87</v>
      </c>
      <c r="B3434" t="str">
        <f>VLOOKUP(A3434,Products!$A$1:$F$322,2,FALSE)</f>
        <v>Trek Precaliber 12 Boys - 2017</v>
      </c>
      <c r="C3434" s="21" t="e">
        <f>VLOOKUP(A3434,Products!A$322:$D3434,4,FALSE)</f>
        <v>#N/A</v>
      </c>
    </row>
    <row r="3435" spans="1:3" x14ac:dyDescent="0.35">
      <c r="A3435" s="21">
        <v>55</v>
      </c>
      <c r="B3435" t="str">
        <f>VLOOKUP(A3435,Products!$A$1:$F$322,2,FALSE)</f>
        <v>Trek Domane S 6 - 2017</v>
      </c>
      <c r="C3435" s="21" t="e">
        <f>VLOOKUP(A3435,Products!A$322:$D3435,4,FALSE)</f>
        <v>#N/A</v>
      </c>
    </row>
    <row r="3436" spans="1:3" x14ac:dyDescent="0.35">
      <c r="A3436" s="21">
        <v>102</v>
      </c>
      <c r="B3436" t="str">
        <f>VLOOKUP(A3436,Products!$A$1:$F$322,2,FALSE)</f>
        <v>Electra Townie Original 7D - 2017</v>
      </c>
      <c r="C3436" s="21" t="e">
        <f>VLOOKUP(A3436,Products!A$322:$D3436,4,FALSE)</f>
        <v>#N/A</v>
      </c>
    </row>
    <row r="3437" spans="1:3" x14ac:dyDescent="0.35">
      <c r="A3437" s="21">
        <v>40</v>
      </c>
      <c r="B3437" t="str">
        <f>VLOOKUP(A3437,Products!$A$1:$F$322,2,FALSE)</f>
        <v>Trek Fuel EX 9.8 29 - 2017</v>
      </c>
      <c r="C3437" s="21" t="e">
        <f>VLOOKUP(A3437,Products!A$322:$D3437,4,FALSE)</f>
        <v>#N/A</v>
      </c>
    </row>
    <row r="3438" spans="1:3" x14ac:dyDescent="0.35">
      <c r="A3438" s="21">
        <v>71</v>
      </c>
      <c r="B3438" t="str">
        <f>VLOOKUP(A3438,Products!$A$1:$F$322,2,FALSE)</f>
        <v>Sun Bicycles Atlas X-Type - 2017</v>
      </c>
      <c r="C3438" s="21" t="e">
        <f>VLOOKUP(A3438,Products!A$322:$D3438,4,FALSE)</f>
        <v>#N/A</v>
      </c>
    </row>
    <row r="3439" spans="1:3" x14ac:dyDescent="0.35">
      <c r="A3439" s="21">
        <v>40</v>
      </c>
      <c r="B3439" t="str">
        <f>VLOOKUP(A3439,Products!$A$1:$F$322,2,FALSE)</f>
        <v>Trek Fuel EX 9.8 29 - 2017</v>
      </c>
      <c r="C3439" s="21" t="e">
        <f>VLOOKUP(A3439,Products!A$322:$D3439,4,FALSE)</f>
        <v>#N/A</v>
      </c>
    </row>
    <row r="3440" spans="1:3" x14ac:dyDescent="0.35">
      <c r="A3440" s="21">
        <v>89</v>
      </c>
      <c r="B3440" t="str">
        <f>VLOOKUP(A3440,Products!$A$1:$F$322,2,FALSE)</f>
        <v>Trek Precaliber 16 Boys - 2017</v>
      </c>
      <c r="C3440" s="21" t="e">
        <f>VLOOKUP(A3440,Products!A$322:$D3440,4,FALSE)</f>
        <v>#N/A</v>
      </c>
    </row>
    <row r="3441" spans="1:3" x14ac:dyDescent="0.35">
      <c r="A3441" s="21">
        <v>100</v>
      </c>
      <c r="B3441" t="str">
        <f>VLOOKUP(A3441,Products!$A$1:$F$322,2,FALSE)</f>
        <v>Electra Townie 3i EQ (20-inch) - Boys' - 2017</v>
      </c>
      <c r="C3441" s="21" t="e">
        <f>VLOOKUP(A3441,Products!A$322:$D3441,4,FALSE)</f>
        <v>#N/A</v>
      </c>
    </row>
    <row r="3442" spans="1:3" x14ac:dyDescent="0.35">
      <c r="A3442" s="21">
        <v>24</v>
      </c>
      <c r="B3442" t="str">
        <f>VLOOKUP(A3442,Products!$A$1:$F$322,2,FALSE)</f>
        <v>Electra Townie Original 21D - 2016</v>
      </c>
      <c r="C3442" s="21" t="e">
        <f>VLOOKUP(A3442,Products!A$322:$D3442,4,FALSE)</f>
        <v>#N/A</v>
      </c>
    </row>
    <row r="3443" spans="1:3" x14ac:dyDescent="0.35">
      <c r="A3443" s="21">
        <v>88</v>
      </c>
      <c r="B3443" t="str">
        <f>VLOOKUP(A3443,Products!$A$1:$F$322,2,FALSE)</f>
        <v>Trek Precaliber 12 Girls - 2017</v>
      </c>
      <c r="C3443" s="21" t="e">
        <f>VLOOKUP(A3443,Products!A$322:$D3443,4,FALSE)</f>
        <v>#N/A</v>
      </c>
    </row>
    <row r="3444" spans="1:3" x14ac:dyDescent="0.35">
      <c r="A3444" s="21">
        <v>37</v>
      </c>
      <c r="B3444" t="str">
        <f>VLOOKUP(A3444,Products!$A$1:$F$322,2,FALSE)</f>
        <v>Haro Flightline One ST - 2017</v>
      </c>
      <c r="C3444" s="21" t="e">
        <f>VLOOKUP(A3444,Products!A$322:$D3444,4,FALSE)</f>
        <v>#N/A</v>
      </c>
    </row>
    <row r="3445" spans="1:3" x14ac:dyDescent="0.35">
      <c r="A3445" s="21">
        <v>83</v>
      </c>
      <c r="B3445" t="str">
        <f>VLOOKUP(A3445,Products!$A$1:$F$322,2,FALSE)</f>
        <v>Trek Boy's Kickster - 2015/2017</v>
      </c>
      <c r="C3445" s="21" t="e">
        <f>VLOOKUP(A3445,Products!A$322:$D3445,4,FALSE)</f>
        <v>#N/A</v>
      </c>
    </row>
    <row r="3446" spans="1:3" x14ac:dyDescent="0.35">
      <c r="A3446" s="21">
        <v>27</v>
      </c>
      <c r="B3446" t="str">
        <f>VLOOKUP(A3446,Products!$A$1:$F$322,2,FALSE)</f>
        <v>Surly Big Dummy Frameset - 2017</v>
      </c>
      <c r="C3446" s="21" t="e">
        <f>VLOOKUP(A3446,Products!A$322:$D3446,4,FALSE)</f>
        <v>#N/A</v>
      </c>
    </row>
    <row r="3447" spans="1:3" x14ac:dyDescent="0.35">
      <c r="A3447" s="21">
        <v>71</v>
      </c>
      <c r="B3447" t="str">
        <f>VLOOKUP(A3447,Products!$A$1:$F$322,2,FALSE)</f>
        <v>Sun Bicycles Atlas X-Type - 2017</v>
      </c>
      <c r="C3447" s="21" t="e">
        <f>VLOOKUP(A3447,Products!A$322:$D3447,4,FALSE)</f>
        <v>#N/A</v>
      </c>
    </row>
    <row r="3448" spans="1:3" x14ac:dyDescent="0.35">
      <c r="A3448" s="21">
        <v>7</v>
      </c>
      <c r="B3448" t="str">
        <f>VLOOKUP(A3448,Products!$A$1:$F$322,2,FALSE)</f>
        <v>Trek Slash 8 27.5 - 2016</v>
      </c>
      <c r="C3448" s="21" t="e">
        <f>VLOOKUP(A3448,Products!A$322:$D3448,4,FALSE)</f>
        <v>#N/A</v>
      </c>
    </row>
    <row r="3449" spans="1:3" x14ac:dyDescent="0.35">
      <c r="A3449" s="21">
        <v>105</v>
      </c>
      <c r="B3449" t="str">
        <f>VLOOKUP(A3449,Products!$A$1:$F$322,2,FALSE)</f>
        <v>Sun Bicycles Streamway 7 - 2017</v>
      </c>
      <c r="C3449" s="21" t="e">
        <f>VLOOKUP(A3449,Products!A$322:$D3449,4,FALSE)</f>
        <v>#N/A</v>
      </c>
    </row>
    <row r="3450" spans="1:3" x14ac:dyDescent="0.35">
      <c r="A3450" s="21">
        <v>84</v>
      </c>
      <c r="B3450" t="str">
        <f>VLOOKUP(A3450,Products!$A$1:$F$322,2,FALSE)</f>
        <v>Sun Bicycles Lil Kitt'n - 2017</v>
      </c>
      <c r="C3450" s="21" t="e">
        <f>VLOOKUP(A3450,Products!A$322:$D3450,4,FALSE)</f>
        <v>#N/A</v>
      </c>
    </row>
    <row r="3451" spans="1:3" x14ac:dyDescent="0.35">
      <c r="A3451" s="21">
        <v>52</v>
      </c>
      <c r="B3451" t="str">
        <f>VLOOKUP(A3451,Products!$A$1:$F$322,2,FALSE)</f>
        <v>Surly Steamroller - 2017</v>
      </c>
      <c r="C3451" s="21" t="e">
        <f>VLOOKUP(A3451,Products!A$322:$D3451,4,FALSE)</f>
        <v>#N/A</v>
      </c>
    </row>
    <row r="3452" spans="1:3" x14ac:dyDescent="0.35">
      <c r="A3452" s="21">
        <v>53</v>
      </c>
      <c r="B3452" t="str">
        <f>VLOOKUP(A3452,Products!$A$1:$F$322,2,FALSE)</f>
        <v>Surly Ogre Frameset - 2017</v>
      </c>
      <c r="C3452" s="21" t="e">
        <f>VLOOKUP(A3452,Products!A$322:$D3452,4,FALSE)</f>
        <v>#N/A</v>
      </c>
    </row>
    <row r="3453" spans="1:3" x14ac:dyDescent="0.35">
      <c r="A3453" s="21">
        <v>13</v>
      </c>
      <c r="B3453" t="str">
        <f>VLOOKUP(A3453,Products!$A$1:$F$322,2,FALSE)</f>
        <v>Electra Cruiser 1 (24-Inch) - 2016</v>
      </c>
      <c r="C3453" s="21" t="e">
        <f>VLOOKUP(A3453,Products!A$322:$D3453,4,FALSE)</f>
        <v>#N/A</v>
      </c>
    </row>
    <row r="3454" spans="1:3" x14ac:dyDescent="0.35">
      <c r="A3454" s="21">
        <v>108</v>
      </c>
      <c r="B3454" t="str">
        <f>VLOOKUP(A3454,Products!$A$1:$F$322,2,FALSE)</f>
        <v>Sun Bicycles Cruz 3 - Women's - 2017</v>
      </c>
      <c r="C3454" s="21" t="e">
        <f>VLOOKUP(A3454,Products!A$322:$D3454,4,FALSE)</f>
        <v>#N/A</v>
      </c>
    </row>
    <row r="3455" spans="1:3" x14ac:dyDescent="0.35">
      <c r="A3455" s="21">
        <v>9</v>
      </c>
      <c r="B3455" t="str">
        <f>VLOOKUP(A3455,Products!$A$1:$F$322,2,FALSE)</f>
        <v>Trek Conduit+ - 2016</v>
      </c>
      <c r="C3455" s="21" t="e">
        <f>VLOOKUP(A3455,Products!A$322:$D3455,4,FALSE)</f>
        <v>#N/A</v>
      </c>
    </row>
    <row r="3456" spans="1:3" x14ac:dyDescent="0.35">
      <c r="A3456" s="21">
        <v>106</v>
      </c>
      <c r="B3456" t="str">
        <f>VLOOKUP(A3456,Products!$A$1:$F$322,2,FALSE)</f>
        <v>Sun Bicycles Cruz 3 - 2017</v>
      </c>
      <c r="C3456" s="21" t="e">
        <f>VLOOKUP(A3456,Products!A$322:$D3456,4,FALSE)</f>
        <v>#N/A</v>
      </c>
    </row>
    <row r="3457" spans="1:3" x14ac:dyDescent="0.35">
      <c r="A3457" s="21">
        <v>105</v>
      </c>
      <c r="B3457" t="str">
        <f>VLOOKUP(A3457,Products!$A$1:$F$322,2,FALSE)</f>
        <v>Sun Bicycles Streamway 7 - 2017</v>
      </c>
      <c r="C3457" s="21" t="e">
        <f>VLOOKUP(A3457,Products!A$322:$D3457,4,FALSE)</f>
        <v>#N/A</v>
      </c>
    </row>
    <row r="3458" spans="1:3" x14ac:dyDescent="0.35">
      <c r="A3458" s="21">
        <v>32</v>
      </c>
      <c r="B3458" t="str">
        <f>VLOOKUP(A3458,Products!$A$1:$F$322,2,FALSE)</f>
        <v>Trek Farley Alloy Frameset - 2017</v>
      </c>
      <c r="C3458" s="21" t="e">
        <f>VLOOKUP(A3458,Products!A$322:$D3458,4,FALSE)</f>
        <v>#N/A</v>
      </c>
    </row>
    <row r="3459" spans="1:3" x14ac:dyDescent="0.35">
      <c r="A3459" s="21">
        <v>94</v>
      </c>
      <c r="B3459" t="str">
        <f>VLOOKUP(A3459,Products!$A$1:$F$322,2,FALSE)</f>
        <v>Haro Shredder Pro 20 - 2017</v>
      </c>
      <c r="C3459" s="21" t="e">
        <f>VLOOKUP(A3459,Products!A$322:$D3459,4,FALSE)</f>
        <v>#N/A</v>
      </c>
    </row>
    <row r="3460" spans="1:3" x14ac:dyDescent="0.35">
      <c r="A3460" s="21">
        <v>109</v>
      </c>
      <c r="B3460" t="str">
        <f>VLOOKUP(A3460,Products!$A$1:$F$322,2,FALSE)</f>
        <v>Sun Bicycles Cruz 7 - Women's - 2017</v>
      </c>
      <c r="C3460" s="21" t="e">
        <f>VLOOKUP(A3460,Products!A$322:$D3460,4,FALSE)</f>
        <v>#N/A</v>
      </c>
    </row>
    <row r="3461" spans="1:3" x14ac:dyDescent="0.35">
      <c r="A3461" s="21">
        <v>42</v>
      </c>
      <c r="B3461" t="str">
        <f>VLOOKUP(A3461,Products!$A$1:$F$322,2,FALSE)</f>
        <v>Trek Fuel EX 5 27.5 Plus - 2017</v>
      </c>
      <c r="C3461" s="21" t="e">
        <f>VLOOKUP(A3461,Products!A$322:$D3461,4,FALSE)</f>
        <v>#N/A</v>
      </c>
    </row>
    <row r="3462" spans="1:3" x14ac:dyDescent="0.35">
      <c r="A3462" s="21">
        <v>95</v>
      </c>
      <c r="B3462" t="str">
        <f>VLOOKUP(A3462,Products!$A$1:$F$322,2,FALSE)</f>
        <v>Electra Girl's Hawaii 1 16" - 2017</v>
      </c>
      <c r="C3462" s="21" t="e">
        <f>VLOOKUP(A3462,Products!A$322:$D3462,4,FALSE)</f>
        <v>#N/A</v>
      </c>
    </row>
    <row r="3463" spans="1:3" x14ac:dyDescent="0.35">
      <c r="A3463" s="21">
        <v>13</v>
      </c>
      <c r="B3463" t="str">
        <f>VLOOKUP(A3463,Products!$A$1:$F$322,2,FALSE)</f>
        <v>Electra Cruiser 1 (24-Inch) - 2016</v>
      </c>
      <c r="C3463" s="21" t="e">
        <f>VLOOKUP(A3463,Products!A$322:$D3463,4,FALSE)</f>
        <v>#N/A</v>
      </c>
    </row>
    <row r="3464" spans="1:3" x14ac:dyDescent="0.35">
      <c r="A3464" s="21">
        <v>26</v>
      </c>
      <c r="B3464" t="str">
        <f>VLOOKUP(A3464,Products!$A$1:$F$322,2,FALSE)</f>
        <v>Electra Townie Original 7D EQ - 2016</v>
      </c>
      <c r="C3464" s="21" t="e">
        <f>VLOOKUP(A3464,Products!A$322:$D3464,4,FALSE)</f>
        <v>#N/A</v>
      </c>
    </row>
    <row r="3465" spans="1:3" x14ac:dyDescent="0.35">
      <c r="A3465" s="21">
        <v>17</v>
      </c>
      <c r="B3465" t="str">
        <f>VLOOKUP(A3465,Products!$A$1:$F$322,2,FALSE)</f>
        <v>Pure Cycles Vine 8-Speed - 2016</v>
      </c>
      <c r="C3465" s="21" t="e">
        <f>VLOOKUP(A3465,Products!A$322:$D3465,4,FALSE)</f>
        <v>#N/A</v>
      </c>
    </row>
    <row r="3466" spans="1:3" x14ac:dyDescent="0.35">
      <c r="A3466" s="21">
        <v>19</v>
      </c>
      <c r="B3466" t="str">
        <f>VLOOKUP(A3466,Products!$A$1:$F$322,2,FALSE)</f>
        <v>Pure Cycles William 3-Speed - 2016</v>
      </c>
      <c r="C3466" s="21" t="e">
        <f>VLOOKUP(A3466,Products!A$322:$D3466,4,FALSE)</f>
        <v>#N/A</v>
      </c>
    </row>
    <row r="3467" spans="1:3" x14ac:dyDescent="0.35">
      <c r="A3467" s="21">
        <v>84</v>
      </c>
      <c r="B3467" t="str">
        <f>VLOOKUP(A3467,Products!$A$1:$F$322,2,FALSE)</f>
        <v>Sun Bicycles Lil Kitt'n - 2017</v>
      </c>
      <c r="C3467" s="21" t="e">
        <f>VLOOKUP(A3467,Products!A$322:$D3467,4,FALSE)</f>
        <v>#N/A</v>
      </c>
    </row>
    <row r="3468" spans="1:3" x14ac:dyDescent="0.35">
      <c r="A3468" s="21">
        <v>6</v>
      </c>
      <c r="B3468" t="str">
        <f>VLOOKUP(A3468,Products!$A$1:$F$322,2,FALSE)</f>
        <v>Surly Ice Cream Truck Frameset - 2016</v>
      </c>
      <c r="C3468" s="21" t="e">
        <f>VLOOKUP(A3468,Products!A$322:$D3468,4,FALSE)</f>
        <v>#N/A</v>
      </c>
    </row>
    <row r="3469" spans="1:3" x14ac:dyDescent="0.35">
      <c r="A3469" s="21">
        <v>55</v>
      </c>
      <c r="B3469" t="str">
        <f>VLOOKUP(A3469,Products!$A$1:$F$322,2,FALSE)</f>
        <v>Trek Domane S 6 - 2017</v>
      </c>
      <c r="C3469" s="21" t="e">
        <f>VLOOKUP(A3469,Products!A$322:$D3469,4,FALSE)</f>
        <v>#N/A</v>
      </c>
    </row>
    <row r="3470" spans="1:3" x14ac:dyDescent="0.35">
      <c r="A3470" s="21">
        <v>37</v>
      </c>
      <c r="B3470" t="str">
        <f>VLOOKUP(A3470,Products!$A$1:$F$322,2,FALSE)</f>
        <v>Haro Flightline One ST - 2017</v>
      </c>
      <c r="C3470" s="21" t="e">
        <f>VLOOKUP(A3470,Products!A$322:$D3470,4,FALSE)</f>
        <v>#N/A</v>
      </c>
    </row>
    <row r="3471" spans="1:3" x14ac:dyDescent="0.35">
      <c r="A3471" s="21">
        <v>105</v>
      </c>
      <c r="B3471" t="str">
        <f>VLOOKUP(A3471,Products!$A$1:$F$322,2,FALSE)</f>
        <v>Sun Bicycles Streamway 7 - 2017</v>
      </c>
      <c r="C3471" s="21" t="e">
        <f>VLOOKUP(A3471,Products!A$322:$D3471,4,FALSE)</f>
        <v>#N/A</v>
      </c>
    </row>
    <row r="3472" spans="1:3" x14ac:dyDescent="0.35">
      <c r="A3472" s="21">
        <v>46</v>
      </c>
      <c r="B3472" t="str">
        <f>VLOOKUP(A3472,Products!$A$1:$F$322,2,FALSE)</f>
        <v>Haro SR 1.3 - 2017</v>
      </c>
      <c r="C3472" s="21" t="e">
        <f>VLOOKUP(A3472,Products!A$322:$D3472,4,FALSE)</f>
        <v>#N/A</v>
      </c>
    </row>
    <row r="3473" spans="1:3" x14ac:dyDescent="0.35">
      <c r="A3473" s="21">
        <v>71</v>
      </c>
      <c r="B3473" t="str">
        <f>VLOOKUP(A3473,Products!$A$1:$F$322,2,FALSE)</f>
        <v>Sun Bicycles Atlas X-Type - 2017</v>
      </c>
      <c r="C3473" s="21" t="e">
        <f>VLOOKUP(A3473,Products!A$322:$D3473,4,FALSE)</f>
        <v>#N/A</v>
      </c>
    </row>
    <row r="3474" spans="1:3" x14ac:dyDescent="0.35">
      <c r="A3474" s="21">
        <v>79</v>
      </c>
      <c r="B3474" t="str">
        <f>VLOOKUP(A3474,Products!$A$1:$F$322,2,FALSE)</f>
        <v>Sun Bicycles Boardwalk (24-inch Wheels) - 2017</v>
      </c>
      <c r="C3474" s="21" t="e">
        <f>VLOOKUP(A3474,Products!A$322:$D3474,4,FALSE)</f>
        <v>#N/A</v>
      </c>
    </row>
    <row r="3475" spans="1:3" x14ac:dyDescent="0.35">
      <c r="A3475" s="21">
        <v>92</v>
      </c>
      <c r="B3475" t="str">
        <f>VLOOKUP(A3475,Products!$A$1:$F$322,2,FALSE)</f>
        <v>Haro Shredder 20 - 2017</v>
      </c>
      <c r="C3475" s="21" t="e">
        <f>VLOOKUP(A3475,Products!A$322:$D3475,4,FALSE)</f>
        <v>#N/A</v>
      </c>
    </row>
    <row r="3476" spans="1:3" x14ac:dyDescent="0.35">
      <c r="A3476" s="21">
        <v>73</v>
      </c>
      <c r="B3476" t="str">
        <f>VLOOKUP(A3476,Products!$A$1:$F$322,2,FALSE)</f>
        <v>Sun Bicycles Brickell Tandem 7 - 2017</v>
      </c>
      <c r="C3476" s="21" t="e">
        <f>VLOOKUP(A3476,Products!A$322:$D3476,4,FALSE)</f>
        <v>#N/A</v>
      </c>
    </row>
    <row r="3477" spans="1:3" x14ac:dyDescent="0.35">
      <c r="A3477" s="21">
        <v>29</v>
      </c>
      <c r="B3477" t="str">
        <f>VLOOKUP(A3477,Products!$A$1:$F$322,2,FALSE)</f>
        <v>Trek X-Caliber 8 - 2017</v>
      </c>
      <c r="C3477" s="21" t="e">
        <f>VLOOKUP(A3477,Products!A$322:$D3477,4,FALSE)</f>
        <v>#N/A</v>
      </c>
    </row>
    <row r="3478" spans="1:3" x14ac:dyDescent="0.35">
      <c r="A3478" s="21">
        <v>104</v>
      </c>
      <c r="B3478" t="str">
        <f>VLOOKUP(A3478,Products!$A$1:$F$322,2,FALSE)</f>
        <v>Sun Bicycles Streamway - 2017</v>
      </c>
      <c r="C3478" s="21" t="e">
        <f>VLOOKUP(A3478,Products!A$322:$D3478,4,FALSE)</f>
        <v>#N/A</v>
      </c>
    </row>
    <row r="3479" spans="1:3" x14ac:dyDescent="0.35">
      <c r="A3479" s="21">
        <v>103</v>
      </c>
      <c r="B3479" t="str">
        <f>VLOOKUP(A3479,Products!$A$1:$F$322,2,FALSE)</f>
        <v>Sun Bicycles Streamway 3 - 2017</v>
      </c>
      <c r="C3479" s="21" t="e">
        <f>VLOOKUP(A3479,Products!A$322:$D3479,4,FALSE)</f>
        <v>#N/A</v>
      </c>
    </row>
    <row r="3480" spans="1:3" x14ac:dyDescent="0.35">
      <c r="A3480" s="21">
        <v>23</v>
      </c>
      <c r="B3480" t="str">
        <f>VLOOKUP(A3480,Products!$A$1:$F$322,2,FALSE)</f>
        <v>Electra Girl's Hawaii 1 (20-inch) - 2015/2016</v>
      </c>
      <c r="C3480" s="21" t="e">
        <f>VLOOKUP(A3480,Products!A$322:$D3480,4,FALSE)</f>
        <v>#N/A</v>
      </c>
    </row>
    <row r="3481" spans="1:3" x14ac:dyDescent="0.35">
      <c r="A3481" s="21">
        <v>12</v>
      </c>
      <c r="B3481" t="str">
        <f>VLOOKUP(A3481,Products!$A$1:$F$322,2,FALSE)</f>
        <v>Electra Townie Original 21D - 2016</v>
      </c>
      <c r="C3481" s="21" t="e">
        <f>VLOOKUP(A3481,Products!A$322:$D3481,4,FALSE)</f>
        <v>#N/A</v>
      </c>
    </row>
    <row r="3482" spans="1:3" x14ac:dyDescent="0.35">
      <c r="A3482" s="21">
        <v>65</v>
      </c>
      <c r="B3482" t="str">
        <f>VLOOKUP(A3482,Products!$A$1:$F$322,2,FALSE)</f>
        <v>Sun Bicycles Lil Bolt Type-R - 2017</v>
      </c>
      <c r="C3482" s="21" t="e">
        <f>VLOOKUP(A3482,Products!A$322:$D3482,4,FALSE)</f>
        <v>#N/A</v>
      </c>
    </row>
    <row r="3483" spans="1:3" x14ac:dyDescent="0.35">
      <c r="A3483" s="21">
        <v>86</v>
      </c>
      <c r="B3483" t="str">
        <f>VLOOKUP(A3483,Products!$A$1:$F$322,2,FALSE)</f>
        <v>Trek Girl's Kickster - 2017</v>
      </c>
      <c r="C3483" s="21" t="e">
        <f>VLOOKUP(A3483,Products!A$322:$D3483,4,FALSE)</f>
        <v>#N/A</v>
      </c>
    </row>
    <row r="3484" spans="1:3" x14ac:dyDescent="0.35">
      <c r="A3484" s="21">
        <v>13</v>
      </c>
      <c r="B3484" t="str">
        <f>VLOOKUP(A3484,Products!$A$1:$F$322,2,FALSE)</f>
        <v>Electra Cruiser 1 (24-Inch) - 2016</v>
      </c>
      <c r="C3484" s="21" t="e">
        <f>VLOOKUP(A3484,Products!A$322:$D3484,4,FALSE)</f>
        <v>#N/A</v>
      </c>
    </row>
    <row r="3485" spans="1:3" x14ac:dyDescent="0.35">
      <c r="A3485" s="21">
        <v>87</v>
      </c>
      <c r="B3485" t="str">
        <f>VLOOKUP(A3485,Products!$A$1:$F$322,2,FALSE)</f>
        <v>Trek Precaliber 12 Boys - 2017</v>
      </c>
      <c r="C3485" s="21" t="e">
        <f>VLOOKUP(A3485,Products!A$322:$D3485,4,FALSE)</f>
        <v>#N/A</v>
      </c>
    </row>
    <row r="3486" spans="1:3" x14ac:dyDescent="0.35">
      <c r="A3486" s="21">
        <v>89</v>
      </c>
      <c r="B3486" t="str">
        <f>VLOOKUP(A3486,Products!$A$1:$F$322,2,FALSE)</f>
        <v>Trek Precaliber 16 Boys - 2017</v>
      </c>
      <c r="C3486" s="21" t="e">
        <f>VLOOKUP(A3486,Products!A$322:$D3486,4,FALSE)</f>
        <v>#N/A</v>
      </c>
    </row>
    <row r="3487" spans="1:3" x14ac:dyDescent="0.35">
      <c r="A3487" s="21">
        <v>97</v>
      </c>
      <c r="B3487" t="str">
        <f>VLOOKUP(A3487,Products!$A$1:$F$322,2,FALSE)</f>
        <v>Electra Savannah 3i (20-inch) - Girl's - 2017</v>
      </c>
      <c r="C3487" s="21" t="e">
        <f>VLOOKUP(A3487,Products!A$322:$D3487,4,FALSE)</f>
        <v>#N/A</v>
      </c>
    </row>
    <row r="3488" spans="1:3" x14ac:dyDescent="0.35">
      <c r="A3488" s="21">
        <v>26</v>
      </c>
      <c r="B3488" t="str">
        <f>VLOOKUP(A3488,Products!$A$1:$F$322,2,FALSE)</f>
        <v>Electra Townie Original 7D EQ - 2016</v>
      </c>
      <c r="C3488" s="21" t="e">
        <f>VLOOKUP(A3488,Products!A$322:$D3488,4,FALSE)</f>
        <v>#N/A</v>
      </c>
    </row>
    <row r="3489" spans="1:3" x14ac:dyDescent="0.35">
      <c r="A3489" s="21">
        <v>6</v>
      </c>
      <c r="B3489" t="str">
        <f>VLOOKUP(A3489,Products!$A$1:$F$322,2,FALSE)</f>
        <v>Surly Ice Cream Truck Frameset - 2016</v>
      </c>
      <c r="C3489" s="21" t="e">
        <f>VLOOKUP(A3489,Products!A$322:$D3489,4,FALSE)</f>
        <v>#N/A</v>
      </c>
    </row>
    <row r="3490" spans="1:3" x14ac:dyDescent="0.35">
      <c r="A3490" s="21">
        <v>78</v>
      </c>
      <c r="B3490" t="str">
        <f>VLOOKUP(A3490,Products!$A$1:$F$322,2,FALSE)</f>
        <v>Sun Bicycles Biscayne Tandem CB - 2017</v>
      </c>
      <c r="C3490" s="21" t="e">
        <f>VLOOKUP(A3490,Products!A$322:$D3490,4,FALSE)</f>
        <v>#N/A</v>
      </c>
    </row>
    <row r="3491" spans="1:3" x14ac:dyDescent="0.35">
      <c r="A3491" s="21">
        <v>84</v>
      </c>
      <c r="B3491" t="str">
        <f>VLOOKUP(A3491,Products!$A$1:$F$322,2,FALSE)</f>
        <v>Sun Bicycles Lil Kitt'n - 2017</v>
      </c>
      <c r="C3491" s="21" t="e">
        <f>VLOOKUP(A3491,Products!A$322:$D3491,4,FALSE)</f>
        <v>#N/A</v>
      </c>
    </row>
    <row r="3492" spans="1:3" x14ac:dyDescent="0.35">
      <c r="A3492" s="21">
        <v>35</v>
      </c>
      <c r="B3492" t="str">
        <f>VLOOKUP(A3492,Products!$A$1:$F$322,2,FALSE)</f>
        <v>Sun Bicycles Spider 3i - 2017</v>
      </c>
      <c r="C3492" s="21" t="e">
        <f>VLOOKUP(A3492,Products!A$322:$D3492,4,FALSE)</f>
        <v>#N/A</v>
      </c>
    </row>
    <row r="3493" spans="1:3" x14ac:dyDescent="0.35">
      <c r="A3493" s="21">
        <v>15</v>
      </c>
      <c r="B3493" t="str">
        <f>VLOOKUP(A3493,Products!$A$1:$F$322,2,FALSE)</f>
        <v>Electra Moto 1 - 2016</v>
      </c>
      <c r="C3493" s="21" t="e">
        <f>VLOOKUP(A3493,Products!A$322:$D3493,4,FALSE)</f>
        <v>#N/A</v>
      </c>
    </row>
    <row r="3494" spans="1:3" x14ac:dyDescent="0.35">
      <c r="A3494" s="21">
        <v>59</v>
      </c>
      <c r="B3494" t="str">
        <f>VLOOKUP(A3494,Products!$A$1:$F$322,2,FALSE)</f>
        <v>Trek Domane S 5 Disc - 2017</v>
      </c>
      <c r="C3494" s="21" t="e">
        <f>VLOOKUP(A3494,Products!A$322:$D3494,4,FALSE)</f>
        <v>#N/A</v>
      </c>
    </row>
    <row r="3495" spans="1:3" x14ac:dyDescent="0.35">
      <c r="A3495" s="21">
        <v>92</v>
      </c>
      <c r="B3495" t="str">
        <f>VLOOKUP(A3495,Products!$A$1:$F$322,2,FALSE)</f>
        <v>Haro Shredder 20 - 2017</v>
      </c>
      <c r="C3495" s="21" t="e">
        <f>VLOOKUP(A3495,Products!A$322:$D3495,4,FALSE)</f>
        <v>#N/A</v>
      </c>
    </row>
    <row r="3496" spans="1:3" x14ac:dyDescent="0.35">
      <c r="A3496" s="21">
        <v>93</v>
      </c>
      <c r="B3496" t="str">
        <f>VLOOKUP(A3496,Products!$A$1:$F$322,2,FALSE)</f>
        <v>Haro Shredder 20 Girls - 2017</v>
      </c>
      <c r="C3496" s="21" t="e">
        <f>VLOOKUP(A3496,Products!A$322:$D3496,4,FALSE)</f>
        <v>#N/A</v>
      </c>
    </row>
    <row r="3497" spans="1:3" x14ac:dyDescent="0.35">
      <c r="A3497" s="21">
        <v>108</v>
      </c>
      <c r="B3497" t="str">
        <f>VLOOKUP(A3497,Products!$A$1:$F$322,2,FALSE)</f>
        <v>Sun Bicycles Cruz 3 - Women's - 2017</v>
      </c>
      <c r="C3497" s="21" t="e">
        <f>VLOOKUP(A3497,Products!A$322:$D3497,4,FALSE)</f>
        <v>#N/A</v>
      </c>
    </row>
    <row r="3498" spans="1:3" x14ac:dyDescent="0.35">
      <c r="A3498" s="21">
        <v>74</v>
      </c>
      <c r="B3498" t="str">
        <f>VLOOKUP(A3498,Products!$A$1:$F$322,2,FALSE)</f>
        <v>Electra Cruiser Lux 1 - 2017</v>
      </c>
      <c r="C3498" s="21" t="e">
        <f>VLOOKUP(A3498,Products!A$322:$D3498,4,FALSE)</f>
        <v>#N/A</v>
      </c>
    </row>
    <row r="3499" spans="1:3" x14ac:dyDescent="0.35">
      <c r="A3499" s="21">
        <v>37</v>
      </c>
      <c r="B3499" t="str">
        <f>VLOOKUP(A3499,Products!$A$1:$F$322,2,FALSE)</f>
        <v>Haro Flightline One ST - 2017</v>
      </c>
      <c r="C3499" s="21" t="e">
        <f>VLOOKUP(A3499,Products!A$322:$D3499,4,FALSE)</f>
        <v>#N/A</v>
      </c>
    </row>
    <row r="3500" spans="1:3" x14ac:dyDescent="0.35">
      <c r="A3500" s="21">
        <v>39</v>
      </c>
      <c r="B3500" t="str">
        <f>VLOOKUP(A3500,Products!$A$1:$F$322,2,FALSE)</f>
        <v>Trek Stache 5 - 2017</v>
      </c>
      <c r="C3500" s="21" t="e">
        <f>VLOOKUP(A3500,Products!A$322:$D3500,4,FALSE)</f>
        <v>#N/A</v>
      </c>
    </row>
    <row r="3501" spans="1:3" x14ac:dyDescent="0.35">
      <c r="A3501" s="21">
        <v>68</v>
      </c>
      <c r="B3501" t="str">
        <f>VLOOKUP(A3501,Products!$A$1:$F$322,2,FALSE)</f>
        <v>Sun Bicycles Cruz 3 - 2017</v>
      </c>
      <c r="C3501" s="21" t="e">
        <f>VLOOKUP(A3501,Products!A$322:$D3501,4,FALSE)</f>
        <v>#N/A</v>
      </c>
    </row>
    <row r="3502" spans="1:3" x14ac:dyDescent="0.35">
      <c r="A3502" s="21">
        <v>64</v>
      </c>
      <c r="B3502" t="str">
        <f>VLOOKUP(A3502,Products!$A$1:$F$322,2,FALSE)</f>
        <v>Electra Townie Original 7D - 2017</v>
      </c>
      <c r="C3502" s="21" t="e">
        <f>VLOOKUP(A3502,Products!A$322:$D3502,4,FALSE)</f>
        <v>#N/A</v>
      </c>
    </row>
    <row r="3503" spans="1:3" x14ac:dyDescent="0.35">
      <c r="A3503" s="21">
        <v>78</v>
      </c>
      <c r="B3503" t="str">
        <f>VLOOKUP(A3503,Products!$A$1:$F$322,2,FALSE)</f>
        <v>Sun Bicycles Biscayne Tandem CB - 2017</v>
      </c>
      <c r="C3503" s="21" t="e">
        <f>VLOOKUP(A3503,Products!A$322:$D3503,4,FALSE)</f>
        <v>#N/A</v>
      </c>
    </row>
    <row r="3504" spans="1:3" x14ac:dyDescent="0.35">
      <c r="A3504" s="21">
        <v>102</v>
      </c>
      <c r="B3504" t="str">
        <f>VLOOKUP(A3504,Products!$A$1:$F$322,2,FALSE)</f>
        <v>Electra Townie Original 7D - 2017</v>
      </c>
      <c r="C3504" s="21" t="e">
        <f>VLOOKUP(A3504,Products!A$322:$D3504,4,FALSE)</f>
        <v>#N/A</v>
      </c>
    </row>
    <row r="3505" spans="1:3" x14ac:dyDescent="0.35">
      <c r="A3505" s="21">
        <v>15</v>
      </c>
      <c r="B3505" t="str">
        <f>VLOOKUP(A3505,Products!$A$1:$F$322,2,FALSE)</f>
        <v>Electra Moto 1 - 2016</v>
      </c>
      <c r="C3505" s="21" t="e">
        <f>VLOOKUP(A3505,Products!A$322:$D3505,4,FALSE)</f>
        <v>#N/A</v>
      </c>
    </row>
    <row r="3506" spans="1:3" x14ac:dyDescent="0.35">
      <c r="A3506" s="21">
        <v>9</v>
      </c>
      <c r="B3506" t="str">
        <f>VLOOKUP(A3506,Products!$A$1:$F$322,2,FALSE)</f>
        <v>Trek Conduit+ - 2016</v>
      </c>
      <c r="C3506" s="21" t="e">
        <f>VLOOKUP(A3506,Products!A$322:$D3506,4,FALSE)</f>
        <v>#N/A</v>
      </c>
    </row>
    <row r="3507" spans="1:3" x14ac:dyDescent="0.35">
      <c r="A3507" s="21">
        <v>7</v>
      </c>
      <c r="B3507" t="str">
        <f>VLOOKUP(A3507,Products!$A$1:$F$322,2,FALSE)</f>
        <v>Trek Slash 8 27.5 - 2016</v>
      </c>
      <c r="C3507" s="21" t="e">
        <f>VLOOKUP(A3507,Products!A$322:$D3507,4,FALSE)</f>
        <v>#N/A</v>
      </c>
    </row>
    <row r="3508" spans="1:3" x14ac:dyDescent="0.35">
      <c r="A3508" s="21">
        <v>22</v>
      </c>
      <c r="B3508" t="str">
        <f>VLOOKUP(A3508,Products!$A$1:$F$322,2,FALSE)</f>
        <v>Electra Girl's Hawaii 1 (16-inch) - 2015/2016</v>
      </c>
      <c r="C3508" s="21" t="e">
        <f>VLOOKUP(A3508,Products!A$322:$D3508,4,FALSE)</f>
        <v>#N/A</v>
      </c>
    </row>
    <row r="3509" spans="1:3" x14ac:dyDescent="0.35">
      <c r="A3509" s="21">
        <v>77</v>
      </c>
      <c r="B3509" t="str">
        <f>VLOOKUP(A3509,Products!$A$1:$F$322,2,FALSE)</f>
        <v>Electra Glam Punk 3i Ladies' - 2017</v>
      </c>
      <c r="C3509" s="21" t="e">
        <f>VLOOKUP(A3509,Products!A$322:$D3509,4,FALSE)</f>
        <v>#N/A</v>
      </c>
    </row>
    <row r="3510" spans="1:3" x14ac:dyDescent="0.35">
      <c r="A3510" s="21">
        <v>67</v>
      </c>
      <c r="B3510" t="str">
        <f>VLOOKUP(A3510,Products!$A$1:$F$322,2,FALSE)</f>
        <v>Sun Bicycles Revolutions 24 - Girl's - 2017</v>
      </c>
      <c r="C3510" s="21" t="e">
        <f>VLOOKUP(A3510,Products!A$322:$D3510,4,FALSE)</f>
        <v>#N/A</v>
      </c>
    </row>
    <row r="3511" spans="1:3" x14ac:dyDescent="0.35">
      <c r="A3511" s="21">
        <v>73</v>
      </c>
      <c r="B3511" t="str">
        <f>VLOOKUP(A3511,Products!$A$1:$F$322,2,FALSE)</f>
        <v>Sun Bicycles Brickell Tandem 7 - 2017</v>
      </c>
      <c r="C3511" s="21" t="e">
        <f>VLOOKUP(A3511,Products!A$322:$D3511,4,FALSE)</f>
        <v>#N/A</v>
      </c>
    </row>
    <row r="3512" spans="1:3" x14ac:dyDescent="0.35">
      <c r="A3512" s="21">
        <v>10</v>
      </c>
      <c r="B3512" t="str">
        <f>VLOOKUP(A3512,Products!$A$1:$F$322,2,FALSE)</f>
        <v>Surly Straggler - 2016</v>
      </c>
      <c r="C3512" s="21" t="e">
        <f>VLOOKUP(A3512,Products!A$322:$D3512,4,FALSE)</f>
        <v>#N/A</v>
      </c>
    </row>
    <row r="3513" spans="1:3" x14ac:dyDescent="0.35">
      <c r="A3513" s="21">
        <v>64</v>
      </c>
      <c r="B3513" t="str">
        <f>VLOOKUP(A3513,Products!$A$1:$F$322,2,FALSE)</f>
        <v>Electra Townie Original 7D - 2017</v>
      </c>
      <c r="C3513" s="21" t="e">
        <f>VLOOKUP(A3513,Products!A$322:$D3513,4,FALSE)</f>
        <v>#N/A</v>
      </c>
    </row>
    <row r="3514" spans="1:3" x14ac:dyDescent="0.35">
      <c r="A3514" s="21">
        <v>54</v>
      </c>
      <c r="B3514" t="str">
        <f>VLOOKUP(A3514,Products!$A$1:$F$322,2,FALSE)</f>
        <v>Trek Domane SL Disc Frameset - 2017</v>
      </c>
      <c r="C3514" s="21" t="e">
        <f>VLOOKUP(A3514,Products!A$322:$D3514,4,FALSE)</f>
        <v>#N/A</v>
      </c>
    </row>
    <row r="3515" spans="1:3" x14ac:dyDescent="0.35">
      <c r="A3515" s="21">
        <v>19</v>
      </c>
      <c r="B3515" t="str">
        <f>VLOOKUP(A3515,Products!$A$1:$F$322,2,FALSE)</f>
        <v>Pure Cycles William 3-Speed - 2016</v>
      </c>
      <c r="C3515" s="21" t="e">
        <f>VLOOKUP(A3515,Products!A$322:$D3515,4,FALSE)</f>
        <v>#N/A</v>
      </c>
    </row>
    <row r="3516" spans="1:3" x14ac:dyDescent="0.35">
      <c r="A3516" s="21">
        <v>110</v>
      </c>
      <c r="B3516" t="str">
        <f>VLOOKUP(A3516,Products!$A$1:$F$322,2,FALSE)</f>
        <v>Sun Bicycles Drifter 7 - 2017</v>
      </c>
      <c r="C3516" s="21" t="e">
        <f>VLOOKUP(A3516,Products!A$322:$D3516,4,FALSE)</f>
        <v>#N/A</v>
      </c>
    </row>
    <row r="3517" spans="1:3" x14ac:dyDescent="0.35">
      <c r="A3517" s="21">
        <v>43</v>
      </c>
      <c r="B3517" t="str">
        <f>VLOOKUP(A3517,Products!$A$1:$F$322,2,FALSE)</f>
        <v>Trek Fuel EX 9.8 27.5 Plus - 2017</v>
      </c>
      <c r="C3517" s="21" t="e">
        <f>VLOOKUP(A3517,Products!A$322:$D3517,4,FALSE)</f>
        <v>#N/A</v>
      </c>
    </row>
    <row r="3518" spans="1:3" x14ac:dyDescent="0.35">
      <c r="A3518" s="21">
        <v>73</v>
      </c>
      <c r="B3518" t="str">
        <f>VLOOKUP(A3518,Products!$A$1:$F$322,2,FALSE)</f>
        <v>Sun Bicycles Brickell Tandem 7 - 2017</v>
      </c>
      <c r="C3518" s="21" t="e">
        <f>VLOOKUP(A3518,Products!A$322:$D3518,4,FALSE)</f>
        <v>#N/A</v>
      </c>
    </row>
    <row r="3519" spans="1:3" x14ac:dyDescent="0.35">
      <c r="A3519" s="21">
        <v>106</v>
      </c>
      <c r="B3519" t="str">
        <f>VLOOKUP(A3519,Products!$A$1:$F$322,2,FALSE)</f>
        <v>Sun Bicycles Cruz 3 - 2017</v>
      </c>
      <c r="C3519" s="21" t="e">
        <f>VLOOKUP(A3519,Products!A$322:$D3519,4,FALSE)</f>
        <v>#N/A</v>
      </c>
    </row>
    <row r="3520" spans="1:3" x14ac:dyDescent="0.35">
      <c r="A3520" s="21">
        <v>32</v>
      </c>
      <c r="B3520" t="str">
        <f>VLOOKUP(A3520,Products!$A$1:$F$322,2,FALSE)</f>
        <v>Trek Farley Alloy Frameset - 2017</v>
      </c>
      <c r="C3520" s="21" t="e">
        <f>VLOOKUP(A3520,Products!A$322:$D3520,4,FALSE)</f>
        <v>#N/A</v>
      </c>
    </row>
    <row r="3521" spans="1:3" x14ac:dyDescent="0.35">
      <c r="A3521" s="21">
        <v>102</v>
      </c>
      <c r="B3521" t="str">
        <f>VLOOKUP(A3521,Products!$A$1:$F$322,2,FALSE)</f>
        <v>Electra Townie Original 7D - 2017</v>
      </c>
      <c r="C3521" s="21" t="e">
        <f>VLOOKUP(A3521,Products!A$322:$D3521,4,FALSE)</f>
        <v>#N/A</v>
      </c>
    </row>
    <row r="3522" spans="1:3" x14ac:dyDescent="0.35">
      <c r="A3522" s="21">
        <v>17</v>
      </c>
      <c r="B3522" t="str">
        <f>VLOOKUP(A3522,Products!$A$1:$F$322,2,FALSE)</f>
        <v>Pure Cycles Vine 8-Speed - 2016</v>
      </c>
      <c r="C3522" s="21" t="e">
        <f>VLOOKUP(A3522,Products!A$322:$D3522,4,FALSE)</f>
        <v>#N/A</v>
      </c>
    </row>
    <row r="3523" spans="1:3" x14ac:dyDescent="0.35">
      <c r="A3523" s="21">
        <v>62</v>
      </c>
      <c r="B3523" t="str">
        <f>VLOOKUP(A3523,Products!$A$1:$F$322,2,FALSE)</f>
        <v>Trek Boone 7 - 2017</v>
      </c>
      <c r="C3523" s="21" t="e">
        <f>VLOOKUP(A3523,Products!A$322:$D3523,4,FALSE)</f>
        <v>#N/A</v>
      </c>
    </row>
    <row r="3524" spans="1:3" x14ac:dyDescent="0.35">
      <c r="A3524" s="21">
        <v>40</v>
      </c>
      <c r="B3524" t="str">
        <f>VLOOKUP(A3524,Products!$A$1:$F$322,2,FALSE)</f>
        <v>Trek Fuel EX 9.8 29 - 2017</v>
      </c>
      <c r="C3524" s="21" t="e">
        <f>VLOOKUP(A3524,Products!A$322:$D3524,4,FALSE)</f>
        <v>#N/A</v>
      </c>
    </row>
    <row r="3525" spans="1:3" x14ac:dyDescent="0.35">
      <c r="A3525" s="21">
        <v>47</v>
      </c>
      <c r="B3525" t="str">
        <f>VLOOKUP(A3525,Products!$A$1:$F$322,2,FALSE)</f>
        <v>Trek Remedy 9.8 - 2017</v>
      </c>
      <c r="C3525" s="21" t="e">
        <f>VLOOKUP(A3525,Products!A$322:$D3525,4,FALSE)</f>
        <v>#N/A</v>
      </c>
    </row>
    <row r="3526" spans="1:3" x14ac:dyDescent="0.35">
      <c r="A3526" s="21">
        <v>49</v>
      </c>
      <c r="B3526" t="str">
        <f>VLOOKUP(A3526,Products!$A$1:$F$322,2,FALSE)</f>
        <v>Trek Domane SL 6 - 2017</v>
      </c>
      <c r="C3526" s="21" t="e">
        <f>VLOOKUP(A3526,Products!A$322:$D3526,4,FALSE)</f>
        <v>#N/A</v>
      </c>
    </row>
    <row r="3527" spans="1:3" x14ac:dyDescent="0.35">
      <c r="A3527" s="21">
        <v>85</v>
      </c>
      <c r="B3527" t="str">
        <f>VLOOKUP(A3527,Products!$A$1:$F$322,2,FALSE)</f>
        <v>Haro Downtown 16 - 2017</v>
      </c>
      <c r="C3527" s="21" t="e">
        <f>VLOOKUP(A3527,Products!A$322:$D3527,4,FALSE)</f>
        <v>#N/A</v>
      </c>
    </row>
    <row r="3528" spans="1:3" x14ac:dyDescent="0.35">
      <c r="A3528" s="21">
        <v>100</v>
      </c>
      <c r="B3528" t="str">
        <f>VLOOKUP(A3528,Products!$A$1:$F$322,2,FALSE)</f>
        <v>Electra Townie 3i EQ (20-inch) - Boys' - 2017</v>
      </c>
      <c r="C3528" s="21" t="e">
        <f>VLOOKUP(A3528,Products!A$322:$D3528,4,FALSE)</f>
        <v>#N/A</v>
      </c>
    </row>
    <row r="3529" spans="1:3" x14ac:dyDescent="0.35">
      <c r="A3529" s="21">
        <v>81</v>
      </c>
      <c r="B3529" t="str">
        <f>VLOOKUP(A3529,Products!$A$1:$F$322,2,FALSE)</f>
        <v>Electra Amsterdam Fashion 7i Ladies' - 2017</v>
      </c>
      <c r="C3529" s="21" t="e">
        <f>VLOOKUP(A3529,Products!A$322:$D3529,4,FALSE)</f>
        <v>#N/A</v>
      </c>
    </row>
    <row r="3530" spans="1:3" x14ac:dyDescent="0.35">
      <c r="A3530" s="21">
        <v>42</v>
      </c>
      <c r="B3530" t="str">
        <f>VLOOKUP(A3530,Products!$A$1:$F$322,2,FALSE)</f>
        <v>Trek Fuel EX 5 27.5 Plus - 2017</v>
      </c>
      <c r="C3530" s="21" t="e">
        <f>VLOOKUP(A3530,Products!A$322:$D3530,4,FALSE)</f>
        <v>#N/A</v>
      </c>
    </row>
    <row r="3531" spans="1:3" x14ac:dyDescent="0.35">
      <c r="A3531" s="21">
        <v>38</v>
      </c>
      <c r="B3531" t="str">
        <f>VLOOKUP(A3531,Products!$A$1:$F$322,2,FALSE)</f>
        <v>Haro Flightline Two 26 Plus - 2017</v>
      </c>
      <c r="C3531" s="21" t="e">
        <f>VLOOKUP(A3531,Products!A$322:$D3531,4,FALSE)</f>
        <v>#N/A</v>
      </c>
    </row>
    <row r="3532" spans="1:3" x14ac:dyDescent="0.35">
      <c r="A3532" s="21">
        <v>97</v>
      </c>
      <c r="B3532" t="str">
        <f>VLOOKUP(A3532,Products!$A$1:$F$322,2,FALSE)</f>
        <v>Electra Savannah 3i (20-inch) - Girl's - 2017</v>
      </c>
      <c r="C3532" s="21" t="e">
        <f>VLOOKUP(A3532,Products!A$322:$D3532,4,FALSE)</f>
        <v>#N/A</v>
      </c>
    </row>
    <row r="3533" spans="1:3" x14ac:dyDescent="0.35">
      <c r="A3533" s="21">
        <v>97</v>
      </c>
      <c r="B3533" t="str">
        <f>VLOOKUP(A3533,Products!$A$1:$F$322,2,FALSE)</f>
        <v>Electra Savannah 3i (20-inch) - Girl's - 2017</v>
      </c>
      <c r="C3533" s="21" t="e">
        <f>VLOOKUP(A3533,Products!A$322:$D3533,4,FALSE)</f>
        <v>#N/A</v>
      </c>
    </row>
    <row r="3534" spans="1:3" x14ac:dyDescent="0.35">
      <c r="A3534" s="21">
        <v>103</v>
      </c>
      <c r="B3534" t="str">
        <f>VLOOKUP(A3534,Products!$A$1:$F$322,2,FALSE)</f>
        <v>Sun Bicycles Streamway 3 - 2017</v>
      </c>
      <c r="C3534" s="21" t="e">
        <f>VLOOKUP(A3534,Products!A$322:$D3534,4,FALSE)</f>
        <v>#N/A</v>
      </c>
    </row>
    <row r="3535" spans="1:3" x14ac:dyDescent="0.35">
      <c r="A3535" s="21">
        <v>62</v>
      </c>
      <c r="B3535" t="str">
        <f>VLOOKUP(A3535,Products!$A$1:$F$322,2,FALSE)</f>
        <v>Trek Boone 7 - 2017</v>
      </c>
      <c r="C3535" s="21" t="e">
        <f>VLOOKUP(A3535,Products!A$322:$D3535,4,FALSE)</f>
        <v>#N/A</v>
      </c>
    </row>
    <row r="3536" spans="1:3" x14ac:dyDescent="0.35">
      <c r="A3536" s="21">
        <v>51</v>
      </c>
      <c r="B3536" t="str">
        <f>VLOOKUP(A3536,Products!$A$1:$F$322,2,FALSE)</f>
        <v>Trek Silque SLR 8 Women's - 2017</v>
      </c>
      <c r="C3536" s="21" t="e">
        <f>VLOOKUP(A3536,Products!A$322:$D3536,4,FALSE)</f>
        <v>#N/A</v>
      </c>
    </row>
    <row r="3537" spans="1:3" x14ac:dyDescent="0.35">
      <c r="A3537" s="21">
        <v>108</v>
      </c>
      <c r="B3537" t="str">
        <f>VLOOKUP(A3537,Products!$A$1:$F$322,2,FALSE)</f>
        <v>Sun Bicycles Cruz 3 - Women's - 2017</v>
      </c>
      <c r="C3537" s="21" t="e">
        <f>VLOOKUP(A3537,Products!A$322:$D3537,4,FALSE)</f>
        <v>#N/A</v>
      </c>
    </row>
    <row r="3538" spans="1:3" x14ac:dyDescent="0.35">
      <c r="A3538" s="21">
        <v>32</v>
      </c>
      <c r="B3538" t="str">
        <f>VLOOKUP(A3538,Products!$A$1:$F$322,2,FALSE)</f>
        <v>Trek Farley Alloy Frameset - 2017</v>
      </c>
      <c r="C3538" s="21" t="e">
        <f>VLOOKUP(A3538,Products!A$322:$D3538,4,FALSE)</f>
        <v>#N/A</v>
      </c>
    </row>
    <row r="3539" spans="1:3" x14ac:dyDescent="0.35">
      <c r="A3539" s="21">
        <v>81</v>
      </c>
      <c r="B3539" t="str">
        <f>VLOOKUP(A3539,Products!$A$1:$F$322,2,FALSE)</f>
        <v>Electra Amsterdam Fashion 7i Ladies' - 2017</v>
      </c>
      <c r="C3539" s="21" t="e">
        <f>VLOOKUP(A3539,Products!A$322:$D3539,4,FALSE)</f>
        <v>#N/A</v>
      </c>
    </row>
    <row r="3540" spans="1:3" x14ac:dyDescent="0.35">
      <c r="A3540" s="21">
        <v>59</v>
      </c>
      <c r="B3540" t="str">
        <f>VLOOKUP(A3540,Products!$A$1:$F$322,2,FALSE)</f>
        <v>Trek Domane S 5 Disc - 2017</v>
      </c>
      <c r="C3540" s="21" t="e">
        <f>VLOOKUP(A3540,Products!A$322:$D3540,4,FALSE)</f>
        <v>#N/A</v>
      </c>
    </row>
    <row r="3541" spans="1:3" x14ac:dyDescent="0.35">
      <c r="A3541" s="21">
        <v>6</v>
      </c>
      <c r="B3541" t="str">
        <f>VLOOKUP(A3541,Products!$A$1:$F$322,2,FALSE)</f>
        <v>Surly Ice Cream Truck Frameset - 2016</v>
      </c>
      <c r="C3541" s="21" t="e">
        <f>VLOOKUP(A3541,Products!A$322:$D3541,4,FALSE)</f>
        <v>#N/A</v>
      </c>
    </row>
    <row r="3542" spans="1:3" x14ac:dyDescent="0.35">
      <c r="A3542" s="21">
        <v>77</v>
      </c>
      <c r="B3542" t="str">
        <f>VLOOKUP(A3542,Products!$A$1:$F$322,2,FALSE)</f>
        <v>Electra Glam Punk 3i Ladies' - 2017</v>
      </c>
      <c r="C3542" s="21" t="e">
        <f>VLOOKUP(A3542,Products!A$322:$D3542,4,FALSE)</f>
        <v>#N/A</v>
      </c>
    </row>
    <row r="3543" spans="1:3" x14ac:dyDescent="0.35">
      <c r="A3543" s="21">
        <v>101</v>
      </c>
      <c r="B3543" t="str">
        <f>VLOOKUP(A3543,Products!$A$1:$F$322,2,FALSE)</f>
        <v>Electra Townie 7D (20-inch) - Boys' - 2017</v>
      </c>
      <c r="C3543" s="21" t="e">
        <f>VLOOKUP(A3543,Products!A$322:$D3543,4,FALSE)</f>
        <v>#N/A</v>
      </c>
    </row>
    <row r="3544" spans="1:3" x14ac:dyDescent="0.35">
      <c r="A3544" s="21">
        <v>11</v>
      </c>
      <c r="B3544" t="str">
        <f>VLOOKUP(A3544,Products!$A$1:$F$322,2,FALSE)</f>
        <v>Surly Straggler 650b - 2016</v>
      </c>
      <c r="C3544" s="21" t="e">
        <f>VLOOKUP(A3544,Products!A$322:$D3544,4,FALSE)</f>
        <v>#N/A</v>
      </c>
    </row>
    <row r="3545" spans="1:3" x14ac:dyDescent="0.35">
      <c r="A3545" s="21">
        <v>51</v>
      </c>
      <c r="B3545" t="str">
        <f>VLOOKUP(A3545,Products!$A$1:$F$322,2,FALSE)</f>
        <v>Trek Silque SLR 8 Women's - 2017</v>
      </c>
      <c r="C3545" s="21" t="e">
        <f>VLOOKUP(A3545,Products!A$322:$D3545,4,FALSE)</f>
        <v>#N/A</v>
      </c>
    </row>
    <row r="3546" spans="1:3" x14ac:dyDescent="0.35">
      <c r="A3546" s="21">
        <v>42</v>
      </c>
      <c r="B3546" t="str">
        <f>VLOOKUP(A3546,Products!$A$1:$F$322,2,FALSE)</f>
        <v>Trek Fuel EX 5 27.5 Plus - 2017</v>
      </c>
      <c r="C3546" s="21" t="e">
        <f>VLOOKUP(A3546,Products!A$322:$D3546,4,FALSE)</f>
        <v>#N/A</v>
      </c>
    </row>
    <row r="3547" spans="1:3" x14ac:dyDescent="0.35">
      <c r="A3547" s="21">
        <v>90</v>
      </c>
      <c r="B3547" t="str">
        <f>VLOOKUP(A3547,Products!$A$1:$F$322,2,FALSE)</f>
        <v>Trek Precaliber 16 Girls - 2017</v>
      </c>
      <c r="C3547" s="21" t="e">
        <f>VLOOKUP(A3547,Products!A$322:$D3547,4,FALSE)</f>
        <v>#N/A</v>
      </c>
    </row>
    <row r="3548" spans="1:3" x14ac:dyDescent="0.35">
      <c r="A3548" s="21">
        <v>44</v>
      </c>
      <c r="B3548" t="str">
        <f>VLOOKUP(A3548,Products!$A$1:$F$322,2,FALSE)</f>
        <v>Haro SR 1.1 - 2017</v>
      </c>
      <c r="C3548" s="21" t="e">
        <f>VLOOKUP(A3548,Products!A$322:$D3548,4,FALSE)</f>
        <v>#N/A</v>
      </c>
    </row>
    <row r="3549" spans="1:3" x14ac:dyDescent="0.35">
      <c r="A3549" s="21">
        <v>26</v>
      </c>
      <c r="B3549" t="str">
        <f>VLOOKUP(A3549,Products!$A$1:$F$322,2,FALSE)</f>
        <v>Electra Townie Original 7D EQ - 2016</v>
      </c>
      <c r="C3549" s="21" t="e">
        <f>VLOOKUP(A3549,Products!A$322:$D3549,4,FALSE)</f>
        <v>#N/A</v>
      </c>
    </row>
    <row r="3550" spans="1:3" x14ac:dyDescent="0.35">
      <c r="A3550" s="21">
        <v>8</v>
      </c>
      <c r="B3550" t="str">
        <f>VLOOKUP(A3550,Products!$A$1:$F$322,2,FALSE)</f>
        <v>Trek Remedy 29 Carbon Frameset - 2016</v>
      </c>
      <c r="C3550" s="21" t="e">
        <f>VLOOKUP(A3550,Products!A$322:$D3550,4,FALSE)</f>
        <v>#N/A</v>
      </c>
    </row>
    <row r="3551" spans="1:3" x14ac:dyDescent="0.35">
      <c r="A3551" s="21">
        <v>42</v>
      </c>
      <c r="B3551" t="str">
        <f>VLOOKUP(A3551,Products!$A$1:$F$322,2,FALSE)</f>
        <v>Trek Fuel EX 5 27.5 Plus - 2017</v>
      </c>
      <c r="C3551" s="21" t="e">
        <f>VLOOKUP(A3551,Products!A$322:$D3551,4,FALSE)</f>
        <v>#N/A</v>
      </c>
    </row>
    <row r="3552" spans="1:3" x14ac:dyDescent="0.35">
      <c r="A3552" s="21">
        <v>92</v>
      </c>
      <c r="B3552" t="str">
        <f>VLOOKUP(A3552,Products!$A$1:$F$322,2,FALSE)</f>
        <v>Haro Shredder 20 - 2017</v>
      </c>
      <c r="C3552" s="21" t="e">
        <f>VLOOKUP(A3552,Products!A$322:$D3552,4,FALSE)</f>
        <v>#N/A</v>
      </c>
    </row>
    <row r="3553" spans="1:3" x14ac:dyDescent="0.35">
      <c r="A3553" s="21">
        <v>55</v>
      </c>
      <c r="B3553" t="str">
        <f>VLOOKUP(A3553,Products!$A$1:$F$322,2,FALSE)</f>
        <v>Trek Domane S 6 - 2017</v>
      </c>
      <c r="C3553" s="21" t="e">
        <f>VLOOKUP(A3553,Products!A$322:$D3553,4,FALSE)</f>
        <v>#N/A</v>
      </c>
    </row>
    <row r="3554" spans="1:3" x14ac:dyDescent="0.35">
      <c r="A3554" s="21">
        <v>20</v>
      </c>
      <c r="B3554" t="str">
        <f>VLOOKUP(A3554,Products!$A$1:$F$322,2,FALSE)</f>
        <v>Electra Townie Original 7D EQ - Women's - 2016</v>
      </c>
      <c r="C3554" s="21" t="e">
        <f>VLOOKUP(A3554,Products!A$322:$D3554,4,FALSE)</f>
        <v>#N/A</v>
      </c>
    </row>
    <row r="3555" spans="1:3" x14ac:dyDescent="0.35">
      <c r="A3555" s="21">
        <v>36</v>
      </c>
      <c r="B3555" t="str">
        <f>VLOOKUP(A3555,Products!$A$1:$F$322,2,FALSE)</f>
        <v>Surly Troll Frameset - 2017</v>
      </c>
      <c r="C3555" s="21" t="e">
        <f>VLOOKUP(A3555,Products!A$322:$D3555,4,FALSE)</f>
        <v>#N/A</v>
      </c>
    </row>
    <row r="3556" spans="1:3" x14ac:dyDescent="0.35">
      <c r="A3556" s="21">
        <v>61</v>
      </c>
      <c r="B3556" t="str">
        <f>VLOOKUP(A3556,Products!$A$1:$F$322,2,FALSE)</f>
        <v>Trek Powerfly 8 FS Plus - 2017</v>
      </c>
      <c r="C3556" s="21" t="e">
        <f>VLOOKUP(A3556,Products!A$322:$D3556,4,FALSE)</f>
        <v>#N/A</v>
      </c>
    </row>
    <row r="3557" spans="1:3" x14ac:dyDescent="0.35">
      <c r="A3557" s="21">
        <v>32</v>
      </c>
      <c r="B3557" t="str">
        <f>VLOOKUP(A3557,Products!$A$1:$F$322,2,FALSE)</f>
        <v>Trek Farley Alloy Frameset - 2017</v>
      </c>
      <c r="C3557" s="21" t="e">
        <f>VLOOKUP(A3557,Products!A$322:$D3557,4,FALSE)</f>
        <v>#N/A</v>
      </c>
    </row>
    <row r="3558" spans="1:3" x14ac:dyDescent="0.35">
      <c r="A3558" s="21">
        <v>38</v>
      </c>
      <c r="B3558" t="str">
        <f>VLOOKUP(A3558,Products!$A$1:$F$322,2,FALSE)</f>
        <v>Haro Flightline Two 26 Plus - 2017</v>
      </c>
      <c r="C3558" s="21" t="e">
        <f>VLOOKUP(A3558,Products!A$322:$D3558,4,FALSE)</f>
        <v>#N/A</v>
      </c>
    </row>
    <row r="3559" spans="1:3" x14ac:dyDescent="0.35">
      <c r="A3559" s="21">
        <v>75</v>
      </c>
      <c r="B3559" t="str">
        <f>VLOOKUP(A3559,Products!$A$1:$F$322,2,FALSE)</f>
        <v>Electra Cruiser Lux Fat Tire 1 Ladies - 2017</v>
      </c>
      <c r="C3559" s="21" t="e">
        <f>VLOOKUP(A3559,Products!A$322:$D3559,4,FALSE)</f>
        <v>#N/A</v>
      </c>
    </row>
    <row r="3560" spans="1:3" x14ac:dyDescent="0.35">
      <c r="A3560" s="21">
        <v>70</v>
      </c>
      <c r="B3560" t="str">
        <f>VLOOKUP(A3560,Products!$A$1:$F$322,2,FALSE)</f>
        <v>Electra Amsterdam Original 3i - 2015/2017</v>
      </c>
      <c r="C3560" s="21" t="e">
        <f>VLOOKUP(A3560,Products!A$322:$D3560,4,FALSE)</f>
        <v>#N/A</v>
      </c>
    </row>
    <row r="3561" spans="1:3" x14ac:dyDescent="0.35">
      <c r="A3561" s="21">
        <v>4</v>
      </c>
      <c r="B3561" t="str">
        <f>VLOOKUP(A3561,Products!$A$1:$F$322,2,FALSE)</f>
        <v>Trek Fuel EX 8 29 - 2016</v>
      </c>
      <c r="C3561" s="21" t="e">
        <f>VLOOKUP(A3561,Products!A$322:$D3561,4,FALSE)</f>
        <v>#N/A</v>
      </c>
    </row>
    <row r="3562" spans="1:3" x14ac:dyDescent="0.35">
      <c r="A3562" s="21">
        <v>110</v>
      </c>
      <c r="B3562" t="str">
        <f>VLOOKUP(A3562,Products!$A$1:$F$322,2,FALSE)</f>
        <v>Sun Bicycles Drifter 7 - 2017</v>
      </c>
      <c r="C3562" s="21" t="e">
        <f>VLOOKUP(A3562,Products!A$322:$D3562,4,FALSE)</f>
        <v>#N/A</v>
      </c>
    </row>
    <row r="3563" spans="1:3" x14ac:dyDescent="0.35">
      <c r="A3563" s="21">
        <v>6</v>
      </c>
      <c r="B3563" t="str">
        <f>VLOOKUP(A3563,Products!$A$1:$F$322,2,FALSE)</f>
        <v>Surly Ice Cream Truck Frameset - 2016</v>
      </c>
      <c r="C3563" s="21" t="e">
        <f>VLOOKUP(A3563,Products!A$322:$D3563,4,FALSE)</f>
        <v>#N/A</v>
      </c>
    </row>
    <row r="3564" spans="1:3" x14ac:dyDescent="0.35">
      <c r="A3564" s="21">
        <v>87</v>
      </c>
      <c r="B3564" t="str">
        <f>VLOOKUP(A3564,Products!$A$1:$F$322,2,FALSE)</f>
        <v>Trek Precaliber 12 Boys - 2017</v>
      </c>
      <c r="C3564" s="21" t="e">
        <f>VLOOKUP(A3564,Products!A$322:$D3564,4,FALSE)</f>
        <v>#N/A</v>
      </c>
    </row>
    <row r="3565" spans="1:3" x14ac:dyDescent="0.35">
      <c r="A3565" s="21">
        <v>61</v>
      </c>
      <c r="B3565" t="str">
        <f>VLOOKUP(A3565,Products!$A$1:$F$322,2,FALSE)</f>
        <v>Trek Powerfly 8 FS Plus - 2017</v>
      </c>
      <c r="C3565" s="21" t="e">
        <f>VLOOKUP(A3565,Products!A$322:$D3565,4,FALSE)</f>
        <v>#N/A</v>
      </c>
    </row>
    <row r="3566" spans="1:3" x14ac:dyDescent="0.35">
      <c r="A3566" s="21">
        <v>55</v>
      </c>
      <c r="B3566" t="str">
        <f>VLOOKUP(A3566,Products!$A$1:$F$322,2,FALSE)</f>
        <v>Trek Domane S 6 - 2017</v>
      </c>
      <c r="C3566" s="21" t="e">
        <f>VLOOKUP(A3566,Products!A$322:$D3566,4,FALSE)</f>
        <v>#N/A</v>
      </c>
    </row>
    <row r="3567" spans="1:3" x14ac:dyDescent="0.35">
      <c r="A3567" s="21">
        <v>56</v>
      </c>
      <c r="B3567" t="str">
        <f>VLOOKUP(A3567,Products!$A$1:$F$322,2,FALSE)</f>
        <v>Trek Domane SLR 6 Disc - 2017</v>
      </c>
      <c r="C3567" s="21" t="e">
        <f>VLOOKUP(A3567,Products!A$322:$D3567,4,FALSE)</f>
        <v>#N/A</v>
      </c>
    </row>
    <row r="3568" spans="1:3" x14ac:dyDescent="0.35">
      <c r="A3568" s="21">
        <v>71</v>
      </c>
      <c r="B3568" t="str">
        <f>VLOOKUP(A3568,Products!$A$1:$F$322,2,FALSE)</f>
        <v>Sun Bicycles Atlas X-Type - 2017</v>
      </c>
      <c r="C3568" s="21" t="e">
        <f>VLOOKUP(A3568,Products!A$322:$D3568,4,FALSE)</f>
        <v>#N/A</v>
      </c>
    </row>
    <row r="3569" spans="1:3" x14ac:dyDescent="0.35">
      <c r="A3569" s="21">
        <v>7</v>
      </c>
      <c r="B3569" t="str">
        <f>VLOOKUP(A3569,Products!$A$1:$F$322,2,FALSE)</f>
        <v>Trek Slash 8 27.5 - 2016</v>
      </c>
      <c r="C3569" s="21" t="e">
        <f>VLOOKUP(A3569,Products!A$322:$D3569,4,FALSE)</f>
        <v>#N/A</v>
      </c>
    </row>
    <row r="3570" spans="1:3" x14ac:dyDescent="0.35">
      <c r="A3570" s="21">
        <v>60</v>
      </c>
      <c r="B3570" t="str">
        <f>VLOOKUP(A3570,Products!$A$1:$F$322,2,FALSE)</f>
        <v>Sun Bicycles ElectroLite - 2017</v>
      </c>
      <c r="C3570" s="21" t="e">
        <f>VLOOKUP(A3570,Products!A$322:$D3570,4,FALSE)</f>
        <v>#N/A</v>
      </c>
    </row>
    <row r="3571" spans="1:3" x14ac:dyDescent="0.35">
      <c r="A3571" s="21">
        <v>32</v>
      </c>
      <c r="B3571" t="str">
        <f>VLOOKUP(A3571,Products!$A$1:$F$322,2,FALSE)</f>
        <v>Trek Farley Alloy Frameset - 2017</v>
      </c>
      <c r="C3571" s="21" t="e">
        <f>VLOOKUP(A3571,Products!A$322:$D3571,4,FALSE)</f>
        <v>#N/A</v>
      </c>
    </row>
    <row r="3572" spans="1:3" x14ac:dyDescent="0.35">
      <c r="A3572" s="21">
        <v>91</v>
      </c>
      <c r="B3572" t="str">
        <f>VLOOKUP(A3572,Products!$A$1:$F$322,2,FALSE)</f>
        <v>Trek Precaliber 24 (21-Speed) - Girls - 2017</v>
      </c>
      <c r="C3572" s="21" t="e">
        <f>VLOOKUP(A3572,Products!A$322:$D3572,4,FALSE)</f>
        <v>#N/A</v>
      </c>
    </row>
    <row r="3573" spans="1:3" x14ac:dyDescent="0.35">
      <c r="A3573" s="21">
        <v>23</v>
      </c>
      <c r="B3573" t="str">
        <f>VLOOKUP(A3573,Products!$A$1:$F$322,2,FALSE)</f>
        <v>Electra Girl's Hawaii 1 (20-inch) - 2015/2016</v>
      </c>
      <c r="C3573" s="21" t="e">
        <f>VLOOKUP(A3573,Products!A$322:$D3573,4,FALSE)</f>
        <v>#N/A</v>
      </c>
    </row>
    <row r="3574" spans="1:3" x14ac:dyDescent="0.35">
      <c r="A3574" s="21">
        <v>87</v>
      </c>
      <c r="B3574" t="str">
        <f>VLOOKUP(A3574,Products!$A$1:$F$322,2,FALSE)</f>
        <v>Trek Precaliber 12 Boys - 2017</v>
      </c>
      <c r="C3574" s="21" t="e">
        <f>VLOOKUP(A3574,Products!A$322:$D3574,4,FALSE)</f>
        <v>#N/A</v>
      </c>
    </row>
    <row r="3575" spans="1:3" x14ac:dyDescent="0.35">
      <c r="A3575" s="21">
        <v>95</v>
      </c>
      <c r="B3575" t="str">
        <f>VLOOKUP(A3575,Products!$A$1:$F$322,2,FALSE)</f>
        <v>Electra Girl's Hawaii 1 16" - 2017</v>
      </c>
      <c r="C3575" s="21" t="e">
        <f>VLOOKUP(A3575,Products!A$322:$D3575,4,FALSE)</f>
        <v>#N/A</v>
      </c>
    </row>
    <row r="3576" spans="1:3" x14ac:dyDescent="0.35">
      <c r="A3576" s="21">
        <v>55</v>
      </c>
      <c r="B3576" t="str">
        <f>VLOOKUP(A3576,Products!$A$1:$F$322,2,FALSE)</f>
        <v>Trek Domane S 6 - 2017</v>
      </c>
      <c r="C3576" s="21" t="e">
        <f>VLOOKUP(A3576,Products!A$322:$D3576,4,FALSE)</f>
        <v>#N/A</v>
      </c>
    </row>
    <row r="3577" spans="1:3" x14ac:dyDescent="0.35">
      <c r="A3577" s="21">
        <v>25</v>
      </c>
      <c r="B3577" t="str">
        <f>VLOOKUP(A3577,Products!$A$1:$F$322,2,FALSE)</f>
        <v>Electra Townie Original 7D - 2015/2016</v>
      </c>
      <c r="C3577" s="21" t="e">
        <f>VLOOKUP(A3577,Products!A$322:$D3577,4,FALSE)</f>
        <v>#N/A</v>
      </c>
    </row>
    <row r="3578" spans="1:3" x14ac:dyDescent="0.35">
      <c r="A3578" s="21">
        <v>40</v>
      </c>
      <c r="B3578" t="str">
        <f>VLOOKUP(A3578,Products!$A$1:$F$322,2,FALSE)</f>
        <v>Trek Fuel EX 9.8 29 - 2017</v>
      </c>
      <c r="C3578" s="21" t="e">
        <f>VLOOKUP(A3578,Products!A$322:$D3578,4,FALSE)</f>
        <v>#N/A</v>
      </c>
    </row>
    <row r="3579" spans="1:3" x14ac:dyDescent="0.35">
      <c r="A3579" s="21">
        <v>14</v>
      </c>
      <c r="B3579" t="str">
        <f>VLOOKUP(A3579,Products!$A$1:$F$322,2,FALSE)</f>
        <v>Electra Girl's Hawaii 1 (16-inch) - 2015/2016</v>
      </c>
      <c r="C3579" s="21" t="e">
        <f>VLOOKUP(A3579,Products!A$322:$D3579,4,FALSE)</f>
        <v>#N/A</v>
      </c>
    </row>
    <row r="3580" spans="1:3" x14ac:dyDescent="0.35">
      <c r="A3580" s="21">
        <v>99</v>
      </c>
      <c r="B3580" t="str">
        <f>VLOOKUP(A3580,Products!$A$1:$F$322,2,FALSE)</f>
        <v>Electra Sugar Skulls 1 (20-inch) - Girl's - 2017</v>
      </c>
      <c r="C3580" s="21" t="e">
        <f>VLOOKUP(A3580,Products!A$322:$D3580,4,FALSE)</f>
        <v>#N/A</v>
      </c>
    </row>
    <row r="3581" spans="1:3" x14ac:dyDescent="0.35">
      <c r="A3581" s="21">
        <v>101</v>
      </c>
      <c r="B3581" t="str">
        <f>VLOOKUP(A3581,Products!$A$1:$F$322,2,FALSE)</f>
        <v>Electra Townie 7D (20-inch) - Boys' - 2017</v>
      </c>
      <c r="C3581" s="21" t="e">
        <f>VLOOKUP(A3581,Products!A$322:$D3581,4,FALSE)</f>
        <v>#N/A</v>
      </c>
    </row>
    <row r="3582" spans="1:3" x14ac:dyDescent="0.35">
      <c r="A3582" s="21">
        <v>15</v>
      </c>
      <c r="B3582" t="str">
        <f>VLOOKUP(A3582,Products!$A$1:$F$322,2,FALSE)</f>
        <v>Electra Moto 1 - 2016</v>
      </c>
      <c r="C3582" s="21" t="e">
        <f>VLOOKUP(A3582,Products!A$322:$D3582,4,FALSE)</f>
        <v>#N/A</v>
      </c>
    </row>
    <row r="3583" spans="1:3" x14ac:dyDescent="0.35">
      <c r="A3583" s="21">
        <v>91</v>
      </c>
      <c r="B3583" t="str">
        <f>VLOOKUP(A3583,Products!$A$1:$F$322,2,FALSE)</f>
        <v>Trek Precaliber 24 (21-Speed) - Girls - 2017</v>
      </c>
      <c r="C3583" s="21" t="e">
        <f>VLOOKUP(A3583,Products!A$322:$D3583,4,FALSE)</f>
        <v>#N/A</v>
      </c>
    </row>
    <row r="3584" spans="1:3" x14ac:dyDescent="0.35">
      <c r="A3584" s="21">
        <v>34</v>
      </c>
      <c r="B3584" t="str">
        <f>VLOOKUP(A3584,Products!$A$1:$F$322,2,FALSE)</f>
        <v>Trek Session DH 27.5 Carbon Frameset - 2017</v>
      </c>
      <c r="C3584" s="21" t="e">
        <f>VLOOKUP(A3584,Products!A$322:$D3584,4,FALSE)</f>
        <v>#N/A</v>
      </c>
    </row>
    <row r="3585" spans="1:3" x14ac:dyDescent="0.35">
      <c r="A3585" s="21">
        <v>36</v>
      </c>
      <c r="B3585" t="str">
        <f>VLOOKUP(A3585,Products!$A$1:$F$322,2,FALSE)</f>
        <v>Surly Troll Frameset - 2017</v>
      </c>
      <c r="C3585" s="21" t="e">
        <f>VLOOKUP(A3585,Products!A$322:$D3585,4,FALSE)</f>
        <v>#N/A</v>
      </c>
    </row>
    <row r="3586" spans="1:3" x14ac:dyDescent="0.35">
      <c r="A3586" s="21">
        <v>107</v>
      </c>
      <c r="B3586" t="str">
        <f>VLOOKUP(A3586,Products!$A$1:$F$322,2,FALSE)</f>
        <v>Sun Bicycles Cruz 7 - 2017</v>
      </c>
      <c r="C3586" s="21" t="e">
        <f>VLOOKUP(A3586,Products!A$322:$D3586,4,FALSE)</f>
        <v>#N/A</v>
      </c>
    </row>
    <row r="3587" spans="1:3" x14ac:dyDescent="0.35">
      <c r="A3587" s="21">
        <v>23</v>
      </c>
      <c r="B3587" t="str">
        <f>VLOOKUP(A3587,Products!$A$1:$F$322,2,FALSE)</f>
        <v>Electra Girl's Hawaii 1 (20-inch) - 2015/2016</v>
      </c>
      <c r="C3587" s="21" t="e">
        <f>VLOOKUP(A3587,Products!A$322:$D3587,4,FALSE)</f>
        <v>#N/A</v>
      </c>
    </row>
    <row r="3588" spans="1:3" x14ac:dyDescent="0.35">
      <c r="A3588" s="21">
        <v>15</v>
      </c>
      <c r="B3588" t="str">
        <f>VLOOKUP(A3588,Products!$A$1:$F$322,2,FALSE)</f>
        <v>Electra Moto 1 - 2016</v>
      </c>
      <c r="C3588" s="21" t="e">
        <f>VLOOKUP(A3588,Products!A$322:$D3588,4,FALSE)</f>
        <v>#N/A</v>
      </c>
    </row>
    <row r="3589" spans="1:3" x14ac:dyDescent="0.35">
      <c r="A3589" s="21">
        <v>77</v>
      </c>
      <c r="B3589" t="str">
        <f>VLOOKUP(A3589,Products!$A$1:$F$322,2,FALSE)</f>
        <v>Electra Glam Punk 3i Ladies' - 2017</v>
      </c>
      <c r="C3589" s="21" t="e">
        <f>VLOOKUP(A3589,Products!A$322:$D3589,4,FALSE)</f>
        <v>#N/A</v>
      </c>
    </row>
    <row r="3590" spans="1:3" x14ac:dyDescent="0.35">
      <c r="A3590" s="21">
        <v>57</v>
      </c>
      <c r="B3590" t="str">
        <f>VLOOKUP(A3590,Products!$A$1:$F$322,2,FALSE)</f>
        <v>Trek Emonda S 5 - 2017</v>
      </c>
      <c r="C3590" s="21" t="e">
        <f>VLOOKUP(A3590,Products!A$322:$D3590,4,FALSE)</f>
        <v>#N/A</v>
      </c>
    </row>
    <row r="3591" spans="1:3" x14ac:dyDescent="0.35">
      <c r="A3591" s="21">
        <v>74</v>
      </c>
      <c r="B3591" t="str">
        <f>VLOOKUP(A3591,Products!$A$1:$F$322,2,FALSE)</f>
        <v>Electra Cruiser Lux 1 - 2017</v>
      </c>
      <c r="C3591" s="21" t="e">
        <f>VLOOKUP(A3591,Products!A$322:$D3591,4,FALSE)</f>
        <v>#N/A</v>
      </c>
    </row>
    <row r="3592" spans="1:3" x14ac:dyDescent="0.35">
      <c r="A3592" s="21">
        <v>71</v>
      </c>
      <c r="B3592" t="str">
        <f>VLOOKUP(A3592,Products!$A$1:$F$322,2,FALSE)</f>
        <v>Sun Bicycles Atlas X-Type - 2017</v>
      </c>
      <c r="C3592" s="21" t="e">
        <f>VLOOKUP(A3592,Products!A$322:$D3592,4,FALSE)</f>
        <v>#N/A</v>
      </c>
    </row>
    <row r="3593" spans="1:3" x14ac:dyDescent="0.35">
      <c r="A3593" s="21">
        <v>94</v>
      </c>
      <c r="B3593" t="str">
        <f>VLOOKUP(A3593,Products!$A$1:$F$322,2,FALSE)</f>
        <v>Haro Shredder Pro 20 - 2017</v>
      </c>
      <c r="C3593" s="21" t="e">
        <f>VLOOKUP(A3593,Products!A$322:$D3593,4,FALSE)</f>
        <v>#N/A</v>
      </c>
    </row>
    <row r="3594" spans="1:3" x14ac:dyDescent="0.35">
      <c r="A3594" s="21">
        <v>27</v>
      </c>
      <c r="B3594" t="str">
        <f>VLOOKUP(A3594,Products!$A$1:$F$322,2,FALSE)</f>
        <v>Surly Big Dummy Frameset - 2017</v>
      </c>
      <c r="C3594" s="21" t="e">
        <f>VLOOKUP(A3594,Products!A$322:$D3594,4,FALSE)</f>
        <v>#N/A</v>
      </c>
    </row>
    <row r="3595" spans="1:3" x14ac:dyDescent="0.35">
      <c r="A3595" s="21">
        <v>10</v>
      </c>
      <c r="B3595" t="str">
        <f>VLOOKUP(A3595,Products!$A$1:$F$322,2,FALSE)</f>
        <v>Surly Straggler - 2016</v>
      </c>
      <c r="C3595" s="21" t="e">
        <f>VLOOKUP(A3595,Products!A$322:$D3595,4,FALSE)</f>
        <v>#N/A</v>
      </c>
    </row>
    <row r="3596" spans="1:3" x14ac:dyDescent="0.35">
      <c r="A3596" s="21">
        <v>70</v>
      </c>
      <c r="B3596" t="str">
        <f>VLOOKUP(A3596,Products!$A$1:$F$322,2,FALSE)</f>
        <v>Electra Amsterdam Original 3i - 2015/2017</v>
      </c>
      <c r="C3596" s="21" t="e">
        <f>VLOOKUP(A3596,Products!A$322:$D3596,4,FALSE)</f>
        <v>#N/A</v>
      </c>
    </row>
    <row r="3597" spans="1:3" x14ac:dyDescent="0.35">
      <c r="A3597" s="21">
        <v>44</v>
      </c>
      <c r="B3597" t="str">
        <f>VLOOKUP(A3597,Products!$A$1:$F$322,2,FALSE)</f>
        <v>Haro SR 1.1 - 2017</v>
      </c>
      <c r="C3597" s="21" t="e">
        <f>VLOOKUP(A3597,Products!A$322:$D3597,4,FALSE)</f>
        <v>#N/A</v>
      </c>
    </row>
    <row r="3598" spans="1:3" x14ac:dyDescent="0.35">
      <c r="A3598" s="21">
        <v>45</v>
      </c>
      <c r="B3598" t="str">
        <f>VLOOKUP(A3598,Products!$A$1:$F$322,2,FALSE)</f>
        <v>Haro SR 1.2 - 2017</v>
      </c>
      <c r="C3598" s="21" t="e">
        <f>VLOOKUP(A3598,Products!A$322:$D3598,4,FALSE)</f>
        <v>#N/A</v>
      </c>
    </row>
    <row r="3599" spans="1:3" x14ac:dyDescent="0.35">
      <c r="A3599" s="21">
        <v>38</v>
      </c>
      <c r="B3599" t="str">
        <f>VLOOKUP(A3599,Products!$A$1:$F$322,2,FALSE)</f>
        <v>Haro Flightline Two 26 Plus - 2017</v>
      </c>
      <c r="C3599" s="21" t="e">
        <f>VLOOKUP(A3599,Products!A$322:$D3599,4,FALSE)</f>
        <v>#N/A</v>
      </c>
    </row>
    <row r="3600" spans="1:3" x14ac:dyDescent="0.35">
      <c r="A3600" s="21">
        <v>33</v>
      </c>
      <c r="B3600" t="str">
        <f>VLOOKUP(A3600,Products!$A$1:$F$322,2,FALSE)</f>
        <v>Surly Wednesday Frameset - 2017</v>
      </c>
      <c r="C3600" s="21" t="e">
        <f>VLOOKUP(A3600,Products!A$322:$D3600,4,FALSE)</f>
        <v>#N/A</v>
      </c>
    </row>
    <row r="3601" spans="1:3" x14ac:dyDescent="0.35">
      <c r="A3601" s="21">
        <v>37</v>
      </c>
      <c r="B3601" t="str">
        <f>VLOOKUP(A3601,Products!$A$1:$F$322,2,FALSE)</f>
        <v>Haro Flightline One ST - 2017</v>
      </c>
      <c r="C3601" s="21" t="e">
        <f>VLOOKUP(A3601,Products!A$322:$D3601,4,FALSE)</f>
        <v>#N/A</v>
      </c>
    </row>
    <row r="3602" spans="1:3" x14ac:dyDescent="0.35">
      <c r="A3602" s="21">
        <v>13</v>
      </c>
      <c r="B3602" t="str">
        <f>VLOOKUP(A3602,Products!$A$1:$F$322,2,FALSE)</f>
        <v>Electra Cruiser 1 (24-Inch) - 2016</v>
      </c>
      <c r="C3602" s="21" t="e">
        <f>VLOOKUP(A3602,Products!A$322:$D3602,4,FALSE)</f>
        <v>#N/A</v>
      </c>
    </row>
    <row r="3603" spans="1:3" x14ac:dyDescent="0.35">
      <c r="A3603" s="21">
        <v>78</v>
      </c>
      <c r="B3603" t="str">
        <f>VLOOKUP(A3603,Products!$A$1:$F$322,2,FALSE)</f>
        <v>Sun Bicycles Biscayne Tandem CB - 2017</v>
      </c>
      <c r="C3603" s="21" t="e">
        <f>VLOOKUP(A3603,Products!A$322:$D3603,4,FALSE)</f>
        <v>#N/A</v>
      </c>
    </row>
    <row r="3604" spans="1:3" x14ac:dyDescent="0.35">
      <c r="A3604" s="21">
        <v>46</v>
      </c>
      <c r="B3604" t="str">
        <f>VLOOKUP(A3604,Products!$A$1:$F$322,2,FALSE)</f>
        <v>Haro SR 1.3 - 2017</v>
      </c>
      <c r="C3604" s="21" t="e">
        <f>VLOOKUP(A3604,Products!A$322:$D3604,4,FALSE)</f>
        <v>#N/A</v>
      </c>
    </row>
    <row r="3605" spans="1:3" x14ac:dyDescent="0.35">
      <c r="A3605" s="21">
        <v>45</v>
      </c>
      <c r="B3605" t="str">
        <f>VLOOKUP(A3605,Products!$A$1:$F$322,2,FALSE)</f>
        <v>Haro SR 1.2 - 2017</v>
      </c>
      <c r="C3605" s="21" t="e">
        <f>VLOOKUP(A3605,Products!A$322:$D3605,4,FALSE)</f>
        <v>#N/A</v>
      </c>
    </row>
    <row r="3606" spans="1:3" x14ac:dyDescent="0.35">
      <c r="A3606" s="21">
        <v>15</v>
      </c>
      <c r="B3606" t="str">
        <f>VLOOKUP(A3606,Products!$A$1:$F$322,2,FALSE)</f>
        <v>Electra Moto 1 - 2016</v>
      </c>
      <c r="C3606" s="21" t="e">
        <f>VLOOKUP(A3606,Products!A$322:$D3606,4,FALSE)</f>
        <v>#N/A</v>
      </c>
    </row>
    <row r="3607" spans="1:3" x14ac:dyDescent="0.35">
      <c r="A3607" s="21">
        <v>28</v>
      </c>
      <c r="B3607" t="str">
        <f>VLOOKUP(A3607,Products!$A$1:$F$322,2,FALSE)</f>
        <v>Surly Karate Monkey 27.5+ Frameset - 2017</v>
      </c>
      <c r="C3607" s="21" t="e">
        <f>VLOOKUP(A3607,Products!A$322:$D3607,4,FALSE)</f>
        <v>#N/A</v>
      </c>
    </row>
    <row r="3608" spans="1:3" x14ac:dyDescent="0.35">
      <c r="A3608" s="21">
        <v>26</v>
      </c>
      <c r="B3608" t="str">
        <f>VLOOKUP(A3608,Products!$A$1:$F$322,2,FALSE)</f>
        <v>Electra Townie Original 7D EQ - 2016</v>
      </c>
      <c r="C3608" s="21" t="e">
        <f>VLOOKUP(A3608,Products!A$322:$D3608,4,FALSE)</f>
        <v>#N/A</v>
      </c>
    </row>
    <row r="3609" spans="1:3" x14ac:dyDescent="0.35">
      <c r="A3609" s="21">
        <v>94</v>
      </c>
      <c r="B3609" t="str">
        <f>VLOOKUP(A3609,Products!$A$1:$F$322,2,FALSE)</f>
        <v>Haro Shredder Pro 20 - 2017</v>
      </c>
      <c r="C3609" s="21" t="e">
        <f>VLOOKUP(A3609,Products!A$322:$D3609,4,FALSE)</f>
        <v>#N/A</v>
      </c>
    </row>
    <row r="3610" spans="1:3" x14ac:dyDescent="0.35">
      <c r="A3610" s="21">
        <v>33</v>
      </c>
      <c r="B3610" t="str">
        <f>VLOOKUP(A3610,Products!$A$1:$F$322,2,FALSE)</f>
        <v>Surly Wednesday Frameset - 2017</v>
      </c>
      <c r="C3610" s="21" t="e">
        <f>VLOOKUP(A3610,Products!A$322:$D3610,4,FALSE)</f>
        <v>#N/A</v>
      </c>
    </row>
    <row r="3611" spans="1:3" x14ac:dyDescent="0.35">
      <c r="A3611" s="21">
        <v>92</v>
      </c>
      <c r="B3611" t="str">
        <f>VLOOKUP(A3611,Products!$A$1:$F$322,2,FALSE)</f>
        <v>Haro Shredder 20 - 2017</v>
      </c>
      <c r="C3611" s="21" t="e">
        <f>VLOOKUP(A3611,Products!A$322:$D3611,4,FALSE)</f>
        <v>#N/A</v>
      </c>
    </row>
    <row r="3612" spans="1:3" x14ac:dyDescent="0.35">
      <c r="A3612" s="21">
        <v>12</v>
      </c>
      <c r="B3612" t="str">
        <f>VLOOKUP(A3612,Products!$A$1:$F$322,2,FALSE)</f>
        <v>Electra Townie Original 21D - 2016</v>
      </c>
      <c r="C3612" s="21" t="e">
        <f>VLOOKUP(A3612,Products!A$322:$D3612,4,FALSE)</f>
        <v>#N/A</v>
      </c>
    </row>
    <row r="3613" spans="1:3" x14ac:dyDescent="0.35">
      <c r="A3613" s="21">
        <v>62</v>
      </c>
      <c r="B3613" t="str">
        <f>VLOOKUP(A3613,Products!$A$1:$F$322,2,FALSE)</f>
        <v>Trek Boone 7 - 2017</v>
      </c>
      <c r="C3613" s="21" t="e">
        <f>VLOOKUP(A3613,Products!A$322:$D3613,4,FALSE)</f>
        <v>#N/A</v>
      </c>
    </row>
    <row r="3614" spans="1:3" x14ac:dyDescent="0.35">
      <c r="A3614" s="21">
        <v>104</v>
      </c>
      <c r="B3614" t="str">
        <f>VLOOKUP(A3614,Products!$A$1:$F$322,2,FALSE)</f>
        <v>Sun Bicycles Streamway - 2017</v>
      </c>
      <c r="C3614" s="21" t="e">
        <f>VLOOKUP(A3614,Products!A$322:$D3614,4,FALSE)</f>
        <v>#N/A</v>
      </c>
    </row>
    <row r="3615" spans="1:3" x14ac:dyDescent="0.35">
      <c r="A3615" s="21">
        <v>61</v>
      </c>
      <c r="B3615" t="str">
        <f>VLOOKUP(A3615,Products!$A$1:$F$322,2,FALSE)</f>
        <v>Trek Powerfly 8 FS Plus - 2017</v>
      </c>
      <c r="C3615" s="21" t="e">
        <f>VLOOKUP(A3615,Products!A$322:$D3615,4,FALSE)</f>
        <v>#N/A</v>
      </c>
    </row>
    <row r="3616" spans="1:3" x14ac:dyDescent="0.35">
      <c r="A3616" s="21">
        <v>78</v>
      </c>
      <c r="B3616" t="str">
        <f>VLOOKUP(A3616,Products!$A$1:$F$322,2,FALSE)</f>
        <v>Sun Bicycles Biscayne Tandem CB - 2017</v>
      </c>
      <c r="C3616" s="21" t="e">
        <f>VLOOKUP(A3616,Products!A$322:$D3616,4,FALSE)</f>
        <v>#N/A</v>
      </c>
    </row>
    <row r="3617" spans="1:3" x14ac:dyDescent="0.35">
      <c r="A3617" s="21">
        <v>66</v>
      </c>
      <c r="B3617" t="str">
        <f>VLOOKUP(A3617,Products!$A$1:$F$322,2,FALSE)</f>
        <v>Sun Bicycles Revolutions 24 - 2017</v>
      </c>
      <c r="C3617" s="21" t="e">
        <f>VLOOKUP(A3617,Products!A$322:$D3617,4,FALSE)</f>
        <v>#N/A</v>
      </c>
    </row>
    <row r="3618" spans="1:3" x14ac:dyDescent="0.35">
      <c r="A3618" s="21">
        <v>20</v>
      </c>
      <c r="B3618" t="str">
        <f>VLOOKUP(A3618,Products!$A$1:$F$322,2,FALSE)</f>
        <v>Electra Townie Original 7D EQ - Women's - 2016</v>
      </c>
      <c r="C3618" s="21" t="e">
        <f>VLOOKUP(A3618,Products!A$322:$D3618,4,FALSE)</f>
        <v>#N/A</v>
      </c>
    </row>
    <row r="3619" spans="1:3" x14ac:dyDescent="0.35">
      <c r="A3619" s="21">
        <v>6</v>
      </c>
      <c r="B3619" t="str">
        <f>VLOOKUP(A3619,Products!$A$1:$F$322,2,FALSE)</f>
        <v>Surly Ice Cream Truck Frameset - 2016</v>
      </c>
      <c r="C3619" s="21" t="e">
        <f>VLOOKUP(A3619,Products!A$322:$D3619,4,FALSE)</f>
        <v>#N/A</v>
      </c>
    </row>
    <row r="3620" spans="1:3" x14ac:dyDescent="0.35">
      <c r="A3620" s="21">
        <v>40</v>
      </c>
      <c r="B3620" t="str">
        <f>VLOOKUP(A3620,Products!$A$1:$F$322,2,FALSE)</f>
        <v>Trek Fuel EX 9.8 29 - 2017</v>
      </c>
      <c r="C3620" s="21" t="e">
        <f>VLOOKUP(A3620,Products!A$322:$D3620,4,FALSE)</f>
        <v>#N/A</v>
      </c>
    </row>
    <row r="3621" spans="1:3" x14ac:dyDescent="0.35">
      <c r="A3621" s="21">
        <v>56</v>
      </c>
      <c r="B3621" t="str">
        <f>VLOOKUP(A3621,Products!$A$1:$F$322,2,FALSE)</f>
        <v>Trek Domane SLR 6 Disc - 2017</v>
      </c>
      <c r="C3621" s="21" t="e">
        <f>VLOOKUP(A3621,Products!A$322:$D3621,4,FALSE)</f>
        <v>#N/A</v>
      </c>
    </row>
    <row r="3622" spans="1:3" x14ac:dyDescent="0.35">
      <c r="A3622" s="21">
        <v>7</v>
      </c>
      <c r="B3622" t="str">
        <f>VLOOKUP(A3622,Products!$A$1:$F$322,2,FALSE)</f>
        <v>Trek Slash 8 27.5 - 2016</v>
      </c>
      <c r="C3622" s="21" t="e">
        <f>VLOOKUP(A3622,Products!A$322:$D3622,4,FALSE)</f>
        <v>#N/A</v>
      </c>
    </row>
    <row r="3623" spans="1:3" x14ac:dyDescent="0.35">
      <c r="A3623" s="21">
        <v>79</v>
      </c>
      <c r="B3623" t="str">
        <f>VLOOKUP(A3623,Products!$A$1:$F$322,2,FALSE)</f>
        <v>Sun Bicycles Boardwalk (24-inch Wheels) - 2017</v>
      </c>
      <c r="C3623" s="21" t="e">
        <f>VLOOKUP(A3623,Products!A$322:$D3623,4,FALSE)</f>
        <v>#N/A</v>
      </c>
    </row>
    <row r="3624" spans="1:3" x14ac:dyDescent="0.35">
      <c r="A3624" s="21">
        <v>84</v>
      </c>
      <c r="B3624" t="str">
        <f>VLOOKUP(A3624,Products!$A$1:$F$322,2,FALSE)</f>
        <v>Sun Bicycles Lil Kitt'n - 2017</v>
      </c>
      <c r="C3624" s="21" t="e">
        <f>VLOOKUP(A3624,Products!A$322:$D3624,4,FALSE)</f>
        <v>#N/A</v>
      </c>
    </row>
    <row r="3625" spans="1:3" x14ac:dyDescent="0.35">
      <c r="A3625" s="21">
        <v>57</v>
      </c>
      <c r="B3625" t="str">
        <f>VLOOKUP(A3625,Products!$A$1:$F$322,2,FALSE)</f>
        <v>Trek Emonda S 5 - 2017</v>
      </c>
      <c r="C3625" s="21" t="e">
        <f>VLOOKUP(A3625,Products!A$322:$D3625,4,FALSE)</f>
        <v>#N/A</v>
      </c>
    </row>
    <row r="3626" spans="1:3" x14ac:dyDescent="0.35">
      <c r="A3626" s="21">
        <v>25</v>
      </c>
      <c r="B3626" t="str">
        <f>VLOOKUP(A3626,Products!$A$1:$F$322,2,FALSE)</f>
        <v>Electra Townie Original 7D - 2015/2016</v>
      </c>
      <c r="C3626" s="21" t="e">
        <f>VLOOKUP(A3626,Products!A$322:$D3626,4,FALSE)</f>
        <v>#N/A</v>
      </c>
    </row>
    <row r="3627" spans="1:3" x14ac:dyDescent="0.35">
      <c r="A3627" s="21">
        <v>21</v>
      </c>
      <c r="B3627" t="str">
        <f>VLOOKUP(A3627,Products!$A$1:$F$322,2,FALSE)</f>
        <v>Electra Cruiser 1 (24-Inch) - 2016</v>
      </c>
      <c r="C3627" s="21" t="e">
        <f>VLOOKUP(A3627,Products!A$322:$D3627,4,FALSE)</f>
        <v>#N/A</v>
      </c>
    </row>
    <row r="3628" spans="1:3" x14ac:dyDescent="0.35">
      <c r="A3628" s="21">
        <v>88</v>
      </c>
      <c r="B3628" t="str">
        <f>VLOOKUP(A3628,Products!$A$1:$F$322,2,FALSE)</f>
        <v>Trek Precaliber 12 Girls - 2017</v>
      </c>
      <c r="C3628" s="21" t="e">
        <f>VLOOKUP(A3628,Products!A$322:$D3628,4,FALSE)</f>
        <v>#N/A</v>
      </c>
    </row>
    <row r="3629" spans="1:3" x14ac:dyDescent="0.35">
      <c r="A3629" s="21">
        <v>80</v>
      </c>
      <c r="B3629" t="str">
        <f>VLOOKUP(A3629,Products!$A$1:$F$322,2,FALSE)</f>
        <v>Sun Bicycles Brickell Tandem CB - 2017</v>
      </c>
      <c r="C3629" s="21" t="e">
        <f>VLOOKUP(A3629,Products!A$322:$D3629,4,FALSE)</f>
        <v>#N/A</v>
      </c>
    </row>
    <row r="3630" spans="1:3" x14ac:dyDescent="0.35">
      <c r="A3630" s="21">
        <v>91</v>
      </c>
      <c r="B3630" t="str">
        <f>VLOOKUP(A3630,Products!$A$1:$F$322,2,FALSE)</f>
        <v>Trek Precaliber 24 (21-Speed) - Girls - 2017</v>
      </c>
      <c r="C3630" s="21" t="e">
        <f>VLOOKUP(A3630,Products!A$322:$D3630,4,FALSE)</f>
        <v>#N/A</v>
      </c>
    </row>
    <row r="3631" spans="1:3" x14ac:dyDescent="0.35">
      <c r="A3631" s="21">
        <v>43</v>
      </c>
      <c r="B3631" t="str">
        <f>VLOOKUP(A3631,Products!$A$1:$F$322,2,FALSE)</f>
        <v>Trek Fuel EX 9.8 27.5 Plus - 2017</v>
      </c>
      <c r="C3631" s="21" t="e">
        <f>VLOOKUP(A3631,Products!A$322:$D3631,4,FALSE)</f>
        <v>#N/A</v>
      </c>
    </row>
    <row r="3632" spans="1:3" x14ac:dyDescent="0.35">
      <c r="A3632" s="21">
        <v>53</v>
      </c>
      <c r="B3632" t="str">
        <f>VLOOKUP(A3632,Products!$A$1:$F$322,2,FALSE)</f>
        <v>Surly Ogre Frameset - 2017</v>
      </c>
      <c r="C3632" s="21" t="e">
        <f>VLOOKUP(A3632,Products!A$322:$D3632,4,FALSE)</f>
        <v>#N/A</v>
      </c>
    </row>
    <row r="3633" spans="1:3" x14ac:dyDescent="0.35">
      <c r="A3633" s="21">
        <v>14</v>
      </c>
      <c r="B3633" t="str">
        <f>VLOOKUP(A3633,Products!$A$1:$F$322,2,FALSE)</f>
        <v>Electra Girl's Hawaii 1 (16-inch) - 2015/2016</v>
      </c>
      <c r="C3633" s="21" t="e">
        <f>VLOOKUP(A3633,Products!A$322:$D3633,4,FALSE)</f>
        <v>#N/A</v>
      </c>
    </row>
    <row r="3634" spans="1:3" x14ac:dyDescent="0.35">
      <c r="A3634" s="21">
        <v>26</v>
      </c>
      <c r="B3634" t="str">
        <f>VLOOKUP(A3634,Products!$A$1:$F$322,2,FALSE)</f>
        <v>Electra Townie Original 7D EQ - 2016</v>
      </c>
      <c r="C3634" s="21" t="e">
        <f>VLOOKUP(A3634,Products!A$322:$D3634,4,FALSE)</f>
        <v>#N/A</v>
      </c>
    </row>
    <row r="3635" spans="1:3" x14ac:dyDescent="0.35">
      <c r="A3635" s="21">
        <v>82</v>
      </c>
      <c r="B3635" t="str">
        <f>VLOOKUP(A3635,Products!$A$1:$F$322,2,FALSE)</f>
        <v>Electra Amsterdam Original 3i Ladies' - 2017</v>
      </c>
      <c r="C3635" s="21" t="e">
        <f>VLOOKUP(A3635,Products!A$322:$D3635,4,FALSE)</f>
        <v>#N/A</v>
      </c>
    </row>
    <row r="3636" spans="1:3" x14ac:dyDescent="0.35">
      <c r="A3636" s="21">
        <v>44</v>
      </c>
      <c r="B3636" t="str">
        <f>VLOOKUP(A3636,Products!$A$1:$F$322,2,FALSE)</f>
        <v>Haro SR 1.1 - 2017</v>
      </c>
      <c r="C3636" s="21" t="e">
        <f>VLOOKUP(A3636,Products!A$322:$D3636,4,FALSE)</f>
        <v>#N/A</v>
      </c>
    </row>
    <row r="3637" spans="1:3" x14ac:dyDescent="0.35">
      <c r="A3637" s="21">
        <v>100</v>
      </c>
      <c r="B3637" t="str">
        <f>VLOOKUP(A3637,Products!$A$1:$F$322,2,FALSE)</f>
        <v>Electra Townie 3i EQ (20-inch) - Boys' - 2017</v>
      </c>
      <c r="C3637" s="21" t="e">
        <f>VLOOKUP(A3637,Products!A$322:$D3637,4,FALSE)</f>
        <v>#N/A</v>
      </c>
    </row>
    <row r="3638" spans="1:3" x14ac:dyDescent="0.35">
      <c r="A3638" s="21">
        <v>30</v>
      </c>
      <c r="B3638" t="str">
        <f>VLOOKUP(A3638,Products!$A$1:$F$322,2,FALSE)</f>
        <v>Surly Ice Cream Truck Frameset - 2017</v>
      </c>
      <c r="C3638" s="21" t="e">
        <f>VLOOKUP(A3638,Products!A$322:$D3638,4,FALSE)</f>
        <v>#N/A</v>
      </c>
    </row>
    <row r="3639" spans="1:3" x14ac:dyDescent="0.35">
      <c r="A3639" s="21">
        <v>61</v>
      </c>
      <c r="B3639" t="str">
        <f>VLOOKUP(A3639,Products!$A$1:$F$322,2,FALSE)</f>
        <v>Trek Powerfly 8 FS Plus - 2017</v>
      </c>
      <c r="C3639" s="21" t="e">
        <f>VLOOKUP(A3639,Products!A$322:$D3639,4,FALSE)</f>
        <v>#N/A</v>
      </c>
    </row>
    <row r="3640" spans="1:3" x14ac:dyDescent="0.35">
      <c r="A3640" s="21">
        <v>17</v>
      </c>
      <c r="B3640" t="str">
        <f>VLOOKUP(A3640,Products!$A$1:$F$322,2,FALSE)</f>
        <v>Pure Cycles Vine 8-Speed - 2016</v>
      </c>
      <c r="C3640" s="21" t="e">
        <f>VLOOKUP(A3640,Products!A$322:$D3640,4,FALSE)</f>
        <v>#N/A</v>
      </c>
    </row>
    <row r="3641" spans="1:3" x14ac:dyDescent="0.35">
      <c r="A3641" s="21">
        <v>41</v>
      </c>
      <c r="B3641" t="str">
        <f>VLOOKUP(A3641,Products!$A$1:$F$322,2,FALSE)</f>
        <v>Haro Shift R3 - 2017</v>
      </c>
      <c r="C3641" s="21" t="e">
        <f>VLOOKUP(A3641,Products!A$322:$D3641,4,FALSE)</f>
        <v>#N/A</v>
      </c>
    </row>
    <row r="3642" spans="1:3" x14ac:dyDescent="0.35">
      <c r="A3642" s="21">
        <v>4</v>
      </c>
      <c r="B3642" t="str">
        <f>VLOOKUP(A3642,Products!$A$1:$F$322,2,FALSE)</f>
        <v>Trek Fuel EX 8 29 - 2016</v>
      </c>
      <c r="C3642" s="21" t="e">
        <f>VLOOKUP(A3642,Products!A$322:$D3642,4,FALSE)</f>
        <v>#N/A</v>
      </c>
    </row>
    <row r="3643" spans="1:3" x14ac:dyDescent="0.35">
      <c r="A3643" s="21">
        <v>94</v>
      </c>
      <c r="B3643" t="str">
        <f>VLOOKUP(A3643,Products!$A$1:$F$322,2,FALSE)</f>
        <v>Haro Shredder Pro 20 - 2017</v>
      </c>
      <c r="C3643" s="21" t="e">
        <f>VLOOKUP(A3643,Products!A$322:$D3643,4,FALSE)</f>
        <v>#N/A</v>
      </c>
    </row>
    <row r="3644" spans="1:3" x14ac:dyDescent="0.35">
      <c r="A3644" s="21">
        <v>99</v>
      </c>
      <c r="B3644" t="str">
        <f>VLOOKUP(A3644,Products!$A$1:$F$322,2,FALSE)</f>
        <v>Electra Sugar Skulls 1 (20-inch) - Girl's - 2017</v>
      </c>
      <c r="C3644" s="21" t="e">
        <f>VLOOKUP(A3644,Products!A$322:$D3644,4,FALSE)</f>
        <v>#N/A</v>
      </c>
    </row>
    <row r="3645" spans="1:3" x14ac:dyDescent="0.35">
      <c r="A3645" s="21">
        <v>60</v>
      </c>
      <c r="B3645" t="str">
        <f>VLOOKUP(A3645,Products!$A$1:$F$322,2,FALSE)</f>
        <v>Sun Bicycles ElectroLite - 2017</v>
      </c>
      <c r="C3645" s="21" t="e">
        <f>VLOOKUP(A3645,Products!A$322:$D3645,4,FALSE)</f>
        <v>#N/A</v>
      </c>
    </row>
    <row r="3646" spans="1:3" x14ac:dyDescent="0.35">
      <c r="A3646" s="21">
        <v>19</v>
      </c>
      <c r="B3646" t="str">
        <f>VLOOKUP(A3646,Products!$A$1:$F$322,2,FALSE)</f>
        <v>Pure Cycles William 3-Speed - 2016</v>
      </c>
      <c r="C3646" s="21" t="e">
        <f>VLOOKUP(A3646,Products!A$322:$D3646,4,FALSE)</f>
        <v>#N/A</v>
      </c>
    </row>
    <row r="3647" spans="1:3" x14ac:dyDescent="0.35">
      <c r="A3647" s="21">
        <v>8</v>
      </c>
      <c r="B3647" t="str">
        <f>VLOOKUP(A3647,Products!$A$1:$F$322,2,FALSE)</f>
        <v>Trek Remedy 29 Carbon Frameset - 2016</v>
      </c>
      <c r="C3647" s="21" t="e">
        <f>VLOOKUP(A3647,Products!A$322:$D3647,4,FALSE)</f>
        <v>#N/A</v>
      </c>
    </row>
    <row r="3648" spans="1:3" x14ac:dyDescent="0.35">
      <c r="A3648" s="21">
        <v>66</v>
      </c>
      <c r="B3648" t="str">
        <f>VLOOKUP(A3648,Products!$A$1:$F$322,2,FALSE)</f>
        <v>Sun Bicycles Revolutions 24 - 2017</v>
      </c>
      <c r="C3648" s="21" t="e">
        <f>VLOOKUP(A3648,Products!A$322:$D3648,4,FALSE)</f>
        <v>#N/A</v>
      </c>
    </row>
    <row r="3649" spans="1:3" x14ac:dyDescent="0.35">
      <c r="A3649" s="21">
        <v>73</v>
      </c>
      <c r="B3649" t="str">
        <f>VLOOKUP(A3649,Products!$A$1:$F$322,2,FALSE)</f>
        <v>Sun Bicycles Brickell Tandem 7 - 2017</v>
      </c>
      <c r="C3649" s="21" t="e">
        <f>VLOOKUP(A3649,Products!A$322:$D3649,4,FALSE)</f>
        <v>#N/A</v>
      </c>
    </row>
    <row r="3650" spans="1:3" x14ac:dyDescent="0.35">
      <c r="A3650" s="21">
        <v>88</v>
      </c>
      <c r="B3650" t="str">
        <f>VLOOKUP(A3650,Products!$A$1:$F$322,2,FALSE)</f>
        <v>Trek Precaliber 12 Girls - 2017</v>
      </c>
      <c r="C3650" s="21" t="e">
        <f>VLOOKUP(A3650,Products!A$322:$D3650,4,FALSE)</f>
        <v>#N/A</v>
      </c>
    </row>
    <row r="3651" spans="1:3" x14ac:dyDescent="0.35">
      <c r="A3651" s="21">
        <v>100</v>
      </c>
      <c r="B3651" t="str">
        <f>VLOOKUP(A3651,Products!$A$1:$F$322,2,FALSE)</f>
        <v>Electra Townie 3i EQ (20-inch) - Boys' - 2017</v>
      </c>
      <c r="C3651" s="21" t="e">
        <f>VLOOKUP(A3651,Products!A$322:$D3651,4,FALSE)</f>
        <v>#N/A</v>
      </c>
    </row>
    <row r="3652" spans="1:3" x14ac:dyDescent="0.35">
      <c r="A3652" s="21">
        <v>42</v>
      </c>
      <c r="B3652" t="str">
        <f>VLOOKUP(A3652,Products!$A$1:$F$322,2,FALSE)</f>
        <v>Trek Fuel EX 5 27.5 Plus - 2017</v>
      </c>
      <c r="C3652" s="21" t="e">
        <f>VLOOKUP(A3652,Products!A$322:$D3652,4,FALSE)</f>
        <v>#N/A</v>
      </c>
    </row>
    <row r="3653" spans="1:3" x14ac:dyDescent="0.35">
      <c r="A3653" s="21">
        <v>37</v>
      </c>
      <c r="B3653" t="str">
        <f>VLOOKUP(A3653,Products!$A$1:$F$322,2,FALSE)</f>
        <v>Haro Flightline One ST - 2017</v>
      </c>
      <c r="C3653" s="21" t="e">
        <f>VLOOKUP(A3653,Products!A$322:$D3653,4,FALSE)</f>
        <v>#N/A</v>
      </c>
    </row>
    <row r="3654" spans="1:3" x14ac:dyDescent="0.35">
      <c r="A3654" s="21">
        <v>52</v>
      </c>
      <c r="B3654" t="str">
        <f>VLOOKUP(A3654,Products!$A$1:$F$322,2,FALSE)</f>
        <v>Surly Steamroller - 2017</v>
      </c>
      <c r="C3654" s="21" t="e">
        <f>VLOOKUP(A3654,Products!A$322:$D3654,4,FALSE)</f>
        <v>#N/A</v>
      </c>
    </row>
    <row r="3655" spans="1:3" x14ac:dyDescent="0.35">
      <c r="A3655" s="21">
        <v>43</v>
      </c>
      <c r="B3655" t="str">
        <f>VLOOKUP(A3655,Products!$A$1:$F$322,2,FALSE)</f>
        <v>Trek Fuel EX 9.8 27.5 Plus - 2017</v>
      </c>
      <c r="C3655" s="21" t="e">
        <f>VLOOKUP(A3655,Products!A$322:$D3655,4,FALSE)</f>
        <v>#N/A</v>
      </c>
    </row>
    <row r="3656" spans="1:3" x14ac:dyDescent="0.35">
      <c r="A3656" s="21">
        <v>77</v>
      </c>
      <c r="B3656" t="str">
        <f>VLOOKUP(A3656,Products!$A$1:$F$322,2,FALSE)</f>
        <v>Electra Glam Punk 3i Ladies' - 2017</v>
      </c>
      <c r="C3656" s="21" t="e">
        <f>VLOOKUP(A3656,Products!A$322:$D3656,4,FALSE)</f>
        <v>#N/A</v>
      </c>
    </row>
    <row r="3657" spans="1:3" x14ac:dyDescent="0.35">
      <c r="A3657" s="21">
        <v>45</v>
      </c>
      <c r="B3657" t="str">
        <f>VLOOKUP(A3657,Products!$A$1:$F$322,2,FALSE)</f>
        <v>Haro SR 1.2 - 2017</v>
      </c>
      <c r="C3657" s="21" t="e">
        <f>VLOOKUP(A3657,Products!A$322:$D3657,4,FALSE)</f>
        <v>#N/A</v>
      </c>
    </row>
    <row r="3658" spans="1:3" x14ac:dyDescent="0.35">
      <c r="A3658" s="21">
        <v>62</v>
      </c>
      <c r="B3658" t="str">
        <f>VLOOKUP(A3658,Products!$A$1:$F$322,2,FALSE)</f>
        <v>Trek Boone 7 - 2017</v>
      </c>
      <c r="C3658" s="21" t="e">
        <f>VLOOKUP(A3658,Products!A$322:$D3658,4,FALSE)</f>
        <v>#N/A</v>
      </c>
    </row>
    <row r="3659" spans="1:3" x14ac:dyDescent="0.35">
      <c r="A3659" s="21">
        <v>19</v>
      </c>
      <c r="B3659" t="str">
        <f>VLOOKUP(A3659,Products!$A$1:$F$322,2,FALSE)</f>
        <v>Pure Cycles William 3-Speed - 2016</v>
      </c>
      <c r="C3659" s="21" t="e">
        <f>VLOOKUP(A3659,Products!A$322:$D3659,4,FALSE)</f>
        <v>#N/A</v>
      </c>
    </row>
    <row r="3660" spans="1:3" x14ac:dyDescent="0.35">
      <c r="A3660" s="21">
        <v>101</v>
      </c>
      <c r="B3660" t="str">
        <f>VLOOKUP(A3660,Products!$A$1:$F$322,2,FALSE)</f>
        <v>Electra Townie 7D (20-inch) - Boys' - 2017</v>
      </c>
      <c r="C3660" s="21" t="e">
        <f>VLOOKUP(A3660,Products!A$322:$D3660,4,FALSE)</f>
        <v>#N/A</v>
      </c>
    </row>
    <row r="3661" spans="1:3" x14ac:dyDescent="0.35">
      <c r="A3661" s="21">
        <v>77</v>
      </c>
      <c r="B3661" t="str">
        <f>VLOOKUP(A3661,Products!$A$1:$F$322,2,FALSE)</f>
        <v>Electra Glam Punk 3i Ladies' - 2017</v>
      </c>
      <c r="C3661" s="21" t="e">
        <f>VLOOKUP(A3661,Products!A$322:$D3661,4,FALSE)</f>
        <v>#N/A</v>
      </c>
    </row>
    <row r="3662" spans="1:3" x14ac:dyDescent="0.35">
      <c r="A3662" s="21">
        <v>29</v>
      </c>
      <c r="B3662" t="str">
        <f>VLOOKUP(A3662,Products!$A$1:$F$322,2,FALSE)</f>
        <v>Trek X-Caliber 8 - 2017</v>
      </c>
      <c r="C3662" s="21" t="e">
        <f>VLOOKUP(A3662,Products!A$322:$D3662,4,FALSE)</f>
        <v>#N/A</v>
      </c>
    </row>
    <row r="3663" spans="1:3" x14ac:dyDescent="0.35">
      <c r="A3663" s="21">
        <v>52</v>
      </c>
      <c r="B3663" t="str">
        <f>VLOOKUP(A3663,Products!$A$1:$F$322,2,FALSE)</f>
        <v>Surly Steamroller - 2017</v>
      </c>
      <c r="C3663" s="21" t="e">
        <f>VLOOKUP(A3663,Products!A$322:$D3663,4,FALSE)</f>
        <v>#N/A</v>
      </c>
    </row>
    <row r="3664" spans="1:3" x14ac:dyDescent="0.35">
      <c r="A3664" s="21">
        <v>41</v>
      </c>
      <c r="B3664" t="str">
        <f>VLOOKUP(A3664,Products!$A$1:$F$322,2,FALSE)</f>
        <v>Haro Shift R3 - 2017</v>
      </c>
      <c r="C3664" s="21" t="e">
        <f>VLOOKUP(A3664,Products!A$322:$D3664,4,FALSE)</f>
        <v>#N/A</v>
      </c>
    </row>
    <row r="3665" spans="1:3" x14ac:dyDescent="0.35">
      <c r="A3665" s="21">
        <v>72</v>
      </c>
      <c r="B3665" t="str">
        <f>VLOOKUP(A3665,Products!$A$1:$F$322,2,FALSE)</f>
        <v>Sun Bicycles Biscayne Tandem 7 - 2017</v>
      </c>
      <c r="C3665" s="21" t="e">
        <f>VLOOKUP(A3665,Products!A$322:$D3665,4,FALSE)</f>
        <v>#N/A</v>
      </c>
    </row>
    <row r="3666" spans="1:3" x14ac:dyDescent="0.35">
      <c r="A3666" s="21">
        <v>90</v>
      </c>
      <c r="B3666" t="str">
        <f>VLOOKUP(A3666,Products!$A$1:$F$322,2,FALSE)</f>
        <v>Trek Precaliber 16 Girls - 2017</v>
      </c>
      <c r="C3666" s="21" t="e">
        <f>VLOOKUP(A3666,Products!A$322:$D3666,4,FALSE)</f>
        <v>#N/A</v>
      </c>
    </row>
    <row r="3667" spans="1:3" x14ac:dyDescent="0.35">
      <c r="A3667" s="21">
        <v>48</v>
      </c>
      <c r="B3667" t="str">
        <f>VLOOKUP(A3667,Products!$A$1:$F$322,2,FALSE)</f>
        <v>Trek Emonda S 4 - 2017</v>
      </c>
      <c r="C3667" s="21" t="e">
        <f>VLOOKUP(A3667,Products!A$322:$D3667,4,FALSE)</f>
        <v>#N/A</v>
      </c>
    </row>
    <row r="3668" spans="1:3" x14ac:dyDescent="0.35">
      <c r="A3668" s="21">
        <v>45</v>
      </c>
      <c r="B3668" t="str">
        <f>VLOOKUP(A3668,Products!$A$1:$F$322,2,FALSE)</f>
        <v>Haro SR 1.2 - 2017</v>
      </c>
      <c r="C3668" s="21" t="e">
        <f>VLOOKUP(A3668,Products!A$322:$D3668,4,FALSE)</f>
        <v>#N/A</v>
      </c>
    </row>
    <row r="3669" spans="1:3" x14ac:dyDescent="0.35">
      <c r="A3669" s="21">
        <v>27</v>
      </c>
      <c r="B3669" t="str">
        <f>VLOOKUP(A3669,Products!$A$1:$F$322,2,FALSE)</f>
        <v>Surly Big Dummy Frameset - 2017</v>
      </c>
      <c r="C3669" s="21" t="e">
        <f>VLOOKUP(A3669,Products!A$322:$D3669,4,FALSE)</f>
        <v>#N/A</v>
      </c>
    </row>
    <row r="3670" spans="1:3" x14ac:dyDescent="0.35">
      <c r="A3670" s="21">
        <v>108</v>
      </c>
      <c r="B3670" t="str">
        <f>VLOOKUP(A3670,Products!$A$1:$F$322,2,FALSE)</f>
        <v>Sun Bicycles Cruz 3 - Women's - 2017</v>
      </c>
      <c r="C3670" s="21" t="e">
        <f>VLOOKUP(A3670,Products!A$322:$D3670,4,FALSE)</f>
        <v>#N/A</v>
      </c>
    </row>
    <row r="3671" spans="1:3" x14ac:dyDescent="0.35">
      <c r="A3671" s="21">
        <v>95</v>
      </c>
      <c r="B3671" t="str">
        <f>VLOOKUP(A3671,Products!$A$1:$F$322,2,FALSE)</f>
        <v>Electra Girl's Hawaii 1 16" - 2017</v>
      </c>
      <c r="C3671" s="21" t="e">
        <f>VLOOKUP(A3671,Products!A$322:$D3671,4,FALSE)</f>
        <v>#N/A</v>
      </c>
    </row>
    <row r="3672" spans="1:3" x14ac:dyDescent="0.35">
      <c r="A3672" s="21">
        <v>68</v>
      </c>
      <c r="B3672" t="str">
        <f>VLOOKUP(A3672,Products!$A$1:$F$322,2,FALSE)</f>
        <v>Sun Bicycles Cruz 3 - 2017</v>
      </c>
      <c r="C3672" s="21" t="e">
        <f>VLOOKUP(A3672,Products!A$322:$D3672,4,FALSE)</f>
        <v>#N/A</v>
      </c>
    </row>
    <row r="3673" spans="1:3" x14ac:dyDescent="0.35">
      <c r="A3673" s="21">
        <v>87</v>
      </c>
      <c r="B3673" t="str">
        <f>VLOOKUP(A3673,Products!$A$1:$F$322,2,FALSE)</f>
        <v>Trek Precaliber 12 Boys - 2017</v>
      </c>
      <c r="C3673" s="21" t="e">
        <f>VLOOKUP(A3673,Products!A$322:$D3673,4,FALSE)</f>
        <v>#N/A</v>
      </c>
    </row>
    <row r="3674" spans="1:3" x14ac:dyDescent="0.35">
      <c r="A3674" s="21">
        <v>59</v>
      </c>
      <c r="B3674" t="str">
        <f>VLOOKUP(A3674,Products!$A$1:$F$322,2,FALSE)</f>
        <v>Trek Domane S 5 Disc - 2017</v>
      </c>
      <c r="C3674" s="21" t="e">
        <f>VLOOKUP(A3674,Products!A$322:$D3674,4,FALSE)</f>
        <v>#N/A</v>
      </c>
    </row>
    <row r="3675" spans="1:3" x14ac:dyDescent="0.35">
      <c r="A3675" s="21">
        <v>100</v>
      </c>
      <c r="B3675" t="str">
        <f>VLOOKUP(A3675,Products!$A$1:$F$322,2,FALSE)</f>
        <v>Electra Townie 3i EQ (20-inch) - Boys' - 2017</v>
      </c>
      <c r="C3675" s="21" t="e">
        <f>VLOOKUP(A3675,Products!A$322:$D3675,4,FALSE)</f>
        <v>#N/A</v>
      </c>
    </row>
    <row r="3676" spans="1:3" x14ac:dyDescent="0.35">
      <c r="A3676" s="21">
        <v>4</v>
      </c>
      <c r="B3676" t="str">
        <f>VLOOKUP(A3676,Products!$A$1:$F$322,2,FALSE)</f>
        <v>Trek Fuel EX 8 29 - 2016</v>
      </c>
      <c r="C3676" s="21" t="e">
        <f>VLOOKUP(A3676,Products!A$322:$D3676,4,FALSE)</f>
        <v>#N/A</v>
      </c>
    </row>
    <row r="3677" spans="1:3" x14ac:dyDescent="0.35">
      <c r="A3677" s="21">
        <v>7</v>
      </c>
      <c r="B3677" t="str">
        <f>VLOOKUP(A3677,Products!$A$1:$F$322,2,FALSE)</f>
        <v>Trek Slash 8 27.5 - 2016</v>
      </c>
      <c r="C3677" s="21" t="e">
        <f>VLOOKUP(A3677,Products!A$322:$D3677,4,FALSE)</f>
        <v>#N/A</v>
      </c>
    </row>
    <row r="3678" spans="1:3" x14ac:dyDescent="0.35">
      <c r="A3678" s="21">
        <v>111</v>
      </c>
      <c r="B3678" t="str">
        <f>VLOOKUP(A3678,Products!$A$1:$F$322,2,FALSE)</f>
        <v>Sun Bicycles Drifter 7 - Women's - 2017</v>
      </c>
      <c r="C3678" s="21" t="e">
        <f>VLOOKUP(A3678,Products!A$322:$D3678,4,FALSE)</f>
        <v>#N/A</v>
      </c>
    </row>
    <row r="3679" spans="1:3" x14ac:dyDescent="0.35">
      <c r="A3679" s="21">
        <v>54</v>
      </c>
      <c r="B3679" t="str">
        <f>VLOOKUP(A3679,Products!$A$1:$F$322,2,FALSE)</f>
        <v>Trek Domane SL Disc Frameset - 2017</v>
      </c>
      <c r="C3679" s="21" t="e">
        <f>VLOOKUP(A3679,Products!A$322:$D3679,4,FALSE)</f>
        <v>#N/A</v>
      </c>
    </row>
    <row r="3680" spans="1:3" x14ac:dyDescent="0.35">
      <c r="A3680" s="21">
        <v>25</v>
      </c>
      <c r="B3680" t="str">
        <f>VLOOKUP(A3680,Products!$A$1:$F$322,2,FALSE)</f>
        <v>Electra Townie Original 7D - 2015/2016</v>
      </c>
      <c r="C3680" s="21" t="e">
        <f>VLOOKUP(A3680,Products!A$322:$D3680,4,FALSE)</f>
        <v>#N/A</v>
      </c>
    </row>
    <row r="3681" spans="1:3" x14ac:dyDescent="0.35">
      <c r="A3681" s="21">
        <v>50</v>
      </c>
      <c r="B3681" t="str">
        <f>VLOOKUP(A3681,Products!$A$1:$F$322,2,FALSE)</f>
        <v>Trek Silque SLR 7 Women's - 2017</v>
      </c>
      <c r="C3681" s="21" t="e">
        <f>VLOOKUP(A3681,Products!A$322:$D3681,4,FALSE)</f>
        <v>#N/A</v>
      </c>
    </row>
    <row r="3682" spans="1:3" x14ac:dyDescent="0.35">
      <c r="A3682" s="21">
        <v>87</v>
      </c>
      <c r="B3682" t="str">
        <f>VLOOKUP(A3682,Products!$A$1:$F$322,2,FALSE)</f>
        <v>Trek Precaliber 12 Boys - 2017</v>
      </c>
      <c r="C3682" s="21" t="e">
        <f>VLOOKUP(A3682,Products!A$322:$D3682,4,FALSE)</f>
        <v>#N/A</v>
      </c>
    </row>
    <row r="3683" spans="1:3" x14ac:dyDescent="0.35">
      <c r="A3683" s="21">
        <v>32</v>
      </c>
      <c r="B3683" t="str">
        <f>VLOOKUP(A3683,Products!$A$1:$F$322,2,FALSE)</f>
        <v>Trek Farley Alloy Frameset - 2017</v>
      </c>
      <c r="C3683" s="21" t="e">
        <f>VLOOKUP(A3683,Products!A$322:$D3683,4,FALSE)</f>
        <v>#N/A</v>
      </c>
    </row>
    <row r="3684" spans="1:3" x14ac:dyDescent="0.35">
      <c r="A3684" s="21">
        <v>16</v>
      </c>
      <c r="B3684" t="str">
        <f>VLOOKUP(A3684,Products!$A$1:$F$322,2,FALSE)</f>
        <v>Electra Townie Original 7D EQ - 2016</v>
      </c>
      <c r="C3684" s="21" t="e">
        <f>VLOOKUP(A3684,Products!A$322:$D3684,4,FALSE)</f>
        <v>#N/A</v>
      </c>
    </row>
    <row r="3685" spans="1:3" x14ac:dyDescent="0.35">
      <c r="A3685" s="21">
        <v>71</v>
      </c>
      <c r="B3685" t="str">
        <f>VLOOKUP(A3685,Products!$A$1:$F$322,2,FALSE)</f>
        <v>Sun Bicycles Atlas X-Type - 2017</v>
      </c>
      <c r="C3685" s="21" t="e">
        <f>VLOOKUP(A3685,Products!A$322:$D3685,4,FALSE)</f>
        <v>#N/A</v>
      </c>
    </row>
    <row r="3686" spans="1:3" x14ac:dyDescent="0.35">
      <c r="A3686" s="21">
        <v>86</v>
      </c>
      <c r="B3686" t="str">
        <f>VLOOKUP(A3686,Products!$A$1:$F$322,2,FALSE)</f>
        <v>Trek Girl's Kickster - 2017</v>
      </c>
      <c r="C3686" s="21" t="e">
        <f>VLOOKUP(A3686,Products!A$322:$D3686,4,FALSE)</f>
        <v>#N/A</v>
      </c>
    </row>
    <row r="3687" spans="1:3" x14ac:dyDescent="0.35">
      <c r="A3687" s="21">
        <v>95</v>
      </c>
      <c r="B3687" t="str">
        <f>VLOOKUP(A3687,Products!$A$1:$F$322,2,FALSE)</f>
        <v>Electra Girl's Hawaii 1 16" - 2017</v>
      </c>
      <c r="C3687" s="21" t="e">
        <f>VLOOKUP(A3687,Products!A$322:$D3687,4,FALSE)</f>
        <v>#N/A</v>
      </c>
    </row>
    <row r="3688" spans="1:3" x14ac:dyDescent="0.35">
      <c r="A3688" s="21">
        <v>20</v>
      </c>
      <c r="B3688" t="str">
        <f>VLOOKUP(A3688,Products!$A$1:$F$322,2,FALSE)</f>
        <v>Electra Townie Original 7D EQ - Women's - 2016</v>
      </c>
      <c r="C3688" s="21" t="e">
        <f>VLOOKUP(A3688,Products!A$322:$D3688,4,FALSE)</f>
        <v>#N/A</v>
      </c>
    </row>
    <row r="3689" spans="1:3" x14ac:dyDescent="0.35">
      <c r="A3689" s="21">
        <v>58</v>
      </c>
      <c r="B3689" t="str">
        <f>VLOOKUP(A3689,Products!$A$1:$F$322,2,FALSE)</f>
        <v>Trek Madone 9.2 - 2017</v>
      </c>
      <c r="C3689" s="21" t="e">
        <f>VLOOKUP(A3689,Products!A$322:$D3689,4,FALSE)</f>
        <v>#N/A</v>
      </c>
    </row>
    <row r="3690" spans="1:3" x14ac:dyDescent="0.35">
      <c r="A3690" s="21">
        <v>81</v>
      </c>
      <c r="B3690" t="str">
        <f>VLOOKUP(A3690,Products!$A$1:$F$322,2,FALSE)</f>
        <v>Electra Amsterdam Fashion 7i Ladies' - 2017</v>
      </c>
      <c r="C3690" s="21" t="e">
        <f>VLOOKUP(A3690,Products!A$322:$D3690,4,FALSE)</f>
        <v>#N/A</v>
      </c>
    </row>
    <row r="3691" spans="1:3" x14ac:dyDescent="0.35">
      <c r="A3691" s="21">
        <v>58</v>
      </c>
      <c r="B3691" t="str">
        <f>VLOOKUP(A3691,Products!$A$1:$F$322,2,FALSE)</f>
        <v>Trek Madone 9.2 - 2017</v>
      </c>
      <c r="C3691" s="21" t="e">
        <f>VLOOKUP(A3691,Products!A$322:$D3691,4,FALSE)</f>
        <v>#N/A</v>
      </c>
    </row>
    <row r="3692" spans="1:3" x14ac:dyDescent="0.35">
      <c r="A3692" s="21">
        <v>30</v>
      </c>
      <c r="B3692" t="str">
        <f>VLOOKUP(A3692,Products!$A$1:$F$322,2,FALSE)</f>
        <v>Surly Ice Cream Truck Frameset - 2017</v>
      </c>
      <c r="C3692" s="21" t="e">
        <f>VLOOKUP(A3692,Products!A$322:$D3692,4,FALSE)</f>
        <v>#N/A</v>
      </c>
    </row>
    <row r="3693" spans="1:3" x14ac:dyDescent="0.35">
      <c r="A3693" s="21">
        <v>18</v>
      </c>
      <c r="B3693" t="str">
        <f>VLOOKUP(A3693,Products!$A$1:$F$322,2,FALSE)</f>
        <v>Pure Cycles Western 3-Speed - Women's - 2015/2016</v>
      </c>
      <c r="C3693" s="21" t="e">
        <f>VLOOKUP(A3693,Products!A$322:$D3693,4,FALSE)</f>
        <v>#N/A</v>
      </c>
    </row>
    <row r="3694" spans="1:3" x14ac:dyDescent="0.35">
      <c r="A3694" s="21">
        <v>58</v>
      </c>
      <c r="B3694" t="str">
        <f>VLOOKUP(A3694,Products!$A$1:$F$322,2,FALSE)</f>
        <v>Trek Madone 9.2 - 2017</v>
      </c>
      <c r="C3694" s="21" t="e">
        <f>VLOOKUP(A3694,Products!A$322:$D3694,4,FALSE)</f>
        <v>#N/A</v>
      </c>
    </row>
    <row r="3695" spans="1:3" x14ac:dyDescent="0.35">
      <c r="A3695" s="21">
        <v>42</v>
      </c>
      <c r="B3695" t="str">
        <f>VLOOKUP(A3695,Products!$A$1:$F$322,2,FALSE)</f>
        <v>Trek Fuel EX 5 27.5 Plus - 2017</v>
      </c>
      <c r="C3695" s="21" t="e">
        <f>VLOOKUP(A3695,Products!A$322:$D3695,4,FALSE)</f>
        <v>#N/A</v>
      </c>
    </row>
    <row r="3696" spans="1:3" x14ac:dyDescent="0.35">
      <c r="A3696" s="21">
        <v>24</v>
      </c>
      <c r="B3696" t="str">
        <f>VLOOKUP(A3696,Products!$A$1:$F$322,2,FALSE)</f>
        <v>Electra Townie Original 21D - 2016</v>
      </c>
      <c r="C3696" s="21" t="e">
        <f>VLOOKUP(A3696,Products!A$322:$D3696,4,FALSE)</f>
        <v>#N/A</v>
      </c>
    </row>
    <row r="3697" spans="1:3" x14ac:dyDescent="0.35">
      <c r="A3697" s="21">
        <v>78</v>
      </c>
      <c r="B3697" t="str">
        <f>VLOOKUP(A3697,Products!$A$1:$F$322,2,FALSE)</f>
        <v>Sun Bicycles Biscayne Tandem CB - 2017</v>
      </c>
      <c r="C3697" s="21" t="e">
        <f>VLOOKUP(A3697,Products!A$322:$D3697,4,FALSE)</f>
        <v>#N/A</v>
      </c>
    </row>
    <row r="3698" spans="1:3" x14ac:dyDescent="0.35">
      <c r="A3698" s="21">
        <v>56</v>
      </c>
      <c r="B3698" t="str">
        <f>VLOOKUP(A3698,Products!$A$1:$F$322,2,FALSE)</f>
        <v>Trek Domane SLR 6 Disc - 2017</v>
      </c>
      <c r="C3698" s="21" t="e">
        <f>VLOOKUP(A3698,Products!A$322:$D3698,4,FALSE)</f>
        <v>#N/A</v>
      </c>
    </row>
    <row r="3699" spans="1:3" x14ac:dyDescent="0.35">
      <c r="A3699" s="21">
        <v>93</v>
      </c>
      <c r="B3699" t="str">
        <f>VLOOKUP(A3699,Products!$A$1:$F$322,2,FALSE)</f>
        <v>Haro Shredder 20 Girls - 2017</v>
      </c>
      <c r="C3699" s="21" t="e">
        <f>VLOOKUP(A3699,Products!A$322:$D3699,4,FALSE)</f>
        <v>#N/A</v>
      </c>
    </row>
    <row r="3700" spans="1:3" x14ac:dyDescent="0.35">
      <c r="A3700" s="21">
        <v>9</v>
      </c>
      <c r="B3700" t="str">
        <f>VLOOKUP(A3700,Products!$A$1:$F$322,2,FALSE)</f>
        <v>Trek Conduit+ - 2016</v>
      </c>
      <c r="C3700" s="21" t="e">
        <f>VLOOKUP(A3700,Products!A$322:$D3700,4,FALSE)</f>
        <v>#N/A</v>
      </c>
    </row>
    <row r="3701" spans="1:3" x14ac:dyDescent="0.35">
      <c r="A3701" s="21">
        <v>4</v>
      </c>
      <c r="B3701" t="str">
        <f>VLOOKUP(A3701,Products!$A$1:$F$322,2,FALSE)</f>
        <v>Trek Fuel EX 8 29 - 2016</v>
      </c>
      <c r="C3701" s="21" t="e">
        <f>VLOOKUP(A3701,Products!A$322:$D3701,4,FALSE)</f>
        <v>#N/A</v>
      </c>
    </row>
    <row r="3702" spans="1:3" x14ac:dyDescent="0.35">
      <c r="A3702" s="21">
        <v>11</v>
      </c>
      <c r="B3702" t="str">
        <f>VLOOKUP(A3702,Products!$A$1:$F$322,2,FALSE)</f>
        <v>Surly Straggler 650b - 2016</v>
      </c>
      <c r="C3702" s="21" t="e">
        <f>VLOOKUP(A3702,Products!A$322:$D3702,4,FALSE)</f>
        <v>#N/A</v>
      </c>
    </row>
    <row r="3703" spans="1:3" x14ac:dyDescent="0.35">
      <c r="A3703" s="21">
        <v>103</v>
      </c>
      <c r="B3703" t="str">
        <f>VLOOKUP(A3703,Products!$A$1:$F$322,2,FALSE)</f>
        <v>Sun Bicycles Streamway 3 - 2017</v>
      </c>
      <c r="C3703" s="21" t="e">
        <f>VLOOKUP(A3703,Products!A$322:$D3703,4,FALSE)</f>
        <v>#N/A</v>
      </c>
    </row>
    <row r="3704" spans="1:3" x14ac:dyDescent="0.35">
      <c r="A3704" s="21">
        <v>32</v>
      </c>
      <c r="B3704" t="str">
        <f>VLOOKUP(A3704,Products!$A$1:$F$322,2,FALSE)</f>
        <v>Trek Farley Alloy Frameset - 2017</v>
      </c>
      <c r="C3704" s="21" t="e">
        <f>VLOOKUP(A3704,Products!A$322:$D3704,4,FALSE)</f>
        <v>#N/A</v>
      </c>
    </row>
    <row r="3705" spans="1:3" x14ac:dyDescent="0.35">
      <c r="A3705" s="21">
        <v>9</v>
      </c>
      <c r="B3705" t="str">
        <f>VLOOKUP(A3705,Products!$A$1:$F$322,2,FALSE)</f>
        <v>Trek Conduit+ - 2016</v>
      </c>
      <c r="C3705" s="21" t="e">
        <f>VLOOKUP(A3705,Products!A$322:$D3705,4,FALSE)</f>
        <v>#N/A</v>
      </c>
    </row>
    <row r="3706" spans="1:3" x14ac:dyDescent="0.35">
      <c r="A3706" s="21">
        <v>72</v>
      </c>
      <c r="B3706" t="str">
        <f>VLOOKUP(A3706,Products!$A$1:$F$322,2,FALSE)</f>
        <v>Sun Bicycles Biscayne Tandem 7 - 2017</v>
      </c>
      <c r="C3706" s="21" t="e">
        <f>VLOOKUP(A3706,Products!A$322:$D3706,4,FALSE)</f>
        <v>#N/A</v>
      </c>
    </row>
    <row r="3707" spans="1:3" x14ac:dyDescent="0.35">
      <c r="A3707" s="21">
        <v>74</v>
      </c>
      <c r="B3707" t="str">
        <f>VLOOKUP(A3707,Products!$A$1:$F$322,2,FALSE)</f>
        <v>Electra Cruiser Lux 1 - 2017</v>
      </c>
      <c r="C3707" s="21" t="e">
        <f>VLOOKUP(A3707,Products!A$322:$D3707,4,FALSE)</f>
        <v>#N/A</v>
      </c>
    </row>
    <row r="3708" spans="1:3" x14ac:dyDescent="0.35">
      <c r="A3708" s="21">
        <v>52</v>
      </c>
      <c r="B3708" t="str">
        <f>VLOOKUP(A3708,Products!$A$1:$F$322,2,FALSE)</f>
        <v>Surly Steamroller - 2017</v>
      </c>
      <c r="C3708" s="21" t="e">
        <f>VLOOKUP(A3708,Products!A$322:$D3708,4,FALSE)</f>
        <v>#N/A</v>
      </c>
    </row>
    <row r="3709" spans="1:3" x14ac:dyDescent="0.35">
      <c r="A3709" s="21">
        <v>63</v>
      </c>
      <c r="B3709" t="str">
        <f>VLOOKUP(A3709,Products!$A$1:$F$322,2,FALSE)</f>
        <v>Trek Boone Race Shop Limited - 2017</v>
      </c>
      <c r="C3709" s="21" t="e">
        <f>VLOOKUP(A3709,Products!A$322:$D3709,4,FALSE)</f>
        <v>#N/A</v>
      </c>
    </row>
    <row r="3710" spans="1:3" x14ac:dyDescent="0.35">
      <c r="A3710" s="21">
        <v>36</v>
      </c>
      <c r="B3710" t="str">
        <f>VLOOKUP(A3710,Products!$A$1:$F$322,2,FALSE)</f>
        <v>Surly Troll Frameset - 2017</v>
      </c>
      <c r="C3710" s="21" t="e">
        <f>VLOOKUP(A3710,Products!A$322:$D3710,4,FALSE)</f>
        <v>#N/A</v>
      </c>
    </row>
    <row r="3711" spans="1:3" x14ac:dyDescent="0.35">
      <c r="A3711" s="21">
        <v>49</v>
      </c>
      <c r="B3711" t="str">
        <f>VLOOKUP(A3711,Products!$A$1:$F$322,2,FALSE)</f>
        <v>Trek Domane SL 6 - 2017</v>
      </c>
      <c r="C3711" s="21" t="e">
        <f>VLOOKUP(A3711,Products!A$322:$D3711,4,FALSE)</f>
        <v>#N/A</v>
      </c>
    </row>
    <row r="3712" spans="1:3" x14ac:dyDescent="0.35">
      <c r="A3712" s="21">
        <v>75</v>
      </c>
      <c r="B3712" t="str">
        <f>VLOOKUP(A3712,Products!$A$1:$F$322,2,FALSE)</f>
        <v>Electra Cruiser Lux Fat Tire 1 Ladies - 2017</v>
      </c>
      <c r="C3712" s="21" t="e">
        <f>VLOOKUP(A3712,Products!A$322:$D3712,4,FALSE)</f>
        <v>#N/A</v>
      </c>
    </row>
    <row r="3713" spans="1:3" x14ac:dyDescent="0.35">
      <c r="A3713" s="21">
        <v>111</v>
      </c>
      <c r="B3713" t="str">
        <f>VLOOKUP(A3713,Products!$A$1:$F$322,2,FALSE)</f>
        <v>Sun Bicycles Drifter 7 - Women's - 2017</v>
      </c>
      <c r="C3713" s="21" t="e">
        <f>VLOOKUP(A3713,Products!A$322:$D3713,4,FALSE)</f>
        <v>#N/A</v>
      </c>
    </row>
    <row r="3714" spans="1:3" x14ac:dyDescent="0.35">
      <c r="A3714" s="21">
        <v>50</v>
      </c>
      <c r="B3714" t="str">
        <f>VLOOKUP(A3714,Products!$A$1:$F$322,2,FALSE)</f>
        <v>Trek Silque SLR 7 Women's - 2017</v>
      </c>
      <c r="C3714" s="21" t="e">
        <f>VLOOKUP(A3714,Products!A$322:$D3714,4,FALSE)</f>
        <v>#N/A</v>
      </c>
    </row>
    <row r="3715" spans="1:3" x14ac:dyDescent="0.35">
      <c r="A3715" s="21">
        <v>61</v>
      </c>
      <c r="B3715" t="str">
        <f>VLOOKUP(A3715,Products!$A$1:$F$322,2,FALSE)</f>
        <v>Trek Powerfly 8 FS Plus - 2017</v>
      </c>
      <c r="C3715" s="21" t="e">
        <f>VLOOKUP(A3715,Products!A$322:$D3715,4,FALSE)</f>
        <v>#N/A</v>
      </c>
    </row>
    <row r="3716" spans="1:3" x14ac:dyDescent="0.35">
      <c r="A3716" s="21">
        <v>81</v>
      </c>
      <c r="B3716" t="str">
        <f>VLOOKUP(A3716,Products!$A$1:$F$322,2,FALSE)</f>
        <v>Electra Amsterdam Fashion 7i Ladies' - 2017</v>
      </c>
      <c r="C3716" s="21" t="e">
        <f>VLOOKUP(A3716,Products!A$322:$D3716,4,FALSE)</f>
        <v>#N/A</v>
      </c>
    </row>
    <row r="3717" spans="1:3" x14ac:dyDescent="0.35">
      <c r="A3717" s="21">
        <v>7</v>
      </c>
      <c r="B3717" t="str">
        <f>VLOOKUP(A3717,Products!$A$1:$F$322,2,FALSE)</f>
        <v>Trek Slash 8 27.5 - 2016</v>
      </c>
      <c r="C3717" s="21" t="e">
        <f>VLOOKUP(A3717,Products!A$322:$D3717,4,FALSE)</f>
        <v>#N/A</v>
      </c>
    </row>
    <row r="3718" spans="1:3" x14ac:dyDescent="0.35">
      <c r="A3718" s="21">
        <v>32</v>
      </c>
      <c r="B3718" t="str">
        <f>VLOOKUP(A3718,Products!$A$1:$F$322,2,FALSE)</f>
        <v>Trek Farley Alloy Frameset - 2017</v>
      </c>
      <c r="C3718" s="21" t="e">
        <f>VLOOKUP(A3718,Products!A$322:$D3718,4,FALSE)</f>
        <v>#N/A</v>
      </c>
    </row>
    <row r="3719" spans="1:3" x14ac:dyDescent="0.35">
      <c r="A3719" s="21">
        <v>11</v>
      </c>
      <c r="B3719" t="str">
        <f>VLOOKUP(A3719,Products!$A$1:$F$322,2,FALSE)</f>
        <v>Surly Straggler 650b - 2016</v>
      </c>
      <c r="C3719" s="21" t="e">
        <f>VLOOKUP(A3719,Products!A$322:$D3719,4,FALSE)</f>
        <v>#N/A</v>
      </c>
    </row>
    <row r="3720" spans="1:3" x14ac:dyDescent="0.35">
      <c r="A3720" s="21">
        <v>101</v>
      </c>
      <c r="B3720" t="str">
        <f>VLOOKUP(A3720,Products!$A$1:$F$322,2,FALSE)</f>
        <v>Electra Townie 7D (20-inch) - Boys' - 2017</v>
      </c>
      <c r="C3720" s="21" t="e">
        <f>VLOOKUP(A3720,Products!A$322:$D3720,4,FALSE)</f>
        <v>#N/A</v>
      </c>
    </row>
    <row r="3721" spans="1:3" x14ac:dyDescent="0.35">
      <c r="A3721" s="21">
        <v>8</v>
      </c>
      <c r="B3721" t="str">
        <f>VLOOKUP(A3721,Products!$A$1:$F$322,2,FALSE)</f>
        <v>Trek Remedy 29 Carbon Frameset - 2016</v>
      </c>
      <c r="C3721" s="21" t="e">
        <f>VLOOKUP(A3721,Products!A$322:$D3721,4,FALSE)</f>
        <v>#N/A</v>
      </c>
    </row>
    <row r="3722" spans="1:3" x14ac:dyDescent="0.35">
      <c r="A3722" s="21">
        <v>4</v>
      </c>
      <c r="B3722" t="str">
        <f>VLOOKUP(A3722,Products!$A$1:$F$322,2,FALSE)</f>
        <v>Trek Fuel EX 8 29 - 2016</v>
      </c>
      <c r="C3722" s="21" t="e">
        <f>VLOOKUP(A3722,Products!A$322:$D3722,4,FALSE)</f>
        <v>#N/A</v>
      </c>
    </row>
    <row r="3723" spans="1:3" x14ac:dyDescent="0.35">
      <c r="A3723" s="21">
        <v>78</v>
      </c>
      <c r="B3723" t="str">
        <f>VLOOKUP(A3723,Products!$A$1:$F$322,2,FALSE)</f>
        <v>Sun Bicycles Biscayne Tandem CB - 2017</v>
      </c>
      <c r="C3723" s="21" t="e">
        <f>VLOOKUP(A3723,Products!A$322:$D3723,4,FALSE)</f>
        <v>#N/A</v>
      </c>
    </row>
    <row r="3724" spans="1:3" x14ac:dyDescent="0.35">
      <c r="A3724" s="21">
        <v>93</v>
      </c>
      <c r="B3724" t="str">
        <f>VLOOKUP(A3724,Products!$A$1:$F$322,2,FALSE)</f>
        <v>Haro Shredder 20 Girls - 2017</v>
      </c>
      <c r="C3724" s="21" t="e">
        <f>VLOOKUP(A3724,Products!A$322:$D3724,4,FALSE)</f>
        <v>#N/A</v>
      </c>
    </row>
    <row r="3725" spans="1:3" x14ac:dyDescent="0.35">
      <c r="A3725" s="21">
        <v>69</v>
      </c>
      <c r="B3725" t="str">
        <f>VLOOKUP(A3725,Products!$A$1:$F$322,2,FALSE)</f>
        <v>Sun Bicycles Cruz 7 - 2017</v>
      </c>
      <c r="C3725" s="21" t="e">
        <f>VLOOKUP(A3725,Products!A$322:$D3725,4,FALSE)</f>
        <v>#N/A</v>
      </c>
    </row>
    <row r="3726" spans="1:3" x14ac:dyDescent="0.35">
      <c r="A3726" s="21">
        <v>6</v>
      </c>
      <c r="B3726" t="str">
        <f>VLOOKUP(A3726,Products!$A$1:$F$322,2,FALSE)</f>
        <v>Surly Ice Cream Truck Frameset - 2016</v>
      </c>
      <c r="C3726" s="21" t="e">
        <f>VLOOKUP(A3726,Products!A$322:$D3726,4,FALSE)</f>
        <v>#N/A</v>
      </c>
    </row>
    <row r="3727" spans="1:3" x14ac:dyDescent="0.35">
      <c r="A3727" s="21">
        <v>109</v>
      </c>
      <c r="B3727" t="str">
        <f>VLOOKUP(A3727,Products!$A$1:$F$322,2,FALSE)</f>
        <v>Sun Bicycles Cruz 7 - Women's - 2017</v>
      </c>
      <c r="C3727" s="21" t="e">
        <f>VLOOKUP(A3727,Products!A$322:$D3727,4,FALSE)</f>
        <v>#N/A</v>
      </c>
    </row>
    <row r="3728" spans="1:3" x14ac:dyDescent="0.35">
      <c r="A3728" s="21">
        <v>81</v>
      </c>
      <c r="B3728" t="str">
        <f>VLOOKUP(A3728,Products!$A$1:$F$322,2,FALSE)</f>
        <v>Electra Amsterdam Fashion 7i Ladies' - 2017</v>
      </c>
      <c r="C3728" s="21" t="e">
        <f>VLOOKUP(A3728,Products!A$322:$D3728,4,FALSE)</f>
        <v>#N/A</v>
      </c>
    </row>
    <row r="3729" spans="1:3" x14ac:dyDescent="0.35">
      <c r="A3729" s="21">
        <v>87</v>
      </c>
      <c r="B3729" t="str">
        <f>VLOOKUP(A3729,Products!$A$1:$F$322,2,FALSE)</f>
        <v>Trek Precaliber 12 Boys - 2017</v>
      </c>
      <c r="C3729" s="21" t="e">
        <f>VLOOKUP(A3729,Products!A$322:$D3729,4,FALSE)</f>
        <v>#N/A</v>
      </c>
    </row>
    <row r="3730" spans="1:3" x14ac:dyDescent="0.35">
      <c r="A3730" s="21">
        <v>27</v>
      </c>
      <c r="B3730" t="str">
        <f>VLOOKUP(A3730,Products!$A$1:$F$322,2,FALSE)</f>
        <v>Surly Big Dummy Frameset - 2017</v>
      </c>
      <c r="C3730" s="21" t="e">
        <f>VLOOKUP(A3730,Products!A$322:$D3730,4,FALSE)</f>
        <v>#N/A</v>
      </c>
    </row>
    <row r="3731" spans="1:3" x14ac:dyDescent="0.35">
      <c r="A3731" s="21">
        <v>62</v>
      </c>
      <c r="B3731" t="str">
        <f>VLOOKUP(A3731,Products!$A$1:$F$322,2,FALSE)</f>
        <v>Trek Boone 7 - 2017</v>
      </c>
      <c r="C3731" s="21" t="e">
        <f>VLOOKUP(A3731,Products!A$322:$D3731,4,FALSE)</f>
        <v>#N/A</v>
      </c>
    </row>
    <row r="3732" spans="1:3" x14ac:dyDescent="0.35">
      <c r="A3732" s="21">
        <v>103</v>
      </c>
      <c r="B3732" t="str">
        <f>VLOOKUP(A3732,Products!$A$1:$F$322,2,FALSE)</f>
        <v>Sun Bicycles Streamway 3 - 2017</v>
      </c>
      <c r="C3732" s="21" t="e">
        <f>VLOOKUP(A3732,Products!A$322:$D3732,4,FALSE)</f>
        <v>#N/A</v>
      </c>
    </row>
    <row r="3733" spans="1:3" x14ac:dyDescent="0.35">
      <c r="A3733" s="21">
        <v>100</v>
      </c>
      <c r="B3733" t="str">
        <f>VLOOKUP(A3733,Products!$A$1:$F$322,2,FALSE)</f>
        <v>Electra Townie 3i EQ (20-inch) - Boys' - 2017</v>
      </c>
      <c r="C3733" s="21" t="e">
        <f>VLOOKUP(A3733,Products!A$322:$D3733,4,FALSE)</f>
        <v>#N/A</v>
      </c>
    </row>
    <row r="3734" spans="1:3" x14ac:dyDescent="0.35">
      <c r="A3734" s="21">
        <v>73</v>
      </c>
      <c r="B3734" t="str">
        <f>VLOOKUP(A3734,Products!$A$1:$F$322,2,FALSE)</f>
        <v>Sun Bicycles Brickell Tandem 7 - 2017</v>
      </c>
      <c r="C3734" s="21" t="e">
        <f>VLOOKUP(A3734,Products!A$322:$D3734,4,FALSE)</f>
        <v>#N/A</v>
      </c>
    </row>
    <row r="3735" spans="1:3" x14ac:dyDescent="0.35">
      <c r="A3735" s="21">
        <v>64</v>
      </c>
      <c r="B3735" t="str">
        <f>VLOOKUP(A3735,Products!$A$1:$F$322,2,FALSE)</f>
        <v>Electra Townie Original 7D - 2017</v>
      </c>
      <c r="C3735" s="21" t="e">
        <f>VLOOKUP(A3735,Products!A$322:$D3735,4,FALSE)</f>
        <v>#N/A</v>
      </c>
    </row>
    <row r="3736" spans="1:3" x14ac:dyDescent="0.35">
      <c r="A3736" s="21">
        <v>62</v>
      </c>
      <c r="B3736" t="str">
        <f>VLOOKUP(A3736,Products!$A$1:$F$322,2,FALSE)</f>
        <v>Trek Boone 7 - 2017</v>
      </c>
      <c r="C3736" s="21" t="e">
        <f>VLOOKUP(A3736,Products!A$322:$D3736,4,FALSE)</f>
        <v>#N/A</v>
      </c>
    </row>
    <row r="3737" spans="1:3" x14ac:dyDescent="0.35">
      <c r="A3737" s="21">
        <v>17</v>
      </c>
      <c r="B3737" t="str">
        <f>VLOOKUP(A3737,Products!$A$1:$F$322,2,FALSE)</f>
        <v>Pure Cycles Vine 8-Speed - 2016</v>
      </c>
      <c r="C3737" s="21" t="e">
        <f>VLOOKUP(A3737,Products!A$322:$D3737,4,FALSE)</f>
        <v>#N/A</v>
      </c>
    </row>
    <row r="3738" spans="1:3" x14ac:dyDescent="0.35">
      <c r="A3738" s="21">
        <v>89</v>
      </c>
      <c r="B3738" t="str">
        <f>VLOOKUP(A3738,Products!$A$1:$F$322,2,FALSE)</f>
        <v>Trek Precaliber 16 Boys - 2017</v>
      </c>
      <c r="C3738" s="21" t="e">
        <f>VLOOKUP(A3738,Products!A$322:$D3738,4,FALSE)</f>
        <v>#N/A</v>
      </c>
    </row>
    <row r="3739" spans="1:3" x14ac:dyDescent="0.35">
      <c r="A3739" s="21">
        <v>3</v>
      </c>
      <c r="B3739" t="str">
        <f>VLOOKUP(A3739,Products!$A$1:$F$322,2,FALSE)</f>
        <v>Surly Wednesday Frameset - 2016</v>
      </c>
      <c r="C3739" s="21" t="e">
        <f>VLOOKUP(A3739,Products!A$322:$D3739,4,FALSE)</f>
        <v>#N/A</v>
      </c>
    </row>
    <row r="3740" spans="1:3" x14ac:dyDescent="0.35">
      <c r="A3740" s="21">
        <v>75</v>
      </c>
      <c r="B3740" t="str">
        <f>VLOOKUP(A3740,Products!$A$1:$F$322,2,FALSE)</f>
        <v>Electra Cruiser Lux Fat Tire 1 Ladies - 2017</v>
      </c>
      <c r="C3740" s="21" t="e">
        <f>VLOOKUP(A3740,Products!A$322:$D3740,4,FALSE)</f>
        <v>#N/A</v>
      </c>
    </row>
    <row r="3741" spans="1:3" x14ac:dyDescent="0.35">
      <c r="A3741" s="21">
        <v>36</v>
      </c>
      <c r="B3741" t="str">
        <f>VLOOKUP(A3741,Products!$A$1:$F$322,2,FALSE)</f>
        <v>Surly Troll Frameset - 2017</v>
      </c>
      <c r="C3741" s="21" t="e">
        <f>VLOOKUP(A3741,Products!A$322:$D3741,4,FALSE)</f>
        <v>#N/A</v>
      </c>
    </row>
    <row r="3742" spans="1:3" x14ac:dyDescent="0.35">
      <c r="A3742" s="21">
        <v>92</v>
      </c>
      <c r="B3742" t="str">
        <f>VLOOKUP(A3742,Products!$A$1:$F$322,2,FALSE)</f>
        <v>Haro Shredder 20 - 2017</v>
      </c>
      <c r="C3742" s="21" t="e">
        <f>VLOOKUP(A3742,Products!A$322:$D3742,4,FALSE)</f>
        <v>#N/A</v>
      </c>
    </row>
    <row r="3743" spans="1:3" x14ac:dyDescent="0.35">
      <c r="A3743" s="21">
        <v>57</v>
      </c>
      <c r="B3743" t="str">
        <f>VLOOKUP(A3743,Products!$A$1:$F$322,2,FALSE)</f>
        <v>Trek Emonda S 5 - 2017</v>
      </c>
      <c r="C3743" s="21" t="e">
        <f>VLOOKUP(A3743,Products!A$322:$D3743,4,FALSE)</f>
        <v>#N/A</v>
      </c>
    </row>
    <row r="3744" spans="1:3" x14ac:dyDescent="0.35">
      <c r="A3744" s="21">
        <v>58</v>
      </c>
      <c r="B3744" t="str">
        <f>VLOOKUP(A3744,Products!$A$1:$F$322,2,FALSE)</f>
        <v>Trek Madone 9.2 - 2017</v>
      </c>
      <c r="C3744" s="21" t="e">
        <f>VLOOKUP(A3744,Products!A$322:$D3744,4,FALSE)</f>
        <v>#N/A</v>
      </c>
    </row>
    <row r="3745" spans="1:3" x14ac:dyDescent="0.35">
      <c r="A3745" s="21">
        <v>70</v>
      </c>
      <c r="B3745" t="str">
        <f>VLOOKUP(A3745,Products!$A$1:$F$322,2,FALSE)</f>
        <v>Electra Amsterdam Original 3i - 2015/2017</v>
      </c>
      <c r="C3745" s="21" t="e">
        <f>VLOOKUP(A3745,Products!A$322:$D3745,4,FALSE)</f>
        <v>#N/A</v>
      </c>
    </row>
    <row r="3746" spans="1:3" x14ac:dyDescent="0.35">
      <c r="A3746" s="21">
        <v>88</v>
      </c>
      <c r="B3746" t="str">
        <f>VLOOKUP(A3746,Products!$A$1:$F$322,2,FALSE)</f>
        <v>Trek Precaliber 12 Girls - 2017</v>
      </c>
      <c r="C3746" s="21" t="e">
        <f>VLOOKUP(A3746,Products!A$322:$D3746,4,FALSE)</f>
        <v>#N/A</v>
      </c>
    </row>
    <row r="3747" spans="1:3" x14ac:dyDescent="0.35">
      <c r="A3747" s="21">
        <v>74</v>
      </c>
      <c r="B3747" t="str">
        <f>VLOOKUP(A3747,Products!$A$1:$F$322,2,FALSE)</f>
        <v>Electra Cruiser Lux 1 - 2017</v>
      </c>
      <c r="C3747" s="21" t="e">
        <f>VLOOKUP(A3747,Products!A$322:$D3747,4,FALSE)</f>
        <v>#N/A</v>
      </c>
    </row>
    <row r="3748" spans="1:3" x14ac:dyDescent="0.35">
      <c r="A3748" s="21">
        <v>38</v>
      </c>
      <c r="B3748" t="str">
        <f>VLOOKUP(A3748,Products!$A$1:$F$322,2,FALSE)</f>
        <v>Haro Flightline Two 26 Plus - 2017</v>
      </c>
      <c r="C3748" s="21" t="e">
        <f>VLOOKUP(A3748,Products!A$322:$D3748,4,FALSE)</f>
        <v>#N/A</v>
      </c>
    </row>
    <row r="3749" spans="1:3" x14ac:dyDescent="0.35">
      <c r="A3749" s="21">
        <v>95</v>
      </c>
      <c r="B3749" t="str">
        <f>VLOOKUP(A3749,Products!$A$1:$F$322,2,FALSE)</f>
        <v>Electra Girl's Hawaii 1 16" - 2017</v>
      </c>
      <c r="C3749" s="21" t="e">
        <f>VLOOKUP(A3749,Products!A$322:$D3749,4,FALSE)</f>
        <v>#N/A</v>
      </c>
    </row>
    <row r="3750" spans="1:3" x14ac:dyDescent="0.35">
      <c r="A3750" s="21">
        <v>44</v>
      </c>
      <c r="B3750" t="str">
        <f>VLOOKUP(A3750,Products!$A$1:$F$322,2,FALSE)</f>
        <v>Haro SR 1.1 - 2017</v>
      </c>
      <c r="C3750" s="21" t="e">
        <f>VLOOKUP(A3750,Products!A$322:$D3750,4,FALSE)</f>
        <v>#N/A</v>
      </c>
    </row>
    <row r="3751" spans="1:3" x14ac:dyDescent="0.35">
      <c r="A3751" s="21">
        <v>5</v>
      </c>
      <c r="B3751" t="str">
        <f>VLOOKUP(A3751,Products!$A$1:$F$322,2,FALSE)</f>
        <v>Heller Shagamaw Frame - 2016</v>
      </c>
      <c r="C3751" s="21" t="e">
        <f>VLOOKUP(A3751,Products!A$322:$D3751,4,FALSE)</f>
        <v>#N/A</v>
      </c>
    </row>
    <row r="3752" spans="1:3" x14ac:dyDescent="0.35">
      <c r="A3752" s="21">
        <v>61</v>
      </c>
      <c r="B3752" t="str">
        <f>VLOOKUP(A3752,Products!$A$1:$F$322,2,FALSE)</f>
        <v>Trek Powerfly 8 FS Plus - 2017</v>
      </c>
      <c r="C3752" s="21" t="e">
        <f>VLOOKUP(A3752,Products!A$322:$D3752,4,FALSE)</f>
        <v>#N/A</v>
      </c>
    </row>
    <row r="3753" spans="1:3" x14ac:dyDescent="0.35">
      <c r="A3753" s="21">
        <v>52</v>
      </c>
      <c r="B3753" t="str">
        <f>VLOOKUP(A3753,Products!$A$1:$F$322,2,FALSE)</f>
        <v>Surly Steamroller - 2017</v>
      </c>
      <c r="C3753" s="21" t="e">
        <f>VLOOKUP(A3753,Products!A$322:$D3753,4,FALSE)</f>
        <v>#N/A</v>
      </c>
    </row>
    <row r="3754" spans="1:3" x14ac:dyDescent="0.35">
      <c r="A3754" s="21">
        <v>25</v>
      </c>
      <c r="B3754" t="str">
        <f>VLOOKUP(A3754,Products!$A$1:$F$322,2,FALSE)</f>
        <v>Electra Townie Original 7D - 2015/2016</v>
      </c>
      <c r="C3754" s="21" t="e">
        <f>VLOOKUP(A3754,Products!A$322:$D3754,4,FALSE)</f>
        <v>#N/A</v>
      </c>
    </row>
    <row r="3755" spans="1:3" x14ac:dyDescent="0.35">
      <c r="A3755" s="21">
        <v>90</v>
      </c>
      <c r="B3755" t="str">
        <f>VLOOKUP(A3755,Products!$A$1:$F$322,2,FALSE)</f>
        <v>Trek Precaliber 16 Girls - 2017</v>
      </c>
      <c r="C3755" s="21" t="e">
        <f>VLOOKUP(A3755,Products!A$322:$D3755,4,FALSE)</f>
        <v>#N/A</v>
      </c>
    </row>
    <row r="3756" spans="1:3" x14ac:dyDescent="0.35">
      <c r="A3756" s="21">
        <v>16</v>
      </c>
      <c r="B3756" t="str">
        <f>VLOOKUP(A3756,Products!$A$1:$F$322,2,FALSE)</f>
        <v>Electra Townie Original 7D EQ - 2016</v>
      </c>
      <c r="C3756" s="21" t="e">
        <f>VLOOKUP(A3756,Products!A$322:$D3756,4,FALSE)</f>
        <v>#N/A</v>
      </c>
    </row>
    <row r="3757" spans="1:3" x14ac:dyDescent="0.35">
      <c r="A3757" s="21">
        <v>2</v>
      </c>
      <c r="B3757" t="str">
        <f>VLOOKUP(A3757,Products!$A$1:$F$322,2,FALSE)</f>
        <v>Ritchey Timberwolf Frameset - 2016</v>
      </c>
      <c r="C3757" s="21" t="e">
        <f>VLOOKUP(A3757,Products!A$322:$D3757,4,FALSE)</f>
        <v>#N/A</v>
      </c>
    </row>
    <row r="3758" spans="1:3" x14ac:dyDescent="0.35">
      <c r="A3758" s="21">
        <v>104</v>
      </c>
      <c r="B3758" t="str">
        <f>VLOOKUP(A3758,Products!$A$1:$F$322,2,FALSE)</f>
        <v>Sun Bicycles Streamway - 2017</v>
      </c>
      <c r="C3758" s="21" t="e">
        <f>VLOOKUP(A3758,Products!A$322:$D3758,4,FALSE)</f>
        <v>#N/A</v>
      </c>
    </row>
    <row r="3759" spans="1:3" x14ac:dyDescent="0.35">
      <c r="A3759" s="21">
        <v>43</v>
      </c>
      <c r="B3759" t="str">
        <f>VLOOKUP(A3759,Products!$A$1:$F$322,2,FALSE)</f>
        <v>Trek Fuel EX 9.8 27.5 Plus - 2017</v>
      </c>
      <c r="C3759" s="21" t="e">
        <f>VLOOKUP(A3759,Products!A$322:$D3759,4,FALSE)</f>
        <v>#N/A</v>
      </c>
    </row>
    <row r="3760" spans="1:3" x14ac:dyDescent="0.35">
      <c r="A3760" s="21">
        <v>51</v>
      </c>
      <c r="B3760" t="str">
        <f>VLOOKUP(A3760,Products!$A$1:$F$322,2,FALSE)</f>
        <v>Trek Silque SLR 8 Women's - 2017</v>
      </c>
      <c r="C3760" s="21" t="e">
        <f>VLOOKUP(A3760,Products!A$322:$D3760,4,FALSE)</f>
        <v>#N/A</v>
      </c>
    </row>
    <row r="3761" spans="1:3" x14ac:dyDescent="0.35">
      <c r="A3761" s="21">
        <v>59</v>
      </c>
      <c r="B3761" t="str">
        <f>VLOOKUP(A3761,Products!$A$1:$F$322,2,FALSE)</f>
        <v>Trek Domane S 5 Disc - 2017</v>
      </c>
      <c r="C3761" s="21" t="e">
        <f>VLOOKUP(A3761,Products!A$322:$D3761,4,FALSE)</f>
        <v>#N/A</v>
      </c>
    </row>
    <row r="3762" spans="1:3" x14ac:dyDescent="0.35">
      <c r="A3762" s="21">
        <v>110</v>
      </c>
      <c r="B3762" t="str">
        <f>VLOOKUP(A3762,Products!$A$1:$F$322,2,FALSE)</f>
        <v>Sun Bicycles Drifter 7 - 2017</v>
      </c>
      <c r="C3762" s="21" t="e">
        <f>VLOOKUP(A3762,Products!A$322:$D3762,4,FALSE)</f>
        <v>#N/A</v>
      </c>
    </row>
    <row r="3763" spans="1:3" x14ac:dyDescent="0.35">
      <c r="A3763" s="21">
        <v>14</v>
      </c>
      <c r="B3763" t="str">
        <f>VLOOKUP(A3763,Products!$A$1:$F$322,2,FALSE)</f>
        <v>Electra Girl's Hawaii 1 (16-inch) - 2015/2016</v>
      </c>
      <c r="C3763" s="21" t="e">
        <f>VLOOKUP(A3763,Products!A$322:$D3763,4,FALSE)</f>
        <v>#N/A</v>
      </c>
    </row>
    <row r="3764" spans="1:3" x14ac:dyDescent="0.35">
      <c r="A3764" s="21">
        <v>101</v>
      </c>
      <c r="B3764" t="str">
        <f>VLOOKUP(A3764,Products!$A$1:$F$322,2,FALSE)</f>
        <v>Electra Townie 7D (20-inch) - Boys' - 2017</v>
      </c>
      <c r="C3764" s="21" t="e">
        <f>VLOOKUP(A3764,Products!A$322:$D3764,4,FALSE)</f>
        <v>#N/A</v>
      </c>
    </row>
    <row r="3765" spans="1:3" x14ac:dyDescent="0.35">
      <c r="A3765" s="21">
        <v>75</v>
      </c>
      <c r="B3765" t="str">
        <f>VLOOKUP(A3765,Products!$A$1:$F$322,2,FALSE)</f>
        <v>Electra Cruiser Lux Fat Tire 1 Ladies - 2017</v>
      </c>
      <c r="C3765" s="21" t="e">
        <f>VLOOKUP(A3765,Products!A$322:$D3765,4,FALSE)</f>
        <v>#N/A</v>
      </c>
    </row>
    <row r="3766" spans="1:3" x14ac:dyDescent="0.35">
      <c r="A3766" s="21">
        <v>52</v>
      </c>
      <c r="B3766" t="str">
        <f>VLOOKUP(A3766,Products!$A$1:$F$322,2,FALSE)</f>
        <v>Surly Steamroller - 2017</v>
      </c>
      <c r="C3766" s="21" t="e">
        <f>VLOOKUP(A3766,Products!A$322:$D3766,4,FALSE)</f>
        <v>#N/A</v>
      </c>
    </row>
    <row r="3767" spans="1:3" x14ac:dyDescent="0.35">
      <c r="A3767" s="21">
        <v>101</v>
      </c>
      <c r="B3767" t="str">
        <f>VLOOKUP(A3767,Products!$A$1:$F$322,2,FALSE)</f>
        <v>Electra Townie 7D (20-inch) - Boys' - 2017</v>
      </c>
      <c r="C3767" s="21" t="e">
        <f>VLOOKUP(A3767,Products!A$322:$D3767,4,FALSE)</f>
        <v>#N/A</v>
      </c>
    </row>
    <row r="3768" spans="1:3" x14ac:dyDescent="0.35">
      <c r="A3768" s="21">
        <v>58</v>
      </c>
      <c r="B3768" t="str">
        <f>VLOOKUP(A3768,Products!$A$1:$F$322,2,FALSE)</f>
        <v>Trek Madone 9.2 - 2017</v>
      </c>
      <c r="C3768" s="21" t="e">
        <f>VLOOKUP(A3768,Products!A$322:$D3768,4,FALSE)</f>
        <v>#N/A</v>
      </c>
    </row>
    <row r="3769" spans="1:3" x14ac:dyDescent="0.35">
      <c r="A3769" s="21">
        <v>45</v>
      </c>
      <c r="B3769" t="str">
        <f>VLOOKUP(A3769,Products!$A$1:$F$322,2,FALSE)</f>
        <v>Haro SR 1.2 - 2017</v>
      </c>
      <c r="C3769" s="21" t="e">
        <f>VLOOKUP(A3769,Products!A$322:$D3769,4,FALSE)</f>
        <v>#N/A</v>
      </c>
    </row>
    <row r="3770" spans="1:3" x14ac:dyDescent="0.35">
      <c r="A3770" s="21">
        <v>105</v>
      </c>
      <c r="B3770" t="str">
        <f>VLOOKUP(A3770,Products!$A$1:$F$322,2,FALSE)</f>
        <v>Sun Bicycles Streamway 7 - 2017</v>
      </c>
      <c r="C3770" s="21" t="e">
        <f>VLOOKUP(A3770,Products!A$322:$D3770,4,FALSE)</f>
        <v>#N/A</v>
      </c>
    </row>
    <row r="3771" spans="1:3" x14ac:dyDescent="0.35">
      <c r="A3771" s="21">
        <v>8</v>
      </c>
      <c r="B3771" t="str">
        <f>VLOOKUP(A3771,Products!$A$1:$F$322,2,FALSE)</f>
        <v>Trek Remedy 29 Carbon Frameset - 2016</v>
      </c>
      <c r="C3771" s="21" t="e">
        <f>VLOOKUP(A3771,Products!A$322:$D3771,4,FALSE)</f>
        <v>#N/A</v>
      </c>
    </row>
    <row r="3772" spans="1:3" x14ac:dyDescent="0.35">
      <c r="A3772" s="21">
        <v>38</v>
      </c>
      <c r="B3772" t="str">
        <f>VLOOKUP(A3772,Products!$A$1:$F$322,2,FALSE)</f>
        <v>Haro Flightline Two 26 Plus - 2017</v>
      </c>
      <c r="C3772" s="21" t="e">
        <f>VLOOKUP(A3772,Products!A$322:$D3772,4,FALSE)</f>
        <v>#N/A</v>
      </c>
    </row>
    <row r="3773" spans="1:3" x14ac:dyDescent="0.35">
      <c r="A3773" s="21">
        <v>20</v>
      </c>
      <c r="B3773" t="str">
        <f>VLOOKUP(A3773,Products!$A$1:$F$322,2,FALSE)</f>
        <v>Electra Townie Original 7D EQ - Women's - 2016</v>
      </c>
      <c r="C3773" s="21" t="e">
        <f>VLOOKUP(A3773,Products!A$322:$D3773,4,FALSE)</f>
        <v>#N/A</v>
      </c>
    </row>
    <row r="3774" spans="1:3" x14ac:dyDescent="0.35">
      <c r="A3774" s="21">
        <v>56</v>
      </c>
      <c r="B3774" t="str">
        <f>VLOOKUP(A3774,Products!$A$1:$F$322,2,FALSE)</f>
        <v>Trek Domane SLR 6 Disc - 2017</v>
      </c>
      <c r="C3774" s="21" t="e">
        <f>VLOOKUP(A3774,Products!A$322:$D3774,4,FALSE)</f>
        <v>#N/A</v>
      </c>
    </row>
    <row r="3775" spans="1:3" x14ac:dyDescent="0.35">
      <c r="A3775" s="21">
        <v>96</v>
      </c>
      <c r="B3775" t="str">
        <f>VLOOKUP(A3775,Products!$A$1:$F$322,2,FALSE)</f>
        <v>Electra Moto 3i (20-inch) - Boy's - 2017</v>
      </c>
      <c r="C3775" s="21" t="e">
        <f>VLOOKUP(A3775,Products!A$322:$D3775,4,FALSE)</f>
        <v>#N/A</v>
      </c>
    </row>
    <row r="3776" spans="1:3" x14ac:dyDescent="0.35">
      <c r="A3776" s="21">
        <v>63</v>
      </c>
      <c r="B3776" t="str">
        <f>VLOOKUP(A3776,Products!$A$1:$F$322,2,FALSE)</f>
        <v>Trek Boone Race Shop Limited - 2017</v>
      </c>
      <c r="C3776" s="21" t="e">
        <f>VLOOKUP(A3776,Products!A$322:$D3776,4,FALSE)</f>
        <v>#N/A</v>
      </c>
    </row>
    <row r="3777" spans="1:3" x14ac:dyDescent="0.35">
      <c r="A3777" s="21">
        <v>108</v>
      </c>
      <c r="B3777" t="str">
        <f>VLOOKUP(A3777,Products!$A$1:$F$322,2,FALSE)</f>
        <v>Sun Bicycles Cruz 3 - Women's - 2017</v>
      </c>
      <c r="C3777" s="21" t="e">
        <f>VLOOKUP(A3777,Products!A$322:$D3777,4,FALSE)</f>
        <v>#N/A</v>
      </c>
    </row>
    <row r="3778" spans="1:3" x14ac:dyDescent="0.35">
      <c r="A3778" s="21">
        <v>73</v>
      </c>
      <c r="B3778" t="str">
        <f>VLOOKUP(A3778,Products!$A$1:$F$322,2,FALSE)</f>
        <v>Sun Bicycles Brickell Tandem 7 - 2017</v>
      </c>
      <c r="C3778" s="21" t="e">
        <f>VLOOKUP(A3778,Products!A$322:$D3778,4,FALSE)</f>
        <v>#N/A</v>
      </c>
    </row>
    <row r="3779" spans="1:3" x14ac:dyDescent="0.35">
      <c r="A3779" s="21">
        <v>24</v>
      </c>
      <c r="B3779" t="str">
        <f>VLOOKUP(A3779,Products!$A$1:$F$322,2,FALSE)</f>
        <v>Electra Townie Original 21D - 2016</v>
      </c>
      <c r="C3779" s="21" t="e">
        <f>VLOOKUP(A3779,Products!A$322:$D3779,4,FALSE)</f>
        <v>#N/A</v>
      </c>
    </row>
    <row r="3780" spans="1:3" x14ac:dyDescent="0.35">
      <c r="A3780" s="21">
        <v>80</v>
      </c>
      <c r="B3780" t="str">
        <f>VLOOKUP(A3780,Products!$A$1:$F$322,2,FALSE)</f>
        <v>Sun Bicycles Brickell Tandem CB - 2017</v>
      </c>
      <c r="C3780" s="21" t="e">
        <f>VLOOKUP(A3780,Products!A$322:$D3780,4,FALSE)</f>
        <v>#N/A</v>
      </c>
    </row>
    <row r="3781" spans="1:3" x14ac:dyDescent="0.35">
      <c r="A3781" s="21">
        <v>99</v>
      </c>
      <c r="B3781" t="str">
        <f>VLOOKUP(A3781,Products!$A$1:$F$322,2,FALSE)</f>
        <v>Electra Sugar Skulls 1 (20-inch) - Girl's - 2017</v>
      </c>
      <c r="C3781" s="21" t="e">
        <f>VLOOKUP(A3781,Products!A$322:$D3781,4,FALSE)</f>
        <v>#N/A</v>
      </c>
    </row>
    <row r="3782" spans="1:3" x14ac:dyDescent="0.35">
      <c r="A3782" s="21">
        <v>102</v>
      </c>
      <c r="B3782" t="str">
        <f>VLOOKUP(A3782,Products!$A$1:$F$322,2,FALSE)</f>
        <v>Electra Townie Original 7D - 2017</v>
      </c>
      <c r="C3782" s="21" t="e">
        <f>VLOOKUP(A3782,Products!A$322:$D3782,4,FALSE)</f>
        <v>#N/A</v>
      </c>
    </row>
    <row r="3783" spans="1:3" x14ac:dyDescent="0.35">
      <c r="A3783" s="21">
        <v>17</v>
      </c>
      <c r="B3783" t="str">
        <f>VLOOKUP(A3783,Products!$A$1:$F$322,2,FALSE)</f>
        <v>Pure Cycles Vine 8-Speed - 2016</v>
      </c>
      <c r="C3783" s="21" t="e">
        <f>VLOOKUP(A3783,Products!A$322:$D3783,4,FALSE)</f>
        <v>#N/A</v>
      </c>
    </row>
    <row r="3784" spans="1:3" x14ac:dyDescent="0.35">
      <c r="A3784" s="21">
        <v>85</v>
      </c>
      <c r="B3784" t="str">
        <f>VLOOKUP(A3784,Products!$A$1:$F$322,2,FALSE)</f>
        <v>Haro Downtown 16 - 2017</v>
      </c>
      <c r="C3784" s="21" t="e">
        <f>VLOOKUP(A3784,Products!A$322:$D3784,4,FALSE)</f>
        <v>#N/A</v>
      </c>
    </row>
    <row r="3785" spans="1:3" x14ac:dyDescent="0.35">
      <c r="A3785" s="21">
        <v>9</v>
      </c>
      <c r="B3785" t="str">
        <f>VLOOKUP(A3785,Products!$A$1:$F$322,2,FALSE)</f>
        <v>Trek Conduit+ - 2016</v>
      </c>
      <c r="C3785" s="21" t="e">
        <f>VLOOKUP(A3785,Products!A$322:$D3785,4,FALSE)</f>
        <v>#N/A</v>
      </c>
    </row>
    <row r="3786" spans="1:3" x14ac:dyDescent="0.35">
      <c r="A3786" s="21">
        <v>11</v>
      </c>
      <c r="B3786" t="str">
        <f>VLOOKUP(A3786,Products!$A$1:$F$322,2,FALSE)</f>
        <v>Surly Straggler 650b - 2016</v>
      </c>
      <c r="C3786" s="21" t="e">
        <f>VLOOKUP(A3786,Products!A$322:$D3786,4,FALSE)</f>
        <v>#N/A</v>
      </c>
    </row>
    <row r="3787" spans="1:3" x14ac:dyDescent="0.35">
      <c r="A3787" s="21">
        <v>91</v>
      </c>
      <c r="B3787" t="str">
        <f>VLOOKUP(A3787,Products!$A$1:$F$322,2,FALSE)</f>
        <v>Trek Precaliber 24 (21-Speed) - Girls - 2017</v>
      </c>
      <c r="C3787" s="21" t="e">
        <f>VLOOKUP(A3787,Products!A$322:$D3787,4,FALSE)</f>
        <v>#N/A</v>
      </c>
    </row>
    <row r="3788" spans="1:3" x14ac:dyDescent="0.35">
      <c r="A3788" s="21">
        <v>103</v>
      </c>
      <c r="B3788" t="str">
        <f>VLOOKUP(A3788,Products!$A$1:$F$322,2,FALSE)</f>
        <v>Sun Bicycles Streamway 3 - 2017</v>
      </c>
      <c r="C3788" s="21" t="e">
        <f>VLOOKUP(A3788,Products!A$322:$D3788,4,FALSE)</f>
        <v>#N/A</v>
      </c>
    </row>
    <row r="3789" spans="1:3" x14ac:dyDescent="0.35">
      <c r="A3789" s="21">
        <v>81</v>
      </c>
      <c r="B3789" t="str">
        <f>VLOOKUP(A3789,Products!$A$1:$F$322,2,FALSE)</f>
        <v>Electra Amsterdam Fashion 7i Ladies' - 2017</v>
      </c>
      <c r="C3789" s="21" t="e">
        <f>VLOOKUP(A3789,Products!A$322:$D3789,4,FALSE)</f>
        <v>#N/A</v>
      </c>
    </row>
    <row r="3790" spans="1:3" x14ac:dyDescent="0.35">
      <c r="A3790" s="21">
        <v>45</v>
      </c>
      <c r="B3790" t="str">
        <f>VLOOKUP(A3790,Products!$A$1:$F$322,2,FALSE)</f>
        <v>Haro SR 1.2 - 2017</v>
      </c>
      <c r="C3790" s="21" t="e">
        <f>VLOOKUP(A3790,Products!A$322:$D3790,4,FALSE)</f>
        <v>#N/A</v>
      </c>
    </row>
    <row r="3791" spans="1:3" x14ac:dyDescent="0.35">
      <c r="A3791" s="21">
        <v>42</v>
      </c>
      <c r="B3791" t="str">
        <f>VLOOKUP(A3791,Products!$A$1:$F$322,2,FALSE)</f>
        <v>Trek Fuel EX 5 27.5 Plus - 2017</v>
      </c>
      <c r="C3791" s="21" t="e">
        <f>VLOOKUP(A3791,Products!A$322:$D3791,4,FALSE)</f>
        <v>#N/A</v>
      </c>
    </row>
    <row r="3792" spans="1:3" x14ac:dyDescent="0.35">
      <c r="A3792" s="21">
        <v>9</v>
      </c>
      <c r="B3792" t="str">
        <f>VLOOKUP(A3792,Products!$A$1:$F$322,2,FALSE)</f>
        <v>Trek Conduit+ - 2016</v>
      </c>
      <c r="C3792" s="21" t="e">
        <f>VLOOKUP(A3792,Products!A$322:$D3792,4,FALSE)</f>
        <v>#N/A</v>
      </c>
    </row>
    <row r="3793" spans="1:3" x14ac:dyDescent="0.35">
      <c r="A3793" s="21">
        <v>96</v>
      </c>
      <c r="B3793" t="str">
        <f>VLOOKUP(A3793,Products!$A$1:$F$322,2,FALSE)</f>
        <v>Electra Moto 3i (20-inch) - Boy's - 2017</v>
      </c>
      <c r="C3793" s="21" t="e">
        <f>VLOOKUP(A3793,Products!A$322:$D3793,4,FALSE)</f>
        <v>#N/A</v>
      </c>
    </row>
    <row r="3794" spans="1:3" x14ac:dyDescent="0.35">
      <c r="A3794" s="21">
        <v>53</v>
      </c>
      <c r="B3794" t="str">
        <f>VLOOKUP(A3794,Products!$A$1:$F$322,2,FALSE)</f>
        <v>Surly Ogre Frameset - 2017</v>
      </c>
      <c r="C3794" s="21" t="e">
        <f>VLOOKUP(A3794,Products!A$322:$D3794,4,FALSE)</f>
        <v>#N/A</v>
      </c>
    </row>
    <row r="3795" spans="1:3" x14ac:dyDescent="0.35">
      <c r="A3795" s="21">
        <v>69</v>
      </c>
      <c r="B3795" t="str">
        <f>VLOOKUP(A3795,Products!$A$1:$F$322,2,FALSE)</f>
        <v>Sun Bicycles Cruz 7 - 2017</v>
      </c>
      <c r="C3795" s="21" t="e">
        <f>VLOOKUP(A3795,Products!A$322:$D3795,4,FALSE)</f>
        <v>#N/A</v>
      </c>
    </row>
    <row r="3796" spans="1:3" x14ac:dyDescent="0.35">
      <c r="A3796" s="21">
        <v>54</v>
      </c>
      <c r="B3796" t="str">
        <f>VLOOKUP(A3796,Products!$A$1:$F$322,2,FALSE)</f>
        <v>Trek Domane SL Disc Frameset - 2017</v>
      </c>
      <c r="C3796" s="21" t="e">
        <f>VLOOKUP(A3796,Products!A$322:$D3796,4,FALSE)</f>
        <v>#N/A</v>
      </c>
    </row>
    <row r="3797" spans="1:3" x14ac:dyDescent="0.35">
      <c r="A3797" s="21">
        <v>69</v>
      </c>
      <c r="B3797" t="str">
        <f>VLOOKUP(A3797,Products!$A$1:$F$322,2,FALSE)</f>
        <v>Sun Bicycles Cruz 7 - 2017</v>
      </c>
      <c r="C3797" s="21" t="e">
        <f>VLOOKUP(A3797,Products!A$322:$D3797,4,FALSE)</f>
        <v>#N/A</v>
      </c>
    </row>
    <row r="3798" spans="1:3" x14ac:dyDescent="0.35">
      <c r="A3798" s="21">
        <v>14</v>
      </c>
      <c r="B3798" t="str">
        <f>VLOOKUP(A3798,Products!$A$1:$F$322,2,FALSE)</f>
        <v>Electra Girl's Hawaii 1 (16-inch) - 2015/2016</v>
      </c>
      <c r="C3798" s="21" t="e">
        <f>VLOOKUP(A3798,Products!A$322:$D3798,4,FALSE)</f>
        <v>#N/A</v>
      </c>
    </row>
    <row r="3799" spans="1:3" x14ac:dyDescent="0.35">
      <c r="A3799" s="21">
        <v>56</v>
      </c>
      <c r="B3799" t="str">
        <f>VLOOKUP(A3799,Products!$A$1:$F$322,2,FALSE)</f>
        <v>Trek Domane SLR 6 Disc - 2017</v>
      </c>
      <c r="C3799" s="21" t="e">
        <f>VLOOKUP(A3799,Products!A$322:$D3799,4,FALSE)</f>
        <v>#N/A</v>
      </c>
    </row>
    <row r="3800" spans="1:3" x14ac:dyDescent="0.35">
      <c r="A3800" s="21">
        <v>32</v>
      </c>
      <c r="B3800" t="str">
        <f>VLOOKUP(A3800,Products!$A$1:$F$322,2,FALSE)</f>
        <v>Trek Farley Alloy Frameset - 2017</v>
      </c>
      <c r="C3800" s="21" t="e">
        <f>VLOOKUP(A3800,Products!A$322:$D3800,4,FALSE)</f>
        <v>#N/A</v>
      </c>
    </row>
    <row r="3801" spans="1:3" x14ac:dyDescent="0.35">
      <c r="A3801" s="21">
        <v>65</v>
      </c>
      <c r="B3801" t="str">
        <f>VLOOKUP(A3801,Products!$A$1:$F$322,2,FALSE)</f>
        <v>Sun Bicycles Lil Bolt Type-R - 2017</v>
      </c>
      <c r="C3801" s="21" t="e">
        <f>VLOOKUP(A3801,Products!A$322:$D3801,4,FALSE)</f>
        <v>#N/A</v>
      </c>
    </row>
    <row r="3802" spans="1:3" x14ac:dyDescent="0.35">
      <c r="A3802" s="21">
        <v>87</v>
      </c>
      <c r="B3802" t="str">
        <f>VLOOKUP(A3802,Products!$A$1:$F$322,2,FALSE)</f>
        <v>Trek Precaliber 12 Boys - 2017</v>
      </c>
      <c r="C3802" s="21" t="e">
        <f>VLOOKUP(A3802,Products!A$322:$D3802,4,FALSE)</f>
        <v>#N/A</v>
      </c>
    </row>
    <row r="3803" spans="1:3" x14ac:dyDescent="0.35">
      <c r="A3803" s="21">
        <v>59</v>
      </c>
      <c r="B3803" t="str">
        <f>VLOOKUP(A3803,Products!$A$1:$F$322,2,FALSE)</f>
        <v>Trek Domane S 5 Disc - 2017</v>
      </c>
      <c r="C3803" s="21" t="e">
        <f>VLOOKUP(A3803,Products!A$322:$D3803,4,FALSE)</f>
        <v>#N/A</v>
      </c>
    </row>
    <row r="3804" spans="1:3" x14ac:dyDescent="0.35">
      <c r="A3804" s="21">
        <v>77</v>
      </c>
      <c r="B3804" t="str">
        <f>VLOOKUP(A3804,Products!$A$1:$F$322,2,FALSE)</f>
        <v>Electra Glam Punk 3i Ladies' - 2017</v>
      </c>
      <c r="C3804" s="21" t="e">
        <f>VLOOKUP(A3804,Products!A$322:$D3804,4,FALSE)</f>
        <v>#N/A</v>
      </c>
    </row>
    <row r="3805" spans="1:3" x14ac:dyDescent="0.35">
      <c r="A3805" s="21">
        <v>11</v>
      </c>
      <c r="B3805" t="str">
        <f>VLOOKUP(A3805,Products!$A$1:$F$322,2,FALSE)</f>
        <v>Surly Straggler 650b - 2016</v>
      </c>
      <c r="C3805" s="21" t="e">
        <f>VLOOKUP(A3805,Products!A$322:$D3805,4,FALSE)</f>
        <v>#N/A</v>
      </c>
    </row>
    <row r="3806" spans="1:3" x14ac:dyDescent="0.35">
      <c r="A3806" s="21">
        <v>54</v>
      </c>
      <c r="B3806" t="str">
        <f>VLOOKUP(A3806,Products!$A$1:$F$322,2,FALSE)</f>
        <v>Trek Domane SL Disc Frameset - 2017</v>
      </c>
      <c r="C3806" s="21" t="e">
        <f>VLOOKUP(A3806,Products!A$322:$D3806,4,FALSE)</f>
        <v>#N/A</v>
      </c>
    </row>
    <row r="3807" spans="1:3" x14ac:dyDescent="0.35">
      <c r="A3807" s="21">
        <v>69</v>
      </c>
      <c r="B3807" t="str">
        <f>VLOOKUP(A3807,Products!$A$1:$F$322,2,FALSE)</f>
        <v>Sun Bicycles Cruz 7 - 2017</v>
      </c>
      <c r="C3807" s="21" t="e">
        <f>VLOOKUP(A3807,Products!A$322:$D3807,4,FALSE)</f>
        <v>#N/A</v>
      </c>
    </row>
    <row r="3808" spans="1:3" x14ac:dyDescent="0.35">
      <c r="A3808" s="21">
        <v>45</v>
      </c>
      <c r="B3808" t="str">
        <f>VLOOKUP(A3808,Products!$A$1:$F$322,2,FALSE)</f>
        <v>Haro SR 1.2 - 2017</v>
      </c>
      <c r="C3808" s="21" t="e">
        <f>VLOOKUP(A3808,Products!A$322:$D3808,4,FALSE)</f>
        <v>#N/A</v>
      </c>
    </row>
    <row r="3809" spans="1:3" x14ac:dyDescent="0.35">
      <c r="A3809" s="21">
        <v>27</v>
      </c>
      <c r="B3809" t="str">
        <f>VLOOKUP(A3809,Products!$A$1:$F$322,2,FALSE)</f>
        <v>Surly Big Dummy Frameset - 2017</v>
      </c>
      <c r="C3809" s="21" t="e">
        <f>VLOOKUP(A3809,Products!A$322:$D3809,4,FALSE)</f>
        <v>#N/A</v>
      </c>
    </row>
    <row r="3810" spans="1:3" x14ac:dyDescent="0.35">
      <c r="A3810" s="21">
        <v>42</v>
      </c>
      <c r="B3810" t="str">
        <f>VLOOKUP(A3810,Products!$A$1:$F$322,2,FALSE)</f>
        <v>Trek Fuel EX 5 27.5 Plus - 2017</v>
      </c>
      <c r="C3810" s="21" t="e">
        <f>VLOOKUP(A3810,Products!A$322:$D3810,4,FALSE)</f>
        <v>#N/A</v>
      </c>
    </row>
    <row r="3811" spans="1:3" x14ac:dyDescent="0.35">
      <c r="A3811" s="21">
        <v>67</v>
      </c>
      <c r="B3811" t="str">
        <f>VLOOKUP(A3811,Products!$A$1:$F$322,2,FALSE)</f>
        <v>Sun Bicycles Revolutions 24 - Girl's - 2017</v>
      </c>
      <c r="C3811" s="21" t="e">
        <f>VLOOKUP(A3811,Products!A$322:$D3811,4,FALSE)</f>
        <v>#N/A</v>
      </c>
    </row>
    <row r="3812" spans="1:3" x14ac:dyDescent="0.35">
      <c r="A3812" s="21">
        <v>14</v>
      </c>
      <c r="B3812" t="str">
        <f>VLOOKUP(A3812,Products!$A$1:$F$322,2,FALSE)</f>
        <v>Electra Girl's Hawaii 1 (16-inch) - 2015/2016</v>
      </c>
      <c r="C3812" s="21" t="e">
        <f>VLOOKUP(A3812,Products!A$322:$D3812,4,FALSE)</f>
        <v>#N/A</v>
      </c>
    </row>
    <row r="3813" spans="1:3" x14ac:dyDescent="0.35">
      <c r="A3813" s="21">
        <v>20</v>
      </c>
      <c r="B3813" t="str">
        <f>VLOOKUP(A3813,Products!$A$1:$F$322,2,FALSE)</f>
        <v>Electra Townie Original 7D EQ - Women's - 2016</v>
      </c>
      <c r="C3813" s="21" t="e">
        <f>VLOOKUP(A3813,Products!A$322:$D3813,4,FALSE)</f>
        <v>#N/A</v>
      </c>
    </row>
    <row r="3814" spans="1:3" x14ac:dyDescent="0.35">
      <c r="A3814" s="21">
        <v>75</v>
      </c>
      <c r="B3814" t="str">
        <f>VLOOKUP(A3814,Products!$A$1:$F$322,2,FALSE)</f>
        <v>Electra Cruiser Lux Fat Tire 1 Ladies - 2017</v>
      </c>
      <c r="C3814" s="21" t="e">
        <f>VLOOKUP(A3814,Products!A$322:$D3814,4,FALSE)</f>
        <v>#N/A</v>
      </c>
    </row>
    <row r="3815" spans="1:3" x14ac:dyDescent="0.35">
      <c r="A3815" s="21">
        <v>33</v>
      </c>
      <c r="B3815" t="str">
        <f>VLOOKUP(A3815,Products!$A$1:$F$322,2,FALSE)</f>
        <v>Surly Wednesday Frameset - 2017</v>
      </c>
      <c r="C3815" s="21" t="e">
        <f>VLOOKUP(A3815,Products!A$322:$D3815,4,FALSE)</f>
        <v>#N/A</v>
      </c>
    </row>
    <row r="3816" spans="1:3" x14ac:dyDescent="0.35">
      <c r="A3816" s="21">
        <v>69</v>
      </c>
      <c r="B3816" t="str">
        <f>VLOOKUP(A3816,Products!$A$1:$F$322,2,FALSE)</f>
        <v>Sun Bicycles Cruz 7 - 2017</v>
      </c>
      <c r="C3816" s="21" t="e">
        <f>VLOOKUP(A3816,Products!A$322:$D3816,4,FALSE)</f>
        <v>#N/A</v>
      </c>
    </row>
    <row r="3817" spans="1:3" x14ac:dyDescent="0.35">
      <c r="A3817" s="21">
        <v>52</v>
      </c>
      <c r="B3817" t="str">
        <f>VLOOKUP(A3817,Products!$A$1:$F$322,2,FALSE)</f>
        <v>Surly Steamroller - 2017</v>
      </c>
      <c r="C3817" s="21" t="e">
        <f>VLOOKUP(A3817,Products!A$322:$D3817,4,FALSE)</f>
        <v>#N/A</v>
      </c>
    </row>
    <row r="3818" spans="1:3" x14ac:dyDescent="0.35">
      <c r="A3818" s="21">
        <v>72</v>
      </c>
      <c r="B3818" t="str">
        <f>VLOOKUP(A3818,Products!$A$1:$F$322,2,FALSE)</f>
        <v>Sun Bicycles Biscayne Tandem 7 - 2017</v>
      </c>
      <c r="C3818" s="21" t="e">
        <f>VLOOKUP(A3818,Products!A$322:$D3818,4,FALSE)</f>
        <v>#N/A</v>
      </c>
    </row>
    <row r="3819" spans="1:3" x14ac:dyDescent="0.35">
      <c r="A3819" s="21">
        <v>94</v>
      </c>
      <c r="B3819" t="str">
        <f>VLOOKUP(A3819,Products!$A$1:$F$322,2,FALSE)</f>
        <v>Haro Shredder Pro 20 - 2017</v>
      </c>
      <c r="C3819" s="21" t="e">
        <f>VLOOKUP(A3819,Products!A$322:$D3819,4,FALSE)</f>
        <v>#N/A</v>
      </c>
    </row>
    <row r="3820" spans="1:3" x14ac:dyDescent="0.35">
      <c r="A3820" s="21">
        <v>104</v>
      </c>
      <c r="B3820" t="str">
        <f>VLOOKUP(A3820,Products!$A$1:$F$322,2,FALSE)</f>
        <v>Sun Bicycles Streamway - 2017</v>
      </c>
      <c r="C3820" s="21" t="e">
        <f>VLOOKUP(A3820,Products!A$322:$D3820,4,FALSE)</f>
        <v>#N/A</v>
      </c>
    </row>
    <row r="3821" spans="1:3" x14ac:dyDescent="0.35">
      <c r="A3821" s="21">
        <v>41</v>
      </c>
      <c r="B3821" t="str">
        <f>VLOOKUP(A3821,Products!$A$1:$F$322,2,FALSE)</f>
        <v>Haro Shift R3 - 2017</v>
      </c>
      <c r="C3821" s="21" t="e">
        <f>VLOOKUP(A3821,Products!A$322:$D3821,4,FALSE)</f>
        <v>#N/A</v>
      </c>
    </row>
    <row r="3822" spans="1:3" x14ac:dyDescent="0.35">
      <c r="A3822" s="21">
        <v>24</v>
      </c>
      <c r="B3822" t="str">
        <f>VLOOKUP(A3822,Products!$A$1:$F$322,2,FALSE)</f>
        <v>Electra Townie Original 21D - 2016</v>
      </c>
      <c r="C3822" s="21" t="e">
        <f>VLOOKUP(A3822,Products!A$322:$D3822,4,FALSE)</f>
        <v>#N/A</v>
      </c>
    </row>
    <row r="3823" spans="1:3" x14ac:dyDescent="0.35">
      <c r="A3823" s="21">
        <v>26</v>
      </c>
      <c r="B3823" t="str">
        <f>VLOOKUP(A3823,Products!$A$1:$F$322,2,FALSE)</f>
        <v>Electra Townie Original 7D EQ - 2016</v>
      </c>
      <c r="C3823" s="21" t="e">
        <f>VLOOKUP(A3823,Products!A$322:$D3823,4,FALSE)</f>
        <v>#N/A</v>
      </c>
    </row>
    <row r="3824" spans="1:3" x14ac:dyDescent="0.35">
      <c r="A3824" s="21">
        <v>16</v>
      </c>
      <c r="B3824" t="str">
        <f>VLOOKUP(A3824,Products!$A$1:$F$322,2,FALSE)</f>
        <v>Electra Townie Original 7D EQ - 2016</v>
      </c>
      <c r="C3824" s="21" t="e">
        <f>VLOOKUP(A3824,Products!A$322:$D3824,4,FALSE)</f>
        <v>#N/A</v>
      </c>
    </row>
    <row r="3825" spans="1:3" x14ac:dyDescent="0.35">
      <c r="A3825" s="21">
        <v>76</v>
      </c>
      <c r="B3825" t="str">
        <f>VLOOKUP(A3825,Products!$A$1:$F$322,2,FALSE)</f>
        <v>Electra Girl's Hawaii 1 16" - 2017</v>
      </c>
      <c r="C3825" s="21" t="e">
        <f>VLOOKUP(A3825,Products!A$322:$D3825,4,FALSE)</f>
        <v>#N/A</v>
      </c>
    </row>
    <row r="3826" spans="1:3" x14ac:dyDescent="0.35">
      <c r="A3826" s="21">
        <v>90</v>
      </c>
      <c r="B3826" t="str">
        <f>VLOOKUP(A3826,Products!$A$1:$F$322,2,FALSE)</f>
        <v>Trek Precaliber 16 Girls - 2017</v>
      </c>
      <c r="C3826" s="21" t="e">
        <f>VLOOKUP(A3826,Products!A$322:$D3826,4,FALSE)</f>
        <v>#N/A</v>
      </c>
    </row>
    <row r="3827" spans="1:3" x14ac:dyDescent="0.35">
      <c r="A3827" s="21">
        <v>82</v>
      </c>
      <c r="B3827" t="str">
        <f>VLOOKUP(A3827,Products!$A$1:$F$322,2,FALSE)</f>
        <v>Electra Amsterdam Original 3i Ladies' - 2017</v>
      </c>
      <c r="C3827" s="21" t="e">
        <f>VLOOKUP(A3827,Products!A$322:$D3827,4,FALSE)</f>
        <v>#N/A</v>
      </c>
    </row>
    <row r="3828" spans="1:3" x14ac:dyDescent="0.35">
      <c r="A3828" s="21">
        <v>82</v>
      </c>
      <c r="B3828" t="str">
        <f>VLOOKUP(A3828,Products!$A$1:$F$322,2,FALSE)</f>
        <v>Electra Amsterdam Original 3i Ladies' - 2017</v>
      </c>
      <c r="C3828" s="21" t="e">
        <f>VLOOKUP(A3828,Products!A$322:$D3828,4,FALSE)</f>
        <v>#N/A</v>
      </c>
    </row>
    <row r="3829" spans="1:3" x14ac:dyDescent="0.35">
      <c r="A3829" s="21">
        <v>62</v>
      </c>
      <c r="B3829" t="str">
        <f>VLOOKUP(A3829,Products!$A$1:$F$322,2,FALSE)</f>
        <v>Trek Boone 7 - 2017</v>
      </c>
      <c r="C3829" s="21" t="e">
        <f>VLOOKUP(A3829,Products!A$322:$D3829,4,FALSE)</f>
        <v>#N/A</v>
      </c>
    </row>
    <row r="3830" spans="1:3" x14ac:dyDescent="0.35">
      <c r="A3830" s="21">
        <v>111</v>
      </c>
      <c r="B3830" t="str">
        <f>VLOOKUP(A3830,Products!$A$1:$F$322,2,FALSE)</f>
        <v>Sun Bicycles Drifter 7 - Women's - 2017</v>
      </c>
      <c r="C3830" s="21" t="e">
        <f>VLOOKUP(A3830,Products!A$322:$D3830,4,FALSE)</f>
        <v>#N/A</v>
      </c>
    </row>
    <row r="3831" spans="1:3" x14ac:dyDescent="0.35">
      <c r="A3831" s="21">
        <v>92</v>
      </c>
      <c r="B3831" t="str">
        <f>VLOOKUP(A3831,Products!$A$1:$F$322,2,FALSE)</f>
        <v>Haro Shredder 20 - 2017</v>
      </c>
      <c r="C3831" s="21" t="e">
        <f>VLOOKUP(A3831,Products!A$322:$D3831,4,FALSE)</f>
        <v>#N/A</v>
      </c>
    </row>
    <row r="3832" spans="1:3" x14ac:dyDescent="0.35">
      <c r="A3832" s="21">
        <v>75</v>
      </c>
      <c r="B3832" t="str">
        <f>VLOOKUP(A3832,Products!$A$1:$F$322,2,FALSE)</f>
        <v>Electra Cruiser Lux Fat Tire 1 Ladies - 2017</v>
      </c>
      <c r="C3832" s="21" t="e">
        <f>VLOOKUP(A3832,Products!A$322:$D3832,4,FALSE)</f>
        <v>#N/A</v>
      </c>
    </row>
    <row r="3833" spans="1:3" x14ac:dyDescent="0.35">
      <c r="A3833" s="21">
        <v>91</v>
      </c>
      <c r="B3833" t="str">
        <f>VLOOKUP(A3833,Products!$A$1:$F$322,2,FALSE)</f>
        <v>Trek Precaliber 24 (21-Speed) - Girls - 2017</v>
      </c>
      <c r="C3833" s="21" t="e">
        <f>VLOOKUP(A3833,Products!A$322:$D3833,4,FALSE)</f>
        <v>#N/A</v>
      </c>
    </row>
    <row r="3834" spans="1:3" x14ac:dyDescent="0.35">
      <c r="A3834" s="21">
        <v>104</v>
      </c>
      <c r="B3834" t="str">
        <f>VLOOKUP(A3834,Products!$A$1:$F$322,2,FALSE)</f>
        <v>Sun Bicycles Streamway - 2017</v>
      </c>
      <c r="C3834" s="21" t="e">
        <f>VLOOKUP(A3834,Products!A$322:$D3834,4,FALSE)</f>
        <v>#N/A</v>
      </c>
    </row>
    <row r="3835" spans="1:3" x14ac:dyDescent="0.35">
      <c r="A3835" s="21">
        <v>93</v>
      </c>
      <c r="B3835" t="str">
        <f>VLOOKUP(A3835,Products!$A$1:$F$322,2,FALSE)</f>
        <v>Haro Shredder 20 Girls - 2017</v>
      </c>
      <c r="C3835" s="21" t="e">
        <f>VLOOKUP(A3835,Products!A$322:$D3835,4,FALSE)</f>
        <v>#N/A</v>
      </c>
    </row>
    <row r="3836" spans="1:3" x14ac:dyDescent="0.35">
      <c r="A3836" s="21">
        <v>99</v>
      </c>
      <c r="B3836" t="str">
        <f>VLOOKUP(A3836,Products!$A$1:$F$322,2,FALSE)</f>
        <v>Electra Sugar Skulls 1 (20-inch) - Girl's - 2017</v>
      </c>
      <c r="C3836" s="21" t="e">
        <f>VLOOKUP(A3836,Products!A$322:$D3836,4,FALSE)</f>
        <v>#N/A</v>
      </c>
    </row>
    <row r="3837" spans="1:3" x14ac:dyDescent="0.35">
      <c r="A3837" s="21">
        <v>34</v>
      </c>
      <c r="B3837" t="str">
        <f>VLOOKUP(A3837,Products!$A$1:$F$322,2,FALSE)</f>
        <v>Trek Session DH 27.5 Carbon Frameset - 2017</v>
      </c>
      <c r="C3837" s="21" t="e">
        <f>VLOOKUP(A3837,Products!A$322:$D3837,4,FALSE)</f>
        <v>#N/A</v>
      </c>
    </row>
    <row r="3838" spans="1:3" x14ac:dyDescent="0.35">
      <c r="A3838" s="21">
        <v>107</v>
      </c>
      <c r="B3838" t="str">
        <f>VLOOKUP(A3838,Products!$A$1:$F$322,2,FALSE)</f>
        <v>Sun Bicycles Cruz 7 - 2017</v>
      </c>
      <c r="C3838" s="21" t="e">
        <f>VLOOKUP(A3838,Products!A$322:$D3838,4,FALSE)</f>
        <v>#N/A</v>
      </c>
    </row>
    <row r="3839" spans="1:3" x14ac:dyDescent="0.35">
      <c r="A3839" s="21">
        <v>11</v>
      </c>
      <c r="B3839" t="str">
        <f>VLOOKUP(A3839,Products!$A$1:$F$322,2,FALSE)</f>
        <v>Surly Straggler 650b - 2016</v>
      </c>
      <c r="C3839" s="21" t="e">
        <f>VLOOKUP(A3839,Products!A$322:$D3839,4,FALSE)</f>
        <v>#N/A</v>
      </c>
    </row>
    <row r="3840" spans="1:3" x14ac:dyDescent="0.35">
      <c r="A3840" s="21">
        <v>28</v>
      </c>
      <c r="B3840" t="str">
        <f>VLOOKUP(A3840,Products!$A$1:$F$322,2,FALSE)</f>
        <v>Surly Karate Monkey 27.5+ Frameset - 2017</v>
      </c>
      <c r="C3840" s="21" t="e">
        <f>VLOOKUP(A3840,Products!A$322:$D3840,4,FALSE)</f>
        <v>#N/A</v>
      </c>
    </row>
    <row r="3841" spans="1:3" x14ac:dyDescent="0.35">
      <c r="A3841" s="21">
        <v>104</v>
      </c>
      <c r="B3841" t="str">
        <f>VLOOKUP(A3841,Products!$A$1:$F$322,2,FALSE)</f>
        <v>Sun Bicycles Streamway - 2017</v>
      </c>
      <c r="C3841" s="21" t="e">
        <f>VLOOKUP(A3841,Products!A$322:$D3841,4,FALSE)</f>
        <v>#N/A</v>
      </c>
    </row>
    <row r="3842" spans="1:3" x14ac:dyDescent="0.35">
      <c r="A3842" s="21">
        <v>27</v>
      </c>
      <c r="B3842" t="str">
        <f>VLOOKUP(A3842,Products!$A$1:$F$322,2,FALSE)</f>
        <v>Surly Big Dummy Frameset - 2017</v>
      </c>
      <c r="C3842" s="21" t="e">
        <f>VLOOKUP(A3842,Products!A$322:$D3842,4,FALSE)</f>
        <v>#N/A</v>
      </c>
    </row>
    <row r="3843" spans="1:3" x14ac:dyDescent="0.35">
      <c r="A3843" s="21">
        <v>20</v>
      </c>
      <c r="B3843" t="str">
        <f>VLOOKUP(A3843,Products!$A$1:$F$322,2,FALSE)</f>
        <v>Electra Townie Original 7D EQ - Women's - 2016</v>
      </c>
      <c r="C3843" s="21" t="e">
        <f>VLOOKUP(A3843,Products!A$322:$D3843,4,FALSE)</f>
        <v>#N/A</v>
      </c>
    </row>
    <row r="3844" spans="1:3" x14ac:dyDescent="0.35">
      <c r="A3844" s="21">
        <v>70</v>
      </c>
      <c r="B3844" t="str">
        <f>VLOOKUP(A3844,Products!$A$1:$F$322,2,FALSE)</f>
        <v>Electra Amsterdam Original 3i - 2015/2017</v>
      </c>
      <c r="C3844" s="21" t="e">
        <f>VLOOKUP(A3844,Products!A$322:$D3844,4,FALSE)</f>
        <v>#N/A</v>
      </c>
    </row>
    <row r="3845" spans="1:3" x14ac:dyDescent="0.35">
      <c r="A3845" s="21">
        <v>66</v>
      </c>
      <c r="B3845" t="str">
        <f>VLOOKUP(A3845,Products!$A$1:$F$322,2,FALSE)</f>
        <v>Sun Bicycles Revolutions 24 - 2017</v>
      </c>
      <c r="C3845" s="21" t="e">
        <f>VLOOKUP(A3845,Products!A$322:$D3845,4,FALSE)</f>
        <v>#N/A</v>
      </c>
    </row>
    <row r="3846" spans="1:3" x14ac:dyDescent="0.35">
      <c r="A3846" s="21">
        <v>120</v>
      </c>
      <c r="B3846" t="str">
        <f>VLOOKUP(A3846,Products!$A$1:$F$322,2,FALSE)</f>
        <v>Trek Fuel EX 7 29 - 2018</v>
      </c>
      <c r="C3846" s="21" t="e">
        <f>VLOOKUP(A3846,Products!A$322:$D3846,4,FALSE)</f>
        <v>#N/A</v>
      </c>
    </row>
    <row r="3847" spans="1:3" x14ac:dyDescent="0.35">
      <c r="A3847" s="21">
        <v>235</v>
      </c>
      <c r="B3847" t="str">
        <f>VLOOKUP(A3847,Products!$A$1:$F$322,2,FALSE)</f>
        <v>Electra Koa 3i Ladies' - 2018</v>
      </c>
      <c r="C3847" s="21" t="e">
        <f>VLOOKUP(A3847,Products!A$322:$D3847,4,FALSE)</f>
        <v>#N/A</v>
      </c>
    </row>
    <row r="3848" spans="1:3" x14ac:dyDescent="0.35">
      <c r="A3848" s="21">
        <v>3</v>
      </c>
      <c r="B3848" t="str">
        <f>VLOOKUP(A3848,Products!$A$1:$F$322,2,FALSE)</f>
        <v>Surly Wednesday Frameset - 2016</v>
      </c>
      <c r="C3848" s="21" t="e">
        <f>VLOOKUP(A3848,Products!A$322:$D3848,4,FALSE)</f>
        <v>#N/A</v>
      </c>
    </row>
    <row r="3849" spans="1:3" x14ac:dyDescent="0.35">
      <c r="A3849" s="21">
        <v>139</v>
      </c>
      <c r="B3849" t="str">
        <f>VLOOKUP(A3849,Products!$A$1:$F$322,2,FALSE)</f>
        <v>Trek Remedy 7 27.5 - 2018</v>
      </c>
      <c r="C3849" s="21" t="e">
        <f>VLOOKUP(A3849,Products!A$322:$D3849,4,FALSE)</f>
        <v>#N/A</v>
      </c>
    </row>
    <row r="3850" spans="1:3" x14ac:dyDescent="0.35">
      <c r="A3850" s="21">
        <v>257</v>
      </c>
      <c r="B3850" t="str">
        <f>VLOOKUP(A3850,Products!$A$1:$F$322,2,FALSE)</f>
        <v>Electra Amsterdam Fashion 3i Ladies' - 2017/2018</v>
      </c>
      <c r="C3850" s="21" t="e">
        <f>VLOOKUP(A3850,Products!A$322:$D3850,4,FALSE)</f>
        <v>#N/A</v>
      </c>
    </row>
    <row r="3851" spans="1:3" x14ac:dyDescent="0.35">
      <c r="A3851" s="21">
        <v>209</v>
      </c>
      <c r="B3851" t="str">
        <f>VLOOKUP(A3851,Products!$A$1:$F$322,2,FALSE)</f>
        <v>Trek Crockett 7 Disc - 2018</v>
      </c>
      <c r="C3851" s="21" t="e">
        <f>VLOOKUP(A3851,Products!A$322:$D3851,4,FALSE)</f>
        <v>#N/A</v>
      </c>
    </row>
    <row r="3852" spans="1:3" x14ac:dyDescent="0.35">
      <c r="A3852" s="21">
        <v>28</v>
      </c>
      <c r="B3852" t="str">
        <f>VLOOKUP(A3852,Products!$A$1:$F$322,2,FALSE)</f>
        <v>Surly Karate Monkey 27.5+ Frameset - 2017</v>
      </c>
      <c r="C3852" s="21" t="e">
        <f>VLOOKUP(A3852,Products!A$322:$D3852,4,FALSE)</f>
        <v>#N/A</v>
      </c>
    </row>
    <row r="3853" spans="1:3" x14ac:dyDescent="0.35">
      <c r="A3853" s="21">
        <v>190</v>
      </c>
      <c r="B3853" t="str">
        <f>VLOOKUP(A3853,Products!$A$1:$F$322,2,FALSE)</f>
        <v>Trek Dual Sport+ - 2018</v>
      </c>
      <c r="C3853" s="21" t="e">
        <f>VLOOKUP(A3853,Products!A$322:$D3853,4,FALSE)</f>
        <v>#N/A</v>
      </c>
    </row>
    <row r="3854" spans="1:3" x14ac:dyDescent="0.35">
      <c r="A3854" s="21">
        <v>269</v>
      </c>
      <c r="B3854" t="str">
        <f>VLOOKUP(A3854,Products!$A$1:$F$322,2,FALSE)</f>
        <v>Trek Precaliber 12 Boy's - 2018</v>
      </c>
      <c r="C3854" s="21" t="e">
        <f>VLOOKUP(A3854,Products!A$322:$D3854,4,FALSE)</f>
        <v>#N/A</v>
      </c>
    </row>
    <row r="3855" spans="1:3" x14ac:dyDescent="0.35">
      <c r="A3855" s="21">
        <v>151</v>
      </c>
      <c r="B3855" t="str">
        <f>VLOOKUP(A3855,Products!$A$1:$F$322,2,FALSE)</f>
        <v>Trek Domane ALR 4 Disc Women's - 2018</v>
      </c>
      <c r="C3855" s="21" t="e">
        <f>VLOOKUP(A3855,Products!A$322:$D3855,4,FALSE)</f>
        <v>#N/A</v>
      </c>
    </row>
    <row r="3856" spans="1:3" x14ac:dyDescent="0.35">
      <c r="A3856" s="21">
        <v>235</v>
      </c>
      <c r="B3856" t="str">
        <f>VLOOKUP(A3856,Products!$A$1:$F$322,2,FALSE)</f>
        <v>Electra Koa 3i Ladies' - 2018</v>
      </c>
      <c r="C3856" s="21" t="e">
        <f>VLOOKUP(A3856,Products!A$322:$D3856,4,FALSE)</f>
        <v>#N/A</v>
      </c>
    </row>
    <row r="3857" spans="1:3" x14ac:dyDescent="0.35">
      <c r="A3857" s="21">
        <v>48</v>
      </c>
      <c r="B3857" t="str">
        <f>VLOOKUP(A3857,Products!$A$1:$F$322,2,FALSE)</f>
        <v>Trek Emonda S 4 - 2017</v>
      </c>
      <c r="C3857" s="21" t="e">
        <f>VLOOKUP(A3857,Products!A$322:$D3857,4,FALSE)</f>
        <v>#N/A</v>
      </c>
    </row>
    <row r="3858" spans="1:3" x14ac:dyDescent="0.35">
      <c r="A3858" s="21">
        <v>180</v>
      </c>
      <c r="B3858" t="str">
        <f>VLOOKUP(A3858,Products!$A$1:$F$322,2,FALSE)</f>
        <v>Trek Domane AL 3 Women's - 2018</v>
      </c>
      <c r="C3858" s="21" t="e">
        <f>VLOOKUP(A3858,Products!A$322:$D3858,4,FALSE)</f>
        <v>#N/A</v>
      </c>
    </row>
    <row r="3859" spans="1:3" x14ac:dyDescent="0.35">
      <c r="A3859" s="21">
        <v>241</v>
      </c>
      <c r="B3859" t="str">
        <f>VLOOKUP(A3859,Products!$A$1:$F$322,2,FALSE)</f>
        <v>Electra Townie Commute 8D - 2018</v>
      </c>
      <c r="C3859" s="21" t="e">
        <f>VLOOKUP(A3859,Products!A$322:$D3859,4,FALSE)</f>
        <v>#N/A</v>
      </c>
    </row>
    <row r="3860" spans="1:3" x14ac:dyDescent="0.35">
      <c r="A3860" s="21">
        <v>129</v>
      </c>
      <c r="B3860" t="str">
        <f>VLOOKUP(A3860,Products!$A$1:$F$322,2,FALSE)</f>
        <v>Trek X-Caliber 7 - 2018</v>
      </c>
      <c r="C3860" s="21" t="e">
        <f>VLOOKUP(A3860,Products!A$322:$D3860,4,FALSE)</f>
        <v>#N/A</v>
      </c>
    </row>
    <row r="3861" spans="1:3" x14ac:dyDescent="0.35">
      <c r="A3861" s="21">
        <v>228</v>
      </c>
      <c r="B3861" t="str">
        <f>VLOOKUP(A3861,Products!$A$1:$F$322,2,FALSE)</f>
        <v>Electra Cruiser 7D Tall - 2016/2018</v>
      </c>
      <c r="C3861" s="21" t="e">
        <f>VLOOKUP(A3861,Products!A$322:$D3861,4,FALSE)</f>
        <v>#N/A</v>
      </c>
    </row>
    <row r="3862" spans="1:3" x14ac:dyDescent="0.35">
      <c r="A3862" s="21">
        <v>311</v>
      </c>
      <c r="B3862" t="str">
        <f>VLOOKUP(A3862,Products!$A$1:$F$322,2,FALSE)</f>
        <v>Electra Townie Commute 8D - 2018</v>
      </c>
      <c r="C3862" s="21" t="e">
        <f>VLOOKUP(A3862,Products!A$322:$D3862,4,FALSE)</f>
        <v>#N/A</v>
      </c>
    </row>
    <row r="3863" spans="1:3" x14ac:dyDescent="0.35">
      <c r="A3863" s="21">
        <v>247</v>
      </c>
      <c r="B3863" t="str">
        <f>VLOOKUP(A3863,Products!$A$1:$F$322,2,FALSE)</f>
        <v>Electra Townie Original 7D EQ - 2018</v>
      </c>
      <c r="C3863" s="21" t="e">
        <f>VLOOKUP(A3863,Products!A$322:$D3863,4,FALSE)</f>
        <v>#N/A</v>
      </c>
    </row>
    <row r="3864" spans="1:3" x14ac:dyDescent="0.35">
      <c r="A3864" s="21">
        <v>143</v>
      </c>
      <c r="B3864" t="str">
        <f>VLOOKUP(A3864,Products!$A$1:$F$322,2,FALSE)</f>
        <v>Trek Domane ALR 3 - 2018</v>
      </c>
      <c r="C3864" s="21" t="e">
        <f>VLOOKUP(A3864,Products!A$322:$D3864,4,FALSE)</f>
        <v>#N/A</v>
      </c>
    </row>
    <row r="3865" spans="1:3" x14ac:dyDescent="0.35">
      <c r="A3865" s="21">
        <v>107</v>
      </c>
      <c r="B3865" t="str">
        <f>VLOOKUP(A3865,Products!$A$1:$F$322,2,FALSE)</f>
        <v>Sun Bicycles Cruz 7 - 2017</v>
      </c>
      <c r="C3865" s="21" t="e">
        <f>VLOOKUP(A3865,Products!A$322:$D3865,4,FALSE)</f>
        <v>#N/A</v>
      </c>
    </row>
    <row r="3866" spans="1:3" x14ac:dyDescent="0.35">
      <c r="A3866" s="21">
        <v>55</v>
      </c>
      <c r="B3866" t="str">
        <f>VLOOKUP(A3866,Products!$A$1:$F$322,2,FALSE)</f>
        <v>Trek Domane S 6 - 2017</v>
      </c>
      <c r="C3866" s="21" t="e">
        <f>VLOOKUP(A3866,Products!A$322:$D3866,4,FALSE)</f>
        <v>#N/A</v>
      </c>
    </row>
    <row r="3867" spans="1:3" x14ac:dyDescent="0.35">
      <c r="A3867" s="21">
        <v>283</v>
      </c>
      <c r="B3867" t="str">
        <f>VLOOKUP(A3867,Products!$A$1:$F$322,2,FALSE)</f>
        <v>Electra Heartchya 1 (20-inch) - Girl's - 2018</v>
      </c>
      <c r="C3867" s="21" t="e">
        <f>VLOOKUP(A3867,Products!A$322:$D3867,4,FALSE)</f>
        <v>#N/A</v>
      </c>
    </row>
    <row r="3868" spans="1:3" x14ac:dyDescent="0.35">
      <c r="A3868" s="21">
        <v>13</v>
      </c>
      <c r="B3868" t="str">
        <f>VLOOKUP(A3868,Products!$A$1:$F$322,2,FALSE)</f>
        <v>Electra Cruiser 1 (24-Inch) - 2016</v>
      </c>
      <c r="C3868" s="21" t="e">
        <f>VLOOKUP(A3868,Products!A$322:$D3868,4,FALSE)</f>
        <v>#N/A</v>
      </c>
    </row>
    <row r="3869" spans="1:3" x14ac:dyDescent="0.35">
      <c r="A3869" s="21">
        <v>232</v>
      </c>
      <c r="B3869" t="str">
        <f>VLOOKUP(A3869,Products!$A$1:$F$322,2,FALSE)</f>
        <v>Electra Cruiser Lux 7D Ladies' - 2018</v>
      </c>
      <c r="C3869" s="21" t="e">
        <f>VLOOKUP(A3869,Products!A$322:$D3869,4,FALSE)</f>
        <v>#N/A</v>
      </c>
    </row>
    <row r="3870" spans="1:3" x14ac:dyDescent="0.35">
      <c r="A3870" s="21">
        <v>243</v>
      </c>
      <c r="B3870" t="str">
        <f>VLOOKUP(A3870,Products!$A$1:$F$322,2,FALSE)</f>
        <v>Electra Townie Original 21D EQ Ladies' - 2018</v>
      </c>
      <c r="C3870" s="21" t="e">
        <f>VLOOKUP(A3870,Products!A$322:$D3870,4,FALSE)</f>
        <v>#N/A</v>
      </c>
    </row>
    <row r="3871" spans="1:3" x14ac:dyDescent="0.35">
      <c r="A3871" s="21">
        <v>230</v>
      </c>
      <c r="B3871" t="str">
        <f>VLOOKUP(A3871,Products!$A$1:$F$322,2,FALSE)</f>
        <v>Electra Cruiser Lux 1 Ladies' - 2018</v>
      </c>
      <c r="C3871" s="21" t="e">
        <f>VLOOKUP(A3871,Products!A$322:$D3871,4,FALSE)</f>
        <v>#N/A</v>
      </c>
    </row>
    <row r="3872" spans="1:3" x14ac:dyDescent="0.35">
      <c r="A3872" s="21">
        <v>102</v>
      </c>
      <c r="B3872" t="str">
        <f>VLOOKUP(A3872,Products!$A$1:$F$322,2,FALSE)</f>
        <v>Electra Townie Original 7D - 2017</v>
      </c>
      <c r="C3872" s="21" t="e">
        <f>VLOOKUP(A3872,Products!A$322:$D3872,4,FALSE)</f>
        <v>#N/A</v>
      </c>
    </row>
    <row r="3873" spans="1:3" x14ac:dyDescent="0.35">
      <c r="A3873" s="21">
        <v>282</v>
      </c>
      <c r="B3873" t="str">
        <f>VLOOKUP(A3873,Products!$A$1:$F$322,2,FALSE)</f>
        <v>Electra Cyclosaurus 1 (16-inch) - Boy's - 2018</v>
      </c>
      <c r="C3873" s="21" t="e">
        <f>VLOOKUP(A3873,Products!A$322:$D3873,4,FALSE)</f>
        <v>#N/A</v>
      </c>
    </row>
    <row r="3874" spans="1:3" x14ac:dyDescent="0.35">
      <c r="A3874" s="21">
        <v>253</v>
      </c>
      <c r="B3874" t="str">
        <f>VLOOKUP(A3874,Products!$A$1:$F$322,2,FALSE)</f>
        <v>Electra Townie Go! 8i Ladies' - 2018</v>
      </c>
      <c r="C3874" s="21" t="e">
        <f>VLOOKUP(A3874,Products!A$322:$D3874,4,FALSE)</f>
        <v>#N/A</v>
      </c>
    </row>
    <row r="3875" spans="1:3" x14ac:dyDescent="0.35">
      <c r="A3875" s="21">
        <v>290</v>
      </c>
      <c r="B3875" t="str">
        <f>VLOOKUP(A3875,Products!$A$1:$F$322,2,FALSE)</f>
        <v>Electra Superbolt 3i 20" - 2018</v>
      </c>
      <c r="C3875" s="21" t="e">
        <f>VLOOKUP(A3875,Products!A$322:$D3875,4,FALSE)</f>
        <v>#N/A</v>
      </c>
    </row>
    <row r="3876" spans="1:3" x14ac:dyDescent="0.35">
      <c r="A3876" s="21">
        <v>145</v>
      </c>
      <c r="B3876" t="str">
        <f>VLOOKUP(A3876,Products!$A$1:$F$322,2,FALSE)</f>
        <v>Trek Domane ALR 5 Disc - 2018</v>
      </c>
      <c r="C3876" s="21" t="e">
        <f>VLOOKUP(A3876,Products!A$322:$D3876,4,FALSE)</f>
        <v>#N/A</v>
      </c>
    </row>
    <row r="3877" spans="1:3" x14ac:dyDescent="0.35">
      <c r="A3877" s="21">
        <v>300</v>
      </c>
      <c r="B3877" t="str">
        <f>VLOOKUP(A3877,Products!$A$1:$F$322,2,FALSE)</f>
        <v>Electra Townie Balloon 3i EQ Ladies' - 2018</v>
      </c>
      <c r="C3877" s="21" t="e">
        <f>VLOOKUP(A3877,Products!A$322:$D3877,4,FALSE)</f>
        <v>#N/A</v>
      </c>
    </row>
    <row r="3878" spans="1:3" x14ac:dyDescent="0.35">
      <c r="A3878" s="21">
        <v>296</v>
      </c>
      <c r="B3878" t="str">
        <f>VLOOKUP(A3878,Products!$A$1:$F$322,2,FALSE)</f>
        <v>Electra Treasure 3i 20" - 2018</v>
      </c>
      <c r="C3878" s="21" t="e">
        <f>VLOOKUP(A3878,Products!A$322:$D3878,4,FALSE)</f>
        <v>#N/A</v>
      </c>
    </row>
    <row r="3879" spans="1:3" x14ac:dyDescent="0.35">
      <c r="A3879" s="21">
        <v>93</v>
      </c>
      <c r="B3879" t="str">
        <f>VLOOKUP(A3879,Products!$A$1:$F$322,2,FALSE)</f>
        <v>Haro Shredder 20 Girls - 2017</v>
      </c>
      <c r="C3879" s="21" t="e">
        <f>VLOOKUP(A3879,Products!A$322:$D3879,4,FALSE)</f>
        <v>#N/A</v>
      </c>
    </row>
    <row r="3880" spans="1:3" x14ac:dyDescent="0.35">
      <c r="A3880" s="21">
        <v>179</v>
      </c>
      <c r="B3880" t="str">
        <f>VLOOKUP(A3880,Products!$A$1:$F$322,2,FALSE)</f>
        <v>Trek Domane AL 3 - 2018</v>
      </c>
      <c r="C3880" s="21" t="e">
        <f>VLOOKUP(A3880,Products!A$322:$D3880,4,FALSE)</f>
        <v>#N/A</v>
      </c>
    </row>
    <row r="3881" spans="1:3" x14ac:dyDescent="0.35">
      <c r="A3881" s="21">
        <v>298</v>
      </c>
      <c r="B3881" t="str">
        <f>VLOOKUP(A3881,Products!$A$1:$F$322,2,FALSE)</f>
        <v>Electra Water Lily 1 (16-inch) - Girl's - 2018</v>
      </c>
      <c r="C3881" s="21" t="e">
        <f>VLOOKUP(A3881,Products!A$322:$D3881,4,FALSE)</f>
        <v>#N/A</v>
      </c>
    </row>
    <row r="3882" spans="1:3" x14ac:dyDescent="0.35">
      <c r="A3882" s="21">
        <v>205</v>
      </c>
      <c r="B3882" t="str">
        <f>VLOOKUP(A3882,Products!$A$1:$F$322,2,FALSE)</f>
        <v>Trek Super Commuter+ 8S - 2018</v>
      </c>
      <c r="C3882" s="21" t="e">
        <f>VLOOKUP(A3882,Products!A$322:$D3882,4,FALSE)</f>
        <v>#N/A</v>
      </c>
    </row>
    <row r="3883" spans="1:3" x14ac:dyDescent="0.35">
      <c r="A3883" s="21">
        <v>304</v>
      </c>
      <c r="B3883" t="str">
        <f>VLOOKUP(A3883,Products!$A$1:$F$322,2,FALSE)</f>
        <v>Electra Townie Original 21D EQ - 2017/2018</v>
      </c>
      <c r="C3883" s="21" t="e">
        <f>VLOOKUP(A3883,Products!A$322:$D3883,4,FALSE)</f>
        <v>#N/A</v>
      </c>
    </row>
    <row r="3884" spans="1:3" x14ac:dyDescent="0.35">
      <c r="A3884" s="21">
        <v>99</v>
      </c>
      <c r="B3884" t="str">
        <f>VLOOKUP(A3884,Products!$A$1:$F$322,2,FALSE)</f>
        <v>Electra Sugar Skulls 1 (20-inch) - Girl's - 2017</v>
      </c>
      <c r="C3884" s="21" t="e">
        <f>VLOOKUP(A3884,Products!A$322:$D3884,4,FALSE)</f>
        <v>#N/A</v>
      </c>
    </row>
    <row r="3885" spans="1:3" x14ac:dyDescent="0.35">
      <c r="A3885" s="21">
        <v>12</v>
      </c>
      <c r="B3885" t="str">
        <f>VLOOKUP(A3885,Products!$A$1:$F$322,2,FALSE)</f>
        <v>Electra Townie Original 21D - 2016</v>
      </c>
      <c r="C3885" s="21" t="e">
        <f>VLOOKUP(A3885,Products!A$322:$D3885,4,FALSE)</f>
        <v>#N/A</v>
      </c>
    </row>
    <row r="3886" spans="1:3" x14ac:dyDescent="0.35">
      <c r="A3886" s="21">
        <v>78</v>
      </c>
      <c r="B3886" t="str">
        <f>VLOOKUP(A3886,Products!$A$1:$F$322,2,FALSE)</f>
        <v>Sun Bicycles Biscayne Tandem CB - 2017</v>
      </c>
      <c r="C3886" s="21" t="e">
        <f>VLOOKUP(A3886,Products!A$322:$D3886,4,FALSE)</f>
        <v>#N/A</v>
      </c>
    </row>
    <row r="3887" spans="1:3" x14ac:dyDescent="0.35">
      <c r="A3887" s="21">
        <v>203</v>
      </c>
      <c r="B3887" t="str">
        <f>VLOOKUP(A3887,Products!$A$1:$F$322,2,FALSE)</f>
        <v>Trek Powerfly 7 FS - 2018</v>
      </c>
      <c r="C3887" s="21" t="e">
        <f>VLOOKUP(A3887,Products!A$322:$D3887,4,FALSE)</f>
        <v>#N/A</v>
      </c>
    </row>
    <row r="3888" spans="1:3" x14ac:dyDescent="0.35">
      <c r="A3888" s="21">
        <v>160</v>
      </c>
      <c r="B3888" t="str">
        <f>VLOOKUP(A3888,Products!$A$1:$F$322,2,FALSE)</f>
        <v>Trek Emonda SLR 6 - 2018</v>
      </c>
      <c r="C3888" s="21" t="e">
        <f>VLOOKUP(A3888,Products!A$322:$D3888,4,FALSE)</f>
        <v>#N/A</v>
      </c>
    </row>
    <row r="3889" spans="1:3" x14ac:dyDescent="0.35">
      <c r="A3889" s="21">
        <v>84</v>
      </c>
      <c r="B3889" t="str">
        <f>VLOOKUP(A3889,Products!$A$1:$F$322,2,FALSE)</f>
        <v>Sun Bicycles Lil Kitt'n - 2017</v>
      </c>
      <c r="C3889" s="21" t="e">
        <f>VLOOKUP(A3889,Products!A$322:$D3889,4,FALSE)</f>
        <v>#N/A</v>
      </c>
    </row>
    <row r="3890" spans="1:3" x14ac:dyDescent="0.35">
      <c r="A3890" s="21">
        <v>13</v>
      </c>
      <c r="B3890" t="str">
        <f>VLOOKUP(A3890,Products!$A$1:$F$322,2,FALSE)</f>
        <v>Electra Cruiser 1 (24-Inch) - 2016</v>
      </c>
      <c r="C3890" s="21" t="e">
        <f>VLOOKUP(A3890,Products!A$322:$D3890,4,FALSE)</f>
        <v>#N/A</v>
      </c>
    </row>
    <row r="3891" spans="1:3" x14ac:dyDescent="0.35">
      <c r="A3891" s="21">
        <v>42</v>
      </c>
      <c r="B3891" t="str">
        <f>VLOOKUP(A3891,Products!$A$1:$F$322,2,FALSE)</f>
        <v>Trek Fuel EX 5 27.5 Plus - 2017</v>
      </c>
      <c r="C3891" s="21" t="e">
        <f>VLOOKUP(A3891,Products!A$322:$D3891,4,FALSE)</f>
        <v>#N/A</v>
      </c>
    </row>
    <row r="3892" spans="1:3" x14ac:dyDescent="0.35">
      <c r="A3892" s="21">
        <v>138</v>
      </c>
      <c r="B3892" t="str">
        <f>VLOOKUP(A3892,Products!$A$1:$F$322,2,FALSE)</f>
        <v>Trek Fuel EX 5 Plus - 2018</v>
      </c>
      <c r="C3892" s="21" t="e">
        <f>VLOOKUP(A3892,Products!A$322:$D3892,4,FALSE)</f>
        <v>#N/A</v>
      </c>
    </row>
    <row r="3893" spans="1:3" x14ac:dyDescent="0.35">
      <c r="A3893" s="21">
        <v>29</v>
      </c>
      <c r="B3893" t="str">
        <f>VLOOKUP(A3893,Products!$A$1:$F$322,2,FALSE)</f>
        <v>Trek X-Caliber 8 - 2017</v>
      </c>
      <c r="C3893" s="21" t="e">
        <f>VLOOKUP(A3893,Products!A$322:$D3893,4,FALSE)</f>
        <v>#N/A</v>
      </c>
    </row>
    <row r="3894" spans="1:3" x14ac:dyDescent="0.35">
      <c r="A3894" s="21">
        <v>157</v>
      </c>
      <c r="B3894" t="str">
        <f>VLOOKUP(A3894,Products!$A$1:$F$322,2,FALSE)</f>
        <v>Trek Domane SL Frameset Women's - 2018</v>
      </c>
      <c r="C3894" s="21" t="e">
        <f>VLOOKUP(A3894,Products!A$322:$D3894,4,FALSE)</f>
        <v>#N/A</v>
      </c>
    </row>
    <row r="3895" spans="1:3" x14ac:dyDescent="0.35">
      <c r="A3895" s="21">
        <v>21</v>
      </c>
      <c r="B3895" t="str">
        <f>VLOOKUP(A3895,Products!$A$1:$F$322,2,FALSE)</f>
        <v>Electra Cruiser 1 (24-Inch) - 2016</v>
      </c>
      <c r="C3895" s="21" t="e">
        <f>VLOOKUP(A3895,Products!A$322:$D3895,4,FALSE)</f>
        <v>#N/A</v>
      </c>
    </row>
    <row r="3896" spans="1:3" x14ac:dyDescent="0.35">
      <c r="A3896" s="21">
        <v>207</v>
      </c>
      <c r="B3896" t="str">
        <f>VLOOKUP(A3896,Products!$A$1:$F$322,2,FALSE)</f>
        <v>Trek Boone 7 Disc - 2018</v>
      </c>
      <c r="C3896" s="21" t="e">
        <f>VLOOKUP(A3896,Products!A$322:$D3896,4,FALSE)</f>
        <v>#N/A</v>
      </c>
    </row>
    <row r="3897" spans="1:3" x14ac:dyDescent="0.35">
      <c r="A3897" s="21">
        <v>185</v>
      </c>
      <c r="B3897" t="str">
        <f>VLOOKUP(A3897,Products!$A$1:$F$322,2,FALSE)</f>
        <v>Trek Conduit+ - 2018</v>
      </c>
      <c r="C3897" s="21" t="e">
        <f>VLOOKUP(A3897,Products!A$322:$D3897,4,FALSE)</f>
        <v>#N/A</v>
      </c>
    </row>
    <row r="3898" spans="1:3" x14ac:dyDescent="0.35">
      <c r="A3898" s="21">
        <v>153</v>
      </c>
      <c r="B3898" t="str">
        <f>VLOOKUP(A3898,Products!$A$1:$F$322,2,FALSE)</f>
        <v>Trek Domane SL 7 Women's - 2018</v>
      </c>
      <c r="C3898" s="21" t="e">
        <f>VLOOKUP(A3898,Products!A$322:$D3898,4,FALSE)</f>
        <v>#N/A</v>
      </c>
    </row>
    <row r="3899" spans="1:3" x14ac:dyDescent="0.35">
      <c r="A3899" s="21">
        <v>169</v>
      </c>
      <c r="B3899" t="str">
        <f>VLOOKUP(A3899,Products!$A$1:$F$322,2,FALSE)</f>
        <v>Trek Emonda SLR 8 - 2018</v>
      </c>
      <c r="C3899" s="21" t="e">
        <f>VLOOKUP(A3899,Products!A$322:$D3899,4,FALSE)</f>
        <v>#N/A</v>
      </c>
    </row>
    <row r="3900" spans="1:3" x14ac:dyDescent="0.35">
      <c r="A3900" s="21">
        <v>175</v>
      </c>
      <c r="B3900" t="str">
        <f>VLOOKUP(A3900,Products!$A$1:$F$322,2,FALSE)</f>
        <v>Trek Domane SLR Frameset - 2018</v>
      </c>
      <c r="C3900" s="21" t="e">
        <f>VLOOKUP(A3900,Products!A$322:$D3900,4,FALSE)</f>
        <v>#N/A</v>
      </c>
    </row>
    <row r="3901" spans="1:3" x14ac:dyDescent="0.35">
      <c r="A3901" s="21">
        <v>253</v>
      </c>
      <c r="B3901" t="str">
        <f>VLOOKUP(A3901,Products!$A$1:$F$322,2,FALSE)</f>
        <v>Electra Townie Go! 8i Ladies' - 2018</v>
      </c>
      <c r="C3901" s="21" t="e">
        <f>VLOOKUP(A3901,Products!A$322:$D3901,4,FALSE)</f>
        <v>#N/A</v>
      </c>
    </row>
    <row r="3902" spans="1:3" x14ac:dyDescent="0.35">
      <c r="A3902" s="21">
        <v>92</v>
      </c>
      <c r="B3902" t="str">
        <f>VLOOKUP(A3902,Products!$A$1:$F$322,2,FALSE)</f>
        <v>Haro Shredder 20 - 2017</v>
      </c>
      <c r="C3902" s="21" t="e">
        <f>VLOOKUP(A3902,Products!A$322:$D3902,4,FALSE)</f>
        <v>#N/A</v>
      </c>
    </row>
    <row r="3903" spans="1:3" x14ac:dyDescent="0.35">
      <c r="A3903" s="21">
        <v>237</v>
      </c>
      <c r="B3903" t="str">
        <f>VLOOKUP(A3903,Products!$A$1:$F$322,2,FALSE)</f>
        <v>Electra Relic 3i - 2018</v>
      </c>
      <c r="C3903" s="21" t="e">
        <f>VLOOKUP(A3903,Products!A$322:$D3903,4,FALSE)</f>
        <v>#N/A</v>
      </c>
    </row>
    <row r="3904" spans="1:3" x14ac:dyDescent="0.35">
      <c r="A3904" s="21">
        <v>215</v>
      </c>
      <c r="B3904" t="str">
        <f>VLOOKUP(A3904,Products!$A$1:$F$322,2,FALSE)</f>
        <v>Electra Queen of Hearts 3i - 2018</v>
      </c>
      <c r="C3904" s="21" t="e">
        <f>VLOOKUP(A3904,Products!A$322:$D3904,4,FALSE)</f>
        <v>#N/A</v>
      </c>
    </row>
    <row r="3905" spans="1:3" x14ac:dyDescent="0.35">
      <c r="A3905" s="21">
        <v>56</v>
      </c>
      <c r="B3905" t="str">
        <f>VLOOKUP(A3905,Products!$A$1:$F$322,2,FALSE)</f>
        <v>Trek Domane SLR 6 Disc - 2017</v>
      </c>
      <c r="C3905" s="21" t="e">
        <f>VLOOKUP(A3905,Products!A$322:$D3905,4,FALSE)</f>
        <v>#N/A</v>
      </c>
    </row>
    <row r="3906" spans="1:3" x14ac:dyDescent="0.35">
      <c r="A3906" s="21">
        <v>234</v>
      </c>
      <c r="B3906" t="str">
        <f>VLOOKUP(A3906,Products!$A$1:$F$322,2,FALSE)</f>
        <v>Electra Daydreamer 3i Ladies' - 2018</v>
      </c>
      <c r="C3906" s="21" t="e">
        <f>VLOOKUP(A3906,Products!A$322:$D3906,4,FALSE)</f>
        <v>#N/A</v>
      </c>
    </row>
    <row r="3907" spans="1:3" x14ac:dyDescent="0.35">
      <c r="A3907" s="21">
        <v>66</v>
      </c>
      <c r="B3907" t="str">
        <f>VLOOKUP(A3907,Products!$A$1:$F$322,2,FALSE)</f>
        <v>Sun Bicycles Revolutions 24 - 2017</v>
      </c>
      <c r="C3907" s="21" t="e">
        <f>VLOOKUP(A3907,Products!A$322:$D3907,4,FALSE)</f>
        <v>#N/A</v>
      </c>
    </row>
    <row r="3908" spans="1:3" x14ac:dyDescent="0.35">
      <c r="A3908" s="21">
        <v>60</v>
      </c>
      <c r="B3908" t="str">
        <f>VLOOKUP(A3908,Products!$A$1:$F$322,2,FALSE)</f>
        <v>Sun Bicycles ElectroLite - 2017</v>
      </c>
      <c r="C3908" s="21" t="e">
        <f>VLOOKUP(A3908,Products!A$322:$D3908,4,FALSE)</f>
        <v>#N/A</v>
      </c>
    </row>
    <row r="3909" spans="1:3" x14ac:dyDescent="0.35">
      <c r="A3909" s="21">
        <v>270</v>
      </c>
      <c r="B3909" t="str">
        <f>VLOOKUP(A3909,Products!$A$1:$F$322,2,FALSE)</f>
        <v>Trek Precaliber 16 Boy's - 2018</v>
      </c>
      <c r="C3909" s="21" t="e">
        <f>VLOOKUP(A3909,Products!A$322:$D3909,4,FALSE)</f>
        <v>#N/A</v>
      </c>
    </row>
    <row r="3910" spans="1:3" x14ac:dyDescent="0.35">
      <c r="A3910" s="21">
        <v>244</v>
      </c>
      <c r="B3910" t="str">
        <f>VLOOKUP(A3910,Products!$A$1:$F$322,2,FALSE)</f>
        <v>Electra Townie Original 21D Ladies' - 2018</v>
      </c>
      <c r="C3910" s="21" t="e">
        <f>VLOOKUP(A3910,Products!A$322:$D3910,4,FALSE)</f>
        <v>#N/A</v>
      </c>
    </row>
    <row r="3911" spans="1:3" x14ac:dyDescent="0.35">
      <c r="A3911" s="21">
        <v>99</v>
      </c>
      <c r="B3911" t="str">
        <f>VLOOKUP(A3911,Products!$A$1:$F$322,2,FALSE)</f>
        <v>Electra Sugar Skulls 1 (20-inch) - Girl's - 2017</v>
      </c>
      <c r="C3911" s="21" t="e">
        <f>VLOOKUP(A3911,Products!A$322:$D3911,4,FALSE)</f>
        <v>#N/A</v>
      </c>
    </row>
    <row r="3912" spans="1:3" x14ac:dyDescent="0.35">
      <c r="A3912" s="21">
        <v>184</v>
      </c>
      <c r="B3912" t="str">
        <f>VLOOKUP(A3912,Products!$A$1:$F$322,2,FALSE)</f>
        <v>Trek Domane SL 6 Disc - 2018</v>
      </c>
      <c r="C3912" s="21" t="e">
        <f>VLOOKUP(A3912,Products!A$322:$D3912,4,FALSE)</f>
        <v>#N/A</v>
      </c>
    </row>
    <row r="3913" spans="1:3" x14ac:dyDescent="0.35">
      <c r="A3913" s="21">
        <v>65</v>
      </c>
      <c r="B3913" t="str">
        <f>VLOOKUP(A3913,Products!$A$1:$F$322,2,FALSE)</f>
        <v>Sun Bicycles Lil Bolt Type-R - 2017</v>
      </c>
      <c r="C3913" s="21" t="e">
        <f>VLOOKUP(A3913,Products!A$322:$D3913,4,FALSE)</f>
        <v>#N/A</v>
      </c>
    </row>
    <row r="3914" spans="1:3" x14ac:dyDescent="0.35">
      <c r="A3914" s="21">
        <v>206</v>
      </c>
      <c r="B3914" t="str">
        <f>VLOOKUP(A3914,Products!$A$1:$F$322,2,FALSE)</f>
        <v>Trek Boone 5 Disc - 2018</v>
      </c>
      <c r="C3914" s="21" t="e">
        <f>VLOOKUP(A3914,Products!A$322:$D3914,4,FALSE)</f>
        <v>#N/A</v>
      </c>
    </row>
    <row r="3915" spans="1:3" x14ac:dyDescent="0.35">
      <c r="A3915" s="21">
        <v>77</v>
      </c>
      <c r="B3915" t="str">
        <f>VLOOKUP(A3915,Products!$A$1:$F$322,2,FALSE)</f>
        <v>Electra Glam Punk 3i Ladies' - 2017</v>
      </c>
      <c r="C3915" s="21" t="e">
        <f>VLOOKUP(A3915,Products!A$322:$D3915,4,FALSE)</f>
        <v>#N/A</v>
      </c>
    </row>
    <row r="3916" spans="1:3" x14ac:dyDescent="0.35">
      <c r="A3916" s="21">
        <v>103</v>
      </c>
      <c r="B3916" t="str">
        <f>VLOOKUP(A3916,Products!$A$1:$F$322,2,FALSE)</f>
        <v>Sun Bicycles Streamway 3 - 2017</v>
      </c>
      <c r="C3916" s="21" t="e">
        <f>VLOOKUP(A3916,Products!A$322:$D3916,4,FALSE)</f>
        <v>#N/A</v>
      </c>
    </row>
    <row r="3917" spans="1:3" x14ac:dyDescent="0.35">
      <c r="A3917" s="21">
        <v>3</v>
      </c>
      <c r="B3917" t="str">
        <f>VLOOKUP(A3917,Products!$A$1:$F$322,2,FALSE)</f>
        <v>Surly Wednesday Frameset - 2016</v>
      </c>
      <c r="C3917" s="21" t="e">
        <f>VLOOKUP(A3917,Products!A$322:$D3917,4,FALSE)</f>
        <v>#N/A</v>
      </c>
    </row>
    <row r="3918" spans="1:3" x14ac:dyDescent="0.35">
      <c r="A3918" s="21">
        <v>61</v>
      </c>
      <c r="B3918" t="str">
        <f>VLOOKUP(A3918,Products!$A$1:$F$322,2,FALSE)</f>
        <v>Trek Powerfly 8 FS Plus - 2017</v>
      </c>
      <c r="C3918" s="21" t="e">
        <f>VLOOKUP(A3918,Products!A$322:$D3918,4,FALSE)</f>
        <v>#N/A</v>
      </c>
    </row>
    <row r="3919" spans="1:3" x14ac:dyDescent="0.35">
      <c r="A3919" s="21">
        <v>40</v>
      </c>
      <c r="B3919" t="str">
        <f>VLOOKUP(A3919,Products!$A$1:$F$322,2,FALSE)</f>
        <v>Trek Fuel EX 9.8 29 - 2017</v>
      </c>
      <c r="C3919" s="21" t="e">
        <f>VLOOKUP(A3919,Products!A$322:$D3919,4,FALSE)</f>
        <v>#N/A</v>
      </c>
    </row>
    <row r="3920" spans="1:3" x14ac:dyDescent="0.35">
      <c r="A3920" s="21">
        <v>172</v>
      </c>
      <c r="B3920" t="str">
        <f>VLOOKUP(A3920,Products!$A$1:$F$322,2,FALSE)</f>
        <v>Trek Domane ALR Disc Frameset - 2018</v>
      </c>
      <c r="C3920" s="21" t="e">
        <f>VLOOKUP(A3920,Products!A$322:$D3920,4,FALSE)</f>
        <v>#N/A</v>
      </c>
    </row>
    <row r="3921" spans="1:3" x14ac:dyDescent="0.35">
      <c r="A3921" s="21">
        <v>164</v>
      </c>
      <c r="B3921" t="str">
        <f>VLOOKUP(A3921,Products!$A$1:$F$322,2,FALSE)</f>
        <v>Surly Straggler 650b - 2018</v>
      </c>
      <c r="C3921" s="21" t="e">
        <f>VLOOKUP(A3921,Products!A$322:$D3921,4,FALSE)</f>
        <v>#N/A</v>
      </c>
    </row>
    <row r="3922" spans="1:3" x14ac:dyDescent="0.35">
      <c r="A3922" s="21">
        <v>2</v>
      </c>
      <c r="B3922" t="str">
        <f>VLOOKUP(A3922,Products!$A$1:$F$322,2,FALSE)</f>
        <v>Ritchey Timberwolf Frameset - 2016</v>
      </c>
      <c r="C3922" s="21" t="e">
        <f>VLOOKUP(A3922,Products!A$322:$D3922,4,FALSE)</f>
        <v>#N/A</v>
      </c>
    </row>
    <row r="3923" spans="1:3" x14ac:dyDescent="0.35">
      <c r="A3923" s="21">
        <v>134</v>
      </c>
      <c r="B3923" t="str">
        <f>VLOOKUP(A3923,Products!$A$1:$F$322,2,FALSE)</f>
        <v>Trek Remedy 27.5 C Frameset - 2018</v>
      </c>
      <c r="C3923" s="21" t="e">
        <f>VLOOKUP(A3923,Products!A$322:$D3923,4,FALSE)</f>
        <v>#N/A</v>
      </c>
    </row>
    <row r="3924" spans="1:3" x14ac:dyDescent="0.35">
      <c r="A3924" s="21">
        <v>150</v>
      </c>
      <c r="B3924" t="str">
        <f>VLOOKUP(A3924,Products!$A$1:$F$322,2,FALSE)</f>
        <v>Trek Emonda SL 7 - 2018</v>
      </c>
      <c r="C3924" s="21" t="e">
        <f>VLOOKUP(A3924,Products!A$322:$D3924,4,FALSE)</f>
        <v>#N/A</v>
      </c>
    </row>
    <row r="3925" spans="1:3" x14ac:dyDescent="0.35">
      <c r="A3925" s="21">
        <v>18</v>
      </c>
      <c r="B3925" t="str">
        <f>VLOOKUP(A3925,Products!$A$1:$F$322,2,FALSE)</f>
        <v>Pure Cycles Western 3-Speed - Women's - 2015/2016</v>
      </c>
      <c r="C3925" s="21" t="e">
        <f>VLOOKUP(A3925,Products!A$322:$D3925,4,FALSE)</f>
        <v>#N/A</v>
      </c>
    </row>
    <row r="3926" spans="1:3" x14ac:dyDescent="0.35">
      <c r="A3926" s="21">
        <v>249</v>
      </c>
      <c r="B3926" t="str">
        <f>VLOOKUP(A3926,Products!$A$1:$F$322,2,FALSE)</f>
        <v>Electra White Water 3i - 2018</v>
      </c>
      <c r="C3926" s="21" t="e">
        <f>VLOOKUP(A3926,Products!A$322:$D3926,4,FALSE)</f>
        <v>#N/A</v>
      </c>
    </row>
    <row r="3927" spans="1:3" x14ac:dyDescent="0.35">
      <c r="A3927" s="21">
        <v>263</v>
      </c>
      <c r="B3927" t="str">
        <f>VLOOKUP(A3927,Products!$A$1:$F$322,2,FALSE)</f>
        <v>Strider Classic 12 Balance Bike - 2018</v>
      </c>
      <c r="C3927" s="21" t="e">
        <f>VLOOKUP(A3927,Products!A$322:$D3927,4,FALSE)</f>
        <v>#N/A</v>
      </c>
    </row>
    <row r="3928" spans="1:3" x14ac:dyDescent="0.35">
      <c r="A3928" s="21">
        <v>43</v>
      </c>
      <c r="B3928" t="str">
        <f>VLOOKUP(A3928,Products!$A$1:$F$322,2,FALSE)</f>
        <v>Trek Fuel EX 9.8 27.5 Plus - 2017</v>
      </c>
      <c r="C3928" s="21" t="e">
        <f>VLOOKUP(A3928,Products!A$322:$D3928,4,FALSE)</f>
        <v>#N/A</v>
      </c>
    </row>
    <row r="3929" spans="1:3" x14ac:dyDescent="0.35">
      <c r="A3929" s="21">
        <v>53</v>
      </c>
      <c r="B3929" t="str">
        <f>VLOOKUP(A3929,Products!$A$1:$F$322,2,FALSE)</f>
        <v>Surly Ogre Frameset - 2017</v>
      </c>
      <c r="C3929" s="21" t="e">
        <f>VLOOKUP(A3929,Products!A$322:$D3929,4,FALSE)</f>
        <v>#N/A</v>
      </c>
    </row>
    <row r="3930" spans="1:3" x14ac:dyDescent="0.35">
      <c r="A3930" s="21">
        <v>203</v>
      </c>
      <c r="B3930" t="str">
        <f>VLOOKUP(A3930,Products!$A$1:$F$322,2,FALSE)</f>
        <v>Trek Powerfly 7 FS - 2018</v>
      </c>
      <c r="C3930" s="21" t="e">
        <f>VLOOKUP(A3930,Products!A$322:$D3930,4,FALSE)</f>
        <v>#N/A</v>
      </c>
    </row>
    <row r="3931" spans="1:3" x14ac:dyDescent="0.35">
      <c r="A3931" s="21">
        <v>148</v>
      </c>
      <c r="B3931" t="str">
        <f>VLOOKUP(A3931,Products!$A$1:$F$322,2,FALSE)</f>
        <v>Trek Domane SL 8 Disc - 2018</v>
      </c>
      <c r="C3931" s="21" t="e">
        <f>VLOOKUP(A3931,Products!A$322:$D3931,4,FALSE)</f>
        <v>#N/A</v>
      </c>
    </row>
    <row r="3932" spans="1:3" x14ac:dyDescent="0.35">
      <c r="A3932" s="21">
        <v>58</v>
      </c>
      <c r="B3932" t="str">
        <f>VLOOKUP(A3932,Products!$A$1:$F$322,2,FALSE)</f>
        <v>Trek Madone 9.2 - 2017</v>
      </c>
      <c r="C3932" s="21" t="e">
        <f>VLOOKUP(A3932,Products!A$322:$D3932,4,FALSE)</f>
        <v>#N/A</v>
      </c>
    </row>
    <row r="3933" spans="1:3" x14ac:dyDescent="0.35">
      <c r="A3933" s="21">
        <v>147</v>
      </c>
      <c r="B3933" t="str">
        <f>VLOOKUP(A3933,Products!$A$1:$F$322,2,FALSE)</f>
        <v>Trek Domane ALR 5 Gravel - 2018</v>
      </c>
      <c r="C3933" s="21" t="e">
        <f>VLOOKUP(A3933,Products!A$322:$D3933,4,FALSE)</f>
        <v>#N/A</v>
      </c>
    </row>
    <row r="3934" spans="1:3" x14ac:dyDescent="0.35">
      <c r="A3934" s="21">
        <v>138</v>
      </c>
      <c r="B3934" t="str">
        <f>VLOOKUP(A3934,Products!$A$1:$F$322,2,FALSE)</f>
        <v>Trek Fuel EX 5 Plus - 2018</v>
      </c>
      <c r="C3934" s="21" t="e">
        <f>VLOOKUP(A3934,Products!A$322:$D3934,4,FALSE)</f>
        <v>#N/A</v>
      </c>
    </row>
    <row r="3935" spans="1:3" x14ac:dyDescent="0.35">
      <c r="A3935" s="21">
        <v>205</v>
      </c>
      <c r="B3935" t="str">
        <f>VLOOKUP(A3935,Products!$A$1:$F$322,2,FALSE)</f>
        <v>Trek Super Commuter+ 8S - 2018</v>
      </c>
      <c r="C3935" s="21" t="e">
        <f>VLOOKUP(A3935,Products!A$322:$D3935,4,FALSE)</f>
        <v>#N/A</v>
      </c>
    </row>
    <row r="3936" spans="1:3" x14ac:dyDescent="0.35">
      <c r="A3936" s="21">
        <v>168</v>
      </c>
      <c r="B3936" t="str">
        <f>VLOOKUP(A3936,Products!$A$1:$F$322,2,FALSE)</f>
        <v>Surly Straggler - 2018</v>
      </c>
      <c r="C3936" s="21" t="e">
        <f>VLOOKUP(A3936,Products!A$322:$D3936,4,FALSE)</f>
        <v>#N/A</v>
      </c>
    </row>
    <row r="3937" spans="1:3" x14ac:dyDescent="0.35">
      <c r="A3937" s="21">
        <v>184</v>
      </c>
      <c r="B3937" t="str">
        <f>VLOOKUP(A3937,Products!$A$1:$F$322,2,FALSE)</f>
        <v>Trek Domane SL 6 Disc - 2018</v>
      </c>
      <c r="C3937" s="21" t="e">
        <f>VLOOKUP(A3937,Products!A$322:$D3937,4,FALSE)</f>
        <v>#N/A</v>
      </c>
    </row>
    <row r="3938" spans="1:3" x14ac:dyDescent="0.35">
      <c r="A3938" s="21">
        <v>305</v>
      </c>
      <c r="B3938" t="str">
        <f>VLOOKUP(A3938,Products!$A$1:$F$322,2,FALSE)</f>
        <v>Electra Townie Balloon 3i EQ - 2017/2018</v>
      </c>
      <c r="C3938" s="21" t="e">
        <f>VLOOKUP(A3938,Products!A$322:$D3938,4,FALSE)</f>
        <v>#N/A</v>
      </c>
    </row>
    <row r="3939" spans="1:3" x14ac:dyDescent="0.35">
      <c r="A3939" s="21">
        <v>250</v>
      </c>
      <c r="B3939" t="str">
        <f>VLOOKUP(A3939,Products!$A$1:$F$322,2,FALSE)</f>
        <v>Electra Townie Go! 8i - 2017/2018</v>
      </c>
      <c r="C3939" s="21" t="e">
        <f>VLOOKUP(A3939,Products!A$322:$D3939,4,FALSE)</f>
        <v>#N/A</v>
      </c>
    </row>
    <row r="3940" spans="1:3" x14ac:dyDescent="0.35">
      <c r="A3940" s="21">
        <v>253</v>
      </c>
      <c r="B3940" t="str">
        <f>VLOOKUP(A3940,Products!$A$1:$F$322,2,FALSE)</f>
        <v>Electra Townie Go! 8i Ladies' - 2018</v>
      </c>
      <c r="C3940" s="21" t="e">
        <f>VLOOKUP(A3940,Products!A$322:$D3940,4,FALSE)</f>
        <v>#N/A</v>
      </c>
    </row>
    <row r="3941" spans="1:3" x14ac:dyDescent="0.35">
      <c r="A3941" s="21">
        <v>159</v>
      </c>
      <c r="B3941" t="str">
        <f>VLOOKUP(A3941,Products!$A$1:$F$322,2,FALSE)</f>
        <v>Trek Emonda ALR 6 - 2018</v>
      </c>
      <c r="C3941" s="21" t="e">
        <f>VLOOKUP(A3941,Products!A$322:$D3941,4,FALSE)</f>
        <v>#N/A</v>
      </c>
    </row>
    <row r="3942" spans="1:3" x14ac:dyDescent="0.35">
      <c r="A3942" s="21">
        <v>13</v>
      </c>
      <c r="B3942" t="str">
        <f>VLOOKUP(A3942,Products!$A$1:$F$322,2,FALSE)</f>
        <v>Electra Cruiser 1 (24-Inch) - 2016</v>
      </c>
      <c r="C3942" s="21" t="e">
        <f>VLOOKUP(A3942,Products!A$322:$D3942,4,FALSE)</f>
        <v>#N/A</v>
      </c>
    </row>
    <row r="3943" spans="1:3" x14ac:dyDescent="0.35">
      <c r="A3943" s="21">
        <v>297</v>
      </c>
      <c r="B3943" t="str">
        <f>VLOOKUP(A3943,Products!$A$1:$F$322,2,FALSE)</f>
        <v>Electra Under-The-Sea 1 16" - 2018</v>
      </c>
      <c r="C3943" s="21" t="e">
        <f>VLOOKUP(A3943,Products!A$322:$D3943,4,FALSE)</f>
        <v>#N/A</v>
      </c>
    </row>
    <row r="3944" spans="1:3" x14ac:dyDescent="0.35">
      <c r="A3944" s="21">
        <v>133</v>
      </c>
      <c r="B3944" t="str">
        <f>VLOOKUP(A3944,Products!$A$1:$F$322,2,FALSE)</f>
        <v>Trek Procaliber Frameset - 2018</v>
      </c>
      <c r="C3944" s="21" t="e">
        <f>VLOOKUP(A3944,Products!A$322:$D3944,4,FALSE)</f>
        <v>#N/A</v>
      </c>
    </row>
    <row r="3945" spans="1:3" x14ac:dyDescent="0.35">
      <c r="A3945" s="21">
        <v>136</v>
      </c>
      <c r="B3945" t="str">
        <f>VLOOKUP(A3945,Products!$A$1:$F$322,2,FALSE)</f>
        <v>Trek Procaliber 6 - 2018</v>
      </c>
      <c r="C3945" s="21" t="e">
        <f>VLOOKUP(A3945,Products!A$322:$D3945,4,FALSE)</f>
        <v>#N/A</v>
      </c>
    </row>
    <row r="3946" spans="1:3" x14ac:dyDescent="0.35">
      <c r="A3946" s="21">
        <v>52</v>
      </c>
      <c r="B3946" t="str">
        <f>VLOOKUP(A3946,Products!$A$1:$F$322,2,FALSE)</f>
        <v>Surly Steamroller - 2017</v>
      </c>
      <c r="C3946" s="21" t="e">
        <f>VLOOKUP(A3946,Products!A$322:$D3946,4,FALSE)</f>
        <v>#N/A</v>
      </c>
    </row>
    <row r="3947" spans="1:3" x14ac:dyDescent="0.35">
      <c r="A3947" s="21">
        <v>282</v>
      </c>
      <c r="B3947" t="str">
        <f>VLOOKUP(A3947,Products!$A$1:$F$322,2,FALSE)</f>
        <v>Electra Cyclosaurus 1 (16-inch) - Boy's - 2018</v>
      </c>
      <c r="C3947" s="21" t="e">
        <f>VLOOKUP(A3947,Products!A$322:$D3947,4,FALSE)</f>
        <v>#N/A</v>
      </c>
    </row>
    <row r="3948" spans="1:3" x14ac:dyDescent="0.35">
      <c r="A3948" s="21">
        <v>86</v>
      </c>
      <c r="B3948" t="str">
        <f>VLOOKUP(A3948,Products!$A$1:$F$322,2,FALSE)</f>
        <v>Trek Girl's Kickster - 2017</v>
      </c>
      <c r="C3948" s="21" t="e">
        <f>VLOOKUP(A3948,Products!A$322:$D3948,4,FALSE)</f>
        <v>#N/A</v>
      </c>
    </row>
    <row r="3949" spans="1:3" x14ac:dyDescent="0.35">
      <c r="A3949" s="21">
        <v>100</v>
      </c>
      <c r="B3949" t="str">
        <f>VLOOKUP(A3949,Products!$A$1:$F$322,2,FALSE)</f>
        <v>Electra Townie 3i EQ (20-inch) - Boys' - 2017</v>
      </c>
      <c r="C3949" s="21" t="e">
        <f>VLOOKUP(A3949,Products!A$322:$D3949,4,FALSE)</f>
        <v>#N/A</v>
      </c>
    </row>
    <row r="3950" spans="1:3" x14ac:dyDescent="0.35">
      <c r="A3950" s="21">
        <v>107</v>
      </c>
      <c r="B3950" t="str">
        <f>VLOOKUP(A3950,Products!$A$1:$F$322,2,FALSE)</f>
        <v>Sun Bicycles Cruz 7 - 2017</v>
      </c>
      <c r="C3950" s="21" t="e">
        <f>VLOOKUP(A3950,Products!A$322:$D3950,4,FALSE)</f>
        <v>#N/A</v>
      </c>
    </row>
    <row r="3951" spans="1:3" x14ac:dyDescent="0.35">
      <c r="A3951" s="21">
        <v>233</v>
      </c>
      <c r="B3951" t="str">
        <f>VLOOKUP(A3951,Products!$A$1:$F$322,2,FALSE)</f>
        <v>Electra Cruiser Lux Fat Tire 7D - 2018</v>
      </c>
      <c r="C3951" s="21" t="e">
        <f>VLOOKUP(A3951,Products!A$322:$D3951,4,FALSE)</f>
        <v>#N/A</v>
      </c>
    </row>
    <row r="3952" spans="1:3" x14ac:dyDescent="0.35">
      <c r="A3952" s="21">
        <v>300</v>
      </c>
      <c r="B3952" t="str">
        <f>VLOOKUP(A3952,Products!$A$1:$F$322,2,FALSE)</f>
        <v>Electra Townie Balloon 3i EQ Ladies' - 2018</v>
      </c>
      <c r="C3952" s="21" t="e">
        <f>VLOOKUP(A3952,Products!A$322:$D3952,4,FALSE)</f>
        <v>#N/A</v>
      </c>
    </row>
    <row r="3953" spans="1:3" x14ac:dyDescent="0.35">
      <c r="A3953" s="21">
        <v>86</v>
      </c>
      <c r="B3953" t="str">
        <f>VLOOKUP(A3953,Products!$A$1:$F$322,2,FALSE)</f>
        <v>Trek Girl's Kickster - 2017</v>
      </c>
      <c r="C3953" s="21" t="e">
        <f>VLOOKUP(A3953,Products!A$322:$D3953,4,FALSE)</f>
        <v>#N/A</v>
      </c>
    </row>
    <row r="3954" spans="1:3" x14ac:dyDescent="0.35">
      <c r="A3954" s="21">
        <v>166</v>
      </c>
      <c r="B3954" t="str">
        <f>VLOOKUP(A3954,Products!$A$1:$F$322,2,FALSE)</f>
        <v>Trek Domane AL 2 Women's - 2018</v>
      </c>
      <c r="C3954" s="21" t="e">
        <f>VLOOKUP(A3954,Products!A$322:$D3954,4,FALSE)</f>
        <v>#N/A</v>
      </c>
    </row>
    <row r="3955" spans="1:3" x14ac:dyDescent="0.35">
      <c r="A3955" s="21">
        <v>297</v>
      </c>
      <c r="B3955" t="str">
        <f>VLOOKUP(A3955,Products!$A$1:$F$322,2,FALSE)</f>
        <v>Electra Under-The-Sea 1 16" - 2018</v>
      </c>
      <c r="C3955" s="21" t="e">
        <f>VLOOKUP(A3955,Products!A$322:$D3955,4,FALSE)</f>
        <v>#N/A</v>
      </c>
    </row>
    <row r="3956" spans="1:3" x14ac:dyDescent="0.35">
      <c r="A3956" s="21">
        <v>253</v>
      </c>
      <c r="B3956" t="str">
        <f>VLOOKUP(A3956,Products!$A$1:$F$322,2,FALSE)</f>
        <v>Electra Townie Go! 8i Ladies' - 2018</v>
      </c>
      <c r="C3956" s="21" t="e">
        <f>VLOOKUP(A3956,Products!A$322:$D3956,4,FALSE)</f>
        <v>#N/A</v>
      </c>
    </row>
    <row r="3957" spans="1:3" x14ac:dyDescent="0.35">
      <c r="A3957" s="21">
        <v>149</v>
      </c>
      <c r="B3957" t="str">
        <f>VLOOKUP(A3957,Products!$A$1:$F$322,2,FALSE)</f>
        <v>Trek Domane SLR 8 Disc - 2018</v>
      </c>
      <c r="C3957" s="21" t="e">
        <f>VLOOKUP(A3957,Products!A$322:$D3957,4,FALSE)</f>
        <v>#N/A</v>
      </c>
    </row>
    <row r="3958" spans="1:3" x14ac:dyDescent="0.35">
      <c r="A3958" s="21">
        <v>313</v>
      </c>
      <c r="B3958" t="str">
        <f>VLOOKUP(A3958,Products!$A$1:$F$322,2,FALSE)</f>
        <v>Electra Townie Original 1 Ladies' - 2018</v>
      </c>
      <c r="C3958" s="21" t="e">
        <f>VLOOKUP(A3958,Products!A$322:$D3958,4,FALSE)</f>
        <v>#N/A</v>
      </c>
    </row>
    <row r="3959" spans="1:3" x14ac:dyDescent="0.35">
      <c r="A3959" s="21">
        <v>192</v>
      </c>
      <c r="B3959" t="str">
        <f>VLOOKUP(A3959,Products!$A$1:$F$322,2,FALSE)</f>
        <v>Electra Townie Go! 8i - 2017/2018</v>
      </c>
      <c r="C3959" s="21" t="e">
        <f>VLOOKUP(A3959,Products!A$322:$D3959,4,FALSE)</f>
        <v>#N/A</v>
      </c>
    </row>
    <row r="3960" spans="1:3" x14ac:dyDescent="0.35">
      <c r="A3960" s="21">
        <v>199</v>
      </c>
      <c r="B3960" t="str">
        <f>VLOOKUP(A3960,Products!$A$1:$F$322,2,FALSE)</f>
        <v>Electra Townie Commute Go! Ladies' - 2018</v>
      </c>
      <c r="C3960" s="21" t="e">
        <f>VLOOKUP(A3960,Products!A$322:$D3960,4,FALSE)</f>
        <v>#N/A</v>
      </c>
    </row>
    <row r="3961" spans="1:3" x14ac:dyDescent="0.35">
      <c r="A3961" s="21">
        <v>276</v>
      </c>
      <c r="B3961" t="str">
        <f>VLOOKUP(A3961,Products!$A$1:$F$322,2,FALSE)</f>
        <v>Trek Precaliber 24 (7-Speed) - Boys - 2018</v>
      </c>
      <c r="C3961" s="21" t="e">
        <f>VLOOKUP(A3961,Products!A$322:$D3961,4,FALSE)</f>
        <v>#N/A</v>
      </c>
    </row>
    <row r="3962" spans="1:3" x14ac:dyDescent="0.35">
      <c r="A3962" s="21">
        <v>145</v>
      </c>
      <c r="B3962" t="str">
        <f>VLOOKUP(A3962,Products!$A$1:$F$322,2,FALSE)</f>
        <v>Trek Domane ALR 5 Disc - 2018</v>
      </c>
      <c r="C3962" s="21" t="e">
        <f>VLOOKUP(A3962,Products!A$322:$D3962,4,FALSE)</f>
        <v>#N/A</v>
      </c>
    </row>
    <row r="3963" spans="1:3" x14ac:dyDescent="0.35">
      <c r="A3963" s="21">
        <v>60</v>
      </c>
      <c r="B3963" t="str">
        <f>VLOOKUP(A3963,Products!$A$1:$F$322,2,FALSE)</f>
        <v>Sun Bicycles ElectroLite - 2017</v>
      </c>
      <c r="C3963" s="21" t="e">
        <f>VLOOKUP(A3963,Products!A$322:$D3963,4,FALSE)</f>
        <v>#N/A</v>
      </c>
    </row>
    <row r="3964" spans="1:3" x14ac:dyDescent="0.35">
      <c r="A3964" s="21">
        <v>130</v>
      </c>
      <c r="B3964" t="str">
        <f>VLOOKUP(A3964,Products!$A$1:$F$322,2,FALSE)</f>
        <v>Trek Stache Carbon Frameset - 2018</v>
      </c>
      <c r="C3964" s="21" t="e">
        <f>VLOOKUP(A3964,Products!A$322:$D3964,4,FALSE)</f>
        <v>#N/A</v>
      </c>
    </row>
    <row r="3965" spans="1:3" x14ac:dyDescent="0.35">
      <c r="A3965" s="21">
        <v>257</v>
      </c>
      <c r="B3965" t="str">
        <f>VLOOKUP(A3965,Products!$A$1:$F$322,2,FALSE)</f>
        <v>Electra Amsterdam Fashion 3i Ladies' - 2017/2018</v>
      </c>
      <c r="C3965" s="21" t="e">
        <f>VLOOKUP(A3965,Products!A$322:$D3965,4,FALSE)</f>
        <v>#N/A</v>
      </c>
    </row>
    <row r="3966" spans="1:3" x14ac:dyDescent="0.35">
      <c r="A3966" s="21">
        <v>282</v>
      </c>
      <c r="B3966" t="str">
        <f>VLOOKUP(A3966,Products!$A$1:$F$322,2,FALSE)</f>
        <v>Electra Cyclosaurus 1 (16-inch) - Boy's - 2018</v>
      </c>
      <c r="C3966" s="21" t="e">
        <f>VLOOKUP(A3966,Products!A$322:$D3966,4,FALSE)</f>
        <v>#N/A</v>
      </c>
    </row>
    <row r="3967" spans="1:3" x14ac:dyDescent="0.35">
      <c r="A3967" s="21">
        <v>82</v>
      </c>
      <c r="B3967" t="str">
        <f>VLOOKUP(A3967,Products!$A$1:$F$322,2,FALSE)</f>
        <v>Electra Amsterdam Original 3i Ladies' - 2017</v>
      </c>
      <c r="C3967" s="21" t="e">
        <f>VLOOKUP(A3967,Products!A$322:$D3967,4,FALSE)</f>
        <v>#N/A</v>
      </c>
    </row>
    <row r="3968" spans="1:3" x14ac:dyDescent="0.35">
      <c r="A3968" s="21">
        <v>31</v>
      </c>
      <c r="B3968" t="str">
        <f>VLOOKUP(A3968,Products!$A$1:$F$322,2,FALSE)</f>
        <v>Surly Wednesday - 2017</v>
      </c>
      <c r="C3968" s="21" t="e">
        <f>VLOOKUP(A3968,Products!A$322:$D3968,4,FALSE)</f>
        <v>#N/A</v>
      </c>
    </row>
    <row r="3969" spans="1:3" x14ac:dyDescent="0.35">
      <c r="A3969" s="21">
        <v>307</v>
      </c>
      <c r="B3969" t="str">
        <f>VLOOKUP(A3969,Products!$A$1:$F$322,2,FALSE)</f>
        <v>Electra Townie Balloon 8D EQ - 2016/2017/2018</v>
      </c>
      <c r="C3969" s="21" t="e">
        <f>VLOOKUP(A3969,Products!A$322:$D3969,4,FALSE)</f>
        <v>#N/A</v>
      </c>
    </row>
    <row r="3970" spans="1:3" x14ac:dyDescent="0.35">
      <c r="A3970" s="21">
        <v>153</v>
      </c>
      <c r="B3970" t="str">
        <f>VLOOKUP(A3970,Products!$A$1:$F$322,2,FALSE)</f>
        <v>Trek Domane SL 7 Women's - 2018</v>
      </c>
      <c r="C3970" s="21" t="e">
        <f>VLOOKUP(A3970,Products!A$322:$D3970,4,FALSE)</f>
        <v>#N/A</v>
      </c>
    </row>
    <row r="3971" spans="1:3" x14ac:dyDescent="0.35">
      <c r="A3971" s="21">
        <v>163</v>
      </c>
      <c r="B3971" t="str">
        <f>VLOOKUP(A3971,Products!$A$1:$F$322,2,FALSE)</f>
        <v>Surly Pack Rat - 2018</v>
      </c>
      <c r="C3971" s="21" t="e">
        <f>VLOOKUP(A3971,Products!A$322:$D3971,4,FALSE)</f>
        <v>#N/A</v>
      </c>
    </row>
    <row r="3972" spans="1:3" x14ac:dyDescent="0.35">
      <c r="A3972" s="21">
        <v>27</v>
      </c>
      <c r="B3972" t="str">
        <f>VLOOKUP(A3972,Products!$A$1:$F$322,2,FALSE)</f>
        <v>Surly Big Dummy Frameset - 2017</v>
      </c>
      <c r="C3972" s="21" t="e">
        <f>VLOOKUP(A3972,Products!A$322:$D3972,4,FALSE)</f>
        <v>#N/A</v>
      </c>
    </row>
    <row r="3973" spans="1:3" x14ac:dyDescent="0.35">
      <c r="A3973" s="21">
        <v>204</v>
      </c>
      <c r="B3973" t="str">
        <f>VLOOKUP(A3973,Products!$A$1:$F$322,2,FALSE)</f>
        <v>Trek Super Commuter+ 7 - 2018</v>
      </c>
      <c r="C3973" s="21" t="e">
        <f>VLOOKUP(A3973,Products!A$322:$D3973,4,FALSE)</f>
        <v>#N/A</v>
      </c>
    </row>
    <row r="3974" spans="1:3" x14ac:dyDescent="0.35">
      <c r="A3974" s="21">
        <v>4</v>
      </c>
      <c r="B3974" t="str">
        <f>VLOOKUP(A3974,Products!$A$1:$F$322,2,FALSE)</f>
        <v>Trek Fuel EX 8 29 - 2016</v>
      </c>
      <c r="C3974" s="21" t="e">
        <f>VLOOKUP(A3974,Products!A$322:$D3974,4,FALSE)</f>
        <v>#N/A</v>
      </c>
    </row>
    <row r="3975" spans="1:3" x14ac:dyDescent="0.35">
      <c r="A3975" s="21">
        <v>66</v>
      </c>
      <c r="B3975" t="str">
        <f>VLOOKUP(A3975,Products!$A$1:$F$322,2,FALSE)</f>
        <v>Sun Bicycles Revolutions 24 - 2017</v>
      </c>
      <c r="C3975" s="21" t="e">
        <f>VLOOKUP(A3975,Products!A$322:$D3975,4,FALSE)</f>
        <v>#N/A</v>
      </c>
    </row>
    <row r="3976" spans="1:3" x14ac:dyDescent="0.35">
      <c r="A3976" s="21">
        <v>78</v>
      </c>
      <c r="B3976" t="str">
        <f>VLOOKUP(A3976,Products!$A$1:$F$322,2,FALSE)</f>
        <v>Sun Bicycles Biscayne Tandem CB - 2017</v>
      </c>
      <c r="C3976" s="21" t="e">
        <f>VLOOKUP(A3976,Products!A$322:$D3976,4,FALSE)</f>
        <v>#N/A</v>
      </c>
    </row>
    <row r="3977" spans="1:3" x14ac:dyDescent="0.35">
      <c r="A3977" s="21">
        <v>155</v>
      </c>
      <c r="B3977" t="str">
        <f>VLOOKUP(A3977,Products!$A$1:$F$322,2,FALSE)</f>
        <v>Trek Domane SLR 9 Disc - 2018</v>
      </c>
      <c r="C3977" s="21" t="e">
        <f>VLOOKUP(A3977,Products!A$322:$D3977,4,FALSE)</f>
        <v>#N/A</v>
      </c>
    </row>
    <row r="3978" spans="1:3" x14ac:dyDescent="0.35">
      <c r="A3978" s="21">
        <v>152</v>
      </c>
      <c r="B3978" t="str">
        <f>VLOOKUP(A3978,Products!$A$1:$F$322,2,FALSE)</f>
        <v>Trek Domane SL 5 Disc Women's - 2018</v>
      </c>
      <c r="C3978" s="21" t="e">
        <f>VLOOKUP(A3978,Products!A$322:$D3978,4,FALSE)</f>
        <v>#N/A</v>
      </c>
    </row>
    <row r="3979" spans="1:3" x14ac:dyDescent="0.35">
      <c r="A3979" s="21">
        <v>110</v>
      </c>
      <c r="B3979" t="str">
        <f>VLOOKUP(A3979,Products!$A$1:$F$322,2,FALSE)</f>
        <v>Sun Bicycles Drifter 7 - 2017</v>
      </c>
      <c r="C3979" s="21" t="e">
        <f>VLOOKUP(A3979,Products!A$322:$D3979,4,FALSE)</f>
        <v>#N/A</v>
      </c>
    </row>
    <row r="3980" spans="1:3" x14ac:dyDescent="0.35">
      <c r="A3980" s="21">
        <v>144</v>
      </c>
      <c r="B3980" t="str">
        <f>VLOOKUP(A3980,Products!$A$1:$F$322,2,FALSE)</f>
        <v>Trek Domane ALR 4 Disc - 2018</v>
      </c>
      <c r="C3980" s="21" t="e">
        <f>VLOOKUP(A3980,Products!A$322:$D3980,4,FALSE)</f>
        <v>#N/A</v>
      </c>
    </row>
    <row r="3981" spans="1:3" x14ac:dyDescent="0.35">
      <c r="A3981" s="21">
        <v>58</v>
      </c>
      <c r="B3981" t="str">
        <f>VLOOKUP(A3981,Products!$A$1:$F$322,2,FALSE)</f>
        <v>Trek Madone 9.2 - 2017</v>
      </c>
      <c r="C3981" s="21" t="e">
        <f>VLOOKUP(A3981,Products!A$322:$D3981,4,FALSE)</f>
        <v>#N/A</v>
      </c>
    </row>
    <row r="3982" spans="1:3" x14ac:dyDescent="0.35">
      <c r="A3982" s="21">
        <v>236</v>
      </c>
      <c r="B3982" t="str">
        <f>VLOOKUP(A3982,Products!$A$1:$F$322,2,FALSE)</f>
        <v>Electra Morningstar 3i Ladies' - 2018</v>
      </c>
      <c r="C3982" s="21" t="e">
        <f>VLOOKUP(A3982,Products!A$322:$D3982,4,FALSE)</f>
        <v>#N/A</v>
      </c>
    </row>
    <row r="3983" spans="1:3" x14ac:dyDescent="0.35">
      <c r="A3983" s="21">
        <v>115</v>
      </c>
      <c r="B3983" t="str">
        <f>VLOOKUP(A3983,Products!$A$1:$F$322,2,FALSE)</f>
        <v>Trek Fuel EX 8 29 - 2018</v>
      </c>
      <c r="C3983" s="21" t="e">
        <f>VLOOKUP(A3983,Products!A$322:$D3983,4,FALSE)</f>
        <v>#N/A</v>
      </c>
    </row>
    <row r="3984" spans="1:3" x14ac:dyDescent="0.35">
      <c r="A3984" s="21">
        <v>128</v>
      </c>
      <c r="B3984" t="str">
        <f>VLOOKUP(A3984,Products!$A$1:$F$322,2,FALSE)</f>
        <v>Surly ECR 27.5 - 2018</v>
      </c>
      <c r="C3984" s="21" t="e">
        <f>VLOOKUP(A3984,Products!A$322:$D3984,4,FALSE)</f>
        <v>#N/A</v>
      </c>
    </row>
    <row r="3985" spans="1:3" x14ac:dyDescent="0.35">
      <c r="A3985" s="21">
        <v>200</v>
      </c>
      <c r="B3985" t="str">
        <f>VLOOKUP(A3985,Products!$A$1:$F$322,2,FALSE)</f>
        <v>Trek Powerfly 5 - 2018</v>
      </c>
      <c r="C3985" s="21" t="e">
        <f>VLOOKUP(A3985,Products!A$322:$D3985,4,FALSE)</f>
        <v>#N/A</v>
      </c>
    </row>
    <row r="3986" spans="1:3" x14ac:dyDescent="0.35">
      <c r="A3986" s="21">
        <v>132</v>
      </c>
      <c r="B3986" t="str">
        <f>VLOOKUP(A3986,Products!$A$1:$F$322,2,FALSE)</f>
        <v>Trek Procal AL Frameset - 2018</v>
      </c>
      <c r="C3986" s="21" t="e">
        <f>VLOOKUP(A3986,Products!A$322:$D3986,4,FALSE)</f>
        <v>#N/A</v>
      </c>
    </row>
    <row r="3987" spans="1:3" x14ac:dyDescent="0.35">
      <c r="A3987" s="21">
        <v>131</v>
      </c>
      <c r="B3987" t="str">
        <f>VLOOKUP(A3987,Products!$A$1:$F$322,2,FALSE)</f>
        <v>Heller Bloodhound Trail - 2018</v>
      </c>
      <c r="C3987" s="21" t="e">
        <f>VLOOKUP(A3987,Products!A$322:$D3987,4,FALSE)</f>
        <v>#N/A</v>
      </c>
    </row>
    <row r="3988" spans="1:3" x14ac:dyDescent="0.35">
      <c r="A3988" s="21">
        <v>124</v>
      </c>
      <c r="B3988" t="str">
        <f>VLOOKUP(A3988,Products!$A$1:$F$322,2,FALSE)</f>
        <v>Surly Krampus - 2018</v>
      </c>
      <c r="C3988" s="21" t="e">
        <f>VLOOKUP(A3988,Products!A$322:$D3988,4,FALSE)</f>
        <v>#N/A</v>
      </c>
    </row>
    <row r="3989" spans="1:3" x14ac:dyDescent="0.35">
      <c r="A3989" s="21">
        <v>24</v>
      </c>
      <c r="B3989" t="str">
        <f>VLOOKUP(A3989,Products!$A$1:$F$322,2,FALSE)</f>
        <v>Electra Townie Original 21D - 2016</v>
      </c>
      <c r="C3989" s="21" t="e">
        <f>VLOOKUP(A3989,Products!A$322:$D3989,4,FALSE)</f>
        <v>#N/A</v>
      </c>
    </row>
    <row r="3990" spans="1:3" x14ac:dyDescent="0.35">
      <c r="A3990" s="21">
        <v>66</v>
      </c>
      <c r="B3990" t="str">
        <f>VLOOKUP(A3990,Products!$A$1:$F$322,2,FALSE)</f>
        <v>Sun Bicycles Revolutions 24 - 2017</v>
      </c>
      <c r="C3990" s="21" t="e">
        <f>VLOOKUP(A3990,Products!A$322:$D3990,4,FALSE)</f>
        <v>#N/A</v>
      </c>
    </row>
    <row r="3991" spans="1:3" x14ac:dyDescent="0.35">
      <c r="A3991" s="21">
        <v>113</v>
      </c>
      <c r="B3991" t="str">
        <f>VLOOKUP(A3991,Products!$A$1:$F$322,2,FALSE)</f>
        <v>Trek Marlin 5 - 2018</v>
      </c>
      <c r="C3991" s="21" t="e">
        <f>VLOOKUP(A3991,Products!A$322:$D3991,4,FALSE)</f>
        <v>#N/A</v>
      </c>
    </row>
    <row r="3992" spans="1:3" x14ac:dyDescent="0.35">
      <c r="A3992" s="21">
        <v>186</v>
      </c>
      <c r="B3992" t="str">
        <f>VLOOKUP(A3992,Products!$A$1:$F$322,2,FALSE)</f>
        <v>Trek CrossRip+ - 2018</v>
      </c>
      <c r="C3992" s="21" t="e">
        <f>VLOOKUP(A3992,Products!A$322:$D3992,4,FALSE)</f>
        <v>#N/A</v>
      </c>
    </row>
    <row r="3993" spans="1:3" x14ac:dyDescent="0.35">
      <c r="A3993" s="21">
        <v>213</v>
      </c>
      <c r="B3993" t="str">
        <f>VLOOKUP(A3993,Products!$A$1:$F$322,2,FALSE)</f>
        <v>Electra Cruiser 1 - 2016/2017/2018</v>
      </c>
      <c r="C3993" s="21" t="e">
        <f>VLOOKUP(A3993,Products!A$322:$D3993,4,FALSE)</f>
        <v>#N/A</v>
      </c>
    </row>
    <row r="3994" spans="1:3" x14ac:dyDescent="0.35">
      <c r="A3994" s="21">
        <v>7</v>
      </c>
      <c r="B3994" t="str">
        <f>VLOOKUP(A3994,Products!$A$1:$F$322,2,FALSE)</f>
        <v>Trek Slash 8 27.5 - 2016</v>
      </c>
      <c r="C3994" s="21" t="e">
        <f>VLOOKUP(A3994,Products!A$322:$D3994,4,FALSE)</f>
        <v>#N/A</v>
      </c>
    </row>
    <row r="3995" spans="1:3" x14ac:dyDescent="0.35">
      <c r="A3995" s="21">
        <v>89</v>
      </c>
      <c r="B3995" t="str">
        <f>VLOOKUP(A3995,Products!$A$1:$F$322,2,FALSE)</f>
        <v>Trek Precaliber 16 Boys - 2017</v>
      </c>
      <c r="C3995" s="21" t="e">
        <f>VLOOKUP(A3995,Products!A$322:$D3995,4,FALSE)</f>
        <v>#N/A</v>
      </c>
    </row>
    <row r="3996" spans="1:3" x14ac:dyDescent="0.35">
      <c r="A3996" s="21">
        <v>208</v>
      </c>
      <c r="B3996" t="str">
        <f>VLOOKUP(A3996,Products!$A$1:$F$322,2,FALSE)</f>
        <v>Trek Crockett 5 Disc - 2018</v>
      </c>
      <c r="C3996" s="21" t="e">
        <f>VLOOKUP(A3996,Products!A$322:$D3996,4,FALSE)</f>
        <v>#N/A</v>
      </c>
    </row>
    <row r="3997" spans="1:3" x14ac:dyDescent="0.35">
      <c r="A3997" s="21">
        <v>134</v>
      </c>
      <c r="B3997" t="str">
        <f>VLOOKUP(A3997,Products!$A$1:$F$322,2,FALSE)</f>
        <v>Trek Remedy 27.5 C Frameset - 2018</v>
      </c>
      <c r="C3997" s="21" t="e">
        <f>VLOOKUP(A3997,Products!A$322:$D3997,4,FALSE)</f>
        <v>#N/A</v>
      </c>
    </row>
    <row r="3998" spans="1:3" x14ac:dyDescent="0.35">
      <c r="A3998" s="21">
        <v>223</v>
      </c>
      <c r="B3998" t="str">
        <f>VLOOKUP(A3998,Products!$A$1:$F$322,2,FALSE)</f>
        <v>Electra Cruiser Lux 3i - 2018</v>
      </c>
      <c r="C3998" s="21" t="e">
        <f>VLOOKUP(A3998,Products!A$322:$D3998,4,FALSE)</f>
        <v>#N/A</v>
      </c>
    </row>
    <row r="3999" spans="1:3" x14ac:dyDescent="0.35">
      <c r="A3999" s="21">
        <v>8</v>
      </c>
      <c r="B3999" t="str">
        <f>VLOOKUP(A3999,Products!$A$1:$F$322,2,FALSE)</f>
        <v>Trek Remedy 29 Carbon Frameset - 2016</v>
      </c>
      <c r="C3999" s="21" t="e">
        <f>VLOOKUP(A3999,Products!A$322:$D3999,4,FALSE)</f>
        <v>#N/A</v>
      </c>
    </row>
    <row r="4000" spans="1:3" x14ac:dyDescent="0.35">
      <c r="A4000" s="21">
        <v>307</v>
      </c>
      <c r="B4000" t="str">
        <f>VLOOKUP(A4000,Products!$A$1:$F$322,2,FALSE)</f>
        <v>Electra Townie Balloon 8D EQ - 2016/2017/2018</v>
      </c>
      <c r="C4000" s="21" t="e">
        <f>VLOOKUP(A4000,Products!A$322:$D4000,4,FALSE)</f>
        <v>#N/A</v>
      </c>
    </row>
    <row r="4001" spans="1:3" x14ac:dyDescent="0.35">
      <c r="A4001" s="21">
        <v>283</v>
      </c>
      <c r="B4001" t="str">
        <f>VLOOKUP(A4001,Products!$A$1:$F$322,2,FALSE)</f>
        <v>Electra Heartchya 1 (20-inch) - Girl's - 2018</v>
      </c>
      <c r="C4001" s="21" t="e">
        <f>VLOOKUP(A4001,Products!A$322:$D4001,4,FALSE)</f>
        <v>#N/A</v>
      </c>
    </row>
    <row r="4002" spans="1:3" x14ac:dyDescent="0.35">
      <c r="A4002" s="21">
        <v>63</v>
      </c>
      <c r="B4002" t="str">
        <f>VLOOKUP(A4002,Products!$A$1:$F$322,2,FALSE)</f>
        <v>Trek Boone Race Shop Limited - 2017</v>
      </c>
      <c r="C4002" s="21" t="e">
        <f>VLOOKUP(A4002,Products!A$322:$D4002,4,FALSE)</f>
        <v>#N/A</v>
      </c>
    </row>
    <row r="4003" spans="1:3" x14ac:dyDescent="0.35">
      <c r="A4003" s="21">
        <v>181</v>
      </c>
      <c r="B4003" t="str">
        <f>VLOOKUP(A4003,Products!$A$1:$F$322,2,FALSE)</f>
        <v>Trek Domane SL 5 - 2018</v>
      </c>
      <c r="C4003" s="21" t="e">
        <f>VLOOKUP(A4003,Products!A$322:$D4003,4,FALSE)</f>
        <v>#N/A</v>
      </c>
    </row>
    <row r="4004" spans="1:3" x14ac:dyDescent="0.35">
      <c r="A4004" s="21">
        <v>130</v>
      </c>
      <c r="B4004" t="str">
        <f>VLOOKUP(A4004,Products!$A$1:$F$322,2,FALSE)</f>
        <v>Trek Stache Carbon Frameset - 2018</v>
      </c>
      <c r="C4004" s="21" t="e">
        <f>VLOOKUP(A4004,Products!A$322:$D4004,4,FALSE)</f>
        <v>#N/A</v>
      </c>
    </row>
    <row r="4005" spans="1:3" x14ac:dyDescent="0.35">
      <c r="A4005" s="21">
        <v>147</v>
      </c>
      <c r="B4005" t="str">
        <f>VLOOKUP(A4005,Products!$A$1:$F$322,2,FALSE)</f>
        <v>Trek Domane ALR 5 Gravel - 2018</v>
      </c>
      <c r="C4005" s="21" t="e">
        <f>VLOOKUP(A4005,Products!A$322:$D4005,4,FALSE)</f>
        <v>#N/A</v>
      </c>
    </row>
    <row r="4006" spans="1:3" x14ac:dyDescent="0.35">
      <c r="A4006" s="21">
        <v>182</v>
      </c>
      <c r="B4006" t="str">
        <f>VLOOKUP(A4006,Products!$A$1:$F$322,2,FALSE)</f>
        <v>Trek Domane SL 5 Disc - 2018</v>
      </c>
      <c r="C4006" s="21" t="e">
        <f>VLOOKUP(A4006,Products!A$322:$D4006,4,FALSE)</f>
        <v>#N/A</v>
      </c>
    </row>
    <row r="4007" spans="1:3" x14ac:dyDescent="0.35">
      <c r="A4007" s="21">
        <v>5</v>
      </c>
      <c r="B4007" t="str">
        <f>VLOOKUP(A4007,Products!$A$1:$F$322,2,FALSE)</f>
        <v>Heller Shagamaw Frame - 2016</v>
      </c>
      <c r="C4007" s="21" t="e">
        <f>VLOOKUP(A4007,Products!A$322:$D4007,4,FALSE)</f>
        <v>#N/A</v>
      </c>
    </row>
    <row r="4008" spans="1:3" x14ac:dyDescent="0.35">
      <c r="A4008" s="21">
        <v>153</v>
      </c>
      <c r="B4008" t="str">
        <f>VLOOKUP(A4008,Products!$A$1:$F$322,2,FALSE)</f>
        <v>Trek Domane SL 7 Women's - 2018</v>
      </c>
      <c r="C4008" s="21" t="e">
        <f>VLOOKUP(A4008,Products!A$322:$D4008,4,FALSE)</f>
        <v>#N/A</v>
      </c>
    </row>
    <row r="4009" spans="1:3" x14ac:dyDescent="0.35">
      <c r="A4009" s="21">
        <v>130</v>
      </c>
      <c r="B4009" t="str">
        <f>VLOOKUP(A4009,Products!$A$1:$F$322,2,FALSE)</f>
        <v>Trek Stache Carbon Frameset - 2018</v>
      </c>
      <c r="C4009" s="21" t="e">
        <f>VLOOKUP(A4009,Products!A$322:$D4009,4,FALSE)</f>
        <v>#N/A</v>
      </c>
    </row>
    <row r="4010" spans="1:3" x14ac:dyDescent="0.35">
      <c r="A4010" s="21">
        <v>48</v>
      </c>
      <c r="B4010" t="str">
        <f>VLOOKUP(A4010,Products!$A$1:$F$322,2,FALSE)</f>
        <v>Trek Emonda S 4 - 2017</v>
      </c>
      <c r="C4010" s="21" t="e">
        <f>VLOOKUP(A4010,Products!A$322:$D4010,4,FALSE)</f>
        <v>#N/A</v>
      </c>
    </row>
    <row r="4011" spans="1:3" x14ac:dyDescent="0.35">
      <c r="A4011" s="21">
        <v>188</v>
      </c>
      <c r="B4011" t="str">
        <f>VLOOKUP(A4011,Products!$A$1:$F$322,2,FALSE)</f>
        <v>Trek XM700+ Lowstep - 2018</v>
      </c>
      <c r="C4011" s="21" t="e">
        <f>VLOOKUP(A4011,Products!A$322:$D4011,4,FALSE)</f>
        <v>#N/A</v>
      </c>
    </row>
    <row r="4012" spans="1:3" x14ac:dyDescent="0.35">
      <c r="A4012" s="21">
        <v>96</v>
      </c>
      <c r="B4012" t="str">
        <f>VLOOKUP(A4012,Products!$A$1:$F$322,2,FALSE)</f>
        <v>Electra Moto 3i (20-inch) - Boy's - 2017</v>
      </c>
      <c r="C4012" s="21" t="e">
        <f>VLOOKUP(A4012,Products!A$322:$D4012,4,FALSE)</f>
        <v>#N/A</v>
      </c>
    </row>
    <row r="4013" spans="1:3" x14ac:dyDescent="0.35">
      <c r="A4013" s="21">
        <v>142</v>
      </c>
      <c r="B4013" t="str">
        <f>VLOOKUP(A4013,Products!$A$1:$F$322,2,FALSE)</f>
        <v>Trek Fuel EX 8 29 XT - 2018</v>
      </c>
      <c r="C4013" s="21" t="e">
        <f>VLOOKUP(A4013,Products!A$322:$D4013,4,FALSE)</f>
        <v>#N/A</v>
      </c>
    </row>
    <row r="4014" spans="1:3" x14ac:dyDescent="0.35">
      <c r="A4014" s="21">
        <v>2</v>
      </c>
      <c r="B4014" t="str">
        <f>VLOOKUP(A4014,Products!$A$1:$F$322,2,FALSE)</f>
        <v>Ritchey Timberwolf Frameset - 2016</v>
      </c>
      <c r="C4014" s="21" t="e">
        <f>VLOOKUP(A4014,Products!A$322:$D4014,4,FALSE)</f>
        <v>#N/A</v>
      </c>
    </row>
    <row r="4015" spans="1:3" x14ac:dyDescent="0.35">
      <c r="A4015" s="21">
        <v>110</v>
      </c>
      <c r="B4015" t="str">
        <f>VLOOKUP(A4015,Products!$A$1:$F$322,2,FALSE)</f>
        <v>Sun Bicycles Drifter 7 - 2017</v>
      </c>
      <c r="C4015" s="21" t="e">
        <f>VLOOKUP(A4015,Products!A$322:$D4015,4,FALSE)</f>
        <v>#N/A</v>
      </c>
    </row>
    <row r="4016" spans="1:3" x14ac:dyDescent="0.35">
      <c r="A4016" s="21">
        <v>129</v>
      </c>
      <c r="B4016" t="str">
        <f>VLOOKUP(A4016,Products!$A$1:$F$322,2,FALSE)</f>
        <v>Trek X-Caliber 7 - 2018</v>
      </c>
      <c r="C4016" s="21" t="e">
        <f>VLOOKUP(A4016,Products!A$322:$D4016,4,FALSE)</f>
        <v>#N/A</v>
      </c>
    </row>
    <row r="4017" spans="1:3" x14ac:dyDescent="0.35">
      <c r="A4017" s="21">
        <v>15</v>
      </c>
      <c r="B4017" t="str">
        <f>VLOOKUP(A4017,Products!$A$1:$F$322,2,FALSE)</f>
        <v>Electra Moto 1 - 2016</v>
      </c>
      <c r="C4017" s="21" t="e">
        <f>VLOOKUP(A4017,Products!A$322:$D4017,4,FALSE)</f>
        <v>#N/A</v>
      </c>
    </row>
    <row r="4018" spans="1:3" x14ac:dyDescent="0.35">
      <c r="A4018" s="21">
        <v>118</v>
      </c>
      <c r="B4018" t="str">
        <f>VLOOKUP(A4018,Products!$A$1:$F$322,2,FALSE)</f>
        <v>Trek X-Caliber 8 - 2018</v>
      </c>
      <c r="C4018" s="21" t="e">
        <f>VLOOKUP(A4018,Products!A$322:$D4018,4,FALSE)</f>
        <v>#N/A</v>
      </c>
    </row>
    <row r="4019" spans="1:3" x14ac:dyDescent="0.35">
      <c r="A4019" s="21">
        <v>263</v>
      </c>
      <c r="B4019" t="str">
        <f>VLOOKUP(A4019,Products!$A$1:$F$322,2,FALSE)</f>
        <v>Strider Classic 12 Balance Bike - 2018</v>
      </c>
      <c r="C4019" s="21" t="e">
        <f>VLOOKUP(A4019,Products!A$322:$D4019,4,FALSE)</f>
        <v>#N/A</v>
      </c>
    </row>
    <row r="4020" spans="1:3" x14ac:dyDescent="0.35">
      <c r="A4020" s="21">
        <v>255</v>
      </c>
      <c r="B4020" t="str">
        <f>VLOOKUP(A4020,Products!$A$1:$F$322,2,FALSE)</f>
        <v>Electra Townie Balloon 7i EQ Ladies' - 2017/2018</v>
      </c>
      <c r="C4020" s="21" t="e">
        <f>VLOOKUP(A4020,Products!A$322:$D4020,4,FALSE)</f>
        <v>#N/A</v>
      </c>
    </row>
    <row r="4021" spans="1:3" x14ac:dyDescent="0.35">
      <c r="A4021" s="21">
        <v>229</v>
      </c>
      <c r="B4021" t="str">
        <f>VLOOKUP(A4021,Products!$A$1:$F$322,2,FALSE)</f>
        <v>Electra Cruiser Lux 1 - 2016/2018</v>
      </c>
      <c r="C4021" s="21" t="e">
        <f>VLOOKUP(A4021,Products!A$322:$D4021,4,FALSE)</f>
        <v>#N/A</v>
      </c>
    </row>
    <row r="4022" spans="1:3" x14ac:dyDescent="0.35">
      <c r="A4022" s="21">
        <v>274</v>
      </c>
      <c r="B4022" t="str">
        <f>VLOOKUP(A4022,Products!$A$1:$F$322,2,FALSE)</f>
        <v>Trek Precaliber 20 Boy's - 2018</v>
      </c>
      <c r="C4022" s="21" t="e">
        <f>VLOOKUP(A4022,Products!A$322:$D4022,4,FALSE)</f>
        <v>#N/A</v>
      </c>
    </row>
    <row r="4023" spans="1:3" x14ac:dyDescent="0.35">
      <c r="A4023" s="21">
        <v>214</v>
      </c>
      <c r="B4023" t="str">
        <f>VLOOKUP(A4023,Products!$A$1:$F$322,2,FALSE)</f>
        <v>Electra Tiger Shark 3i - 2018</v>
      </c>
      <c r="C4023" s="21" t="e">
        <f>VLOOKUP(A4023,Products!A$322:$D4023,4,FALSE)</f>
        <v>#N/A</v>
      </c>
    </row>
    <row r="4024" spans="1:3" x14ac:dyDescent="0.35">
      <c r="A4024" s="21">
        <v>232</v>
      </c>
      <c r="B4024" t="str">
        <f>VLOOKUP(A4024,Products!$A$1:$F$322,2,FALSE)</f>
        <v>Electra Cruiser Lux 7D Ladies' - 2018</v>
      </c>
      <c r="C4024" s="21" t="e">
        <f>VLOOKUP(A4024,Products!A$322:$D4024,4,FALSE)</f>
        <v>#N/A</v>
      </c>
    </row>
    <row r="4025" spans="1:3" x14ac:dyDescent="0.35">
      <c r="A4025" s="21">
        <v>81</v>
      </c>
      <c r="B4025" t="str">
        <f>VLOOKUP(A4025,Products!$A$1:$F$322,2,FALSE)</f>
        <v>Electra Amsterdam Fashion 7i Ladies' - 2017</v>
      </c>
      <c r="C4025" s="21" t="e">
        <f>VLOOKUP(A4025,Products!A$322:$D4025,4,FALSE)</f>
        <v>#N/A</v>
      </c>
    </row>
    <row r="4026" spans="1:3" x14ac:dyDescent="0.35">
      <c r="A4026" s="21">
        <v>225</v>
      </c>
      <c r="B4026" t="str">
        <f>VLOOKUP(A4026,Products!$A$1:$F$322,2,FALSE)</f>
        <v>Electra Delivery 3i - 2016/2017/2018</v>
      </c>
      <c r="C4026" s="21" t="e">
        <f>VLOOKUP(A4026,Products!A$322:$D4026,4,FALSE)</f>
        <v>#N/A</v>
      </c>
    </row>
    <row r="4027" spans="1:3" x14ac:dyDescent="0.35">
      <c r="A4027" s="21">
        <v>135</v>
      </c>
      <c r="B4027" t="str">
        <f>VLOOKUP(A4027,Products!$A$1:$F$322,2,FALSE)</f>
        <v>Trek X-Caliber Frameset - 2018</v>
      </c>
      <c r="C4027" s="21" t="e">
        <f>VLOOKUP(A4027,Products!A$322:$D4027,4,FALSE)</f>
        <v>#N/A</v>
      </c>
    </row>
    <row r="4028" spans="1:3" x14ac:dyDescent="0.35">
      <c r="A4028" s="21">
        <v>238</v>
      </c>
      <c r="B4028" t="str">
        <f>VLOOKUP(A4028,Products!$A$1:$F$322,2,FALSE)</f>
        <v>Electra Townie Balloon 8D EQ - 2016/2017/2018</v>
      </c>
      <c r="C4028" s="21" t="e">
        <f>VLOOKUP(A4028,Products!A$322:$D4028,4,FALSE)</f>
        <v>#N/A</v>
      </c>
    </row>
    <row r="4029" spans="1:3" x14ac:dyDescent="0.35">
      <c r="A4029" s="21">
        <v>188</v>
      </c>
      <c r="B4029" t="str">
        <f>VLOOKUP(A4029,Products!$A$1:$F$322,2,FALSE)</f>
        <v>Trek XM700+ Lowstep - 2018</v>
      </c>
      <c r="C4029" s="21" t="e">
        <f>VLOOKUP(A4029,Products!A$322:$D4029,4,FALSE)</f>
        <v>#N/A</v>
      </c>
    </row>
    <row r="4030" spans="1:3" x14ac:dyDescent="0.35">
      <c r="A4030" s="21">
        <v>65</v>
      </c>
      <c r="B4030" t="str">
        <f>VLOOKUP(A4030,Products!$A$1:$F$322,2,FALSE)</f>
        <v>Sun Bicycles Lil Bolt Type-R - 2017</v>
      </c>
      <c r="C4030" s="21" t="e">
        <f>VLOOKUP(A4030,Products!A$322:$D4030,4,FALSE)</f>
        <v>#N/A</v>
      </c>
    </row>
    <row r="4031" spans="1:3" x14ac:dyDescent="0.35">
      <c r="A4031" s="21">
        <v>32</v>
      </c>
      <c r="B4031" t="str">
        <f>VLOOKUP(A4031,Products!$A$1:$F$322,2,FALSE)</f>
        <v>Trek Farley Alloy Frameset - 2017</v>
      </c>
      <c r="C4031" s="21" t="e">
        <f>VLOOKUP(A4031,Products!A$322:$D4031,4,FALSE)</f>
        <v>#N/A</v>
      </c>
    </row>
    <row r="4032" spans="1:3" x14ac:dyDescent="0.35">
      <c r="A4032" s="21">
        <v>142</v>
      </c>
      <c r="B4032" t="str">
        <f>VLOOKUP(A4032,Products!$A$1:$F$322,2,FALSE)</f>
        <v>Trek Fuel EX 8 29 XT - 2018</v>
      </c>
      <c r="C4032" s="21" t="e">
        <f>VLOOKUP(A4032,Products!A$322:$D4032,4,FALSE)</f>
        <v>#N/A</v>
      </c>
    </row>
    <row r="4033" spans="1:3" x14ac:dyDescent="0.35">
      <c r="A4033" s="21">
        <v>89</v>
      </c>
      <c r="B4033" t="str">
        <f>VLOOKUP(A4033,Products!$A$1:$F$322,2,FALSE)</f>
        <v>Trek Precaliber 16 Boys - 2017</v>
      </c>
      <c r="C4033" s="21" t="e">
        <f>VLOOKUP(A4033,Products!A$322:$D4033,4,FALSE)</f>
        <v>#N/A</v>
      </c>
    </row>
    <row r="4034" spans="1:3" x14ac:dyDescent="0.35">
      <c r="A4034" s="21">
        <v>97</v>
      </c>
      <c r="B4034" t="str">
        <f>VLOOKUP(A4034,Products!$A$1:$F$322,2,FALSE)</f>
        <v>Electra Savannah 3i (20-inch) - Girl's - 2017</v>
      </c>
      <c r="C4034" s="21" t="e">
        <f>VLOOKUP(A4034,Products!A$322:$D4034,4,FALSE)</f>
        <v>#N/A</v>
      </c>
    </row>
    <row r="4035" spans="1:3" x14ac:dyDescent="0.35">
      <c r="A4035" s="21">
        <v>24</v>
      </c>
      <c r="B4035" t="str">
        <f>VLOOKUP(A4035,Products!$A$1:$F$322,2,FALSE)</f>
        <v>Electra Townie Original 21D - 2016</v>
      </c>
      <c r="C4035" s="21" t="e">
        <f>VLOOKUP(A4035,Products!A$322:$D4035,4,FALSE)</f>
        <v>#N/A</v>
      </c>
    </row>
    <row r="4036" spans="1:3" x14ac:dyDescent="0.35">
      <c r="A4036" s="21">
        <v>145</v>
      </c>
      <c r="B4036" t="str">
        <f>VLOOKUP(A4036,Products!$A$1:$F$322,2,FALSE)</f>
        <v>Trek Domane ALR 5 Disc - 2018</v>
      </c>
      <c r="C4036" s="21" t="e">
        <f>VLOOKUP(A4036,Products!A$322:$D4036,4,FALSE)</f>
        <v>#N/A</v>
      </c>
    </row>
    <row r="4037" spans="1:3" x14ac:dyDescent="0.35">
      <c r="A4037" s="21">
        <v>39</v>
      </c>
      <c r="B4037" t="str">
        <f>VLOOKUP(A4037,Products!$A$1:$F$322,2,FALSE)</f>
        <v>Trek Stache 5 - 2017</v>
      </c>
      <c r="C4037" s="21" t="e">
        <f>VLOOKUP(A4037,Products!A$322:$D4037,4,FALSE)</f>
        <v>#N/A</v>
      </c>
    </row>
    <row r="4038" spans="1:3" x14ac:dyDescent="0.35">
      <c r="A4038" s="21">
        <v>135</v>
      </c>
      <c r="B4038" t="str">
        <f>VLOOKUP(A4038,Products!$A$1:$F$322,2,FALSE)</f>
        <v>Trek X-Caliber Frameset - 2018</v>
      </c>
      <c r="C4038" s="21" t="e">
        <f>VLOOKUP(A4038,Products!A$322:$D4038,4,FALSE)</f>
        <v>#N/A</v>
      </c>
    </row>
    <row r="4039" spans="1:3" x14ac:dyDescent="0.35">
      <c r="A4039" s="21">
        <v>292</v>
      </c>
      <c r="B4039" t="str">
        <f>VLOOKUP(A4039,Products!$A$1:$F$322,2,FALSE)</f>
        <v>Electra Sweet Ride 3i (20-inch) - Girls' - 2018</v>
      </c>
      <c r="C4039" s="21" t="e">
        <f>VLOOKUP(A4039,Products!A$322:$D4039,4,FALSE)</f>
        <v>#N/A</v>
      </c>
    </row>
    <row r="4040" spans="1:3" x14ac:dyDescent="0.35">
      <c r="A4040" s="21">
        <v>262</v>
      </c>
      <c r="B4040" t="str">
        <f>VLOOKUP(A4040,Products!$A$1:$F$322,2,FALSE)</f>
        <v>Trek MT 201 - 2018</v>
      </c>
      <c r="C4040" s="21" t="e">
        <f>VLOOKUP(A4040,Products!A$322:$D4040,4,FALSE)</f>
        <v>#N/A</v>
      </c>
    </row>
    <row r="4041" spans="1:3" x14ac:dyDescent="0.35">
      <c r="A4041" s="21">
        <v>306</v>
      </c>
      <c r="B4041" t="str">
        <f>VLOOKUP(A4041,Products!$A$1:$F$322,2,FALSE)</f>
        <v>Electra Townie Balloon 7i EQ Ladies' - 2017/2018</v>
      </c>
      <c r="C4041" s="21" t="e">
        <f>VLOOKUP(A4041,Products!A$322:$D4041,4,FALSE)</f>
        <v>#N/A</v>
      </c>
    </row>
    <row r="4042" spans="1:3" x14ac:dyDescent="0.35">
      <c r="A4042" s="21">
        <v>150</v>
      </c>
      <c r="B4042" t="str">
        <f>VLOOKUP(A4042,Products!$A$1:$F$322,2,FALSE)</f>
        <v>Trek Emonda SL 7 - 2018</v>
      </c>
      <c r="C4042" s="21" t="e">
        <f>VLOOKUP(A4042,Products!A$322:$D4042,4,FALSE)</f>
        <v>#N/A</v>
      </c>
    </row>
    <row r="4043" spans="1:3" x14ac:dyDescent="0.35">
      <c r="A4043" s="21">
        <v>106</v>
      </c>
      <c r="B4043" t="str">
        <f>VLOOKUP(A4043,Products!$A$1:$F$322,2,FALSE)</f>
        <v>Sun Bicycles Cruz 3 - 2017</v>
      </c>
      <c r="C4043" s="21" t="e">
        <f>VLOOKUP(A4043,Products!A$322:$D4043,4,FALSE)</f>
        <v>#N/A</v>
      </c>
    </row>
    <row r="4044" spans="1:3" x14ac:dyDescent="0.35">
      <c r="A4044" s="21">
        <v>251</v>
      </c>
      <c r="B4044" t="str">
        <f>VLOOKUP(A4044,Products!$A$1:$F$322,2,FALSE)</f>
        <v>Electra Townie Commute Go! - 2018</v>
      </c>
      <c r="C4044" s="21" t="e">
        <f>VLOOKUP(A4044,Products!A$322:$D4044,4,FALSE)</f>
        <v>#N/A</v>
      </c>
    </row>
    <row r="4045" spans="1:3" x14ac:dyDescent="0.35">
      <c r="A4045" s="21">
        <v>85</v>
      </c>
      <c r="B4045" t="str">
        <f>VLOOKUP(A4045,Products!$A$1:$F$322,2,FALSE)</f>
        <v>Haro Downtown 16 - 2017</v>
      </c>
      <c r="C4045" s="21" t="e">
        <f>VLOOKUP(A4045,Products!A$322:$D4045,4,FALSE)</f>
        <v>#N/A</v>
      </c>
    </row>
    <row r="4046" spans="1:3" x14ac:dyDescent="0.35">
      <c r="A4046" s="21">
        <v>171</v>
      </c>
      <c r="B4046" t="str">
        <f>VLOOKUP(A4046,Products!$A$1:$F$322,2,FALSE)</f>
        <v>Trek Domane SL 6 - 2018</v>
      </c>
      <c r="C4046" s="21" t="e">
        <f>VLOOKUP(A4046,Products!A$322:$D4046,4,FALSE)</f>
        <v>#N/A</v>
      </c>
    </row>
    <row r="4047" spans="1:3" x14ac:dyDescent="0.35">
      <c r="A4047" s="21">
        <v>227</v>
      </c>
      <c r="B4047" t="str">
        <f>VLOOKUP(A4047,Products!$A$1:$F$322,2,FALSE)</f>
        <v>Electra Cruiser 7D (24-Inch) Ladies' - 2016/2018</v>
      </c>
      <c r="C4047" s="21" t="e">
        <f>VLOOKUP(A4047,Products!A$322:$D4047,4,FALSE)</f>
        <v>#N/A</v>
      </c>
    </row>
    <row r="4048" spans="1:3" x14ac:dyDescent="0.35">
      <c r="A4048" s="21">
        <v>41</v>
      </c>
      <c r="B4048" t="str">
        <f>VLOOKUP(A4048,Products!$A$1:$F$322,2,FALSE)</f>
        <v>Haro Shift R3 - 2017</v>
      </c>
      <c r="C4048" s="21" t="e">
        <f>VLOOKUP(A4048,Products!A$322:$D4048,4,FALSE)</f>
        <v>#N/A</v>
      </c>
    </row>
    <row r="4049" spans="1:3" x14ac:dyDescent="0.35">
      <c r="A4049" s="21">
        <v>27</v>
      </c>
      <c r="B4049" t="str">
        <f>VLOOKUP(A4049,Products!$A$1:$F$322,2,FALSE)</f>
        <v>Surly Big Dummy Frameset - 2017</v>
      </c>
      <c r="C4049" s="21" t="e">
        <f>VLOOKUP(A4049,Products!A$322:$D4049,4,FALSE)</f>
        <v>#N/A</v>
      </c>
    </row>
    <row r="4050" spans="1:3" x14ac:dyDescent="0.35">
      <c r="A4050" s="21">
        <v>306</v>
      </c>
      <c r="B4050" t="str">
        <f>VLOOKUP(A4050,Products!$A$1:$F$322,2,FALSE)</f>
        <v>Electra Townie Balloon 7i EQ Ladies' - 2017/2018</v>
      </c>
      <c r="C4050" s="21" t="e">
        <f>VLOOKUP(A4050,Products!A$322:$D4050,4,FALSE)</f>
        <v>#N/A</v>
      </c>
    </row>
    <row r="4051" spans="1:3" x14ac:dyDescent="0.35">
      <c r="A4051" s="21">
        <v>104</v>
      </c>
      <c r="B4051" t="str">
        <f>VLOOKUP(A4051,Products!$A$1:$F$322,2,FALSE)</f>
        <v>Sun Bicycles Streamway - 2017</v>
      </c>
      <c r="C4051" s="21" t="e">
        <f>VLOOKUP(A4051,Products!A$322:$D4051,4,FALSE)</f>
        <v>#N/A</v>
      </c>
    </row>
    <row r="4052" spans="1:3" x14ac:dyDescent="0.35">
      <c r="A4052" s="21">
        <v>147</v>
      </c>
      <c r="B4052" t="str">
        <f>VLOOKUP(A4052,Products!$A$1:$F$322,2,FALSE)</f>
        <v>Trek Domane ALR 5 Gravel - 2018</v>
      </c>
      <c r="C4052" s="21" t="e">
        <f>VLOOKUP(A4052,Products!A$322:$D4052,4,FALSE)</f>
        <v>#N/A</v>
      </c>
    </row>
    <row r="4053" spans="1:3" x14ac:dyDescent="0.35">
      <c r="A4053" s="21">
        <v>223</v>
      </c>
      <c r="B4053" t="str">
        <f>VLOOKUP(A4053,Products!$A$1:$F$322,2,FALSE)</f>
        <v>Electra Cruiser Lux 3i - 2018</v>
      </c>
      <c r="C4053" s="21" t="e">
        <f>VLOOKUP(A4053,Products!A$322:$D4053,4,FALSE)</f>
        <v>#N/A</v>
      </c>
    </row>
    <row r="4054" spans="1:3" x14ac:dyDescent="0.35">
      <c r="A4054" s="21">
        <v>295</v>
      </c>
      <c r="B4054" t="str">
        <f>VLOOKUP(A4054,Products!$A$1:$F$322,2,FALSE)</f>
        <v>Electra Treasure 1 20" - 2018</v>
      </c>
      <c r="C4054" s="21" t="e">
        <f>VLOOKUP(A4054,Products!A$322:$D4054,4,FALSE)</f>
        <v>#N/A</v>
      </c>
    </row>
    <row r="4055" spans="1:3" x14ac:dyDescent="0.35">
      <c r="A4055" s="21">
        <v>277</v>
      </c>
      <c r="B4055" t="str">
        <f>VLOOKUP(A4055,Products!$A$1:$F$322,2,FALSE)</f>
        <v>Trek Precaliber 24 21-speed Boy's - 2018</v>
      </c>
      <c r="C4055" s="21" t="e">
        <f>VLOOKUP(A4055,Products!A$322:$D4055,4,FALSE)</f>
        <v>#N/A</v>
      </c>
    </row>
    <row r="4056" spans="1:3" x14ac:dyDescent="0.35">
      <c r="A4056" s="21">
        <v>87</v>
      </c>
      <c r="B4056" t="str">
        <f>VLOOKUP(A4056,Products!$A$1:$F$322,2,FALSE)</f>
        <v>Trek Precaliber 12 Boys - 2017</v>
      </c>
      <c r="C4056" s="21" t="e">
        <f>VLOOKUP(A4056,Products!A$322:$D4056,4,FALSE)</f>
        <v>#N/A</v>
      </c>
    </row>
    <row r="4057" spans="1:3" x14ac:dyDescent="0.35">
      <c r="A4057" s="21">
        <v>240</v>
      </c>
      <c r="B4057" t="str">
        <f>VLOOKUP(A4057,Products!$A$1:$F$322,2,FALSE)</f>
        <v>Electra Townie Commute 27D Ladies - 2018</v>
      </c>
      <c r="C4057" s="21" t="e">
        <f>VLOOKUP(A4057,Products!A$322:$D4057,4,FALSE)</f>
        <v>#N/A</v>
      </c>
    </row>
    <row r="4058" spans="1:3" x14ac:dyDescent="0.35">
      <c r="A4058" s="21">
        <v>92</v>
      </c>
      <c r="B4058" t="str">
        <f>VLOOKUP(A4058,Products!$A$1:$F$322,2,FALSE)</f>
        <v>Haro Shredder 20 - 2017</v>
      </c>
      <c r="C4058" s="21" t="e">
        <f>VLOOKUP(A4058,Products!A$322:$D4058,4,FALSE)</f>
        <v>#N/A</v>
      </c>
    </row>
    <row r="4059" spans="1:3" x14ac:dyDescent="0.35">
      <c r="A4059" s="21">
        <v>82</v>
      </c>
      <c r="B4059" t="str">
        <f>VLOOKUP(A4059,Products!$A$1:$F$322,2,FALSE)</f>
        <v>Electra Amsterdam Original 3i Ladies' - 2017</v>
      </c>
      <c r="C4059" s="21" t="e">
        <f>VLOOKUP(A4059,Products!A$322:$D4059,4,FALSE)</f>
        <v>#N/A</v>
      </c>
    </row>
    <row r="4060" spans="1:3" x14ac:dyDescent="0.35">
      <c r="A4060" s="21">
        <v>47</v>
      </c>
      <c r="B4060" t="str">
        <f>VLOOKUP(A4060,Products!$A$1:$F$322,2,FALSE)</f>
        <v>Trek Remedy 9.8 - 2017</v>
      </c>
      <c r="C4060" s="21" t="e">
        <f>VLOOKUP(A4060,Products!A$322:$D4060,4,FALSE)</f>
        <v>#N/A</v>
      </c>
    </row>
    <row r="4061" spans="1:3" x14ac:dyDescent="0.35">
      <c r="A4061" s="21">
        <v>268</v>
      </c>
      <c r="B4061" t="str">
        <f>VLOOKUP(A4061,Products!$A$1:$F$322,2,FALSE)</f>
        <v>Trek Kickster - 2018</v>
      </c>
      <c r="C4061" s="21" t="e">
        <f>VLOOKUP(A4061,Products!A$322:$D4061,4,FALSE)</f>
        <v>#N/A</v>
      </c>
    </row>
    <row r="4062" spans="1:3" x14ac:dyDescent="0.35">
      <c r="A4062" s="21">
        <v>165</v>
      </c>
      <c r="B4062" t="str">
        <f>VLOOKUP(A4062,Products!$A$1:$F$322,2,FALSE)</f>
        <v>Trek 1120 - 2018</v>
      </c>
      <c r="C4062" s="21" t="e">
        <f>VLOOKUP(A4062,Products!A$322:$D4062,4,FALSE)</f>
        <v>#N/A</v>
      </c>
    </row>
    <row r="4063" spans="1:3" x14ac:dyDescent="0.35">
      <c r="A4063" s="21">
        <v>204</v>
      </c>
      <c r="B4063" t="str">
        <f>VLOOKUP(A4063,Products!$A$1:$F$322,2,FALSE)</f>
        <v>Trek Super Commuter+ 7 - 2018</v>
      </c>
      <c r="C4063" s="21" t="e">
        <f>VLOOKUP(A4063,Products!A$322:$D4063,4,FALSE)</f>
        <v>#N/A</v>
      </c>
    </row>
    <row r="4064" spans="1:3" x14ac:dyDescent="0.35">
      <c r="A4064" s="21">
        <v>48</v>
      </c>
      <c r="B4064" t="str">
        <f>VLOOKUP(A4064,Products!$A$1:$F$322,2,FALSE)</f>
        <v>Trek Emonda S 4 - 2017</v>
      </c>
      <c r="C4064" s="21" t="e">
        <f>VLOOKUP(A4064,Products!A$322:$D4064,4,FALSE)</f>
        <v>#N/A</v>
      </c>
    </row>
    <row r="4065" spans="1:3" x14ac:dyDescent="0.35">
      <c r="A4065" s="21">
        <v>180</v>
      </c>
      <c r="B4065" t="str">
        <f>VLOOKUP(A4065,Products!$A$1:$F$322,2,FALSE)</f>
        <v>Trek Domane AL 3 Women's - 2018</v>
      </c>
      <c r="C4065" s="21" t="e">
        <f>VLOOKUP(A4065,Products!A$322:$D4065,4,FALSE)</f>
        <v>#N/A</v>
      </c>
    </row>
    <row r="4066" spans="1:3" x14ac:dyDescent="0.35">
      <c r="A4066" s="21">
        <v>226</v>
      </c>
      <c r="B4066" t="str">
        <f>VLOOKUP(A4066,Products!$A$1:$F$322,2,FALSE)</f>
        <v>Electra Townie Original 21D EQ - 2017/2018</v>
      </c>
      <c r="C4066" s="21" t="e">
        <f>VLOOKUP(A4066,Products!A$322:$D4066,4,FALSE)</f>
        <v>#N/A</v>
      </c>
    </row>
    <row r="4067" spans="1:3" x14ac:dyDescent="0.35">
      <c r="A4067" s="21">
        <v>57</v>
      </c>
      <c r="B4067" t="str">
        <f>VLOOKUP(A4067,Products!$A$1:$F$322,2,FALSE)</f>
        <v>Trek Emonda S 5 - 2017</v>
      </c>
      <c r="C4067" s="21" t="e">
        <f>VLOOKUP(A4067,Products!A$322:$D4067,4,FALSE)</f>
        <v>#N/A</v>
      </c>
    </row>
    <row r="4068" spans="1:3" x14ac:dyDescent="0.35">
      <c r="A4068" s="21">
        <v>181</v>
      </c>
      <c r="B4068" t="str">
        <f>VLOOKUP(A4068,Products!$A$1:$F$322,2,FALSE)</f>
        <v>Trek Domane SL 5 - 2018</v>
      </c>
      <c r="C4068" s="21" t="e">
        <f>VLOOKUP(A4068,Products!A$322:$D4068,4,FALSE)</f>
        <v>#N/A</v>
      </c>
    </row>
    <row r="4069" spans="1:3" x14ac:dyDescent="0.35">
      <c r="A4069" s="21">
        <v>127</v>
      </c>
      <c r="B4069" t="str">
        <f>VLOOKUP(A4069,Products!$A$1:$F$322,2,FALSE)</f>
        <v>Surly Pack Rat Frameset - 2018</v>
      </c>
      <c r="C4069" s="21" t="e">
        <f>VLOOKUP(A4069,Products!A$322:$D4069,4,FALSE)</f>
        <v>#N/A</v>
      </c>
    </row>
    <row r="4070" spans="1:3" x14ac:dyDescent="0.35">
      <c r="A4070" s="21">
        <v>139</v>
      </c>
      <c r="B4070" t="str">
        <f>VLOOKUP(A4070,Products!$A$1:$F$322,2,FALSE)</f>
        <v>Trek Remedy 7 27.5 - 2018</v>
      </c>
      <c r="C4070" s="21" t="e">
        <f>VLOOKUP(A4070,Products!A$322:$D4070,4,FALSE)</f>
        <v>#N/A</v>
      </c>
    </row>
    <row r="4071" spans="1:3" x14ac:dyDescent="0.35">
      <c r="A4071" s="21">
        <v>7</v>
      </c>
      <c r="B4071" t="str">
        <f>VLOOKUP(A4071,Products!$A$1:$F$322,2,FALSE)</f>
        <v>Trek Slash 8 27.5 - 2016</v>
      </c>
      <c r="C4071" s="21" t="e">
        <f>VLOOKUP(A4071,Products!A$322:$D4071,4,FALSE)</f>
        <v>#N/A</v>
      </c>
    </row>
    <row r="4072" spans="1:3" x14ac:dyDescent="0.35">
      <c r="A4072" s="21">
        <v>249</v>
      </c>
      <c r="B4072" t="str">
        <f>VLOOKUP(A4072,Products!$A$1:$F$322,2,FALSE)</f>
        <v>Electra White Water 3i - 2018</v>
      </c>
      <c r="C4072" s="21" t="e">
        <f>VLOOKUP(A4072,Products!A$322:$D4072,4,FALSE)</f>
        <v>#N/A</v>
      </c>
    </row>
    <row r="4073" spans="1:3" x14ac:dyDescent="0.35">
      <c r="A4073" s="21">
        <v>78</v>
      </c>
      <c r="B4073" t="str">
        <f>VLOOKUP(A4073,Products!$A$1:$F$322,2,FALSE)</f>
        <v>Sun Bicycles Biscayne Tandem CB - 2017</v>
      </c>
      <c r="C4073" s="21" t="e">
        <f>VLOOKUP(A4073,Products!A$322:$D4073,4,FALSE)</f>
        <v>#N/A</v>
      </c>
    </row>
    <row r="4074" spans="1:3" x14ac:dyDescent="0.35">
      <c r="A4074" s="21">
        <v>69</v>
      </c>
      <c r="B4074" t="str">
        <f>VLOOKUP(A4074,Products!$A$1:$F$322,2,FALSE)</f>
        <v>Sun Bicycles Cruz 7 - 2017</v>
      </c>
      <c r="C4074" s="21" t="e">
        <f>VLOOKUP(A4074,Products!A$322:$D4074,4,FALSE)</f>
        <v>#N/A</v>
      </c>
    </row>
    <row r="4075" spans="1:3" x14ac:dyDescent="0.35">
      <c r="A4075" s="21">
        <v>53</v>
      </c>
      <c r="B4075" t="str">
        <f>VLOOKUP(A4075,Products!$A$1:$F$322,2,FALSE)</f>
        <v>Surly Ogre Frameset - 2017</v>
      </c>
      <c r="C4075" s="21" t="e">
        <f>VLOOKUP(A4075,Products!A$322:$D4075,4,FALSE)</f>
        <v>#N/A</v>
      </c>
    </row>
    <row r="4076" spans="1:3" x14ac:dyDescent="0.35">
      <c r="A4076" s="21">
        <v>210</v>
      </c>
      <c r="B4076" t="str">
        <f>VLOOKUP(A4076,Products!$A$1:$F$322,2,FALSE)</f>
        <v>Surly Straggler - 2018</v>
      </c>
      <c r="C4076" s="21" t="e">
        <f>VLOOKUP(A4076,Products!A$322:$D4076,4,FALSE)</f>
        <v>#N/A</v>
      </c>
    </row>
    <row r="4077" spans="1:3" x14ac:dyDescent="0.35">
      <c r="A4077" s="21">
        <v>224</v>
      </c>
      <c r="B4077" t="str">
        <f>VLOOKUP(A4077,Products!$A$1:$F$322,2,FALSE)</f>
        <v>Electra Cruiser Lux 7D - 2018</v>
      </c>
      <c r="C4077" s="21" t="e">
        <f>VLOOKUP(A4077,Products!A$322:$D4077,4,FALSE)</f>
        <v>#N/A</v>
      </c>
    </row>
    <row r="4078" spans="1:3" x14ac:dyDescent="0.35">
      <c r="A4078" s="21">
        <v>127</v>
      </c>
      <c r="B4078" t="str">
        <f>VLOOKUP(A4078,Products!$A$1:$F$322,2,FALSE)</f>
        <v>Surly Pack Rat Frameset - 2018</v>
      </c>
      <c r="C4078" s="21" t="e">
        <f>VLOOKUP(A4078,Products!A$322:$D4078,4,FALSE)</f>
        <v>#N/A</v>
      </c>
    </row>
    <row r="4079" spans="1:3" x14ac:dyDescent="0.35">
      <c r="A4079" s="21">
        <v>28</v>
      </c>
      <c r="B4079" t="str">
        <f>VLOOKUP(A4079,Products!$A$1:$F$322,2,FALSE)</f>
        <v>Surly Karate Monkey 27.5+ Frameset - 2017</v>
      </c>
      <c r="C4079" s="21" t="e">
        <f>VLOOKUP(A4079,Products!A$322:$D4079,4,FALSE)</f>
        <v>#N/A</v>
      </c>
    </row>
    <row r="4080" spans="1:3" x14ac:dyDescent="0.35">
      <c r="A4080" s="21">
        <v>24</v>
      </c>
      <c r="B4080" t="str">
        <f>VLOOKUP(A4080,Products!$A$1:$F$322,2,FALSE)</f>
        <v>Electra Townie Original 21D - 2016</v>
      </c>
      <c r="C4080" s="21" t="e">
        <f>VLOOKUP(A4080,Products!A$322:$D4080,4,FALSE)</f>
        <v>#N/A</v>
      </c>
    </row>
    <row r="4081" spans="1:3" x14ac:dyDescent="0.35">
      <c r="A4081" s="21">
        <v>217</v>
      </c>
      <c r="B4081" t="str">
        <f>VLOOKUP(A4081,Products!$A$1:$F$322,2,FALSE)</f>
        <v>Electra Straight 8 3i - 2018</v>
      </c>
      <c r="C4081" s="21" t="e">
        <f>VLOOKUP(A4081,Products!A$322:$D4081,4,FALSE)</f>
        <v>#N/A</v>
      </c>
    </row>
    <row r="4082" spans="1:3" x14ac:dyDescent="0.35">
      <c r="A4082" s="21">
        <v>275</v>
      </c>
      <c r="B4082" t="str">
        <f>VLOOKUP(A4082,Products!$A$1:$F$322,2,FALSE)</f>
        <v>Trek Precaliber 20 Girl's - 2018</v>
      </c>
      <c r="C4082" s="21" t="e">
        <f>VLOOKUP(A4082,Products!A$322:$D4082,4,FALSE)</f>
        <v>#N/A</v>
      </c>
    </row>
    <row r="4083" spans="1:3" x14ac:dyDescent="0.35">
      <c r="A4083" s="21">
        <v>90</v>
      </c>
      <c r="B4083" t="str">
        <f>VLOOKUP(A4083,Products!$A$1:$F$322,2,FALSE)</f>
        <v>Trek Precaliber 16 Girls - 2017</v>
      </c>
      <c r="C4083" s="21" t="e">
        <f>VLOOKUP(A4083,Products!A$322:$D4083,4,FALSE)</f>
        <v>#N/A</v>
      </c>
    </row>
    <row r="4084" spans="1:3" x14ac:dyDescent="0.35">
      <c r="A4084" s="21">
        <v>112</v>
      </c>
      <c r="B4084" t="str">
        <f>VLOOKUP(A4084,Products!$A$1:$F$322,2,FALSE)</f>
        <v>Trek 820 - 2018</v>
      </c>
      <c r="C4084" s="21" t="e">
        <f>VLOOKUP(A4084,Products!A$322:$D4084,4,FALSE)</f>
        <v>#N/A</v>
      </c>
    </row>
    <row r="4085" spans="1:3" x14ac:dyDescent="0.35">
      <c r="A4085" s="21">
        <v>230</v>
      </c>
      <c r="B4085" t="str">
        <f>VLOOKUP(A4085,Products!$A$1:$F$322,2,FALSE)</f>
        <v>Electra Cruiser Lux 1 Ladies' - 2018</v>
      </c>
      <c r="C4085" s="21" t="e">
        <f>VLOOKUP(A4085,Products!A$322:$D4085,4,FALSE)</f>
        <v>#N/A</v>
      </c>
    </row>
    <row r="4086" spans="1:3" x14ac:dyDescent="0.35">
      <c r="A4086" s="21">
        <v>254</v>
      </c>
      <c r="B4086" t="str">
        <f>VLOOKUP(A4086,Products!$A$1:$F$322,2,FALSE)</f>
        <v>Electra Townie Balloon 3i EQ - 2017/2018</v>
      </c>
      <c r="C4086" s="21" t="e">
        <f>VLOOKUP(A4086,Products!A$322:$D4086,4,FALSE)</f>
        <v>#N/A</v>
      </c>
    </row>
    <row r="4087" spans="1:3" x14ac:dyDescent="0.35">
      <c r="A4087" s="21">
        <v>189</v>
      </c>
      <c r="B4087" t="str">
        <f>VLOOKUP(A4087,Products!$A$1:$F$322,2,FALSE)</f>
        <v>Trek Lift+ Lowstep - 2018</v>
      </c>
      <c r="C4087" s="21" t="e">
        <f>VLOOKUP(A4087,Products!A$322:$D4087,4,FALSE)</f>
        <v>#N/A</v>
      </c>
    </row>
    <row r="4088" spans="1:3" x14ac:dyDescent="0.35">
      <c r="A4088" s="21">
        <v>28</v>
      </c>
      <c r="B4088" t="str">
        <f>VLOOKUP(A4088,Products!$A$1:$F$322,2,FALSE)</f>
        <v>Surly Karate Monkey 27.5+ Frameset - 2017</v>
      </c>
      <c r="C4088" s="21" t="e">
        <f>VLOOKUP(A4088,Products!A$322:$D4088,4,FALSE)</f>
        <v>#N/A</v>
      </c>
    </row>
    <row r="4089" spans="1:3" x14ac:dyDescent="0.35">
      <c r="A4089" s="21">
        <v>203</v>
      </c>
      <c r="B4089" t="str">
        <f>VLOOKUP(A4089,Products!$A$1:$F$322,2,FALSE)</f>
        <v>Trek Powerfly 7 FS - 2018</v>
      </c>
      <c r="C4089" s="21" t="e">
        <f>VLOOKUP(A4089,Products!A$322:$D4089,4,FALSE)</f>
        <v>#N/A</v>
      </c>
    </row>
    <row r="4090" spans="1:3" x14ac:dyDescent="0.35">
      <c r="A4090" s="21">
        <v>273</v>
      </c>
      <c r="B4090" t="str">
        <f>VLOOKUP(A4090,Products!$A$1:$F$322,2,FALSE)</f>
        <v>Trek Precaliber 20 6-speed Girl's - 2018</v>
      </c>
      <c r="C4090" s="21" t="e">
        <f>VLOOKUP(A4090,Products!A$322:$D4090,4,FALSE)</f>
        <v>#N/A</v>
      </c>
    </row>
    <row r="4091" spans="1:3" x14ac:dyDescent="0.35">
      <c r="A4091" s="21">
        <v>93</v>
      </c>
      <c r="B4091" t="str">
        <f>VLOOKUP(A4091,Products!$A$1:$F$322,2,FALSE)</f>
        <v>Haro Shredder 20 Girls - 2017</v>
      </c>
      <c r="C4091" s="21" t="e">
        <f>VLOOKUP(A4091,Products!A$322:$D4091,4,FALSE)</f>
        <v>#N/A</v>
      </c>
    </row>
    <row r="4092" spans="1:3" x14ac:dyDescent="0.35">
      <c r="A4092" s="21">
        <v>112</v>
      </c>
      <c r="B4092" t="str">
        <f>VLOOKUP(A4092,Products!$A$1:$F$322,2,FALSE)</f>
        <v>Trek 820 - 2018</v>
      </c>
      <c r="C4092" s="21" t="e">
        <f>VLOOKUP(A4092,Products!A$322:$D4092,4,FALSE)</f>
        <v>#N/A</v>
      </c>
    </row>
    <row r="4093" spans="1:3" x14ac:dyDescent="0.35">
      <c r="A4093" s="21">
        <v>220</v>
      </c>
      <c r="B4093" t="str">
        <f>VLOOKUP(A4093,Products!$A$1:$F$322,2,FALSE)</f>
        <v>Electra Cruiser 1 Ladies' - 2018</v>
      </c>
      <c r="C4093" s="21" t="e">
        <f>VLOOKUP(A4093,Products!A$322:$D4093,4,FALSE)</f>
        <v>#N/A</v>
      </c>
    </row>
    <row r="4094" spans="1:3" x14ac:dyDescent="0.35">
      <c r="A4094" s="21">
        <v>193</v>
      </c>
      <c r="B4094" t="str">
        <f>VLOOKUP(A4094,Products!$A$1:$F$322,2,FALSE)</f>
        <v>Trek Lift+ - 2018</v>
      </c>
      <c r="C4094" s="21" t="e">
        <f>VLOOKUP(A4094,Products!A$322:$D4094,4,FALSE)</f>
        <v>#N/A</v>
      </c>
    </row>
    <row r="4095" spans="1:3" x14ac:dyDescent="0.35">
      <c r="A4095" s="21">
        <v>162</v>
      </c>
      <c r="B4095" t="str">
        <f>VLOOKUP(A4095,Products!$A$1:$F$322,2,FALSE)</f>
        <v>Trek Emonda SL 6 Disc - 2018</v>
      </c>
      <c r="C4095" s="21" t="e">
        <f>VLOOKUP(A4095,Products!A$322:$D4095,4,FALSE)</f>
        <v>#N/A</v>
      </c>
    </row>
    <row r="4096" spans="1:3" x14ac:dyDescent="0.35">
      <c r="A4096" s="21">
        <v>230</v>
      </c>
      <c r="B4096" t="str">
        <f>VLOOKUP(A4096,Products!$A$1:$F$322,2,FALSE)</f>
        <v>Electra Cruiser Lux 1 Ladies' - 2018</v>
      </c>
      <c r="C4096" s="21" t="e">
        <f>VLOOKUP(A4096,Products!A$322:$D4096,4,FALSE)</f>
        <v>#N/A</v>
      </c>
    </row>
    <row r="4097" spans="1:3" x14ac:dyDescent="0.35">
      <c r="A4097" s="21">
        <v>113</v>
      </c>
      <c r="B4097" t="str">
        <f>VLOOKUP(A4097,Products!$A$1:$F$322,2,FALSE)</f>
        <v>Trek Marlin 5 - 2018</v>
      </c>
      <c r="C4097" s="21" t="e">
        <f>VLOOKUP(A4097,Products!A$322:$D4097,4,FALSE)</f>
        <v>#N/A</v>
      </c>
    </row>
    <row r="4098" spans="1:3" x14ac:dyDescent="0.35">
      <c r="A4098" s="21">
        <v>300</v>
      </c>
      <c r="B4098" t="str">
        <f>VLOOKUP(A4098,Products!$A$1:$F$322,2,FALSE)</f>
        <v>Electra Townie Balloon 3i EQ Ladies' - 2018</v>
      </c>
      <c r="C4098" s="21" t="e">
        <f>VLOOKUP(A4098,Products!A$322:$D4098,4,FALSE)</f>
        <v>#N/A</v>
      </c>
    </row>
    <row r="4099" spans="1:3" x14ac:dyDescent="0.35">
      <c r="A4099" s="21">
        <v>36</v>
      </c>
      <c r="B4099" t="str">
        <f>VLOOKUP(A4099,Products!$A$1:$F$322,2,FALSE)</f>
        <v>Surly Troll Frameset - 2017</v>
      </c>
      <c r="C4099" s="21" t="e">
        <f>VLOOKUP(A4099,Products!A$322:$D4099,4,FALSE)</f>
        <v>#N/A</v>
      </c>
    </row>
    <row r="4100" spans="1:3" x14ac:dyDescent="0.35">
      <c r="A4100" s="21">
        <v>266</v>
      </c>
      <c r="B4100" t="str">
        <f>VLOOKUP(A4100,Products!$A$1:$F$322,2,FALSE)</f>
        <v>Trek Superfly 20 - 2018</v>
      </c>
      <c r="C4100" s="21" t="e">
        <f>VLOOKUP(A4100,Products!A$322:$D4100,4,FALSE)</f>
        <v>#N/A</v>
      </c>
    </row>
    <row r="4101" spans="1:3" x14ac:dyDescent="0.35">
      <c r="A4101" s="21">
        <v>35</v>
      </c>
      <c r="B4101" t="str">
        <f>VLOOKUP(A4101,Products!$A$1:$F$322,2,FALSE)</f>
        <v>Sun Bicycles Spider 3i - 2017</v>
      </c>
      <c r="C4101" s="21" t="e">
        <f>VLOOKUP(A4101,Products!A$322:$D4101,4,FALSE)</f>
        <v>#N/A</v>
      </c>
    </row>
    <row r="4102" spans="1:3" x14ac:dyDescent="0.35">
      <c r="A4102" s="21">
        <v>23</v>
      </c>
      <c r="B4102" t="str">
        <f>VLOOKUP(A4102,Products!$A$1:$F$322,2,FALSE)</f>
        <v>Electra Girl's Hawaii 1 (20-inch) - 2015/2016</v>
      </c>
      <c r="C4102" s="21" t="e">
        <f>VLOOKUP(A4102,Products!A$322:$D4102,4,FALSE)</f>
        <v>#N/A</v>
      </c>
    </row>
    <row r="4103" spans="1:3" x14ac:dyDescent="0.35">
      <c r="A4103" s="21">
        <v>166</v>
      </c>
      <c r="B4103" t="str">
        <f>VLOOKUP(A4103,Products!$A$1:$F$322,2,FALSE)</f>
        <v>Trek Domane AL 2 Women's - 2018</v>
      </c>
      <c r="C4103" s="21" t="e">
        <f>VLOOKUP(A4103,Products!A$322:$D4103,4,FALSE)</f>
        <v>#N/A</v>
      </c>
    </row>
    <row r="4104" spans="1:3" x14ac:dyDescent="0.35">
      <c r="A4104" s="21">
        <v>114</v>
      </c>
      <c r="B4104" t="str">
        <f>VLOOKUP(A4104,Products!$A$1:$F$322,2,FALSE)</f>
        <v>Trek Marlin 6 - 2018</v>
      </c>
      <c r="C4104" s="21" t="e">
        <f>VLOOKUP(A4104,Products!A$322:$D4104,4,FALSE)</f>
        <v>#N/A</v>
      </c>
    </row>
    <row r="4105" spans="1:3" x14ac:dyDescent="0.35">
      <c r="A4105" s="21">
        <v>137</v>
      </c>
      <c r="B4105" t="str">
        <f>VLOOKUP(A4105,Products!$A$1:$F$322,2,FALSE)</f>
        <v>Heller Shagamaw GX1 - 2018</v>
      </c>
      <c r="C4105" s="21" t="e">
        <f>VLOOKUP(A4105,Products!A$322:$D4105,4,FALSE)</f>
        <v>#N/A</v>
      </c>
    </row>
    <row r="4106" spans="1:3" x14ac:dyDescent="0.35">
      <c r="A4106" s="21">
        <v>301</v>
      </c>
      <c r="B4106" t="str">
        <f>VLOOKUP(A4106,Products!$A$1:$F$322,2,FALSE)</f>
        <v>Electra Townie Balloon 7i EQ - 2018</v>
      </c>
      <c r="C4106" s="21" t="e">
        <f>VLOOKUP(A4106,Products!A$322:$D4106,4,FALSE)</f>
        <v>#N/A</v>
      </c>
    </row>
    <row r="4107" spans="1:3" x14ac:dyDescent="0.35">
      <c r="A4107" s="21">
        <v>170</v>
      </c>
      <c r="B4107" t="str">
        <f>VLOOKUP(A4107,Products!$A$1:$F$322,2,FALSE)</f>
        <v>Trek CrossRip 2 - 2018</v>
      </c>
      <c r="C4107" s="21" t="e">
        <f>VLOOKUP(A4107,Products!A$322:$D4107,4,FALSE)</f>
        <v>#N/A</v>
      </c>
    </row>
    <row r="4108" spans="1:3" x14ac:dyDescent="0.35">
      <c r="A4108" s="21">
        <v>171</v>
      </c>
      <c r="B4108" t="str">
        <f>VLOOKUP(A4108,Products!$A$1:$F$322,2,FALSE)</f>
        <v>Trek Domane SL 6 - 2018</v>
      </c>
      <c r="C4108" s="21" t="e">
        <f>VLOOKUP(A4108,Products!A$322:$D4108,4,FALSE)</f>
        <v>#N/A</v>
      </c>
    </row>
    <row r="4109" spans="1:3" x14ac:dyDescent="0.35">
      <c r="A4109" s="21">
        <v>265</v>
      </c>
      <c r="B4109" t="str">
        <f>VLOOKUP(A4109,Products!$A$1:$F$322,2,FALSE)</f>
        <v>Strider Strider 20 Sport - 2018</v>
      </c>
      <c r="C4109" s="21" t="e">
        <f>VLOOKUP(A4109,Products!A$322:$D4109,4,FALSE)</f>
        <v>#N/A</v>
      </c>
    </row>
    <row r="4110" spans="1:3" x14ac:dyDescent="0.35">
      <c r="A4110" s="21">
        <v>222</v>
      </c>
      <c r="B4110" t="str">
        <f>VLOOKUP(A4110,Products!$A$1:$F$322,2,FALSE)</f>
        <v>Electra Cruiser 1 Tall - 2016/2018</v>
      </c>
      <c r="C4110" s="21" t="e">
        <f>VLOOKUP(A4110,Products!A$322:$D4110,4,FALSE)</f>
        <v>#N/A</v>
      </c>
    </row>
    <row r="4111" spans="1:3" x14ac:dyDescent="0.35">
      <c r="A4111" s="21">
        <v>205</v>
      </c>
      <c r="B4111" t="str">
        <f>VLOOKUP(A4111,Products!$A$1:$F$322,2,FALSE)</f>
        <v>Trek Super Commuter+ 8S - 2018</v>
      </c>
      <c r="C4111" s="21" t="e">
        <f>VLOOKUP(A4111,Products!A$322:$D4111,4,FALSE)</f>
        <v>#N/A</v>
      </c>
    </row>
    <row r="4112" spans="1:3" x14ac:dyDescent="0.35">
      <c r="A4112" s="21">
        <v>203</v>
      </c>
      <c r="B4112" t="str">
        <f>VLOOKUP(A4112,Products!$A$1:$F$322,2,FALSE)</f>
        <v>Trek Powerfly 7 FS - 2018</v>
      </c>
      <c r="C4112" s="21" t="e">
        <f>VLOOKUP(A4112,Products!A$322:$D4112,4,FALSE)</f>
        <v>#N/A</v>
      </c>
    </row>
    <row r="4113" spans="1:3" x14ac:dyDescent="0.35">
      <c r="A4113" s="21">
        <v>304</v>
      </c>
      <c r="B4113" t="str">
        <f>VLOOKUP(A4113,Products!$A$1:$F$322,2,FALSE)</f>
        <v>Electra Townie Original 21D EQ - 2017/2018</v>
      </c>
      <c r="C4113" s="21" t="e">
        <f>VLOOKUP(A4113,Products!A$322:$D4113,4,FALSE)</f>
        <v>#N/A</v>
      </c>
    </row>
    <row r="4114" spans="1:3" x14ac:dyDescent="0.35">
      <c r="A4114" s="21">
        <v>9</v>
      </c>
      <c r="B4114" t="str">
        <f>VLOOKUP(A4114,Products!$A$1:$F$322,2,FALSE)</f>
        <v>Trek Conduit+ - 2016</v>
      </c>
      <c r="C4114" s="21" t="e">
        <f>VLOOKUP(A4114,Products!A$322:$D4114,4,FALSE)</f>
        <v>#N/A</v>
      </c>
    </row>
    <row r="4115" spans="1:3" x14ac:dyDescent="0.35">
      <c r="A4115" s="21">
        <v>308</v>
      </c>
      <c r="B4115" t="str">
        <f>VLOOKUP(A4115,Products!$A$1:$F$322,2,FALSE)</f>
        <v>Electra Townie Balloon 8D EQ Ladies' - 2016/2017/2018</v>
      </c>
      <c r="C4115" s="21" t="e">
        <f>VLOOKUP(A4115,Products!A$322:$D4115,4,FALSE)</f>
        <v>#N/A</v>
      </c>
    </row>
    <row r="4116" spans="1:3" x14ac:dyDescent="0.35">
      <c r="A4116" s="21">
        <v>180</v>
      </c>
      <c r="B4116" t="str">
        <f>VLOOKUP(A4116,Products!$A$1:$F$322,2,FALSE)</f>
        <v>Trek Domane AL 3 Women's - 2018</v>
      </c>
      <c r="C4116" s="21" t="e">
        <f>VLOOKUP(A4116,Products!A$322:$D4116,4,FALSE)</f>
        <v>#N/A</v>
      </c>
    </row>
    <row r="4117" spans="1:3" x14ac:dyDescent="0.35">
      <c r="A4117" s="21">
        <v>43</v>
      </c>
      <c r="B4117" t="str">
        <f>VLOOKUP(A4117,Products!$A$1:$F$322,2,FALSE)</f>
        <v>Trek Fuel EX 9.8 27.5 Plus - 2017</v>
      </c>
      <c r="C4117" s="21" t="e">
        <f>VLOOKUP(A4117,Products!A$322:$D4117,4,FALSE)</f>
        <v>#N/A</v>
      </c>
    </row>
    <row r="4118" spans="1:3" x14ac:dyDescent="0.35">
      <c r="A4118" s="21">
        <v>109</v>
      </c>
      <c r="B4118" t="str">
        <f>VLOOKUP(A4118,Products!$A$1:$F$322,2,FALSE)</f>
        <v>Sun Bicycles Cruz 7 - Women's - 2017</v>
      </c>
      <c r="C4118" s="21" t="e">
        <f>VLOOKUP(A4118,Products!A$322:$D4118,4,FALSE)</f>
        <v>#N/A</v>
      </c>
    </row>
    <row r="4119" spans="1:3" x14ac:dyDescent="0.35">
      <c r="A4119" s="21">
        <v>297</v>
      </c>
      <c r="B4119" t="str">
        <f>VLOOKUP(A4119,Products!$A$1:$F$322,2,FALSE)</f>
        <v>Electra Under-The-Sea 1 16" - 2018</v>
      </c>
      <c r="C4119" s="21" t="e">
        <f>VLOOKUP(A4119,Products!A$322:$D4119,4,FALSE)</f>
        <v>#N/A</v>
      </c>
    </row>
    <row r="4120" spans="1:3" x14ac:dyDescent="0.35">
      <c r="A4120" s="21">
        <v>162</v>
      </c>
      <c r="B4120" t="str">
        <f>VLOOKUP(A4120,Products!$A$1:$F$322,2,FALSE)</f>
        <v>Trek Emonda SL 6 Disc - 2018</v>
      </c>
      <c r="C4120" s="21" t="e">
        <f>VLOOKUP(A4120,Products!A$322:$D4120,4,FALSE)</f>
        <v>#N/A</v>
      </c>
    </row>
    <row r="4121" spans="1:3" x14ac:dyDescent="0.35">
      <c r="A4121" s="21">
        <v>292</v>
      </c>
      <c r="B4121" t="str">
        <f>VLOOKUP(A4121,Products!$A$1:$F$322,2,FALSE)</f>
        <v>Electra Sweet Ride 3i (20-inch) - Girls' - 2018</v>
      </c>
      <c r="C4121" s="21" t="e">
        <f>VLOOKUP(A4121,Products!A$322:$D4121,4,FALSE)</f>
        <v>#N/A</v>
      </c>
    </row>
    <row r="4122" spans="1:3" x14ac:dyDescent="0.35">
      <c r="A4122" s="21">
        <v>31</v>
      </c>
      <c r="B4122" t="str">
        <f>VLOOKUP(A4122,Products!$A$1:$F$322,2,FALSE)</f>
        <v>Surly Wednesday - 2017</v>
      </c>
      <c r="C4122" s="21" t="e">
        <f>VLOOKUP(A4122,Products!A$322:$D4122,4,FALSE)</f>
        <v>#N/A</v>
      </c>
    </row>
    <row r="4123" spans="1:3" x14ac:dyDescent="0.35">
      <c r="A4123" s="21">
        <v>17</v>
      </c>
      <c r="B4123" t="str">
        <f>VLOOKUP(A4123,Products!$A$1:$F$322,2,FALSE)</f>
        <v>Pure Cycles Vine 8-Speed - 2016</v>
      </c>
      <c r="C4123" s="21" t="e">
        <f>VLOOKUP(A4123,Products!A$322:$D4123,4,FALSE)</f>
        <v>#N/A</v>
      </c>
    </row>
    <row r="4124" spans="1:3" x14ac:dyDescent="0.35">
      <c r="A4124" s="21">
        <v>264</v>
      </c>
      <c r="B4124" t="str">
        <f>VLOOKUP(A4124,Products!$A$1:$F$322,2,FALSE)</f>
        <v>Strider Sport 16 - 2018</v>
      </c>
      <c r="C4124" s="21" t="e">
        <f>VLOOKUP(A4124,Products!A$322:$D4124,4,FALSE)</f>
        <v>#N/A</v>
      </c>
    </row>
    <row r="4125" spans="1:3" x14ac:dyDescent="0.35">
      <c r="A4125" s="21">
        <v>245</v>
      </c>
      <c r="B4125" t="str">
        <f>VLOOKUP(A4125,Products!$A$1:$F$322,2,FALSE)</f>
        <v>Electra Townie Original 3i EQ - 2017/2018</v>
      </c>
      <c r="C4125" s="21" t="e">
        <f>VLOOKUP(A4125,Products!A$322:$D4125,4,FALSE)</f>
        <v>#N/A</v>
      </c>
    </row>
    <row r="4126" spans="1:3" x14ac:dyDescent="0.35">
      <c r="A4126" s="21">
        <v>194</v>
      </c>
      <c r="B4126" t="str">
        <f>VLOOKUP(A4126,Products!$A$1:$F$322,2,FALSE)</f>
        <v>Trek XM700+ - 2018</v>
      </c>
      <c r="C4126" s="21" t="e">
        <f>VLOOKUP(A4126,Products!A$322:$D4126,4,FALSE)</f>
        <v>#N/A</v>
      </c>
    </row>
    <row r="4127" spans="1:3" x14ac:dyDescent="0.35">
      <c r="A4127" s="21">
        <v>242</v>
      </c>
      <c r="B4127" t="str">
        <f>VLOOKUP(A4127,Products!$A$1:$F$322,2,FALSE)</f>
        <v>Electra Townie Commute 8D Ladies' - 2018</v>
      </c>
      <c r="C4127" s="21" t="e">
        <f>VLOOKUP(A4127,Products!A$322:$D4127,4,FALSE)</f>
        <v>#N/A</v>
      </c>
    </row>
    <row r="4128" spans="1:3" x14ac:dyDescent="0.35">
      <c r="A4128" s="21">
        <v>92</v>
      </c>
      <c r="B4128" t="str">
        <f>VLOOKUP(A4128,Products!$A$1:$F$322,2,FALSE)</f>
        <v>Haro Shredder 20 - 2017</v>
      </c>
      <c r="C4128" s="21" t="e">
        <f>VLOOKUP(A4128,Products!A$322:$D4128,4,FALSE)</f>
        <v>#N/A</v>
      </c>
    </row>
    <row r="4129" spans="1:3" x14ac:dyDescent="0.35">
      <c r="A4129" s="21">
        <v>219</v>
      </c>
      <c r="B4129" t="str">
        <f>VLOOKUP(A4129,Products!$A$1:$F$322,2,FALSE)</f>
        <v>Electra Moto 3i - 2018</v>
      </c>
      <c r="C4129" s="21" t="e">
        <f>VLOOKUP(A4129,Products!A$322:$D4129,4,FALSE)</f>
        <v>#N/A</v>
      </c>
    </row>
    <row r="4130" spans="1:3" x14ac:dyDescent="0.35">
      <c r="A4130" s="21">
        <v>120</v>
      </c>
      <c r="B4130" t="str">
        <f>VLOOKUP(A4130,Products!$A$1:$F$322,2,FALSE)</f>
        <v>Trek Fuel EX 7 29 - 2018</v>
      </c>
      <c r="C4130" s="21" t="e">
        <f>VLOOKUP(A4130,Products!A$322:$D4130,4,FALSE)</f>
        <v>#N/A</v>
      </c>
    </row>
    <row r="4131" spans="1:3" x14ac:dyDescent="0.35">
      <c r="A4131" s="21">
        <v>243</v>
      </c>
      <c r="B4131" t="str">
        <f>VLOOKUP(A4131,Products!$A$1:$F$322,2,FALSE)</f>
        <v>Electra Townie Original 21D EQ Ladies' - 2018</v>
      </c>
      <c r="C4131" s="21" t="e">
        <f>VLOOKUP(A4131,Products!A$322:$D4131,4,FALSE)</f>
        <v>#N/A</v>
      </c>
    </row>
    <row r="4132" spans="1:3" x14ac:dyDescent="0.35">
      <c r="A4132" s="21">
        <v>124</v>
      </c>
      <c r="B4132" t="str">
        <f>VLOOKUP(A4132,Products!$A$1:$F$322,2,FALSE)</f>
        <v>Surly Krampus - 2018</v>
      </c>
      <c r="C4132" s="21" t="e">
        <f>VLOOKUP(A4132,Products!A$322:$D4132,4,FALSE)</f>
        <v>#N/A</v>
      </c>
    </row>
    <row r="4133" spans="1:3" x14ac:dyDescent="0.35">
      <c r="A4133" s="21">
        <v>235</v>
      </c>
      <c r="B4133" t="str">
        <f>VLOOKUP(A4133,Products!$A$1:$F$322,2,FALSE)</f>
        <v>Electra Koa 3i Ladies' - 2018</v>
      </c>
      <c r="C4133" s="21" t="e">
        <f>VLOOKUP(A4133,Products!A$322:$D4133,4,FALSE)</f>
        <v>#N/A</v>
      </c>
    </row>
    <row r="4134" spans="1:3" x14ac:dyDescent="0.35">
      <c r="A4134" s="21">
        <v>234</v>
      </c>
      <c r="B4134" t="str">
        <f>VLOOKUP(A4134,Products!$A$1:$F$322,2,FALSE)</f>
        <v>Electra Daydreamer 3i Ladies' - 2018</v>
      </c>
      <c r="C4134" s="21" t="e">
        <f>VLOOKUP(A4134,Products!A$322:$D4134,4,FALSE)</f>
        <v>#N/A</v>
      </c>
    </row>
    <row r="4135" spans="1:3" x14ac:dyDescent="0.35">
      <c r="A4135" s="21">
        <v>197</v>
      </c>
      <c r="B4135" t="str">
        <f>VLOOKUP(A4135,Products!$A$1:$F$322,2,FALSE)</f>
        <v>Trek Verve+ Lowstep - 2018</v>
      </c>
      <c r="C4135" s="21" t="e">
        <f>VLOOKUP(A4135,Products!A$322:$D4135,4,FALSE)</f>
        <v>#N/A</v>
      </c>
    </row>
    <row r="4136" spans="1:3" x14ac:dyDescent="0.35">
      <c r="A4136" s="21">
        <v>194</v>
      </c>
      <c r="B4136" t="str">
        <f>VLOOKUP(A4136,Products!$A$1:$F$322,2,FALSE)</f>
        <v>Trek XM700+ - 2018</v>
      </c>
      <c r="C4136" s="21" t="e">
        <f>VLOOKUP(A4136,Products!A$322:$D4136,4,FALSE)</f>
        <v>#N/A</v>
      </c>
    </row>
    <row r="4137" spans="1:3" x14ac:dyDescent="0.35">
      <c r="A4137" s="21">
        <v>128</v>
      </c>
      <c r="B4137" t="str">
        <f>VLOOKUP(A4137,Products!$A$1:$F$322,2,FALSE)</f>
        <v>Surly ECR 27.5 - 2018</v>
      </c>
      <c r="C4137" s="21" t="e">
        <f>VLOOKUP(A4137,Products!A$322:$D4137,4,FALSE)</f>
        <v>#N/A</v>
      </c>
    </row>
    <row r="4138" spans="1:3" x14ac:dyDescent="0.35">
      <c r="A4138" s="21">
        <v>298</v>
      </c>
      <c r="B4138" t="str">
        <f>VLOOKUP(A4138,Products!$A$1:$F$322,2,FALSE)</f>
        <v>Electra Water Lily 1 (16-inch) - Girl's - 2018</v>
      </c>
      <c r="C4138" s="21" t="e">
        <f>VLOOKUP(A4138,Products!A$322:$D4138,4,FALSE)</f>
        <v>#N/A</v>
      </c>
    </row>
    <row r="4139" spans="1:3" x14ac:dyDescent="0.35">
      <c r="A4139" s="21">
        <v>80</v>
      </c>
      <c r="B4139" t="str">
        <f>VLOOKUP(A4139,Products!$A$1:$F$322,2,FALSE)</f>
        <v>Sun Bicycles Brickell Tandem CB - 2017</v>
      </c>
      <c r="C4139" s="21" t="e">
        <f>VLOOKUP(A4139,Products!A$322:$D4139,4,FALSE)</f>
        <v>#N/A</v>
      </c>
    </row>
    <row r="4140" spans="1:3" x14ac:dyDescent="0.35">
      <c r="A4140" s="21">
        <v>180</v>
      </c>
      <c r="B4140" t="str">
        <f>VLOOKUP(A4140,Products!$A$1:$F$322,2,FALSE)</f>
        <v>Trek Domane AL 3 Women's - 2018</v>
      </c>
      <c r="C4140" s="21" t="e">
        <f>VLOOKUP(A4140,Products!A$322:$D4140,4,FALSE)</f>
        <v>#N/A</v>
      </c>
    </row>
    <row r="4141" spans="1:3" x14ac:dyDescent="0.35">
      <c r="A4141" s="21">
        <v>243</v>
      </c>
      <c r="B4141" t="str">
        <f>VLOOKUP(A4141,Products!$A$1:$F$322,2,FALSE)</f>
        <v>Electra Townie Original 21D EQ Ladies' - 2018</v>
      </c>
      <c r="C4141" s="21" t="e">
        <f>VLOOKUP(A4141,Products!A$322:$D4141,4,FALSE)</f>
        <v>#N/A</v>
      </c>
    </row>
    <row r="4142" spans="1:3" x14ac:dyDescent="0.35">
      <c r="A4142" s="21">
        <v>249</v>
      </c>
      <c r="B4142" t="str">
        <f>VLOOKUP(A4142,Products!$A$1:$F$322,2,FALSE)</f>
        <v>Electra White Water 3i - 2018</v>
      </c>
      <c r="C4142" s="21" t="e">
        <f>VLOOKUP(A4142,Products!A$322:$D4142,4,FALSE)</f>
        <v>#N/A</v>
      </c>
    </row>
    <row r="4143" spans="1:3" x14ac:dyDescent="0.35">
      <c r="A4143" s="21">
        <v>71</v>
      </c>
      <c r="B4143" t="str">
        <f>VLOOKUP(A4143,Products!$A$1:$F$322,2,FALSE)</f>
        <v>Sun Bicycles Atlas X-Type - 2017</v>
      </c>
      <c r="C4143" s="21" t="e">
        <f>VLOOKUP(A4143,Products!A$322:$D4143,4,FALSE)</f>
        <v>#N/A</v>
      </c>
    </row>
    <row r="4144" spans="1:3" x14ac:dyDescent="0.35">
      <c r="A4144" s="21">
        <v>302</v>
      </c>
      <c r="B4144" t="str">
        <f>VLOOKUP(A4144,Products!$A$1:$F$322,2,FALSE)</f>
        <v>Electra Townie Original 1 - 2018</v>
      </c>
      <c r="C4144" s="21" t="e">
        <f>VLOOKUP(A4144,Products!A$322:$D4144,4,FALSE)</f>
        <v>#N/A</v>
      </c>
    </row>
    <row r="4145" spans="1:3" x14ac:dyDescent="0.35">
      <c r="A4145" s="21">
        <v>113</v>
      </c>
      <c r="B4145" t="str">
        <f>VLOOKUP(A4145,Products!$A$1:$F$322,2,FALSE)</f>
        <v>Trek Marlin 5 - 2018</v>
      </c>
      <c r="C4145" s="21" t="e">
        <f>VLOOKUP(A4145,Products!A$322:$D4145,4,FALSE)</f>
        <v>#N/A</v>
      </c>
    </row>
    <row r="4146" spans="1:3" x14ac:dyDescent="0.35">
      <c r="A4146" s="21">
        <v>140</v>
      </c>
      <c r="B4146" t="str">
        <f>VLOOKUP(A4146,Products!$A$1:$F$322,2,FALSE)</f>
        <v>Trek Remedy 9.8 27.5 - 2018</v>
      </c>
      <c r="C4146" s="21" t="e">
        <f>VLOOKUP(A4146,Products!A$322:$D4146,4,FALSE)</f>
        <v>#N/A</v>
      </c>
    </row>
    <row r="4147" spans="1:3" x14ac:dyDescent="0.35">
      <c r="A4147" s="21">
        <v>227</v>
      </c>
      <c r="B4147" t="str">
        <f>VLOOKUP(A4147,Products!$A$1:$F$322,2,FALSE)</f>
        <v>Electra Cruiser 7D (24-Inch) Ladies' - 2016/2018</v>
      </c>
      <c r="C4147" s="21" t="e">
        <f>VLOOKUP(A4147,Products!A$322:$D4147,4,FALSE)</f>
        <v>#N/A</v>
      </c>
    </row>
    <row r="4148" spans="1:3" x14ac:dyDescent="0.35">
      <c r="A4148" s="21">
        <v>263</v>
      </c>
      <c r="B4148" t="str">
        <f>VLOOKUP(A4148,Products!$A$1:$F$322,2,FALSE)</f>
        <v>Strider Classic 12 Balance Bike - 2018</v>
      </c>
      <c r="C4148" s="21" t="e">
        <f>VLOOKUP(A4148,Products!A$322:$D4148,4,FALSE)</f>
        <v>#N/A</v>
      </c>
    </row>
    <row r="4149" spans="1:3" x14ac:dyDescent="0.35">
      <c r="A4149" s="21">
        <v>93</v>
      </c>
      <c r="B4149" t="str">
        <f>VLOOKUP(A4149,Products!$A$1:$F$322,2,FALSE)</f>
        <v>Haro Shredder 20 Girls - 2017</v>
      </c>
      <c r="C4149" s="21" t="e">
        <f>VLOOKUP(A4149,Products!A$322:$D4149,4,FALSE)</f>
        <v>#N/A</v>
      </c>
    </row>
    <row r="4150" spans="1:3" x14ac:dyDescent="0.35">
      <c r="A4150" s="21">
        <v>54</v>
      </c>
      <c r="B4150" t="str">
        <f>VLOOKUP(A4150,Products!$A$1:$F$322,2,FALSE)</f>
        <v>Trek Domane SL Disc Frameset - 2017</v>
      </c>
      <c r="C4150" s="21" t="e">
        <f>VLOOKUP(A4150,Products!A$322:$D4150,4,FALSE)</f>
        <v>#N/A</v>
      </c>
    </row>
    <row r="4151" spans="1:3" x14ac:dyDescent="0.35">
      <c r="A4151" s="21">
        <v>145</v>
      </c>
      <c r="B4151" t="str">
        <f>VLOOKUP(A4151,Products!$A$1:$F$322,2,FALSE)</f>
        <v>Trek Domane ALR 5 Disc - 2018</v>
      </c>
      <c r="C4151" s="21" t="e">
        <f>VLOOKUP(A4151,Products!A$322:$D4151,4,FALSE)</f>
        <v>#N/A</v>
      </c>
    </row>
    <row r="4152" spans="1:3" x14ac:dyDescent="0.35">
      <c r="A4152" s="21">
        <v>215</v>
      </c>
      <c r="B4152" t="str">
        <f>VLOOKUP(A4152,Products!$A$1:$F$322,2,FALSE)</f>
        <v>Electra Queen of Hearts 3i - 2018</v>
      </c>
      <c r="C4152" s="21" t="e">
        <f>VLOOKUP(A4152,Products!A$322:$D4152,4,FALSE)</f>
        <v>#N/A</v>
      </c>
    </row>
    <row r="4153" spans="1:3" x14ac:dyDescent="0.35">
      <c r="A4153" s="21">
        <v>20</v>
      </c>
      <c r="B4153" t="str">
        <f>VLOOKUP(A4153,Products!$A$1:$F$322,2,FALSE)</f>
        <v>Electra Townie Original 7D EQ - Women's - 2016</v>
      </c>
      <c r="C4153" s="21" t="e">
        <f>VLOOKUP(A4153,Products!A$322:$D4153,4,FALSE)</f>
        <v>#N/A</v>
      </c>
    </row>
    <row r="4154" spans="1:3" x14ac:dyDescent="0.35">
      <c r="A4154" s="21">
        <v>281</v>
      </c>
      <c r="B4154" t="str">
        <f>VLOOKUP(A4154,Products!$A$1:$F$322,2,FALSE)</f>
        <v>Electra Cruiser 7D (24-Inch) Ladies' - 2016/2018</v>
      </c>
      <c r="C4154" s="21" t="e">
        <f>VLOOKUP(A4154,Products!A$322:$D4154,4,FALSE)</f>
        <v>#N/A</v>
      </c>
    </row>
    <row r="4155" spans="1:3" x14ac:dyDescent="0.35">
      <c r="A4155" s="21">
        <v>230</v>
      </c>
      <c r="B4155" t="str">
        <f>VLOOKUP(A4155,Products!$A$1:$F$322,2,FALSE)</f>
        <v>Electra Cruiser Lux 1 Ladies' - 2018</v>
      </c>
      <c r="C4155" s="21" t="e">
        <f>VLOOKUP(A4155,Products!A$322:$D4155,4,FALSE)</f>
        <v>#N/A</v>
      </c>
    </row>
    <row r="4156" spans="1:3" x14ac:dyDescent="0.35">
      <c r="A4156" s="21">
        <v>139</v>
      </c>
      <c r="B4156" t="str">
        <f>VLOOKUP(A4156,Products!$A$1:$F$322,2,FALSE)</f>
        <v>Trek Remedy 7 27.5 - 2018</v>
      </c>
      <c r="C4156" s="21" t="e">
        <f>VLOOKUP(A4156,Products!A$322:$D4156,4,FALSE)</f>
        <v>#N/A</v>
      </c>
    </row>
    <row r="4157" spans="1:3" x14ac:dyDescent="0.35">
      <c r="A4157" s="21">
        <v>164</v>
      </c>
      <c r="B4157" t="str">
        <f>VLOOKUP(A4157,Products!$A$1:$F$322,2,FALSE)</f>
        <v>Surly Straggler 650b - 2018</v>
      </c>
      <c r="C4157" s="21" t="e">
        <f>VLOOKUP(A4157,Products!A$322:$D4157,4,FALSE)</f>
        <v>#N/A</v>
      </c>
    </row>
    <row r="4158" spans="1:3" x14ac:dyDescent="0.35">
      <c r="A4158" s="21">
        <v>216</v>
      </c>
      <c r="B4158" t="str">
        <f>VLOOKUP(A4158,Products!$A$1:$F$322,2,FALSE)</f>
        <v>Electra Super Moto 8i - 2018</v>
      </c>
      <c r="C4158" s="21" t="e">
        <f>VLOOKUP(A4158,Products!A$322:$D4158,4,FALSE)</f>
        <v>#N/A</v>
      </c>
    </row>
    <row r="4159" spans="1:3" x14ac:dyDescent="0.35">
      <c r="A4159" s="21">
        <v>126</v>
      </c>
      <c r="B4159" t="str">
        <f>VLOOKUP(A4159,Products!$A$1:$F$322,2,FALSE)</f>
        <v>Surly Big Fat Dummy Frameset - 2018</v>
      </c>
      <c r="C4159" s="21" t="e">
        <f>VLOOKUP(A4159,Products!A$322:$D4159,4,FALSE)</f>
        <v>#N/A</v>
      </c>
    </row>
    <row r="4160" spans="1:3" x14ac:dyDescent="0.35">
      <c r="A4160" s="21">
        <v>187</v>
      </c>
      <c r="B4160" t="str">
        <f>VLOOKUP(A4160,Products!$A$1:$F$322,2,FALSE)</f>
        <v>Trek Neko+ - 2018</v>
      </c>
      <c r="C4160" s="21" t="e">
        <f>VLOOKUP(A4160,Products!A$322:$D4160,4,FALSE)</f>
        <v>#N/A</v>
      </c>
    </row>
    <row r="4161" spans="1:3" x14ac:dyDescent="0.35">
      <c r="A4161" s="21">
        <v>28</v>
      </c>
      <c r="B4161" t="str">
        <f>VLOOKUP(A4161,Products!$A$1:$F$322,2,FALSE)</f>
        <v>Surly Karate Monkey 27.5+ Frameset - 2017</v>
      </c>
      <c r="C4161" s="21" t="e">
        <f>VLOOKUP(A4161,Products!A$322:$D4161,4,FALSE)</f>
        <v>#N/A</v>
      </c>
    </row>
    <row r="4162" spans="1:3" x14ac:dyDescent="0.35">
      <c r="A4162" s="21">
        <v>194</v>
      </c>
      <c r="B4162" t="str">
        <f>VLOOKUP(A4162,Products!$A$1:$F$322,2,FALSE)</f>
        <v>Trek XM700+ - 2018</v>
      </c>
      <c r="C4162" s="21" t="e">
        <f>VLOOKUP(A4162,Products!A$322:$D4162,4,FALSE)</f>
        <v>#N/A</v>
      </c>
    </row>
    <row r="4163" spans="1:3" x14ac:dyDescent="0.35">
      <c r="A4163" s="21">
        <v>70</v>
      </c>
      <c r="B4163" t="str">
        <f>VLOOKUP(A4163,Products!$A$1:$F$322,2,FALSE)</f>
        <v>Electra Amsterdam Original 3i - 2015/2017</v>
      </c>
      <c r="C4163" s="21" t="e">
        <f>VLOOKUP(A4163,Products!A$322:$D4163,4,FALSE)</f>
        <v>#N/A</v>
      </c>
    </row>
    <row r="4164" spans="1:3" x14ac:dyDescent="0.35">
      <c r="A4164" s="21">
        <v>221</v>
      </c>
      <c r="B4164" t="str">
        <f>VLOOKUP(A4164,Products!$A$1:$F$322,2,FALSE)</f>
        <v>Electra Cruiser 7D Ladies' - 2016/2018</v>
      </c>
      <c r="C4164" s="21" t="e">
        <f>VLOOKUP(A4164,Products!A$322:$D4164,4,FALSE)</f>
        <v>#N/A</v>
      </c>
    </row>
    <row r="4165" spans="1:3" x14ac:dyDescent="0.35">
      <c r="A4165" s="21">
        <v>281</v>
      </c>
      <c r="B4165" t="str">
        <f>VLOOKUP(A4165,Products!$A$1:$F$322,2,FALSE)</f>
        <v>Electra Cruiser 7D (24-Inch) Ladies' - 2016/2018</v>
      </c>
      <c r="C4165" s="21" t="e">
        <f>VLOOKUP(A4165,Products!A$322:$D4165,4,FALSE)</f>
        <v>#N/A</v>
      </c>
    </row>
    <row r="4166" spans="1:3" x14ac:dyDescent="0.35">
      <c r="A4166" s="21">
        <v>207</v>
      </c>
      <c r="B4166" t="str">
        <f>VLOOKUP(A4166,Products!$A$1:$F$322,2,FALSE)</f>
        <v>Trek Boone 7 Disc - 2018</v>
      </c>
      <c r="C4166" s="21" t="e">
        <f>VLOOKUP(A4166,Products!A$322:$D4166,4,FALSE)</f>
        <v>#N/A</v>
      </c>
    </row>
    <row r="4167" spans="1:3" x14ac:dyDescent="0.35">
      <c r="A4167" s="21">
        <v>53</v>
      </c>
      <c r="B4167" t="str">
        <f>VLOOKUP(A4167,Products!$A$1:$F$322,2,FALSE)</f>
        <v>Surly Ogre Frameset - 2017</v>
      </c>
      <c r="C4167" s="21" t="e">
        <f>VLOOKUP(A4167,Products!A$322:$D4167,4,FALSE)</f>
        <v>#N/A</v>
      </c>
    </row>
    <row r="4168" spans="1:3" x14ac:dyDescent="0.35">
      <c r="A4168" s="21">
        <v>252</v>
      </c>
      <c r="B4168" t="str">
        <f>VLOOKUP(A4168,Products!$A$1:$F$322,2,FALSE)</f>
        <v>Electra Townie Commute Go! Ladies' - 2018</v>
      </c>
      <c r="C4168" s="21" t="e">
        <f>VLOOKUP(A4168,Products!A$322:$D4168,4,FALSE)</f>
        <v>#N/A</v>
      </c>
    </row>
    <row r="4169" spans="1:3" x14ac:dyDescent="0.35">
      <c r="A4169" s="21">
        <v>254</v>
      </c>
      <c r="B4169" t="str">
        <f>VLOOKUP(A4169,Products!$A$1:$F$322,2,FALSE)</f>
        <v>Electra Townie Balloon 3i EQ - 2017/2018</v>
      </c>
      <c r="C4169" s="21" t="e">
        <f>VLOOKUP(A4169,Products!A$322:$D4169,4,FALSE)</f>
        <v>#N/A</v>
      </c>
    </row>
    <row r="4170" spans="1:3" x14ac:dyDescent="0.35">
      <c r="A4170" s="21">
        <v>161</v>
      </c>
      <c r="B4170" t="str">
        <f>VLOOKUP(A4170,Products!$A$1:$F$322,2,FALSE)</f>
        <v>Surly ECR - 2018</v>
      </c>
      <c r="C4170" s="21" t="e">
        <f>VLOOKUP(A4170,Products!A$322:$D4170,4,FALSE)</f>
        <v>#N/A</v>
      </c>
    </row>
    <row r="4171" spans="1:3" x14ac:dyDescent="0.35">
      <c r="A4171" s="21">
        <v>264</v>
      </c>
      <c r="B4171" t="str">
        <f>VLOOKUP(A4171,Products!$A$1:$F$322,2,FALSE)</f>
        <v>Strider Sport 16 - 2018</v>
      </c>
      <c r="C4171" s="21" t="e">
        <f>VLOOKUP(A4171,Products!A$322:$D4171,4,FALSE)</f>
        <v>#N/A</v>
      </c>
    </row>
    <row r="4172" spans="1:3" x14ac:dyDescent="0.35">
      <c r="A4172" s="21">
        <v>229</v>
      </c>
      <c r="B4172" t="str">
        <f>VLOOKUP(A4172,Products!$A$1:$F$322,2,FALSE)</f>
        <v>Electra Cruiser Lux 1 - 2016/2018</v>
      </c>
      <c r="C4172" s="21" t="e">
        <f>VLOOKUP(A4172,Products!A$322:$D4172,4,FALSE)</f>
        <v>#N/A</v>
      </c>
    </row>
    <row r="4173" spans="1:3" x14ac:dyDescent="0.35">
      <c r="A4173" s="21">
        <v>198</v>
      </c>
      <c r="B4173" t="str">
        <f>VLOOKUP(A4173,Products!$A$1:$F$322,2,FALSE)</f>
        <v>Electra Townie Commute Go! - 2018</v>
      </c>
      <c r="C4173" s="21" t="e">
        <f>VLOOKUP(A4173,Products!A$322:$D4173,4,FALSE)</f>
        <v>#N/A</v>
      </c>
    </row>
    <row r="4174" spans="1:3" x14ac:dyDescent="0.35">
      <c r="A4174" s="21">
        <v>286</v>
      </c>
      <c r="B4174" t="str">
        <f>VLOOKUP(A4174,Products!$A$1:$F$322,2,FALSE)</f>
        <v>Electra Starship 1 16" - 2018</v>
      </c>
      <c r="C4174" s="21" t="e">
        <f>VLOOKUP(A4174,Products!A$322:$D4174,4,FALSE)</f>
        <v>#N/A</v>
      </c>
    </row>
    <row r="4175" spans="1:3" x14ac:dyDescent="0.35">
      <c r="A4175" s="21">
        <v>61</v>
      </c>
      <c r="B4175" t="str">
        <f>VLOOKUP(A4175,Products!$A$1:$F$322,2,FALSE)</f>
        <v>Trek Powerfly 8 FS Plus - 2017</v>
      </c>
      <c r="C4175" s="21" t="e">
        <f>VLOOKUP(A4175,Products!A$322:$D4175,4,FALSE)</f>
        <v>#N/A</v>
      </c>
    </row>
    <row r="4176" spans="1:3" x14ac:dyDescent="0.35">
      <c r="A4176" s="21">
        <v>141</v>
      </c>
      <c r="B4176" t="str">
        <f>VLOOKUP(A4176,Products!$A$1:$F$322,2,FALSE)</f>
        <v>Trek Stache 5 - 2018</v>
      </c>
      <c r="C4176" s="21" t="e">
        <f>VLOOKUP(A4176,Products!A$322:$D4176,4,FALSE)</f>
        <v>#N/A</v>
      </c>
    </row>
    <row r="4177" spans="1:3" x14ac:dyDescent="0.35">
      <c r="A4177" s="21">
        <v>29</v>
      </c>
      <c r="B4177" t="str">
        <f>VLOOKUP(A4177,Products!$A$1:$F$322,2,FALSE)</f>
        <v>Trek X-Caliber 8 - 2017</v>
      </c>
      <c r="C4177" s="21" t="e">
        <f>VLOOKUP(A4177,Products!A$322:$D4177,4,FALSE)</f>
        <v>#N/A</v>
      </c>
    </row>
    <row r="4178" spans="1:3" x14ac:dyDescent="0.35">
      <c r="A4178" s="21">
        <v>60</v>
      </c>
      <c r="B4178" t="str">
        <f>VLOOKUP(A4178,Products!$A$1:$F$322,2,FALSE)</f>
        <v>Sun Bicycles ElectroLite - 2017</v>
      </c>
      <c r="C4178" s="21" t="e">
        <f>VLOOKUP(A4178,Products!A$322:$D4178,4,FALSE)</f>
        <v>#N/A</v>
      </c>
    </row>
    <row r="4179" spans="1:3" x14ac:dyDescent="0.35">
      <c r="A4179" s="21">
        <v>260</v>
      </c>
      <c r="B4179" t="str">
        <f>VLOOKUP(A4179,Products!$A$1:$F$322,2,FALSE)</f>
        <v>Electra Townie Balloon 3i EQ Ladies' - 2018</v>
      </c>
      <c r="C4179" s="21" t="e">
        <f>VLOOKUP(A4179,Products!A$322:$D4179,4,FALSE)</f>
        <v>#N/A</v>
      </c>
    </row>
    <row r="4180" spans="1:3" x14ac:dyDescent="0.35">
      <c r="A4180" s="21">
        <v>244</v>
      </c>
      <c r="B4180" t="str">
        <f>VLOOKUP(A4180,Products!$A$1:$F$322,2,FALSE)</f>
        <v>Electra Townie Original 21D Ladies' - 2018</v>
      </c>
      <c r="C4180" s="21" t="e">
        <f>VLOOKUP(A4180,Products!A$322:$D4180,4,FALSE)</f>
        <v>#N/A</v>
      </c>
    </row>
    <row r="4181" spans="1:3" x14ac:dyDescent="0.35">
      <c r="A4181" s="21">
        <v>141</v>
      </c>
      <c r="B4181" t="str">
        <f>VLOOKUP(A4181,Products!$A$1:$F$322,2,FALSE)</f>
        <v>Trek Stache 5 - 2018</v>
      </c>
      <c r="C4181" s="21" t="e">
        <f>VLOOKUP(A4181,Products!A$322:$D4181,4,FALSE)</f>
        <v>#N/A</v>
      </c>
    </row>
    <row r="4182" spans="1:3" x14ac:dyDescent="0.35">
      <c r="A4182" s="21">
        <v>225</v>
      </c>
      <c r="B4182" t="str">
        <f>VLOOKUP(A4182,Products!$A$1:$F$322,2,FALSE)</f>
        <v>Electra Delivery 3i - 2016/2017/2018</v>
      </c>
      <c r="C4182" s="21" t="e">
        <f>VLOOKUP(A4182,Products!A$322:$D4182,4,FALSE)</f>
        <v>#N/A</v>
      </c>
    </row>
    <row r="4183" spans="1:3" x14ac:dyDescent="0.35">
      <c r="A4183" s="21">
        <v>140</v>
      </c>
      <c r="B4183" t="str">
        <f>VLOOKUP(A4183,Products!$A$1:$F$322,2,FALSE)</f>
        <v>Trek Remedy 9.8 27.5 - 2018</v>
      </c>
      <c r="C4183" s="21" t="e">
        <f>VLOOKUP(A4183,Products!A$322:$D4183,4,FALSE)</f>
        <v>#N/A</v>
      </c>
    </row>
    <row r="4184" spans="1:3" x14ac:dyDescent="0.35">
      <c r="A4184" s="21">
        <v>81</v>
      </c>
      <c r="B4184" t="str">
        <f>VLOOKUP(A4184,Products!$A$1:$F$322,2,FALSE)</f>
        <v>Electra Amsterdam Fashion 7i Ladies' - 2017</v>
      </c>
      <c r="C4184" s="21" t="e">
        <f>VLOOKUP(A4184,Products!A$322:$D4184,4,FALSE)</f>
        <v>#N/A</v>
      </c>
    </row>
    <row r="4185" spans="1:3" x14ac:dyDescent="0.35">
      <c r="A4185" s="21">
        <v>137</v>
      </c>
      <c r="B4185" t="str">
        <f>VLOOKUP(A4185,Products!$A$1:$F$322,2,FALSE)</f>
        <v>Heller Shagamaw GX1 - 2018</v>
      </c>
      <c r="C4185" s="21" t="e">
        <f>VLOOKUP(A4185,Products!A$322:$D4185,4,FALSE)</f>
        <v>#N/A</v>
      </c>
    </row>
    <row r="4186" spans="1:3" x14ac:dyDescent="0.35">
      <c r="A4186" s="21">
        <v>190</v>
      </c>
      <c r="B4186" t="str">
        <f>VLOOKUP(A4186,Products!$A$1:$F$322,2,FALSE)</f>
        <v>Trek Dual Sport+ - 2018</v>
      </c>
      <c r="C4186" s="21" t="e">
        <f>VLOOKUP(A4186,Products!A$322:$D4186,4,FALSE)</f>
        <v>#N/A</v>
      </c>
    </row>
    <row r="4187" spans="1:3" x14ac:dyDescent="0.35">
      <c r="A4187" s="21">
        <v>42</v>
      </c>
      <c r="B4187" t="str">
        <f>VLOOKUP(A4187,Products!$A$1:$F$322,2,FALSE)</f>
        <v>Trek Fuel EX 5 27.5 Plus - 2017</v>
      </c>
      <c r="C4187" s="21" t="e">
        <f>VLOOKUP(A4187,Products!A$322:$D4187,4,FALSE)</f>
        <v>#N/A</v>
      </c>
    </row>
    <row r="4188" spans="1:3" x14ac:dyDescent="0.35">
      <c r="A4188" s="21">
        <v>263</v>
      </c>
      <c r="B4188" t="str">
        <f>VLOOKUP(A4188,Products!$A$1:$F$322,2,FALSE)</f>
        <v>Strider Classic 12 Balance Bike - 2018</v>
      </c>
      <c r="C4188" s="21" t="e">
        <f>VLOOKUP(A4188,Products!A$322:$D4188,4,FALSE)</f>
        <v>#N/A</v>
      </c>
    </row>
    <row r="4189" spans="1:3" x14ac:dyDescent="0.35">
      <c r="A4189" s="21">
        <v>102</v>
      </c>
      <c r="B4189" t="str">
        <f>VLOOKUP(A4189,Products!$A$1:$F$322,2,FALSE)</f>
        <v>Electra Townie Original 7D - 2017</v>
      </c>
      <c r="C4189" s="21" t="e">
        <f>VLOOKUP(A4189,Products!A$322:$D4189,4,FALSE)</f>
        <v>#N/A</v>
      </c>
    </row>
    <row r="4190" spans="1:3" x14ac:dyDescent="0.35">
      <c r="A4190" s="21">
        <v>149</v>
      </c>
      <c r="B4190" t="str">
        <f>VLOOKUP(A4190,Products!$A$1:$F$322,2,FALSE)</f>
        <v>Trek Domane SLR 8 Disc - 2018</v>
      </c>
      <c r="C4190" s="21" t="e">
        <f>VLOOKUP(A4190,Products!A$322:$D4190,4,FALSE)</f>
        <v>#N/A</v>
      </c>
    </row>
    <row r="4191" spans="1:3" x14ac:dyDescent="0.35">
      <c r="A4191" s="21">
        <v>116</v>
      </c>
      <c r="B4191" t="str">
        <f>VLOOKUP(A4191,Products!$A$1:$F$322,2,FALSE)</f>
        <v>Trek Marlin 7 - 2017/2018</v>
      </c>
      <c r="C4191" s="21" t="e">
        <f>VLOOKUP(A4191,Products!A$322:$D4191,4,FALSE)</f>
        <v>#N/A</v>
      </c>
    </row>
    <row r="4192" spans="1:3" x14ac:dyDescent="0.35">
      <c r="A4192" s="21">
        <v>109</v>
      </c>
      <c r="B4192" t="str">
        <f>VLOOKUP(A4192,Products!$A$1:$F$322,2,FALSE)</f>
        <v>Sun Bicycles Cruz 7 - Women's - 2017</v>
      </c>
      <c r="C4192" s="21" t="e">
        <f>VLOOKUP(A4192,Products!A$322:$D4192,4,FALSE)</f>
        <v>#N/A</v>
      </c>
    </row>
    <row r="4193" spans="1:3" x14ac:dyDescent="0.35">
      <c r="A4193" s="21">
        <v>186</v>
      </c>
      <c r="B4193" t="str">
        <f>VLOOKUP(A4193,Products!$A$1:$F$322,2,FALSE)</f>
        <v>Trek CrossRip+ - 2018</v>
      </c>
      <c r="C4193" s="21" t="e">
        <f>VLOOKUP(A4193,Products!A$322:$D4193,4,FALSE)</f>
        <v>#N/A</v>
      </c>
    </row>
    <row r="4194" spans="1:3" x14ac:dyDescent="0.35">
      <c r="A4194" s="21">
        <v>178</v>
      </c>
      <c r="B4194" t="str">
        <f>VLOOKUP(A4194,Products!$A$1:$F$322,2,FALSE)</f>
        <v>Trek Domane AL 2 - 2018</v>
      </c>
      <c r="C4194" s="21" t="e">
        <f>VLOOKUP(A4194,Products!A$322:$D4194,4,FALSE)</f>
        <v>#N/A</v>
      </c>
    </row>
    <row r="4195" spans="1:3" x14ac:dyDescent="0.35">
      <c r="A4195" s="21">
        <v>67</v>
      </c>
      <c r="B4195" t="str">
        <f>VLOOKUP(A4195,Products!$A$1:$F$322,2,FALSE)</f>
        <v>Sun Bicycles Revolutions 24 - Girl's - 2017</v>
      </c>
      <c r="C4195" s="21" t="e">
        <f>VLOOKUP(A4195,Products!A$322:$D4195,4,FALSE)</f>
        <v>#N/A</v>
      </c>
    </row>
    <row r="4196" spans="1:3" x14ac:dyDescent="0.35">
      <c r="A4196" s="21">
        <v>6</v>
      </c>
      <c r="B4196" t="str">
        <f>VLOOKUP(A4196,Products!$A$1:$F$322,2,FALSE)</f>
        <v>Surly Ice Cream Truck Frameset - 2016</v>
      </c>
      <c r="C4196" s="21" t="e">
        <f>VLOOKUP(A4196,Products!A$322:$D4196,4,FALSE)</f>
        <v>#N/A</v>
      </c>
    </row>
    <row r="4197" spans="1:3" x14ac:dyDescent="0.35">
      <c r="A4197" s="21">
        <v>242</v>
      </c>
      <c r="B4197" t="str">
        <f>VLOOKUP(A4197,Products!$A$1:$F$322,2,FALSE)</f>
        <v>Electra Townie Commute 8D Ladies' - 2018</v>
      </c>
      <c r="C4197" s="21" t="e">
        <f>VLOOKUP(A4197,Products!A$322:$D4197,4,FALSE)</f>
        <v>#N/A</v>
      </c>
    </row>
    <row r="4198" spans="1:3" x14ac:dyDescent="0.35">
      <c r="A4198" s="21">
        <v>46</v>
      </c>
      <c r="B4198" t="str">
        <f>VLOOKUP(A4198,Products!$A$1:$F$322,2,FALSE)</f>
        <v>Haro SR 1.3 - 2017</v>
      </c>
      <c r="C4198" s="21" t="e">
        <f>VLOOKUP(A4198,Products!A$322:$D4198,4,FALSE)</f>
        <v>#N/A</v>
      </c>
    </row>
    <row r="4199" spans="1:3" x14ac:dyDescent="0.35">
      <c r="A4199" s="21">
        <v>160</v>
      </c>
      <c r="B4199" t="str">
        <f>VLOOKUP(A4199,Products!$A$1:$F$322,2,FALSE)</f>
        <v>Trek Emonda SLR 6 - 2018</v>
      </c>
      <c r="C4199" s="21" t="e">
        <f>VLOOKUP(A4199,Products!A$322:$D4199,4,FALSE)</f>
        <v>#N/A</v>
      </c>
    </row>
    <row r="4200" spans="1:3" x14ac:dyDescent="0.35">
      <c r="A4200" s="21">
        <v>220</v>
      </c>
      <c r="B4200" t="str">
        <f>VLOOKUP(A4200,Products!$A$1:$F$322,2,FALSE)</f>
        <v>Electra Cruiser 1 Ladies' - 2018</v>
      </c>
      <c r="C4200" s="21" t="e">
        <f>VLOOKUP(A4200,Products!A$322:$D4200,4,FALSE)</f>
        <v>#N/A</v>
      </c>
    </row>
    <row r="4201" spans="1:3" x14ac:dyDescent="0.35">
      <c r="A4201" s="21">
        <v>271</v>
      </c>
      <c r="B4201" t="str">
        <f>VLOOKUP(A4201,Products!$A$1:$F$322,2,FALSE)</f>
        <v>Trek Precaliber 16 Girl's - 2018</v>
      </c>
      <c r="C4201" s="21" t="e">
        <f>VLOOKUP(A4201,Products!A$322:$D4201,4,FALSE)</f>
        <v>#N/A</v>
      </c>
    </row>
    <row r="4202" spans="1:3" x14ac:dyDescent="0.35">
      <c r="A4202" s="21">
        <v>160</v>
      </c>
      <c r="B4202" t="str">
        <f>VLOOKUP(A4202,Products!$A$1:$F$322,2,FALSE)</f>
        <v>Trek Emonda SLR 6 - 2018</v>
      </c>
      <c r="C4202" s="21" t="e">
        <f>VLOOKUP(A4202,Products!A$322:$D4202,4,FALSE)</f>
        <v>#N/A</v>
      </c>
    </row>
    <row r="4203" spans="1:3" x14ac:dyDescent="0.35">
      <c r="A4203" s="21">
        <v>57</v>
      </c>
      <c r="B4203" t="str">
        <f>VLOOKUP(A4203,Products!$A$1:$F$322,2,FALSE)</f>
        <v>Trek Emonda S 5 - 2017</v>
      </c>
      <c r="C4203" s="21" t="e">
        <f>VLOOKUP(A4203,Products!A$322:$D4203,4,FALSE)</f>
        <v>#N/A</v>
      </c>
    </row>
    <row r="4204" spans="1:3" x14ac:dyDescent="0.35">
      <c r="A4204" s="21">
        <v>101</v>
      </c>
      <c r="B4204" t="str">
        <f>VLOOKUP(A4204,Products!$A$1:$F$322,2,FALSE)</f>
        <v>Electra Townie 7D (20-inch) - Boys' - 2017</v>
      </c>
      <c r="C4204" s="21" t="e">
        <f>VLOOKUP(A4204,Products!A$322:$D4204,4,FALSE)</f>
        <v>#N/A</v>
      </c>
    </row>
    <row r="4205" spans="1:3" x14ac:dyDescent="0.35">
      <c r="A4205" s="21">
        <v>90</v>
      </c>
      <c r="B4205" t="str">
        <f>VLOOKUP(A4205,Products!$A$1:$F$322,2,FALSE)</f>
        <v>Trek Precaliber 16 Girls - 2017</v>
      </c>
      <c r="C4205" s="21" t="e">
        <f>VLOOKUP(A4205,Products!A$322:$D4205,4,FALSE)</f>
        <v>#N/A</v>
      </c>
    </row>
    <row r="4206" spans="1:3" x14ac:dyDescent="0.35">
      <c r="A4206" s="21">
        <v>128</v>
      </c>
      <c r="B4206" t="str">
        <f>VLOOKUP(A4206,Products!$A$1:$F$322,2,FALSE)</f>
        <v>Surly ECR 27.5 - 2018</v>
      </c>
      <c r="C4206" s="21" t="e">
        <f>VLOOKUP(A4206,Products!A$322:$D4206,4,FALSE)</f>
        <v>#N/A</v>
      </c>
    </row>
    <row r="4207" spans="1:3" x14ac:dyDescent="0.35">
      <c r="A4207" s="21">
        <v>219</v>
      </c>
      <c r="B4207" t="str">
        <f>VLOOKUP(A4207,Products!$A$1:$F$322,2,FALSE)</f>
        <v>Electra Moto 3i - 2018</v>
      </c>
      <c r="C4207" s="21" t="e">
        <f>VLOOKUP(A4207,Products!A$322:$D4207,4,FALSE)</f>
        <v>#N/A</v>
      </c>
    </row>
    <row r="4208" spans="1:3" x14ac:dyDescent="0.35">
      <c r="A4208" s="21">
        <v>52</v>
      </c>
      <c r="B4208" t="str">
        <f>VLOOKUP(A4208,Products!$A$1:$F$322,2,FALSE)</f>
        <v>Surly Steamroller - 2017</v>
      </c>
      <c r="C4208" s="21" t="e">
        <f>VLOOKUP(A4208,Products!A$322:$D4208,4,FALSE)</f>
        <v>#N/A</v>
      </c>
    </row>
    <row r="4209" spans="1:3" x14ac:dyDescent="0.35">
      <c r="A4209" s="21">
        <v>123</v>
      </c>
      <c r="B4209" t="str">
        <f>VLOOKUP(A4209,Products!$A$1:$F$322,2,FALSE)</f>
        <v>Trek Farley Carbon Frameset - 2018</v>
      </c>
      <c r="C4209" s="21" t="e">
        <f>VLOOKUP(A4209,Products!A$322:$D4209,4,FALSE)</f>
        <v>#N/A</v>
      </c>
    </row>
    <row r="4210" spans="1:3" x14ac:dyDescent="0.35">
      <c r="A4210" s="21">
        <v>227</v>
      </c>
      <c r="B4210" t="str">
        <f>VLOOKUP(A4210,Products!$A$1:$F$322,2,FALSE)</f>
        <v>Electra Cruiser 7D (24-Inch) Ladies' - 2016/2018</v>
      </c>
      <c r="C4210" s="21" t="e">
        <f>VLOOKUP(A4210,Products!A$322:$D4210,4,FALSE)</f>
        <v>#N/A</v>
      </c>
    </row>
    <row r="4211" spans="1:3" x14ac:dyDescent="0.35">
      <c r="A4211" s="21">
        <v>233</v>
      </c>
      <c r="B4211" t="str">
        <f>VLOOKUP(A4211,Products!$A$1:$F$322,2,FALSE)</f>
        <v>Electra Cruiser Lux Fat Tire 7D - 2018</v>
      </c>
      <c r="C4211" s="21" t="e">
        <f>VLOOKUP(A4211,Products!A$322:$D4211,4,FALSE)</f>
        <v>#N/A</v>
      </c>
    </row>
    <row r="4212" spans="1:3" x14ac:dyDescent="0.35">
      <c r="A4212" s="21">
        <v>234</v>
      </c>
      <c r="B4212" t="str">
        <f>VLOOKUP(A4212,Products!$A$1:$F$322,2,FALSE)</f>
        <v>Electra Daydreamer 3i Ladies' - 2018</v>
      </c>
      <c r="C4212" s="21" t="e">
        <f>VLOOKUP(A4212,Products!A$322:$D4212,4,FALSE)</f>
        <v>#N/A</v>
      </c>
    </row>
    <row r="4213" spans="1:3" x14ac:dyDescent="0.35">
      <c r="A4213" s="21">
        <v>148</v>
      </c>
      <c r="B4213" t="str">
        <f>VLOOKUP(A4213,Products!$A$1:$F$322,2,FALSE)</f>
        <v>Trek Domane SL 8 Disc - 2018</v>
      </c>
      <c r="C4213" s="21" t="e">
        <f>VLOOKUP(A4213,Products!A$322:$D4213,4,FALSE)</f>
        <v>#N/A</v>
      </c>
    </row>
    <row r="4214" spans="1:3" x14ac:dyDescent="0.35">
      <c r="A4214" s="21">
        <v>239</v>
      </c>
      <c r="B4214" t="str">
        <f>VLOOKUP(A4214,Products!$A$1:$F$322,2,FALSE)</f>
        <v>Electra Townie Balloon 8D EQ Ladies' - 2016/2017/2018</v>
      </c>
      <c r="C4214" s="21" t="e">
        <f>VLOOKUP(A4214,Products!A$322:$D4214,4,FALSE)</f>
        <v>#N/A</v>
      </c>
    </row>
    <row r="4215" spans="1:3" x14ac:dyDescent="0.35">
      <c r="A4215" s="21">
        <v>159</v>
      </c>
      <c r="B4215" t="str">
        <f>VLOOKUP(A4215,Products!$A$1:$F$322,2,FALSE)</f>
        <v>Trek Emonda ALR 6 - 2018</v>
      </c>
      <c r="C4215" s="21" t="e">
        <f>VLOOKUP(A4215,Products!A$322:$D4215,4,FALSE)</f>
        <v>#N/A</v>
      </c>
    </row>
    <row r="4216" spans="1:3" x14ac:dyDescent="0.35">
      <c r="A4216" s="21">
        <v>55</v>
      </c>
      <c r="B4216" t="str">
        <f>VLOOKUP(A4216,Products!$A$1:$F$322,2,FALSE)</f>
        <v>Trek Domane S 6 - 2017</v>
      </c>
      <c r="C4216" s="21" t="e">
        <f>VLOOKUP(A4216,Products!A$322:$D4216,4,FALSE)</f>
        <v>#N/A</v>
      </c>
    </row>
    <row r="4217" spans="1:3" x14ac:dyDescent="0.35">
      <c r="A4217" s="21">
        <v>260</v>
      </c>
      <c r="B4217" t="str">
        <f>VLOOKUP(A4217,Products!$A$1:$F$322,2,FALSE)</f>
        <v>Electra Townie Balloon 3i EQ Ladies' - 2018</v>
      </c>
      <c r="C4217" s="21" t="e">
        <f>VLOOKUP(A4217,Products!A$322:$D4217,4,FALSE)</f>
        <v>#N/A</v>
      </c>
    </row>
    <row r="4218" spans="1:3" x14ac:dyDescent="0.35">
      <c r="A4218" s="21">
        <v>252</v>
      </c>
      <c r="B4218" t="str">
        <f>VLOOKUP(A4218,Products!$A$1:$F$322,2,FALSE)</f>
        <v>Electra Townie Commute Go! Ladies' - 2018</v>
      </c>
      <c r="C4218" s="21" t="e">
        <f>VLOOKUP(A4218,Products!A$322:$D4218,4,FALSE)</f>
        <v>#N/A</v>
      </c>
    </row>
    <row r="4219" spans="1:3" x14ac:dyDescent="0.35">
      <c r="A4219" s="21">
        <v>14</v>
      </c>
      <c r="B4219" t="str">
        <f>VLOOKUP(A4219,Products!$A$1:$F$322,2,FALSE)</f>
        <v>Electra Girl's Hawaii 1 (16-inch) - 2015/2016</v>
      </c>
      <c r="C4219" s="21" t="e">
        <f>VLOOKUP(A4219,Products!A$322:$D4219,4,FALSE)</f>
        <v>#N/A</v>
      </c>
    </row>
    <row r="4220" spans="1:3" x14ac:dyDescent="0.35">
      <c r="A4220" s="21">
        <v>98</v>
      </c>
      <c r="B4220" t="str">
        <f>VLOOKUP(A4220,Products!$A$1:$F$322,2,FALSE)</f>
        <v>Electra Straight 8 3i (20-inch) - Boy's - 2017</v>
      </c>
      <c r="C4220" s="21" t="e">
        <f>VLOOKUP(A4220,Products!A$322:$D4220,4,FALSE)</f>
        <v>#N/A</v>
      </c>
    </row>
    <row r="4221" spans="1:3" x14ac:dyDescent="0.35">
      <c r="A4221" s="21">
        <v>173</v>
      </c>
      <c r="B4221" t="str">
        <f>VLOOKUP(A4221,Products!$A$1:$F$322,2,FALSE)</f>
        <v>Trek Domane ALR Frameset - 2018</v>
      </c>
      <c r="C4221" s="21" t="e">
        <f>VLOOKUP(A4221,Products!A$322:$D4221,4,FALSE)</f>
        <v>#N/A</v>
      </c>
    </row>
    <row r="4222" spans="1:3" x14ac:dyDescent="0.35">
      <c r="A4222" s="21">
        <v>299</v>
      </c>
      <c r="B4222" t="str">
        <f>VLOOKUP(A4222,Products!$A$1:$F$322,2,FALSE)</f>
        <v>Electra Townie Original 21D - 2018</v>
      </c>
      <c r="C4222" s="21" t="e">
        <f>VLOOKUP(A4222,Products!A$322:$D4222,4,FALSE)</f>
        <v>#N/A</v>
      </c>
    </row>
    <row r="4223" spans="1:3" x14ac:dyDescent="0.35">
      <c r="A4223" s="21">
        <v>209</v>
      </c>
      <c r="B4223" t="str">
        <f>VLOOKUP(A4223,Products!$A$1:$F$322,2,FALSE)</f>
        <v>Trek Crockett 7 Disc - 2018</v>
      </c>
      <c r="C4223" s="21" t="e">
        <f>VLOOKUP(A4223,Products!A$322:$D4223,4,FALSE)</f>
        <v>#N/A</v>
      </c>
    </row>
    <row r="4224" spans="1:3" x14ac:dyDescent="0.35">
      <c r="A4224" s="21">
        <v>235</v>
      </c>
      <c r="B4224" t="str">
        <f>VLOOKUP(A4224,Products!$A$1:$F$322,2,FALSE)</f>
        <v>Electra Koa 3i Ladies' - 2018</v>
      </c>
      <c r="C4224" s="21" t="e">
        <f>VLOOKUP(A4224,Products!A$322:$D4224,4,FALSE)</f>
        <v>#N/A</v>
      </c>
    </row>
    <row r="4225" spans="1:3" x14ac:dyDescent="0.35">
      <c r="A4225" s="21">
        <v>117</v>
      </c>
      <c r="B4225" t="str">
        <f>VLOOKUP(A4225,Products!$A$1:$F$322,2,FALSE)</f>
        <v>Trek Ticket S Frame - 2018</v>
      </c>
      <c r="C4225" s="21" t="e">
        <f>VLOOKUP(A4225,Products!A$322:$D4225,4,FALSE)</f>
        <v>#N/A</v>
      </c>
    </row>
    <row r="4226" spans="1:3" x14ac:dyDescent="0.35">
      <c r="A4226" s="21">
        <v>99</v>
      </c>
      <c r="B4226" t="str">
        <f>VLOOKUP(A4226,Products!$A$1:$F$322,2,FALSE)</f>
        <v>Electra Sugar Skulls 1 (20-inch) - Girl's - 2017</v>
      </c>
      <c r="C4226" s="21" t="e">
        <f>VLOOKUP(A4226,Products!A$322:$D4226,4,FALSE)</f>
        <v>#N/A</v>
      </c>
    </row>
    <row r="4227" spans="1:3" x14ac:dyDescent="0.35">
      <c r="A4227" s="21">
        <v>234</v>
      </c>
      <c r="B4227" t="str">
        <f>VLOOKUP(A4227,Products!$A$1:$F$322,2,FALSE)</f>
        <v>Electra Daydreamer 3i Ladies' - 2018</v>
      </c>
      <c r="C4227" s="21" t="e">
        <f>VLOOKUP(A4227,Products!A$322:$D4227,4,FALSE)</f>
        <v>#N/A</v>
      </c>
    </row>
    <row r="4228" spans="1:3" x14ac:dyDescent="0.35">
      <c r="A4228" s="21">
        <v>86</v>
      </c>
      <c r="B4228" t="str">
        <f>VLOOKUP(A4228,Products!$A$1:$F$322,2,FALSE)</f>
        <v>Trek Girl's Kickster - 2017</v>
      </c>
      <c r="C4228" s="21" t="e">
        <f>VLOOKUP(A4228,Products!A$322:$D4228,4,FALSE)</f>
        <v>#N/A</v>
      </c>
    </row>
    <row r="4229" spans="1:3" x14ac:dyDescent="0.35">
      <c r="A4229" s="21">
        <v>109</v>
      </c>
      <c r="B4229" t="str">
        <f>VLOOKUP(A4229,Products!$A$1:$F$322,2,FALSE)</f>
        <v>Sun Bicycles Cruz 7 - Women's - 2017</v>
      </c>
      <c r="C4229" s="21" t="e">
        <f>VLOOKUP(A4229,Products!A$322:$D4229,4,FALSE)</f>
        <v>#N/A</v>
      </c>
    </row>
    <row r="4230" spans="1:3" x14ac:dyDescent="0.35">
      <c r="A4230" s="21">
        <v>89</v>
      </c>
      <c r="B4230" t="str">
        <f>VLOOKUP(A4230,Products!$A$1:$F$322,2,FALSE)</f>
        <v>Trek Precaliber 16 Boys - 2017</v>
      </c>
      <c r="C4230" s="21" t="e">
        <f>VLOOKUP(A4230,Products!A$322:$D4230,4,FALSE)</f>
        <v>#N/A</v>
      </c>
    </row>
    <row r="4231" spans="1:3" x14ac:dyDescent="0.35">
      <c r="A4231" s="21">
        <v>283</v>
      </c>
      <c r="B4231" t="str">
        <f>VLOOKUP(A4231,Products!$A$1:$F$322,2,FALSE)</f>
        <v>Electra Heartchya 1 (20-inch) - Girl's - 2018</v>
      </c>
      <c r="C4231" s="21" t="e">
        <f>VLOOKUP(A4231,Products!A$322:$D4231,4,FALSE)</f>
        <v>#N/A</v>
      </c>
    </row>
    <row r="4232" spans="1:3" x14ac:dyDescent="0.35">
      <c r="A4232" s="21">
        <v>35</v>
      </c>
      <c r="B4232" t="str">
        <f>VLOOKUP(A4232,Products!$A$1:$F$322,2,FALSE)</f>
        <v>Sun Bicycles Spider 3i - 2017</v>
      </c>
      <c r="C4232" s="21" t="e">
        <f>VLOOKUP(A4232,Products!A$322:$D4232,4,FALSE)</f>
        <v>#N/A</v>
      </c>
    </row>
    <row r="4233" spans="1:3" x14ac:dyDescent="0.35">
      <c r="A4233" s="21">
        <v>124</v>
      </c>
      <c r="B4233" t="str">
        <f>VLOOKUP(A4233,Products!$A$1:$F$322,2,FALSE)</f>
        <v>Surly Krampus - 2018</v>
      </c>
      <c r="C4233" s="21" t="e">
        <f>VLOOKUP(A4233,Products!A$322:$D4233,4,FALSE)</f>
        <v>#N/A</v>
      </c>
    </row>
    <row r="4234" spans="1:3" x14ac:dyDescent="0.35">
      <c r="A4234" s="21">
        <v>38</v>
      </c>
      <c r="B4234" t="str">
        <f>VLOOKUP(A4234,Products!$A$1:$F$322,2,FALSE)</f>
        <v>Haro Flightline Two 26 Plus - 2017</v>
      </c>
      <c r="C4234" s="21" t="e">
        <f>VLOOKUP(A4234,Products!A$322:$D4234,4,FALSE)</f>
        <v>#N/A</v>
      </c>
    </row>
    <row r="4235" spans="1:3" x14ac:dyDescent="0.35">
      <c r="A4235" s="21">
        <v>101</v>
      </c>
      <c r="B4235" t="str">
        <f>VLOOKUP(A4235,Products!$A$1:$F$322,2,FALSE)</f>
        <v>Electra Townie 7D (20-inch) - Boys' - 2017</v>
      </c>
      <c r="C4235" s="21" t="e">
        <f>VLOOKUP(A4235,Products!A$322:$D4235,4,FALSE)</f>
        <v>#N/A</v>
      </c>
    </row>
    <row r="4236" spans="1:3" x14ac:dyDescent="0.35">
      <c r="A4236" s="21">
        <v>254</v>
      </c>
      <c r="B4236" t="str">
        <f>VLOOKUP(A4236,Products!$A$1:$F$322,2,FALSE)</f>
        <v>Electra Townie Balloon 3i EQ - 2017/2018</v>
      </c>
      <c r="C4236" s="21" t="e">
        <f>VLOOKUP(A4236,Products!A$322:$D4236,4,FALSE)</f>
        <v>#N/A</v>
      </c>
    </row>
    <row r="4237" spans="1:3" x14ac:dyDescent="0.35">
      <c r="A4237" s="21">
        <v>193</v>
      </c>
      <c r="B4237" t="str">
        <f>VLOOKUP(A4237,Products!$A$1:$F$322,2,FALSE)</f>
        <v>Trek Lift+ - 2018</v>
      </c>
      <c r="C4237" s="21" t="e">
        <f>VLOOKUP(A4237,Products!A$322:$D4237,4,FALSE)</f>
        <v>#N/A</v>
      </c>
    </row>
    <row r="4238" spans="1:3" x14ac:dyDescent="0.35">
      <c r="A4238" s="21">
        <v>246</v>
      </c>
      <c r="B4238" t="str">
        <f>VLOOKUP(A4238,Products!$A$1:$F$322,2,FALSE)</f>
        <v>Electra Townie Original 3i EQ Ladies' - 2018</v>
      </c>
      <c r="C4238" s="21" t="e">
        <f>VLOOKUP(A4238,Products!A$322:$D4238,4,FALSE)</f>
        <v>#N/A</v>
      </c>
    </row>
    <row r="4239" spans="1:3" x14ac:dyDescent="0.35">
      <c r="A4239" s="21">
        <v>268</v>
      </c>
      <c r="B4239" t="str">
        <f>VLOOKUP(A4239,Products!$A$1:$F$322,2,FALSE)</f>
        <v>Trek Kickster - 2018</v>
      </c>
      <c r="C4239" s="21" t="e">
        <f>VLOOKUP(A4239,Products!A$322:$D4239,4,FALSE)</f>
        <v>#N/A</v>
      </c>
    </row>
    <row r="4240" spans="1:3" x14ac:dyDescent="0.35">
      <c r="A4240" s="21">
        <v>272</v>
      </c>
      <c r="B4240" t="str">
        <f>VLOOKUP(A4240,Products!$A$1:$F$322,2,FALSE)</f>
        <v>Trek Precaliber 20 6-speed Boy's - 2018</v>
      </c>
      <c r="C4240" s="21" t="e">
        <f>VLOOKUP(A4240,Products!A$322:$D4240,4,FALSE)</f>
        <v>#N/A</v>
      </c>
    </row>
    <row r="4241" spans="1:3" x14ac:dyDescent="0.35">
      <c r="A4241" s="21">
        <v>126</v>
      </c>
      <c r="B4241" t="str">
        <f>VLOOKUP(A4241,Products!$A$1:$F$322,2,FALSE)</f>
        <v>Surly Big Fat Dummy Frameset - 2018</v>
      </c>
      <c r="C4241" s="21" t="e">
        <f>VLOOKUP(A4241,Products!A$322:$D4241,4,FALSE)</f>
        <v>#N/A</v>
      </c>
    </row>
    <row r="4242" spans="1:3" x14ac:dyDescent="0.35">
      <c r="A4242" s="21">
        <v>113</v>
      </c>
      <c r="B4242" t="str">
        <f>VLOOKUP(A4242,Products!$A$1:$F$322,2,FALSE)</f>
        <v>Trek Marlin 5 - 2018</v>
      </c>
      <c r="C4242" s="21" t="e">
        <f>VLOOKUP(A4242,Products!A$322:$D4242,4,FALSE)</f>
        <v>#N/A</v>
      </c>
    </row>
    <row r="4243" spans="1:3" x14ac:dyDescent="0.35">
      <c r="A4243" s="21">
        <v>111</v>
      </c>
      <c r="B4243" t="str">
        <f>VLOOKUP(A4243,Products!$A$1:$F$322,2,FALSE)</f>
        <v>Sun Bicycles Drifter 7 - Women's - 2017</v>
      </c>
      <c r="C4243" s="21" t="e">
        <f>VLOOKUP(A4243,Products!A$322:$D4243,4,FALSE)</f>
        <v>#N/A</v>
      </c>
    </row>
    <row r="4244" spans="1:3" x14ac:dyDescent="0.35">
      <c r="A4244" s="21">
        <v>268</v>
      </c>
      <c r="B4244" t="str">
        <f>VLOOKUP(A4244,Products!$A$1:$F$322,2,FALSE)</f>
        <v>Trek Kickster - 2018</v>
      </c>
      <c r="C4244" s="21" t="e">
        <f>VLOOKUP(A4244,Products!A$322:$D4244,4,FALSE)</f>
        <v>#N/A</v>
      </c>
    </row>
    <row r="4245" spans="1:3" x14ac:dyDescent="0.35">
      <c r="A4245" s="21">
        <v>152</v>
      </c>
      <c r="B4245" t="str">
        <f>VLOOKUP(A4245,Products!$A$1:$F$322,2,FALSE)</f>
        <v>Trek Domane SL 5 Disc Women's - 2018</v>
      </c>
      <c r="C4245" s="21" t="e">
        <f>VLOOKUP(A4245,Products!A$322:$D4245,4,FALSE)</f>
        <v>#N/A</v>
      </c>
    </row>
    <row r="4246" spans="1:3" x14ac:dyDescent="0.35">
      <c r="A4246" s="21">
        <v>295</v>
      </c>
      <c r="B4246" t="str">
        <f>VLOOKUP(A4246,Products!$A$1:$F$322,2,FALSE)</f>
        <v>Electra Treasure 1 20" - 2018</v>
      </c>
      <c r="C4246" s="21" t="e">
        <f>VLOOKUP(A4246,Products!A$322:$D4246,4,FALSE)</f>
        <v>#N/A</v>
      </c>
    </row>
    <row r="4247" spans="1:3" x14ac:dyDescent="0.35">
      <c r="A4247" s="21">
        <v>105</v>
      </c>
      <c r="B4247" t="str">
        <f>VLOOKUP(A4247,Products!$A$1:$F$322,2,FALSE)</f>
        <v>Sun Bicycles Streamway 7 - 2017</v>
      </c>
      <c r="C4247" s="21" t="e">
        <f>VLOOKUP(A4247,Products!A$322:$D4247,4,FALSE)</f>
        <v>#N/A</v>
      </c>
    </row>
    <row r="4248" spans="1:3" x14ac:dyDescent="0.35">
      <c r="A4248" s="21">
        <v>12</v>
      </c>
      <c r="B4248" t="str">
        <f>VLOOKUP(A4248,Products!$A$1:$F$322,2,FALSE)</f>
        <v>Electra Townie Original 21D - 2016</v>
      </c>
      <c r="C4248" s="21" t="e">
        <f>VLOOKUP(A4248,Products!A$322:$D4248,4,FALSE)</f>
        <v>#N/A</v>
      </c>
    </row>
    <row r="4249" spans="1:3" x14ac:dyDescent="0.35">
      <c r="A4249" s="21">
        <v>78</v>
      </c>
      <c r="B4249" t="str">
        <f>VLOOKUP(A4249,Products!$A$1:$F$322,2,FALSE)</f>
        <v>Sun Bicycles Biscayne Tandem CB - 2017</v>
      </c>
      <c r="C4249" s="21" t="e">
        <f>VLOOKUP(A4249,Products!A$322:$D4249,4,FALSE)</f>
        <v>#N/A</v>
      </c>
    </row>
    <row r="4250" spans="1:3" x14ac:dyDescent="0.35">
      <c r="A4250" s="21">
        <v>258</v>
      </c>
      <c r="B4250" t="str">
        <f>VLOOKUP(A4250,Products!$A$1:$F$322,2,FALSE)</f>
        <v>Electra Amsterdam Royal 8i - 2017/2018</v>
      </c>
      <c r="C4250" s="21" t="e">
        <f>VLOOKUP(A4250,Products!A$322:$D4250,4,FALSE)</f>
        <v>#N/A</v>
      </c>
    </row>
    <row r="4251" spans="1:3" x14ac:dyDescent="0.35">
      <c r="A4251" s="21">
        <v>201</v>
      </c>
      <c r="B4251" t="str">
        <f>VLOOKUP(A4251,Products!$A$1:$F$322,2,FALSE)</f>
        <v>Trek Powerfly 5 FS - 2018</v>
      </c>
      <c r="C4251" s="21" t="e">
        <f>VLOOKUP(A4251,Products!A$322:$D4251,4,FALSE)</f>
        <v>#N/A</v>
      </c>
    </row>
    <row r="4252" spans="1:3" x14ac:dyDescent="0.35">
      <c r="A4252" s="21">
        <v>76</v>
      </c>
      <c r="B4252" t="str">
        <f>VLOOKUP(A4252,Products!$A$1:$F$322,2,FALSE)</f>
        <v>Electra Girl's Hawaii 1 16" - 2017</v>
      </c>
      <c r="C4252" s="21" t="e">
        <f>VLOOKUP(A4252,Products!A$322:$D4252,4,FALSE)</f>
        <v>#N/A</v>
      </c>
    </row>
    <row r="4253" spans="1:3" x14ac:dyDescent="0.35">
      <c r="A4253" s="21">
        <v>167</v>
      </c>
      <c r="B4253" t="str">
        <f>VLOOKUP(A4253,Products!$A$1:$F$322,2,FALSE)</f>
        <v>Surly ECR Frameset - 2018</v>
      </c>
      <c r="C4253" s="21" t="e">
        <f>VLOOKUP(A4253,Products!A$322:$D4253,4,FALSE)</f>
        <v>#N/A</v>
      </c>
    </row>
    <row r="4254" spans="1:3" x14ac:dyDescent="0.35">
      <c r="A4254" s="21">
        <v>7</v>
      </c>
      <c r="B4254" t="str">
        <f>VLOOKUP(A4254,Products!$A$1:$F$322,2,FALSE)</f>
        <v>Trek Slash 8 27.5 - 2016</v>
      </c>
      <c r="C4254" s="21" t="e">
        <f>VLOOKUP(A4254,Products!A$322:$D4254,4,FALSE)</f>
        <v>#N/A</v>
      </c>
    </row>
    <row r="4255" spans="1:3" x14ac:dyDescent="0.35">
      <c r="A4255" s="21">
        <v>123</v>
      </c>
      <c r="B4255" t="str">
        <f>VLOOKUP(A4255,Products!$A$1:$F$322,2,FALSE)</f>
        <v>Trek Farley Carbon Frameset - 2018</v>
      </c>
      <c r="C4255" s="21" t="e">
        <f>VLOOKUP(A4255,Products!A$322:$D4255,4,FALSE)</f>
        <v>#N/A</v>
      </c>
    </row>
    <row r="4256" spans="1:3" x14ac:dyDescent="0.35">
      <c r="A4256" s="21">
        <v>48</v>
      </c>
      <c r="B4256" t="str">
        <f>VLOOKUP(A4256,Products!$A$1:$F$322,2,FALSE)</f>
        <v>Trek Emonda S 4 - 2017</v>
      </c>
      <c r="C4256" s="21" t="e">
        <f>VLOOKUP(A4256,Products!A$322:$D4256,4,FALSE)</f>
        <v>#N/A</v>
      </c>
    </row>
    <row r="4257" spans="1:3" x14ac:dyDescent="0.35">
      <c r="A4257" s="21">
        <v>242</v>
      </c>
      <c r="B4257" t="str">
        <f>VLOOKUP(A4257,Products!$A$1:$F$322,2,FALSE)</f>
        <v>Electra Townie Commute 8D Ladies' - 2018</v>
      </c>
      <c r="C4257" s="21" t="e">
        <f>VLOOKUP(A4257,Products!A$322:$D4257,4,FALSE)</f>
        <v>#N/A</v>
      </c>
    </row>
    <row r="4258" spans="1:3" x14ac:dyDescent="0.35">
      <c r="A4258" s="21">
        <v>263</v>
      </c>
      <c r="B4258" t="str">
        <f>VLOOKUP(A4258,Products!$A$1:$F$322,2,FALSE)</f>
        <v>Strider Classic 12 Balance Bike - 2018</v>
      </c>
      <c r="C4258" s="21" t="e">
        <f>VLOOKUP(A4258,Products!A$322:$D4258,4,FALSE)</f>
        <v>#N/A</v>
      </c>
    </row>
    <row r="4259" spans="1:3" x14ac:dyDescent="0.35">
      <c r="A4259" s="21">
        <v>25</v>
      </c>
      <c r="B4259" t="str">
        <f>VLOOKUP(A4259,Products!$A$1:$F$322,2,FALSE)</f>
        <v>Electra Townie Original 7D - 2015/2016</v>
      </c>
      <c r="C4259" s="21" t="e">
        <f>VLOOKUP(A4259,Products!A$322:$D4259,4,FALSE)</f>
        <v>#N/A</v>
      </c>
    </row>
    <row r="4260" spans="1:3" x14ac:dyDescent="0.35">
      <c r="A4260" s="21">
        <v>223</v>
      </c>
      <c r="B4260" t="str">
        <f>VLOOKUP(A4260,Products!$A$1:$F$322,2,FALSE)</f>
        <v>Electra Cruiser Lux 3i - 2018</v>
      </c>
      <c r="C4260" s="21" t="e">
        <f>VLOOKUP(A4260,Products!A$322:$D4260,4,FALSE)</f>
        <v>#N/A</v>
      </c>
    </row>
    <row r="4261" spans="1:3" x14ac:dyDescent="0.35">
      <c r="A4261" s="21">
        <v>294</v>
      </c>
      <c r="B4261" t="str">
        <f>VLOOKUP(A4261,Products!$A$1:$F$322,2,FALSE)</f>
        <v>Electra Tiger Shark 3i (20-inch) - Boys' - 2018</v>
      </c>
      <c r="C4261" s="21" t="e">
        <f>VLOOKUP(A4261,Products!A$322:$D4261,4,FALSE)</f>
        <v>#N/A</v>
      </c>
    </row>
    <row r="4262" spans="1:3" x14ac:dyDescent="0.35">
      <c r="A4262" s="21">
        <v>251</v>
      </c>
      <c r="B4262" t="str">
        <f>VLOOKUP(A4262,Products!$A$1:$F$322,2,FALSE)</f>
        <v>Electra Townie Commute Go! - 2018</v>
      </c>
      <c r="C4262" s="21" t="e">
        <f>VLOOKUP(A4262,Products!A$322:$D4262,4,FALSE)</f>
        <v>#N/A</v>
      </c>
    </row>
    <row r="4263" spans="1:3" x14ac:dyDescent="0.35">
      <c r="A4263" s="21">
        <v>51</v>
      </c>
      <c r="B4263" t="str">
        <f>VLOOKUP(A4263,Products!$A$1:$F$322,2,FALSE)</f>
        <v>Trek Silque SLR 8 Women's - 2017</v>
      </c>
      <c r="C4263" s="21" t="e">
        <f>VLOOKUP(A4263,Products!A$322:$D4263,4,FALSE)</f>
        <v>#N/A</v>
      </c>
    </row>
    <row r="4264" spans="1:3" x14ac:dyDescent="0.35">
      <c r="A4264" s="21">
        <v>168</v>
      </c>
      <c r="B4264" t="str">
        <f>VLOOKUP(A4264,Products!$A$1:$F$322,2,FALSE)</f>
        <v>Surly Straggler - 2018</v>
      </c>
      <c r="C4264" s="21" t="e">
        <f>VLOOKUP(A4264,Products!A$322:$D4264,4,FALSE)</f>
        <v>#N/A</v>
      </c>
    </row>
    <row r="4265" spans="1:3" x14ac:dyDescent="0.35">
      <c r="A4265" s="21">
        <v>109</v>
      </c>
      <c r="B4265" t="str">
        <f>VLOOKUP(A4265,Products!$A$1:$F$322,2,FALSE)</f>
        <v>Sun Bicycles Cruz 7 - Women's - 2017</v>
      </c>
      <c r="C4265" s="21" t="e">
        <f>VLOOKUP(A4265,Products!A$322:$D4265,4,FALSE)</f>
        <v>#N/A</v>
      </c>
    </row>
    <row r="4266" spans="1:3" x14ac:dyDescent="0.35">
      <c r="A4266" s="21">
        <v>124</v>
      </c>
      <c r="B4266" t="str">
        <f>VLOOKUP(A4266,Products!$A$1:$F$322,2,FALSE)</f>
        <v>Surly Krampus - 2018</v>
      </c>
      <c r="C4266" s="21" t="e">
        <f>VLOOKUP(A4266,Products!A$322:$D4266,4,FALSE)</f>
        <v>#N/A</v>
      </c>
    </row>
    <row r="4267" spans="1:3" x14ac:dyDescent="0.35">
      <c r="A4267" s="21">
        <v>165</v>
      </c>
      <c r="B4267" t="str">
        <f>VLOOKUP(A4267,Products!$A$1:$F$322,2,FALSE)</f>
        <v>Trek 1120 - 2018</v>
      </c>
      <c r="C4267" s="21" t="e">
        <f>VLOOKUP(A4267,Products!A$322:$D4267,4,FALSE)</f>
        <v>#N/A</v>
      </c>
    </row>
    <row r="4268" spans="1:3" x14ac:dyDescent="0.35">
      <c r="A4268" s="21">
        <v>151</v>
      </c>
      <c r="B4268" t="str">
        <f>VLOOKUP(A4268,Products!$A$1:$F$322,2,FALSE)</f>
        <v>Trek Domane ALR 4 Disc Women's - 2018</v>
      </c>
      <c r="C4268" s="21" t="e">
        <f>VLOOKUP(A4268,Products!A$322:$D4268,4,FALSE)</f>
        <v>#N/A</v>
      </c>
    </row>
    <row r="4269" spans="1:3" x14ac:dyDescent="0.35">
      <c r="A4269" s="21">
        <v>70</v>
      </c>
      <c r="B4269" t="str">
        <f>VLOOKUP(A4269,Products!$A$1:$F$322,2,FALSE)</f>
        <v>Electra Amsterdam Original 3i - 2015/2017</v>
      </c>
      <c r="C4269" s="21" t="e">
        <f>VLOOKUP(A4269,Products!A$322:$D4269,4,FALSE)</f>
        <v>#N/A</v>
      </c>
    </row>
    <row r="4270" spans="1:3" x14ac:dyDescent="0.35">
      <c r="A4270" s="21">
        <v>310</v>
      </c>
      <c r="B4270" t="str">
        <f>VLOOKUP(A4270,Products!$A$1:$F$322,2,FALSE)</f>
        <v>Electra Townie Commute 27D Ladies - 2018</v>
      </c>
      <c r="C4270" s="21" t="e">
        <f>VLOOKUP(A4270,Products!A$322:$D4270,4,FALSE)</f>
        <v>#N/A</v>
      </c>
    </row>
    <row r="4271" spans="1:3" x14ac:dyDescent="0.35">
      <c r="A4271" s="21">
        <v>251</v>
      </c>
      <c r="B4271" t="str">
        <f>VLOOKUP(A4271,Products!$A$1:$F$322,2,FALSE)</f>
        <v>Electra Townie Commute Go! - 2018</v>
      </c>
      <c r="C4271" s="21" t="e">
        <f>VLOOKUP(A4271,Products!A$322:$D4271,4,FALSE)</f>
        <v>#N/A</v>
      </c>
    </row>
    <row r="4272" spans="1:3" x14ac:dyDescent="0.35">
      <c r="A4272" s="21">
        <v>163</v>
      </c>
      <c r="B4272" t="str">
        <f>VLOOKUP(A4272,Products!$A$1:$F$322,2,FALSE)</f>
        <v>Surly Pack Rat - 2018</v>
      </c>
      <c r="C4272" s="21" t="e">
        <f>VLOOKUP(A4272,Products!A$322:$D4272,4,FALSE)</f>
        <v>#N/A</v>
      </c>
    </row>
    <row r="4273" spans="1:3" x14ac:dyDescent="0.35">
      <c r="A4273" s="21">
        <v>39</v>
      </c>
      <c r="B4273" t="str">
        <f>VLOOKUP(A4273,Products!$A$1:$F$322,2,FALSE)</f>
        <v>Trek Stache 5 - 2017</v>
      </c>
      <c r="C4273" s="21" t="e">
        <f>VLOOKUP(A4273,Products!A$322:$D4273,4,FALSE)</f>
        <v>#N/A</v>
      </c>
    </row>
    <row r="4274" spans="1:3" x14ac:dyDescent="0.35">
      <c r="A4274" s="21">
        <v>18</v>
      </c>
      <c r="B4274" t="str">
        <f>VLOOKUP(A4274,Products!$A$1:$F$322,2,FALSE)</f>
        <v>Pure Cycles Western 3-Speed - Women's - 2015/2016</v>
      </c>
      <c r="C4274" s="21" t="e">
        <f>VLOOKUP(A4274,Products!A$322:$D4274,4,FALSE)</f>
        <v>#N/A</v>
      </c>
    </row>
    <row r="4275" spans="1:3" x14ac:dyDescent="0.35">
      <c r="A4275" s="21">
        <v>115</v>
      </c>
      <c r="B4275" t="str">
        <f>VLOOKUP(A4275,Products!$A$1:$F$322,2,FALSE)</f>
        <v>Trek Fuel EX 8 29 - 2018</v>
      </c>
      <c r="C4275" s="21" t="e">
        <f>VLOOKUP(A4275,Products!A$322:$D4275,4,FALSE)</f>
        <v>#N/A</v>
      </c>
    </row>
    <row r="4276" spans="1:3" x14ac:dyDescent="0.35">
      <c r="A4276" s="21">
        <v>278</v>
      </c>
      <c r="B4276" t="str">
        <f>VLOOKUP(A4276,Products!$A$1:$F$322,2,FALSE)</f>
        <v>Trek Precaliber 24 21-speed Girl's - 2018</v>
      </c>
      <c r="C4276" s="21" t="e">
        <f>VLOOKUP(A4276,Products!A$322:$D4276,4,FALSE)</f>
        <v>#N/A</v>
      </c>
    </row>
    <row r="4277" spans="1:3" x14ac:dyDescent="0.35">
      <c r="A4277" s="21">
        <v>269</v>
      </c>
      <c r="B4277" t="str">
        <f>VLOOKUP(A4277,Products!$A$1:$F$322,2,FALSE)</f>
        <v>Trek Precaliber 12 Boy's - 2018</v>
      </c>
      <c r="C4277" s="21" t="e">
        <f>VLOOKUP(A4277,Products!A$322:$D4277,4,FALSE)</f>
        <v>#N/A</v>
      </c>
    </row>
    <row r="4278" spans="1:3" x14ac:dyDescent="0.35">
      <c r="A4278" s="21">
        <v>58</v>
      </c>
      <c r="B4278" t="str">
        <f>VLOOKUP(A4278,Products!$A$1:$F$322,2,FALSE)</f>
        <v>Trek Madone 9.2 - 2017</v>
      </c>
      <c r="C4278" s="21" t="e">
        <f>VLOOKUP(A4278,Products!A$322:$D4278,4,FALSE)</f>
        <v>#N/A</v>
      </c>
    </row>
    <row r="4279" spans="1:3" x14ac:dyDescent="0.35">
      <c r="A4279" s="21">
        <v>50</v>
      </c>
      <c r="B4279" t="str">
        <f>VLOOKUP(A4279,Products!$A$1:$F$322,2,FALSE)</f>
        <v>Trek Silque SLR 7 Women's - 2017</v>
      </c>
      <c r="C4279" s="21" t="e">
        <f>VLOOKUP(A4279,Products!A$322:$D4279,4,FALSE)</f>
        <v>#N/A</v>
      </c>
    </row>
    <row r="4280" spans="1:3" x14ac:dyDescent="0.35">
      <c r="A4280" s="21">
        <v>77</v>
      </c>
      <c r="B4280" t="str">
        <f>VLOOKUP(A4280,Products!$A$1:$F$322,2,FALSE)</f>
        <v>Electra Glam Punk 3i Ladies' - 2017</v>
      </c>
      <c r="C4280" s="21" t="e">
        <f>VLOOKUP(A4280,Products!A$322:$D4280,4,FALSE)</f>
        <v>#N/A</v>
      </c>
    </row>
    <row r="4281" spans="1:3" x14ac:dyDescent="0.35">
      <c r="A4281" s="21">
        <v>237</v>
      </c>
      <c r="B4281" t="str">
        <f>VLOOKUP(A4281,Products!$A$1:$F$322,2,FALSE)</f>
        <v>Electra Relic 3i - 2018</v>
      </c>
      <c r="C4281" s="21" t="e">
        <f>VLOOKUP(A4281,Products!A$322:$D4281,4,FALSE)</f>
        <v>#N/A</v>
      </c>
    </row>
    <row r="4282" spans="1:3" x14ac:dyDescent="0.35">
      <c r="A4282" s="21">
        <v>182</v>
      </c>
      <c r="B4282" t="str">
        <f>VLOOKUP(A4282,Products!$A$1:$F$322,2,FALSE)</f>
        <v>Trek Domane SL 5 Disc - 2018</v>
      </c>
      <c r="C4282" s="21" t="e">
        <f>VLOOKUP(A4282,Products!A$322:$D4282,4,FALSE)</f>
        <v>#N/A</v>
      </c>
    </row>
    <row r="4283" spans="1:3" x14ac:dyDescent="0.35">
      <c r="A4283" s="21">
        <v>100</v>
      </c>
      <c r="B4283" t="str">
        <f>VLOOKUP(A4283,Products!$A$1:$F$322,2,FALSE)</f>
        <v>Electra Townie 3i EQ (20-inch) - Boys' - 2017</v>
      </c>
      <c r="C4283" s="21" t="e">
        <f>VLOOKUP(A4283,Products!A$322:$D4283,4,FALSE)</f>
        <v>#N/A</v>
      </c>
    </row>
    <row r="4284" spans="1:3" x14ac:dyDescent="0.35">
      <c r="A4284" s="21">
        <v>110</v>
      </c>
      <c r="B4284" t="str">
        <f>VLOOKUP(A4284,Products!$A$1:$F$322,2,FALSE)</f>
        <v>Sun Bicycles Drifter 7 - 2017</v>
      </c>
      <c r="C4284" s="21" t="e">
        <f>VLOOKUP(A4284,Products!A$322:$D4284,4,FALSE)</f>
        <v>#N/A</v>
      </c>
    </row>
    <row r="4285" spans="1:3" x14ac:dyDescent="0.35">
      <c r="A4285" s="21">
        <v>287</v>
      </c>
      <c r="B4285" t="str">
        <f>VLOOKUP(A4285,Products!$A$1:$F$322,2,FALSE)</f>
        <v>Electra Straight 8 1 (16-inch) - Boy's - 2018</v>
      </c>
      <c r="C4285" s="21" t="e">
        <f>VLOOKUP(A4285,Products!A$322:$D4285,4,FALSE)</f>
        <v>#N/A</v>
      </c>
    </row>
    <row r="4286" spans="1:3" x14ac:dyDescent="0.35">
      <c r="A4286" s="21">
        <v>252</v>
      </c>
      <c r="B4286" t="str">
        <f>VLOOKUP(A4286,Products!$A$1:$F$322,2,FALSE)</f>
        <v>Electra Townie Commute Go! Ladies' - 2018</v>
      </c>
      <c r="C4286" s="21" t="e">
        <f>VLOOKUP(A4286,Products!A$322:$D4286,4,FALSE)</f>
        <v>#N/A</v>
      </c>
    </row>
    <row r="4287" spans="1:3" x14ac:dyDescent="0.35">
      <c r="A4287" s="21">
        <v>59</v>
      </c>
      <c r="B4287" t="str">
        <f>VLOOKUP(A4287,Products!$A$1:$F$322,2,FALSE)</f>
        <v>Trek Domane S 5 Disc - 2017</v>
      </c>
      <c r="C4287" s="21" t="e">
        <f>VLOOKUP(A4287,Products!A$322:$D4287,4,FALSE)</f>
        <v>#N/A</v>
      </c>
    </row>
    <row r="4288" spans="1:3" x14ac:dyDescent="0.35">
      <c r="A4288" s="21">
        <v>136</v>
      </c>
      <c r="B4288" t="str">
        <f>VLOOKUP(A4288,Products!$A$1:$F$322,2,FALSE)</f>
        <v>Trek Procaliber 6 - 2018</v>
      </c>
      <c r="C4288" s="21" t="e">
        <f>VLOOKUP(A4288,Products!A$322:$D4288,4,FALSE)</f>
        <v>#N/A</v>
      </c>
    </row>
    <row r="4289" spans="1:3" x14ac:dyDescent="0.35">
      <c r="A4289" s="21">
        <v>84</v>
      </c>
      <c r="B4289" t="str">
        <f>VLOOKUP(A4289,Products!$A$1:$F$322,2,FALSE)</f>
        <v>Sun Bicycles Lil Kitt'n - 2017</v>
      </c>
      <c r="C4289" s="21" t="e">
        <f>VLOOKUP(A4289,Products!A$322:$D4289,4,FALSE)</f>
        <v>#N/A</v>
      </c>
    </row>
    <row r="4290" spans="1:3" x14ac:dyDescent="0.35">
      <c r="A4290" s="21">
        <v>300</v>
      </c>
      <c r="B4290" t="str">
        <f>VLOOKUP(A4290,Products!$A$1:$F$322,2,FALSE)</f>
        <v>Electra Townie Balloon 3i EQ Ladies' - 2018</v>
      </c>
      <c r="C4290" s="21" t="e">
        <f>VLOOKUP(A4290,Products!A$322:$D4290,4,FALSE)</f>
        <v>#N/A</v>
      </c>
    </row>
    <row r="4291" spans="1:3" x14ac:dyDescent="0.35">
      <c r="A4291" s="21">
        <v>84</v>
      </c>
      <c r="B4291" t="str">
        <f>VLOOKUP(A4291,Products!$A$1:$F$322,2,FALSE)</f>
        <v>Sun Bicycles Lil Kitt'n - 2017</v>
      </c>
      <c r="C4291" s="21" t="e">
        <f>VLOOKUP(A4291,Products!A$322:$D4291,4,FALSE)</f>
        <v>#N/A</v>
      </c>
    </row>
    <row r="4292" spans="1:3" x14ac:dyDescent="0.35">
      <c r="A4292" s="21">
        <v>102</v>
      </c>
      <c r="B4292" t="str">
        <f>VLOOKUP(A4292,Products!$A$1:$F$322,2,FALSE)</f>
        <v>Electra Townie Original 7D - 2017</v>
      </c>
      <c r="C4292" s="21" t="e">
        <f>VLOOKUP(A4292,Products!A$322:$D4292,4,FALSE)</f>
        <v>#N/A</v>
      </c>
    </row>
    <row r="4293" spans="1:3" x14ac:dyDescent="0.35">
      <c r="A4293" s="21">
        <v>301</v>
      </c>
      <c r="B4293" t="str">
        <f>VLOOKUP(A4293,Products!$A$1:$F$322,2,FALSE)</f>
        <v>Electra Townie Balloon 7i EQ - 2018</v>
      </c>
      <c r="C4293" s="21" t="e">
        <f>VLOOKUP(A4293,Products!A$322:$D4293,4,FALSE)</f>
        <v>#N/A</v>
      </c>
    </row>
    <row r="4294" spans="1:3" x14ac:dyDescent="0.35">
      <c r="A4294" s="21">
        <v>123</v>
      </c>
      <c r="B4294" t="str">
        <f>VLOOKUP(A4294,Products!$A$1:$F$322,2,FALSE)</f>
        <v>Trek Farley Carbon Frameset - 2018</v>
      </c>
      <c r="C4294" s="21" t="e">
        <f>VLOOKUP(A4294,Products!A$322:$D4294,4,FALSE)</f>
        <v>#N/A</v>
      </c>
    </row>
    <row r="4295" spans="1:3" x14ac:dyDescent="0.35">
      <c r="A4295" s="21">
        <v>306</v>
      </c>
      <c r="B4295" t="str">
        <f>VLOOKUP(A4295,Products!$A$1:$F$322,2,FALSE)</f>
        <v>Electra Townie Balloon 7i EQ Ladies' - 2017/2018</v>
      </c>
      <c r="C4295" s="21" t="e">
        <f>VLOOKUP(A4295,Products!A$322:$D4295,4,FALSE)</f>
        <v>#N/A</v>
      </c>
    </row>
    <row r="4296" spans="1:3" x14ac:dyDescent="0.35">
      <c r="A4296" s="21">
        <v>261</v>
      </c>
      <c r="B4296" t="str">
        <f>VLOOKUP(A4296,Products!$A$1:$F$322,2,FALSE)</f>
        <v>Electra Townie Balloon 7i EQ - 2018</v>
      </c>
      <c r="C4296" s="21" t="e">
        <f>VLOOKUP(A4296,Products!A$322:$D4296,4,FALSE)</f>
        <v>#N/A</v>
      </c>
    </row>
    <row r="4297" spans="1:3" x14ac:dyDescent="0.35">
      <c r="A4297" s="21">
        <v>161</v>
      </c>
      <c r="B4297" t="str">
        <f>VLOOKUP(A4297,Products!$A$1:$F$322,2,FALSE)</f>
        <v>Surly ECR - 2018</v>
      </c>
      <c r="C4297" s="21" t="e">
        <f>VLOOKUP(A4297,Products!A$322:$D4297,4,FALSE)</f>
        <v>#N/A</v>
      </c>
    </row>
    <row r="4298" spans="1:3" x14ac:dyDescent="0.35">
      <c r="A4298" s="21">
        <v>248</v>
      </c>
      <c r="B4298" t="str">
        <f>VLOOKUP(A4298,Products!$A$1:$F$322,2,FALSE)</f>
        <v>Electra Townie Original 7D EQ Ladies' - 2017/2018</v>
      </c>
      <c r="C4298" s="21" t="e">
        <f>VLOOKUP(A4298,Products!A$322:$D4298,4,FALSE)</f>
        <v>#N/A</v>
      </c>
    </row>
    <row r="4299" spans="1:3" x14ac:dyDescent="0.35">
      <c r="A4299" s="21">
        <v>142</v>
      </c>
      <c r="B4299" t="str">
        <f>VLOOKUP(A4299,Products!$A$1:$F$322,2,FALSE)</f>
        <v>Trek Fuel EX 8 29 XT - 2018</v>
      </c>
      <c r="C4299" s="21" t="e">
        <f>VLOOKUP(A4299,Products!A$322:$D4299,4,FALSE)</f>
        <v>#N/A</v>
      </c>
    </row>
    <row r="4300" spans="1:3" x14ac:dyDescent="0.35">
      <c r="A4300" s="21">
        <v>91</v>
      </c>
      <c r="B4300" t="str">
        <f>VLOOKUP(A4300,Products!$A$1:$F$322,2,FALSE)</f>
        <v>Trek Precaliber 24 (21-Speed) - Girls - 2017</v>
      </c>
      <c r="C4300" s="21" t="e">
        <f>VLOOKUP(A4300,Products!A$322:$D4300,4,FALSE)</f>
        <v>#N/A</v>
      </c>
    </row>
    <row r="4301" spans="1:3" x14ac:dyDescent="0.35">
      <c r="A4301" s="21">
        <v>43</v>
      </c>
      <c r="B4301" t="str">
        <f>VLOOKUP(A4301,Products!$A$1:$F$322,2,FALSE)</f>
        <v>Trek Fuel EX 9.8 27.5 Plus - 2017</v>
      </c>
      <c r="C4301" s="21" t="e">
        <f>VLOOKUP(A4301,Products!A$322:$D4301,4,FALSE)</f>
        <v>#N/A</v>
      </c>
    </row>
    <row r="4302" spans="1:3" x14ac:dyDescent="0.35">
      <c r="A4302" s="21">
        <v>191</v>
      </c>
      <c r="B4302" t="str">
        <f>VLOOKUP(A4302,Products!$A$1:$F$322,2,FALSE)</f>
        <v>Electra Loft Go! 8i - 2018</v>
      </c>
      <c r="C4302" s="21" t="e">
        <f>VLOOKUP(A4302,Products!A$322:$D4302,4,FALSE)</f>
        <v>#N/A</v>
      </c>
    </row>
    <row r="4303" spans="1:3" x14ac:dyDescent="0.35">
      <c r="A4303" s="21">
        <v>265</v>
      </c>
      <c r="B4303" t="str">
        <f>VLOOKUP(A4303,Products!$A$1:$F$322,2,FALSE)</f>
        <v>Strider Strider 20 Sport - 2018</v>
      </c>
      <c r="C4303" s="21" t="e">
        <f>VLOOKUP(A4303,Products!A$322:$D4303,4,FALSE)</f>
        <v>#N/A</v>
      </c>
    </row>
    <row r="4304" spans="1:3" x14ac:dyDescent="0.35">
      <c r="A4304" s="21">
        <v>210</v>
      </c>
      <c r="B4304" t="str">
        <f>VLOOKUP(A4304,Products!$A$1:$F$322,2,FALSE)</f>
        <v>Surly Straggler - 2018</v>
      </c>
      <c r="C4304" s="21" t="e">
        <f>VLOOKUP(A4304,Products!A$322:$D4304,4,FALSE)</f>
        <v>#N/A</v>
      </c>
    </row>
    <row r="4305" spans="1:3" x14ac:dyDescent="0.35">
      <c r="A4305" s="21">
        <v>100</v>
      </c>
      <c r="B4305" t="str">
        <f>VLOOKUP(A4305,Products!$A$1:$F$322,2,FALSE)</f>
        <v>Electra Townie 3i EQ (20-inch) - Boys' - 2017</v>
      </c>
      <c r="C4305" s="21" t="e">
        <f>VLOOKUP(A4305,Products!A$322:$D4305,4,FALSE)</f>
        <v>#N/A</v>
      </c>
    </row>
    <row r="4306" spans="1:3" x14ac:dyDescent="0.35">
      <c r="A4306" s="21">
        <v>123</v>
      </c>
      <c r="B4306" t="str">
        <f>VLOOKUP(A4306,Products!$A$1:$F$322,2,FALSE)</f>
        <v>Trek Farley Carbon Frameset - 2018</v>
      </c>
      <c r="C4306" s="21" t="e">
        <f>VLOOKUP(A4306,Products!A$322:$D4306,4,FALSE)</f>
        <v>#N/A</v>
      </c>
    </row>
    <row r="4307" spans="1:3" x14ac:dyDescent="0.35">
      <c r="A4307" s="21">
        <v>252</v>
      </c>
      <c r="B4307" t="str">
        <f>VLOOKUP(A4307,Products!$A$1:$F$322,2,FALSE)</f>
        <v>Electra Townie Commute Go! Ladies' - 2018</v>
      </c>
      <c r="C4307" s="21" t="e">
        <f>VLOOKUP(A4307,Products!A$322:$D4307,4,FALSE)</f>
        <v>#N/A</v>
      </c>
    </row>
    <row r="4308" spans="1:3" x14ac:dyDescent="0.35">
      <c r="A4308" s="21">
        <v>256</v>
      </c>
      <c r="B4308" t="str">
        <f>VLOOKUP(A4308,Products!$A$1:$F$322,2,FALSE)</f>
        <v>Electra Townie Commute 27D - 2018</v>
      </c>
      <c r="C4308" s="21" t="e">
        <f>VLOOKUP(A4308,Products!A$322:$D4308,4,FALSE)</f>
        <v>#N/A</v>
      </c>
    </row>
    <row r="4309" spans="1:3" x14ac:dyDescent="0.35">
      <c r="A4309" s="21">
        <v>308</v>
      </c>
      <c r="B4309" t="str">
        <f>VLOOKUP(A4309,Products!$A$1:$F$322,2,FALSE)</f>
        <v>Electra Townie Balloon 8D EQ Ladies' - 2016/2017/2018</v>
      </c>
      <c r="C4309" s="21" t="e">
        <f>VLOOKUP(A4309,Products!A$322:$D4309,4,FALSE)</f>
        <v>#N/A</v>
      </c>
    </row>
    <row r="4310" spans="1:3" x14ac:dyDescent="0.35">
      <c r="A4310" s="21">
        <v>82</v>
      </c>
      <c r="B4310" t="str">
        <f>VLOOKUP(A4310,Products!$A$1:$F$322,2,FALSE)</f>
        <v>Electra Amsterdam Original 3i Ladies' - 2017</v>
      </c>
      <c r="C4310" s="21" t="e">
        <f>VLOOKUP(A4310,Products!A$322:$D4310,4,FALSE)</f>
        <v>#N/A</v>
      </c>
    </row>
    <row r="4311" spans="1:3" x14ac:dyDescent="0.35">
      <c r="A4311" s="21">
        <v>92</v>
      </c>
      <c r="B4311" t="str">
        <f>VLOOKUP(A4311,Products!$A$1:$F$322,2,FALSE)</f>
        <v>Haro Shredder 20 - 2017</v>
      </c>
      <c r="C4311" s="21" t="e">
        <f>VLOOKUP(A4311,Products!A$322:$D4311,4,FALSE)</f>
        <v>#N/A</v>
      </c>
    </row>
    <row r="4312" spans="1:3" x14ac:dyDescent="0.35">
      <c r="A4312" s="21">
        <v>225</v>
      </c>
      <c r="B4312" t="str">
        <f>VLOOKUP(A4312,Products!$A$1:$F$322,2,FALSE)</f>
        <v>Electra Delivery 3i - 2016/2017/2018</v>
      </c>
      <c r="C4312" s="21" t="e">
        <f>VLOOKUP(A4312,Products!A$322:$D4312,4,FALSE)</f>
        <v>#N/A</v>
      </c>
    </row>
    <row r="4313" spans="1:3" x14ac:dyDescent="0.35">
      <c r="A4313" s="21">
        <v>53</v>
      </c>
      <c r="B4313" t="str">
        <f>VLOOKUP(A4313,Products!$A$1:$F$322,2,FALSE)</f>
        <v>Surly Ogre Frameset - 2017</v>
      </c>
      <c r="C4313" s="21" t="e">
        <f>VLOOKUP(A4313,Products!A$322:$D4313,4,FALSE)</f>
        <v>#N/A</v>
      </c>
    </row>
    <row r="4314" spans="1:3" x14ac:dyDescent="0.35">
      <c r="A4314" s="21">
        <v>130</v>
      </c>
      <c r="B4314" t="str">
        <f>VLOOKUP(A4314,Products!$A$1:$F$322,2,FALSE)</f>
        <v>Trek Stache Carbon Frameset - 2018</v>
      </c>
      <c r="C4314" s="21" t="e">
        <f>VLOOKUP(A4314,Products!A$322:$D4314,4,FALSE)</f>
        <v>#N/A</v>
      </c>
    </row>
    <row r="4315" spans="1:3" x14ac:dyDescent="0.35">
      <c r="A4315" s="21">
        <v>48</v>
      </c>
      <c r="B4315" t="str">
        <f>VLOOKUP(A4315,Products!$A$1:$F$322,2,FALSE)</f>
        <v>Trek Emonda S 4 - 2017</v>
      </c>
      <c r="C4315" s="21" t="e">
        <f>VLOOKUP(A4315,Products!A$322:$D4315,4,FALSE)</f>
        <v>#N/A</v>
      </c>
    </row>
    <row r="4316" spans="1:3" x14ac:dyDescent="0.35">
      <c r="A4316" s="21">
        <v>113</v>
      </c>
      <c r="B4316" t="str">
        <f>VLOOKUP(A4316,Products!$A$1:$F$322,2,FALSE)</f>
        <v>Trek Marlin 5 - 2018</v>
      </c>
      <c r="C4316" s="21" t="e">
        <f>VLOOKUP(A4316,Products!A$322:$D4316,4,FALSE)</f>
        <v>#N/A</v>
      </c>
    </row>
    <row r="4317" spans="1:3" x14ac:dyDescent="0.35">
      <c r="A4317" s="21">
        <v>58</v>
      </c>
      <c r="B4317" t="str">
        <f>VLOOKUP(A4317,Products!$A$1:$F$322,2,FALSE)</f>
        <v>Trek Madone 9.2 - 2017</v>
      </c>
      <c r="C4317" s="21" t="e">
        <f>VLOOKUP(A4317,Products!A$322:$D4317,4,FALSE)</f>
        <v>#N/A</v>
      </c>
    </row>
    <row r="4318" spans="1:3" x14ac:dyDescent="0.35">
      <c r="A4318" s="21">
        <v>40</v>
      </c>
      <c r="B4318" t="str">
        <f>VLOOKUP(A4318,Products!$A$1:$F$322,2,FALSE)</f>
        <v>Trek Fuel EX 9.8 29 - 2017</v>
      </c>
      <c r="C4318" s="21" t="e">
        <f>VLOOKUP(A4318,Products!A$322:$D4318,4,FALSE)</f>
        <v>#N/A</v>
      </c>
    </row>
    <row r="4319" spans="1:3" x14ac:dyDescent="0.35">
      <c r="A4319" s="21">
        <v>205</v>
      </c>
      <c r="B4319" t="str">
        <f>VLOOKUP(A4319,Products!$A$1:$F$322,2,FALSE)</f>
        <v>Trek Super Commuter+ 8S - 2018</v>
      </c>
      <c r="C4319" s="21" t="e">
        <f>VLOOKUP(A4319,Products!A$322:$D4319,4,FALSE)</f>
        <v>#N/A</v>
      </c>
    </row>
    <row r="4320" spans="1:3" x14ac:dyDescent="0.35">
      <c r="A4320" s="21">
        <v>280</v>
      </c>
      <c r="B4320" t="str">
        <f>VLOOKUP(A4320,Products!$A$1:$F$322,2,FALSE)</f>
        <v>Trek Superfly 24 - 2017/2018</v>
      </c>
      <c r="C4320" s="21" t="e">
        <f>VLOOKUP(A4320,Products!A$322:$D4320,4,FALSE)</f>
        <v>#N/A</v>
      </c>
    </row>
    <row r="4321" spans="1:3" x14ac:dyDescent="0.35">
      <c r="A4321" s="21">
        <v>226</v>
      </c>
      <c r="B4321" t="str">
        <f>VLOOKUP(A4321,Products!$A$1:$F$322,2,FALSE)</f>
        <v>Electra Townie Original 21D EQ - 2017/2018</v>
      </c>
      <c r="C4321" s="21" t="e">
        <f>VLOOKUP(A4321,Products!A$322:$D4321,4,FALSE)</f>
        <v>#N/A</v>
      </c>
    </row>
    <row r="4322" spans="1:3" x14ac:dyDescent="0.35">
      <c r="A4322" s="21">
        <v>295</v>
      </c>
      <c r="B4322" t="str">
        <f>VLOOKUP(A4322,Products!$A$1:$F$322,2,FALSE)</f>
        <v>Electra Treasure 1 20" - 2018</v>
      </c>
      <c r="C4322" s="21" t="e">
        <f>VLOOKUP(A4322,Products!A$322:$D4322,4,FALSE)</f>
        <v>#N/A</v>
      </c>
    </row>
    <row r="4323" spans="1:3" x14ac:dyDescent="0.35">
      <c r="A4323" s="21">
        <v>49</v>
      </c>
      <c r="B4323" t="str">
        <f>VLOOKUP(A4323,Products!$A$1:$F$322,2,FALSE)</f>
        <v>Trek Domane SL 6 - 2017</v>
      </c>
      <c r="C4323" s="21" t="e">
        <f>VLOOKUP(A4323,Products!A$322:$D4323,4,FALSE)</f>
        <v>#N/A</v>
      </c>
    </row>
    <row r="4324" spans="1:3" x14ac:dyDescent="0.35">
      <c r="A4324" s="21">
        <v>304</v>
      </c>
      <c r="B4324" t="str">
        <f>VLOOKUP(A4324,Products!$A$1:$F$322,2,FALSE)</f>
        <v>Electra Townie Original 21D EQ - 2017/2018</v>
      </c>
      <c r="C4324" s="21" t="e">
        <f>VLOOKUP(A4324,Products!A$322:$D4324,4,FALSE)</f>
        <v>#N/A</v>
      </c>
    </row>
    <row r="4325" spans="1:3" x14ac:dyDescent="0.35">
      <c r="A4325" s="21">
        <v>122</v>
      </c>
      <c r="B4325" t="str">
        <f>VLOOKUP(A4325,Products!$A$1:$F$322,2,FALSE)</f>
        <v>Surly Troll Frameset - 2018</v>
      </c>
      <c r="C4325" s="21" t="e">
        <f>VLOOKUP(A4325,Products!A$322:$D4325,4,FALSE)</f>
        <v>#N/A</v>
      </c>
    </row>
    <row r="4326" spans="1:3" x14ac:dyDescent="0.35">
      <c r="A4326" s="21">
        <v>276</v>
      </c>
      <c r="B4326" t="str">
        <f>VLOOKUP(A4326,Products!$A$1:$F$322,2,FALSE)</f>
        <v>Trek Precaliber 24 (7-Speed) - Boys - 2018</v>
      </c>
      <c r="C4326" s="21" t="e">
        <f>VLOOKUP(A4326,Products!A$322:$D4326,4,FALSE)</f>
        <v>#N/A</v>
      </c>
    </row>
    <row r="4327" spans="1:3" x14ac:dyDescent="0.35">
      <c r="A4327" s="21">
        <v>60</v>
      </c>
      <c r="B4327" t="str">
        <f>VLOOKUP(A4327,Products!$A$1:$F$322,2,FALSE)</f>
        <v>Sun Bicycles ElectroLite - 2017</v>
      </c>
      <c r="C4327" s="21" t="e">
        <f>VLOOKUP(A4327,Products!A$322:$D4327,4,FALSE)</f>
        <v>#N/A</v>
      </c>
    </row>
    <row r="4328" spans="1:3" x14ac:dyDescent="0.35">
      <c r="A4328" s="21">
        <v>98</v>
      </c>
      <c r="B4328" t="str">
        <f>VLOOKUP(A4328,Products!$A$1:$F$322,2,FALSE)</f>
        <v>Electra Straight 8 3i (20-inch) - Boy's - 2017</v>
      </c>
      <c r="C4328" s="21" t="e">
        <f>VLOOKUP(A4328,Products!A$322:$D4328,4,FALSE)</f>
        <v>#N/A</v>
      </c>
    </row>
    <row r="4329" spans="1:3" x14ac:dyDescent="0.35">
      <c r="A4329" s="21">
        <v>113</v>
      </c>
      <c r="B4329" t="str">
        <f>VLOOKUP(A4329,Products!$A$1:$F$322,2,FALSE)</f>
        <v>Trek Marlin 5 - 2018</v>
      </c>
      <c r="C4329" s="21" t="e">
        <f>VLOOKUP(A4329,Products!A$322:$D4329,4,FALSE)</f>
        <v>#N/A</v>
      </c>
    </row>
    <row r="4330" spans="1:3" x14ac:dyDescent="0.35">
      <c r="A4330" s="21">
        <v>269</v>
      </c>
      <c r="B4330" t="str">
        <f>VLOOKUP(A4330,Products!$A$1:$F$322,2,FALSE)</f>
        <v>Trek Precaliber 12 Boy's - 2018</v>
      </c>
      <c r="C4330" s="21" t="e">
        <f>VLOOKUP(A4330,Products!A$322:$D4330,4,FALSE)</f>
        <v>#N/A</v>
      </c>
    </row>
    <row r="4331" spans="1:3" x14ac:dyDescent="0.35">
      <c r="A4331" s="21">
        <v>160</v>
      </c>
      <c r="B4331" t="str">
        <f>VLOOKUP(A4331,Products!$A$1:$F$322,2,FALSE)</f>
        <v>Trek Emonda SLR 6 - 2018</v>
      </c>
      <c r="C4331" s="21" t="e">
        <f>VLOOKUP(A4331,Products!A$322:$D4331,4,FALSE)</f>
        <v>#N/A</v>
      </c>
    </row>
    <row r="4332" spans="1:3" x14ac:dyDescent="0.35">
      <c r="A4332" s="21">
        <v>151</v>
      </c>
      <c r="B4332" t="str">
        <f>VLOOKUP(A4332,Products!$A$1:$F$322,2,FALSE)</f>
        <v>Trek Domane ALR 4 Disc Women's - 2018</v>
      </c>
      <c r="C4332" s="21" t="e">
        <f>VLOOKUP(A4332,Products!A$322:$D4332,4,FALSE)</f>
        <v>#N/A</v>
      </c>
    </row>
    <row r="4333" spans="1:3" x14ac:dyDescent="0.35">
      <c r="A4333" s="21">
        <v>198</v>
      </c>
      <c r="B4333" t="str">
        <f>VLOOKUP(A4333,Products!$A$1:$F$322,2,FALSE)</f>
        <v>Electra Townie Commute Go! - 2018</v>
      </c>
      <c r="C4333" s="21" t="e">
        <f>VLOOKUP(A4333,Products!A$322:$D4333,4,FALSE)</f>
        <v>#N/A</v>
      </c>
    </row>
    <row r="4334" spans="1:3" x14ac:dyDescent="0.35">
      <c r="A4334" s="21">
        <v>196</v>
      </c>
      <c r="B4334" t="str">
        <f>VLOOKUP(A4334,Products!$A$1:$F$322,2,FALSE)</f>
        <v>Trek Verve+ - 2018</v>
      </c>
      <c r="C4334" s="21" t="e">
        <f>VLOOKUP(A4334,Products!A$322:$D4334,4,FALSE)</f>
        <v>#N/A</v>
      </c>
    </row>
    <row r="4335" spans="1:3" x14ac:dyDescent="0.35">
      <c r="A4335" s="21">
        <v>96</v>
      </c>
      <c r="B4335" t="str">
        <f>VLOOKUP(A4335,Products!$A$1:$F$322,2,FALSE)</f>
        <v>Electra Moto 3i (20-inch) - Boy's - 2017</v>
      </c>
      <c r="C4335" s="21" t="e">
        <f>VLOOKUP(A4335,Products!A$322:$D4335,4,FALSE)</f>
        <v>#N/A</v>
      </c>
    </row>
    <row r="4336" spans="1:3" x14ac:dyDescent="0.35">
      <c r="A4336" s="21">
        <v>42</v>
      </c>
      <c r="B4336" t="str">
        <f>VLOOKUP(A4336,Products!$A$1:$F$322,2,FALSE)</f>
        <v>Trek Fuel EX 5 27.5 Plus - 2017</v>
      </c>
      <c r="C4336" s="21" t="e">
        <f>VLOOKUP(A4336,Products!A$322:$D4336,4,FALSE)</f>
        <v>#N/A</v>
      </c>
    </row>
    <row r="4337" spans="1:3" x14ac:dyDescent="0.35">
      <c r="A4337" s="21">
        <v>122</v>
      </c>
      <c r="B4337" t="str">
        <f>VLOOKUP(A4337,Products!$A$1:$F$322,2,FALSE)</f>
        <v>Surly Troll Frameset - 2018</v>
      </c>
      <c r="C4337" s="21" t="e">
        <f>VLOOKUP(A4337,Products!A$322:$D4337,4,FALSE)</f>
        <v>#N/A</v>
      </c>
    </row>
    <row r="4338" spans="1:3" x14ac:dyDescent="0.35">
      <c r="A4338" s="21">
        <v>198</v>
      </c>
      <c r="B4338" t="str">
        <f>VLOOKUP(A4338,Products!$A$1:$F$322,2,FALSE)</f>
        <v>Electra Townie Commute Go! - 2018</v>
      </c>
      <c r="C4338" s="21" t="e">
        <f>VLOOKUP(A4338,Products!A$322:$D4338,4,FALSE)</f>
        <v>#N/A</v>
      </c>
    </row>
    <row r="4339" spans="1:3" x14ac:dyDescent="0.35">
      <c r="A4339" s="21">
        <v>282</v>
      </c>
      <c r="B4339" t="str">
        <f>VLOOKUP(A4339,Products!$A$1:$F$322,2,FALSE)</f>
        <v>Electra Cyclosaurus 1 (16-inch) - Boy's - 2018</v>
      </c>
      <c r="C4339" s="21" t="e">
        <f>VLOOKUP(A4339,Products!A$322:$D4339,4,FALSE)</f>
        <v>#N/A</v>
      </c>
    </row>
    <row r="4340" spans="1:3" x14ac:dyDescent="0.35">
      <c r="A4340" s="21">
        <v>52</v>
      </c>
      <c r="B4340" t="str">
        <f>VLOOKUP(A4340,Products!$A$1:$F$322,2,FALSE)</f>
        <v>Surly Steamroller - 2017</v>
      </c>
      <c r="C4340" s="21" t="e">
        <f>VLOOKUP(A4340,Products!A$322:$D4340,4,FALSE)</f>
        <v>#N/A</v>
      </c>
    </row>
    <row r="4341" spans="1:3" x14ac:dyDescent="0.35">
      <c r="A4341" s="21">
        <v>99</v>
      </c>
      <c r="B4341" t="str">
        <f>VLOOKUP(A4341,Products!$A$1:$F$322,2,FALSE)</f>
        <v>Electra Sugar Skulls 1 (20-inch) - Girl's - 2017</v>
      </c>
      <c r="C4341" s="21" t="e">
        <f>VLOOKUP(A4341,Products!A$322:$D4341,4,FALSE)</f>
        <v>#N/A</v>
      </c>
    </row>
    <row r="4342" spans="1:3" x14ac:dyDescent="0.35">
      <c r="A4342" s="21">
        <v>254</v>
      </c>
      <c r="B4342" t="str">
        <f>VLOOKUP(A4342,Products!$A$1:$F$322,2,FALSE)</f>
        <v>Electra Townie Balloon 3i EQ - 2017/2018</v>
      </c>
      <c r="C4342" s="21" t="e">
        <f>VLOOKUP(A4342,Products!A$322:$D4342,4,FALSE)</f>
        <v>#N/A</v>
      </c>
    </row>
    <row r="4343" spans="1:3" x14ac:dyDescent="0.35">
      <c r="A4343" s="21">
        <v>218</v>
      </c>
      <c r="B4343" t="str">
        <f>VLOOKUP(A4343,Products!$A$1:$F$322,2,FALSE)</f>
        <v>Electra Cruiser 7D - 2016/2017/2018</v>
      </c>
      <c r="C4343" s="21" t="e">
        <f>VLOOKUP(A4343,Products!A$322:$D4343,4,FALSE)</f>
        <v>#N/A</v>
      </c>
    </row>
    <row r="4344" spans="1:3" x14ac:dyDescent="0.35">
      <c r="A4344" s="21">
        <v>95</v>
      </c>
      <c r="B4344" t="str">
        <f>VLOOKUP(A4344,Products!$A$1:$F$322,2,FALSE)</f>
        <v>Electra Girl's Hawaii 1 16" - 2017</v>
      </c>
      <c r="C4344" s="21" t="e">
        <f>VLOOKUP(A4344,Products!A$322:$D4344,4,FALSE)</f>
        <v>#N/A</v>
      </c>
    </row>
    <row r="4345" spans="1:3" x14ac:dyDescent="0.35">
      <c r="A4345" s="21">
        <v>302</v>
      </c>
      <c r="B4345" t="str">
        <f>VLOOKUP(A4345,Products!$A$1:$F$322,2,FALSE)</f>
        <v>Electra Townie Original 1 - 2018</v>
      </c>
      <c r="C4345" s="21" t="e">
        <f>VLOOKUP(A4345,Products!A$322:$D4345,4,FALSE)</f>
        <v>#N/A</v>
      </c>
    </row>
    <row r="4346" spans="1:3" x14ac:dyDescent="0.35">
      <c r="A4346" s="21">
        <v>60</v>
      </c>
      <c r="B4346" t="str">
        <f>VLOOKUP(A4346,Products!$A$1:$F$322,2,FALSE)</f>
        <v>Sun Bicycles ElectroLite - 2017</v>
      </c>
      <c r="C4346" s="21" t="e">
        <f>VLOOKUP(A4346,Products!A$322:$D4346,4,FALSE)</f>
        <v>#N/A</v>
      </c>
    </row>
    <row r="4347" spans="1:3" x14ac:dyDescent="0.35">
      <c r="A4347" s="21">
        <v>139</v>
      </c>
      <c r="B4347" t="str">
        <f>VLOOKUP(A4347,Products!$A$1:$F$322,2,FALSE)</f>
        <v>Trek Remedy 7 27.5 - 2018</v>
      </c>
      <c r="C4347" s="21" t="e">
        <f>VLOOKUP(A4347,Products!A$322:$D4347,4,FALSE)</f>
        <v>#N/A</v>
      </c>
    </row>
    <row r="4348" spans="1:3" x14ac:dyDescent="0.35">
      <c r="A4348" s="21">
        <v>37</v>
      </c>
      <c r="B4348" t="str">
        <f>VLOOKUP(A4348,Products!$A$1:$F$322,2,FALSE)</f>
        <v>Haro Flightline One ST - 2017</v>
      </c>
      <c r="C4348" s="21" t="e">
        <f>VLOOKUP(A4348,Products!A$322:$D4348,4,FALSE)</f>
        <v>#N/A</v>
      </c>
    </row>
    <row r="4349" spans="1:3" x14ac:dyDescent="0.35">
      <c r="A4349" s="21">
        <v>230</v>
      </c>
      <c r="B4349" t="str">
        <f>VLOOKUP(A4349,Products!$A$1:$F$322,2,FALSE)</f>
        <v>Electra Cruiser Lux 1 Ladies' - 2018</v>
      </c>
      <c r="C4349" s="21" t="e">
        <f>VLOOKUP(A4349,Products!A$322:$D4349,4,FALSE)</f>
        <v>#N/A</v>
      </c>
    </row>
    <row r="4350" spans="1:3" x14ac:dyDescent="0.35">
      <c r="A4350" s="21">
        <v>230</v>
      </c>
      <c r="B4350" t="str">
        <f>VLOOKUP(A4350,Products!$A$1:$F$322,2,FALSE)</f>
        <v>Electra Cruiser Lux 1 Ladies' - 2018</v>
      </c>
      <c r="C4350" s="21" t="e">
        <f>VLOOKUP(A4350,Products!A$322:$D4350,4,FALSE)</f>
        <v>#N/A</v>
      </c>
    </row>
    <row r="4351" spans="1:3" x14ac:dyDescent="0.35">
      <c r="A4351" s="21">
        <v>178</v>
      </c>
      <c r="B4351" t="str">
        <f>VLOOKUP(A4351,Products!$A$1:$F$322,2,FALSE)</f>
        <v>Trek Domane AL 2 - 2018</v>
      </c>
      <c r="C4351" s="21" t="e">
        <f>VLOOKUP(A4351,Products!A$322:$D4351,4,FALSE)</f>
        <v>#N/A</v>
      </c>
    </row>
    <row r="4352" spans="1:3" x14ac:dyDescent="0.35">
      <c r="A4352" s="21">
        <v>264</v>
      </c>
      <c r="B4352" t="str">
        <f>VLOOKUP(A4352,Products!$A$1:$F$322,2,FALSE)</f>
        <v>Strider Sport 16 - 2018</v>
      </c>
      <c r="C4352" s="21" t="e">
        <f>VLOOKUP(A4352,Products!A$322:$D4352,4,FALSE)</f>
        <v>#N/A</v>
      </c>
    </row>
    <row r="4353" spans="1:3" x14ac:dyDescent="0.35">
      <c r="A4353" s="21">
        <v>292</v>
      </c>
      <c r="B4353" t="str">
        <f>VLOOKUP(A4353,Products!$A$1:$F$322,2,FALSE)</f>
        <v>Electra Sweet Ride 3i (20-inch) - Girls' - 2018</v>
      </c>
      <c r="C4353" s="21" t="e">
        <f>VLOOKUP(A4353,Products!A$322:$D4353,4,FALSE)</f>
        <v>#N/A</v>
      </c>
    </row>
    <row r="4354" spans="1:3" x14ac:dyDescent="0.35">
      <c r="A4354" s="21">
        <v>308</v>
      </c>
      <c r="B4354" t="str">
        <f>VLOOKUP(A4354,Products!$A$1:$F$322,2,FALSE)</f>
        <v>Electra Townie Balloon 8D EQ Ladies' - 2016/2017/2018</v>
      </c>
      <c r="C4354" s="21" t="e">
        <f>VLOOKUP(A4354,Products!A$322:$D4354,4,FALSE)</f>
        <v>#N/A</v>
      </c>
    </row>
    <row r="4355" spans="1:3" x14ac:dyDescent="0.35">
      <c r="A4355" s="21">
        <v>137</v>
      </c>
      <c r="B4355" t="str">
        <f>VLOOKUP(A4355,Products!$A$1:$F$322,2,FALSE)</f>
        <v>Heller Shagamaw GX1 - 2018</v>
      </c>
      <c r="C4355" s="21" t="e">
        <f>VLOOKUP(A4355,Products!A$322:$D4355,4,FALSE)</f>
        <v>#N/A</v>
      </c>
    </row>
    <row r="4356" spans="1:3" x14ac:dyDescent="0.35">
      <c r="A4356" s="21">
        <v>248</v>
      </c>
      <c r="B4356" t="str">
        <f>VLOOKUP(A4356,Products!$A$1:$F$322,2,FALSE)</f>
        <v>Electra Townie Original 7D EQ Ladies' - 2017/2018</v>
      </c>
      <c r="C4356" s="21" t="e">
        <f>VLOOKUP(A4356,Products!A$322:$D4356,4,FALSE)</f>
        <v>#N/A</v>
      </c>
    </row>
    <row r="4357" spans="1:3" x14ac:dyDescent="0.35">
      <c r="A4357" s="21">
        <v>214</v>
      </c>
      <c r="B4357" t="str">
        <f>VLOOKUP(A4357,Products!$A$1:$F$322,2,FALSE)</f>
        <v>Electra Tiger Shark 3i - 2018</v>
      </c>
      <c r="C4357" s="21" t="e">
        <f>VLOOKUP(A4357,Products!A$322:$D4357,4,FALSE)</f>
        <v>#N/A</v>
      </c>
    </row>
    <row r="4358" spans="1:3" x14ac:dyDescent="0.35">
      <c r="A4358" s="21">
        <v>224</v>
      </c>
      <c r="B4358" t="str">
        <f>VLOOKUP(A4358,Products!$A$1:$F$322,2,FALSE)</f>
        <v>Electra Cruiser Lux 7D - 2018</v>
      </c>
      <c r="C4358" s="21" t="e">
        <f>VLOOKUP(A4358,Products!A$322:$D4358,4,FALSE)</f>
        <v>#N/A</v>
      </c>
    </row>
    <row r="4359" spans="1:3" x14ac:dyDescent="0.35">
      <c r="A4359" s="21">
        <v>302</v>
      </c>
      <c r="B4359" t="str">
        <f>VLOOKUP(A4359,Products!$A$1:$F$322,2,FALSE)</f>
        <v>Electra Townie Original 1 - 2018</v>
      </c>
      <c r="C4359" s="21" t="e">
        <f>VLOOKUP(A4359,Products!A$322:$D4359,4,FALSE)</f>
        <v>#N/A</v>
      </c>
    </row>
    <row r="4360" spans="1:3" x14ac:dyDescent="0.35">
      <c r="A4360" s="21">
        <v>225</v>
      </c>
      <c r="B4360" t="str">
        <f>VLOOKUP(A4360,Products!$A$1:$F$322,2,FALSE)</f>
        <v>Electra Delivery 3i - 2016/2017/2018</v>
      </c>
      <c r="C4360" s="21" t="e">
        <f>VLOOKUP(A4360,Products!A$322:$D4360,4,FALSE)</f>
        <v>#N/A</v>
      </c>
    </row>
    <row r="4361" spans="1:3" x14ac:dyDescent="0.35">
      <c r="A4361" s="21">
        <v>141</v>
      </c>
      <c r="B4361" t="str">
        <f>VLOOKUP(A4361,Products!$A$1:$F$322,2,FALSE)</f>
        <v>Trek Stache 5 - 2018</v>
      </c>
      <c r="C4361" s="21" t="e">
        <f>VLOOKUP(A4361,Products!A$322:$D4361,4,FALSE)</f>
        <v>#N/A</v>
      </c>
    </row>
    <row r="4362" spans="1:3" x14ac:dyDescent="0.35">
      <c r="A4362" s="21">
        <v>198</v>
      </c>
      <c r="B4362" t="str">
        <f>VLOOKUP(A4362,Products!$A$1:$F$322,2,FALSE)</f>
        <v>Electra Townie Commute Go! - 2018</v>
      </c>
      <c r="C4362" s="21" t="e">
        <f>VLOOKUP(A4362,Products!A$322:$D4362,4,FALSE)</f>
        <v>#N/A</v>
      </c>
    </row>
    <row r="4363" spans="1:3" x14ac:dyDescent="0.35">
      <c r="A4363" s="21">
        <v>204</v>
      </c>
      <c r="B4363" t="str">
        <f>VLOOKUP(A4363,Products!$A$1:$F$322,2,FALSE)</f>
        <v>Trek Super Commuter+ 7 - 2018</v>
      </c>
      <c r="C4363" s="21" t="e">
        <f>VLOOKUP(A4363,Products!A$322:$D4363,4,FALSE)</f>
        <v>#N/A</v>
      </c>
    </row>
    <row r="4364" spans="1:3" x14ac:dyDescent="0.35">
      <c r="A4364" s="21">
        <v>172</v>
      </c>
      <c r="B4364" t="str">
        <f>VLOOKUP(A4364,Products!$A$1:$F$322,2,FALSE)</f>
        <v>Trek Domane ALR Disc Frameset - 2018</v>
      </c>
      <c r="C4364" s="21" t="e">
        <f>VLOOKUP(A4364,Products!A$322:$D4364,4,FALSE)</f>
        <v>#N/A</v>
      </c>
    </row>
    <row r="4365" spans="1:3" x14ac:dyDescent="0.35">
      <c r="A4365" s="21">
        <v>260</v>
      </c>
      <c r="B4365" t="str">
        <f>VLOOKUP(A4365,Products!$A$1:$F$322,2,FALSE)</f>
        <v>Electra Townie Balloon 3i EQ Ladies' - 2018</v>
      </c>
      <c r="C4365" s="21" t="e">
        <f>VLOOKUP(A4365,Products!A$322:$D4365,4,FALSE)</f>
        <v>#N/A</v>
      </c>
    </row>
    <row r="4366" spans="1:3" x14ac:dyDescent="0.35">
      <c r="A4366" s="21">
        <v>110</v>
      </c>
      <c r="B4366" t="str">
        <f>VLOOKUP(A4366,Products!$A$1:$F$322,2,FALSE)</f>
        <v>Sun Bicycles Drifter 7 - 2017</v>
      </c>
      <c r="C4366" s="21" t="e">
        <f>VLOOKUP(A4366,Products!A$322:$D4366,4,FALSE)</f>
        <v>#N/A</v>
      </c>
    </row>
    <row r="4367" spans="1:3" x14ac:dyDescent="0.35">
      <c r="A4367" s="21">
        <v>208</v>
      </c>
      <c r="B4367" t="str">
        <f>VLOOKUP(A4367,Products!$A$1:$F$322,2,FALSE)</f>
        <v>Trek Crockett 5 Disc - 2018</v>
      </c>
      <c r="C4367" s="21" t="e">
        <f>VLOOKUP(A4367,Products!A$322:$D4367,4,FALSE)</f>
        <v>#N/A</v>
      </c>
    </row>
    <row r="4368" spans="1:3" x14ac:dyDescent="0.35">
      <c r="A4368" s="21">
        <v>268</v>
      </c>
      <c r="B4368" t="str">
        <f>VLOOKUP(A4368,Products!$A$1:$F$322,2,FALSE)</f>
        <v>Trek Kickster - 2018</v>
      </c>
      <c r="C4368" s="21" t="e">
        <f>VLOOKUP(A4368,Products!A$322:$D4368,4,FALSE)</f>
        <v>#N/A</v>
      </c>
    </row>
    <row r="4369" spans="1:3" x14ac:dyDescent="0.35">
      <c r="A4369" s="21">
        <v>2</v>
      </c>
      <c r="B4369" t="str">
        <f>VLOOKUP(A4369,Products!$A$1:$F$322,2,FALSE)</f>
        <v>Ritchey Timberwolf Frameset - 2016</v>
      </c>
      <c r="C4369" s="21" t="e">
        <f>VLOOKUP(A4369,Products!A$322:$D4369,4,FALSE)</f>
        <v>#N/A</v>
      </c>
    </row>
    <row r="4370" spans="1:3" x14ac:dyDescent="0.35">
      <c r="A4370" s="21">
        <v>171</v>
      </c>
      <c r="B4370" t="str">
        <f>VLOOKUP(A4370,Products!$A$1:$F$322,2,FALSE)</f>
        <v>Trek Domane SL 6 - 2018</v>
      </c>
      <c r="C4370" s="21" t="e">
        <f>VLOOKUP(A4370,Products!A$322:$D4370,4,FALSE)</f>
        <v>#N/A</v>
      </c>
    </row>
    <row r="4371" spans="1:3" x14ac:dyDescent="0.35">
      <c r="A4371" s="21">
        <v>41</v>
      </c>
      <c r="B4371" t="str">
        <f>VLOOKUP(A4371,Products!$A$1:$F$322,2,FALSE)</f>
        <v>Haro Shift R3 - 2017</v>
      </c>
      <c r="C4371" s="21" t="e">
        <f>VLOOKUP(A4371,Products!A$322:$D4371,4,FALSE)</f>
        <v>#N/A</v>
      </c>
    </row>
    <row r="4372" spans="1:3" x14ac:dyDescent="0.35">
      <c r="A4372" s="21">
        <v>293</v>
      </c>
      <c r="B4372" t="str">
        <f>VLOOKUP(A4372,Products!$A$1:$F$322,2,FALSE)</f>
        <v>Electra Tiger Shark 1 (20-inch) - Boys' - 2018</v>
      </c>
      <c r="C4372" s="21" t="e">
        <f>VLOOKUP(A4372,Products!A$322:$D4372,4,FALSE)</f>
        <v>#N/A</v>
      </c>
    </row>
    <row r="4373" spans="1:3" x14ac:dyDescent="0.35">
      <c r="A4373" s="21">
        <v>248</v>
      </c>
      <c r="B4373" t="str">
        <f>VLOOKUP(A4373,Products!$A$1:$F$322,2,FALSE)</f>
        <v>Electra Townie Original 7D EQ Ladies' - 2017/2018</v>
      </c>
      <c r="C4373" s="21" t="e">
        <f>VLOOKUP(A4373,Products!A$322:$D4373,4,FALSE)</f>
        <v>#N/A</v>
      </c>
    </row>
    <row r="4374" spans="1:3" x14ac:dyDescent="0.35">
      <c r="A4374" s="21">
        <v>219</v>
      </c>
      <c r="B4374" t="str">
        <f>VLOOKUP(A4374,Products!$A$1:$F$322,2,FALSE)</f>
        <v>Electra Moto 3i - 2018</v>
      </c>
      <c r="C4374" s="21" t="e">
        <f>VLOOKUP(A4374,Products!A$322:$D4374,4,FALSE)</f>
        <v>#N/A</v>
      </c>
    </row>
    <row r="4375" spans="1:3" x14ac:dyDescent="0.35">
      <c r="A4375" s="21">
        <v>15</v>
      </c>
      <c r="B4375" t="str">
        <f>VLOOKUP(A4375,Products!$A$1:$F$322,2,FALSE)</f>
        <v>Electra Moto 1 - 2016</v>
      </c>
      <c r="C4375" s="21" t="e">
        <f>VLOOKUP(A4375,Products!A$322:$D4375,4,FALSE)</f>
        <v>#N/A</v>
      </c>
    </row>
    <row r="4376" spans="1:3" x14ac:dyDescent="0.35">
      <c r="A4376" s="21">
        <v>67</v>
      </c>
      <c r="B4376" t="str">
        <f>VLOOKUP(A4376,Products!$A$1:$F$322,2,FALSE)</f>
        <v>Sun Bicycles Revolutions 24 - Girl's - 2017</v>
      </c>
      <c r="C4376" s="21" t="e">
        <f>VLOOKUP(A4376,Products!A$322:$D4376,4,FALSE)</f>
        <v>#N/A</v>
      </c>
    </row>
    <row r="4377" spans="1:3" x14ac:dyDescent="0.35">
      <c r="A4377" s="21">
        <v>210</v>
      </c>
      <c r="B4377" t="str">
        <f>VLOOKUP(A4377,Products!$A$1:$F$322,2,FALSE)</f>
        <v>Surly Straggler - 2018</v>
      </c>
      <c r="C4377" s="21" t="e">
        <f>VLOOKUP(A4377,Products!A$322:$D4377,4,FALSE)</f>
        <v>#N/A</v>
      </c>
    </row>
    <row r="4378" spans="1:3" x14ac:dyDescent="0.35">
      <c r="A4378" s="21">
        <v>231</v>
      </c>
      <c r="B4378" t="str">
        <f>VLOOKUP(A4378,Products!$A$1:$F$322,2,FALSE)</f>
        <v>Electra Cruiser Lux 3i Ladies' - 2018</v>
      </c>
      <c r="C4378" s="21" t="e">
        <f>VLOOKUP(A4378,Products!A$322:$D4378,4,FALSE)</f>
        <v>#N/A</v>
      </c>
    </row>
    <row r="4379" spans="1:3" x14ac:dyDescent="0.35">
      <c r="A4379" s="21">
        <v>19</v>
      </c>
      <c r="B4379" t="str">
        <f>VLOOKUP(A4379,Products!$A$1:$F$322,2,FALSE)</f>
        <v>Pure Cycles William 3-Speed - 2016</v>
      </c>
      <c r="C4379" s="21" t="e">
        <f>VLOOKUP(A4379,Products!A$322:$D4379,4,FALSE)</f>
        <v>#N/A</v>
      </c>
    </row>
    <row r="4380" spans="1:3" x14ac:dyDescent="0.35">
      <c r="A4380" s="21">
        <v>26</v>
      </c>
      <c r="B4380" t="str">
        <f>VLOOKUP(A4380,Products!$A$1:$F$322,2,FALSE)</f>
        <v>Electra Townie Original 7D EQ - 2016</v>
      </c>
      <c r="C4380" s="21" t="e">
        <f>VLOOKUP(A4380,Products!A$322:$D4380,4,FALSE)</f>
        <v>#N/A</v>
      </c>
    </row>
    <row r="4381" spans="1:3" x14ac:dyDescent="0.35">
      <c r="A4381" s="21">
        <v>268</v>
      </c>
      <c r="B4381" t="str">
        <f>VLOOKUP(A4381,Products!$A$1:$F$322,2,FALSE)</f>
        <v>Trek Kickster - 2018</v>
      </c>
      <c r="C4381" s="21" t="e">
        <f>VLOOKUP(A4381,Products!A$322:$D4381,4,FALSE)</f>
        <v>#N/A</v>
      </c>
    </row>
    <row r="4382" spans="1:3" x14ac:dyDescent="0.35">
      <c r="A4382" s="21">
        <v>255</v>
      </c>
      <c r="B4382" t="str">
        <f>VLOOKUP(A4382,Products!$A$1:$F$322,2,FALSE)</f>
        <v>Electra Townie Balloon 7i EQ Ladies' - 2017/2018</v>
      </c>
      <c r="C4382" s="21" t="e">
        <f>VLOOKUP(A4382,Products!A$322:$D4382,4,FALSE)</f>
        <v>#N/A</v>
      </c>
    </row>
    <row r="4383" spans="1:3" x14ac:dyDescent="0.35">
      <c r="A4383" s="21">
        <v>217</v>
      </c>
      <c r="B4383" t="str">
        <f>VLOOKUP(A4383,Products!$A$1:$F$322,2,FALSE)</f>
        <v>Electra Straight 8 3i - 2018</v>
      </c>
      <c r="C4383" s="21" t="e">
        <f>VLOOKUP(A4383,Products!A$322:$D4383,4,FALSE)</f>
        <v>#N/A</v>
      </c>
    </row>
    <row r="4384" spans="1:3" x14ac:dyDescent="0.35">
      <c r="A4384" s="21">
        <v>302</v>
      </c>
      <c r="B4384" t="str">
        <f>VLOOKUP(A4384,Products!$A$1:$F$322,2,FALSE)</f>
        <v>Electra Townie Original 1 - 2018</v>
      </c>
      <c r="C4384" s="21" t="e">
        <f>VLOOKUP(A4384,Products!A$322:$D4384,4,FALSE)</f>
        <v>#N/A</v>
      </c>
    </row>
    <row r="4385" spans="1:3" x14ac:dyDescent="0.35">
      <c r="A4385" s="21">
        <v>276</v>
      </c>
      <c r="B4385" t="str">
        <f>VLOOKUP(A4385,Products!$A$1:$F$322,2,FALSE)</f>
        <v>Trek Precaliber 24 (7-Speed) - Boys - 2018</v>
      </c>
      <c r="C4385" s="21" t="e">
        <f>VLOOKUP(A4385,Products!A$322:$D4385,4,FALSE)</f>
        <v>#N/A</v>
      </c>
    </row>
    <row r="4386" spans="1:3" x14ac:dyDescent="0.35">
      <c r="A4386" s="21">
        <v>223</v>
      </c>
      <c r="B4386" t="str">
        <f>VLOOKUP(A4386,Products!$A$1:$F$322,2,FALSE)</f>
        <v>Electra Cruiser Lux 3i - 2018</v>
      </c>
      <c r="C4386" s="21" t="e">
        <f>VLOOKUP(A4386,Products!A$322:$D4386,4,FALSE)</f>
        <v>#N/A</v>
      </c>
    </row>
    <row r="4387" spans="1:3" x14ac:dyDescent="0.35">
      <c r="A4387" s="21">
        <v>24</v>
      </c>
      <c r="B4387" t="str">
        <f>VLOOKUP(A4387,Products!$A$1:$F$322,2,FALSE)</f>
        <v>Electra Townie Original 21D - 2016</v>
      </c>
      <c r="C4387" s="21" t="e">
        <f>VLOOKUP(A4387,Products!A$322:$D4387,4,FALSE)</f>
        <v>#N/A</v>
      </c>
    </row>
    <row r="4388" spans="1:3" x14ac:dyDescent="0.35">
      <c r="A4388" s="21">
        <v>43</v>
      </c>
      <c r="B4388" t="str">
        <f>VLOOKUP(A4388,Products!$A$1:$F$322,2,FALSE)</f>
        <v>Trek Fuel EX 9.8 27.5 Plus - 2017</v>
      </c>
      <c r="C4388" s="21" t="e">
        <f>VLOOKUP(A4388,Products!A$322:$D4388,4,FALSE)</f>
        <v>#N/A</v>
      </c>
    </row>
    <row r="4389" spans="1:3" x14ac:dyDescent="0.35">
      <c r="A4389" s="21">
        <v>184</v>
      </c>
      <c r="B4389" t="str">
        <f>VLOOKUP(A4389,Products!$A$1:$F$322,2,FALSE)</f>
        <v>Trek Domane SL 6 Disc - 2018</v>
      </c>
      <c r="C4389" s="21" t="e">
        <f>VLOOKUP(A4389,Products!A$322:$D4389,4,FALSE)</f>
        <v>#N/A</v>
      </c>
    </row>
    <row r="4390" spans="1:3" x14ac:dyDescent="0.35">
      <c r="A4390" s="21">
        <v>153</v>
      </c>
      <c r="B4390" t="str">
        <f>VLOOKUP(A4390,Products!$A$1:$F$322,2,FALSE)</f>
        <v>Trek Domane SL 7 Women's - 2018</v>
      </c>
      <c r="C4390" s="21" t="e">
        <f>VLOOKUP(A4390,Products!A$322:$D4390,4,FALSE)</f>
        <v>#N/A</v>
      </c>
    </row>
    <row r="4391" spans="1:3" x14ac:dyDescent="0.35">
      <c r="A4391" s="21">
        <v>149</v>
      </c>
      <c r="B4391" t="str">
        <f>VLOOKUP(A4391,Products!$A$1:$F$322,2,FALSE)</f>
        <v>Trek Domane SLR 8 Disc - 2018</v>
      </c>
      <c r="C4391" s="21" t="e">
        <f>VLOOKUP(A4391,Products!A$322:$D4391,4,FALSE)</f>
        <v>#N/A</v>
      </c>
    </row>
    <row r="4392" spans="1:3" x14ac:dyDescent="0.35">
      <c r="A4392" s="21">
        <v>39</v>
      </c>
      <c r="B4392" t="str">
        <f>VLOOKUP(A4392,Products!$A$1:$F$322,2,FALSE)</f>
        <v>Trek Stache 5 - 2017</v>
      </c>
      <c r="C4392" s="21" t="e">
        <f>VLOOKUP(A4392,Products!A$322:$D4392,4,FALSE)</f>
        <v>#N/A</v>
      </c>
    </row>
    <row r="4393" spans="1:3" x14ac:dyDescent="0.35">
      <c r="A4393" s="21">
        <v>11</v>
      </c>
      <c r="B4393" t="str">
        <f>VLOOKUP(A4393,Products!$A$1:$F$322,2,FALSE)</f>
        <v>Surly Straggler 650b - 2016</v>
      </c>
      <c r="C4393" s="21" t="e">
        <f>VLOOKUP(A4393,Products!A$322:$D4393,4,FALSE)</f>
        <v>#N/A</v>
      </c>
    </row>
    <row r="4394" spans="1:3" x14ac:dyDescent="0.35">
      <c r="A4394" s="21">
        <v>259</v>
      </c>
      <c r="B4394" t="str">
        <f>VLOOKUP(A4394,Products!$A$1:$F$322,2,FALSE)</f>
        <v>Electra Amsterdam Royal 8i Ladies - 2018</v>
      </c>
      <c r="C4394" s="21" t="e">
        <f>VLOOKUP(A4394,Products!A$322:$D4394,4,FALSE)</f>
        <v>#N/A</v>
      </c>
    </row>
    <row r="4395" spans="1:3" x14ac:dyDescent="0.35">
      <c r="A4395" s="21">
        <v>281</v>
      </c>
      <c r="B4395" t="str">
        <f>VLOOKUP(A4395,Products!$A$1:$F$322,2,FALSE)</f>
        <v>Electra Cruiser 7D (24-Inch) Ladies' - 2016/2018</v>
      </c>
      <c r="C4395" s="21" t="e">
        <f>VLOOKUP(A4395,Products!A$322:$D4395,4,FALSE)</f>
        <v>#N/A</v>
      </c>
    </row>
    <row r="4396" spans="1:3" x14ac:dyDescent="0.35">
      <c r="A4396" s="21">
        <v>293</v>
      </c>
      <c r="B4396" t="str">
        <f>VLOOKUP(A4396,Products!$A$1:$F$322,2,FALSE)</f>
        <v>Electra Tiger Shark 1 (20-inch) - Boys' - 2018</v>
      </c>
      <c r="C4396" s="21" t="e">
        <f>VLOOKUP(A4396,Products!A$322:$D4396,4,FALSE)</f>
        <v>#N/A</v>
      </c>
    </row>
    <row r="4397" spans="1:3" x14ac:dyDescent="0.35">
      <c r="A4397" s="21">
        <v>37</v>
      </c>
      <c r="B4397" t="str">
        <f>VLOOKUP(A4397,Products!$A$1:$F$322,2,FALSE)</f>
        <v>Haro Flightline One ST - 2017</v>
      </c>
      <c r="C4397" s="21" t="e">
        <f>VLOOKUP(A4397,Products!A$322:$D4397,4,FALSE)</f>
        <v>#N/A</v>
      </c>
    </row>
    <row r="4398" spans="1:3" x14ac:dyDescent="0.35">
      <c r="A4398" s="21">
        <v>109</v>
      </c>
      <c r="B4398" t="str">
        <f>VLOOKUP(A4398,Products!$A$1:$F$322,2,FALSE)</f>
        <v>Sun Bicycles Cruz 7 - Women's - 2017</v>
      </c>
      <c r="C4398" s="21" t="e">
        <f>VLOOKUP(A4398,Products!A$322:$D4398,4,FALSE)</f>
        <v>#N/A</v>
      </c>
    </row>
    <row r="4399" spans="1:3" x14ac:dyDescent="0.35">
      <c r="A4399" s="21">
        <v>52</v>
      </c>
      <c r="B4399" t="str">
        <f>VLOOKUP(A4399,Products!$A$1:$F$322,2,FALSE)</f>
        <v>Surly Steamroller - 2017</v>
      </c>
      <c r="C4399" s="21" t="e">
        <f>VLOOKUP(A4399,Products!A$322:$D4399,4,FALSE)</f>
        <v>#N/A</v>
      </c>
    </row>
    <row r="4400" spans="1:3" x14ac:dyDescent="0.35">
      <c r="A4400" s="21">
        <v>88</v>
      </c>
      <c r="B4400" t="str">
        <f>VLOOKUP(A4400,Products!$A$1:$F$322,2,FALSE)</f>
        <v>Trek Precaliber 12 Girls - 2017</v>
      </c>
      <c r="C4400" s="21" t="e">
        <f>VLOOKUP(A4400,Products!A$322:$D4400,4,FALSE)</f>
        <v>#N/A</v>
      </c>
    </row>
    <row r="4401" spans="1:3" x14ac:dyDescent="0.35">
      <c r="A4401" s="21">
        <v>215</v>
      </c>
      <c r="B4401" t="str">
        <f>VLOOKUP(A4401,Products!$A$1:$F$322,2,FALSE)</f>
        <v>Electra Queen of Hearts 3i - 2018</v>
      </c>
      <c r="C4401" s="21" t="e">
        <f>VLOOKUP(A4401,Products!A$322:$D4401,4,FALSE)</f>
        <v>#N/A</v>
      </c>
    </row>
    <row r="4402" spans="1:3" x14ac:dyDescent="0.35">
      <c r="A4402" s="21">
        <v>142</v>
      </c>
      <c r="B4402" t="str">
        <f>VLOOKUP(A4402,Products!$A$1:$F$322,2,FALSE)</f>
        <v>Trek Fuel EX 8 29 XT - 2018</v>
      </c>
      <c r="C4402" s="21" t="e">
        <f>VLOOKUP(A4402,Products!A$322:$D4402,4,FALSE)</f>
        <v>#N/A</v>
      </c>
    </row>
    <row r="4403" spans="1:3" x14ac:dyDescent="0.35">
      <c r="A4403" s="21">
        <v>68</v>
      </c>
      <c r="B4403" t="str">
        <f>VLOOKUP(A4403,Products!$A$1:$F$322,2,FALSE)</f>
        <v>Sun Bicycles Cruz 3 - 2017</v>
      </c>
      <c r="C4403" s="21" t="e">
        <f>VLOOKUP(A4403,Products!A$322:$D4403,4,FALSE)</f>
        <v>#N/A</v>
      </c>
    </row>
    <row r="4404" spans="1:3" x14ac:dyDescent="0.35">
      <c r="A4404" s="21">
        <v>251</v>
      </c>
      <c r="B4404" t="str">
        <f>VLOOKUP(A4404,Products!$A$1:$F$322,2,FALSE)</f>
        <v>Electra Townie Commute Go! - 2018</v>
      </c>
      <c r="C4404" s="21" t="e">
        <f>VLOOKUP(A4404,Products!A$322:$D4404,4,FALSE)</f>
        <v>#N/A</v>
      </c>
    </row>
    <row r="4405" spans="1:3" x14ac:dyDescent="0.35">
      <c r="A4405" s="21">
        <v>220</v>
      </c>
      <c r="B4405" t="str">
        <f>VLOOKUP(A4405,Products!$A$1:$F$322,2,FALSE)</f>
        <v>Electra Cruiser 1 Ladies' - 2018</v>
      </c>
      <c r="C4405" s="21" t="e">
        <f>VLOOKUP(A4405,Products!A$322:$D4405,4,FALSE)</f>
        <v>#N/A</v>
      </c>
    </row>
    <row r="4406" spans="1:3" x14ac:dyDescent="0.35">
      <c r="A4406" s="21">
        <v>137</v>
      </c>
      <c r="B4406" t="str">
        <f>VLOOKUP(A4406,Products!$A$1:$F$322,2,FALSE)</f>
        <v>Heller Shagamaw GX1 - 2018</v>
      </c>
      <c r="C4406" s="21" t="e">
        <f>VLOOKUP(A4406,Products!A$322:$D4406,4,FALSE)</f>
        <v>#N/A</v>
      </c>
    </row>
    <row r="4407" spans="1:3" x14ac:dyDescent="0.35">
      <c r="A4407" s="21">
        <v>144</v>
      </c>
      <c r="B4407" t="str">
        <f>VLOOKUP(A4407,Products!$A$1:$F$322,2,FALSE)</f>
        <v>Trek Domane ALR 4 Disc - 2018</v>
      </c>
      <c r="C4407" s="21" t="e">
        <f>VLOOKUP(A4407,Products!A$322:$D4407,4,FALSE)</f>
        <v>#N/A</v>
      </c>
    </row>
    <row r="4408" spans="1:3" x14ac:dyDescent="0.35">
      <c r="A4408" s="21">
        <v>288</v>
      </c>
      <c r="B4408" t="str">
        <f>VLOOKUP(A4408,Products!$A$1:$F$322,2,FALSE)</f>
        <v>Electra Straight 8 1 (20-inch) - Boy's - 2018</v>
      </c>
      <c r="C4408" s="21" t="e">
        <f>VLOOKUP(A4408,Products!A$322:$D4408,4,FALSE)</f>
        <v>#N/A</v>
      </c>
    </row>
    <row r="4409" spans="1:3" x14ac:dyDescent="0.35">
      <c r="A4409" s="21">
        <v>17</v>
      </c>
      <c r="B4409" t="str">
        <f>VLOOKUP(A4409,Products!$A$1:$F$322,2,FALSE)</f>
        <v>Pure Cycles Vine 8-Speed - 2016</v>
      </c>
      <c r="C4409" s="21" t="e">
        <f>VLOOKUP(A4409,Products!A$322:$D4409,4,FALSE)</f>
        <v>#N/A</v>
      </c>
    </row>
    <row r="4410" spans="1:3" x14ac:dyDescent="0.35">
      <c r="A4410" s="21">
        <v>41</v>
      </c>
      <c r="B4410" t="str">
        <f>VLOOKUP(A4410,Products!$A$1:$F$322,2,FALSE)</f>
        <v>Haro Shift R3 - 2017</v>
      </c>
      <c r="C4410" s="21" t="e">
        <f>VLOOKUP(A4410,Products!A$322:$D4410,4,FALSE)</f>
        <v>#N/A</v>
      </c>
    </row>
    <row r="4411" spans="1:3" x14ac:dyDescent="0.35">
      <c r="A4411" s="21">
        <v>124</v>
      </c>
      <c r="B4411" t="str">
        <f>VLOOKUP(A4411,Products!$A$1:$F$322,2,FALSE)</f>
        <v>Surly Krampus - 2018</v>
      </c>
      <c r="C4411" s="21" t="e">
        <f>VLOOKUP(A4411,Products!A$322:$D4411,4,FALSE)</f>
        <v>#N/A</v>
      </c>
    </row>
    <row r="4412" spans="1:3" x14ac:dyDescent="0.35">
      <c r="A4412" s="21">
        <v>217</v>
      </c>
      <c r="B4412" t="str">
        <f>VLOOKUP(A4412,Products!$A$1:$F$322,2,FALSE)</f>
        <v>Electra Straight 8 3i - 2018</v>
      </c>
      <c r="C4412" s="21" t="e">
        <f>VLOOKUP(A4412,Products!A$322:$D4412,4,FALSE)</f>
        <v>#N/A</v>
      </c>
    </row>
    <row r="4413" spans="1:3" x14ac:dyDescent="0.35">
      <c r="A4413" s="21">
        <v>166</v>
      </c>
      <c r="B4413" t="str">
        <f>VLOOKUP(A4413,Products!$A$1:$F$322,2,FALSE)</f>
        <v>Trek Domane AL 2 Women's - 2018</v>
      </c>
      <c r="C4413" s="21" t="e">
        <f>VLOOKUP(A4413,Products!A$322:$D4413,4,FALSE)</f>
        <v>#N/A</v>
      </c>
    </row>
    <row r="4414" spans="1:3" x14ac:dyDescent="0.35">
      <c r="A4414" s="21">
        <v>61</v>
      </c>
      <c r="B4414" t="str">
        <f>VLOOKUP(A4414,Products!$A$1:$F$322,2,FALSE)</f>
        <v>Trek Powerfly 8 FS Plus - 2017</v>
      </c>
      <c r="C4414" s="21" t="e">
        <f>VLOOKUP(A4414,Products!A$322:$D4414,4,FALSE)</f>
        <v>#N/A</v>
      </c>
    </row>
    <row r="4415" spans="1:3" x14ac:dyDescent="0.35">
      <c r="A4415" s="21">
        <v>159</v>
      </c>
      <c r="B4415" t="str">
        <f>VLOOKUP(A4415,Products!$A$1:$F$322,2,FALSE)</f>
        <v>Trek Emonda ALR 6 - 2018</v>
      </c>
      <c r="C4415" s="21" t="e">
        <f>VLOOKUP(A4415,Products!A$322:$D4415,4,FALSE)</f>
        <v>#N/A</v>
      </c>
    </row>
    <row r="4416" spans="1:3" x14ac:dyDescent="0.35">
      <c r="A4416" s="21">
        <v>240</v>
      </c>
      <c r="B4416" t="str">
        <f>VLOOKUP(A4416,Products!$A$1:$F$322,2,FALSE)</f>
        <v>Electra Townie Commute 27D Ladies - 2018</v>
      </c>
      <c r="C4416" s="21" t="e">
        <f>VLOOKUP(A4416,Products!A$322:$D4416,4,FALSE)</f>
        <v>#N/A</v>
      </c>
    </row>
    <row r="4417" spans="1:3" x14ac:dyDescent="0.35">
      <c r="A4417" s="21">
        <v>203</v>
      </c>
      <c r="B4417" t="str">
        <f>VLOOKUP(A4417,Products!$A$1:$F$322,2,FALSE)</f>
        <v>Trek Powerfly 7 FS - 2018</v>
      </c>
      <c r="C4417" s="21" t="e">
        <f>VLOOKUP(A4417,Products!A$322:$D4417,4,FALSE)</f>
        <v>#N/A</v>
      </c>
    </row>
    <row r="4418" spans="1:3" x14ac:dyDescent="0.35">
      <c r="A4418" s="21">
        <v>27</v>
      </c>
      <c r="B4418" t="str">
        <f>VLOOKUP(A4418,Products!$A$1:$F$322,2,FALSE)</f>
        <v>Surly Big Dummy Frameset - 2017</v>
      </c>
      <c r="C4418" s="21" t="e">
        <f>VLOOKUP(A4418,Products!A$322:$D4418,4,FALSE)</f>
        <v>#N/A</v>
      </c>
    </row>
    <row r="4419" spans="1:3" x14ac:dyDescent="0.35">
      <c r="A4419" s="21">
        <v>202</v>
      </c>
      <c r="B4419" t="str">
        <f>VLOOKUP(A4419,Products!$A$1:$F$322,2,FALSE)</f>
        <v>Trek Powerfly 5 Women's - 2018</v>
      </c>
      <c r="C4419" s="21" t="e">
        <f>VLOOKUP(A4419,Products!A$322:$D4419,4,FALSE)</f>
        <v>#N/A</v>
      </c>
    </row>
    <row r="4420" spans="1:3" x14ac:dyDescent="0.35">
      <c r="A4420" s="21">
        <v>310</v>
      </c>
      <c r="B4420" t="str">
        <f>VLOOKUP(A4420,Products!$A$1:$F$322,2,FALSE)</f>
        <v>Electra Townie Commute 27D Ladies - 2018</v>
      </c>
      <c r="C4420" s="21" t="e">
        <f>VLOOKUP(A4420,Products!A$322:$D4420,4,FALSE)</f>
        <v>#N/A</v>
      </c>
    </row>
    <row r="4421" spans="1:3" x14ac:dyDescent="0.35">
      <c r="A4421" s="21">
        <v>40</v>
      </c>
      <c r="B4421" t="str">
        <f>VLOOKUP(A4421,Products!$A$1:$F$322,2,FALSE)</f>
        <v>Trek Fuel EX 9.8 29 - 2017</v>
      </c>
      <c r="C4421" s="21" t="e">
        <f>VLOOKUP(A4421,Products!A$322:$D4421,4,FALSE)</f>
        <v>#N/A</v>
      </c>
    </row>
    <row r="4422" spans="1:3" x14ac:dyDescent="0.35">
      <c r="A4422" s="21">
        <v>158</v>
      </c>
      <c r="B4422" t="str">
        <f>VLOOKUP(A4422,Products!$A$1:$F$322,2,FALSE)</f>
        <v>Trek CrossRip 1 - 2018</v>
      </c>
      <c r="C4422" s="21" t="e">
        <f>VLOOKUP(A4422,Products!A$322:$D4422,4,FALSE)</f>
        <v>#N/A</v>
      </c>
    </row>
    <row r="4423" spans="1:3" x14ac:dyDescent="0.35">
      <c r="A4423" s="21">
        <v>172</v>
      </c>
      <c r="B4423" t="str">
        <f>VLOOKUP(A4423,Products!$A$1:$F$322,2,FALSE)</f>
        <v>Trek Domane ALR Disc Frameset - 2018</v>
      </c>
      <c r="C4423" s="21" t="e">
        <f>VLOOKUP(A4423,Products!A$322:$D4423,4,FALSE)</f>
        <v>#N/A</v>
      </c>
    </row>
    <row r="4424" spans="1:3" x14ac:dyDescent="0.35">
      <c r="A4424" s="21">
        <v>253</v>
      </c>
      <c r="B4424" t="str">
        <f>VLOOKUP(A4424,Products!$A$1:$F$322,2,FALSE)</f>
        <v>Electra Townie Go! 8i Ladies' - 2018</v>
      </c>
      <c r="C4424" s="21" t="e">
        <f>VLOOKUP(A4424,Products!A$322:$D4424,4,FALSE)</f>
        <v>#N/A</v>
      </c>
    </row>
    <row r="4425" spans="1:3" x14ac:dyDescent="0.35">
      <c r="A4425" s="21">
        <v>196</v>
      </c>
      <c r="B4425" t="str">
        <f>VLOOKUP(A4425,Products!$A$1:$F$322,2,FALSE)</f>
        <v>Trek Verve+ - 2018</v>
      </c>
      <c r="C4425" s="21" t="e">
        <f>VLOOKUP(A4425,Products!A$322:$D4425,4,FALSE)</f>
        <v>#N/A</v>
      </c>
    </row>
    <row r="4426" spans="1:3" x14ac:dyDescent="0.35">
      <c r="A4426" s="21">
        <v>259</v>
      </c>
      <c r="B4426" t="str">
        <f>VLOOKUP(A4426,Products!$A$1:$F$322,2,FALSE)</f>
        <v>Electra Amsterdam Royal 8i Ladies - 2018</v>
      </c>
      <c r="C4426" s="21" t="e">
        <f>VLOOKUP(A4426,Products!A$322:$D4426,4,FALSE)</f>
        <v>#N/A</v>
      </c>
    </row>
    <row r="4427" spans="1:3" x14ac:dyDescent="0.35">
      <c r="A4427" s="21">
        <v>271</v>
      </c>
      <c r="B4427" t="str">
        <f>VLOOKUP(A4427,Products!$A$1:$F$322,2,FALSE)</f>
        <v>Trek Precaliber 16 Girl's - 2018</v>
      </c>
      <c r="C4427" s="21" t="e">
        <f>VLOOKUP(A4427,Products!A$322:$D4427,4,FALSE)</f>
        <v>#N/A</v>
      </c>
    </row>
    <row r="4428" spans="1:3" x14ac:dyDescent="0.35">
      <c r="A4428" s="21">
        <v>303</v>
      </c>
      <c r="B4428" t="str">
        <f>VLOOKUP(A4428,Products!$A$1:$F$322,2,FALSE)</f>
        <v>Electra Townie Go! 8i - 2017/2018</v>
      </c>
      <c r="C4428" s="21" t="e">
        <f>VLOOKUP(A4428,Products!A$322:$D4428,4,FALSE)</f>
        <v>#N/A</v>
      </c>
    </row>
    <row r="4429" spans="1:3" x14ac:dyDescent="0.35">
      <c r="A4429" s="21">
        <v>226</v>
      </c>
      <c r="B4429" t="str">
        <f>VLOOKUP(A4429,Products!$A$1:$F$322,2,FALSE)</f>
        <v>Electra Townie Original 21D EQ - 2017/2018</v>
      </c>
      <c r="C4429" s="21" t="e">
        <f>VLOOKUP(A4429,Products!A$322:$D4429,4,FALSE)</f>
        <v>#N/A</v>
      </c>
    </row>
    <row r="4430" spans="1:3" x14ac:dyDescent="0.35">
      <c r="A4430" s="21">
        <v>304</v>
      </c>
      <c r="B4430" t="str">
        <f>VLOOKUP(A4430,Products!$A$1:$F$322,2,FALSE)</f>
        <v>Electra Townie Original 21D EQ - 2017/2018</v>
      </c>
      <c r="C4430" s="21" t="e">
        <f>VLOOKUP(A4430,Products!A$322:$D4430,4,FALSE)</f>
        <v>#N/A</v>
      </c>
    </row>
    <row r="4431" spans="1:3" x14ac:dyDescent="0.35">
      <c r="A4431" s="21">
        <v>182</v>
      </c>
      <c r="B4431" t="str">
        <f>VLOOKUP(A4431,Products!$A$1:$F$322,2,FALSE)</f>
        <v>Trek Domane SL 5 Disc - 2018</v>
      </c>
      <c r="C4431" s="21" t="e">
        <f>VLOOKUP(A4431,Products!A$322:$D4431,4,FALSE)</f>
        <v>#N/A</v>
      </c>
    </row>
    <row r="4432" spans="1:3" x14ac:dyDescent="0.35">
      <c r="A4432" s="21">
        <v>252</v>
      </c>
      <c r="B4432" t="str">
        <f>VLOOKUP(A4432,Products!$A$1:$F$322,2,FALSE)</f>
        <v>Electra Townie Commute Go! Ladies' - 2018</v>
      </c>
      <c r="C4432" s="21" t="e">
        <f>VLOOKUP(A4432,Products!A$322:$D4432,4,FALSE)</f>
        <v>#N/A</v>
      </c>
    </row>
    <row r="4433" spans="1:3" x14ac:dyDescent="0.35">
      <c r="A4433" s="21">
        <v>150</v>
      </c>
      <c r="B4433" t="str">
        <f>VLOOKUP(A4433,Products!$A$1:$F$322,2,FALSE)</f>
        <v>Trek Emonda SL 7 - 2018</v>
      </c>
      <c r="C4433" s="21" t="e">
        <f>VLOOKUP(A4433,Products!A$322:$D4433,4,FALSE)</f>
        <v>#N/A</v>
      </c>
    </row>
    <row r="4434" spans="1:3" x14ac:dyDescent="0.35">
      <c r="A4434" s="21">
        <v>85</v>
      </c>
      <c r="B4434" t="str">
        <f>VLOOKUP(A4434,Products!$A$1:$F$322,2,FALSE)</f>
        <v>Haro Downtown 16 - 2017</v>
      </c>
      <c r="C4434" s="21" t="e">
        <f>VLOOKUP(A4434,Products!A$322:$D4434,4,FALSE)</f>
        <v>#N/A</v>
      </c>
    </row>
    <row r="4435" spans="1:3" x14ac:dyDescent="0.35">
      <c r="A4435" s="21">
        <v>124</v>
      </c>
      <c r="B4435" t="str">
        <f>VLOOKUP(A4435,Products!$A$1:$F$322,2,FALSE)</f>
        <v>Surly Krampus - 2018</v>
      </c>
      <c r="C4435" s="21" t="e">
        <f>VLOOKUP(A4435,Products!A$322:$D4435,4,FALSE)</f>
        <v>#N/A</v>
      </c>
    </row>
    <row r="4436" spans="1:3" x14ac:dyDescent="0.35">
      <c r="A4436" s="21">
        <v>65</v>
      </c>
      <c r="B4436" t="str">
        <f>VLOOKUP(A4436,Products!$A$1:$F$322,2,FALSE)</f>
        <v>Sun Bicycles Lil Bolt Type-R - 2017</v>
      </c>
      <c r="C4436" s="21" t="e">
        <f>VLOOKUP(A4436,Products!A$322:$D4436,4,FALSE)</f>
        <v>#N/A</v>
      </c>
    </row>
    <row r="4437" spans="1:3" x14ac:dyDescent="0.35">
      <c r="A4437" s="21">
        <v>265</v>
      </c>
      <c r="B4437" t="str">
        <f>VLOOKUP(A4437,Products!$A$1:$F$322,2,FALSE)</f>
        <v>Strider Strider 20 Sport - 2018</v>
      </c>
      <c r="C4437" s="21" t="e">
        <f>VLOOKUP(A4437,Products!A$322:$D4437,4,FALSE)</f>
        <v>#N/A</v>
      </c>
    </row>
    <row r="4438" spans="1:3" x14ac:dyDescent="0.35">
      <c r="A4438" s="21">
        <v>186</v>
      </c>
      <c r="B4438" t="str">
        <f>VLOOKUP(A4438,Products!$A$1:$F$322,2,FALSE)</f>
        <v>Trek CrossRip+ - 2018</v>
      </c>
      <c r="C4438" s="21" t="e">
        <f>VLOOKUP(A4438,Products!A$322:$D4438,4,FALSE)</f>
        <v>#N/A</v>
      </c>
    </row>
    <row r="4439" spans="1:3" x14ac:dyDescent="0.35">
      <c r="A4439" s="21">
        <v>188</v>
      </c>
      <c r="B4439" t="str">
        <f>VLOOKUP(A4439,Products!$A$1:$F$322,2,FALSE)</f>
        <v>Trek XM700+ Lowstep - 2018</v>
      </c>
      <c r="C4439" s="21" t="e">
        <f>VLOOKUP(A4439,Products!A$322:$D4439,4,FALSE)</f>
        <v>#N/A</v>
      </c>
    </row>
    <row r="4440" spans="1:3" x14ac:dyDescent="0.35">
      <c r="A4440" s="21">
        <v>310</v>
      </c>
      <c r="B4440" t="str">
        <f>VLOOKUP(A4440,Products!$A$1:$F$322,2,FALSE)</f>
        <v>Electra Townie Commute 27D Ladies - 2018</v>
      </c>
      <c r="C4440" s="21" t="e">
        <f>VLOOKUP(A4440,Products!A$322:$D4440,4,FALSE)</f>
        <v>#N/A</v>
      </c>
    </row>
    <row r="4441" spans="1:3" x14ac:dyDescent="0.35">
      <c r="A4441" s="21">
        <v>263</v>
      </c>
      <c r="B4441" t="str">
        <f>VLOOKUP(A4441,Products!$A$1:$F$322,2,FALSE)</f>
        <v>Strider Classic 12 Balance Bike - 2018</v>
      </c>
      <c r="C4441" s="21" t="e">
        <f>VLOOKUP(A4441,Products!A$322:$D4441,4,FALSE)</f>
        <v>#N/A</v>
      </c>
    </row>
    <row r="4442" spans="1:3" x14ac:dyDescent="0.35">
      <c r="A4442" s="21">
        <v>100</v>
      </c>
      <c r="B4442" t="str">
        <f>VLOOKUP(A4442,Products!$A$1:$F$322,2,FALSE)</f>
        <v>Electra Townie 3i EQ (20-inch) - Boys' - 2017</v>
      </c>
      <c r="C4442" s="21" t="e">
        <f>VLOOKUP(A4442,Products!A$322:$D4442,4,FALSE)</f>
        <v>#N/A</v>
      </c>
    </row>
    <row r="4443" spans="1:3" x14ac:dyDescent="0.35">
      <c r="A4443" s="21">
        <v>314</v>
      </c>
      <c r="B4443" t="str">
        <f>VLOOKUP(A4443,Products!$A$1:$F$322,2,FALSE)</f>
        <v>Electra Townie Original 21D EQ Ladies' - 2018</v>
      </c>
      <c r="C4443" s="21" t="e">
        <f>VLOOKUP(A4443,Products!A$322:$D4443,4,FALSE)</f>
        <v>#N/A</v>
      </c>
    </row>
    <row r="4444" spans="1:3" x14ac:dyDescent="0.35">
      <c r="A4444" s="21">
        <v>123</v>
      </c>
      <c r="B4444" t="str">
        <f>VLOOKUP(A4444,Products!$A$1:$F$322,2,FALSE)</f>
        <v>Trek Farley Carbon Frameset - 2018</v>
      </c>
      <c r="C4444" s="21" t="e">
        <f>VLOOKUP(A4444,Products!A$322:$D4444,4,FALSE)</f>
        <v>#N/A</v>
      </c>
    </row>
    <row r="4445" spans="1:3" x14ac:dyDescent="0.35">
      <c r="A4445" s="21">
        <v>135</v>
      </c>
      <c r="B4445" t="str">
        <f>VLOOKUP(A4445,Products!$A$1:$F$322,2,FALSE)</f>
        <v>Trek X-Caliber Frameset - 2018</v>
      </c>
      <c r="C4445" s="21" t="e">
        <f>VLOOKUP(A4445,Products!A$322:$D4445,4,FALSE)</f>
        <v>#N/A</v>
      </c>
    </row>
    <row r="4446" spans="1:3" x14ac:dyDescent="0.35">
      <c r="A4446" s="21">
        <v>95</v>
      </c>
      <c r="B4446" t="str">
        <f>VLOOKUP(A4446,Products!$A$1:$F$322,2,FALSE)</f>
        <v>Electra Girl's Hawaii 1 16" - 2017</v>
      </c>
      <c r="C4446" s="21" t="e">
        <f>VLOOKUP(A4446,Products!A$322:$D4446,4,FALSE)</f>
        <v>#N/A</v>
      </c>
    </row>
    <row r="4447" spans="1:3" x14ac:dyDescent="0.35">
      <c r="A4447" s="21">
        <v>141</v>
      </c>
      <c r="B4447" t="str">
        <f>VLOOKUP(A4447,Products!$A$1:$F$322,2,FALSE)</f>
        <v>Trek Stache 5 - 2018</v>
      </c>
      <c r="C4447" s="21" t="e">
        <f>VLOOKUP(A4447,Products!A$322:$D4447,4,FALSE)</f>
        <v>#N/A</v>
      </c>
    </row>
    <row r="4448" spans="1:3" x14ac:dyDescent="0.35">
      <c r="A4448" s="21">
        <v>117</v>
      </c>
      <c r="B4448" t="str">
        <f>VLOOKUP(A4448,Products!$A$1:$F$322,2,FALSE)</f>
        <v>Trek Ticket S Frame - 2018</v>
      </c>
      <c r="C4448" s="21" t="e">
        <f>VLOOKUP(A4448,Products!A$322:$D4448,4,FALSE)</f>
        <v>#N/A</v>
      </c>
    </row>
    <row r="4449" spans="1:3" x14ac:dyDescent="0.35">
      <c r="A4449" s="21">
        <v>311</v>
      </c>
      <c r="B4449" t="str">
        <f>VLOOKUP(A4449,Products!$A$1:$F$322,2,FALSE)</f>
        <v>Electra Townie Commute 8D - 2018</v>
      </c>
      <c r="C4449" s="21" t="e">
        <f>VLOOKUP(A4449,Products!A$322:$D4449,4,FALSE)</f>
        <v>#N/A</v>
      </c>
    </row>
    <row r="4450" spans="1:3" x14ac:dyDescent="0.35">
      <c r="A4450" s="21">
        <v>168</v>
      </c>
      <c r="B4450" t="str">
        <f>VLOOKUP(A4450,Products!$A$1:$F$322,2,FALSE)</f>
        <v>Surly Straggler - 2018</v>
      </c>
      <c r="C4450" s="21" t="e">
        <f>VLOOKUP(A4450,Products!A$322:$D4450,4,FALSE)</f>
        <v>#N/A</v>
      </c>
    </row>
    <row r="4451" spans="1:3" x14ac:dyDescent="0.35">
      <c r="A4451" s="21">
        <v>295</v>
      </c>
      <c r="B4451" t="str">
        <f>VLOOKUP(A4451,Products!$A$1:$F$322,2,FALSE)</f>
        <v>Electra Treasure 1 20" - 2018</v>
      </c>
      <c r="C4451" s="21" t="e">
        <f>VLOOKUP(A4451,Products!A$322:$D4451,4,FALSE)</f>
        <v>#N/A</v>
      </c>
    </row>
    <row r="4452" spans="1:3" x14ac:dyDescent="0.35">
      <c r="A4452" s="21">
        <v>313</v>
      </c>
      <c r="B4452" t="str">
        <f>VLOOKUP(A4452,Products!$A$1:$F$322,2,FALSE)</f>
        <v>Electra Townie Original 1 Ladies' - 2018</v>
      </c>
      <c r="C4452" s="21" t="e">
        <f>VLOOKUP(A4452,Products!A$322:$D4452,4,FALSE)</f>
        <v>#N/A</v>
      </c>
    </row>
    <row r="4453" spans="1:3" x14ac:dyDescent="0.35">
      <c r="A4453" s="21">
        <v>252</v>
      </c>
      <c r="B4453" t="str">
        <f>VLOOKUP(A4453,Products!$A$1:$F$322,2,FALSE)</f>
        <v>Electra Townie Commute Go! Ladies' - 2018</v>
      </c>
      <c r="C4453" s="21" t="e">
        <f>VLOOKUP(A4453,Products!A$322:$D4453,4,FALSE)</f>
        <v>#N/A</v>
      </c>
    </row>
    <row r="4454" spans="1:3" x14ac:dyDescent="0.35">
      <c r="A4454" s="21">
        <v>156</v>
      </c>
      <c r="B4454" t="str">
        <f>VLOOKUP(A4454,Products!$A$1:$F$322,2,FALSE)</f>
        <v>Trek Domane SL Frameset - 2018</v>
      </c>
      <c r="C4454" s="21" t="e">
        <f>VLOOKUP(A4454,Products!A$322:$D4454,4,FALSE)</f>
        <v>#N/A</v>
      </c>
    </row>
    <row r="4455" spans="1:3" x14ac:dyDescent="0.35">
      <c r="A4455" s="21">
        <v>163</v>
      </c>
      <c r="B4455" t="str">
        <f>VLOOKUP(A4455,Products!$A$1:$F$322,2,FALSE)</f>
        <v>Surly Pack Rat - 2018</v>
      </c>
      <c r="C4455" s="21" t="e">
        <f>VLOOKUP(A4455,Products!A$322:$D4455,4,FALSE)</f>
        <v>#N/A</v>
      </c>
    </row>
    <row r="4456" spans="1:3" x14ac:dyDescent="0.35">
      <c r="A4456" s="21">
        <v>193</v>
      </c>
      <c r="B4456" t="str">
        <f>VLOOKUP(A4456,Products!$A$1:$F$322,2,FALSE)</f>
        <v>Trek Lift+ - 2018</v>
      </c>
      <c r="C4456" s="21" t="e">
        <f>VLOOKUP(A4456,Products!A$322:$D4456,4,FALSE)</f>
        <v>#N/A</v>
      </c>
    </row>
    <row r="4457" spans="1:3" x14ac:dyDescent="0.35">
      <c r="A4457" s="21">
        <v>151</v>
      </c>
      <c r="B4457" t="str">
        <f>VLOOKUP(A4457,Products!$A$1:$F$322,2,FALSE)</f>
        <v>Trek Domane ALR 4 Disc Women's - 2018</v>
      </c>
      <c r="C4457" s="21" t="e">
        <f>VLOOKUP(A4457,Products!A$322:$D4457,4,FALSE)</f>
        <v>#N/A</v>
      </c>
    </row>
    <row r="4458" spans="1:3" x14ac:dyDescent="0.35">
      <c r="A4458" s="21">
        <v>56</v>
      </c>
      <c r="B4458" t="str">
        <f>VLOOKUP(A4458,Products!$A$1:$F$322,2,FALSE)</f>
        <v>Trek Domane SLR 6 Disc - 2017</v>
      </c>
      <c r="C4458" s="21" t="e">
        <f>VLOOKUP(A4458,Products!A$322:$D4458,4,FALSE)</f>
        <v>#N/A</v>
      </c>
    </row>
    <row r="4459" spans="1:3" x14ac:dyDescent="0.35">
      <c r="A4459" s="21">
        <v>238</v>
      </c>
      <c r="B4459" t="str">
        <f>VLOOKUP(A4459,Products!$A$1:$F$322,2,FALSE)</f>
        <v>Electra Townie Balloon 8D EQ - 2016/2017/2018</v>
      </c>
      <c r="C4459" s="21" t="e">
        <f>VLOOKUP(A4459,Products!A$322:$D4459,4,FALSE)</f>
        <v>#N/A</v>
      </c>
    </row>
    <row r="4460" spans="1:3" x14ac:dyDescent="0.35">
      <c r="A4460" s="21">
        <v>243</v>
      </c>
      <c r="B4460" t="str">
        <f>VLOOKUP(A4460,Products!$A$1:$F$322,2,FALSE)</f>
        <v>Electra Townie Original 21D EQ Ladies' - 2018</v>
      </c>
      <c r="C4460" s="21" t="e">
        <f>VLOOKUP(A4460,Products!A$322:$D4460,4,FALSE)</f>
        <v>#N/A</v>
      </c>
    </row>
    <row r="4461" spans="1:3" x14ac:dyDescent="0.35">
      <c r="A4461" s="21">
        <v>33</v>
      </c>
      <c r="B4461" t="str">
        <f>VLOOKUP(A4461,Products!$A$1:$F$322,2,FALSE)</f>
        <v>Surly Wednesday Frameset - 2017</v>
      </c>
      <c r="C4461" s="21" t="e">
        <f>VLOOKUP(A4461,Products!A$322:$D4461,4,FALSE)</f>
        <v>#N/A</v>
      </c>
    </row>
    <row r="4462" spans="1:3" x14ac:dyDescent="0.35">
      <c r="A4462" s="21">
        <v>103</v>
      </c>
      <c r="B4462" t="str">
        <f>VLOOKUP(A4462,Products!$A$1:$F$322,2,FALSE)</f>
        <v>Sun Bicycles Streamway 3 - 2017</v>
      </c>
      <c r="C4462" s="21" t="e">
        <f>VLOOKUP(A4462,Products!A$322:$D4462,4,FALSE)</f>
        <v>#N/A</v>
      </c>
    </row>
    <row r="4463" spans="1:3" x14ac:dyDescent="0.35">
      <c r="A4463" s="21">
        <v>57</v>
      </c>
      <c r="B4463" t="str">
        <f>VLOOKUP(A4463,Products!$A$1:$F$322,2,FALSE)</f>
        <v>Trek Emonda S 5 - 2017</v>
      </c>
      <c r="C4463" s="21" t="e">
        <f>VLOOKUP(A4463,Products!A$322:$D4463,4,FALSE)</f>
        <v>#N/A</v>
      </c>
    </row>
    <row r="4464" spans="1:3" x14ac:dyDescent="0.35">
      <c r="A4464" s="21">
        <v>229</v>
      </c>
      <c r="B4464" t="str">
        <f>VLOOKUP(A4464,Products!$A$1:$F$322,2,FALSE)</f>
        <v>Electra Cruiser Lux 1 - 2016/2018</v>
      </c>
      <c r="C4464" s="21" t="e">
        <f>VLOOKUP(A4464,Products!A$322:$D4464,4,FALSE)</f>
        <v>#N/A</v>
      </c>
    </row>
    <row r="4465" spans="1:3" x14ac:dyDescent="0.35">
      <c r="A4465" s="21">
        <v>23</v>
      </c>
      <c r="B4465" t="str">
        <f>VLOOKUP(A4465,Products!$A$1:$F$322,2,FALSE)</f>
        <v>Electra Girl's Hawaii 1 (20-inch) - 2015/2016</v>
      </c>
      <c r="C4465" s="21" t="e">
        <f>VLOOKUP(A4465,Products!A$322:$D4465,4,FALSE)</f>
        <v>#N/A</v>
      </c>
    </row>
    <row r="4466" spans="1:3" x14ac:dyDescent="0.35">
      <c r="A4466" s="21">
        <v>50</v>
      </c>
      <c r="B4466" t="str">
        <f>VLOOKUP(A4466,Products!$A$1:$F$322,2,FALSE)</f>
        <v>Trek Silque SLR 7 Women's - 2017</v>
      </c>
      <c r="C4466" s="21" t="e">
        <f>VLOOKUP(A4466,Products!A$322:$D4466,4,FALSE)</f>
        <v>#N/A</v>
      </c>
    </row>
    <row r="4467" spans="1:3" x14ac:dyDescent="0.35">
      <c r="A4467" s="21">
        <v>213</v>
      </c>
      <c r="B4467" t="str">
        <f>VLOOKUP(A4467,Products!$A$1:$F$322,2,FALSE)</f>
        <v>Electra Cruiser 1 - 2016/2017/2018</v>
      </c>
      <c r="C4467" s="21" t="e">
        <f>VLOOKUP(A4467,Products!A$322:$D4467,4,FALSE)</f>
        <v>#N/A</v>
      </c>
    </row>
    <row r="4468" spans="1:3" x14ac:dyDescent="0.35">
      <c r="A4468" s="21">
        <v>116</v>
      </c>
      <c r="B4468" t="str">
        <f>VLOOKUP(A4468,Products!$A$1:$F$322,2,FALSE)</f>
        <v>Trek Marlin 7 - 2017/2018</v>
      </c>
      <c r="C4468" s="21" t="e">
        <f>VLOOKUP(A4468,Products!A$322:$D4468,4,FALSE)</f>
        <v>#N/A</v>
      </c>
    </row>
    <row r="4469" spans="1:3" x14ac:dyDescent="0.35">
      <c r="A4469" s="21">
        <v>128</v>
      </c>
      <c r="B4469" t="str">
        <f>VLOOKUP(A4469,Products!$A$1:$F$322,2,FALSE)</f>
        <v>Surly ECR 27.5 - 2018</v>
      </c>
      <c r="C4469" s="21" t="e">
        <f>VLOOKUP(A4469,Products!A$322:$D4469,4,FALSE)</f>
        <v>#N/A</v>
      </c>
    </row>
    <row r="4470" spans="1:3" x14ac:dyDescent="0.35">
      <c r="A4470" s="21">
        <v>209</v>
      </c>
      <c r="B4470" t="str">
        <f>VLOOKUP(A4470,Products!$A$1:$F$322,2,FALSE)</f>
        <v>Trek Crockett 7 Disc - 2018</v>
      </c>
      <c r="C4470" s="21" t="e">
        <f>VLOOKUP(A4470,Products!A$322:$D4470,4,FALSE)</f>
        <v>#N/A</v>
      </c>
    </row>
    <row r="4471" spans="1:3" x14ac:dyDescent="0.35">
      <c r="A4471" s="21">
        <v>274</v>
      </c>
      <c r="B4471" t="str">
        <f>VLOOKUP(A4471,Products!$A$1:$F$322,2,FALSE)</f>
        <v>Trek Precaliber 20 Boy's - 2018</v>
      </c>
      <c r="C4471" s="21" t="e">
        <f>VLOOKUP(A4471,Products!A$322:$D4471,4,FALSE)</f>
        <v>#N/A</v>
      </c>
    </row>
    <row r="4472" spans="1:3" x14ac:dyDescent="0.35">
      <c r="A4472" s="21">
        <v>78</v>
      </c>
      <c r="B4472" t="str">
        <f>VLOOKUP(A4472,Products!$A$1:$F$322,2,FALSE)</f>
        <v>Sun Bicycles Biscayne Tandem CB - 2017</v>
      </c>
      <c r="C4472" s="21" t="e">
        <f>VLOOKUP(A4472,Products!A$322:$D4472,4,FALSE)</f>
        <v>#N/A</v>
      </c>
    </row>
    <row r="4473" spans="1:3" x14ac:dyDescent="0.35">
      <c r="A4473" s="21">
        <v>96</v>
      </c>
      <c r="B4473" t="str">
        <f>VLOOKUP(A4473,Products!$A$1:$F$322,2,FALSE)</f>
        <v>Electra Moto 3i (20-inch) - Boy's - 2017</v>
      </c>
      <c r="C4473" s="21" t="e">
        <f>VLOOKUP(A4473,Products!A$322:$D4473,4,FALSE)</f>
        <v>#N/A</v>
      </c>
    </row>
    <row r="4474" spans="1:3" x14ac:dyDescent="0.35">
      <c r="A4474" s="21">
        <v>235</v>
      </c>
      <c r="B4474" t="str">
        <f>VLOOKUP(A4474,Products!$A$1:$F$322,2,FALSE)</f>
        <v>Electra Koa 3i Ladies' - 2018</v>
      </c>
      <c r="C4474" s="21" t="e">
        <f>VLOOKUP(A4474,Products!A$322:$D4474,4,FALSE)</f>
        <v>#N/A</v>
      </c>
    </row>
    <row r="4475" spans="1:3" x14ac:dyDescent="0.35">
      <c r="A4475" s="21">
        <v>51</v>
      </c>
      <c r="B4475" t="str">
        <f>VLOOKUP(A4475,Products!$A$1:$F$322,2,FALSE)</f>
        <v>Trek Silque SLR 8 Women's - 2017</v>
      </c>
      <c r="C4475" s="21" t="e">
        <f>VLOOKUP(A4475,Products!A$322:$D4475,4,FALSE)</f>
        <v>#N/A</v>
      </c>
    </row>
    <row r="4476" spans="1:3" x14ac:dyDescent="0.35">
      <c r="A4476" s="21">
        <v>194</v>
      </c>
      <c r="B4476" t="str">
        <f>VLOOKUP(A4476,Products!$A$1:$F$322,2,FALSE)</f>
        <v>Trek XM700+ - 2018</v>
      </c>
      <c r="C4476" s="21" t="e">
        <f>VLOOKUP(A4476,Products!A$322:$D4476,4,FALSE)</f>
        <v>#N/A</v>
      </c>
    </row>
    <row r="4477" spans="1:3" x14ac:dyDescent="0.35">
      <c r="A4477" s="21">
        <v>117</v>
      </c>
      <c r="B4477" t="str">
        <f>VLOOKUP(A4477,Products!$A$1:$F$322,2,FALSE)</f>
        <v>Trek Ticket S Frame - 2018</v>
      </c>
      <c r="C4477" s="21" t="e">
        <f>VLOOKUP(A4477,Products!A$322:$D4477,4,FALSE)</f>
        <v>#N/A</v>
      </c>
    </row>
    <row r="4478" spans="1:3" x14ac:dyDescent="0.35">
      <c r="A4478" s="21">
        <v>269</v>
      </c>
      <c r="B4478" t="str">
        <f>VLOOKUP(A4478,Products!$A$1:$F$322,2,FALSE)</f>
        <v>Trek Precaliber 12 Boy's - 2018</v>
      </c>
      <c r="C4478" s="21" t="e">
        <f>VLOOKUP(A4478,Products!A$322:$D4478,4,FALSE)</f>
        <v>#N/A</v>
      </c>
    </row>
    <row r="4479" spans="1:3" x14ac:dyDescent="0.35">
      <c r="A4479" s="21">
        <v>172</v>
      </c>
      <c r="B4479" t="str">
        <f>VLOOKUP(A4479,Products!$A$1:$F$322,2,FALSE)</f>
        <v>Trek Domane ALR Disc Frameset - 2018</v>
      </c>
      <c r="C4479" s="21" t="e">
        <f>VLOOKUP(A4479,Products!A$322:$D4479,4,FALSE)</f>
        <v>#N/A</v>
      </c>
    </row>
    <row r="4480" spans="1:3" x14ac:dyDescent="0.35">
      <c r="A4480" s="21">
        <v>92</v>
      </c>
      <c r="B4480" t="str">
        <f>VLOOKUP(A4480,Products!$A$1:$F$322,2,FALSE)</f>
        <v>Haro Shredder 20 - 2017</v>
      </c>
      <c r="C4480" s="21" t="e">
        <f>VLOOKUP(A4480,Products!A$322:$D4480,4,FALSE)</f>
        <v>#N/A</v>
      </c>
    </row>
    <row r="4481" spans="1:3" x14ac:dyDescent="0.35">
      <c r="A4481" s="21">
        <v>75</v>
      </c>
      <c r="B4481" t="str">
        <f>VLOOKUP(A4481,Products!$A$1:$F$322,2,FALSE)</f>
        <v>Electra Cruiser Lux Fat Tire 1 Ladies - 2017</v>
      </c>
      <c r="C4481" s="21" t="e">
        <f>VLOOKUP(A4481,Products!A$322:$D4481,4,FALSE)</f>
        <v>#N/A</v>
      </c>
    </row>
    <row r="4482" spans="1:3" x14ac:dyDescent="0.35">
      <c r="A4482" s="21">
        <v>183</v>
      </c>
      <c r="B4482" t="str">
        <f>VLOOKUP(A4482,Products!$A$1:$F$322,2,FALSE)</f>
        <v>Trek Domane SL 5 Women's - 2018</v>
      </c>
      <c r="C4482" s="21" t="e">
        <f>VLOOKUP(A4482,Products!A$322:$D4482,4,FALSE)</f>
        <v>#N/A</v>
      </c>
    </row>
    <row r="4483" spans="1:3" x14ac:dyDescent="0.35">
      <c r="A4483" s="21">
        <v>185</v>
      </c>
      <c r="B4483" t="str">
        <f>VLOOKUP(A4483,Products!$A$1:$F$322,2,FALSE)</f>
        <v>Trek Conduit+ - 2018</v>
      </c>
      <c r="C4483" s="21" t="e">
        <f>VLOOKUP(A4483,Products!A$322:$D4483,4,FALSE)</f>
        <v>#N/A</v>
      </c>
    </row>
    <row r="4484" spans="1:3" x14ac:dyDescent="0.35">
      <c r="A4484" s="21">
        <v>196</v>
      </c>
      <c r="B4484" t="str">
        <f>VLOOKUP(A4484,Products!$A$1:$F$322,2,FALSE)</f>
        <v>Trek Verve+ - 2018</v>
      </c>
      <c r="C4484" s="21" t="e">
        <f>VLOOKUP(A4484,Products!A$322:$D4484,4,FALSE)</f>
        <v>#N/A</v>
      </c>
    </row>
    <row r="4485" spans="1:3" x14ac:dyDescent="0.35">
      <c r="A4485" s="21">
        <v>237</v>
      </c>
      <c r="B4485" t="str">
        <f>VLOOKUP(A4485,Products!$A$1:$F$322,2,FALSE)</f>
        <v>Electra Relic 3i - 2018</v>
      </c>
      <c r="C4485" s="21" t="e">
        <f>VLOOKUP(A4485,Products!A$322:$D4485,4,FALSE)</f>
        <v>#N/A</v>
      </c>
    </row>
    <row r="4486" spans="1:3" x14ac:dyDescent="0.35">
      <c r="A4486" s="21">
        <v>206</v>
      </c>
      <c r="B4486" t="str">
        <f>VLOOKUP(A4486,Products!$A$1:$F$322,2,FALSE)</f>
        <v>Trek Boone 5 Disc - 2018</v>
      </c>
      <c r="C4486" s="21" t="e">
        <f>VLOOKUP(A4486,Products!A$322:$D4486,4,FALSE)</f>
        <v>#N/A</v>
      </c>
    </row>
    <row r="4487" spans="1:3" x14ac:dyDescent="0.35">
      <c r="A4487" s="21">
        <v>46</v>
      </c>
      <c r="B4487" t="str">
        <f>VLOOKUP(A4487,Products!$A$1:$F$322,2,FALSE)</f>
        <v>Haro SR 1.3 - 2017</v>
      </c>
      <c r="C4487" s="21" t="e">
        <f>VLOOKUP(A4487,Products!A$322:$D4487,4,FALSE)</f>
        <v>#N/A</v>
      </c>
    </row>
    <row r="4488" spans="1:3" x14ac:dyDescent="0.35">
      <c r="A4488" s="21">
        <v>117</v>
      </c>
      <c r="B4488" t="str">
        <f>VLOOKUP(A4488,Products!$A$1:$F$322,2,FALSE)</f>
        <v>Trek Ticket S Frame - 2018</v>
      </c>
      <c r="C4488" s="21" t="e">
        <f>VLOOKUP(A4488,Products!A$322:$D4488,4,FALSE)</f>
        <v>#N/A</v>
      </c>
    </row>
    <row r="4489" spans="1:3" x14ac:dyDescent="0.35">
      <c r="A4489" s="21">
        <v>197</v>
      </c>
      <c r="B4489" t="str">
        <f>VLOOKUP(A4489,Products!$A$1:$F$322,2,FALSE)</f>
        <v>Trek Verve+ Lowstep - 2018</v>
      </c>
      <c r="C4489" s="21" t="e">
        <f>VLOOKUP(A4489,Products!A$322:$D4489,4,FALSE)</f>
        <v>#N/A</v>
      </c>
    </row>
    <row r="4490" spans="1:3" x14ac:dyDescent="0.35">
      <c r="A4490" s="21">
        <v>306</v>
      </c>
      <c r="B4490" t="str">
        <f>VLOOKUP(A4490,Products!$A$1:$F$322,2,FALSE)</f>
        <v>Electra Townie Balloon 7i EQ Ladies' - 2017/2018</v>
      </c>
      <c r="C4490" s="21" t="e">
        <f>VLOOKUP(A4490,Products!A$322:$D4490,4,FALSE)</f>
        <v>#N/A</v>
      </c>
    </row>
    <row r="4491" spans="1:3" x14ac:dyDescent="0.35">
      <c r="A4491" s="21">
        <v>6</v>
      </c>
      <c r="B4491" t="str">
        <f>VLOOKUP(A4491,Products!$A$1:$F$322,2,FALSE)</f>
        <v>Surly Ice Cream Truck Frameset - 2016</v>
      </c>
      <c r="C4491" s="21" t="e">
        <f>VLOOKUP(A4491,Products!A$322:$D4491,4,FALSE)</f>
        <v>#N/A</v>
      </c>
    </row>
    <row r="4492" spans="1:3" x14ac:dyDescent="0.35">
      <c r="A4492" s="21">
        <v>12</v>
      </c>
      <c r="B4492" t="str">
        <f>VLOOKUP(A4492,Products!$A$1:$F$322,2,FALSE)</f>
        <v>Electra Townie Original 21D - 2016</v>
      </c>
      <c r="C4492" s="21" t="e">
        <f>VLOOKUP(A4492,Products!A$322:$D4492,4,FALSE)</f>
        <v>#N/A</v>
      </c>
    </row>
    <row r="4493" spans="1:3" x14ac:dyDescent="0.35">
      <c r="A4493" s="21">
        <v>71</v>
      </c>
      <c r="B4493" t="str">
        <f>VLOOKUP(A4493,Products!$A$1:$F$322,2,FALSE)</f>
        <v>Sun Bicycles Atlas X-Type - 2017</v>
      </c>
      <c r="C4493" s="21" t="e">
        <f>VLOOKUP(A4493,Products!A$322:$D4493,4,FALSE)</f>
        <v>#N/A</v>
      </c>
    </row>
    <row r="4494" spans="1:3" x14ac:dyDescent="0.35">
      <c r="A4494" s="21">
        <v>236</v>
      </c>
      <c r="B4494" t="str">
        <f>VLOOKUP(A4494,Products!$A$1:$F$322,2,FALSE)</f>
        <v>Electra Morningstar 3i Ladies' - 2018</v>
      </c>
      <c r="C4494" s="21" t="e">
        <f>VLOOKUP(A4494,Products!A$322:$D4494,4,FALSE)</f>
        <v>#N/A</v>
      </c>
    </row>
    <row r="4495" spans="1:3" x14ac:dyDescent="0.35">
      <c r="A4495" s="21">
        <v>224</v>
      </c>
      <c r="B4495" t="str">
        <f>VLOOKUP(A4495,Products!$A$1:$F$322,2,FALSE)</f>
        <v>Electra Cruiser Lux 7D - 2018</v>
      </c>
      <c r="C4495" s="21" t="e">
        <f>VLOOKUP(A4495,Products!A$322:$D4495,4,FALSE)</f>
        <v>#N/A</v>
      </c>
    </row>
    <row r="4496" spans="1:3" x14ac:dyDescent="0.35">
      <c r="A4496" s="21">
        <v>177</v>
      </c>
      <c r="B4496" t="str">
        <f>VLOOKUP(A4496,Products!$A$1:$F$322,2,FALSE)</f>
        <v>Trek Domane SLR 6 Disc - 2018</v>
      </c>
      <c r="C4496" s="21" t="e">
        <f>VLOOKUP(A4496,Products!A$322:$D4496,4,FALSE)</f>
        <v>#N/A</v>
      </c>
    </row>
    <row r="4497" spans="1:3" x14ac:dyDescent="0.35">
      <c r="A4497" s="21">
        <v>78</v>
      </c>
      <c r="B4497" t="str">
        <f>VLOOKUP(A4497,Products!$A$1:$F$322,2,FALSE)</f>
        <v>Sun Bicycles Biscayne Tandem CB - 2017</v>
      </c>
      <c r="C4497" s="21" t="e">
        <f>VLOOKUP(A4497,Products!A$322:$D4497,4,FALSE)</f>
        <v>#N/A</v>
      </c>
    </row>
    <row r="4498" spans="1:3" x14ac:dyDescent="0.35">
      <c r="A4498" s="21">
        <v>155</v>
      </c>
      <c r="B4498" t="str">
        <f>VLOOKUP(A4498,Products!$A$1:$F$322,2,FALSE)</f>
        <v>Trek Domane SLR 9 Disc - 2018</v>
      </c>
      <c r="C4498" s="21" t="e">
        <f>VLOOKUP(A4498,Products!A$322:$D4498,4,FALSE)</f>
        <v>#N/A</v>
      </c>
    </row>
    <row r="4499" spans="1:3" x14ac:dyDescent="0.35">
      <c r="A4499" s="21">
        <v>248</v>
      </c>
      <c r="B4499" t="str">
        <f>VLOOKUP(A4499,Products!$A$1:$F$322,2,FALSE)</f>
        <v>Electra Townie Original 7D EQ Ladies' - 2017/2018</v>
      </c>
      <c r="C4499" s="21" t="e">
        <f>VLOOKUP(A4499,Products!A$322:$D4499,4,FALSE)</f>
        <v>#N/A</v>
      </c>
    </row>
    <row r="4500" spans="1:3" x14ac:dyDescent="0.35">
      <c r="A4500" s="21">
        <v>142</v>
      </c>
      <c r="B4500" t="str">
        <f>VLOOKUP(A4500,Products!$A$1:$F$322,2,FALSE)</f>
        <v>Trek Fuel EX 8 29 XT - 2018</v>
      </c>
      <c r="C4500" s="21" t="e">
        <f>VLOOKUP(A4500,Products!A$322:$D4500,4,FALSE)</f>
        <v>#N/A</v>
      </c>
    </row>
    <row r="4501" spans="1:3" x14ac:dyDescent="0.35">
      <c r="A4501" s="21">
        <v>17</v>
      </c>
      <c r="B4501" t="str">
        <f>VLOOKUP(A4501,Products!$A$1:$F$322,2,FALSE)</f>
        <v>Pure Cycles Vine 8-Speed - 2016</v>
      </c>
      <c r="C4501" s="21" t="e">
        <f>VLOOKUP(A4501,Products!A$322:$D4501,4,FALSE)</f>
        <v>#N/A</v>
      </c>
    </row>
    <row r="4502" spans="1:3" x14ac:dyDescent="0.35">
      <c r="A4502" s="21">
        <v>86</v>
      </c>
      <c r="B4502" t="str">
        <f>VLOOKUP(A4502,Products!$A$1:$F$322,2,FALSE)</f>
        <v>Trek Girl's Kickster - 2017</v>
      </c>
      <c r="C4502" s="21" t="e">
        <f>VLOOKUP(A4502,Products!A$322:$D4502,4,FALSE)</f>
        <v>#N/A</v>
      </c>
    </row>
    <row r="4503" spans="1:3" x14ac:dyDescent="0.35">
      <c r="A4503" s="21">
        <v>79</v>
      </c>
      <c r="B4503" t="str">
        <f>VLOOKUP(A4503,Products!$A$1:$F$322,2,FALSE)</f>
        <v>Sun Bicycles Boardwalk (24-inch Wheels) - 2017</v>
      </c>
      <c r="C4503" s="21" t="e">
        <f>VLOOKUP(A4503,Products!A$322:$D4503,4,FALSE)</f>
        <v>#N/A</v>
      </c>
    </row>
    <row r="4504" spans="1:3" x14ac:dyDescent="0.35">
      <c r="A4504" s="21">
        <v>122</v>
      </c>
      <c r="B4504" t="str">
        <f>VLOOKUP(A4504,Products!$A$1:$F$322,2,FALSE)</f>
        <v>Surly Troll Frameset - 2018</v>
      </c>
      <c r="C4504" s="21" t="e">
        <f>VLOOKUP(A4504,Products!A$322:$D4504,4,FALSE)</f>
        <v>#N/A</v>
      </c>
    </row>
    <row r="4505" spans="1:3" x14ac:dyDescent="0.35">
      <c r="A4505" s="21">
        <v>184</v>
      </c>
      <c r="B4505" t="str">
        <f>VLOOKUP(A4505,Products!$A$1:$F$322,2,FALSE)</f>
        <v>Trek Domane SL 6 Disc - 2018</v>
      </c>
      <c r="C4505" s="21" t="e">
        <f>VLOOKUP(A4505,Products!A$322:$D4505,4,FALSE)</f>
        <v>#N/A</v>
      </c>
    </row>
    <row r="4506" spans="1:3" x14ac:dyDescent="0.35">
      <c r="A4506" s="21">
        <v>37</v>
      </c>
      <c r="B4506" t="str">
        <f>VLOOKUP(A4506,Products!$A$1:$F$322,2,FALSE)</f>
        <v>Haro Flightline One ST - 2017</v>
      </c>
      <c r="C4506" s="21" t="e">
        <f>VLOOKUP(A4506,Products!A$322:$D4506,4,FALSE)</f>
        <v>#N/A</v>
      </c>
    </row>
    <row r="4507" spans="1:3" x14ac:dyDescent="0.35">
      <c r="A4507" s="21">
        <v>297</v>
      </c>
      <c r="B4507" t="str">
        <f>VLOOKUP(A4507,Products!$A$1:$F$322,2,FALSE)</f>
        <v>Electra Under-The-Sea 1 16" - 2018</v>
      </c>
      <c r="C4507" s="21" t="e">
        <f>VLOOKUP(A4507,Products!A$322:$D4507,4,FALSE)</f>
        <v>#N/A</v>
      </c>
    </row>
    <row r="4508" spans="1:3" x14ac:dyDescent="0.35">
      <c r="A4508" s="21">
        <v>108</v>
      </c>
      <c r="B4508" t="str">
        <f>VLOOKUP(A4508,Products!$A$1:$F$322,2,FALSE)</f>
        <v>Sun Bicycles Cruz 3 - Women's - 2017</v>
      </c>
      <c r="C4508" s="21" t="e">
        <f>VLOOKUP(A4508,Products!A$322:$D4508,4,FALSE)</f>
        <v>#N/A</v>
      </c>
    </row>
    <row r="4509" spans="1:3" x14ac:dyDescent="0.35">
      <c r="A4509" s="21">
        <v>93</v>
      </c>
      <c r="B4509" t="str">
        <f>VLOOKUP(A4509,Products!$A$1:$F$322,2,FALSE)</f>
        <v>Haro Shredder 20 Girls - 2017</v>
      </c>
      <c r="C4509" s="21" t="e">
        <f>VLOOKUP(A4509,Products!A$322:$D4509,4,FALSE)</f>
        <v>#N/A</v>
      </c>
    </row>
    <row r="4510" spans="1:3" x14ac:dyDescent="0.35">
      <c r="A4510" s="21">
        <v>158</v>
      </c>
      <c r="B4510" t="str">
        <f>VLOOKUP(A4510,Products!$A$1:$F$322,2,FALSE)</f>
        <v>Trek CrossRip 1 - 2018</v>
      </c>
      <c r="C4510" s="21" t="e">
        <f>VLOOKUP(A4510,Products!A$322:$D4510,4,FALSE)</f>
        <v>#N/A</v>
      </c>
    </row>
    <row r="4511" spans="1:3" x14ac:dyDescent="0.35">
      <c r="A4511" s="21">
        <v>97</v>
      </c>
      <c r="B4511" t="str">
        <f>VLOOKUP(A4511,Products!$A$1:$F$322,2,FALSE)</f>
        <v>Electra Savannah 3i (20-inch) - Girl's - 2017</v>
      </c>
      <c r="C4511" s="21" t="e">
        <f>VLOOKUP(A4511,Products!A$322:$D4511,4,FALSE)</f>
        <v>#N/A</v>
      </c>
    </row>
    <row r="4512" spans="1:3" x14ac:dyDescent="0.35">
      <c r="A4512" s="21">
        <v>136</v>
      </c>
      <c r="B4512" t="str">
        <f>VLOOKUP(A4512,Products!$A$1:$F$322,2,FALSE)</f>
        <v>Trek Procaliber 6 - 2018</v>
      </c>
      <c r="C4512" s="21" t="e">
        <f>VLOOKUP(A4512,Products!A$322:$D4512,4,FALSE)</f>
        <v>#N/A</v>
      </c>
    </row>
    <row r="4513" spans="1:3" x14ac:dyDescent="0.35">
      <c r="A4513" s="21">
        <v>194</v>
      </c>
      <c r="B4513" t="str">
        <f>VLOOKUP(A4513,Products!$A$1:$F$322,2,FALSE)</f>
        <v>Trek XM700+ - 2018</v>
      </c>
      <c r="C4513" s="21" t="e">
        <f>VLOOKUP(A4513,Products!A$322:$D4513,4,FALSE)</f>
        <v>#N/A</v>
      </c>
    </row>
    <row r="4514" spans="1:3" x14ac:dyDescent="0.35">
      <c r="A4514" s="21">
        <v>107</v>
      </c>
      <c r="B4514" t="str">
        <f>VLOOKUP(A4514,Products!$A$1:$F$322,2,FALSE)</f>
        <v>Sun Bicycles Cruz 7 - 2017</v>
      </c>
      <c r="C4514" s="21" t="e">
        <f>VLOOKUP(A4514,Products!A$322:$D4514,4,FALSE)</f>
        <v>#N/A</v>
      </c>
    </row>
    <row r="4515" spans="1:3" x14ac:dyDescent="0.35">
      <c r="A4515" s="21">
        <v>45</v>
      </c>
      <c r="B4515" t="str">
        <f>VLOOKUP(A4515,Products!$A$1:$F$322,2,FALSE)</f>
        <v>Haro SR 1.2 - 2017</v>
      </c>
      <c r="C4515" s="21" t="e">
        <f>VLOOKUP(A4515,Products!A$322:$D4515,4,FALSE)</f>
        <v>#N/A</v>
      </c>
    </row>
    <row r="4516" spans="1:3" x14ac:dyDescent="0.35">
      <c r="A4516" s="21">
        <v>156</v>
      </c>
      <c r="B4516" t="str">
        <f>VLOOKUP(A4516,Products!$A$1:$F$322,2,FALSE)</f>
        <v>Trek Domane SL Frameset - 2018</v>
      </c>
      <c r="C4516" s="21" t="e">
        <f>VLOOKUP(A4516,Products!A$322:$D4516,4,FALSE)</f>
        <v>#N/A</v>
      </c>
    </row>
    <row r="4517" spans="1:3" x14ac:dyDescent="0.35">
      <c r="A4517" s="21">
        <v>185</v>
      </c>
      <c r="B4517" t="str">
        <f>VLOOKUP(A4517,Products!$A$1:$F$322,2,FALSE)</f>
        <v>Trek Conduit+ - 2018</v>
      </c>
      <c r="C4517" s="21" t="e">
        <f>VLOOKUP(A4517,Products!A$322:$D4517,4,FALSE)</f>
        <v>#N/A</v>
      </c>
    </row>
    <row r="4518" spans="1:3" x14ac:dyDescent="0.35">
      <c r="A4518" s="21">
        <v>215</v>
      </c>
      <c r="B4518" t="str">
        <f>VLOOKUP(A4518,Products!$A$1:$F$322,2,FALSE)</f>
        <v>Electra Queen of Hearts 3i - 2018</v>
      </c>
      <c r="C4518" s="21" t="e">
        <f>VLOOKUP(A4518,Products!A$322:$D4518,4,FALSE)</f>
        <v>#N/A</v>
      </c>
    </row>
    <row r="4519" spans="1:3" x14ac:dyDescent="0.35">
      <c r="A4519" s="21">
        <v>25</v>
      </c>
      <c r="B4519" t="str">
        <f>VLOOKUP(A4519,Products!$A$1:$F$322,2,FALSE)</f>
        <v>Electra Townie Original 7D - 2015/2016</v>
      </c>
      <c r="C4519" s="21" t="e">
        <f>VLOOKUP(A4519,Products!A$322:$D4519,4,FALSE)</f>
        <v>#N/A</v>
      </c>
    </row>
    <row r="4520" spans="1:3" x14ac:dyDescent="0.35">
      <c r="A4520" s="21">
        <v>106</v>
      </c>
      <c r="B4520" t="str">
        <f>VLOOKUP(A4520,Products!$A$1:$F$322,2,FALSE)</f>
        <v>Sun Bicycles Cruz 3 - 2017</v>
      </c>
      <c r="C4520" s="21" t="e">
        <f>VLOOKUP(A4520,Products!A$322:$D4520,4,FALSE)</f>
        <v>#N/A</v>
      </c>
    </row>
    <row r="4521" spans="1:3" x14ac:dyDescent="0.35">
      <c r="A4521" s="21">
        <v>204</v>
      </c>
      <c r="B4521" t="str">
        <f>VLOOKUP(A4521,Products!$A$1:$F$322,2,FALSE)</f>
        <v>Trek Super Commuter+ 7 - 2018</v>
      </c>
      <c r="C4521" s="21" t="e">
        <f>VLOOKUP(A4521,Products!A$322:$D4521,4,FALSE)</f>
        <v>#N/A</v>
      </c>
    </row>
    <row r="4522" spans="1:3" x14ac:dyDescent="0.35">
      <c r="A4522" s="21">
        <v>32</v>
      </c>
      <c r="B4522" t="str">
        <f>VLOOKUP(A4522,Products!$A$1:$F$322,2,FALSE)</f>
        <v>Trek Farley Alloy Frameset - 2017</v>
      </c>
      <c r="C4522" s="21" t="e">
        <f>VLOOKUP(A4522,Products!A$322:$D4522,4,FALSE)</f>
        <v>#N/A</v>
      </c>
    </row>
    <row r="4523" spans="1:3" x14ac:dyDescent="0.35">
      <c r="A4523" s="21">
        <v>202</v>
      </c>
      <c r="B4523" t="str">
        <f>VLOOKUP(A4523,Products!$A$1:$F$322,2,FALSE)</f>
        <v>Trek Powerfly 5 Women's - 2018</v>
      </c>
      <c r="C4523" s="21" t="e">
        <f>VLOOKUP(A4523,Products!A$322:$D4523,4,FALSE)</f>
        <v>#N/A</v>
      </c>
    </row>
    <row r="4524" spans="1:3" x14ac:dyDescent="0.35">
      <c r="A4524" s="21">
        <v>62</v>
      </c>
      <c r="B4524" t="str">
        <f>VLOOKUP(A4524,Products!$A$1:$F$322,2,FALSE)</f>
        <v>Trek Boone 7 - 2017</v>
      </c>
      <c r="C4524" s="21" t="e">
        <f>VLOOKUP(A4524,Products!A$322:$D4524,4,FALSE)</f>
        <v>#N/A</v>
      </c>
    </row>
    <row r="4525" spans="1:3" x14ac:dyDescent="0.35">
      <c r="A4525" s="21">
        <v>158</v>
      </c>
      <c r="B4525" t="str">
        <f>VLOOKUP(A4525,Products!$A$1:$F$322,2,FALSE)</f>
        <v>Trek CrossRip 1 - 2018</v>
      </c>
      <c r="C4525" s="21" t="e">
        <f>VLOOKUP(A4525,Products!A$322:$D4525,4,FALSE)</f>
        <v>#N/A</v>
      </c>
    </row>
    <row r="4526" spans="1:3" x14ac:dyDescent="0.35">
      <c r="A4526" s="21">
        <v>119</v>
      </c>
      <c r="B4526" t="str">
        <f>VLOOKUP(A4526,Products!$A$1:$F$322,2,FALSE)</f>
        <v>Trek Kids' Neko - 2018</v>
      </c>
      <c r="C4526" s="21" t="e">
        <f>VLOOKUP(A4526,Products!A$322:$D4526,4,FALSE)</f>
        <v>#N/A</v>
      </c>
    </row>
    <row r="4527" spans="1:3" x14ac:dyDescent="0.35">
      <c r="A4527" s="21">
        <v>249</v>
      </c>
      <c r="B4527" t="str">
        <f>VLOOKUP(A4527,Products!$A$1:$F$322,2,FALSE)</f>
        <v>Electra White Water 3i - 2018</v>
      </c>
      <c r="C4527" s="21" t="e">
        <f>VLOOKUP(A4527,Products!A$322:$D4527,4,FALSE)</f>
        <v>#N/A</v>
      </c>
    </row>
    <row r="4528" spans="1:3" x14ac:dyDescent="0.35">
      <c r="A4528" s="21">
        <v>242</v>
      </c>
      <c r="B4528" t="str">
        <f>VLOOKUP(A4528,Products!$A$1:$F$322,2,FALSE)</f>
        <v>Electra Townie Commute 8D Ladies' - 2018</v>
      </c>
      <c r="C4528" s="21" t="e">
        <f>VLOOKUP(A4528,Products!A$322:$D4528,4,FALSE)</f>
        <v>#N/A</v>
      </c>
    </row>
    <row r="4529" spans="1:3" x14ac:dyDescent="0.35">
      <c r="A4529" s="21">
        <v>315</v>
      </c>
      <c r="B4529" t="str">
        <f>VLOOKUP(A4529,Products!$A$1:$F$322,2,FALSE)</f>
        <v>Electra Townie Original 21D Ladies' - 2018</v>
      </c>
      <c r="C4529" s="21" t="e">
        <f>VLOOKUP(A4529,Products!A$322:$D4529,4,FALSE)</f>
        <v>#N/A</v>
      </c>
    </row>
    <row r="4530" spans="1:3" x14ac:dyDescent="0.35">
      <c r="A4530" s="21">
        <v>245</v>
      </c>
      <c r="B4530" t="str">
        <f>VLOOKUP(A4530,Products!$A$1:$F$322,2,FALSE)</f>
        <v>Electra Townie Original 3i EQ - 2017/2018</v>
      </c>
      <c r="C4530" s="21" t="e">
        <f>VLOOKUP(A4530,Products!A$322:$D4530,4,FALSE)</f>
        <v>#N/A</v>
      </c>
    </row>
    <row r="4531" spans="1:3" x14ac:dyDescent="0.35">
      <c r="A4531" s="21">
        <v>185</v>
      </c>
      <c r="B4531" t="str">
        <f>VLOOKUP(A4531,Products!$A$1:$F$322,2,FALSE)</f>
        <v>Trek Conduit+ - 2018</v>
      </c>
      <c r="C4531" s="21" t="e">
        <f>VLOOKUP(A4531,Products!A$322:$D4531,4,FALSE)</f>
        <v>#N/A</v>
      </c>
    </row>
    <row r="4532" spans="1:3" x14ac:dyDescent="0.35">
      <c r="A4532" s="21">
        <v>148</v>
      </c>
      <c r="B4532" t="str">
        <f>VLOOKUP(A4532,Products!$A$1:$F$322,2,FALSE)</f>
        <v>Trek Domane SL 8 Disc - 2018</v>
      </c>
      <c r="C4532" s="21" t="e">
        <f>VLOOKUP(A4532,Products!A$322:$D4532,4,FALSE)</f>
        <v>#N/A</v>
      </c>
    </row>
    <row r="4533" spans="1:3" x14ac:dyDescent="0.35">
      <c r="A4533" s="21">
        <v>86</v>
      </c>
      <c r="B4533" t="str">
        <f>VLOOKUP(A4533,Products!$A$1:$F$322,2,FALSE)</f>
        <v>Trek Girl's Kickster - 2017</v>
      </c>
      <c r="C4533" s="21" t="e">
        <f>VLOOKUP(A4533,Products!A$322:$D4533,4,FALSE)</f>
        <v>#N/A</v>
      </c>
    </row>
    <row r="4534" spans="1:3" x14ac:dyDescent="0.35">
      <c r="A4534" s="21">
        <v>207</v>
      </c>
      <c r="B4534" t="str">
        <f>VLOOKUP(A4534,Products!$A$1:$F$322,2,FALSE)</f>
        <v>Trek Boone 7 Disc - 2018</v>
      </c>
      <c r="C4534" s="21" t="e">
        <f>VLOOKUP(A4534,Products!A$322:$D4534,4,FALSE)</f>
        <v>#N/A</v>
      </c>
    </row>
    <row r="4535" spans="1:3" x14ac:dyDescent="0.35">
      <c r="A4535" s="21">
        <v>197</v>
      </c>
      <c r="B4535" t="str">
        <f>VLOOKUP(A4535,Products!$A$1:$F$322,2,FALSE)</f>
        <v>Trek Verve+ Lowstep - 2018</v>
      </c>
      <c r="C4535" s="21" t="e">
        <f>VLOOKUP(A4535,Products!A$322:$D4535,4,FALSE)</f>
        <v>#N/A</v>
      </c>
    </row>
    <row r="4536" spans="1:3" x14ac:dyDescent="0.35">
      <c r="A4536" s="21">
        <v>41</v>
      </c>
      <c r="B4536" t="str">
        <f>VLOOKUP(A4536,Products!$A$1:$F$322,2,FALSE)</f>
        <v>Haro Shift R3 - 2017</v>
      </c>
      <c r="C4536" s="21" t="e">
        <f>VLOOKUP(A4536,Products!A$322:$D4536,4,FALSE)</f>
        <v>#N/A</v>
      </c>
    </row>
    <row r="4537" spans="1:3" x14ac:dyDescent="0.35">
      <c r="A4537" s="21">
        <v>102</v>
      </c>
      <c r="B4537" t="str">
        <f>VLOOKUP(A4537,Products!$A$1:$F$322,2,FALSE)</f>
        <v>Electra Townie Original 7D - 2017</v>
      </c>
      <c r="C4537" s="21" t="e">
        <f>VLOOKUP(A4537,Products!A$322:$D4537,4,FALSE)</f>
        <v>#N/A</v>
      </c>
    </row>
    <row r="4538" spans="1:3" x14ac:dyDescent="0.35">
      <c r="A4538" s="21">
        <v>12</v>
      </c>
      <c r="B4538" t="str">
        <f>VLOOKUP(A4538,Products!$A$1:$F$322,2,FALSE)</f>
        <v>Electra Townie Original 21D - 2016</v>
      </c>
      <c r="C4538" s="21" t="e">
        <f>VLOOKUP(A4538,Products!A$322:$D4538,4,FALSE)</f>
        <v>#N/A</v>
      </c>
    </row>
    <row r="4539" spans="1:3" x14ac:dyDescent="0.35">
      <c r="A4539" s="21">
        <v>251</v>
      </c>
      <c r="B4539" t="str">
        <f>VLOOKUP(A4539,Products!$A$1:$F$322,2,FALSE)</f>
        <v>Electra Townie Commute Go! - 2018</v>
      </c>
      <c r="C4539" s="21" t="e">
        <f>VLOOKUP(A4539,Products!A$322:$D4539,4,FALSE)</f>
        <v>#N/A</v>
      </c>
    </row>
    <row r="4540" spans="1:3" x14ac:dyDescent="0.35">
      <c r="A4540" s="21">
        <v>89</v>
      </c>
      <c r="B4540" t="str">
        <f>VLOOKUP(A4540,Products!$A$1:$F$322,2,FALSE)</f>
        <v>Trek Precaliber 16 Boys - 2017</v>
      </c>
      <c r="C4540" s="21" t="e">
        <f>VLOOKUP(A4540,Products!A$322:$D4540,4,FALSE)</f>
        <v>#N/A</v>
      </c>
    </row>
    <row r="4541" spans="1:3" x14ac:dyDescent="0.35">
      <c r="A4541" s="21">
        <v>166</v>
      </c>
      <c r="B4541" t="str">
        <f>VLOOKUP(A4541,Products!$A$1:$F$322,2,FALSE)</f>
        <v>Trek Domane AL 2 Women's - 2018</v>
      </c>
      <c r="C4541" s="21" t="e">
        <f>VLOOKUP(A4541,Products!A$322:$D4541,4,FALSE)</f>
        <v>#N/A</v>
      </c>
    </row>
    <row r="4542" spans="1:3" x14ac:dyDescent="0.35">
      <c r="A4542" s="21">
        <v>285</v>
      </c>
      <c r="B4542" t="str">
        <f>VLOOKUP(A4542,Products!$A$1:$F$322,2,FALSE)</f>
        <v>Electra Soft Serve 1 (16-inch) - Girl's - 2018</v>
      </c>
      <c r="C4542" s="21" t="e">
        <f>VLOOKUP(A4542,Products!A$322:$D4542,4,FALSE)</f>
        <v>#N/A</v>
      </c>
    </row>
    <row r="4543" spans="1:3" x14ac:dyDescent="0.35">
      <c r="A4543" s="21">
        <v>24</v>
      </c>
      <c r="B4543" t="str">
        <f>VLOOKUP(A4543,Products!$A$1:$F$322,2,FALSE)</f>
        <v>Electra Townie Original 21D - 2016</v>
      </c>
      <c r="C4543" s="21" t="e">
        <f>VLOOKUP(A4543,Products!A$322:$D4543,4,FALSE)</f>
        <v>#N/A</v>
      </c>
    </row>
    <row r="4544" spans="1:3" x14ac:dyDescent="0.35">
      <c r="A4544" s="21">
        <v>156</v>
      </c>
      <c r="B4544" t="str">
        <f>VLOOKUP(A4544,Products!$A$1:$F$322,2,FALSE)</f>
        <v>Trek Domane SL Frameset - 2018</v>
      </c>
      <c r="C4544" s="21" t="e">
        <f>VLOOKUP(A4544,Products!A$322:$D4544,4,FALSE)</f>
        <v>#N/A</v>
      </c>
    </row>
    <row r="4545" spans="1:3" x14ac:dyDescent="0.35">
      <c r="A4545" s="21">
        <v>126</v>
      </c>
      <c r="B4545" t="str">
        <f>VLOOKUP(A4545,Products!$A$1:$F$322,2,FALSE)</f>
        <v>Surly Big Fat Dummy Frameset - 2018</v>
      </c>
      <c r="C4545" s="21" t="e">
        <f>VLOOKUP(A4545,Products!A$322:$D4545,4,FALSE)</f>
        <v>#N/A</v>
      </c>
    </row>
    <row r="4546" spans="1:3" x14ac:dyDescent="0.35">
      <c r="A4546" s="21">
        <v>128</v>
      </c>
      <c r="B4546" t="str">
        <f>VLOOKUP(A4546,Products!$A$1:$F$322,2,FALSE)</f>
        <v>Surly ECR 27.5 - 2018</v>
      </c>
      <c r="C4546" s="21" t="e">
        <f>VLOOKUP(A4546,Products!A$322:$D4546,4,FALSE)</f>
        <v>#N/A</v>
      </c>
    </row>
    <row r="4547" spans="1:3" x14ac:dyDescent="0.35">
      <c r="A4547" s="21">
        <v>174</v>
      </c>
      <c r="B4547" t="str">
        <f>VLOOKUP(A4547,Products!$A$1:$F$322,2,FALSE)</f>
        <v>Trek Domane SLR Disc Frameset - 2018</v>
      </c>
      <c r="C4547" s="21" t="e">
        <f>VLOOKUP(A4547,Products!A$322:$D4547,4,FALSE)</f>
        <v>#N/A</v>
      </c>
    </row>
    <row r="4548" spans="1:3" x14ac:dyDescent="0.35">
      <c r="A4548" s="21">
        <v>49</v>
      </c>
      <c r="B4548" t="str">
        <f>VLOOKUP(A4548,Products!$A$1:$F$322,2,FALSE)</f>
        <v>Trek Domane SL 6 - 2017</v>
      </c>
      <c r="C4548" s="21" t="e">
        <f>VLOOKUP(A4548,Products!A$322:$D4548,4,FALSE)</f>
        <v>#N/A</v>
      </c>
    </row>
    <row r="4549" spans="1:3" x14ac:dyDescent="0.35">
      <c r="A4549" s="21">
        <v>82</v>
      </c>
      <c r="B4549" t="str">
        <f>VLOOKUP(A4549,Products!$A$1:$F$322,2,FALSE)</f>
        <v>Electra Amsterdam Original 3i Ladies' - 2017</v>
      </c>
      <c r="C4549" s="21" t="e">
        <f>VLOOKUP(A4549,Products!A$322:$D4549,4,FALSE)</f>
        <v>#N/A</v>
      </c>
    </row>
    <row r="4550" spans="1:3" x14ac:dyDescent="0.35">
      <c r="A4550" s="21">
        <v>265</v>
      </c>
      <c r="B4550" t="str">
        <f>VLOOKUP(A4550,Products!$A$1:$F$322,2,FALSE)</f>
        <v>Strider Strider 20 Sport - 2018</v>
      </c>
      <c r="C4550" s="21" t="e">
        <f>VLOOKUP(A4550,Products!A$322:$D4550,4,FALSE)</f>
        <v>#N/A</v>
      </c>
    </row>
    <row r="4551" spans="1:3" x14ac:dyDescent="0.35">
      <c r="A4551" s="21">
        <v>119</v>
      </c>
      <c r="B4551" t="str">
        <f>VLOOKUP(A4551,Products!$A$1:$F$322,2,FALSE)</f>
        <v>Trek Kids' Neko - 2018</v>
      </c>
      <c r="C4551" s="21" t="e">
        <f>VLOOKUP(A4551,Products!A$322:$D4551,4,FALSE)</f>
        <v>#N/A</v>
      </c>
    </row>
    <row r="4552" spans="1:3" x14ac:dyDescent="0.35">
      <c r="A4552" s="21">
        <v>235</v>
      </c>
      <c r="B4552" t="str">
        <f>VLOOKUP(A4552,Products!$A$1:$F$322,2,FALSE)</f>
        <v>Electra Koa 3i Ladies' - 2018</v>
      </c>
      <c r="C4552" s="21" t="e">
        <f>VLOOKUP(A4552,Products!A$322:$D4552,4,FALSE)</f>
        <v>#N/A</v>
      </c>
    </row>
    <row r="4553" spans="1:3" x14ac:dyDescent="0.35">
      <c r="A4553" s="21">
        <v>163</v>
      </c>
      <c r="B4553" t="str">
        <f>VLOOKUP(A4553,Products!$A$1:$F$322,2,FALSE)</f>
        <v>Surly Pack Rat - 2018</v>
      </c>
      <c r="C4553" s="21" t="e">
        <f>VLOOKUP(A4553,Products!A$322:$D4553,4,FALSE)</f>
        <v>#N/A</v>
      </c>
    </row>
    <row r="4554" spans="1:3" x14ac:dyDescent="0.35">
      <c r="A4554" s="21">
        <v>46</v>
      </c>
      <c r="B4554" t="str">
        <f>VLOOKUP(A4554,Products!$A$1:$F$322,2,FALSE)</f>
        <v>Haro SR 1.3 - 2017</v>
      </c>
      <c r="C4554" s="21" t="e">
        <f>VLOOKUP(A4554,Products!A$322:$D4554,4,FALSE)</f>
        <v>#N/A</v>
      </c>
    </row>
    <row r="4555" spans="1:3" x14ac:dyDescent="0.35">
      <c r="A4555" s="21">
        <v>123</v>
      </c>
      <c r="B4555" t="str">
        <f>VLOOKUP(A4555,Products!$A$1:$F$322,2,FALSE)</f>
        <v>Trek Farley Carbon Frameset - 2018</v>
      </c>
      <c r="C4555" s="21" t="e">
        <f>VLOOKUP(A4555,Products!A$322:$D4555,4,FALSE)</f>
        <v>#N/A</v>
      </c>
    </row>
    <row r="4556" spans="1:3" x14ac:dyDescent="0.35">
      <c r="A4556" s="21">
        <v>4</v>
      </c>
      <c r="B4556" t="str">
        <f>VLOOKUP(A4556,Products!$A$1:$F$322,2,FALSE)</f>
        <v>Trek Fuel EX 8 29 - 2016</v>
      </c>
      <c r="C4556" s="21" t="e">
        <f>VLOOKUP(A4556,Products!A$322:$D4556,4,FALSE)</f>
        <v>#N/A</v>
      </c>
    </row>
    <row r="4557" spans="1:3" x14ac:dyDescent="0.35">
      <c r="A4557" s="21">
        <v>55</v>
      </c>
      <c r="B4557" t="str">
        <f>VLOOKUP(A4557,Products!$A$1:$F$322,2,FALSE)</f>
        <v>Trek Domane S 6 - 2017</v>
      </c>
      <c r="C4557" s="21" t="e">
        <f>VLOOKUP(A4557,Products!A$322:$D4557,4,FALSE)</f>
        <v>#N/A</v>
      </c>
    </row>
    <row r="4558" spans="1:3" x14ac:dyDescent="0.35">
      <c r="A4558" s="21">
        <v>253</v>
      </c>
      <c r="B4558" t="str">
        <f>VLOOKUP(A4558,Products!$A$1:$F$322,2,FALSE)</f>
        <v>Electra Townie Go! 8i Ladies' - 2018</v>
      </c>
      <c r="C4558" s="21" t="e">
        <f>VLOOKUP(A4558,Products!A$322:$D4558,4,FALSE)</f>
        <v>#N/A</v>
      </c>
    </row>
    <row r="4559" spans="1:3" x14ac:dyDescent="0.35">
      <c r="A4559" s="21">
        <v>101</v>
      </c>
      <c r="B4559" t="str">
        <f>VLOOKUP(A4559,Products!$A$1:$F$322,2,FALSE)</f>
        <v>Electra Townie 7D (20-inch) - Boys' - 2017</v>
      </c>
      <c r="C4559" s="21" t="e">
        <f>VLOOKUP(A4559,Products!A$322:$D4559,4,FALSE)</f>
        <v>#N/A</v>
      </c>
    </row>
    <row r="4560" spans="1:3" x14ac:dyDescent="0.35">
      <c r="A4560" s="21">
        <v>18</v>
      </c>
      <c r="B4560" t="str">
        <f>VLOOKUP(A4560,Products!$A$1:$F$322,2,FALSE)</f>
        <v>Pure Cycles Western 3-Speed - Women's - 2015/2016</v>
      </c>
      <c r="C4560" s="21" t="e">
        <f>VLOOKUP(A4560,Products!A$322:$D4560,4,FALSE)</f>
        <v>#N/A</v>
      </c>
    </row>
    <row r="4561" spans="1:3" x14ac:dyDescent="0.35">
      <c r="A4561" s="21">
        <v>54</v>
      </c>
      <c r="B4561" t="str">
        <f>VLOOKUP(A4561,Products!$A$1:$F$322,2,FALSE)</f>
        <v>Trek Domane SL Disc Frameset - 2017</v>
      </c>
      <c r="C4561" s="21" t="e">
        <f>VLOOKUP(A4561,Products!A$322:$D4561,4,FALSE)</f>
        <v>#N/A</v>
      </c>
    </row>
    <row r="4562" spans="1:3" x14ac:dyDescent="0.35">
      <c r="A4562" s="21">
        <v>221</v>
      </c>
      <c r="B4562" t="str">
        <f>VLOOKUP(A4562,Products!$A$1:$F$322,2,FALSE)</f>
        <v>Electra Cruiser 7D Ladies' - 2016/2018</v>
      </c>
      <c r="C4562" s="21" t="e">
        <f>VLOOKUP(A4562,Products!A$322:$D4562,4,FALSE)</f>
        <v>#N/A</v>
      </c>
    </row>
    <row r="4563" spans="1:3" x14ac:dyDescent="0.35">
      <c r="A4563" s="21">
        <v>118</v>
      </c>
      <c r="B4563" t="str">
        <f>VLOOKUP(A4563,Products!$A$1:$F$322,2,FALSE)</f>
        <v>Trek X-Caliber 8 - 2018</v>
      </c>
      <c r="C4563" s="21" t="e">
        <f>VLOOKUP(A4563,Products!A$322:$D4563,4,FALSE)</f>
        <v>#N/A</v>
      </c>
    </row>
    <row r="4564" spans="1:3" x14ac:dyDescent="0.35">
      <c r="A4564" s="21">
        <v>41</v>
      </c>
      <c r="B4564" t="str">
        <f>VLOOKUP(A4564,Products!$A$1:$F$322,2,FALSE)</f>
        <v>Haro Shift R3 - 2017</v>
      </c>
      <c r="C4564" s="21" t="e">
        <f>VLOOKUP(A4564,Products!A$322:$D4564,4,FALSE)</f>
        <v>#N/A</v>
      </c>
    </row>
    <row r="4565" spans="1:3" x14ac:dyDescent="0.35">
      <c r="A4565" s="21">
        <v>181</v>
      </c>
      <c r="B4565" t="str">
        <f>VLOOKUP(A4565,Products!$A$1:$F$322,2,FALSE)</f>
        <v>Trek Domane SL 5 - 2018</v>
      </c>
      <c r="C4565" s="21" t="e">
        <f>VLOOKUP(A4565,Products!A$322:$D4565,4,FALSE)</f>
        <v>#N/A</v>
      </c>
    </row>
    <row r="4566" spans="1:3" x14ac:dyDescent="0.35">
      <c r="A4566" s="21">
        <v>297</v>
      </c>
      <c r="B4566" t="str">
        <f>VLOOKUP(A4566,Products!$A$1:$F$322,2,FALSE)</f>
        <v>Electra Under-The-Sea 1 16" - 2018</v>
      </c>
      <c r="C4566" s="21" t="e">
        <f>VLOOKUP(A4566,Products!A$322:$D4566,4,FALSE)</f>
        <v>#N/A</v>
      </c>
    </row>
    <row r="4567" spans="1:3" x14ac:dyDescent="0.35">
      <c r="A4567" s="21">
        <v>54</v>
      </c>
      <c r="B4567" t="str">
        <f>VLOOKUP(A4567,Products!$A$1:$F$322,2,FALSE)</f>
        <v>Trek Domane SL Disc Frameset - 2017</v>
      </c>
      <c r="C4567" s="21" t="e">
        <f>VLOOKUP(A4567,Products!A$322:$D4567,4,FALSE)</f>
        <v>#N/A</v>
      </c>
    </row>
    <row r="4568" spans="1:3" x14ac:dyDescent="0.35">
      <c r="A4568" s="21">
        <v>66</v>
      </c>
      <c r="B4568" t="str">
        <f>VLOOKUP(A4568,Products!$A$1:$F$322,2,FALSE)</f>
        <v>Sun Bicycles Revolutions 24 - 2017</v>
      </c>
      <c r="C4568" s="21" t="e">
        <f>VLOOKUP(A4568,Products!A$322:$D4568,4,FALSE)</f>
        <v>#N/A</v>
      </c>
    </row>
    <row r="4569" spans="1:3" x14ac:dyDescent="0.35">
      <c r="A4569" s="21">
        <v>115</v>
      </c>
      <c r="B4569" t="str">
        <f>VLOOKUP(A4569,Products!$A$1:$F$322,2,FALSE)</f>
        <v>Trek Fuel EX 8 29 - 2018</v>
      </c>
      <c r="C4569" s="21" t="e">
        <f>VLOOKUP(A4569,Products!A$322:$D4569,4,FALSE)</f>
        <v>#N/A</v>
      </c>
    </row>
    <row r="4570" spans="1:3" x14ac:dyDescent="0.35">
      <c r="A4570" s="21">
        <v>188</v>
      </c>
      <c r="B4570" t="str">
        <f>VLOOKUP(A4570,Products!$A$1:$F$322,2,FALSE)</f>
        <v>Trek XM700+ Lowstep - 2018</v>
      </c>
      <c r="C4570" s="21" t="e">
        <f>VLOOKUP(A4570,Products!A$322:$D4570,4,FALSE)</f>
        <v>#N/A</v>
      </c>
    </row>
    <row r="4571" spans="1:3" x14ac:dyDescent="0.35">
      <c r="A4571" s="21">
        <v>309</v>
      </c>
      <c r="B4571" t="str">
        <f>VLOOKUP(A4571,Products!$A$1:$F$322,2,FALSE)</f>
        <v>Electra Townie Commute 27D - 2018</v>
      </c>
      <c r="C4571" s="21" t="e">
        <f>VLOOKUP(A4571,Products!A$322:$D4571,4,FALSE)</f>
        <v>#N/A</v>
      </c>
    </row>
    <row r="4572" spans="1:3" x14ac:dyDescent="0.35">
      <c r="A4572" s="21">
        <v>14</v>
      </c>
      <c r="B4572" t="str">
        <f>VLOOKUP(A4572,Products!$A$1:$F$322,2,FALSE)</f>
        <v>Electra Girl's Hawaii 1 (16-inch) - 2015/2016</v>
      </c>
      <c r="C4572" s="21" t="e">
        <f>VLOOKUP(A4572,Products!A$322:$D4572,4,FALSE)</f>
        <v>#N/A</v>
      </c>
    </row>
    <row r="4573" spans="1:3" x14ac:dyDescent="0.35">
      <c r="A4573" s="21">
        <v>37</v>
      </c>
      <c r="B4573" t="str">
        <f>VLOOKUP(A4573,Products!$A$1:$F$322,2,FALSE)</f>
        <v>Haro Flightline One ST - 2017</v>
      </c>
      <c r="C4573" s="21" t="e">
        <f>VLOOKUP(A4573,Products!A$322:$D4573,4,FALSE)</f>
        <v>#N/A</v>
      </c>
    </row>
    <row r="4574" spans="1:3" x14ac:dyDescent="0.35">
      <c r="A4574" s="21">
        <v>92</v>
      </c>
      <c r="B4574" t="str">
        <f>VLOOKUP(A4574,Products!$A$1:$F$322,2,FALSE)</f>
        <v>Haro Shredder 20 - 2017</v>
      </c>
      <c r="C4574" s="21" t="e">
        <f>VLOOKUP(A4574,Products!A$322:$D4574,4,FALSE)</f>
        <v>#N/A</v>
      </c>
    </row>
    <row r="4575" spans="1:3" x14ac:dyDescent="0.35">
      <c r="A4575" s="21">
        <v>261</v>
      </c>
      <c r="B4575" t="str">
        <f>VLOOKUP(A4575,Products!$A$1:$F$322,2,FALSE)</f>
        <v>Electra Townie Balloon 7i EQ - 2018</v>
      </c>
      <c r="C4575" s="21" t="e">
        <f>VLOOKUP(A4575,Products!A$322:$D4575,4,FALSE)</f>
        <v>#N/A</v>
      </c>
    </row>
    <row r="4576" spans="1:3" x14ac:dyDescent="0.35">
      <c r="A4576" s="21">
        <v>95</v>
      </c>
      <c r="B4576" t="str">
        <f>VLOOKUP(A4576,Products!$A$1:$F$322,2,FALSE)</f>
        <v>Electra Girl's Hawaii 1 16" - 2017</v>
      </c>
      <c r="C4576" s="21" t="e">
        <f>VLOOKUP(A4576,Products!A$322:$D4576,4,FALSE)</f>
        <v>#N/A</v>
      </c>
    </row>
    <row r="4577" spans="1:3" x14ac:dyDescent="0.35">
      <c r="A4577" s="21">
        <v>226</v>
      </c>
      <c r="B4577" t="str">
        <f>VLOOKUP(A4577,Products!$A$1:$F$322,2,FALSE)</f>
        <v>Electra Townie Original 21D EQ - 2017/2018</v>
      </c>
      <c r="C4577" s="21" t="e">
        <f>VLOOKUP(A4577,Products!A$322:$D4577,4,FALSE)</f>
        <v>#N/A</v>
      </c>
    </row>
    <row r="4578" spans="1:3" x14ac:dyDescent="0.35">
      <c r="A4578" s="21">
        <v>179</v>
      </c>
      <c r="B4578" t="str">
        <f>VLOOKUP(A4578,Products!$A$1:$F$322,2,FALSE)</f>
        <v>Trek Domane AL 3 - 2018</v>
      </c>
      <c r="C4578" s="21" t="e">
        <f>VLOOKUP(A4578,Products!A$322:$D4578,4,FALSE)</f>
        <v>#N/A</v>
      </c>
    </row>
    <row r="4579" spans="1:3" x14ac:dyDescent="0.35">
      <c r="A4579" s="21">
        <v>61</v>
      </c>
      <c r="B4579" t="str">
        <f>VLOOKUP(A4579,Products!$A$1:$F$322,2,FALSE)</f>
        <v>Trek Powerfly 8 FS Plus - 2017</v>
      </c>
      <c r="C4579" s="21" t="e">
        <f>VLOOKUP(A4579,Products!A$322:$D4579,4,FALSE)</f>
        <v>#N/A</v>
      </c>
    </row>
    <row r="4580" spans="1:3" x14ac:dyDescent="0.35">
      <c r="A4580" s="21">
        <v>279</v>
      </c>
      <c r="B4580" t="str">
        <f>VLOOKUP(A4580,Products!$A$1:$F$322,2,FALSE)</f>
        <v>Trek Precaliber 24 7-speed Girl's - 2018</v>
      </c>
      <c r="C4580" s="21" t="e">
        <f>VLOOKUP(A4580,Products!A$322:$D4580,4,FALSE)</f>
        <v>#N/A</v>
      </c>
    </row>
    <row r="4581" spans="1:3" x14ac:dyDescent="0.35">
      <c r="A4581" s="21">
        <v>146</v>
      </c>
      <c r="B4581" t="str">
        <f>VLOOKUP(A4581,Products!$A$1:$F$322,2,FALSE)</f>
        <v>Trek Domane SLR 6 - 2018</v>
      </c>
      <c r="C4581" s="21" t="e">
        <f>VLOOKUP(A4581,Products!A$322:$D4581,4,FALSE)</f>
        <v>#N/A</v>
      </c>
    </row>
    <row r="4582" spans="1:3" x14ac:dyDescent="0.35">
      <c r="A4582" s="21">
        <v>105</v>
      </c>
      <c r="B4582" t="str">
        <f>VLOOKUP(A4582,Products!$A$1:$F$322,2,FALSE)</f>
        <v>Sun Bicycles Streamway 7 - 2017</v>
      </c>
      <c r="C4582" s="21" t="e">
        <f>VLOOKUP(A4582,Products!A$322:$D4582,4,FALSE)</f>
        <v>#N/A</v>
      </c>
    </row>
    <row r="4583" spans="1:3" x14ac:dyDescent="0.35">
      <c r="A4583" s="21">
        <v>301</v>
      </c>
      <c r="B4583" t="str">
        <f>VLOOKUP(A4583,Products!$A$1:$F$322,2,FALSE)</f>
        <v>Electra Townie Balloon 7i EQ - 2018</v>
      </c>
      <c r="C4583" s="21" t="e">
        <f>VLOOKUP(A4583,Products!A$322:$D4583,4,FALSE)</f>
        <v>#N/A</v>
      </c>
    </row>
    <row r="4584" spans="1:3" x14ac:dyDescent="0.35">
      <c r="A4584" s="21">
        <v>252</v>
      </c>
      <c r="B4584" t="str">
        <f>VLOOKUP(A4584,Products!$A$1:$F$322,2,FALSE)</f>
        <v>Electra Townie Commute Go! Ladies' - 2018</v>
      </c>
      <c r="C4584" s="21" t="e">
        <f>VLOOKUP(A4584,Products!A$322:$D4584,4,FALSE)</f>
        <v>#N/A</v>
      </c>
    </row>
    <row r="4585" spans="1:3" x14ac:dyDescent="0.35">
      <c r="A4585" s="21">
        <v>155</v>
      </c>
      <c r="B4585" t="str">
        <f>VLOOKUP(A4585,Products!$A$1:$F$322,2,FALSE)</f>
        <v>Trek Domane SLR 9 Disc - 2018</v>
      </c>
      <c r="C4585" s="21" t="e">
        <f>VLOOKUP(A4585,Products!A$322:$D4585,4,FALSE)</f>
        <v>#N/A</v>
      </c>
    </row>
    <row r="4586" spans="1:3" x14ac:dyDescent="0.35">
      <c r="A4586" s="21">
        <v>312</v>
      </c>
      <c r="B4586" t="str">
        <f>VLOOKUP(A4586,Products!$A$1:$F$322,2,FALSE)</f>
        <v>Electra Townie Commute 8D Ladies' - 2018</v>
      </c>
      <c r="C4586" s="21" t="e">
        <f>VLOOKUP(A4586,Products!A$322:$D4586,4,FALSE)</f>
        <v>#N/A</v>
      </c>
    </row>
    <row r="4587" spans="1:3" x14ac:dyDescent="0.35">
      <c r="A4587" s="21">
        <v>212</v>
      </c>
      <c r="B4587" t="str">
        <f>VLOOKUP(A4587,Products!$A$1:$F$322,2,FALSE)</f>
        <v>Electra Townie Original 21D - 2018</v>
      </c>
      <c r="C4587" s="21" t="e">
        <f>VLOOKUP(A4587,Products!A$322:$D4587,4,FALSE)</f>
        <v>#N/A</v>
      </c>
    </row>
    <row r="4588" spans="1:3" x14ac:dyDescent="0.35">
      <c r="A4588" s="21">
        <v>20</v>
      </c>
      <c r="B4588" t="str">
        <f>VLOOKUP(A4588,Products!$A$1:$F$322,2,FALSE)</f>
        <v>Electra Townie Original 7D EQ - Women's - 2016</v>
      </c>
      <c r="C4588" s="21" t="e">
        <f>VLOOKUP(A4588,Products!A$322:$D4588,4,FALSE)</f>
        <v>#N/A</v>
      </c>
    </row>
    <row r="4589" spans="1:3" x14ac:dyDescent="0.35">
      <c r="A4589" s="21">
        <v>216</v>
      </c>
      <c r="B4589" t="str">
        <f>VLOOKUP(A4589,Products!$A$1:$F$322,2,FALSE)</f>
        <v>Electra Super Moto 8i - 2018</v>
      </c>
      <c r="C4589" s="21" t="e">
        <f>VLOOKUP(A4589,Products!A$322:$D4589,4,FALSE)</f>
        <v>#N/A</v>
      </c>
    </row>
    <row r="4590" spans="1:3" x14ac:dyDescent="0.35">
      <c r="A4590" s="21">
        <v>198</v>
      </c>
      <c r="B4590" t="str">
        <f>VLOOKUP(A4590,Products!$A$1:$F$322,2,FALSE)</f>
        <v>Electra Townie Commute Go! - 2018</v>
      </c>
      <c r="C4590" s="21" t="e">
        <f>VLOOKUP(A4590,Products!A$322:$D4590,4,FALSE)</f>
        <v>#N/A</v>
      </c>
    </row>
    <row r="4591" spans="1:3" x14ac:dyDescent="0.35">
      <c r="A4591" s="21">
        <v>115</v>
      </c>
      <c r="B4591" t="str">
        <f>VLOOKUP(A4591,Products!$A$1:$F$322,2,FALSE)</f>
        <v>Trek Fuel EX 8 29 - 2018</v>
      </c>
      <c r="C4591" s="21" t="e">
        <f>VLOOKUP(A4591,Products!A$322:$D4591,4,FALSE)</f>
        <v>#N/A</v>
      </c>
    </row>
    <row r="4592" spans="1:3" x14ac:dyDescent="0.35">
      <c r="A4592" s="21">
        <v>304</v>
      </c>
      <c r="B4592" t="str">
        <f>VLOOKUP(A4592,Products!$A$1:$F$322,2,FALSE)</f>
        <v>Electra Townie Original 21D EQ - 2017/2018</v>
      </c>
      <c r="C4592" s="21" t="e">
        <f>VLOOKUP(A4592,Products!A$322:$D4592,4,FALSE)</f>
        <v>#N/A</v>
      </c>
    </row>
    <row r="4593" spans="1:3" x14ac:dyDescent="0.35">
      <c r="A4593" s="21">
        <v>9</v>
      </c>
      <c r="B4593" t="str">
        <f>VLOOKUP(A4593,Products!$A$1:$F$322,2,FALSE)</f>
        <v>Trek Conduit+ - 2016</v>
      </c>
      <c r="C4593" s="21" t="e">
        <f>VLOOKUP(A4593,Products!A$322:$D4593,4,FALSE)</f>
        <v>#N/A</v>
      </c>
    </row>
    <row r="4594" spans="1:3" x14ac:dyDescent="0.35">
      <c r="A4594" s="21">
        <v>129</v>
      </c>
      <c r="B4594" t="str">
        <f>VLOOKUP(A4594,Products!$A$1:$F$322,2,FALSE)</f>
        <v>Trek X-Caliber 7 - 2018</v>
      </c>
      <c r="C4594" s="21" t="e">
        <f>VLOOKUP(A4594,Products!A$322:$D4594,4,FALSE)</f>
        <v>#N/A</v>
      </c>
    </row>
    <row r="4595" spans="1:3" x14ac:dyDescent="0.35">
      <c r="A4595" s="21">
        <v>15</v>
      </c>
      <c r="B4595" t="str">
        <f>VLOOKUP(A4595,Products!$A$1:$F$322,2,FALSE)</f>
        <v>Electra Moto 1 - 2016</v>
      </c>
      <c r="C4595" s="21" t="e">
        <f>VLOOKUP(A4595,Products!A$322:$D4595,4,FALSE)</f>
        <v>#N/A</v>
      </c>
    </row>
    <row r="4596" spans="1:3" x14ac:dyDescent="0.35">
      <c r="A4596" s="21">
        <v>216</v>
      </c>
      <c r="B4596" t="str">
        <f>VLOOKUP(A4596,Products!$A$1:$F$322,2,FALSE)</f>
        <v>Electra Super Moto 8i - 2018</v>
      </c>
      <c r="C4596" s="21" t="e">
        <f>VLOOKUP(A4596,Products!A$322:$D4596,4,FALSE)</f>
        <v>#N/A</v>
      </c>
    </row>
    <row r="4597" spans="1:3" x14ac:dyDescent="0.35">
      <c r="A4597" s="21">
        <v>263</v>
      </c>
      <c r="B4597" t="str">
        <f>VLOOKUP(A4597,Products!$A$1:$F$322,2,FALSE)</f>
        <v>Strider Classic 12 Balance Bike - 2018</v>
      </c>
      <c r="C4597" s="21" t="e">
        <f>VLOOKUP(A4597,Products!A$322:$D4597,4,FALSE)</f>
        <v>#N/A</v>
      </c>
    </row>
    <row r="4598" spans="1:3" x14ac:dyDescent="0.35">
      <c r="A4598" s="21">
        <v>127</v>
      </c>
      <c r="B4598" t="str">
        <f>VLOOKUP(A4598,Products!$A$1:$F$322,2,FALSE)</f>
        <v>Surly Pack Rat Frameset - 2018</v>
      </c>
      <c r="C4598" s="21" t="e">
        <f>VLOOKUP(A4598,Products!A$322:$D4598,4,FALSE)</f>
        <v>#N/A</v>
      </c>
    </row>
    <row r="4599" spans="1:3" x14ac:dyDescent="0.35">
      <c r="A4599" s="21">
        <v>44</v>
      </c>
      <c r="B4599" t="str">
        <f>VLOOKUP(A4599,Products!$A$1:$F$322,2,FALSE)</f>
        <v>Haro SR 1.1 - 2017</v>
      </c>
      <c r="C4599" s="21" t="e">
        <f>VLOOKUP(A4599,Products!A$322:$D4599,4,FALSE)</f>
        <v>#N/A</v>
      </c>
    </row>
    <row r="4600" spans="1:3" x14ac:dyDescent="0.35">
      <c r="A4600" s="21">
        <v>207</v>
      </c>
      <c r="B4600" t="str">
        <f>VLOOKUP(A4600,Products!$A$1:$F$322,2,FALSE)</f>
        <v>Trek Boone 7 Disc - 2018</v>
      </c>
      <c r="C4600" s="21" t="e">
        <f>VLOOKUP(A4600,Products!A$322:$D4600,4,FALSE)</f>
        <v>#N/A</v>
      </c>
    </row>
    <row r="4601" spans="1:3" x14ac:dyDescent="0.35">
      <c r="A4601" s="21">
        <v>213</v>
      </c>
      <c r="B4601" t="str">
        <f>VLOOKUP(A4601,Products!$A$1:$F$322,2,FALSE)</f>
        <v>Electra Cruiser 1 - 2016/2017/2018</v>
      </c>
      <c r="C4601" s="21" t="e">
        <f>VLOOKUP(A4601,Products!A$322:$D4601,4,FALSE)</f>
        <v>#N/A</v>
      </c>
    </row>
    <row r="4602" spans="1:3" x14ac:dyDescent="0.35">
      <c r="A4602" s="21">
        <v>126</v>
      </c>
      <c r="B4602" t="str">
        <f>VLOOKUP(A4602,Products!$A$1:$F$322,2,FALSE)</f>
        <v>Surly Big Fat Dummy Frameset - 2018</v>
      </c>
      <c r="C4602" s="21" t="e">
        <f>VLOOKUP(A4602,Products!A$322:$D4602,4,FALSE)</f>
        <v>#N/A</v>
      </c>
    </row>
    <row r="4603" spans="1:3" x14ac:dyDescent="0.35">
      <c r="A4603" s="21">
        <v>92</v>
      </c>
      <c r="B4603" t="str">
        <f>VLOOKUP(A4603,Products!$A$1:$F$322,2,FALSE)</f>
        <v>Haro Shredder 20 - 2017</v>
      </c>
      <c r="C4603" s="21" t="e">
        <f>VLOOKUP(A4603,Products!A$322:$D4603,4,FALSE)</f>
        <v>#N/A</v>
      </c>
    </row>
    <row r="4604" spans="1:3" x14ac:dyDescent="0.35">
      <c r="A4604" s="21">
        <v>69</v>
      </c>
      <c r="B4604" t="str">
        <f>VLOOKUP(A4604,Products!$A$1:$F$322,2,FALSE)</f>
        <v>Sun Bicycles Cruz 7 - 2017</v>
      </c>
      <c r="C4604" s="21" t="e">
        <f>VLOOKUP(A4604,Products!A$322:$D4604,4,FALSE)</f>
        <v>#N/A</v>
      </c>
    </row>
    <row r="4605" spans="1:3" x14ac:dyDescent="0.35">
      <c r="A4605" s="21">
        <v>293</v>
      </c>
      <c r="B4605" t="str">
        <f>VLOOKUP(A4605,Products!$A$1:$F$322,2,FALSE)</f>
        <v>Electra Tiger Shark 1 (20-inch) - Boys' - 2018</v>
      </c>
      <c r="C4605" s="21" t="e">
        <f>VLOOKUP(A4605,Products!A$322:$D4605,4,FALSE)</f>
        <v>#N/A</v>
      </c>
    </row>
    <row r="4606" spans="1:3" x14ac:dyDescent="0.35">
      <c r="A4606" s="21">
        <v>202</v>
      </c>
      <c r="B4606" t="str">
        <f>VLOOKUP(A4606,Products!$A$1:$F$322,2,FALSE)</f>
        <v>Trek Powerfly 5 Women's - 2018</v>
      </c>
      <c r="C4606" s="21" t="e">
        <f>VLOOKUP(A4606,Products!A$322:$D4606,4,FALSE)</f>
        <v>#N/A</v>
      </c>
    </row>
    <row r="4607" spans="1:3" x14ac:dyDescent="0.35">
      <c r="A4607" s="21">
        <v>298</v>
      </c>
      <c r="B4607" t="str">
        <f>VLOOKUP(A4607,Products!$A$1:$F$322,2,FALSE)</f>
        <v>Electra Water Lily 1 (16-inch) - Girl's - 2018</v>
      </c>
      <c r="C4607" s="21" t="e">
        <f>VLOOKUP(A4607,Products!A$322:$D4607,4,FALSE)</f>
        <v>#N/A</v>
      </c>
    </row>
    <row r="4608" spans="1:3" x14ac:dyDescent="0.35">
      <c r="A4608" s="21">
        <v>111</v>
      </c>
      <c r="B4608" t="str">
        <f>VLOOKUP(A4608,Products!$A$1:$F$322,2,FALSE)</f>
        <v>Sun Bicycles Drifter 7 - Women's - 2017</v>
      </c>
      <c r="C4608" s="21" t="e">
        <f>VLOOKUP(A4608,Products!A$322:$D4608,4,FALSE)</f>
        <v>#N/A</v>
      </c>
    </row>
    <row r="4609" spans="1:3" x14ac:dyDescent="0.35">
      <c r="A4609" s="21">
        <v>300</v>
      </c>
      <c r="B4609" t="str">
        <f>VLOOKUP(A4609,Products!$A$1:$F$322,2,FALSE)</f>
        <v>Electra Townie Balloon 3i EQ Ladies' - 2018</v>
      </c>
      <c r="C4609" s="21" t="e">
        <f>VLOOKUP(A4609,Products!A$322:$D4609,4,FALSE)</f>
        <v>#N/A</v>
      </c>
    </row>
    <row r="4610" spans="1:3" x14ac:dyDescent="0.35">
      <c r="A4610" s="21">
        <v>131</v>
      </c>
      <c r="B4610" t="str">
        <f>VLOOKUP(A4610,Products!$A$1:$F$322,2,FALSE)</f>
        <v>Heller Bloodhound Trail - 2018</v>
      </c>
      <c r="C4610" s="21" t="e">
        <f>VLOOKUP(A4610,Products!A$322:$D4610,4,FALSE)</f>
        <v>#N/A</v>
      </c>
    </row>
    <row r="4611" spans="1:3" x14ac:dyDescent="0.35">
      <c r="A4611" s="21">
        <v>282</v>
      </c>
      <c r="B4611" t="str">
        <f>VLOOKUP(A4611,Products!$A$1:$F$322,2,FALSE)</f>
        <v>Electra Cyclosaurus 1 (16-inch) - Boy's - 2018</v>
      </c>
      <c r="C4611" s="21" t="e">
        <f>VLOOKUP(A4611,Products!A$322:$D4611,4,FALSE)</f>
        <v>#N/A</v>
      </c>
    </row>
    <row r="4612" spans="1:3" x14ac:dyDescent="0.35">
      <c r="A4612" s="21">
        <v>204</v>
      </c>
      <c r="B4612" t="str">
        <f>VLOOKUP(A4612,Products!$A$1:$F$322,2,FALSE)</f>
        <v>Trek Super Commuter+ 7 - 2018</v>
      </c>
      <c r="C4612" s="21" t="e">
        <f>VLOOKUP(A4612,Products!A$322:$D4612,4,FALSE)</f>
        <v>#N/A</v>
      </c>
    </row>
    <row r="4613" spans="1:3" x14ac:dyDescent="0.35">
      <c r="A4613" s="21">
        <v>310</v>
      </c>
      <c r="B4613" t="str">
        <f>VLOOKUP(A4613,Products!$A$1:$F$322,2,FALSE)</f>
        <v>Electra Townie Commute 27D Ladies - 2018</v>
      </c>
      <c r="C4613" s="21" t="e">
        <f>VLOOKUP(A4613,Products!A$322:$D4613,4,FALSE)</f>
        <v>#N/A</v>
      </c>
    </row>
    <row r="4614" spans="1:3" x14ac:dyDescent="0.35">
      <c r="A4614" s="21">
        <v>241</v>
      </c>
      <c r="B4614" t="str">
        <f>VLOOKUP(A4614,Products!$A$1:$F$322,2,FALSE)</f>
        <v>Electra Townie Commute 8D - 2018</v>
      </c>
      <c r="C4614" s="21" t="e">
        <f>VLOOKUP(A4614,Products!A$322:$D4614,4,FALSE)</f>
        <v>#N/A</v>
      </c>
    </row>
    <row r="4615" spans="1:3" x14ac:dyDescent="0.35">
      <c r="A4615" s="21">
        <v>49</v>
      </c>
      <c r="B4615" t="str">
        <f>VLOOKUP(A4615,Products!$A$1:$F$322,2,FALSE)</f>
        <v>Trek Domane SL 6 - 2017</v>
      </c>
      <c r="C4615" s="21" t="e">
        <f>VLOOKUP(A4615,Products!A$322:$D4615,4,FALSE)</f>
        <v>#N/A</v>
      </c>
    </row>
    <row r="4616" spans="1:3" x14ac:dyDescent="0.35">
      <c r="A4616" s="21">
        <v>214</v>
      </c>
      <c r="B4616" t="str">
        <f>VLOOKUP(A4616,Products!$A$1:$F$322,2,FALSE)</f>
        <v>Electra Tiger Shark 3i - 2018</v>
      </c>
      <c r="C4616" s="21" t="e">
        <f>VLOOKUP(A4616,Products!A$322:$D4616,4,FALSE)</f>
        <v>#N/A</v>
      </c>
    </row>
    <row r="4617" spans="1:3" x14ac:dyDescent="0.35">
      <c r="A4617" s="21">
        <v>286</v>
      </c>
      <c r="B4617" t="str">
        <f>VLOOKUP(A4617,Products!$A$1:$F$322,2,FALSE)</f>
        <v>Electra Starship 1 16" - 2018</v>
      </c>
      <c r="C4617" s="21" t="e">
        <f>VLOOKUP(A4617,Products!A$322:$D4617,4,FALSE)</f>
        <v>#N/A</v>
      </c>
    </row>
    <row r="4618" spans="1:3" x14ac:dyDescent="0.35">
      <c r="A4618" s="21">
        <v>65</v>
      </c>
      <c r="B4618" t="str">
        <f>VLOOKUP(A4618,Products!$A$1:$F$322,2,FALSE)</f>
        <v>Sun Bicycles Lil Bolt Type-R - 2017</v>
      </c>
      <c r="C4618" s="21" t="e">
        <f>VLOOKUP(A4618,Products!A$322:$D4618,4,FALSE)</f>
        <v>#N/A</v>
      </c>
    </row>
    <row r="4619" spans="1:3" x14ac:dyDescent="0.35">
      <c r="A4619" s="21">
        <v>119</v>
      </c>
      <c r="B4619" t="str">
        <f>VLOOKUP(A4619,Products!$A$1:$F$322,2,FALSE)</f>
        <v>Trek Kids' Neko - 2018</v>
      </c>
      <c r="C4619" s="21" t="e">
        <f>VLOOKUP(A4619,Products!A$322:$D4619,4,FALSE)</f>
        <v>#N/A</v>
      </c>
    </row>
    <row r="4620" spans="1:3" x14ac:dyDescent="0.35">
      <c r="A4620" s="21">
        <v>86</v>
      </c>
      <c r="B4620" t="str">
        <f>VLOOKUP(A4620,Products!$A$1:$F$322,2,FALSE)</f>
        <v>Trek Girl's Kickster - 2017</v>
      </c>
      <c r="C4620" s="21" t="e">
        <f>VLOOKUP(A4620,Products!A$322:$D4620,4,FALSE)</f>
        <v>#N/A</v>
      </c>
    </row>
    <row r="4621" spans="1:3" x14ac:dyDescent="0.35">
      <c r="A4621" s="21">
        <v>64</v>
      </c>
      <c r="B4621" t="str">
        <f>VLOOKUP(A4621,Products!$A$1:$F$322,2,FALSE)</f>
        <v>Electra Townie Original 7D - 2017</v>
      </c>
      <c r="C4621" s="21" t="e">
        <f>VLOOKUP(A4621,Products!A$322:$D4621,4,FALSE)</f>
        <v>#N/A</v>
      </c>
    </row>
    <row r="4622" spans="1:3" x14ac:dyDescent="0.35">
      <c r="A4622" s="21">
        <v>272</v>
      </c>
      <c r="B4622" t="str">
        <f>VLOOKUP(A4622,Products!$A$1:$F$322,2,FALSE)</f>
        <v>Trek Precaliber 20 6-speed Boy's - 2018</v>
      </c>
      <c r="C4622" s="21" t="e">
        <f>VLOOKUP(A4622,Products!A$322:$D4622,4,FALSE)</f>
        <v>#N/A</v>
      </c>
    </row>
    <row r="4623" spans="1:3" x14ac:dyDescent="0.35">
      <c r="A4623" s="21">
        <v>75</v>
      </c>
      <c r="B4623" t="str">
        <f>VLOOKUP(A4623,Products!$A$1:$F$322,2,FALSE)</f>
        <v>Electra Cruiser Lux Fat Tire 1 Ladies - 2017</v>
      </c>
      <c r="C4623" s="21" t="e">
        <f>VLOOKUP(A4623,Products!A$322:$D4623,4,FALSE)</f>
        <v>#N/A</v>
      </c>
    </row>
    <row r="4624" spans="1:3" x14ac:dyDescent="0.35">
      <c r="A4624" s="21">
        <v>133</v>
      </c>
      <c r="B4624" t="str">
        <f>VLOOKUP(A4624,Products!$A$1:$F$322,2,FALSE)</f>
        <v>Trek Procaliber Frameset - 2018</v>
      </c>
      <c r="C4624" s="21" t="e">
        <f>VLOOKUP(A4624,Products!A$322:$D4624,4,FALSE)</f>
        <v>#N/A</v>
      </c>
    </row>
    <row r="4625" spans="1:3" x14ac:dyDescent="0.35">
      <c r="A4625" s="21">
        <v>15</v>
      </c>
      <c r="B4625" t="str">
        <f>VLOOKUP(A4625,Products!$A$1:$F$322,2,FALSE)</f>
        <v>Electra Moto 1 - 2016</v>
      </c>
      <c r="C4625" s="21" t="e">
        <f>VLOOKUP(A4625,Products!A$322:$D4625,4,FALSE)</f>
        <v>#N/A</v>
      </c>
    </row>
    <row r="4626" spans="1:3" x14ac:dyDescent="0.35">
      <c r="A4626" s="21">
        <v>265</v>
      </c>
      <c r="B4626" t="str">
        <f>VLOOKUP(A4626,Products!$A$1:$F$322,2,FALSE)</f>
        <v>Strider Strider 20 Sport - 2018</v>
      </c>
      <c r="C4626" s="21" t="e">
        <f>VLOOKUP(A4626,Products!A$322:$D4626,4,FALSE)</f>
        <v>#N/A</v>
      </c>
    </row>
    <row r="4627" spans="1:3" x14ac:dyDescent="0.35">
      <c r="A4627" s="21">
        <v>45</v>
      </c>
      <c r="B4627" t="str">
        <f>VLOOKUP(A4627,Products!$A$1:$F$322,2,FALSE)</f>
        <v>Haro SR 1.2 - 2017</v>
      </c>
      <c r="C4627" s="21" t="e">
        <f>VLOOKUP(A4627,Products!A$322:$D4627,4,FALSE)</f>
        <v>#N/A</v>
      </c>
    </row>
    <row r="4628" spans="1:3" x14ac:dyDescent="0.35">
      <c r="A4628" s="21">
        <v>216</v>
      </c>
      <c r="B4628" t="str">
        <f>VLOOKUP(A4628,Products!$A$1:$F$322,2,FALSE)</f>
        <v>Electra Super Moto 8i - 2018</v>
      </c>
      <c r="C4628" s="21" t="e">
        <f>VLOOKUP(A4628,Products!A$322:$D4628,4,FALSE)</f>
        <v>#N/A</v>
      </c>
    </row>
    <row r="4629" spans="1:3" x14ac:dyDescent="0.35">
      <c r="A4629" s="21">
        <v>43</v>
      </c>
      <c r="B4629" t="str">
        <f>VLOOKUP(A4629,Products!$A$1:$F$322,2,FALSE)</f>
        <v>Trek Fuel EX 9.8 27.5 Plus - 2017</v>
      </c>
      <c r="C4629" s="21" t="e">
        <f>VLOOKUP(A4629,Products!A$322:$D4629,4,FALSE)</f>
        <v>#N/A</v>
      </c>
    </row>
    <row r="4630" spans="1:3" x14ac:dyDescent="0.35">
      <c r="A4630" s="21">
        <v>187</v>
      </c>
      <c r="B4630" t="str">
        <f>VLOOKUP(A4630,Products!$A$1:$F$322,2,FALSE)</f>
        <v>Trek Neko+ - 2018</v>
      </c>
      <c r="C4630" s="21" t="e">
        <f>VLOOKUP(A4630,Products!A$322:$D4630,4,FALSE)</f>
        <v>#N/A</v>
      </c>
    </row>
    <row r="4631" spans="1:3" x14ac:dyDescent="0.35">
      <c r="A4631" s="21">
        <v>147</v>
      </c>
      <c r="B4631" t="str">
        <f>VLOOKUP(A4631,Products!$A$1:$F$322,2,FALSE)</f>
        <v>Trek Domane ALR 5 Gravel - 2018</v>
      </c>
      <c r="C4631" s="21" t="e">
        <f>VLOOKUP(A4631,Products!A$322:$D4631,4,FALSE)</f>
        <v>#N/A</v>
      </c>
    </row>
    <row r="4632" spans="1:3" x14ac:dyDescent="0.35">
      <c r="A4632" s="21">
        <v>313</v>
      </c>
      <c r="B4632" t="str">
        <f>VLOOKUP(A4632,Products!$A$1:$F$322,2,FALSE)</f>
        <v>Electra Townie Original 1 Ladies' - 2018</v>
      </c>
      <c r="C4632" s="21" t="e">
        <f>VLOOKUP(A4632,Products!A$322:$D4632,4,FALSE)</f>
        <v>#N/A</v>
      </c>
    </row>
    <row r="4633" spans="1:3" x14ac:dyDescent="0.35">
      <c r="A4633" s="21">
        <v>106</v>
      </c>
      <c r="B4633" t="str">
        <f>VLOOKUP(A4633,Products!$A$1:$F$322,2,FALSE)</f>
        <v>Sun Bicycles Cruz 3 - 2017</v>
      </c>
      <c r="C4633" s="21" t="e">
        <f>VLOOKUP(A4633,Products!A$322:$D4633,4,FALSE)</f>
        <v>#N/A</v>
      </c>
    </row>
    <row r="4634" spans="1:3" x14ac:dyDescent="0.35">
      <c r="A4634" s="21">
        <v>207</v>
      </c>
      <c r="B4634" t="str">
        <f>VLOOKUP(A4634,Products!$A$1:$F$322,2,FALSE)</f>
        <v>Trek Boone 7 Disc - 2018</v>
      </c>
      <c r="C4634" s="21" t="e">
        <f>VLOOKUP(A4634,Products!A$322:$D4634,4,FALSE)</f>
        <v>#N/A</v>
      </c>
    </row>
    <row r="4635" spans="1:3" x14ac:dyDescent="0.35">
      <c r="A4635" s="21">
        <v>95</v>
      </c>
      <c r="B4635" t="str">
        <f>VLOOKUP(A4635,Products!$A$1:$F$322,2,FALSE)</f>
        <v>Electra Girl's Hawaii 1 16" - 2017</v>
      </c>
      <c r="C4635" s="21" t="e">
        <f>VLOOKUP(A4635,Products!A$322:$D4635,4,FALSE)</f>
        <v>#N/A</v>
      </c>
    </row>
    <row r="4636" spans="1:3" x14ac:dyDescent="0.35">
      <c r="A4636" s="21">
        <v>191</v>
      </c>
      <c r="B4636" t="str">
        <f>VLOOKUP(A4636,Products!$A$1:$F$322,2,FALSE)</f>
        <v>Electra Loft Go! 8i - 2018</v>
      </c>
      <c r="C4636" s="21" t="e">
        <f>VLOOKUP(A4636,Products!A$322:$D4636,4,FALSE)</f>
        <v>#N/A</v>
      </c>
    </row>
    <row r="4637" spans="1:3" x14ac:dyDescent="0.35">
      <c r="A4637" s="21">
        <v>22</v>
      </c>
      <c r="B4637" t="str">
        <f>VLOOKUP(A4637,Products!$A$1:$F$322,2,FALSE)</f>
        <v>Electra Girl's Hawaii 1 (16-inch) - 2015/2016</v>
      </c>
      <c r="C4637" s="21" t="e">
        <f>VLOOKUP(A4637,Products!A$322:$D4637,4,FALSE)</f>
        <v>#N/A</v>
      </c>
    </row>
    <row r="4638" spans="1:3" x14ac:dyDescent="0.35">
      <c r="A4638" s="21">
        <v>277</v>
      </c>
      <c r="B4638" t="str">
        <f>VLOOKUP(A4638,Products!$A$1:$F$322,2,FALSE)</f>
        <v>Trek Precaliber 24 21-speed Boy's - 2018</v>
      </c>
      <c r="C4638" s="21" t="e">
        <f>VLOOKUP(A4638,Products!A$322:$D4638,4,FALSE)</f>
        <v>#N/A</v>
      </c>
    </row>
    <row r="4639" spans="1:3" x14ac:dyDescent="0.35">
      <c r="A4639" s="21">
        <v>295</v>
      </c>
      <c r="B4639" t="str">
        <f>VLOOKUP(A4639,Products!$A$1:$F$322,2,FALSE)</f>
        <v>Electra Treasure 1 20" - 2018</v>
      </c>
      <c r="C4639" s="21" t="e">
        <f>VLOOKUP(A4639,Products!A$322:$D4639,4,FALSE)</f>
        <v>#N/A</v>
      </c>
    </row>
    <row r="4640" spans="1:3" x14ac:dyDescent="0.35">
      <c r="A4640" s="21">
        <v>173</v>
      </c>
      <c r="B4640" t="str">
        <f>VLOOKUP(A4640,Products!$A$1:$F$322,2,FALSE)</f>
        <v>Trek Domane ALR Frameset - 2018</v>
      </c>
      <c r="C4640" s="21" t="e">
        <f>VLOOKUP(A4640,Products!A$322:$D4640,4,FALSE)</f>
        <v>#N/A</v>
      </c>
    </row>
    <row r="4641" spans="1:3" x14ac:dyDescent="0.35">
      <c r="A4641" s="21">
        <v>36</v>
      </c>
      <c r="B4641" t="str">
        <f>VLOOKUP(A4641,Products!$A$1:$F$322,2,FALSE)</f>
        <v>Surly Troll Frameset - 2017</v>
      </c>
      <c r="C4641" s="21" t="e">
        <f>VLOOKUP(A4641,Products!A$322:$D4641,4,FALSE)</f>
        <v>#N/A</v>
      </c>
    </row>
    <row r="4642" spans="1:3" x14ac:dyDescent="0.35">
      <c r="A4642" s="21">
        <v>104</v>
      </c>
      <c r="B4642" t="str">
        <f>VLOOKUP(A4642,Products!$A$1:$F$322,2,FALSE)</f>
        <v>Sun Bicycles Streamway - 2017</v>
      </c>
      <c r="C4642" s="21" t="e">
        <f>VLOOKUP(A4642,Products!A$322:$D4642,4,FALSE)</f>
        <v>#N/A</v>
      </c>
    </row>
    <row r="4643" spans="1:3" x14ac:dyDescent="0.35">
      <c r="A4643" s="21">
        <v>63</v>
      </c>
      <c r="B4643" t="str">
        <f>VLOOKUP(A4643,Products!$A$1:$F$322,2,FALSE)</f>
        <v>Trek Boone Race Shop Limited - 2017</v>
      </c>
      <c r="C4643" s="21" t="e">
        <f>VLOOKUP(A4643,Products!A$322:$D4643,4,FALSE)</f>
        <v>#N/A</v>
      </c>
    </row>
    <row r="4644" spans="1:3" x14ac:dyDescent="0.35">
      <c r="A4644" s="21">
        <v>78</v>
      </c>
      <c r="B4644" t="str">
        <f>VLOOKUP(A4644,Products!$A$1:$F$322,2,FALSE)</f>
        <v>Sun Bicycles Biscayne Tandem CB - 2017</v>
      </c>
      <c r="C4644" s="21" t="e">
        <f>VLOOKUP(A4644,Products!A$322:$D4644,4,FALSE)</f>
        <v>#N/A</v>
      </c>
    </row>
    <row r="4645" spans="1:3" x14ac:dyDescent="0.35">
      <c r="A4645" s="21">
        <v>300</v>
      </c>
      <c r="B4645" t="str">
        <f>VLOOKUP(A4645,Products!$A$1:$F$322,2,FALSE)</f>
        <v>Electra Townie Balloon 3i EQ Ladies' - 2018</v>
      </c>
      <c r="C4645" s="21" t="e">
        <f>VLOOKUP(A4645,Products!A$322:$D4645,4,FALSE)</f>
        <v>#N/A</v>
      </c>
    </row>
    <row r="4646" spans="1:3" x14ac:dyDescent="0.35">
      <c r="A4646" s="21">
        <v>93</v>
      </c>
      <c r="B4646" t="str">
        <f>VLOOKUP(A4646,Products!$A$1:$F$322,2,FALSE)</f>
        <v>Haro Shredder 20 Girls - 2017</v>
      </c>
      <c r="C4646" s="21" t="e">
        <f>VLOOKUP(A4646,Products!A$322:$D4646,4,FALSE)</f>
        <v>#N/A</v>
      </c>
    </row>
    <row r="4647" spans="1:3" x14ac:dyDescent="0.35">
      <c r="A4647" s="21">
        <v>246</v>
      </c>
      <c r="B4647" t="str">
        <f>VLOOKUP(A4647,Products!$A$1:$F$322,2,FALSE)</f>
        <v>Electra Townie Original 3i EQ Ladies' - 2018</v>
      </c>
      <c r="C4647" s="21" t="e">
        <f>VLOOKUP(A4647,Products!A$322:$D4647,4,FALSE)</f>
        <v>#N/A</v>
      </c>
    </row>
    <row r="4648" spans="1:3" x14ac:dyDescent="0.35">
      <c r="A4648" s="21">
        <v>260</v>
      </c>
      <c r="B4648" t="str">
        <f>VLOOKUP(A4648,Products!$A$1:$F$322,2,FALSE)</f>
        <v>Electra Townie Balloon 3i EQ Ladies' - 2018</v>
      </c>
      <c r="C4648" s="21" t="e">
        <f>VLOOKUP(A4648,Products!A$322:$D4648,4,FALSE)</f>
        <v>#N/A</v>
      </c>
    </row>
    <row r="4649" spans="1:3" x14ac:dyDescent="0.35">
      <c r="A4649" s="21">
        <v>28</v>
      </c>
      <c r="B4649" t="str">
        <f>VLOOKUP(A4649,Products!$A$1:$F$322,2,FALSE)</f>
        <v>Surly Karate Monkey 27.5+ Frameset - 2017</v>
      </c>
      <c r="C4649" s="21" t="e">
        <f>VLOOKUP(A4649,Products!A$322:$D4649,4,FALSE)</f>
        <v>#N/A</v>
      </c>
    </row>
    <row r="4650" spans="1:3" x14ac:dyDescent="0.35">
      <c r="A4650" s="21">
        <v>175</v>
      </c>
      <c r="B4650" t="str">
        <f>VLOOKUP(A4650,Products!$A$1:$F$322,2,FALSE)</f>
        <v>Trek Domane SLR Frameset - 2018</v>
      </c>
      <c r="C4650" s="21" t="e">
        <f>VLOOKUP(A4650,Products!A$322:$D4650,4,FALSE)</f>
        <v>#N/A</v>
      </c>
    </row>
    <row r="4651" spans="1:3" x14ac:dyDescent="0.35">
      <c r="A4651" s="21">
        <v>248</v>
      </c>
      <c r="B4651" t="str">
        <f>VLOOKUP(A4651,Products!$A$1:$F$322,2,FALSE)</f>
        <v>Electra Townie Original 7D EQ Ladies' - 2017/2018</v>
      </c>
      <c r="C4651" s="21" t="e">
        <f>VLOOKUP(A4651,Products!A$322:$D4651,4,FALSE)</f>
        <v>#N/A</v>
      </c>
    </row>
    <row r="4652" spans="1:3" x14ac:dyDescent="0.35">
      <c r="A4652" s="21">
        <v>23</v>
      </c>
      <c r="B4652" t="str">
        <f>VLOOKUP(A4652,Products!$A$1:$F$322,2,FALSE)</f>
        <v>Electra Girl's Hawaii 1 (20-inch) - 2015/2016</v>
      </c>
      <c r="C4652" s="21" t="e">
        <f>VLOOKUP(A4652,Products!A$322:$D4652,4,FALSE)</f>
        <v>#N/A</v>
      </c>
    </row>
    <row r="4653" spans="1:3" x14ac:dyDescent="0.35">
      <c r="A4653" s="21">
        <v>286</v>
      </c>
      <c r="B4653" t="str">
        <f>VLOOKUP(A4653,Products!$A$1:$F$322,2,FALSE)</f>
        <v>Electra Starship 1 16" - 2018</v>
      </c>
      <c r="C4653" s="21" t="e">
        <f>VLOOKUP(A4653,Products!A$322:$D4653,4,FALSE)</f>
        <v>#N/A</v>
      </c>
    </row>
    <row r="4654" spans="1:3" x14ac:dyDescent="0.35">
      <c r="A4654" s="21">
        <v>126</v>
      </c>
      <c r="B4654" t="str">
        <f>VLOOKUP(A4654,Products!$A$1:$F$322,2,FALSE)</f>
        <v>Surly Big Fat Dummy Frameset - 2018</v>
      </c>
      <c r="C4654" s="21" t="e">
        <f>VLOOKUP(A4654,Products!A$322:$D4654,4,FALSE)</f>
        <v>#N/A</v>
      </c>
    </row>
    <row r="4655" spans="1:3" x14ac:dyDescent="0.35">
      <c r="A4655" s="21">
        <v>97</v>
      </c>
      <c r="B4655" t="str">
        <f>VLOOKUP(A4655,Products!$A$1:$F$322,2,FALSE)</f>
        <v>Electra Savannah 3i (20-inch) - Girl's - 2017</v>
      </c>
      <c r="C4655" s="21" t="e">
        <f>VLOOKUP(A4655,Products!A$322:$D4655,4,FALSE)</f>
        <v>#N/A</v>
      </c>
    </row>
    <row r="4656" spans="1:3" x14ac:dyDescent="0.35">
      <c r="A4656" s="21">
        <v>138</v>
      </c>
      <c r="B4656" t="str">
        <f>VLOOKUP(A4656,Products!$A$1:$F$322,2,FALSE)</f>
        <v>Trek Fuel EX 5 Plus - 2018</v>
      </c>
      <c r="C4656" s="21" t="e">
        <f>VLOOKUP(A4656,Products!A$322:$D4656,4,FALSE)</f>
        <v>#N/A</v>
      </c>
    </row>
    <row r="4657" spans="1:3" x14ac:dyDescent="0.35">
      <c r="A4657" s="21">
        <v>265</v>
      </c>
      <c r="B4657" t="str">
        <f>VLOOKUP(A4657,Products!$A$1:$F$322,2,FALSE)</f>
        <v>Strider Strider 20 Sport - 2018</v>
      </c>
      <c r="C4657" s="21" t="e">
        <f>VLOOKUP(A4657,Products!A$322:$D4657,4,FALSE)</f>
        <v>#N/A</v>
      </c>
    </row>
    <row r="4658" spans="1:3" x14ac:dyDescent="0.35">
      <c r="A4658" s="21">
        <v>211</v>
      </c>
      <c r="B4658" t="str">
        <f>VLOOKUP(A4658,Products!$A$1:$F$322,2,FALSE)</f>
        <v>Surly Straggler 650b - 2018</v>
      </c>
      <c r="C4658" s="21" t="e">
        <f>VLOOKUP(A4658,Products!A$322:$D4658,4,FALSE)</f>
        <v>#N/A</v>
      </c>
    </row>
    <row r="4659" spans="1:3" x14ac:dyDescent="0.35">
      <c r="A4659" s="21">
        <v>159</v>
      </c>
      <c r="B4659" t="str">
        <f>VLOOKUP(A4659,Products!$A$1:$F$322,2,FALSE)</f>
        <v>Trek Emonda ALR 6 - 2018</v>
      </c>
      <c r="C4659" s="21" t="e">
        <f>VLOOKUP(A4659,Products!A$322:$D4659,4,FALSE)</f>
        <v>#N/A</v>
      </c>
    </row>
    <row r="4660" spans="1:3" x14ac:dyDescent="0.35">
      <c r="A4660" s="21">
        <v>40</v>
      </c>
      <c r="B4660" t="str">
        <f>VLOOKUP(A4660,Products!$A$1:$F$322,2,FALSE)</f>
        <v>Trek Fuel EX 9.8 29 - 2017</v>
      </c>
      <c r="C4660" s="21" t="e">
        <f>VLOOKUP(A4660,Products!A$322:$D4660,4,FALSE)</f>
        <v>#N/A</v>
      </c>
    </row>
    <row r="4661" spans="1:3" x14ac:dyDescent="0.35">
      <c r="A4661" s="21">
        <v>9</v>
      </c>
      <c r="B4661" t="str">
        <f>VLOOKUP(A4661,Products!$A$1:$F$322,2,FALSE)</f>
        <v>Trek Conduit+ - 2016</v>
      </c>
      <c r="C4661" s="21" t="e">
        <f>VLOOKUP(A4661,Products!A$322:$D4661,4,FALSE)</f>
        <v>#N/A</v>
      </c>
    </row>
    <row r="4662" spans="1:3" x14ac:dyDescent="0.35">
      <c r="A4662" s="21">
        <v>271</v>
      </c>
      <c r="B4662" t="str">
        <f>VLOOKUP(A4662,Products!$A$1:$F$322,2,FALSE)</f>
        <v>Trek Precaliber 16 Girl's - 2018</v>
      </c>
      <c r="C4662" s="21" t="e">
        <f>VLOOKUP(A4662,Products!A$322:$D4662,4,FALSE)</f>
        <v>#N/A</v>
      </c>
    </row>
    <row r="4663" spans="1:3" x14ac:dyDescent="0.35">
      <c r="A4663" s="21">
        <v>97</v>
      </c>
      <c r="B4663" t="str">
        <f>VLOOKUP(A4663,Products!$A$1:$F$322,2,FALSE)</f>
        <v>Electra Savannah 3i (20-inch) - Girl's - 2017</v>
      </c>
      <c r="C4663" s="21" t="e">
        <f>VLOOKUP(A4663,Products!A$322:$D4663,4,FALSE)</f>
        <v>#N/A</v>
      </c>
    </row>
    <row r="4664" spans="1:3" x14ac:dyDescent="0.35">
      <c r="A4664" s="21">
        <v>34</v>
      </c>
      <c r="B4664" t="str">
        <f>VLOOKUP(A4664,Products!$A$1:$F$322,2,FALSE)</f>
        <v>Trek Session DH 27.5 Carbon Frameset - 2017</v>
      </c>
      <c r="C4664" s="21" t="e">
        <f>VLOOKUP(A4664,Products!A$322:$D4664,4,FALSE)</f>
        <v>#N/A</v>
      </c>
    </row>
    <row r="4665" spans="1:3" x14ac:dyDescent="0.35">
      <c r="A4665" s="21">
        <v>190</v>
      </c>
      <c r="B4665" t="str">
        <f>VLOOKUP(A4665,Products!$A$1:$F$322,2,FALSE)</f>
        <v>Trek Dual Sport+ - 2018</v>
      </c>
      <c r="C4665" s="21" t="e">
        <f>VLOOKUP(A4665,Products!A$322:$D4665,4,FALSE)</f>
        <v>#N/A</v>
      </c>
    </row>
    <row r="4666" spans="1:3" x14ac:dyDescent="0.35">
      <c r="A4666" s="21">
        <v>107</v>
      </c>
      <c r="B4666" t="str">
        <f>VLOOKUP(A4666,Products!$A$1:$F$322,2,FALSE)</f>
        <v>Sun Bicycles Cruz 7 - 2017</v>
      </c>
      <c r="C4666" s="21" t="e">
        <f>VLOOKUP(A4666,Products!A$322:$D4666,4,FALSE)</f>
        <v>#N/A</v>
      </c>
    </row>
    <row r="4667" spans="1:3" x14ac:dyDescent="0.35">
      <c r="A4667" s="21">
        <v>169</v>
      </c>
      <c r="B4667" t="str">
        <f>VLOOKUP(A4667,Products!$A$1:$F$322,2,FALSE)</f>
        <v>Trek Emonda SLR 8 - 2018</v>
      </c>
      <c r="C4667" s="21" t="e">
        <f>VLOOKUP(A4667,Products!A$322:$D4667,4,FALSE)</f>
        <v>#N/A</v>
      </c>
    </row>
    <row r="4668" spans="1:3" x14ac:dyDescent="0.35">
      <c r="A4668" s="21">
        <v>79</v>
      </c>
      <c r="B4668" t="str">
        <f>VLOOKUP(A4668,Products!$A$1:$F$322,2,FALSE)</f>
        <v>Sun Bicycles Boardwalk (24-inch Wheels) - 2017</v>
      </c>
      <c r="C4668" s="21" t="e">
        <f>VLOOKUP(A4668,Products!A$322:$D4668,4,FALSE)</f>
        <v>#N/A</v>
      </c>
    </row>
    <row r="4669" spans="1:3" x14ac:dyDescent="0.35">
      <c r="A4669" s="21">
        <v>105</v>
      </c>
      <c r="B4669" t="str">
        <f>VLOOKUP(A4669,Products!$A$1:$F$322,2,FALSE)</f>
        <v>Sun Bicycles Streamway 7 - 2017</v>
      </c>
      <c r="C4669" s="21" t="e">
        <f>VLOOKUP(A4669,Products!A$322:$D4669,4,FALSE)</f>
        <v>#N/A</v>
      </c>
    </row>
    <row r="4670" spans="1:3" x14ac:dyDescent="0.35">
      <c r="A4670" s="21">
        <v>112</v>
      </c>
      <c r="B4670" t="str">
        <f>VLOOKUP(A4670,Products!$A$1:$F$322,2,FALSE)</f>
        <v>Trek 820 - 2018</v>
      </c>
      <c r="C4670" s="21" t="e">
        <f>VLOOKUP(A4670,Products!A$322:$D4670,4,FALSE)</f>
        <v>#N/A</v>
      </c>
    </row>
    <row r="4671" spans="1:3" x14ac:dyDescent="0.35">
      <c r="A4671" s="21">
        <v>91</v>
      </c>
      <c r="B4671" t="str">
        <f>VLOOKUP(A4671,Products!$A$1:$F$322,2,FALSE)</f>
        <v>Trek Precaliber 24 (21-Speed) - Girls - 2017</v>
      </c>
      <c r="C4671" s="21" t="e">
        <f>VLOOKUP(A4671,Products!A$322:$D4671,4,FALSE)</f>
        <v>#N/A</v>
      </c>
    </row>
    <row r="4672" spans="1:3" x14ac:dyDescent="0.35">
      <c r="A4672" s="21">
        <v>18</v>
      </c>
      <c r="B4672" t="str">
        <f>VLOOKUP(A4672,Products!$A$1:$F$322,2,FALSE)</f>
        <v>Pure Cycles Western 3-Speed - Women's - 2015/2016</v>
      </c>
      <c r="C4672" s="21" t="e">
        <f>VLOOKUP(A4672,Products!A$322:$D4672,4,FALSE)</f>
        <v>#N/A</v>
      </c>
    </row>
    <row r="4673" spans="1:3" x14ac:dyDescent="0.35">
      <c r="A4673" s="21">
        <v>176</v>
      </c>
      <c r="B4673" t="str">
        <f>VLOOKUP(A4673,Products!$A$1:$F$322,2,FALSE)</f>
        <v>Trek Madone 9 Frameset - 2018</v>
      </c>
      <c r="C4673" s="21" t="e">
        <f>VLOOKUP(A4673,Products!A$322:$D4673,4,FALSE)</f>
        <v>#N/A</v>
      </c>
    </row>
    <row r="4674" spans="1:3" x14ac:dyDescent="0.35">
      <c r="A4674" s="21">
        <v>59</v>
      </c>
      <c r="B4674" t="str">
        <f>VLOOKUP(A4674,Products!$A$1:$F$322,2,FALSE)</f>
        <v>Trek Domane S 5 Disc - 2017</v>
      </c>
      <c r="C4674" s="21" t="e">
        <f>VLOOKUP(A4674,Products!A$322:$D4674,4,FALSE)</f>
        <v>#N/A</v>
      </c>
    </row>
    <row r="4675" spans="1:3" x14ac:dyDescent="0.35">
      <c r="A4675" s="21">
        <v>247</v>
      </c>
      <c r="B4675" t="str">
        <f>VLOOKUP(A4675,Products!$A$1:$F$322,2,FALSE)</f>
        <v>Electra Townie Original 7D EQ - 2018</v>
      </c>
      <c r="C4675" s="21" t="e">
        <f>VLOOKUP(A4675,Products!A$322:$D4675,4,FALSE)</f>
        <v>#N/A</v>
      </c>
    </row>
    <row r="4676" spans="1:3" x14ac:dyDescent="0.35">
      <c r="A4676" s="21">
        <v>49</v>
      </c>
      <c r="B4676" t="str">
        <f>VLOOKUP(A4676,Products!$A$1:$F$322,2,FALSE)</f>
        <v>Trek Domane SL 6 - 2017</v>
      </c>
      <c r="C4676" s="21" t="e">
        <f>VLOOKUP(A4676,Products!A$322:$D4676,4,FALSE)</f>
        <v>#N/A</v>
      </c>
    </row>
    <row r="4677" spans="1:3" x14ac:dyDescent="0.35">
      <c r="A4677" s="21">
        <v>88</v>
      </c>
      <c r="B4677" t="str">
        <f>VLOOKUP(A4677,Products!$A$1:$F$322,2,FALSE)</f>
        <v>Trek Precaliber 12 Girls - 2017</v>
      </c>
      <c r="C4677" s="21" t="e">
        <f>VLOOKUP(A4677,Products!A$322:$D4677,4,FALSE)</f>
        <v>#N/A</v>
      </c>
    </row>
    <row r="4678" spans="1:3" x14ac:dyDescent="0.35">
      <c r="A4678" s="21">
        <v>104</v>
      </c>
      <c r="B4678" t="str">
        <f>VLOOKUP(A4678,Products!$A$1:$F$322,2,FALSE)</f>
        <v>Sun Bicycles Streamway - 2017</v>
      </c>
      <c r="C4678" s="21" t="e">
        <f>VLOOKUP(A4678,Products!A$322:$D4678,4,FALSE)</f>
        <v>#N/A</v>
      </c>
    </row>
    <row r="4679" spans="1:3" x14ac:dyDescent="0.35">
      <c r="A4679" s="21">
        <v>146</v>
      </c>
      <c r="B4679" t="str">
        <f>VLOOKUP(A4679,Products!$A$1:$F$322,2,FALSE)</f>
        <v>Trek Domane SLR 6 - 2018</v>
      </c>
      <c r="C4679" s="21" t="e">
        <f>VLOOKUP(A4679,Products!A$322:$D4679,4,FALSE)</f>
        <v>#N/A</v>
      </c>
    </row>
    <row r="4680" spans="1:3" x14ac:dyDescent="0.35">
      <c r="A4680" s="21">
        <v>295</v>
      </c>
      <c r="B4680" t="str">
        <f>VLOOKUP(A4680,Products!$A$1:$F$322,2,FALSE)</f>
        <v>Electra Treasure 1 20" - 2018</v>
      </c>
      <c r="C4680" s="21" t="e">
        <f>VLOOKUP(A4680,Products!A$322:$D4680,4,FALSE)</f>
        <v>#N/A</v>
      </c>
    </row>
    <row r="4681" spans="1:3" x14ac:dyDescent="0.35">
      <c r="A4681" s="21">
        <v>36</v>
      </c>
      <c r="B4681" t="str">
        <f>VLOOKUP(A4681,Products!$A$1:$F$322,2,FALSE)</f>
        <v>Surly Troll Frameset - 2017</v>
      </c>
      <c r="C4681" s="21" t="e">
        <f>VLOOKUP(A4681,Products!A$322:$D4681,4,FALSE)</f>
        <v>#N/A</v>
      </c>
    </row>
    <row r="4682" spans="1:3" x14ac:dyDescent="0.35">
      <c r="A4682" s="21">
        <v>114</v>
      </c>
      <c r="B4682" t="str">
        <f>VLOOKUP(A4682,Products!$A$1:$F$322,2,FALSE)</f>
        <v>Trek Marlin 6 - 2018</v>
      </c>
      <c r="C4682" s="21" t="e">
        <f>VLOOKUP(A4682,Products!A$322:$D4682,4,FALSE)</f>
        <v>#N/A</v>
      </c>
    </row>
    <row r="4683" spans="1:3" x14ac:dyDescent="0.35">
      <c r="A4683" s="21">
        <v>10</v>
      </c>
      <c r="B4683" t="str">
        <f>VLOOKUP(A4683,Products!$A$1:$F$322,2,FALSE)</f>
        <v>Surly Straggler - 2016</v>
      </c>
      <c r="C4683" s="21" t="e">
        <f>VLOOKUP(A4683,Products!A$322:$D4683,4,FALSE)</f>
        <v>#N/A</v>
      </c>
    </row>
    <row r="4684" spans="1:3" x14ac:dyDescent="0.35">
      <c r="A4684" s="21">
        <v>220</v>
      </c>
      <c r="B4684" t="str">
        <f>VLOOKUP(A4684,Products!$A$1:$F$322,2,FALSE)</f>
        <v>Electra Cruiser 1 Ladies' - 2018</v>
      </c>
      <c r="C4684" s="21" t="e">
        <f>VLOOKUP(A4684,Products!A$322:$D4684,4,FALSE)</f>
        <v>#N/A</v>
      </c>
    </row>
    <row r="4685" spans="1:3" x14ac:dyDescent="0.35">
      <c r="A4685" s="21">
        <v>7</v>
      </c>
      <c r="B4685" t="str">
        <f>VLOOKUP(A4685,Products!$A$1:$F$322,2,FALSE)</f>
        <v>Trek Slash 8 27.5 - 2016</v>
      </c>
      <c r="C4685" s="21" t="e">
        <f>VLOOKUP(A4685,Products!A$322:$D4685,4,FALSE)</f>
        <v>#N/A</v>
      </c>
    </row>
    <row r="4686" spans="1:3" x14ac:dyDescent="0.35">
      <c r="A4686" s="21">
        <v>180</v>
      </c>
      <c r="B4686" t="str">
        <f>VLOOKUP(A4686,Products!$A$1:$F$322,2,FALSE)</f>
        <v>Trek Domane AL 3 Women's - 2018</v>
      </c>
      <c r="C4686" s="21" t="e">
        <f>VLOOKUP(A4686,Products!A$322:$D4686,4,FALSE)</f>
        <v>#N/A</v>
      </c>
    </row>
    <row r="4687" spans="1:3" x14ac:dyDescent="0.35">
      <c r="A4687" s="21">
        <v>71</v>
      </c>
      <c r="B4687" t="str">
        <f>VLOOKUP(A4687,Products!$A$1:$F$322,2,FALSE)</f>
        <v>Sun Bicycles Atlas X-Type - 2017</v>
      </c>
      <c r="C4687" s="21" t="e">
        <f>VLOOKUP(A4687,Products!A$322:$D4687,4,FALSE)</f>
        <v>#N/A</v>
      </c>
    </row>
    <row r="4688" spans="1:3" x14ac:dyDescent="0.35">
      <c r="A4688" s="21">
        <v>37</v>
      </c>
      <c r="B4688" t="str">
        <f>VLOOKUP(A4688,Products!$A$1:$F$322,2,FALSE)</f>
        <v>Haro Flightline One ST - 2017</v>
      </c>
      <c r="C4688" s="21" t="e">
        <f>VLOOKUP(A4688,Products!A$322:$D4688,4,FALSE)</f>
        <v>#N/A</v>
      </c>
    </row>
    <row r="4689" spans="1:3" x14ac:dyDescent="0.35">
      <c r="A4689" s="21">
        <v>275</v>
      </c>
      <c r="B4689" t="str">
        <f>VLOOKUP(A4689,Products!$A$1:$F$322,2,FALSE)</f>
        <v>Trek Precaliber 20 Girl's - 2018</v>
      </c>
      <c r="C4689" s="21" t="e">
        <f>VLOOKUP(A4689,Products!A$322:$D4689,4,FALSE)</f>
        <v>#N/A</v>
      </c>
    </row>
    <row r="4690" spans="1:3" x14ac:dyDescent="0.35">
      <c r="A4690" s="21">
        <v>257</v>
      </c>
      <c r="B4690" t="str">
        <f>VLOOKUP(A4690,Products!$A$1:$F$322,2,FALSE)</f>
        <v>Electra Amsterdam Fashion 3i Ladies' - 2017/2018</v>
      </c>
      <c r="C4690" s="21" t="e">
        <f>VLOOKUP(A4690,Products!A$322:$D4690,4,FALSE)</f>
        <v>#N/A</v>
      </c>
    </row>
    <row r="4691" spans="1:3" x14ac:dyDescent="0.35">
      <c r="A4691" s="21">
        <v>275</v>
      </c>
      <c r="B4691" t="str">
        <f>VLOOKUP(A4691,Products!$A$1:$F$322,2,FALSE)</f>
        <v>Trek Precaliber 20 Girl's - 2018</v>
      </c>
      <c r="C4691" s="21" t="e">
        <f>VLOOKUP(A4691,Products!A$322:$D4691,4,FALSE)</f>
        <v>#N/A</v>
      </c>
    </row>
    <row r="4692" spans="1:3" x14ac:dyDescent="0.35">
      <c r="A4692" s="21">
        <v>271</v>
      </c>
      <c r="B4692" t="str">
        <f>VLOOKUP(A4692,Products!$A$1:$F$322,2,FALSE)</f>
        <v>Trek Precaliber 16 Girl's - 2018</v>
      </c>
      <c r="C4692" s="21" t="e">
        <f>VLOOKUP(A4692,Products!A$322:$D4692,4,FALSE)</f>
        <v>#N/A</v>
      </c>
    </row>
    <row r="4693" spans="1:3" x14ac:dyDescent="0.35">
      <c r="A4693" s="21">
        <v>72</v>
      </c>
      <c r="B4693" t="str">
        <f>VLOOKUP(A4693,Products!$A$1:$F$322,2,FALSE)</f>
        <v>Sun Bicycles Biscayne Tandem 7 - 2017</v>
      </c>
      <c r="C4693" s="21" t="e">
        <f>VLOOKUP(A4693,Products!A$322:$D4693,4,FALSE)</f>
        <v>#N/A</v>
      </c>
    </row>
    <row r="4694" spans="1:3" x14ac:dyDescent="0.35">
      <c r="A4694" s="21">
        <v>186</v>
      </c>
      <c r="B4694" t="str">
        <f>VLOOKUP(A4694,Products!$A$1:$F$322,2,FALSE)</f>
        <v>Trek CrossRip+ - 2018</v>
      </c>
      <c r="C4694" s="21" t="e">
        <f>VLOOKUP(A4694,Products!A$322:$D4694,4,FALSE)</f>
        <v>#N/A</v>
      </c>
    </row>
    <row r="4695" spans="1:3" x14ac:dyDescent="0.35">
      <c r="A4695" s="21">
        <v>132</v>
      </c>
      <c r="B4695" t="str">
        <f>VLOOKUP(A4695,Products!$A$1:$F$322,2,FALSE)</f>
        <v>Trek Procal AL Frameset - 2018</v>
      </c>
      <c r="C4695" s="21" t="e">
        <f>VLOOKUP(A4695,Products!A$322:$D4695,4,FALSE)</f>
        <v>#N/A</v>
      </c>
    </row>
    <row r="4696" spans="1:3" x14ac:dyDescent="0.35">
      <c r="A4696" s="21">
        <v>301</v>
      </c>
      <c r="B4696" t="str">
        <f>VLOOKUP(A4696,Products!$A$1:$F$322,2,FALSE)</f>
        <v>Electra Townie Balloon 7i EQ - 2018</v>
      </c>
      <c r="C4696" s="21" t="e">
        <f>VLOOKUP(A4696,Products!A$322:$D4696,4,FALSE)</f>
        <v>#N/A</v>
      </c>
    </row>
    <row r="4697" spans="1:3" x14ac:dyDescent="0.35">
      <c r="A4697" s="21">
        <v>29</v>
      </c>
      <c r="B4697" t="str">
        <f>VLOOKUP(A4697,Products!$A$1:$F$322,2,FALSE)</f>
        <v>Trek X-Caliber 8 - 2017</v>
      </c>
      <c r="C4697" s="21" t="e">
        <f>VLOOKUP(A4697,Products!A$322:$D4697,4,FALSE)</f>
        <v>#N/A</v>
      </c>
    </row>
    <row r="4698" spans="1:3" x14ac:dyDescent="0.35">
      <c r="A4698" s="21">
        <v>245</v>
      </c>
      <c r="B4698" t="str">
        <f>VLOOKUP(A4698,Products!$A$1:$F$322,2,FALSE)</f>
        <v>Electra Townie Original 3i EQ - 2017/2018</v>
      </c>
      <c r="C4698" s="21" t="e">
        <f>VLOOKUP(A4698,Products!A$322:$D4698,4,FALSE)</f>
        <v>#N/A</v>
      </c>
    </row>
    <row r="4699" spans="1:3" x14ac:dyDescent="0.35">
      <c r="A4699" s="21">
        <v>271</v>
      </c>
      <c r="B4699" t="str">
        <f>VLOOKUP(A4699,Products!$A$1:$F$322,2,FALSE)</f>
        <v>Trek Precaliber 16 Girl's - 2018</v>
      </c>
      <c r="C4699" s="21" t="e">
        <f>VLOOKUP(A4699,Products!A$322:$D4699,4,FALSE)</f>
        <v>#N/A</v>
      </c>
    </row>
    <row r="4700" spans="1:3" x14ac:dyDescent="0.35">
      <c r="A4700" s="21">
        <v>29</v>
      </c>
      <c r="B4700" t="str">
        <f>VLOOKUP(A4700,Products!$A$1:$F$322,2,FALSE)</f>
        <v>Trek X-Caliber 8 - 2017</v>
      </c>
      <c r="C4700" s="21" t="e">
        <f>VLOOKUP(A4700,Products!A$322:$D4700,4,FALSE)</f>
        <v>#N/A</v>
      </c>
    </row>
    <row r="4701" spans="1:3" x14ac:dyDescent="0.35">
      <c r="A4701" s="21">
        <v>231</v>
      </c>
      <c r="B4701" t="str">
        <f>VLOOKUP(A4701,Products!$A$1:$F$322,2,FALSE)</f>
        <v>Electra Cruiser Lux 3i Ladies' - 2018</v>
      </c>
      <c r="C4701" s="21" t="e">
        <f>VLOOKUP(A4701,Products!A$322:$D4701,4,FALSE)</f>
        <v>#N/A</v>
      </c>
    </row>
    <row r="4702" spans="1:3" x14ac:dyDescent="0.35">
      <c r="A4702" s="21">
        <v>96</v>
      </c>
      <c r="B4702" t="str">
        <f>VLOOKUP(A4702,Products!$A$1:$F$322,2,FALSE)</f>
        <v>Electra Moto 3i (20-inch) - Boy's - 2017</v>
      </c>
      <c r="C4702" s="21" t="e">
        <f>VLOOKUP(A4702,Products!A$322:$D4702,4,FALSE)</f>
        <v>#N/A</v>
      </c>
    </row>
    <row r="4703" spans="1:3" x14ac:dyDescent="0.35">
      <c r="A4703" s="21">
        <v>238</v>
      </c>
      <c r="B4703" t="str">
        <f>VLOOKUP(A4703,Products!$A$1:$F$322,2,FALSE)</f>
        <v>Electra Townie Balloon 8D EQ - 2016/2017/2018</v>
      </c>
      <c r="C4703" s="21" t="e">
        <f>VLOOKUP(A4703,Products!A$322:$D4703,4,FALSE)</f>
        <v>#N/A</v>
      </c>
    </row>
    <row r="4704" spans="1:3" x14ac:dyDescent="0.35">
      <c r="A4704" s="21">
        <v>228</v>
      </c>
      <c r="B4704" t="str">
        <f>VLOOKUP(A4704,Products!$A$1:$F$322,2,FALSE)</f>
        <v>Electra Cruiser 7D Tall - 2016/2018</v>
      </c>
      <c r="C4704" s="21" t="e">
        <f>VLOOKUP(A4704,Products!A$322:$D4704,4,FALSE)</f>
        <v>#N/A</v>
      </c>
    </row>
    <row r="4705" spans="1:3" x14ac:dyDescent="0.35">
      <c r="A4705" s="21">
        <v>105</v>
      </c>
      <c r="B4705" t="str">
        <f>VLOOKUP(A4705,Products!$A$1:$F$322,2,FALSE)</f>
        <v>Sun Bicycles Streamway 7 - 2017</v>
      </c>
      <c r="C4705" s="21" t="e">
        <f>VLOOKUP(A4705,Products!A$322:$D4705,4,FALSE)</f>
        <v>#N/A</v>
      </c>
    </row>
    <row r="4706" spans="1:3" x14ac:dyDescent="0.35">
      <c r="A4706" s="21">
        <v>36</v>
      </c>
      <c r="B4706" t="str">
        <f>VLOOKUP(A4706,Products!$A$1:$F$322,2,FALSE)</f>
        <v>Surly Troll Frameset - 2017</v>
      </c>
      <c r="C4706" s="21" t="e">
        <f>VLOOKUP(A4706,Products!A$322:$D4706,4,FALSE)</f>
        <v>#N/A</v>
      </c>
    </row>
    <row r="4707" spans="1:3" x14ac:dyDescent="0.35">
      <c r="A4707" s="21">
        <v>173</v>
      </c>
      <c r="B4707" t="str">
        <f>VLOOKUP(A4707,Products!$A$1:$F$322,2,FALSE)</f>
        <v>Trek Domane ALR Frameset - 2018</v>
      </c>
      <c r="C4707" s="21" t="e">
        <f>VLOOKUP(A4707,Products!A$322:$D4707,4,FALSE)</f>
        <v>#N/A</v>
      </c>
    </row>
    <row r="4708" spans="1:3" x14ac:dyDescent="0.35">
      <c r="A4708" s="21">
        <v>191</v>
      </c>
      <c r="B4708" t="str">
        <f>VLOOKUP(A4708,Products!$A$1:$F$322,2,FALSE)</f>
        <v>Electra Loft Go! 8i - 2018</v>
      </c>
      <c r="C4708" s="21" t="e">
        <f>VLOOKUP(A4708,Products!A$322:$D4708,4,FALSE)</f>
        <v>#N/A</v>
      </c>
    </row>
    <row r="4709" spans="1:3" x14ac:dyDescent="0.35">
      <c r="A4709" s="21">
        <v>171</v>
      </c>
      <c r="B4709" t="str">
        <f>VLOOKUP(A4709,Products!$A$1:$F$322,2,FALSE)</f>
        <v>Trek Domane SL 6 - 2018</v>
      </c>
      <c r="C4709" s="21" t="e">
        <f>VLOOKUP(A4709,Products!A$322:$D4709,4,FALSE)</f>
        <v>#N/A</v>
      </c>
    </row>
    <row r="4710" spans="1:3" x14ac:dyDescent="0.35">
      <c r="A4710" s="21">
        <v>236</v>
      </c>
      <c r="B4710" t="str">
        <f>VLOOKUP(A4710,Products!$A$1:$F$322,2,FALSE)</f>
        <v>Electra Morningstar 3i Ladies' - 2018</v>
      </c>
      <c r="C4710" s="21" t="e">
        <f>VLOOKUP(A4710,Products!A$322:$D4710,4,FALSE)</f>
        <v>#N/A</v>
      </c>
    </row>
    <row r="4711" spans="1:3" x14ac:dyDescent="0.35">
      <c r="A4711" s="21">
        <v>242</v>
      </c>
      <c r="B4711" t="str">
        <f>VLOOKUP(A4711,Products!$A$1:$F$322,2,FALSE)</f>
        <v>Electra Townie Commute 8D Ladies' - 2018</v>
      </c>
      <c r="C4711" s="21" t="e">
        <f>VLOOKUP(A4711,Products!A$322:$D4711,4,FALSE)</f>
        <v>#N/A</v>
      </c>
    </row>
    <row r="4712" spans="1:3" x14ac:dyDescent="0.35">
      <c r="A4712" s="21">
        <v>289</v>
      </c>
      <c r="B4712" t="str">
        <f>VLOOKUP(A4712,Products!$A$1:$F$322,2,FALSE)</f>
        <v>Electra Superbolt 1 20" - 2018</v>
      </c>
      <c r="C4712" s="21" t="e">
        <f>VLOOKUP(A4712,Products!A$322:$D4712,4,FALSE)</f>
        <v>#N/A</v>
      </c>
    </row>
    <row r="4713" spans="1:3" x14ac:dyDescent="0.35">
      <c r="A4713" s="21">
        <v>101</v>
      </c>
      <c r="B4713" t="str">
        <f>VLOOKUP(A4713,Products!$A$1:$F$322,2,FALSE)</f>
        <v>Electra Townie 7D (20-inch) - Boys' - 2017</v>
      </c>
      <c r="C4713" s="21" t="e">
        <f>VLOOKUP(A4713,Products!A$322:$D4713,4,FALSE)</f>
        <v>#N/A</v>
      </c>
    </row>
    <row r="4714" spans="1:3" x14ac:dyDescent="0.35">
      <c r="A4714" s="21">
        <v>293</v>
      </c>
      <c r="B4714" t="str">
        <f>VLOOKUP(A4714,Products!$A$1:$F$322,2,FALSE)</f>
        <v>Electra Tiger Shark 1 (20-inch) - Boys' - 2018</v>
      </c>
      <c r="C4714" s="21" t="e">
        <f>VLOOKUP(A4714,Products!A$322:$D4714,4,FALSE)</f>
        <v>#N/A</v>
      </c>
    </row>
    <row r="4715" spans="1:3" x14ac:dyDescent="0.35">
      <c r="A4715" s="21">
        <v>60</v>
      </c>
      <c r="B4715" t="str">
        <f>VLOOKUP(A4715,Products!$A$1:$F$322,2,FALSE)</f>
        <v>Sun Bicycles ElectroLite - 2017</v>
      </c>
      <c r="C4715" s="21" t="e">
        <f>VLOOKUP(A4715,Products!A$322:$D4715,4,FALSE)</f>
        <v>#N/A</v>
      </c>
    </row>
    <row r="4716" spans="1:3" x14ac:dyDescent="0.35">
      <c r="A4716" s="21">
        <v>153</v>
      </c>
      <c r="B4716" t="str">
        <f>VLOOKUP(A4716,Products!$A$1:$F$322,2,FALSE)</f>
        <v>Trek Domane SL 7 Women's - 2018</v>
      </c>
      <c r="C4716" s="21" t="e">
        <f>VLOOKUP(A4716,Products!A$322:$D4716,4,FALSE)</f>
        <v>#N/A</v>
      </c>
    </row>
    <row r="4717" spans="1:3" x14ac:dyDescent="0.35">
      <c r="A4717" s="21">
        <v>283</v>
      </c>
      <c r="B4717" t="str">
        <f>VLOOKUP(A4717,Products!$A$1:$F$322,2,FALSE)</f>
        <v>Electra Heartchya 1 (20-inch) - Girl's - 2018</v>
      </c>
      <c r="C4717" s="21" t="e">
        <f>VLOOKUP(A4717,Products!A$322:$D4717,4,FALSE)</f>
        <v>#N/A</v>
      </c>
    </row>
    <row r="4718" spans="1:3" x14ac:dyDescent="0.35">
      <c r="A4718" s="21">
        <v>124</v>
      </c>
      <c r="B4718" t="str">
        <f>VLOOKUP(A4718,Products!$A$1:$F$322,2,FALSE)</f>
        <v>Surly Krampus - 2018</v>
      </c>
      <c r="C4718" s="21" t="e">
        <f>VLOOKUP(A4718,Products!A$322:$D4718,4,FALSE)</f>
        <v>#N/A</v>
      </c>
    </row>
    <row r="4719" spans="1:3" x14ac:dyDescent="0.35">
      <c r="A4719" s="21">
        <v>159</v>
      </c>
      <c r="B4719" t="str">
        <f>VLOOKUP(A4719,Products!$A$1:$F$322,2,FALSE)</f>
        <v>Trek Emonda ALR 6 - 2018</v>
      </c>
      <c r="C4719" s="21" t="e">
        <f>VLOOKUP(A4719,Products!A$322:$D4719,4,FALSE)</f>
        <v>#N/A</v>
      </c>
    </row>
    <row r="4720" spans="1:3" x14ac:dyDescent="0.35">
      <c r="A4720" s="21">
        <v>213</v>
      </c>
      <c r="B4720" t="str">
        <f>VLOOKUP(A4720,Products!$A$1:$F$322,2,FALSE)</f>
        <v>Electra Cruiser 1 - 2016/2017/2018</v>
      </c>
      <c r="C4720" s="21" t="e">
        <f>VLOOKUP(A4720,Products!A$322:$D4720,4,FALSE)</f>
        <v>#N/A</v>
      </c>
    </row>
    <row r="4721" spans="1:3" x14ac:dyDescent="0.35">
      <c r="A4721" s="21">
        <v>197</v>
      </c>
      <c r="B4721" t="str">
        <f>VLOOKUP(A4721,Products!$A$1:$F$322,2,FALSE)</f>
        <v>Trek Verve+ Lowstep - 2018</v>
      </c>
      <c r="C4721" s="21" t="e">
        <f>VLOOKUP(A4721,Products!A$322:$D4721,4,FALSE)</f>
        <v>#N/A</v>
      </c>
    </row>
    <row r="4722" spans="1:3" x14ac:dyDescent="0.35">
      <c r="A4722" s="21">
        <v>214</v>
      </c>
      <c r="B4722" t="str">
        <f>VLOOKUP(A4722,Products!$A$1:$F$322,2,FALSE)</f>
        <v>Electra Tiger Shark 3i - 2018</v>
      </c>
      <c r="C4722" s="21" t="e">
        <f>VLOOKUP(A4722,Products!A$322:$D4722,4,FALSE)</f>
        <v>#N/A</v>
      </c>
    </row>
    <row r="4723" spans="1:3" x14ac:dyDescent="0.35">
      <c r="A4723" s="21">
        <v>182</v>
      </c>
      <c r="B4723" t="str">
        <f>VLOOKUP(A4723,Products!$A$1:$F$322,2,FALSE)</f>
        <v>Trek Domane SL 5 Disc - 2018</v>
      </c>
      <c r="C4723" s="21" t="e">
        <f>VLOOKUP(A4723,Products!A$322:$D4723,4,FALSE)</f>
        <v>#N/A</v>
      </c>
    </row>
    <row r="4724" spans="1:3" x14ac:dyDescent="0.35">
      <c r="C4724" s="21" t="e">
        <f>VLOOKUP(A4724,Products!A$322:$D4724,4,FALSE)</f>
        <v>#N/A</v>
      </c>
    </row>
    <row r="4725" spans="1:3" x14ac:dyDescent="0.35">
      <c r="C4725" s="21" t="e">
        <f>VLOOKUP(A4725,Products!A$322:$D4725,4,FALSE)</f>
        <v>#N/A</v>
      </c>
    </row>
    <row r="4726" spans="1:3" x14ac:dyDescent="0.35">
      <c r="C4726" s="21" t="e">
        <f>VLOOKUP(A4726,Products!A$322:$D4726,4,FALSE)</f>
        <v>#N/A</v>
      </c>
    </row>
    <row r="4727" spans="1:3" x14ac:dyDescent="0.35">
      <c r="C4727" s="21" t="e">
        <f>VLOOKUP(A4727,Products!A$322:$D4727,4,FALSE)</f>
        <v>#N/A</v>
      </c>
    </row>
  </sheetData>
  <autoFilter ref="A1:C4727" xr:uid="{5ACA232D-3FE2-4221-A54D-722AA4E609EE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Brands</vt:lpstr>
      <vt:lpstr>Pivot Table</vt:lpstr>
      <vt:lpstr>Order_items</vt:lpstr>
      <vt:lpstr>Category_details</vt:lpstr>
      <vt:lpstr>Orders</vt:lpstr>
      <vt:lpstr>Stocks</vt:lpstr>
      <vt:lpstr>Stores</vt:lpstr>
      <vt:lpstr>Staffs</vt:lpstr>
      <vt:lpstr>SAMPLE</vt:lpstr>
      <vt:lpstr>DATASHEET</vt:lpstr>
      <vt:lpstr>Products</vt:lpstr>
      <vt:lpstr>VLOOKUP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Sarumathi U</cp:lastModifiedBy>
  <dcterms:created xsi:type="dcterms:W3CDTF">2026-06-12T05:39:02Z</dcterms:created>
  <dcterms:modified xsi:type="dcterms:W3CDTF">2026-07-31T02:29:12Z</dcterms:modified>
</cp:coreProperties>
</file>